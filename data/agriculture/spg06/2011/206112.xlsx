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 firstSheet="1" activeTab="1"/>
  </bookViews>
  <sheets>
    <sheet name="ListOfRegions" sheetId="2" state="hidden" r:id="rId1"/>
    <sheet name="Πίνακας2(α)" sheetId="1" r:id="rId2"/>
  </sheets>
  <calcPr calcId="124519"/>
</workbook>
</file>

<file path=xl/calcChain.xml><?xml version="1.0" encoding="utf-8"?>
<calcChain xmlns="http://schemas.openxmlformats.org/spreadsheetml/2006/main">
  <c r="A14" i="1"/>
  <c r="A13"/>
  <c r="A15"/>
  <c r="A16"/>
  <c r="A17"/>
  <c r="A12"/>
  <c r="A39"/>
  <c r="A20"/>
  <c r="A21"/>
  <c r="A22"/>
  <c r="A23"/>
  <c r="A24"/>
  <c r="A25"/>
  <c r="A26"/>
  <c r="A27"/>
  <c r="A28"/>
  <c r="A29"/>
  <c r="A30"/>
  <c r="A33"/>
  <c r="A34"/>
  <c r="A35"/>
  <c r="A36"/>
  <c r="A40"/>
  <c r="A41"/>
  <c r="A42"/>
  <c r="A43"/>
  <c r="A46"/>
  <c r="A47"/>
  <c r="A48"/>
  <c r="A49"/>
  <c r="A50"/>
  <c r="A53"/>
  <c r="A54"/>
  <c r="A55"/>
  <c r="A56"/>
  <c r="A57"/>
  <c r="A60"/>
  <c r="A61"/>
  <c r="A62"/>
  <c r="A65"/>
  <c r="A66"/>
  <c r="A67"/>
  <c r="A68"/>
  <c r="A69"/>
  <c r="A72"/>
  <c r="A73"/>
  <c r="A74"/>
  <c r="A75"/>
  <c r="A76"/>
  <c r="A77"/>
  <c r="A78"/>
  <c r="A79"/>
  <c r="A82"/>
  <c r="A83"/>
  <c r="A84"/>
  <c r="A85"/>
  <c r="A86"/>
  <c r="A89"/>
  <c r="A90"/>
  <c r="A91"/>
  <c r="A92"/>
  <c r="A93"/>
  <c r="A94"/>
  <c r="A95"/>
  <c r="A96"/>
  <c r="A97"/>
  <c r="A98"/>
  <c r="A99"/>
  <c r="A100"/>
  <c r="A101"/>
  <c r="A104"/>
  <c r="A105"/>
  <c r="A106"/>
  <c r="A107"/>
</calcChain>
</file>

<file path=xl/sharedStrings.xml><?xml version="1.0" encoding="utf-8"?>
<sst xmlns="http://schemas.openxmlformats.org/spreadsheetml/2006/main" count="918" uniqueCount="298">
  <si>
    <t xml:space="preserve">2. Αροτραίες καλλιέργειες </t>
  </si>
  <si>
    <t>2. Crops on arable land</t>
  </si>
  <si>
    <t>Εκτάσεις σε στρέμματα, παραγωγή σε τόνους</t>
  </si>
  <si>
    <t>Areas in stremmas, production in tons</t>
  </si>
  <si>
    <t>Σύνολο Εκτάσεων - Total Area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</si>
  <si>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</si>
  <si>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</si>
  <si>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</si>
  <si>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</si>
  <si>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</si>
  <si>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</si>
  <si>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</si>
  <si>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</si>
  <si>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</si>
  <si>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</si>
  <si>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</si>
  <si>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</si>
  <si>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</si>
  <si>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</si>
  <si>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</si>
  <si>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</si>
  <si>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</si>
  <si>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</si>
  <si>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</si>
  <si>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</si>
  <si>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</si>
  <si>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</si>
  <si>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</si>
  <si>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</si>
  <si>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</si>
  <si>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</si>
  <si>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</si>
  <si>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</si>
  <si>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</si>
  <si>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</si>
  <si>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</si>
  <si>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</si>
  <si>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</si>
  <si>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</si>
  <si>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</si>
  <si>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</si>
  <si>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</si>
  <si>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</si>
  <si>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</si>
  <si>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</si>
  <si>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</si>
  <si>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</si>
  <si>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</si>
  <si>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</si>
  <si>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</si>
  <si>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</si>
  <si>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</si>
  <si>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</si>
  <si>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</si>
  <si>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</si>
  <si>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</si>
  <si>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</si>
  <si>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</si>
  <si>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</si>
  <si>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</si>
  <si>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</si>
  <si>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</si>
  <si>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</si>
  <si>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</si>
  <si>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</si>
  <si>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</si>
  <si>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</si>
  <si>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</si>
  <si>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</si>
  <si>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</si>
  <si>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</si>
  <si>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</si>
  <si>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</si>
  <si>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</si>
  <si>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</si>
  <si>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</si>
  <si>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</si>
  <si>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</si>
  <si>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</si>
  <si>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</si>
  <si>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</si>
  <si>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</si>
  <si>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</si>
  <si>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</si>
  <si>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</si>
  <si>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</si>
  <si>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</si>
  <si>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</si>
  <si>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</si>
  <si>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</si>
  <si>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</si>
  <si>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</si>
  <si>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</si>
  <si>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</si>
  <si>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</si>
  <si>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</si>
  <si>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</si>
  <si>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</si>
  <si>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</si>
  <si>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</si>
  <si>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</si>
  <si>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</si>
  <si>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</si>
  <si>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</si>
  <si>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</si>
  <si>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</si>
  <si>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</si>
  <si>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</si>
  <si>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</si>
  <si>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</si>
  <si>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</si>
  <si>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</si>
  <si>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</si>
  <si>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</si>
  <si>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</si>
  <si>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</si>
  <si>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</si>
  <si>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</si>
  <si>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</si>
  <si>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</si>
  <si>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</si>
  <si>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</si>
  <si>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</si>
  <si>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</si>
  <si>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</si>
  <si>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</si>
  <si>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</si>
  <si>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</si>
  <si>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 xml:space="preserve">Αραβόσιτος - Maize </t>
  </si>
  <si>
    <t>Σόργο                Sorghum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</si>
  <si>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</si>
  <si>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</si>
  <si>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</si>
  <si>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</si>
  <si>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</si>
  <si>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</si>
  <si>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</si>
  <si>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</si>
  <si>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</si>
  <si>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</si>
  <si>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</si>
  <si>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</si>
  <si>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</si>
  <si>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</si>
  <si>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</si>
  <si>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</si>
  <si>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</si>
  <si>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</si>
  <si>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</si>
  <si>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</si>
  <si>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</si>
  <si>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</si>
  <si>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</si>
  <si>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</si>
  <si>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</si>
  <si>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</si>
  <si>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</si>
  <si>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</si>
  <si>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</si>
  <si>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</si>
  <si>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</si>
  <si>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</si>
  <si>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</si>
  <si>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</si>
  <si>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</si>
  <si>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</si>
  <si>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</si>
  <si>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</si>
  <si>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</si>
  <si>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</si>
  <si>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</si>
  <si>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</si>
  <si>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</si>
  <si>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</si>
  <si>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</si>
  <si>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</si>
  <si>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</si>
  <si>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</si>
  <si>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</si>
  <si>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</si>
  <si>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</si>
  <si>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</si>
  <si>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</si>
  <si>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</si>
  <si>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</si>
  <si>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</si>
  <si>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</si>
  <si>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</si>
  <si>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</si>
  <si>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</si>
  <si>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</si>
  <si>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</si>
  <si>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</si>
  <si>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</si>
  <si>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</si>
  <si>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</si>
  <si>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</si>
  <si>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</si>
  <si>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</si>
  <si>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</si>
  <si>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</si>
  <si>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</si>
  <si>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</si>
  <si>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</si>
  <si>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</si>
  <si>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rFont val="Arial"/>
        <family val="2"/>
        <charset val="161"/>
      </rPr>
      <t xml:space="preserve">Πίνακας 2α. </t>
    </r>
    <r>
      <rPr>
        <sz val="8"/>
        <rFont val="Arial"/>
        <family val="2"/>
        <charset val="161"/>
      </rPr>
      <t>Συνέχεια</t>
    </r>
  </si>
  <si>
    <r>
      <rPr>
        <b/>
        <sz val="8"/>
        <color theme="1"/>
        <rFont val="Arial"/>
        <family val="2"/>
        <charset val="161"/>
      </rPr>
      <t>Table 2a.</t>
    </r>
    <r>
      <rPr>
        <sz val="8"/>
        <color theme="1"/>
        <rFont val="Arial"/>
        <family val="2"/>
        <charset val="161"/>
      </rPr>
      <t xml:space="preserve"> Continued</t>
    </r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</si>
  <si>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</si>
  <si>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</si>
  <si>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</si>
  <si>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</si>
  <si>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</si>
  <si>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</si>
  <si>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</si>
  <si>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</si>
  <si>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</si>
  <si>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</si>
  <si>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</si>
  <si>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</si>
  <si>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</si>
  <si>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</si>
  <si>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</si>
  <si>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</si>
  <si>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</si>
  <si>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</si>
  <si>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</si>
  <si>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</si>
  <si>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</si>
  <si>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</si>
  <si>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</si>
  <si>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</si>
  <si>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</si>
  <si>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</si>
  <si>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</si>
  <si>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</si>
  <si>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</si>
  <si>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</si>
  <si>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</si>
  <si>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</si>
  <si>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</si>
  <si>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</si>
  <si>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</si>
  <si>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</si>
  <si>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</si>
  <si>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</si>
  <si>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</si>
  <si>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</si>
  <si>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</si>
  <si>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</si>
  <si>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</si>
  <si>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</si>
  <si>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</si>
  <si>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</si>
  <si>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</si>
  <si>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</si>
  <si>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</si>
  <si>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</si>
  <si>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</si>
  <si>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</si>
  <si>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</si>
  <si>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</si>
  <si>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</si>
  <si>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</si>
  <si>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</si>
  <si>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</si>
  <si>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</si>
  <si>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</si>
  <si>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</si>
  <si>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</si>
  <si>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</si>
  <si>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</si>
  <si>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</si>
  <si>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</si>
  <si>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</si>
  <si>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</si>
  <si>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</si>
  <si>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</si>
  <si>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</si>
  <si>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</si>
  <si>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</si>
  <si>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</si>
  <si>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</si>
  <si>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</si>
  <si>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Ρύζι                        Rice</t>
  </si>
  <si>
    <t>―</t>
  </si>
  <si>
    <r>
      <t>Λοιπά</t>
    </r>
    <r>
      <rPr>
        <vertAlign val="superscript"/>
        <sz val="8"/>
        <rFont val="Arial"/>
        <family val="2"/>
        <charset val="161"/>
      </rPr>
      <t xml:space="preserve">(1)    </t>
    </r>
    <r>
      <rPr>
        <sz val="8"/>
        <rFont val="Arial"/>
        <family val="2"/>
        <charset val="161"/>
      </rPr>
      <t xml:space="preserve">                           Other</t>
    </r>
  </si>
  <si>
    <t>(1) Σμιγδάνι, Κεχρί, φαλαρίδα, τριτικάλι, κλπ.</t>
  </si>
  <si>
    <t>(2) Maslin, millet, phalaris, triticale, etc.</t>
  </si>
  <si>
    <t>2α. Σιτηρά για καρπό. Εκτάσεις και παραγωγή κατά Περιφέρεια και Περιφερειακή Ενότητα. Έτος 2011</t>
  </si>
  <si>
    <t>Table 2a. Cereals for grain. Areas and production, by Region and Regional Unity. Year 2011</t>
  </si>
  <si>
    <t>Σιτάρι                                                                                                    Wheat</t>
  </si>
  <si>
    <t>Μαλακό                                                 Soft</t>
  </si>
  <si>
    <t>Σκληρό                                                 Hard</t>
  </si>
  <si>
    <t xml:space="preserve">Κριθάρι                                                         Barley   </t>
  </si>
  <si>
    <t xml:space="preserve">Βρώμη                                                      Oats </t>
  </si>
  <si>
    <t xml:space="preserve">Σίκαλη                                                       Rye </t>
  </si>
  <si>
    <t xml:space="preserve">                χωρίς συγκαλλιέργεια                                          grown alone</t>
  </si>
  <si>
    <t xml:space="preserve">       συγκαλλιεργούμενος με φασόλια και άλλα είδη                      grown with beans and other crops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</si>
</sst>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name val="Tahoma"/>
      <family val="2"/>
      <charset val="161"/>
    </font>
    <font>
      <sz val="8"/>
      <color theme="1"/>
      <name val="Calibri"/>
      <family val="2"/>
      <charset val="161"/>
    </font>
    <font>
      <vertAlign val="superscript"/>
      <sz val="8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1">
    <xf numFmtId="0" fontId="0" fillId="0" borderId="0" xfId="0"/>
    <xf numFmtId="49" fontId="3" fillId="2" borderId="18" xfId="0" applyNumberFormat="1" applyFont="1" applyFill="1" applyBorder="1"/>
    <xf numFmtId="49" fontId="3" fillId="2" borderId="5" xfId="0" applyNumberFormat="1" applyFont="1" applyFill="1" applyBorder="1" applyAlignment="1">
      <alignment horizontal="left"/>
    </xf>
    <xf numFmtId="0" fontId="4" fillId="2" borderId="5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horizontal="centerContinuous" vertical="center" wrapText="1"/>
    </xf>
    <xf numFmtId="49" fontId="5" fillId="2" borderId="5" xfId="0" applyNumberFormat="1" applyFont="1" applyFill="1" applyBorder="1" applyAlignment="1">
      <alignment vertical="center" textRotation="90"/>
    </xf>
    <xf numFmtId="0" fontId="4" fillId="2" borderId="2" xfId="0" applyNumberFormat="1" applyFont="1" applyFill="1" applyBorder="1" applyAlignment="1" applyProtection="1"/>
    <xf numFmtId="49" fontId="3" fillId="2" borderId="19" xfId="0" applyNumberFormat="1" applyFont="1" applyFill="1" applyBorder="1"/>
    <xf numFmtId="49" fontId="3" fillId="2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vertical="center" textRotation="90"/>
    </xf>
    <xf numFmtId="0" fontId="4" fillId="2" borderId="7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/>
    <xf numFmtId="49" fontId="3" fillId="4" borderId="19" xfId="0" applyNumberFormat="1" applyFont="1" applyFill="1" applyBorder="1"/>
    <xf numFmtId="49" fontId="3" fillId="4" borderId="0" xfId="0" applyNumberFormat="1" applyFont="1" applyFill="1" applyBorder="1" applyAlignment="1">
      <alignment horizontal="left"/>
    </xf>
    <xf numFmtId="0" fontId="4" fillId="4" borderId="0" xfId="0" applyNumberFormat="1" applyFont="1" applyFill="1" applyBorder="1" applyAlignment="1" applyProtection="1"/>
    <xf numFmtId="49" fontId="5" fillId="4" borderId="0" xfId="0" applyNumberFormat="1" applyFont="1" applyFill="1" applyBorder="1"/>
    <xf numFmtId="49" fontId="5" fillId="4" borderId="0" xfId="0" applyNumberFormat="1" applyFont="1" applyFill="1" applyBorder="1" applyAlignment="1">
      <alignment vertical="center" textRotation="90"/>
    </xf>
    <xf numFmtId="0" fontId="4" fillId="4" borderId="7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5" fillId="4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/>
    <xf numFmtId="49" fontId="3" fillId="5" borderId="19" xfId="0" applyNumberFormat="1" applyFont="1" applyFill="1" applyBorder="1"/>
    <xf numFmtId="49" fontId="3" fillId="5" borderId="0" xfId="0" applyNumberFormat="1" applyFont="1" applyFill="1" applyBorder="1"/>
    <xf numFmtId="0" fontId="4" fillId="5" borderId="0" xfId="0" applyNumberFormat="1" applyFont="1" applyFill="1" applyBorder="1" applyAlignment="1" applyProtection="1"/>
    <xf numFmtId="49" fontId="5" fillId="5" borderId="0" xfId="0" applyNumberFormat="1" applyFont="1" applyFill="1" applyBorder="1"/>
    <xf numFmtId="49" fontId="5" fillId="6" borderId="0" xfId="0" applyNumberFormat="1" applyFont="1" applyFill="1" applyBorder="1" applyAlignment="1">
      <alignment vertical="center" textRotation="90"/>
    </xf>
    <xf numFmtId="0" fontId="4" fillId="5" borderId="7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3" fillId="5" borderId="20" xfId="0" applyNumberFormat="1" applyFont="1" applyFill="1" applyBorder="1"/>
    <xf numFmtId="49" fontId="3" fillId="5" borderId="1" xfId="0" applyNumberFormat="1" applyFont="1" applyFill="1" applyBorder="1"/>
    <xf numFmtId="0" fontId="4" fillId="5" borderId="1" xfId="0" applyNumberFormat="1" applyFont="1" applyFill="1" applyBorder="1" applyAlignment="1" applyProtection="1"/>
    <xf numFmtId="49" fontId="5" fillId="6" borderId="1" xfId="0" applyNumberFormat="1" applyFont="1" applyFill="1" applyBorder="1" applyAlignment="1">
      <alignment vertical="center" textRotation="90"/>
    </xf>
    <xf numFmtId="0" fontId="4" fillId="5" borderId="21" xfId="0" applyNumberFormat="1" applyFont="1" applyFill="1" applyBorder="1" applyAlignment="1" applyProtection="1"/>
    <xf numFmtId="49" fontId="3" fillId="7" borderId="18" xfId="0" applyNumberFormat="1" applyFont="1" applyFill="1" applyBorder="1"/>
    <xf numFmtId="49" fontId="3" fillId="7" borderId="5" xfId="0" applyNumberFormat="1" applyFont="1" applyFill="1" applyBorder="1"/>
    <xf numFmtId="0" fontId="4" fillId="7" borderId="5" xfId="0" applyNumberFormat="1" applyFont="1" applyFill="1" applyBorder="1" applyAlignment="1" applyProtection="1"/>
    <xf numFmtId="49" fontId="5" fillId="7" borderId="5" xfId="0" applyNumberFormat="1" applyFont="1" applyFill="1" applyBorder="1"/>
    <xf numFmtId="49" fontId="5" fillId="7" borderId="5" xfId="0" applyNumberFormat="1" applyFont="1" applyFill="1" applyBorder="1" applyAlignment="1">
      <alignment vertical="center" textRotation="90"/>
    </xf>
    <xf numFmtId="0" fontId="4" fillId="7" borderId="2" xfId="0" applyNumberFormat="1" applyFont="1" applyFill="1" applyBorder="1" applyAlignment="1" applyProtection="1"/>
    <xf numFmtId="49" fontId="3" fillId="7" borderId="19" xfId="0" applyNumberFormat="1" applyFont="1" applyFill="1" applyBorder="1"/>
    <xf numFmtId="49" fontId="3" fillId="7" borderId="0" xfId="0" applyNumberFormat="1" applyFont="1" applyFill="1" applyBorder="1"/>
    <xf numFmtId="0" fontId="4" fillId="7" borderId="0" xfId="0" applyNumberFormat="1" applyFont="1" applyFill="1" applyBorder="1" applyAlignment="1" applyProtection="1"/>
    <xf numFmtId="49" fontId="5" fillId="7" borderId="0" xfId="0" applyNumberFormat="1" applyFont="1" applyFill="1" applyBorder="1" applyAlignment="1">
      <alignment vertical="center" textRotation="90"/>
    </xf>
    <xf numFmtId="0" fontId="4" fillId="7" borderId="7" xfId="0" applyNumberFormat="1" applyFont="1" applyFill="1" applyBorder="1" applyAlignment="1" applyProtection="1"/>
    <xf numFmtId="49" fontId="6" fillId="7" borderId="0" xfId="0" applyNumberFormat="1" applyFont="1" applyFill="1" applyBorder="1"/>
    <xf numFmtId="49" fontId="3" fillId="8" borderId="19" xfId="0" applyNumberFormat="1" applyFont="1" applyFill="1" applyBorder="1"/>
    <xf numFmtId="49" fontId="3" fillId="8" borderId="0" xfId="0" applyNumberFormat="1" applyFont="1" applyFill="1" applyBorder="1"/>
    <xf numFmtId="0" fontId="4" fillId="8" borderId="0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5" fillId="8" borderId="0" xfId="0" applyNumberFormat="1" applyFont="1" applyFill="1" applyBorder="1" applyAlignment="1">
      <alignment vertical="center" textRotation="90"/>
    </xf>
    <xf numFmtId="0" fontId="4" fillId="8" borderId="7" xfId="0" applyNumberFormat="1" applyFont="1" applyFill="1" applyBorder="1" applyAlignment="1" applyProtection="1"/>
    <xf numFmtId="49" fontId="6" fillId="8" borderId="0" xfId="0" applyNumberFormat="1" applyFont="1" applyFill="1" applyBorder="1"/>
    <xf numFmtId="49" fontId="3" fillId="8" borderId="20" xfId="0" applyNumberFormat="1" applyFont="1" applyFill="1" applyBorder="1"/>
    <xf numFmtId="49" fontId="3" fillId="8" borderId="1" xfId="0" applyNumberFormat="1" applyFont="1" applyFill="1" applyBorder="1"/>
    <xf numFmtId="0" fontId="4" fillId="8" borderId="1" xfId="0" applyNumberFormat="1" applyFont="1" applyFill="1" applyBorder="1" applyAlignment="1" applyProtection="1"/>
    <xf numFmtId="49" fontId="5" fillId="8" borderId="1" xfId="0" applyNumberFormat="1" applyFont="1" applyFill="1" applyBorder="1" applyAlignment="1">
      <alignment vertical="center" textRotation="90"/>
    </xf>
    <xf numFmtId="0" fontId="4" fillId="8" borderId="21" xfId="0" applyNumberFormat="1" applyFont="1" applyFill="1" applyBorder="1" applyAlignment="1" applyProtection="1"/>
    <xf numFmtId="49" fontId="3" fillId="9" borderId="18" xfId="0" applyNumberFormat="1" applyFont="1" applyFill="1" applyBorder="1"/>
    <xf numFmtId="49" fontId="3" fillId="9" borderId="5" xfId="0" applyNumberFormat="1" applyFont="1" applyFill="1" applyBorder="1"/>
    <xf numFmtId="0" fontId="4" fillId="9" borderId="5" xfId="0" applyNumberFormat="1" applyFont="1" applyFill="1" applyBorder="1" applyAlignment="1" applyProtection="1"/>
    <xf numFmtId="49" fontId="5" fillId="9" borderId="5" xfId="0" applyNumberFormat="1" applyFont="1" applyFill="1" applyBorder="1"/>
    <xf numFmtId="0" fontId="7" fillId="9" borderId="5" xfId="0" applyNumberFormat="1" applyFont="1" applyFill="1" applyBorder="1" applyAlignment="1" applyProtection="1"/>
    <xf numFmtId="49" fontId="5" fillId="9" borderId="5" xfId="0" applyNumberFormat="1" applyFont="1" applyFill="1" applyBorder="1" applyAlignment="1">
      <alignment vertical="center" textRotation="90"/>
    </xf>
    <xf numFmtId="0" fontId="7" fillId="9" borderId="2" xfId="0" applyNumberFormat="1" applyFont="1" applyFill="1" applyBorder="1" applyAlignment="1" applyProtection="1"/>
    <xf numFmtId="49" fontId="3" fillId="9" borderId="19" xfId="0" applyNumberFormat="1" applyFont="1" applyFill="1" applyBorder="1"/>
    <xf numFmtId="49" fontId="3" fillId="9" borderId="0" xfId="0" applyNumberFormat="1" applyFont="1" applyFill="1" applyBorder="1"/>
    <xf numFmtId="0" fontId="4" fillId="9" borderId="0" xfId="0" applyNumberFormat="1" applyFont="1" applyFill="1" applyBorder="1" applyAlignment="1" applyProtection="1"/>
    <xf numFmtId="49" fontId="5" fillId="9" borderId="0" xfId="0" applyNumberFormat="1" applyFont="1" applyFill="1" applyBorder="1" applyAlignment="1">
      <alignment vertical="center" textRotation="90"/>
    </xf>
    <xf numFmtId="0" fontId="4" fillId="9" borderId="7" xfId="0" applyNumberFormat="1" applyFont="1" applyFill="1" applyBorder="1" applyAlignment="1" applyProtection="1"/>
    <xf numFmtId="49" fontId="6" fillId="9" borderId="0" xfId="0" applyNumberFormat="1" applyFont="1" applyFill="1" applyBorder="1"/>
    <xf numFmtId="49" fontId="3" fillId="11" borderId="19" xfId="0" applyNumberFormat="1" applyFont="1" applyFill="1" applyBorder="1"/>
    <xf numFmtId="49" fontId="3" fillId="11" borderId="0" xfId="0" applyNumberFormat="1" applyFont="1" applyFill="1" applyBorder="1"/>
    <xf numFmtId="0" fontId="4" fillId="11" borderId="0" xfId="0" applyNumberFormat="1" applyFont="1" applyFill="1" applyBorder="1" applyAlignment="1" applyProtection="1"/>
    <xf numFmtId="49" fontId="5" fillId="11" borderId="0" xfId="0" applyNumberFormat="1" applyFont="1" applyFill="1" applyBorder="1"/>
    <xf numFmtId="49" fontId="5" fillId="11" borderId="0" xfId="0" applyNumberFormat="1" applyFont="1" applyFill="1" applyBorder="1" applyAlignment="1">
      <alignment vertical="center" textRotation="90"/>
    </xf>
    <xf numFmtId="0" fontId="4" fillId="11" borderId="7" xfId="0" applyNumberFormat="1" applyFont="1" applyFill="1" applyBorder="1" applyAlignment="1" applyProtection="1"/>
    <xf numFmtId="49" fontId="6" fillId="11" borderId="0" xfId="0" applyNumberFormat="1" applyFont="1" applyFill="1" applyBorder="1"/>
    <xf numFmtId="0" fontId="1" fillId="9" borderId="5" xfId="0" applyNumberFormat="1" applyFont="1" applyFill="1" applyBorder="1" applyAlignment="1" applyProtection="1"/>
    <xf numFmtId="0" fontId="4" fillId="9" borderId="2" xfId="0" applyNumberFormat="1" applyFont="1" applyFill="1" applyBorder="1" applyAlignment="1" applyProtection="1"/>
    <xf numFmtId="0" fontId="7" fillId="9" borderId="0" xfId="0" applyNumberFormat="1" applyFont="1" applyFill="1" applyBorder="1" applyAlignment="1" applyProtection="1"/>
    <xf numFmtId="49" fontId="3" fillId="9" borderId="20" xfId="0" applyNumberFormat="1" applyFont="1" applyFill="1" applyBorder="1"/>
    <xf numFmtId="49" fontId="3" fillId="9" borderId="1" xfId="0" applyNumberFormat="1" applyFont="1" applyFill="1" applyBorder="1"/>
    <xf numFmtId="0" fontId="4" fillId="9" borderId="1" xfId="0" applyNumberFormat="1" applyFont="1" applyFill="1" applyBorder="1" applyAlignment="1" applyProtection="1"/>
    <xf numFmtId="0" fontId="4" fillId="9" borderId="21" xfId="0" applyNumberFormat="1" applyFont="1" applyFill="1" applyBorder="1" applyAlignment="1" applyProtection="1"/>
    <xf numFmtId="49" fontId="3" fillId="2" borderId="5" xfId="0" applyNumberFormat="1" applyFont="1" applyFill="1" applyBorder="1"/>
    <xf numFmtId="49" fontId="5" fillId="2" borderId="5" xfId="0" applyNumberFormat="1" applyFont="1" applyFill="1" applyBorder="1"/>
    <xf numFmtId="49" fontId="3" fillId="2" borderId="0" xfId="0" applyNumberFormat="1" applyFont="1" applyFill="1" applyBorder="1"/>
    <xf numFmtId="49" fontId="6" fillId="2" borderId="0" xfId="0" applyNumberFormat="1" applyFont="1" applyFill="1" applyBorder="1"/>
    <xf numFmtId="49" fontId="3" fillId="4" borderId="18" xfId="0" applyNumberFormat="1" applyFont="1" applyFill="1" applyBorder="1"/>
    <xf numFmtId="49" fontId="2" fillId="4" borderId="0" xfId="0" applyNumberFormat="1" applyFont="1" applyFill="1" applyBorder="1"/>
    <xf numFmtId="0" fontId="4" fillId="4" borderId="5" xfId="0" applyNumberFormat="1" applyFont="1" applyFill="1" applyBorder="1" applyAlignment="1" applyProtection="1"/>
    <xf numFmtId="49" fontId="5" fillId="4" borderId="5" xfId="0" applyNumberFormat="1" applyFont="1" applyFill="1" applyBorder="1"/>
    <xf numFmtId="49" fontId="3" fillId="4" borderId="5" xfId="0" applyNumberFormat="1" applyFont="1" applyFill="1" applyBorder="1"/>
    <xf numFmtId="0" fontId="4" fillId="4" borderId="2" xfId="0" applyNumberFormat="1" applyFont="1" applyFill="1" applyBorder="1" applyAlignment="1" applyProtection="1"/>
    <xf numFmtId="49" fontId="6" fillId="13" borderId="0" xfId="0" applyNumberFormat="1" applyFont="1" applyFill="1" applyBorder="1" applyAlignment="1">
      <alignment horizontal="left"/>
    </xf>
    <xf numFmtId="0" fontId="4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3" fillId="4" borderId="20" xfId="0" applyNumberFormat="1" applyFont="1" applyFill="1" applyBorder="1"/>
    <xf numFmtId="0" fontId="4" fillId="4" borderId="1" xfId="0" applyNumberFormat="1" applyFont="1" applyFill="1" applyBorder="1" applyAlignment="1" applyProtection="1"/>
    <xf numFmtId="49" fontId="3" fillId="4" borderId="1" xfId="0" applyNumberFormat="1" applyFont="1" applyFill="1" applyBorder="1"/>
    <xf numFmtId="0" fontId="4" fillId="4" borderId="21" xfId="0" applyNumberFormat="1" applyFont="1" applyFill="1" applyBorder="1" applyAlignment="1" applyProtection="1"/>
    <xf numFmtId="49" fontId="3" fillId="2" borderId="22" xfId="0" applyNumberFormat="1" applyFont="1" applyFill="1" applyBorder="1"/>
    <xf numFmtId="49" fontId="2" fillId="14" borderId="23" xfId="0" applyNumberFormat="1" applyFont="1" applyFill="1" applyBorder="1"/>
    <xf numFmtId="0" fontId="4" fillId="2" borderId="24" xfId="0" applyNumberFormat="1" applyFont="1" applyFill="1" applyBorder="1" applyAlignment="1" applyProtection="1"/>
    <xf numFmtId="49" fontId="6" fillId="2" borderId="24" xfId="0" applyNumberFormat="1" applyFont="1" applyFill="1" applyBorder="1"/>
    <xf numFmtId="49" fontId="3" fillId="2" borderId="24" xfId="0" applyNumberFormat="1" applyFont="1" applyFill="1" applyBorder="1"/>
    <xf numFmtId="0" fontId="4" fillId="2" borderId="25" xfId="0" applyNumberFormat="1" applyFont="1" applyFill="1" applyBorder="1" applyAlignment="1" applyProtection="1"/>
    <xf numFmtId="49" fontId="3" fillId="15" borderId="19" xfId="0" applyNumberFormat="1" applyFont="1" applyFill="1" applyBorder="1"/>
    <xf numFmtId="49" fontId="3" fillId="15" borderId="0" xfId="0" applyNumberFormat="1" applyFont="1" applyFill="1" applyBorder="1"/>
    <xf numFmtId="0" fontId="4" fillId="15" borderId="0" xfId="0" applyNumberFormat="1" applyFont="1" applyFill="1" applyBorder="1" applyAlignment="1" applyProtection="1"/>
    <xf numFmtId="49" fontId="5" fillId="15" borderId="0" xfId="0" applyNumberFormat="1" applyFont="1" applyFill="1" applyBorder="1"/>
    <xf numFmtId="0" fontId="7" fillId="15" borderId="0" xfId="0" applyNumberFormat="1" applyFont="1" applyFill="1" applyBorder="1" applyAlignment="1" applyProtection="1"/>
    <xf numFmtId="49" fontId="5" fillId="15" borderId="0" xfId="0" applyNumberFormat="1" applyFont="1" applyFill="1" applyBorder="1" applyAlignment="1">
      <alignment vertical="center" textRotation="90"/>
    </xf>
    <xf numFmtId="49" fontId="3" fillId="15" borderId="20" xfId="0" applyNumberFormat="1" applyFont="1" applyFill="1" applyBorder="1"/>
    <xf numFmtId="49" fontId="3" fillId="15" borderId="1" xfId="0" applyNumberFormat="1" applyFont="1" applyFill="1" applyBorder="1"/>
    <xf numFmtId="0" fontId="4" fillId="15" borderId="1" xfId="0" applyNumberFormat="1" applyFont="1" applyFill="1" applyBorder="1" applyAlignment="1" applyProtection="1"/>
    <xf numFmtId="49" fontId="5" fillId="15" borderId="1" xfId="0" applyNumberFormat="1" applyFont="1" applyFill="1" applyBorder="1" applyAlignment="1">
      <alignment vertical="center" textRotation="90"/>
    </xf>
    <xf numFmtId="0" fontId="4" fillId="15" borderId="7" xfId="0" applyNumberFormat="1" applyFont="1" applyFill="1" applyBorder="1" applyAlignment="1" applyProtection="1"/>
    <xf numFmtId="0" fontId="4" fillId="15" borderId="21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centerContinuous"/>
    </xf>
    <xf numFmtId="0" fontId="11" fillId="0" borderId="17" xfId="0" applyFont="1" applyBorder="1" applyAlignment="1">
      <alignment horizontal="center"/>
    </xf>
    <xf numFmtId="0" fontId="13" fillId="0" borderId="0" xfId="0" applyFont="1" applyAlignment="1">
      <alignment horizontal="left" indent="2"/>
    </xf>
    <xf numFmtId="0" fontId="13" fillId="0" borderId="0" xfId="0" applyFont="1"/>
    <xf numFmtId="0" fontId="13" fillId="0" borderId="0" xfId="0" applyFont="1" applyBorder="1"/>
    <xf numFmtId="0" fontId="13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0" fillId="0" borderId="1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0" fontId="11" fillId="0" borderId="33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Border="1" applyAlignment="1">
      <alignment horizontal="left"/>
    </xf>
    <xf numFmtId="0" fontId="13" fillId="0" borderId="1" xfId="0" applyFont="1" applyBorder="1" applyAlignment="1">
      <alignment horizontal="left" indent="2"/>
    </xf>
    <xf numFmtId="0" fontId="13" fillId="0" borderId="1" xfId="0" applyFont="1" applyBorder="1" applyAlignment="1">
      <alignment horizontal="left"/>
    </xf>
    <xf numFmtId="0" fontId="13" fillId="0" borderId="5" xfId="0" applyFont="1" applyBorder="1" applyAlignment="1">
      <alignment vertical="center"/>
    </xf>
    <xf numFmtId="49" fontId="10" fillId="0" borderId="0" xfId="0" applyNumberFormat="1" applyFont="1" applyFill="1" applyBorder="1"/>
    <xf numFmtId="0" fontId="10" fillId="0" borderId="0" xfId="0" applyNumberFormat="1" applyFont="1" applyFill="1" applyBorder="1" applyAlignment="1" applyProtection="1">
      <alignment horizontal="left" indent="2"/>
    </xf>
    <xf numFmtId="0" fontId="10" fillId="0" borderId="0" xfId="0" applyFont="1" applyFill="1" applyBorder="1" applyAlignment="1" applyProtection="1">
      <alignment horizontal="left" indent="2"/>
    </xf>
    <xf numFmtId="0" fontId="11" fillId="0" borderId="0" xfId="0" applyFont="1" applyBorder="1" applyAlignment="1">
      <alignment horizontal="center"/>
    </xf>
    <xf numFmtId="49" fontId="9" fillId="0" borderId="0" xfId="0" applyNumberFormat="1" applyFont="1" applyFill="1" applyBorder="1" applyAlignment="1" applyProtection="1">
      <alignment horizontal="left" indent="2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49" fontId="13" fillId="0" borderId="0" xfId="0" applyNumberFormat="1" applyFont="1" applyBorder="1"/>
    <xf numFmtId="0" fontId="15" fillId="0" borderId="0" xfId="0" applyNumberFormat="1" applyFont="1" applyFill="1" applyBorder="1" applyAlignment="1" applyProtection="1"/>
    <xf numFmtId="0" fontId="13" fillId="0" borderId="0" xfId="0" applyFont="1" applyBorder="1" applyAlignment="1">
      <alignment horizontal="left" indent="2"/>
    </xf>
    <xf numFmtId="49" fontId="13" fillId="0" borderId="0" xfId="0" applyNumberFormat="1" applyFont="1"/>
    <xf numFmtId="49" fontId="10" fillId="0" borderId="0" xfId="0" applyNumberFormat="1" applyFont="1" applyFill="1" applyBorder="1" applyAlignment="1" applyProtection="1">
      <alignment horizontal="left" wrapText="1" indent="2"/>
    </xf>
    <xf numFmtId="49" fontId="10" fillId="0" borderId="1" xfId="0" applyNumberFormat="1" applyFont="1" applyFill="1" applyBorder="1" applyAlignment="1" applyProtection="1">
      <alignment horizontal="left" wrapText="1" indent="2"/>
    </xf>
    <xf numFmtId="0" fontId="16" fillId="0" borderId="0" xfId="0" applyFont="1" applyBorder="1"/>
    <xf numFmtId="3" fontId="13" fillId="0" borderId="29" xfId="0" quotePrefix="1" applyNumberFormat="1" applyFont="1" applyBorder="1" applyAlignment="1">
      <alignment horizontal="right" vertical="center"/>
    </xf>
    <xf numFmtId="3" fontId="13" fillId="0" borderId="12" xfId="0" quotePrefix="1" applyNumberFormat="1" applyFont="1" applyBorder="1" applyAlignment="1">
      <alignment horizontal="right" vertical="center"/>
    </xf>
    <xf numFmtId="3" fontId="10" fillId="0" borderId="8" xfId="0" applyNumberFormat="1" applyFont="1" applyFill="1" applyBorder="1" applyAlignment="1" applyProtection="1">
      <alignment horizontal="right" vertical="center" wrapText="1"/>
    </xf>
    <xf numFmtId="3" fontId="10" fillId="0" borderId="12" xfId="0" applyNumberFormat="1" applyFont="1" applyFill="1" applyBorder="1" applyAlignment="1" applyProtection="1">
      <alignment horizontal="right"/>
    </xf>
    <xf numFmtId="3" fontId="10" fillId="0" borderId="29" xfId="0" applyNumberFormat="1" applyFont="1" applyFill="1" applyBorder="1" applyAlignment="1" applyProtection="1">
      <alignment horizontal="right"/>
    </xf>
    <xf numFmtId="3" fontId="10" fillId="0" borderId="0" xfId="0" applyNumberFormat="1" applyFont="1" applyFill="1" applyBorder="1" applyAlignment="1" applyProtection="1">
      <alignment horizontal="right"/>
    </xf>
    <xf numFmtId="3" fontId="15" fillId="0" borderId="29" xfId="0" quotePrefix="1" applyNumberFormat="1" applyFont="1" applyFill="1" applyBorder="1" applyAlignment="1" applyProtection="1">
      <alignment horizontal="right"/>
    </xf>
    <xf numFmtId="3" fontId="15" fillId="0" borderId="0" xfId="0" quotePrefix="1" applyNumberFormat="1" applyFont="1" applyFill="1" applyBorder="1" applyAlignment="1" applyProtection="1">
      <alignment horizontal="right"/>
    </xf>
    <xf numFmtId="3" fontId="15" fillId="0" borderId="29" xfId="0" applyNumberFormat="1" applyFont="1" applyFill="1" applyBorder="1" applyAlignment="1" applyProtection="1">
      <alignment horizontal="right"/>
    </xf>
    <xf numFmtId="3" fontId="15" fillId="0" borderId="7" xfId="0" applyNumberFormat="1" applyFont="1" applyFill="1" applyBorder="1" applyAlignment="1" applyProtection="1">
      <alignment horizontal="right"/>
    </xf>
    <xf numFmtId="3" fontId="10" fillId="0" borderId="12" xfId="0" quotePrefix="1" applyNumberFormat="1" applyFont="1" applyFill="1" applyBorder="1" applyAlignment="1" applyProtection="1">
      <alignment horizontal="right"/>
    </xf>
    <xf numFmtId="3" fontId="10" fillId="0" borderId="29" xfId="0" quotePrefix="1" applyNumberFormat="1" applyFont="1" applyFill="1" applyBorder="1" applyAlignment="1" applyProtection="1">
      <alignment horizontal="right"/>
    </xf>
    <xf numFmtId="3" fontId="15" fillId="0" borderId="0" xfId="0" applyNumberFormat="1" applyFont="1" applyFill="1" applyBorder="1" applyAlignment="1" applyProtection="1">
      <alignment horizontal="right"/>
    </xf>
    <xf numFmtId="3" fontId="10" fillId="0" borderId="0" xfId="0" quotePrefix="1" applyNumberFormat="1" applyFont="1" applyFill="1" applyBorder="1" applyAlignment="1" applyProtection="1">
      <alignment horizontal="right"/>
    </xf>
    <xf numFmtId="3" fontId="15" fillId="0" borderId="7" xfId="0" quotePrefix="1" applyNumberFormat="1" applyFont="1" applyFill="1" applyBorder="1" applyAlignment="1" applyProtection="1">
      <alignment horizontal="right"/>
    </xf>
    <xf numFmtId="3" fontId="10" fillId="0" borderId="36" xfId="0" applyNumberFormat="1" applyFont="1" applyFill="1" applyBorder="1" applyAlignment="1" applyProtection="1">
      <alignment horizontal="right" vertical="center" wrapText="1"/>
    </xf>
    <xf numFmtId="3" fontId="10" fillId="0" borderId="30" xfId="0" applyNumberFormat="1" applyFont="1" applyFill="1" applyBorder="1" applyAlignment="1" applyProtection="1">
      <alignment horizontal="right"/>
    </xf>
    <xf numFmtId="3" fontId="10" fillId="0" borderId="31" xfId="0" applyNumberFormat="1" applyFont="1" applyFill="1" applyBorder="1" applyAlignment="1" applyProtection="1">
      <alignment horizontal="right"/>
    </xf>
    <xf numFmtId="3" fontId="10" fillId="0" borderId="31" xfId="0" quotePrefix="1" applyNumberFormat="1" applyFont="1" applyFill="1" applyBorder="1" applyAlignment="1" applyProtection="1">
      <alignment horizontal="right"/>
    </xf>
    <xf numFmtId="3" fontId="10" fillId="0" borderId="1" xfId="0" applyNumberFormat="1" applyFont="1" applyFill="1" applyBorder="1" applyAlignment="1" applyProtection="1">
      <alignment horizontal="right"/>
    </xf>
    <xf numFmtId="3" fontId="15" fillId="0" borderId="31" xfId="0" quotePrefix="1" applyNumberFormat="1" applyFont="1" applyFill="1" applyBorder="1" applyAlignment="1" applyProtection="1">
      <alignment horizontal="right"/>
    </xf>
    <xf numFmtId="3" fontId="15" fillId="0" borderId="13" xfId="0" quotePrefix="1" applyNumberFormat="1" applyFont="1" applyFill="1" applyBorder="1" applyAlignment="1" applyProtection="1">
      <alignment horizontal="right"/>
    </xf>
    <xf numFmtId="3" fontId="10" fillId="0" borderId="30" xfId="0" quotePrefix="1" applyNumberFormat="1" applyFont="1" applyFill="1" applyBorder="1" applyAlignment="1" applyProtection="1">
      <alignment horizontal="right"/>
    </xf>
    <xf numFmtId="3" fontId="15" fillId="0" borderId="34" xfId="0" quotePrefix="1" applyNumberFormat="1" applyFont="1" applyFill="1" applyBorder="1" applyAlignment="1" applyProtection="1">
      <alignment horizontal="right"/>
    </xf>
    <xf numFmtId="3" fontId="15" fillId="0" borderId="21" xfId="0" quotePrefix="1" applyNumberFormat="1" applyFont="1" applyFill="1" applyBorder="1" applyAlignment="1" applyProtection="1">
      <alignment horizontal="right"/>
    </xf>
    <xf numFmtId="49" fontId="10" fillId="0" borderId="5" xfId="0" applyNumberFormat="1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vertical="center"/>
    </xf>
    <xf numFmtId="0" fontId="10" fillId="0" borderId="1" xfId="0" applyNumberFormat="1" applyFont="1" applyFill="1" applyBorder="1" applyAlignment="1" applyProtection="1"/>
    <xf numFmtId="49" fontId="5" fillId="12" borderId="5" xfId="0" applyNumberFormat="1" applyFont="1" applyFill="1" applyBorder="1" applyAlignment="1">
      <alignment horizontal="center" vertical="center" textRotation="90"/>
    </xf>
    <xf numFmtId="49" fontId="5" fillId="12" borderId="0" xfId="0" applyNumberFormat="1" applyFont="1" applyFill="1" applyBorder="1" applyAlignment="1">
      <alignment horizontal="center" vertical="center" textRotation="90"/>
    </xf>
    <xf numFmtId="49" fontId="5" fillId="12" borderId="1" xfId="0" applyNumberFormat="1" applyFont="1" applyFill="1" applyBorder="1" applyAlignment="1">
      <alignment horizontal="center" vertical="center" textRotation="90"/>
    </xf>
    <xf numFmtId="49" fontId="5" fillId="3" borderId="5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Border="1" applyAlignment="1">
      <alignment horizontal="center" vertical="center" textRotation="90" wrapText="1"/>
    </xf>
    <xf numFmtId="49" fontId="5" fillId="3" borderId="1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5" fillId="2" borderId="5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Border="1" applyAlignment="1">
      <alignment horizontal="center" vertical="center" textRotation="90" wrapText="1"/>
    </xf>
    <xf numFmtId="49" fontId="5" fillId="2" borderId="1" xfId="0" applyNumberFormat="1" applyFont="1" applyFill="1" applyBorder="1" applyAlignment="1">
      <alignment horizontal="center" vertical="center" textRotation="90" wrapText="1"/>
    </xf>
    <xf numFmtId="49" fontId="5" fillId="10" borderId="5" xfId="0" applyNumberFormat="1" applyFont="1" applyFill="1" applyBorder="1" applyAlignment="1">
      <alignment horizontal="center" vertical="center" textRotation="90" wrapText="1"/>
    </xf>
    <xf numFmtId="49" fontId="5" fillId="10" borderId="0" xfId="0" applyNumberFormat="1" applyFont="1" applyFill="1" applyBorder="1" applyAlignment="1">
      <alignment horizontal="center" vertical="center" textRotation="90" wrapText="1"/>
    </xf>
    <xf numFmtId="49" fontId="5" fillId="10" borderId="1" xfId="0" applyNumberFormat="1" applyFont="1" applyFill="1" applyBorder="1" applyAlignment="1">
      <alignment horizontal="center" vertical="center" textRotation="90" wrapText="1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6" xfId="0" applyNumberFormat="1" applyFont="1" applyFill="1" applyBorder="1" applyAlignment="1" applyProtection="1">
      <alignment horizontal="center" vertical="center" wrapText="1"/>
    </xf>
    <xf numFmtId="0" fontId="10" fillId="0" borderId="12" xfId="0" applyNumberFormat="1" applyFont="1" applyFill="1" applyBorder="1" applyAlignment="1" applyProtection="1">
      <alignment horizontal="center" vertical="center" wrapText="1"/>
    </xf>
    <xf numFmtId="0" fontId="10" fillId="0" borderId="13" xfId="0" applyNumberFormat="1" applyFont="1" applyFill="1" applyBorder="1" applyAlignment="1" applyProtection="1">
      <alignment horizontal="center" vertical="center" wrapText="1"/>
    </xf>
    <xf numFmtId="0" fontId="10" fillId="0" borderId="9" xfId="0" applyNumberFormat="1" applyFont="1" applyFill="1" applyBorder="1" applyAlignment="1" applyProtection="1">
      <alignment horizontal="center" vertical="center" wrapText="1"/>
    </xf>
    <xf numFmtId="0" fontId="10" fillId="0" borderId="11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7" xfId="0" applyNumberFormat="1" applyFont="1" applyFill="1" applyBorder="1" applyAlignment="1" applyProtection="1">
      <alignment horizontal="center" vertical="center" wrapText="1"/>
    </xf>
    <xf numFmtId="0" fontId="10" fillId="0" borderId="10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35" xfId="0" applyNumberFormat="1" applyFont="1" applyFill="1" applyBorder="1" applyAlignment="1" applyProtection="1">
      <alignment horizontal="center" vertical="center" wrapText="1"/>
    </xf>
    <xf numFmtId="0" fontId="10" fillId="0" borderId="15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3" fontId="14" fillId="0" borderId="29" xfId="0" applyNumberFormat="1" applyFont="1" applyBorder="1" applyAlignment="1">
      <alignment horizontal="right" vertical="center"/>
    </xf>
    <xf numFmtId="3" fontId="14" fillId="0" borderId="7" xfId="0" applyNumberFormat="1" applyFont="1" applyBorder="1" applyAlignment="1">
      <alignment horizontal="right" vertical="center"/>
    </xf>
    <xf numFmtId="3" fontId="14" fillId="0" borderId="0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3" fontId="9" fillId="0" borderId="37" xfId="0" applyNumberFormat="1" applyFont="1" applyFill="1" applyBorder="1" applyAlignment="1" applyProtection="1">
      <alignment horizontal="right" vertical="center" wrapText="1"/>
    </xf>
    <xf numFmtId="0" fontId="9" fillId="0" borderId="13" xfId="0" applyNumberFormat="1" applyFont="1" applyFill="1" applyBorder="1" applyAlignment="1" applyProtection="1">
      <alignment horizontal="right" vertical="center" wrapText="1"/>
    </xf>
    <xf numFmtId="3" fontId="9" fillId="0" borderId="28" xfId="0" applyNumberFormat="1" applyFont="1" applyFill="1" applyBorder="1" applyAlignment="1" applyProtection="1">
      <alignment horizontal="right" vertical="center" wrapText="1"/>
    </xf>
    <xf numFmtId="0" fontId="9" fillId="0" borderId="29" xfId="0" applyNumberFormat="1" applyFont="1" applyFill="1" applyBorder="1" applyAlignment="1" applyProtection="1">
      <alignment horizontal="right" vertical="center" wrapText="1"/>
    </xf>
    <xf numFmtId="0" fontId="10" fillId="0" borderId="5" xfId="0" applyNumberFormat="1" applyFont="1" applyFill="1" applyBorder="1" applyAlignment="1" applyProtection="1">
      <alignment vertical="center" wrapText="1"/>
    </xf>
    <xf numFmtId="0" fontId="10" fillId="0" borderId="10" xfId="0" applyNumberFormat="1" applyFont="1" applyFill="1" applyBorder="1" applyAlignment="1" applyProtection="1">
      <alignment vertical="center" wrapText="1"/>
    </xf>
    <xf numFmtId="0" fontId="9" fillId="0" borderId="27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left"/>
    </xf>
    <xf numFmtId="3" fontId="14" fillId="0" borderId="12" xfId="0" applyNumberFormat="1" applyFont="1" applyBorder="1" applyAlignment="1">
      <alignment horizontal="right" vertical="center"/>
    </xf>
    <xf numFmtId="3" fontId="12" fillId="0" borderId="29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horizontal="right" vertical="center"/>
    </xf>
    <xf numFmtId="0" fontId="10" fillId="0" borderId="0" xfId="0" applyNumberFormat="1" applyFont="1" applyFill="1" applyBorder="1" applyAlignment="1" applyProtection="1">
      <alignment horizontal="right"/>
    </xf>
    <xf numFmtId="0" fontId="10" fillId="0" borderId="0" xfId="0" applyNumberFormat="1" applyFont="1" applyFill="1" applyBorder="1" applyAlignment="1" applyProtection="1">
      <alignment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3" fontId="9" fillId="0" borderId="29" xfId="0" applyNumberFormat="1" applyFont="1" applyFill="1" applyBorder="1" applyAlignment="1" applyProtection="1">
      <alignment horizontal="right" vertical="center"/>
    </xf>
    <xf numFmtId="49" fontId="14" fillId="0" borderId="0" xfId="0" applyNumberFormat="1" applyFont="1" applyBorder="1" applyAlignment="1">
      <alignment horizontal="left" vertical="center"/>
    </xf>
    <xf numFmtId="49" fontId="14" fillId="0" borderId="0" xfId="0" applyNumberFormat="1" applyFont="1" applyBorder="1" applyAlignment="1">
      <alignment horizontal="left" vertical="center" wrapText="1"/>
    </xf>
    <xf numFmtId="3" fontId="9" fillId="0" borderId="8" xfId="0" applyNumberFormat="1" applyFont="1" applyFill="1" applyBorder="1" applyAlignment="1" applyProtection="1">
      <alignment horizontal="right" vertical="center" wrapText="1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32" xfId="0" applyNumberFormat="1" applyFont="1" applyFill="1" applyBorder="1" applyAlignment="1" applyProtection="1">
      <alignment horizontal="right" vertical="center" wrapText="1"/>
    </xf>
    <xf numFmtId="0" fontId="9" fillId="0" borderId="19" xfId="0" applyNumberFormat="1" applyFont="1" applyFill="1" applyBorder="1" applyAlignment="1" applyProtection="1">
      <alignment horizontal="right" vertical="center" wrapText="1"/>
    </xf>
    <xf numFmtId="49" fontId="9" fillId="0" borderId="7" xfId="0" applyNumberFormat="1" applyFont="1" applyFill="1" applyBorder="1" applyAlignment="1" applyProtection="1">
      <alignment horizontal="left" vertical="center" wrapText="1"/>
    </xf>
    <xf numFmtId="49" fontId="9" fillId="0" borderId="27" xfId="0" applyNumberFormat="1" applyFont="1" applyFill="1" applyBorder="1" applyAlignment="1" applyProtection="1">
      <alignment horizontal="left" vertical="center" wrapText="1" indent="1"/>
    </xf>
    <xf numFmtId="49" fontId="9" fillId="0" borderId="0" xfId="0" applyNumberFormat="1" applyFont="1" applyFill="1" applyBorder="1" applyAlignment="1" applyProtection="1">
      <alignment horizontal="left" vertical="center" wrapText="1" inden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8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6" xfId="0" applyNumberFormat="1" applyFont="1" applyFill="1" applyBorder="1" applyAlignment="1" applyProtection="1">
      <alignment vertical="center" wrapText="1"/>
    </xf>
    <xf numFmtId="0" fontId="10" fillId="0" borderId="9" xfId="0" applyNumberFormat="1" applyFont="1" applyFill="1" applyBorder="1" applyAlignment="1" applyProtection="1">
      <alignment vertical="center" wrapText="1"/>
    </xf>
    <xf numFmtId="0" fontId="10" fillId="0" borderId="11" xfId="0" applyNumberFormat="1" applyFont="1" applyFill="1" applyBorder="1" applyAlignment="1" applyProtection="1">
      <alignment vertical="center" wrapText="1"/>
    </xf>
    <xf numFmtId="0" fontId="9" fillId="0" borderId="0" xfId="0" applyNumberFormat="1" applyFont="1" applyFill="1" applyBorder="1" applyAlignment="1" applyProtection="1">
      <alignment horizontal="center" wrapText="1"/>
    </xf>
    <xf numFmtId="0" fontId="10" fillId="0" borderId="1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zoomScale="80" zoomScaleNormal="80" workbookViewId="0">
      <selection sqref="A1:XFD1048576"/>
    </sheetView>
  </sheetViews>
  <sheetFormatPr defaultRowHeight="14.4"/>
  <cols>
    <col min="2" max="2" width="35.6640625" bestFit="1" customWidth="1"/>
  </cols>
  <sheetData>
    <row r="1" spans="1:13">
      <c r="A1" s="1" t="s">
        <v>6</v>
      </c>
      <c r="B1" s="2" t="s">
        <v>207</v>
      </c>
      <c r="C1" s="3"/>
      <c r="D1" s="4"/>
      <c r="E1" s="4"/>
      <c r="F1" s="4"/>
      <c r="G1" s="4"/>
      <c r="H1" s="181" t="s">
        <v>76</v>
      </c>
      <c r="I1" s="5"/>
      <c r="J1" s="3"/>
      <c r="K1" s="3"/>
      <c r="L1" s="3"/>
      <c r="M1" s="6"/>
    </row>
    <row r="2" spans="1:13">
      <c r="A2" s="7" t="s">
        <v>7</v>
      </c>
      <c r="B2" s="8" t="s">
        <v>208</v>
      </c>
      <c r="C2" s="9"/>
      <c r="D2" s="9"/>
      <c r="E2" s="9"/>
      <c r="F2" s="9"/>
      <c r="G2" s="9"/>
      <c r="H2" s="182"/>
      <c r="I2" s="10"/>
      <c r="J2" s="9"/>
      <c r="K2" s="9"/>
      <c r="L2" s="9"/>
      <c r="M2" s="11"/>
    </row>
    <row r="3" spans="1:13">
      <c r="A3" s="7" t="s">
        <v>8</v>
      </c>
      <c r="B3" s="8" t="s">
        <v>209</v>
      </c>
      <c r="C3" s="9"/>
      <c r="D3" s="184" t="s">
        <v>77</v>
      </c>
      <c r="E3" s="184"/>
      <c r="F3" s="184"/>
      <c r="G3" s="184"/>
      <c r="H3" s="182"/>
      <c r="I3" s="10"/>
      <c r="J3" s="9"/>
      <c r="K3" s="9"/>
      <c r="L3" s="9"/>
      <c r="M3" s="11"/>
    </row>
    <row r="4" spans="1:13">
      <c r="A4" s="7" t="s">
        <v>9</v>
      </c>
      <c r="B4" s="8" t="s">
        <v>210</v>
      </c>
      <c r="C4" s="9"/>
      <c r="D4" s="12" t="s">
        <v>78</v>
      </c>
      <c r="E4" s="9"/>
      <c r="F4" s="9"/>
      <c r="G4" s="9"/>
      <c r="H4" s="182"/>
      <c r="I4" s="10"/>
      <c r="J4" s="9"/>
      <c r="K4" s="9"/>
      <c r="L4" s="9"/>
      <c r="M4" s="11"/>
    </row>
    <row r="5" spans="1:13">
      <c r="A5" s="7" t="s">
        <v>10</v>
      </c>
      <c r="B5" s="8" t="s">
        <v>211</v>
      </c>
      <c r="C5" s="9"/>
      <c r="D5" s="9"/>
      <c r="E5" s="9"/>
      <c r="F5" s="9"/>
      <c r="G5" s="9"/>
      <c r="H5" s="182"/>
      <c r="I5" s="10"/>
      <c r="J5" s="9"/>
      <c r="K5" s="9"/>
      <c r="L5" s="9"/>
      <c r="M5" s="11"/>
    </row>
    <row r="6" spans="1:13">
      <c r="A6" s="7" t="s">
        <v>11</v>
      </c>
      <c r="B6" s="8" t="s">
        <v>212</v>
      </c>
      <c r="C6" s="9"/>
      <c r="D6" s="9"/>
      <c r="E6" s="9"/>
      <c r="F6" s="9"/>
      <c r="G6" s="9"/>
      <c r="H6" s="182"/>
      <c r="I6" s="10"/>
      <c r="J6" s="9"/>
      <c r="K6" s="9"/>
      <c r="L6" s="9"/>
      <c r="M6" s="11"/>
    </row>
    <row r="7" spans="1:13">
      <c r="A7" s="13" t="s">
        <v>12</v>
      </c>
      <c r="B7" s="14" t="s">
        <v>213</v>
      </c>
      <c r="C7" s="15"/>
      <c r="D7" s="16"/>
      <c r="E7" s="15"/>
      <c r="F7" s="15"/>
      <c r="G7" s="15"/>
      <c r="H7" s="182"/>
      <c r="I7" s="17"/>
      <c r="J7" s="15"/>
      <c r="K7" s="15"/>
      <c r="L7" s="15"/>
      <c r="M7" s="18"/>
    </row>
    <row r="8" spans="1:13">
      <c r="A8" s="13" t="s">
        <v>13</v>
      </c>
      <c r="B8" s="19" t="s">
        <v>214</v>
      </c>
      <c r="C8" s="15"/>
      <c r="D8" s="15"/>
      <c r="E8" s="15"/>
      <c r="F8" s="15"/>
      <c r="G8" s="15"/>
      <c r="H8" s="182"/>
      <c r="I8" s="17"/>
      <c r="J8" s="19"/>
      <c r="K8" s="20"/>
      <c r="L8" s="15"/>
      <c r="M8" s="18"/>
    </row>
    <row r="9" spans="1:13">
      <c r="A9" s="13" t="s">
        <v>14</v>
      </c>
      <c r="B9" s="19" t="s">
        <v>215</v>
      </c>
      <c r="C9" s="15"/>
      <c r="D9" s="15"/>
      <c r="E9" s="15"/>
      <c r="F9" s="15"/>
      <c r="G9" s="15"/>
      <c r="H9" s="182"/>
      <c r="I9" s="17"/>
      <c r="J9" s="15"/>
      <c r="K9" s="15"/>
      <c r="L9" s="15"/>
      <c r="M9" s="18"/>
    </row>
    <row r="10" spans="1:13">
      <c r="A10" s="13" t="s">
        <v>15</v>
      </c>
      <c r="B10" s="19" t="s">
        <v>216</v>
      </c>
      <c r="C10" s="15"/>
      <c r="D10" s="15"/>
      <c r="E10" s="15"/>
      <c r="F10" s="15"/>
      <c r="G10" s="15"/>
      <c r="H10" s="182"/>
      <c r="I10" s="17"/>
      <c r="J10" s="15"/>
      <c r="K10" s="15"/>
      <c r="L10" s="15"/>
      <c r="M10" s="18"/>
    </row>
    <row r="11" spans="1:13">
      <c r="A11" s="13" t="s">
        <v>16</v>
      </c>
      <c r="B11" s="19" t="s">
        <v>217</v>
      </c>
      <c r="C11" s="15"/>
      <c r="D11" s="21" t="s">
        <v>79</v>
      </c>
      <c r="E11" s="15"/>
      <c r="F11" s="15"/>
      <c r="G11" s="15"/>
      <c r="H11" s="182"/>
      <c r="I11" s="17"/>
      <c r="J11" s="15"/>
      <c r="K11" s="15"/>
      <c r="L11" s="15"/>
      <c r="M11" s="18"/>
    </row>
    <row r="12" spans="1:13">
      <c r="A12" s="13" t="s">
        <v>17</v>
      </c>
      <c r="B12" s="19" t="s">
        <v>218</v>
      </c>
      <c r="C12" s="15"/>
      <c r="D12" s="15"/>
      <c r="E12" s="15"/>
      <c r="F12" s="15"/>
      <c r="G12" s="15"/>
      <c r="H12" s="182"/>
      <c r="I12" s="17"/>
      <c r="J12" s="15"/>
      <c r="K12" s="15"/>
      <c r="L12" s="15"/>
      <c r="M12" s="18"/>
    </row>
    <row r="13" spans="1:13">
      <c r="A13" s="13" t="s">
        <v>18</v>
      </c>
      <c r="B13" s="19" t="s">
        <v>219</v>
      </c>
      <c r="C13" s="15"/>
      <c r="D13" s="15"/>
      <c r="E13" s="15"/>
      <c r="F13" s="15"/>
      <c r="G13" s="15"/>
      <c r="H13" s="182"/>
      <c r="I13" s="17"/>
      <c r="J13" s="15"/>
      <c r="K13" s="15"/>
      <c r="L13" s="15"/>
      <c r="M13" s="18"/>
    </row>
    <row r="14" spans="1:13">
      <c r="A14" s="13" t="s">
        <v>19</v>
      </c>
      <c r="B14" s="19" t="s">
        <v>220</v>
      </c>
      <c r="C14" s="15"/>
      <c r="D14" s="15"/>
      <c r="E14" s="15"/>
      <c r="F14" s="15"/>
      <c r="G14" s="15"/>
      <c r="H14" s="182"/>
      <c r="I14" s="17"/>
      <c r="J14" s="15"/>
      <c r="K14" s="15"/>
      <c r="L14" s="15"/>
      <c r="M14" s="18"/>
    </row>
    <row r="15" spans="1:13">
      <c r="A15" s="13" t="s">
        <v>20</v>
      </c>
      <c r="B15" s="19" t="s">
        <v>221</v>
      </c>
      <c r="C15" s="15"/>
      <c r="D15" s="15"/>
      <c r="E15" s="15"/>
      <c r="F15" s="15"/>
      <c r="G15" s="15"/>
      <c r="H15" s="182"/>
      <c r="I15" s="17"/>
      <c r="J15" s="15"/>
      <c r="K15" s="15"/>
      <c r="L15" s="15"/>
      <c r="M15" s="18"/>
    </row>
    <row r="16" spans="1:13">
      <c r="A16" s="13" t="s">
        <v>21</v>
      </c>
      <c r="B16" s="19" t="s">
        <v>222</v>
      </c>
      <c r="C16" s="15"/>
      <c r="D16" s="15"/>
      <c r="E16" s="15"/>
      <c r="F16" s="15"/>
      <c r="G16" s="15"/>
      <c r="H16" s="182"/>
      <c r="I16" s="17"/>
      <c r="J16" s="15"/>
      <c r="K16" s="15"/>
      <c r="L16" s="15"/>
      <c r="M16" s="18"/>
    </row>
    <row r="17" spans="1:13">
      <c r="A17" s="13" t="s">
        <v>22</v>
      </c>
      <c r="B17" s="19" t="s">
        <v>223</v>
      </c>
      <c r="C17" s="15"/>
      <c r="D17" s="15"/>
      <c r="E17" s="15"/>
      <c r="F17" s="15"/>
      <c r="G17" s="15"/>
      <c r="H17" s="182"/>
      <c r="I17" s="17"/>
      <c r="J17" s="15"/>
      <c r="K17" s="15"/>
      <c r="L17" s="15"/>
      <c r="M17" s="18"/>
    </row>
    <row r="18" spans="1:13">
      <c r="A18" s="22" t="s">
        <v>23</v>
      </c>
      <c r="B18" s="23" t="s">
        <v>224</v>
      </c>
      <c r="C18" s="24"/>
      <c r="D18" s="25"/>
      <c r="E18" s="24"/>
      <c r="F18" s="24"/>
      <c r="G18" s="24"/>
      <c r="H18" s="182"/>
      <c r="I18" s="26"/>
      <c r="J18" s="23"/>
      <c r="K18" s="23"/>
      <c r="L18" s="24"/>
      <c r="M18" s="27"/>
    </row>
    <row r="19" spans="1:13">
      <c r="A19" s="22" t="s">
        <v>24</v>
      </c>
      <c r="B19" s="23" t="s">
        <v>225</v>
      </c>
      <c r="C19" s="24"/>
      <c r="D19" s="24"/>
      <c r="E19" s="24"/>
      <c r="F19" s="24"/>
      <c r="G19" s="24"/>
      <c r="H19" s="182"/>
      <c r="I19" s="26"/>
      <c r="J19" s="23"/>
      <c r="K19" s="23"/>
      <c r="L19" s="24"/>
      <c r="M19" s="27"/>
    </row>
    <row r="20" spans="1:13">
      <c r="A20" s="22" t="s">
        <v>25</v>
      </c>
      <c r="B20" s="23" t="s">
        <v>226</v>
      </c>
      <c r="C20" s="24"/>
      <c r="D20" s="28" t="s">
        <v>80</v>
      </c>
      <c r="E20" s="24"/>
      <c r="F20" s="24"/>
      <c r="G20" s="24"/>
      <c r="H20" s="182"/>
      <c r="I20" s="26"/>
      <c r="J20" s="23"/>
      <c r="K20" s="23"/>
      <c r="L20" s="24"/>
      <c r="M20" s="27"/>
    </row>
    <row r="21" spans="1:13" ht="15" thickBot="1">
      <c r="A21" s="29" t="s">
        <v>26</v>
      </c>
      <c r="B21" s="30" t="s">
        <v>227</v>
      </c>
      <c r="C21" s="31"/>
      <c r="D21" s="31"/>
      <c r="E21" s="31"/>
      <c r="F21" s="31"/>
      <c r="G21" s="31"/>
      <c r="H21" s="183"/>
      <c r="I21" s="32"/>
      <c r="J21" s="30"/>
      <c r="K21" s="30"/>
      <c r="L21" s="31"/>
      <c r="M21" s="33"/>
    </row>
    <row r="22" spans="1:13">
      <c r="A22" s="34" t="s">
        <v>27</v>
      </c>
      <c r="B22" s="35" t="s">
        <v>228</v>
      </c>
      <c r="C22" s="36"/>
      <c r="D22" s="37"/>
      <c r="E22" s="36"/>
      <c r="F22" s="36"/>
      <c r="G22" s="38"/>
      <c r="H22" s="185" t="s">
        <v>81</v>
      </c>
      <c r="I22" s="36"/>
      <c r="J22" s="35"/>
      <c r="K22" s="35"/>
      <c r="L22" s="36"/>
      <c r="M22" s="39"/>
    </row>
    <row r="23" spans="1:13">
      <c r="A23" s="40" t="s">
        <v>28</v>
      </c>
      <c r="B23" s="41" t="s">
        <v>229</v>
      </c>
      <c r="C23" s="42"/>
      <c r="D23" s="42"/>
      <c r="E23" s="42"/>
      <c r="F23" s="42"/>
      <c r="G23" s="43"/>
      <c r="H23" s="186"/>
      <c r="I23" s="42"/>
      <c r="J23" s="41"/>
      <c r="K23" s="41"/>
      <c r="L23" s="42"/>
      <c r="M23" s="44"/>
    </row>
    <row r="24" spans="1:13">
      <c r="A24" s="40" t="s">
        <v>29</v>
      </c>
      <c r="B24" s="41" t="s">
        <v>230</v>
      </c>
      <c r="C24" s="42"/>
      <c r="D24" s="45" t="s">
        <v>82</v>
      </c>
      <c r="E24" s="42"/>
      <c r="F24" s="42"/>
      <c r="G24" s="43"/>
      <c r="H24" s="186"/>
      <c r="I24" s="42"/>
      <c r="J24" s="41"/>
      <c r="K24" s="41"/>
      <c r="L24" s="42"/>
      <c r="M24" s="44"/>
    </row>
    <row r="25" spans="1:13">
      <c r="A25" s="40" t="s">
        <v>30</v>
      </c>
      <c r="B25" s="41" t="s">
        <v>231</v>
      </c>
      <c r="C25" s="42"/>
      <c r="D25" s="42"/>
      <c r="E25" s="42"/>
      <c r="F25" s="42"/>
      <c r="G25" s="43"/>
      <c r="H25" s="186"/>
      <c r="I25" s="42"/>
      <c r="J25" s="41"/>
      <c r="K25" s="41"/>
      <c r="L25" s="42"/>
      <c r="M25" s="44"/>
    </row>
    <row r="26" spans="1:13">
      <c r="A26" s="40" t="s">
        <v>31</v>
      </c>
      <c r="B26" s="41" t="s">
        <v>232</v>
      </c>
      <c r="C26" s="42"/>
      <c r="D26" s="42"/>
      <c r="E26" s="42"/>
      <c r="F26" s="42"/>
      <c r="G26" s="43"/>
      <c r="H26" s="186"/>
      <c r="I26" s="42"/>
      <c r="J26" s="41"/>
      <c r="K26" s="41"/>
      <c r="L26" s="42"/>
      <c r="M26" s="44"/>
    </row>
    <row r="27" spans="1:13">
      <c r="A27" s="46" t="s">
        <v>32</v>
      </c>
      <c r="B27" s="47" t="s">
        <v>233</v>
      </c>
      <c r="C27" s="48"/>
      <c r="D27" s="49"/>
      <c r="E27" s="48"/>
      <c r="F27" s="48"/>
      <c r="G27" s="50"/>
      <c r="H27" s="186"/>
      <c r="I27" s="48"/>
      <c r="J27" s="47"/>
      <c r="K27" s="47"/>
      <c r="L27" s="48"/>
      <c r="M27" s="51"/>
    </row>
    <row r="28" spans="1:13">
      <c r="A28" s="46" t="s">
        <v>33</v>
      </c>
      <c r="B28" s="47" t="s">
        <v>234</v>
      </c>
      <c r="C28" s="48"/>
      <c r="D28" s="48"/>
      <c r="E28" s="48"/>
      <c r="F28" s="48"/>
      <c r="G28" s="50"/>
      <c r="H28" s="186"/>
      <c r="I28" s="48"/>
      <c r="J28" s="47"/>
      <c r="K28" s="47"/>
      <c r="L28" s="48"/>
      <c r="M28" s="51"/>
    </row>
    <row r="29" spans="1:13">
      <c r="A29" s="46" t="s">
        <v>34</v>
      </c>
      <c r="B29" s="47" t="s">
        <v>235</v>
      </c>
      <c r="C29" s="48"/>
      <c r="D29" s="52" t="s">
        <v>83</v>
      </c>
      <c r="E29" s="48"/>
      <c r="F29" s="48"/>
      <c r="G29" s="50"/>
      <c r="H29" s="186"/>
      <c r="I29" s="48"/>
      <c r="J29" s="47"/>
      <c r="K29" s="47"/>
      <c r="L29" s="48"/>
      <c r="M29" s="51"/>
    </row>
    <row r="30" spans="1:13">
      <c r="A30" s="46" t="s">
        <v>35</v>
      </c>
      <c r="B30" s="47" t="s">
        <v>236</v>
      </c>
      <c r="C30" s="48"/>
      <c r="D30" s="48"/>
      <c r="E30" s="48"/>
      <c r="F30" s="48"/>
      <c r="G30" s="50"/>
      <c r="H30" s="186"/>
      <c r="I30" s="48"/>
      <c r="J30" s="47"/>
      <c r="K30" s="47"/>
      <c r="L30" s="48"/>
      <c r="M30" s="51"/>
    </row>
    <row r="31" spans="1:13" ht="15" thickBot="1">
      <c r="A31" s="53" t="s">
        <v>36</v>
      </c>
      <c r="B31" s="54" t="s">
        <v>237</v>
      </c>
      <c r="C31" s="55"/>
      <c r="D31" s="55"/>
      <c r="E31" s="55"/>
      <c r="F31" s="55"/>
      <c r="G31" s="56"/>
      <c r="H31" s="187"/>
      <c r="I31" s="55"/>
      <c r="J31" s="54"/>
      <c r="K31" s="54"/>
      <c r="L31" s="55"/>
      <c r="M31" s="57"/>
    </row>
    <row r="32" spans="1:13">
      <c r="A32" s="58" t="s">
        <v>37</v>
      </c>
      <c r="B32" s="59" t="s">
        <v>238</v>
      </c>
      <c r="C32" s="60"/>
      <c r="D32" s="61"/>
      <c r="E32" s="62"/>
      <c r="F32" s="62"/>
      <c r="G32" s="63"/>
      <c r="H32" s="188" t="s">
        <v>84</v>
      </c>
      <c r="I32" s="62"/>
      <c r="J32" s="61"/>
      <c r="K32" s="61"/>
      <c r="L32" s="62"/>
      <c r="M32" s="64"/>
    </row>
    <row r="33" spans="1:13">
      <c r="A33" s="65" t="s">
        <v>38</v>
      </c>
      <c r="B33" s="66" t="s">
        <v>239</v>
      </c>
      <c r="C33" s="67"/>
      <c r="D33" s="67"/>
      <c r="E33" s="67"/>
      <c r="F33" s="67"/>
      <c r="G33" s="68"/>
      <c r="H33" s="189"/>
      <c r="I33" s="67"/>
      <c r="J33" s="66"/>
      <c r="K33" s="66"/>
      <c r="L33" s="67"/>
      <c r="M33" s="69"/>
    </row>
    <row r="34" spans="1:13">
      <c r="A34" s="65" t="s">
        <v>39</v>
      </c>
      <c r="B34" s="66" t="s">
        <v>240</v>
      </c>
      <c r="C34" s="67"/>
      <c r="D34" s="70" t="s">
        <v>85</v>
      </c>
      <c r="E34" s="67"/>
      <c r="F34" s="67"/>
      <c r="G34" s="68"/>
      <c r="H34" s="189"/>
      <c r="I34" s="67"/>
      <c r="J34" s="66"/>
      <c r="K34" s="66"/>
      <c r="L34" s="67"/>
      <c r="M34" s="69"/>
    </row>
    <row r="35" spans="1:13">
      <c r="A35" s="65" t="s">
        <v>40</v>
      </c>
      <c r="B35" s="66" t="s">
        <v>241</v>
      </c>
      <c r="C35" s="67"/>
      <c r="D35" s="67"/>
      <c r="E35" s="67"/>
      <c r="F35" s="67"/>
      <c r="G35" s="68"/>
      <c r="H35" s="189"/>
      <c r="I35" s="67"/>
      <c r="J35" s="66"/>
      <c r="K35" s="66"/>
      <c r="L35" s="67"/>
      <c r="M35" s="69"/>
    </row>
    <row r="36" spans="1:13">
      <c r="A36" s="65" t="s">
        <v>41</v>
      </c>
      <c r="B36" s="66" t="s">
        <v>242</v>
      </c>
      <c r="C36" s="67"/>
      <c r="D36" s="67"/>
      <c r="E36" s="67"/>
      <c r="F36" s="67"/>
      <c r="G36" s="68"/>
      <c r="H36" s="189"/>
      <c r="I36" s="67"/>
      <c r="J36" s="66"/>
      <c r="K36" s="66"/>
      <c r="L36" s="67"/>
      <c r="M36" s="69"/>
    </row>
    <row r="37" spans="1:13">
      <c r="A37" s="71" t="s">
        <v>42</v>
      </c>
      <c r="B37" s="72" t="s">
        <v>243</v>
      </c>
      <c r="C37" s="73"/>
      <c r="D37" s="74"/>
      <c r="E37" s="73"/>
      <c r="F37" s="73"/>
      <c r="G37" s="75"/>
      <c r="H37" s="189"/>
      <c r="I37" s="73"/>
      <c r="J37" s="72"/>
      <c r="K37" s="72"/>
      <c r="L37" s="73"/>
      <c r="M37" s="76"/>
    </row>
    <row r="38" spans="1:13">
      <c r="A38" s="71" t="s">
        <v>43</v>
      </c>
      <c r="B38" s="72" t="s">
        <v>244</v>
      </c>
      <c r="C38" s="73"/>
      <c r="D38" s="77" t="s">
        <v>86</v>
      </c>
      <c r="E38" s="73"/>
      <c r="F38" s="73"/>
      <c r="G38" s="75"/>
      <c r="H38" s="189"/>
      <c r="I38" s="73"/>
      <c r="J38" s="72"/>
      <c r="K38" s="72"/>
      <c r="L38" s="73"/>
      <c r="M38" s="76"/>
    </row>
    <row r="39" spans="1:13">
      <c r="A39" s="71" t="s">
        <v>44</v>
      </c>
      <c r="B39" s="72" t="s">
        <v>245</v>
      </c>
      <c r="C39" s="73"/>
      <c r="D39" s="73"/>
      <c r="E39" s="73"/>
      <c r="F39" s="73"/>
      <c r="G39" s="75"/>
      <c r="H39" s="189"/>
      <c r="I39" s="73"/>
      <c r="J39" s="72"/>
      <c r="K39" s="72"/>
      <c r="L39" s="73"/>
      <c r="M39" s="76"/>
    </row>
    <row r="40" spans="1:13">
      <c r="A40" s="108" t="s">
        <v>45</v>
      </c>
      <c r="B40" s="109" t="s">
        <v>246</v>
      </c>
      <c r="C40" s="110"/>
      <c r="D40" s="111"/>
      <c r="E40" s="112"/>
      <c r="F40" s="112"/>
      <c r="G40" s="113"/>
      <c r="H40" s="189"/>
      <c r="I40" s="110"/>
      <c r="J40" s="109"/>
      <c r="K40" s="109"/>
      <c r="L40" s="110"/>
      <c r="M40" s="118"/>
    </row>
    <row r="41" spans="1:13">
      <c r="A41" s="108" t="s">
        <v>46</v>
      </c>
      <c r="B41" s="109" t="s">
        <v>247</v>
      </c>
      <c r="C41" s="110"/>
      <c r="D41" s="110"/>
      <c r="E41" s="110"/>
      <c r="F41" s="110"/>
      <c r="G41" s="113"/>
      <c r="H41" s="189"/>
      <c r="I41" s="110"/>
      <c r="J41" s="109"/>
      <c r="K41" s="109"/>
      <c r="L41" s="110"/>
      <c r="M41" s="118"/>
    </row>
    <row r="42" spans="1:13">
      <c r="A42" s="108" t="s">
        <v>47</v>
      </c>
      <c r="B42" s="109" t="s">
        <v>248</v>
      </c>
      <c r="C42" s="110"/>
      <c r="D42" s="111" t="s">
        <v>87</v>
      </c>
      <c r="E42" s="110"/>
      <c r="F42" s="110"/>
      <c r="G42" s="113"/>
      <c r="H42" s="189"/>
      <c r="I42" s="110"/>
      <c r="J42" s="109"/>
      <c r="K42" s="109"/>
      <c r="L42" s="110"/>
      <c r="M42" s="118"/>
    </row>
    <row r="43" spans="1:13">
      <c r="A43" s="108" t="s">
        <v>48</v>
      </c>
      <c r="B43" s="109" t="s">
        <v>249</v>
      </c>
      <c r="C43" s="110"/>
      <c r="D43" s="110"/>
      <c r="E43" s="110"/>
      <c r="F43" s="110"/>
      <c r="G43" s="113"/>
      <c r="H43" s="189"/>
      <c r="I43" s="110"/>
      <c r="J43" s="109"/>
      <c r="K43" s="109"/>
      <c r="L43" s="110"/>
      <c r="M43" s="118"/>
    </row>
    <row r="44" spans="1:13" ht="15" thickBot="1">
      <c r="A44" s="114" t="s">
        <v>49</v>
      </c>
      <c r="B44" s="115" t="s">
        <v>250</v>
      </c>
      <c r="C44" s="116"/>
      <c r="D44" s="116"/>
      <c r="E44" s="116"/>
      <c r="F44" s="116"/>
      <c r="G44" s="117"/>
      <c r="H44" s="190"/>
      <c r="I44" s="116"/>
      <c r="J44" s="115"/>
      <c r="K44" s="115"/>
      <c r="L44" s="116"/>
      <c r="M44" s="119"/>
    </row>
    <row r="45" spans="1:13">
      <c r="A45" s="58" t="s">
        <v>88</v>
      </c>
      <c r="B45" s="59" t="s">
        <v>251</v>
      </c>
      <c r="C45" s="60"/>
      <c r="D45" s="60"/>
      <c r="E45" s="78"/>
      <c r="F45" s="60"/>
      <c r="G45" s="60"/>
      <c r="H45" s="181" t="s">
        <v>89</v>
      </c>
      <c r="I45" s="60"/>
      <c r="J45" s="59"/>
      <c r="K45" s="59"/>
      <c r="L45" s="60"/>
      <c r="M45" s="79"/>
    </row>
    <row r="46" spans="1:13">
      <c r="A46" s="65" t="s">
        <v>50</v>
      </c>
      <c r="B46" s="66" t="s">
        <v>252</v>
      </c>
      <c r="C46" s="67"/>
      <c r="D46" s="67"/>
      <c r="E46" s="67"/>
      <c r="F46" s="67"/>
      <c r="G46" s="67"/>
      <c r="H46" s="182"/>
      <c r="I46" s="67"/>
      <c r="J46" s="66"/>
      <c r="K46" s="66"/>
      <c r="L46" s="67"/>
      <c r="M46" s="69"/>
    </row>
    <row r="47" spans="1:13">
      <c r="A47" s="65" t="s">
        <v>90</v>
      </c>
      <c r="B47" s="66" t="s">
        <v>253</v>
      </c>
      <c r="C47" s="67"/>
      <c r="D47" s="67"/>
      <c r="E47" s="67"/>
      <c r="F47" s="67"/>
      <c r="G47" s="67"/>
      <c r="H47" s="182"/>
      <c r="I47" s="67"/>
      <c r="J47" s="66"/>
      <c r="K47" s="66"/>
      <c r="L47" s="67"/>
      <c r="M47" s="69"/>
    </row>
    <row r="48" spans="1:13">
      <c r="A48" s="65" t="s">
        <v>91</v>
      </c>
      <c r="B48" s="66" t="s">
        <v>254</v>
      </c>
      <c r="C48" s="67"/>
      <c r="D48" s="67"/>
      <c r="E48" s="67"/>
      <c r="F48" s="67"/>
      <c r="G48" s="67"/>
      <c r="H48" s="182"/>
      <c r="I48" s="67"/>
      <c r="J48" s="66"/>
      <c r="K48" s="66"/>
      <c r="L48" s="67"/>
      <c r="M48" s="69"/>
    </row>
    <row r="49" spans="1:13">
      <c r="A49" s="65" t="s">
        <v>51</v>
      </c>
      <c r="B49" s="66" t="s">
        <v>255</v>
      </c>
      <c r="C49" s="67"/>
      <c r="D49" s="67"/>
      <c r="E49" s="80" t="s">
        <v>92</v>
      </c>
      <c r="F49" s="67"/>
      <c r="G49" s="67"/>
      <c r="H49" s="182"/>
      <c r="I49" s="67"/>
      <c r="J49" s="66"/>
      <c r="K49" s="66"/>
      <c r="L49" s="67"/>
      <c r="M49" s="69"/>
    </row>
    <row r="50" spans="1:13">
      <c r="A50" s="65" t="s">
        <v>52</v>
      </c>
      <c r="B50" s="66" t="s">
        <v>256</v>
      </c>
      <c r="C50" s="67"/>
      <c r="D50" s="67"/>
      <c r="E50" s="67"/>
      <c r="F50" s="67"/>
      <c r="G50" s="67"/>
      <c r="H50" s="182"/>
      <c r="I50" s="67"/>
      <c r="J50" s="66"/>
      <c r="K50" s="66"/>
      <c r="L50" s="67"/>
      <c r="M50" s="69"/>
    </row>
    <row r="51" spans="1:13">
      <c r="A51" s="65" t="s">
        <v>93</v>
      </c>
      <c r="B51" s="66" t="s">
        <v>257</v>
      </c>
      <c r="C51" s="67"/>
      <c r="D51" s="67"/>
      <c r="E51" s="67"/>
      <c r="F51" s="67"/>
      <c r="G51" s="67"/>
      <c r="H51" s="182"/>
      <c r="I51" s="67"/>
      <c r="J51" s="66"/>
      <c r="K51" s="66"/>
      <c r="L51" s="67"/>
      <c r="M51" s="69"/>
    </row>
    <row r="52" spans="1:13" ht="15" thickBot="1">
      <c r="A52" s="81" t="s">
        <v>53</v>
      </c>
      <c r="B52" s="82" t="s">
        <v>258</v>
      </c>
      <c r="C52" s="83"/>
      <c r="D52" s="83"/>
      <c r="E52" s="83"/>
      <c r="F52" s="83"/>
      <c r="G52" s="83"/>
      <c r="H52" s="183"/>
      <c r="I52" s="83"/>
      <c r="J52" s="82"/>
      <c r="K52" s="82"/>
      <c r="L52" s="83"/>
      <c r="M52" s="84"/>
    </row>
    <row r="53" spans="1:13">
      <c r="A53" s="1" t="s">
        <v>54</v>
      </c>
      <c r="B53" s="85" t="s">
        <v>259</v>
      </c>
      <c r="C53" s="3"/>
      <c r="D53" s="86"/>
      <c r="E53" s="3"/>
      <c r="F53" s="3"/>
      <c r="G53" s="3"/>
      <c r="H53" s="178" t="s">
        <v>94</v>
      </c>
      <c r="I53" s="3"/>
      <c r="J53" s="85"/>
      <c r="K53" s="85"/>
      <c r="L53" s="3"/>
      <c r="M53" s="6"/>
    </row>
    <row r="54" spans="1:13">
      <c r="A54" s="7" t="s">
        <v>55</v>
      </c>
      <c r="B54" s="87" t="s">
        <v>260</v>
      </c>
      <c r="C54" s="9"/>
      <c r="D54" s="9"/>
      <c r="E54" s="9"/>
      <c r="F54" s="9"/>
      <c r="G54" s="9"/>
      <c r="H54" s="179"/>
      <c r="I54" s="9"/>
      <c r="J54" s="87"/>
      <c r="K54" s="87"/>
      <c r="L54" s="9"/>
      <c r="M54" s="11"/>
    </row>
    <row r="55" spans="1:13">
      <c r="A55" s="7" t="s">
        <v>56</v>
      </c>
      <c r="B55" s="87" t="s">
        <v>261</v>
      </c>
      <c r="C55" s="9"/>
      <c r="D55" s="88" t="s">
        <v>95</v>
      </c>
      <c r="E55" s="9"/>
      <c r="F55" s="9"/>
      <c r="G55" s="9"/>
      <c r="H55" s="179"/>
      <c r="I55" s="9"/>
      <c r="J55" s="87"/>
      <c r="K55" s="87"/>
      <c r="L55" s="9"/>
      <c r="M55" s="11"/>
    </row>
    <row r="56" spans="1:13">
      <c r="A56" s="7" t="s">
        <v>57</v>
      </c>
      <c r="B56" s="87" t="s">
        <v>262</v>
      </c>
      <c r="C56" s="9"/>
      <c r="D56" s="9"/>
      <c r="E56" s="9"/>
      <c r="F56" s="9"/>
      <c r="G56" s="9"/>
      <c r="H56" s="179"/>
      <c r="I56" s="9"/>
      <c r="J56" s="87"/>
      <c r="K56" s="87"/>
      <c r="L56" s="9"/>
      <c r="M56" s="11"/>
    </row>
    <row r="57" spans="1:13">
      <c r="A57" s="7" t="s">
        <v>58</v>
      </c>
      <c r="B57" s="87" t="s">
        <v>263</v>
      </c>
      <c r="C57" s="9"/>
      <c r="D57" s="9"/>
      <c r="E57" s="9"/>
      <c r="F57" s="9"/>
      <c r="G57" s="9"/>
      <c r="H57" s="179"/>
      <c r="I57" s="9"/>
      <c r="J57" s="87"/>
      <c r="K57" s="87"/>
      <c r="L57" s="9"/>
      <c r="M57" s="11"/>
    </row>
    <row r="58" spans="1:13">
      <c r="A58" s="46" t="s">
        <v>59</v>
      </c>
      <c r="B58" s="47" t="s">
        <v>264</v>
      </c>
      <c r="C58" s="48"/>
      <c r="D58" s="49"/>
      <c r="E58" s="48"/>
      <c r="F58" s="48"/>
      <c r="G58" s="48"/>
      <c r="H58" s="179"/>
      <c r="I58" s="48"/>
      <c r="J58" s="47"/>
      <c r="K58" s="47"/>
      <c r="L58" s="48"/>
      <c r="M58" s="51"/>
    </row>
    <row r="59" spans="1:13">
      <c r="A59" s="46" t="s">
        <v>60</v>
      </c>
      <c r="B59" s="47" t="s">
        <v>265</v>
      </c>
      <c r="C59" s="48"/>
      <c r="D59" s="48"/>
      <c r="E59" s="48"/>
      <c r="F59" s="48"/>
      <c r="G59" s="48"/>
      <c r="H59" s="179"/>
      <c r="I59" s="48"/>
      <c r="J59" s="47"/>
      <c r="K59" s="47"/>
      <c r="L59" s="48"/>
      <c r="M59" s="51"/>
    </row>
    <row r="60" spans="1:13">
      <c r="A60" s="46" t="s">
        <v>61</v>
      </c>
      <c r="B60" s="47" t="s">
        <v>266</v>
      </c>
      <c r="C60" s="48"/>
      <c r="D60" s="48"/>
      <c r="E60" s="48"/>
      <c r="F60" s="48"/>
      <c r="G60" s="48"/>
      <c r="H60" s="179"/>
      <c r="I60" s="48"/>
      <c r="J60" s="47"/>
      <c r="K60" s="47"/>
      <c r="L60" s="48"/>
      <c r="M60" s="51"/>
    </row>
    <row r="61" spans="1:13">
      <c r="A61" s="46" t="s">
        <v>62</v>
      </c>
      <c r="B61" s="47" t="s">
        <v>267</v>
      </c>
      <c r="C61" s="48"/>
      <c r="D61" s="48"/>
      <c r="E61" s="48"/>
      <c r="F61" s="48"/>
      <c r="G61" s="48"/>
      <c r="H61" s="179"/>
      <c r="I61" s="48"/>
      <c r="J61" s="47"/>
      <c r="K61" s="47"/>
      <c r="L61" s="48"/>
      <c r="M61" s="51"/>
    </row>
    <row r="62" spans="1:13">
      <c r="A62" s="46" t="s">
        <v>63</v>
      </c>
      <c r="B62" s="47" t="s">
        <v>268</v>
      </c>
      <c r="C62" s="48"/>
      <c r="D62" s="48"/>
      <c r="E62" s="48"/>
      <c r="F62" s="48"/>
      <c r="G62" s="48"/>
      <c r="H62" s="179"/>
      <c r="I62" s="48"/>
      <c r="J62" s="47"/>
      <c r="K62" s="47"/>
      <c r="L62" s="48"/>
      <c r="M62" s="51"/>
    </row>
    <row r="63" spans="1:13">
      <c r="A63" s="46" t="s">
        <v>64</v>
      </c>
      <c r="B63" s="47" t="s">
        <v>269</v>
      </c>
      <c r="C63" s="48"/>
      <c r="D63" s="52" t="s">
        <v>96</v>
      </c>
      <c r="E63" s="48"/>
      <c r="F63" s="48"/>
      <c r="G63" s="48"/>
      <c r="H63" s="179"/>
      <c r="I63" s="48"/>
      <c r="J63" s="47"/>
      <c r="K63" s="47"/>
      <c r="L63" s="48"/>
      <c r="M63" s="51"/>
    </row>
    <row r="64" spans="1:13">
      <c r="A64" s="46" t="s">
        <v>65</v>
      </c>
      <c r="B64" s="47" t="s">
        <v>270</v>
      </c>
      <c r="C64" s="48"/>
      <c r="D64" s="48"/>
      <c r="E64" s="48"/>
      <c r="F64" s="48"/>
      <c r="G64" s="48"/>
      <c r="H64" s="179"/>
      <c r="I64" s="48"/>
      <c r="J64" s="47"/>
      <c r="K64" s="47"/>
      <c r="L64" s="48"/>
      <c r="M64" s="51"/>
    </row>
    <row r="65" spans="1:13">
      <c r="A65" s="46" t="s">
        <v>66</v>
      </c>
      <c r="B65" s="47" t="s">
        <v>271</v>
      </c>
      <c r="C65" s="48"/>
      <c r="D65" s="48"/>
      <c r="E65" s="48"/>
      <c r="F65" s="48"/>
      <c r="G65" s="48"/>
      <c r="H65" s="179"/>
      <c r="I65" s="48"/>
      <c r="J65" s="47"/>
      <c r="K65" s="47"/>
      <c r="L65" s="48"/>
      <c r="M65" s="51"/>
    </row>
    <row r="66" spans="1:13">
      <c r="A66" s="46" t="s">
        <v>67</v>
      </c>
      <c r="B66" s="47" t="s">
        <v>272</v>
      </c>
      <c r="C66" s="48"/>
      <c r="D66" s="48"/>
      <c r="E66" s="48"/>
      <c r="F66" s="48"/>
      <c r="G66" s="48"/>
      <c r="H66" s="179"/>
      <c r="I66" s="48"/>
      <c r="J66" s="47"/>
      <c r="K66" s="47"/>
      <c r="L66" s="48"/>
      <c r="M66" s="51"/>
    </row>
    <row r="67" spans="1:13">
      <c r="A67" s="46" t="s">
        <v>68</v>
      </c>
      <c r="B67" s="47" t="s">
        <v>273</v>
      </c>
      <c r="C67" s="48"/>
      <c r="D67" s="48"/>
      <c r="E67" s="48"/>
      <c r="F67" s="48"/>
      <c r="G67" s="48"/>
      <c r="H67" s="179"/>
      <c r="I67" s="48"/>
      <c r="J67" s="47"/>
      <c r="K67" s="47"/>
      <c r="L67" s="48"/>
      <c r="M67" s="51"/>
    </row>
    <row r="68" spans="1:13">
      <c r="A68" s="46" t="s">
        <v>69</v>
      </c>
      <c r="B68" s="47" t="s">
        <v>274</v>
      </c>
      <c r="C68" s="48"/>
      <c r="D68" s="48"/>
      <c r="E68" s="48"/>
      <c r="F68" s="48"/>
      <c r="G68" s="48"/>
      <c r="H68" s="179"/>
      <c r="I68" s="48"/>
      <c r="J68" s="47"/>
      <c r="K68" s="47"/>
      <c r="L68" s="48"/>
      <c r="M68" s="51"/>
    </row>
    <row r="69" spans="1:13">
      <c r="A69" s="46" t="s">
        <v>70</v>
      </c>
      <c r="B69" s="47" t="s">
        <v>275</v>
      </c>
      <c r="C69" s="48"/>
      <c r="D69" s="48"/>
      <c r="E69" s="48"/>
      <c r="F69" s="48"/>
      <c r="G69" s="48"/>
      <c r="H69" s="179"/>
      <c r="I69" s="48"/>
      <c r="J69" s="47"/>
      <c r="K69" s="47"/>
      <c r="L69" s="48"/>
      <c r="M69" s="51"/>
    </row>
    <row r="70" spans="1:13" ht="15" thickBot="1">
      <c r="A70" s="53" t="s">
        <v>71</v>
      </c>
      <c r="B70" s="54" t="s">
        <v>276</v>
      </c>
      <c r="C70" s="55"/>
      <c r="D70" s="55"/>
      <c r="E70" s="55"/>
      <c r="F70" s="55"/>
      <c r="G70" s="55"/>
      <c r="H70" s="180"/>
      <c r="I70" s="55"/>
      <c r="J70" s="54"/>
      <c r="K70" s="54"/>
      <c r="L70" s="55"/>
      <c r="M70" s="57"/>
    </row>
    <row r="71" spans="1:13">
      <c r="A71" s="89" t="s">
        <v>72</v>
      </c>
      <c r="B71" s="90" t="s">
        <v>277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>
      <c r="A72" s="13" t="s">
        <v>73</v>
      </c>
      <c r="B72" s="90" t="s">
        <v>278</v>
      </c>
      <c r="C72" s="15"/>
      <c r="D72" s="15"/>
      <c r="E72" s="15"/>
      <c r="F72" s="15"/>
      <c r="G72" s="15"/>
      <c r="H72" s="95" t="s">
        <v>97</v>
      </c>
      <c r="I72" s="96"/>
      <c r="J72" s="97"/>
      <c r="K72" s="97"/>
      <c r="L72" s="15"/>
      <c r="M72" s="18"/>
    </row>
    <row r="73" spans="1:13">
      <c r="A73" s="13" t="s">
        <v>74</v>
      </c>
      <c r="B73" s="90" t="s">
        <v>279</v>
      </c>
      <c r="C73" s="15"/>
      <c r="D73" s="21" t="s">
        <v>98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98" t="s">
        <v>75</v>
      </c>
      <c r="B74" s="90" t="s">
        <v>280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" thickBot="1">
      <c r="A75" s="102" t="s">
        <v>99</v>
      </c>
      <c r="B75" s="103" t="s">
        <v>281</v>
      </c>
      <c r="C75" s="104"/>
      <c r="D75" s="105" t="s">
        <v>100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33"/>
  <sheetViews>
    <sheetView showGridLines="0" tabSelected="1" topLeftCell="O1" zoomScale="115" zoomScaleNormal="115" workbookViewId="0">
      <selection activeCell="P12" sqref="P12"/>
    </sheetView>
  </sheetViews>
  <sheetFormatPr defaultRowHeight="10.199999999999999"/>
  <cols>
    <col min="1" max="1" width="18.5546875" style="123" customWidth="1"/>
    <col min="2" max="6" width="11.21875" style="123" customWidth="1"/>
    <col min="7" max="12" width="12.88671875" style="123" customWidth="1"/>
    <col min="13" max="16" width="19.6640625" style="123" customWidth="1"/>
    <col min="17" max="18" width="7.6640625" style="123" customWidth="1"/>
    <col min="19" max="20" width="8" style="123" customWidth="1"/>
    <col min="21" max="23" width="9.6640625" style="123" customWidth="1"/>
    <col min="24" max="24" width="7.109375" style="123" customWidth="1"/>
    <col min="25" max="26" width="10.109375" style="123" customWidth="1"/>
    <col min="27" max="16384" width="8.88671875" style="123"/>
  </cols>
  <sheetData>
    <row r="1" spans="1:26" ht="14.4" customHeight="1">
      <c r="A1" s="120" t="s">
        <v>0</v>
      </c>
      <c r="B1" s="120"/>
      <c r="C1" s="120"/>
      <c r="D1" s="120"/>
      <c r="E1" s="120"/>
      <c r="F1" s="120"/>
      <c r="G1" s="249" t="s">
        <v>1</v>
      </c>
      <c r="H1" s="249"/>
      <c r="I1" s="249"/>
      <c r="J1" s="249"/>
      <c r="K1" s="249"/>
      <c r="L1" s="249"/>
      <c r="M1" s="217" t="s">
        <v>205</v>
      </c>
      <c r="N1" s="217"/>
      <c r="O1" s="217"/>
      <c r="P1" s="217"/>
      <c r="Q1" s="192" t="s">
        <v>206</v>
      </c>
      <c r="R1" s="192"/>
      <c r="S1" s="192"/>
      <c r="T1" s="192"/>
      <c r="U1" s="192"/>
      <c r="V1" s="192"/>
      <c r="W1" s="192"/>
      <c r="X1" s="192"/>
      <c r="Y1" s="192"/>
      <c r="Z1" s="126"/>
    </row>
    <row r="2" spans="1:26" ht="28.2" customHeight="1">
      <c r="A2" s="214" t="s">
        <v>288</v>
      </c>
      <c r="B2" s="214"/>
      <c r="C2" s="214"/>
      <c r="D2" s="214"/>
      <c r="E2" s="214"/>
      <c r="F2" s="214"/>
      <c r="G2" s="225" t="s">
        <v>289</v>
      </c>
      <c r="H2" s="225"/>
      <c r="I2" s="225"/>
      <c r="J2" s="225"/>
      <c r="K2" s="225"/>
      <c r="L2" s="225"/>
      <c r="M2" s="217"/>
      <c r="N2" s="217"/>
      <c r="O2" s="217"/>
      <c r="P2" s="217"/>
      <c r="Q2" s="192"/>
      <c r="R2" s="192"/>
      <c r="S2" s="192"/>
      <c r="T2" s="192"/>
      <c r="U2" s="192"/>
      <c r="V2" s="192"/>
      <c r="W2" s="192"/>
      <c r="X2" s="192"/>
      <c r="Y2" s="192"/>
      <c r="Z2" s="126"/>
    </row>
    <row r="3" spans="1:26" ht="15" customHeight="1" thickBot="1">
      <c r="A3" s="127" t="s">
        <v>2</v>
      </c>
      <c r="B3" s="127"/>
      <c r="C3" s="127"/>
      <c r="D3" s="127"/>
      <c r="E3" s="127"/>
      <c r="F3" s="127"/>
      <c r="G3" s="250" t="s">
        <v>3</v>
      </c>
      <c r="H3" s="250"/>
      <c r="I3" s="250"/>
      <c r="J3" s="250"/>
      <c r="K3" s="250"/>
      <c r="L3" s="250"/>
      <c r="M3" s="226" t="s">
        <v>2</v>
      </c>
      <c r="N3" s="226"/>
      <c r="O3" s="226"/>
      <c r="P3" s="226"/>
      <c r="Q3" s="177" t="s">
        <v>3</v>
      </c>
      <c r="R3" s="177"/>
      <c r="S3" s="177"/>
      <c r="T3" s="177"/>
      <c r="U3" s="177"/>
      <c r="V3" s="177"/>
      <c r="W3" s="177"/>
      <c r="X3" s="177"/>
      <c r="Y3" s="177"/>
      <c r="Z3" s="128"/>
    </row>
    <row r="4" spans="1:26">
      <c r="A4" s="201" t="s">
        <v>282</v>
      </c>
      <c r="B4" s="243" t="s">
        <v>4</v>
      </c>
      <c r="C4" s="194" t="s">
        <v>290</v>
      </c>
      <c r="D4" s="222"/>
      <c r="E4" s="222"/>
      <c r="F4" s="246"/>
      <c r="G4" s="194" t="s">
        <v>293</v>
      </c>
      <c r="H4" s="195"/>
      <c r="I4" s="194" t="s">
        <v>294</v>
      </c>
      <c r="J4" s="195"/>
      <c r="K4" s="194" t="s">
        <v>295</v>
      </c>
      <c r="L4" s="195"/>
      <c r="M4" s="200" t="s">
        <v>128</v>
      </c>
      <c r="N4" s="222"/>
      <c r="O4" s="222"/>
      <c r="P4" s="222"/>
      <c r="Q4" s="194" t="s">
        <v>283</v>
      </c>
      <c r="R4" s="195"/>
      <c r="S4" s="194" t="s">
        <v>129</v>
      </c>
      <c r="T4" s="195"/>
      <c r="U4" s="200" t="s">
        <v>285</v>
      </c>
      <c r="V4" s="201"/>
      <c r="W4" s="202" t="s">
        <v>5</v>
      </c>
      <c r="X4" s="202"/>
      <c r="Y4" s="202"/>
    </row>
    <row r="5" spans="1:26">
      <c r="A5" s="203"/>
      <c r="B5" s="244"/>
      <c r="C5" s="247"/>
      <c r="D5" s="223"/>
      <c r="E5" s="223"/>
      <c r="F5" s="248"/>
      <c r="G5" s="196"/>
      <c r="H5" s="197"/>
      <c r="I5" s="196"/>
      <c r="J5" s="197"/>
      <c r="K5" s="196"/>
      <c r="L5" s="197"/>
      <c r="M5" s="223"/>
      <c r="N5" s="223"/>
      <c r="O5" s="223"/>
      <c r="P5" s="223"/>
      <c r="Q5" s="196"/>
      <c r="R5" s="197"/>
      <c r="S5" s="196"/>
      <c r="T5" s="197"/>
      <c r="U5" s="202"/>
      <c r="V5" s="203"/>
      <c r="W5" s="202"/>
      <c r="X5" s="202"/>
      <c r="Y5" s="202"/>
    </row>
    <row r="6" spans="1:26" ht="30.6" customHeight="1">
      <c r="A6" s="203"/>
      <c r="B6" s="244"/>
      <c r="C6" s="208" t="s">
        <v>291</v>
      </c>
      <c r="D6" s="207"/>
      <c r="E6" s="208" t="s">
        <v>292</v>
      </c>
      <c r="F6" s="207"/>
      <c r="G6" s="198"/>
      <c r="H6" s="199"/>
      <c r="I6" s="198"/>
      <c r="J6" s="199"/>
      <c r="K6" s="198"/>
      <c r="L6" s="199"/>
      <c r="M6" s="206" t="s">
        <v>296</v>
      </c>
      <c r="N6" s="207"/>
      <c r="O6" s="208" t="s">
        <v>297</v>
      </c>
      <c r="P6" s="206"/>
      <c r="Q6" s="198"/>
      <c r="R6" s="199"/>
      <c r="S6" s="198"/>
      <c r="T6" s="199"/>
      <c r="U6" s="204"/>
      <c r="V6" s="205"/>
      <c r="W6" s="202"/>
      <c r="X6" s="202"/>
      <c r="Y6" s="202"/>
    </row>
    <row r="7" spans="1:26">
      <c r="A7" s="205"/>
      <c r="B7" s="245"/>
      <c r="C7" s="121">
        <v>1</v>
      </c>
      <c r="D7" s="121">
        <v>2</v>
      </c>
      <c r="E7" s="121">
        <v>1</v>
      </c>
      <c r="F7" s="121">
        <v>2</v>
      </c>
      <c r="G7" s="121">
        <v>1</v>
      </c>
      <c r="H7" s="121">
        <v>2</v>
      </c>
      <c r="I7" s="121">
        <v>1</v>
      </c>
      <c r="J7" s="121">
        <v>2</v>
      </c>
      <c r="K7" s="121">
        <v>1</v>
      </c>
      <c r="L7" s="121">
        <v>2</v>
      </c>
      <c r="M7" s="130">
        <v>1</v>
      </c>
      <c r="N7" s="121">
        <v>2</v>
      </c>
      <c r="O7" s="121">
        <v>1</v>
      </c>
      <c r="P7" s="129">
        <v>2</v>
      </c>
      <c r="Q7" s="130">
        <v>1</v>
      </c>
      <c r="R7" s="121">
        <v>2</v>
      </c>
      <c r="S7" s="121">
        <v>1</v>
      </c>
      <c r="T7" s="131">
        <v>2</v>
      </c>
      <c r="U7" s="121">
        <v>1</v>
      </c>
      <c r="V7" s="129">
        <v>2</v>
      </c>
      <c r="W7" s="204"/>
      <c r="X7" s="204"/>
      <c r="Y7" s="204"/>
    </row>
    <row r="8" spans="1:26" ht="11.4" customHeight="1">
      <c r="A8" s="241" t="s">
        <v>101</v>
      </c>
      <c r="B8" s="238">
        <v>11160912</v>
      </c>
      <c r="C8" s="220">
        <v>1563268</v>
      </c>
      <c r="D8" s="218">
        <v>441474.82299999997</v>
      </c>
      <c r="E8" s="218">
        <v>5314956</v>
      </c>
      <c r="F8" s="218">
        <v>1415953.9819999994</v>
      </c>
      <c r="G8" s="218">
        <v>1211678</v>
      </c>
      <c r="H8" s="218">
        <v>319002.75800000003</v>
      </c>
      <c r="I8" s="218">
        <v>450537</v>
      </c>
      <c r="J8" s="218">
        <v>92519.41399999999</v>
      </c>
      <c r="K8" s="218">
        <v>139552</v>
      </c>
      <c r="L8" s="218">
        <v>32156.325000000001</v>
      </c>
      <c r="M8" s="218">
        <v>2125441</v>
      </c>
      <c r="N8" s="218">
        <v>2286898.085</v>
      </c>
      <c r="O8" s="218">
        <v>15048</v>
      </c>
      <c r="P8" s="218">
        <v>4907.5889999999999</v>
      </c>
      <c r="Q8" s="218">
        <v>309161</v>
      </c>
      <c r="R8" s="218">
        <v>250684.90999999997</v>
      </c>
      <c r="S8" s="218">
        <v>568</v>
      </c>
      <c r="T8" s="218">
        <v>135.1</v>
      </c>
      <c r="U8" s="218">
        <v>30703</v>
      </c>
      <c r="V8" s="218">
        <v>6795.9750000000004</v>
      </c>
      <c r="W8" s="224" t="s">
        <v>130</v>
      </c>
      <c r="X8" s="224"/>
      <c r="Y8" s="224"/>
    </row>
    <row r="9" spans="1:26">
      <c r="A9" s="242"/>
      <c r="B9" s="239"/>
      <c r="C9" s="221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25"/>
      <c r="X9" s="225"/>
      <c r="Y9" s="225"/>
    </row>
    <row r="10" spans="1:26" ht="14.4" customHeight="1">
      <c r="A10" s="193" t="s">
        <v>102</v>
      </c>
      <c r="B10" s="236">
        <v>1622152</v>
      </c>
      <c r="C10" s="228">
        <v>329694</v>
      </c>
      <c r="D10" s="228">
        <v>104655.48</v>
      </c>
      <c r="E10" s="228">
        <v>574966</v>
      </c>
      <c r="F10" s="228">
        <v>164620.20499999999</v>
      </c>
      <c r="G10" s="228">
        <v>119346</v>
      </c>
      <c r="H10" s="228">
        <v>32610.215</v>
      </c>
      <c r="I10" s="228">
        <v>6405</v>
      </c>
      <c r="J10" s="228">
        <v>1208.845</v>
      </c>
      <c r="K10" s="228">
        <v>6683</v>
      </c>
      <c r="L10" s="228">
        <v>1282.19</v>
      </c>
      <c r="M10" s="211">
        <v>560757</v>
      </c>
      <c r="N10" s="227">
        <v>605105.8600000001</v>
      </c>
      <c r="O10" s="227">
        <v>0</v>
      </c>
      <c r="P10" s="227">
        <v>0</v>
      </c>
      <c r="Q10" s="227">
        <v>22209</v>
      </c>
      <c r="R10" s="227">
        <v>15813.36</v>
      </c>
      <c r="S10" s="227">
        <v>80</v>
      </c>
      <c r="T10" s="227">
        <v>12.5</v>
      </c>
      <c r="U10" s="209">
        <v>2012</v>
      </c>
      <c r="V10" s="210">
        <v>553.34</v>
      </c>
      <c r="W10" s="214" t="s">
        <v>116</v>
      </c>
      <c r="X10" s="214"/>
      <c r="Y10" s="214"/>
    </row>
    <row r="11" spans="1:26" ht="12" customHeight="1">
      <c r="A11" s="193"/>
      <c r="B11" s="236"/>
      <c r="C11" s="228"/>
      <c r="D11" s="228"/>
      <c r="E11" s="228"/>
      <c r="F11" s="228"/>
      <c r="G11" s="228"/>
      <c r="H11" s="228"/>
      <c r="I11" s="228"/>
      <c r="J11" s="228"/>
      <c r="K11" s="228"/>
      <c r="L11" s="228"/>
      <c r="M11" s="211"/>
      <c r="N11" s="227"/>
      <c r="O11" s="227"/>
      <c r="P11" s="227"/>
      <c r="Q11" s="227"/>
      <c r="R11" s="227"/>
      <c r="S11" s="227"/>
      <c r="T11" s="227"/>
      <c r="U11" s="209"/>
      <c r="V11" s="210"/>
      <c r="W11" s="214"/>
      <c r="X11" s="214"/>
      <c r="Y11" s="214"/>
    </row>
    <row r="12" spans="1:26">
      <c r="A12" s="147" t="str">
        <f>VLOOKUP(ListOfRegions!$A$1,ListOfRegions!$A$1:B75,2,0)</f>
        <v xml:space="preserve">  Ροδόπης</v>
      </c>
      <c r="B12" s="152">
        <v>238821</v>
      </c>
      <c r="C12" s="153">
        <v>57290</v>
      </c>
      <c r="D12" s="154">
        <v>17691.3</v>
      </c>
      <c r="E12" s="154">
        <v>112912</v>
      </c>
      <c r="F12" s="154">
        <v>32775.25</v>
      </c>
      <c r="G12" s="154">
        <v>40263</v>
      </c>
      <c r="H12" s="153">
        <v>11152.504999999999</v>
      </c>
      <c r="I12" s="154">
        <v>1520</v>
      </c>
      <c r="J12" s="154">
        <v>223.3</v>
      </c>
      <c r="K12" s="154">
        <v>1735</v>
      </c>
      <c r="L12" s="154">
        <v>229.1</v>
      </c>
      <c r="M12" s="155">
        <v>24471</v>
      </c>
      <c r="N12" s="154">
        <v>26558.85</v>
      </c>
      <c r="O12" s="150" t="s">
        <v>284</v>
      </c>
      <c r="P12" s="150" t="s">
        <v>284</v>
      </c>
      <c r="Q12" s="151" t="s">
        <v>284</v>
      </c>
      <c r="R12" s="150" t="s">
        <v>284</v>
      </c>
      <c r="S12" s="156" t="s">
        <v>284</v>
      </c>
      <c r="T12" s="157" t="s">
        <v>284</v>
      </c>
      <c r="U12" s="158">
        <v>630</v>
      </c>
      <c r="V12" s="159">
        <v>130.6</v>
      </c>
      <c r="W12" s="122" t="s">
        <v>131</v>
      </c>
      <c r="X12" s="132"/>
      <c r="Y12" s="132"/>
    </row>
    <row r="13" spans="1:26">
      <c r="A13" s="147" t="str">
        <f>VLOOKUP(ListOfRegions!$A$2,ListOfRegions!$A$2:B76,2,0)</f>
        <v xml:space="preserve">  Δράμας</v>
      </c>
      <c r="B13" s="152">
        <v>331944</v>
      </c>
      <c r="C13" s="153">
        <v>54474</v>
      </c>
      <c r="D13" s="154">
        <v>14542.03</v>
      </c>
      <c r="E13" s="154">
        <v>106352</v>
      </c>
      <c r="F13" s="154">
        <v>26733.834999999999</v>
      </c>
      <c r="G13" s="154">
        <v>31993</v>
      </c>
      <c r="H13" s="153">
        <v>8346.75</v>
      </c>
      <c r="I13" s="154">
        <v>4055</v>
      </c>
      <c r="J13" s="154">
        <v>796.1</v>
      </c>
      <c r="K13" s="154">
        <v>947</v>
      </c>
      <c r="L13" s="154">
        <v>152.80000000000001</v>
      </c>
      <c r="M13" s="155">
        <v>134108</v>
      </c>
      <c r="N13" s="154">
        <v>146769.95000000001</v>
      </c>
      <c r="O13" s="150" t="s">
        <v>284</v>
      </c>
      <c r="P13" s="150" t="s">
        <v>284</v>
      </c>
      <c r="Q13" s="151" t="s">
        <v>284</v>
      </c>
      <c r="R13" s="150" t="s">
        <v>284</v>
      </c>
      <c r="S13" s="156" t="s">
        <v>284</v>
      </c>
      <c r="T13" s="157" t="s">
        <v>284</v>
      </c>
      <c r="U13" s="158">
        <v>15</v>
      </c>
      <c r="V13" s="159">
        <v>3.5</v>
      </c>
      <c r="W13" s="122" t="s">
        <v>132</v>
      </c>
      <c r="X13" s="132"/>
      <c r="Y13" s="132"/>
    </row>
    <row r="14" spans="1:26">
      <c r="A14" s="147" t="str">
        <f>VLOOKUP(ListOfRegions!A3,ListOfRegions!A3:B77,2,0)</f>
        <v xml:space="preserve">  Έβρου</v>
      </c>
      <c r="B14" s="152">
        <v>543382</v>
      </c>
      <c r="C14" s="153">
        <v>130573</v>
      </c>
      <c r="D14" s="154">
        <v>46357.07</v>
      </c>
      <c r="E14" s="154">
        <v>311667</v>
      </c>
      <c r="F14" s="154">
        <v>93492.38</v>
      </c>
      <c r="G14" s="154">
        <v>32325</v>
      </c>
      <c r="H14" s="153">
        <v>9182.58</v>
      </c>
      <c r="I14" s="154">
        <v>529</v>
      </c>
      <c r="J14" s="154">
        <v>136.08000000000001</v>
      </c>
      <c r="K14" s="154">
        <v>2817</v>
      </c>
      <c r="L14" s="154">
        <v>735.42</v>
      </c>
      <c r="M14" s="155">
        <v>62320</v>
      </c>
      <c r="N14" s="154">
        <v>71069</v>
      </c>
      <c r="O14" s="150" t="s">
        <v>284</v>
      </c>
      <c r="P14" s="150" t="s">
        <v>284</v>
      </c>
      <c r="Q14" s="153">
        <v>1809</v>
      </c>
      <c r="R14" s="154">
        <v>736.86</v>
      </c>
      <c r="S14" s="156" t="s">
        <v>284</v>
      </c>
      <c r="T14" s="157" t="s">
        <v>284</v>
      </c>
      <c r="U14" s="158">
        <v>1342</v>
      </c>
      <c r="V14" s="159">
        <v>412.99</v>
      </c>
      <c r="W14" s="122" t="s">
        <v>133</v>
      </c>
      <c r="X14" s="132"/>
      <c r="Y14" s="132"/>
    </row>
    <row r="15" spans="1:26">
      <c r="A15" s="147" t="str">
        <f>VLOOKUP(ListOfRegions!A4,ListOfRegions!A4:B78,2,0)</f>
        <v xml:space="preserve">  Θάσου</v>
      </c>
      <c r="B15" s="152">
        <v>25</v>
      </c>
      <c r="C15" s="160" t="s">
        <v>284</v>
      </c>
      <c r="D15" s="161" t="s">
        <v>284</v>
      </c>
      <c r="E15" s="161" t="s">
        <v>284</v>
      </c>
      <c r="F15" s="161" t="s">
        <v>284</v>
      </c>
      <c r="G15" s="161" t="s">
        <v>284</v>
      </c>
      <c r="H15" s="160" t="s">
        <v>284</v>
      </c>
      <c r="I15" s="161" t="s">
        <v>284</v>
      </c>
      <c r="J15" s="161" t="s">
        <v>284</v>
      </c>
      <c r="K15" s="161" t="s">
        <v>284</v>
      </c>
      <c r="L15" s="161" t="s">
        <v>284</v>
      </c>
      <c r="M15" s="155">
        <v>25</v>
      </c>
      <c r="N15" s="154">
        <v>19.5</v>
      </c>
      <c r="O15" s="161" t="s">
        <v>284</v>
      </c>
      <c r="P15" s="161" t="s">
        <v>284</v>
      </c>
      <c r="Q15" s="160" t="s">
        <v>284</v>
      </c>
      <c r="R15" s="161" t="s">
        <v>284</v>
      </c>
      <c r="S15" s="156" t="s">
        <v>284</v>
      </c>
      <c r="T15" s="157" t="s">
        <v>284</v>
      </c>
      <c r="U15" s="156" t="s">
        <v>284</v>
      </c>
      <c r="V15" s="164" t="s">
        <v>284</v>
      </c>
      <c r="W15" s="122" t="s">
        <v>134</v>
      </c>
      <c r="X15" s="132"/>
      <c r="Y15" s="132"/>
    </row>
    <row r="16" spans="1:26">
      <c r="A16" s="147" t="str">
        <f>VLOOKUP(ListOfRegions!A5,ListOfRegions!A5:B79,2,0)</f>
        <v xml:space="preserve">  Καβάλας</v>
      </c>
      <c r="B16" s="152">
        <v>265095</v>
      </c>
      <c r="C16" s="153">
        <v>23236</v>
      </c>
      <c r="D16" s="154">
        <v>6965.07</v>
      </c>
      <c r="E16" s="154">
        <v>13662</v>
      </c>
      <c r="F16" s="154">
        <v>3380.77</v>
      </c>
      <c r="G16" s="154">
        <v>5666</v>
      </c>
      <c r="H16" s="153">
        <v>1261.23</v>
      </c>
      <c r="I16" s="154">
        <v>301</v>
      </c>
      <c r="J16" s="154">
        <v>53.365000000000002</v>
      </c>
      <c r="K16" s="154">
        <v>228</v>
      </c>
      <c r="L16" s="154">
        <v>40.74</v>
      </c>
      <c r="M16" s="155">
        <v>201497</v>
      </c>
      <c r="N16" s="154">
        <v>206730.25</v>
      </c>
      <c r="O16" s="161" t="s">
        <v>284</v>
      </c>
      <c r="P16" s="161" t="s">
        <v>284</v>
      </c>
      <c r="Q16" s="153">
        <v>20400</v>
      </c>
      <c r="R16" s="154">
        <v>15076.5</v>
      </c>
      <c r="S16" s="158">
        <v>80</v>
      </c>
      <c r="T16" s="162">
        <v>12.5</v>
      </c>
      <c r="U16" s="158">
        <v>25</v>
      </c>
      <c r="V16" s="159">
        <v>6.25</v>
      </c>
      <c r="W16" s="122" t="s">
        <v>135</v>
      </c>
      <c r="X16" s="132"/>
      <c r="Y16" s="132"/>
    </row>
    <row r="17" spans="1:25">
      <c r="A17" s="147" t="str">
        <f>VLOOKUP(ListOfRegions!A6,ListOfRegions!A6:B80,2,0)</f>
        <v xml:space="preserve">  Ξάνθης</v>
      </c>
      <c r="B17" s="152">
        <v>242885</v>
      </c>
      <c r="C17" s="153">
        <v>64121</v>
      </c>
      <c r="D17" s="154">
        <v>19100.009999999998</v>
      </c>
      <c r="E17" s="154">
        <v>30373</v>
      </c>
      <c r="F17" s="154">
        <v>8237.9699999999993</v>
      </c>
      <c r="G17" s="154">
        <v>9099</v>
      </c>
      <c r="H17" s="153">
        <v>2667.15</v>
      </c>
      <c r="I17" s="161" t="s">
        <v>284</v>
      </c>
      <c r="J17" s="161" t="s">
        <v>284</v>
      </c>
      <c r="K17" s="154">
        <v>956</v>
      </c>
      <c r="L17" s="154">
        <v>124.13</v>
      </c>
      <c r="M17" s="155">
        <v>138336</v>
      </c>
      <c r="N17" s="154">
        <v>153958.31</v>
      </c>
      <c r="O17" s="161" t="s">
        <v>284</v>
      </c>
      <c r="P17" s="161" t="s">
        <v>284</v>
      </c>
      <c r="Q17" s="160" t="s">
        <v>284</v>
      </c>
      <c r="R17" s="161" t="s">
        <v>284</v>
      </c>
      <c r="S17" s="156" t="s">
        <v>284</v>
      </c>
      <c r="T17" s="157" t="s">
        <v>284</v>
      </c>
      <c r="U17" s="156" t="s">
        <v>284</v>
      </c>
      <c r="V17" s="164" t="s">
        <v>284</v>
      </c>
      <c r="W17" s="122" t="s">
        <v>136</v>
      </c>
      <c r="X17" s="132"/>
      <c r="Y17" s="132"/>
    </row>
    <row r="18" spans="1:25" ht="14.4" customHeight="1">
      <c r="A18" s="240" t="s">
        <v>103</v>
      </c>
      <c r="B18" s="236">
        <v>4875406</v>
      </c>
      <c r="C18" s="233">
        <v>956870</v>
      </c>
      <c r="D18" s="233">
        <v>260134.505</v>
      </c>
      <c r="E18" s="233">
        <v>2327413</v>
      </c>
      <c r="F18" s="233">
        <v>530368.47100000002</v>
      </c>
      <c r="G18" s="233">
        <v>459113</v>
      </c>
      <c r="H18" s="233">
        <v>132913.307</v>
      </c>
      <c r="I18" s="233">
        <v>53102</v>
      </c>
      <c r="J18" s="233">
        <v>10509.9</v>
      </c>
      <c r="K18" s="233">
        <v>113899</v>
      </c>
      <c r="L18" s="233">
        <v>26505.32</v>
      </c>
      <c r="M18" s="211">
        <v>678133</v>
      </c>
      <c r="N18" s="227">
        <v>742792.70099999988</v>
      </c>
      <c r="O18" s="227">
        <v>447</v>
      </c>
      <c r="P18" s="227">
        <v>322.2</v>
      </c>
      <c r="Q18" s="227">
        <v>262267</v>
      </c>
      <c r="R18" s="227">
        <v>218620.25</v>
      </c>
      <c r="S18" s="227">
        <v>90</v>
      </c>
      <c r="T18" s="227">
        <v>9</v>
      </c>
      <c r="U18" s="209">
        <v>24072</v>
      </c>
      <c r="V18" s="210">
        <v>4894.75</v>
      </c>
      <c r="W18" s="215" t="s">
        <v>117</v>
      </c>
      <c r="X18" s="216"/>
      <c r="Y18" s="216"/>
    </row>
    <row r="19" spans="1:25">
      <c r="A19" s="240"/>
      <c r="B19" s="236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11"/>
      <c r="N19" s="227"/>
      <c r="O19" s="227"/>
      <c r="P19" s="227"/>
      <c r="Q19" s="227"/>
      <c r="R19" s="227"/>
      <c r="S19" s="227"/>
      <c r="T19" s="227"/>
      <c r="U19" s="209"/>
      <c r="V19" s="210"/>
      <c r="W19" s="215"/>
      <c r="X19" s="216"/>
      <c r="Y19" s="216"/>
    </row>
    <row r="20" spans="1:25">
      <c r="A20" s="147" t="str">
        <f>VLOOKUP(ListOfRegions!A7,ListOfRegions!A7:B81,2,0)</f>
        <v xml:space="preserve">  Θεσσαλονίκης</v>
      </c>
      <c r="B20" s="152">
        <v>810889</v>
      </c>
      <c r="C20" s="153">
        <v>126283</v>
      </c>
      <c r="D20" s="154">
        <v>32531.62</v>
      </c>
      <c r="E20" s="154">
        <v>347152</v>
      </c>
      <c r="F20" s="154">
        <v>80843.175000000003</v>
      </c>
      <c r="G20" s="154">
        <v>66008</v>
      </c>
      <c r="H20" s="153">
        <v>17337.599999999999</v>
      </c>
      <c r="I20" s="154">
        <v>16557</v>
      </c>
      <c r="J20" s="154">
        <v>3315.44</v>
      </c>
      <c r="K20" s="154">
        <v>10582</v>
      </c>
      <c r="L20" s="154">
        <v>2178.9650000000001</v>
      </c>
      <c r="M20" s="155">
        <v>46312</v>
      </c>
      <c r="N20" s="154">
        <v>49493.75</v>
      </c>
      <c r="O20" s="161" t="s">
        <v>284</v>
      </c>
      <c r="P20" s="161" t="s">
        <v>284</v>
      </c>
      <c r="Q20" s="153">
        <v>192135</v>
      </c>
      <c r="R20" s="154">
        <v>175351.9</v>
      </c>
      <c r="S20" s="158">
        <v>90</v>
      </c>
      <c r="T20" s="162">
        <v>9</v>
      </c>
      <c r="U20" s="158">
        <v>5770</v>
      </c>
      <c r="V20" s="159">
        <v>1387.5</v>
      </c>
      <c r="W20" s="122" t="s">
        <v>137</v>
      </c>
      <c r="X20" s="132"/>
      <c r="Y20" s="132"/>
    </row>
    <row r="21" spans="1:25">
      <c r="A21" s="147" t="str">
        <f>VLOOKUP(ListOfRegions!A8,ListOfRegions!A8:B82,2,0)</f>
        <v xml:space="preserve">  Ημαθίας</v>
      </c>
      <c r="B21" s="152">
        <v>155630</v>
      </c>
      <c r="C21" s="153">
        <v>12912</v>
      </c>
      <c r="D21" s="154">
        <v>4983.57</v>
      </c>
      <c r="E21" s="154">
        <v>53172</v>
      </c>
      <c r="F21" s="154">
        <v>16904.490000000002</v>
      </c>
      <c r="G21" s="154">
        <v>8280</v>
      </c>
      <c r="H21" s="153">
        <v>2848.5</v>
      </c>
      <c r="I21" s="154">
        <v>55</v>
      </c>
      <c r="J21" s="154">
        <v>14</v>
      </c>
      <c r="K21" s="154">
        <v>220</v>
      </c>
      <c r="L21" s="154">
        <v>83</v>
      </c>
      <c r="M21" s="155">
        <v>62681</v>
      </c>
      <c r="N21" s="154">
        <v>60790</v>
      </c>
      <c r="O21" s="154">
        <v>250</v>
      </c>
      <c r="P21" s="154">
        <v>200</v>
      </c>
      <c r="Q21" s="153">
        <v>18060</v>
      </c>
      <c r="R21" s="154">
        <v>10946.75</v>
      </c>
      <c r="S21" s="156" t="s">
        <v>284</v>
      </c>
      <c r="T21" s="157" t="s">
        <v>284</v>
      </c>
      <c r="U21" s="156" t="s">
        <v>284</v>
      </c>
      <c r="V21" s="164" t="s">
        <v>284</v>
      </c>
      <c r="W21" s="122" t="s">
        <v>138</v>
      </c>
      <c r="X21" s="132"/>
      <c r="Y21" s="132"/>
    </row>
    <row r="22" spans="1:25">
      <c r="A22" s="147" t="str">
        <f>VLOOKUP(ListOfRegions!A9,ListOfRegions!A9:B83,2,0)</f>
        <v xml:space="preserve">  Κιλκίς</v>
      </c>
      <c r="B22" s="152">
        <v>716826</v>
      </c>
      <c r="C22" s="153">
        <v>133744</v>
      </c>
      <c r="D22" s="154">
        <v>25638.275000000001</v>
      </c>
      <c r="E22" s="154">
        <v>503163</v>
      </c>
      <c r="F22" s="154">
        <v>82623.058000000005</v>
      </c>
      <c r="G22" s="154">
        <v>27298</v>
      </c>
      <c r="H22" s="153">
        <v>4586.29</v>
      </c>
      <c r="I22" s="154">
        <v>3127</v>
      </c>
      <c r="J22" s="154">
        <v>480.86</v>
      </c>
      <c r="K22" s="154">
        <v>3386</v>
      </c>
      <c r="L22" s="154">
        <v>474.54</v>
      </c>
      <c r="M22" s="155">
        <v>37869</v>
      </c>
      <c r="N22" s="154">
        <v>34428.618999999999</v>
      </c>
      <c r="O22" s="161" t="s">
        <v>284</v>
      </c>
      <c r="P22" s="161" t="s">
        <v>284</v>
      </c>
      <c r="Q22" s="160" t="s">
        <v>284</v>
      </c>
      <c r="R22" s="161" t="s">
        <v>284</v>
      </c>
      <c r="S22" s="156" t="s">
        <v>284</v>
      </c>
      <c r="T22" s="157" t="s">
        <v>284</v>
      </c>
      <c r="U22" s="158">
        <v>8239</v>
      </c>
      <c r="V22" s="159">
        <v>1271.1600000000001</v>
      </c>
      <c r="W22" s="122" t="s">
        <v>139</v>
      </c>
      <c r="X22" s="132"/>
      <c r="Y22" s="132"/>
    </row>
    <row r="23" spans="1:25">
      <c r="A23" s="147" t="str">
        <f>VLOOKUP(ListOfRegions!A10,ListOfRegions!A10:B84,2,0)</f>
        <v xml:space="preserve">  Πέλλας</v>
      </c>
      <c r="B23" s="152">
        <v>264721</v>
      </c>
      <c r="C23" s="153">
        <v>27262</v>
      </c>
      <c r="D23" s="154">
        <v>7583.6549999999997</v>
      </c>
      <c r="E23" s="154">
        <v>91192</v>
      </c>
      <c r="F23" s="154">
        <v>29907.82</v>
      </c>
      <c r="G23" s="154">
        <v>35892</v>
      </c>
      <c r="H23" s="153">
        <v>12095.025</v>
      </c>
      <c r="I23" s="154">
        <v>2090</v>
      </c>
      <c r="J23" s="154">
        <v>473.25</v>
      </c>
      <c r="K23" s="154">
        <v>1495</v>
      </c>
      <c r="L23" s="154">
        <v>329.02499999999998</v>
      </c>
      <c r="M23" s="155">
        <v>104039</v>
      </c>
      <c r="N23" s="154">
        <v>107376.175</v>
      </c>
      <c r="O23" s="154">
        <v>70</v>
      </c>
      <c r="P23" s="154">
        <v>42</v>
      </c>
      <c r="Q23" s="153">
        <v>2381</v>
      </c>
      <c r="R23" s="154">
        <v>2132.9</v>
      </c>
      <c r="S23" s="156" t="s">
        <v>284</v>
      </c>
      <c r="T23" s="157" t="s">
        <v>284</v>
      </c>
      <c r="U23" s="158">
        <v>300</v>
      </c>
      <c r="V23" s="159">
        <v>117</v>
      </c>
      <c r="W23" s="122" t="s">
        <v>140</v>
      </c>
      <c r="X23" s="132"/>
      <c r="Y23" s="132"/>
    </row>
    <row r="24" spans="1:25">
      <c r="A24" s="147" t="str">
        <f>VLOOKUP(ListOfRegions!A11,ListOfRegions!A11:B85,2,0)</f>
        <v xml:space="preserve">  Πιερίας</v>
      </c>
      <c r="B24" s="152">
        <v>250304</v>
      </c>
      <c r="C24" s="153">
        <v>55769</v>
      </c>
      <c r="D24" s="154">
        <v>18797.168000000001</v>
      </c>
      <c r="E24" s="154">
        <v>124982</v>
      </c>
      <c r="F24" s="154">
        <v>35389.292999999998</v>
      </c>
      <c r="G24" s="154">
        <v>22588</v>
      </c>
      <c r="H24" s="153">
        <v>7091.3509999999997</v>
      </c>
      <c r="I24" s="154">
        <v>4366</v>
      </c>
      <c r="J24" s="154">
        <v>1126.8800000000001</v>
      </c>
      <c r="K24" s="154">
        <v>200</v>
      </c>
      <c r="L24" s="154">
        <v>53.1</v>
      </c>
      <c r="M24" s="155">
        <v>31599</v>
      </c>
      <c r="N24" s="154">
        <v>37087.269999999997</v>
      </c>
      <c r="O24" s="161" t="s">
        <v>284</v>
      </c>
      <c r="P24" s="161" t="s">
        <v>284</v>
      </c>
      <c r="Q24" s="153">
        <v>10800</v>
      </c>
      <c r="R24" s="154">
        <v>8640</v>
      </c>
      <c r="S24" s="156" t="s">
        <v>284</v>
      </c>
      <c r="T24" s="157" t="s">
        <v>284</v>
      </c>
      <c r="U24" s="156" t="s">
        <v>284</v>
      </c>
      <c r="V24" s="164" t="s">
        <v>284</v>
      </c>
      <c r="W24" s="122" t="s">
        <v>141</v>
      </c>
      <c r="X24" s="132"/>
      <c r="Y24" s="132"/>
    </row>
    <row r="25" spans="1:25">
      <c r="A25" s="147" t="str">
        <f>VLOOKUP(ListOfRegions!A12,ListOfRegions!A12:B86,2,0)</f>
        <v xml:space="preserve">  Σερρών</v>
      </c>
      <c r="B25" s="152">
        <v>876299</v>
      </c>
      <c r="C25" s="153">
        <v>63416</v>
      </c>
      <c r="D25" s="154">
        <v>17572.521000000001</v>
      </c>
      <c r="E25" s="154">
        <v>481626</v>
      </c>
      <c r="F25" s="154">
        <v>117345.15</v>
      </c>
      <c r="G25" s="154">
        <v>50985</v>
      </c>
      <c r="H25" s="153">
        <v>14827.376</v>
      </c>
      <c r="I25" s="154">
        <v>135</v>
      </c>
      <c r="J25" s="154">
        <v>35.799999999999997</v>
      </c>
      <c r="K25" s="154">
        <v>1820</v>
      </c>
      <c r="L25" s="154">
        <v>423.65</v>
      </c>
      <c r="M25" s="155">
        <v>238626</v>
      </c>
      <c r="N25" s="154">
        <v>264303.93699999998</v>
      </c>
      <c r="O25" s="161" t="s">
        <v>284</v>
      </c>
      <c r="P25" s="161" t="s">
        <v>284</v>
      </c>
      <c r="Q25" s="153">
        <v>38891</v>
      </c>
      <c r="R25" s="154">
        <v>21548.7</v>
      </c>
      <c r="S25" s="156" t="s">
        <v>284</v>
      </c>
      <c r="T25" s="157" t="s">
        <v>284</v>
      </c>
      <c r="U25" s="158">
        <v>800</v>
      </c>
      <c r="V25" s="159">
        <v>200</v>
      </c>
      <c r="W25" s="122" t="s">
        <v>142</v>
      </c>
      <c r="X25" s="132"/>
      <c r="Y25" s="132"/>
    </row>
    <row r="26" spans="1:25">
      <c r="A26" s="147" t="str">
        <f>VLOOKUP(ListOfRegions!A13,ListOfRegions!A13:B87,2,0)</f>
        <v xml:space="preserve">  Χαλκιδικής</v>
      </c>
      <c r="B26" s="152">
        <v>383120</v>
      </c>
      <c r="C26" s="153">
        <v>42550</v>
      </c>
      <c r="D26" s="154">
        <v>9231.69</v>
      </c>
      <c r="E26" s="154">
        <v>294310</v>
      </c>
      <c r="F26" s="154">
        <v>61231.82</v>
      </c>
      <c r="G26" s="154">
        <v>20841</v>
      </c>
      <c r="H26" s="153">
        <v>4952.53</v>
      </c>
      <c r="I26" s="154">
        <v>18058</v>
      </c>
      <c r="J26" s="154">
        <v>3267.91</v>
      </c>
      <c r="K26" s="154">
        <v>896</v>
      </c>
      <c r="L26" s="154">
        <v>149.69999999999999</v>
      </c>
      <c r="M26" s="155">
        <v>3047</v>
      </c>
      <c r="N26" s="154">
        <v>2475.37</v>
      </c>
      <c r="O26" s="154">
        <v>10</v>
      </c>
      <c r="P26" s="154">
        <v>2</v>
      </c>
      <c r="Q26" s="160" t="s">
        <v>284</v>
      </c>
      <c r="R26" s="161" t="s">
        <v>284</v>
      </c>
      <c r="S26" s="156" t="s">
        <v>284</v>
      </c>
      <c r="T26" s="157" t="s">
        <v>284</v>
      </c>
      <c r="U26" s="158">
        <v>3408</v>
      </c>
      <c r="V26" s="159">
        <v>681.6</v>
      </c>
      <c r="W26" s="122" t="s">
        <v>143</v>
      </c>
      <c r="X26" s="132"/>
      <c r="Y26" s="132"/>
    </row>
    <row r="27" spans="1:25">
      <c r="A27" s="147" t="str">
        <f>VLOOKUP(ListOfRegions!A14,ListOfRegions!A14:B88,2,0)</f>
        <v xml:space="preserve">  Κοζάνης</v>
      </c>
      <c r="B27" s="152">
        <v>683659</v>
      </c>
      <c r="C27" s="153">
        <v>174208</v>
      </c>
      <c r="D27" s="154">
        <v>53985.457999999999</v>
      </c>
      <c r="E27" s="154">
        <v>350294</v>
      </c>
      <c r="F27" s="154">
        <v>85873.875</v>
      </c>
      <c r="G27" s="154">
        <v>76097</v>
      </c>
      <c r="H27" s="153">
        <v>24909.014999999999</v>
      </c>
      <c r="I27" s="154">
        <v>4175</v>
      </c>
      <c r="J27" s="154">
        <v>852.45</v>
      </c>
      <c r="K27" s="154">
        <v>18734</v>
      </c>
      <c r="L27" s="154">
        <v>3960.701</v>
      </c>
      <c r="M27" s="155">
        <v>59608</v>
      </c>
      <c r="N27" s="154">
        <v>68586.75</v>
      </c>
      <c r="O27" s="154">
        <v>9</v>
      </c>
      <c r="P27" s="154">
        <v>2.4</v>
      </c>
      <c r="Q27" s="160" t="s">
        <v>284</v>
      </c>
      <c r="R27" s="161" t="s">
        <v>284</v>
      </c>
      <c r="S27" s="156" t="s">
        <v>284</v>
      </c>
      <c r="T27" s="157" t="s">
        <v>284</v>
      </c>
      <c r="U27" s="158">
        <v>534</v>
      </c>
      <c r="V27" s="159">
        <v>68</v>
      </c>
      <c r="W27" s="122" t="s">
        <v>144</v>
      </c>
      <c r="X27" s="132"/>
      <c r="Y27" s="132"/>
    </row>
    <row r="28" spans="1:25">
      <c r="A28" s="147" t="str">
        <f>VLOOKUP(ListOfRegions!A15,ListOfRegions!A15:B89,2,0)</f>
        <v xml:space="preserve">  Γρεβενών</v>
      </c>
      <c r="B28" s="152">
        <v>277518</v>
      </c>
      <c r="C28" s="153">
        <v>182154</v>
      </c>
      <c r="D28" s="154">
        <v>53927.64</v>
      </c>
      <c r="E28" s="154">
        <v>14187</v>
      </c>
      <c r="F28" s="154">
        <v>3920.57</v>
      </c>
      <c r="G28" s="154">
        <v>59750</v>
      </c>
      <c r="H28" s="153">
        <v>19153.689999999999</v>
      </c>
      <c r="I28" s="154">
        <v>3582</v>
      </c>
      <c r="J28" s="154">
        <v>733.81</v>
      </c>
      <c r="K28" s="154">
        <v>1404</v>
      </c>
      <c r="L28" s="154">
        <v>232.37</v>
      </c>
      <c r="M28" s="155">
        <v>13855</v>
      </c>
      <c r="N28" s="154">
        <v>15576.19</v>
      </c>
      <c r="O28" s="161" t="s">
        <v>284</v>
      </c>
      <c r="P28" s="161" t="s">
        <v>284</v>
      </c>
      <c r="Q28" s="160" t="s">
        <v>284</v>
      </c>
      <c r="R28" s="161" t="s">
        <v>284</v>
      </c>
      <c r="S28" s="156" t="s">
        <v>284</v>
      </c>
      <c r="T28" s="157" t="s">
        <v>284</v>
      </c>
      <c r="U28" s="158">
        <v>2586</v>
      </c>
      <c r="V28" s="159">
        <v>640.14</v>
      </c>
      <c r="W28" s="122" t="s">
        <v>145</v>
      </c>
      <c r="X28" s="132"/>
      <c r="Y28" s="132"/>
    </row>
    <row r="29" spans="1:25">
      <c r="A29" s="147" t="str">
        <f>VLOOKUP(ListOfRegions!A16,ListOfRegions!A16:B90,2,0)</f>
        <v xml:space="preserve">  Καστοριάς</v>
      </c>
      <c r="B29" s="152">
        <v>182503</v>
      </c>
      <c r="C29" s="153">
        <v>93664</v>
      </c>
      <c r="D29" s="154">
        <v>23325.35</v>
      </c>
      <c r="E29" s="154">
        <v>38390</v>
      </c>
      <c r="F29" s="154">
        <v>9537.1200000000008</v>
      </c>
      <c r="G29" s="154">
        <v>21482</v>
      </c>
      <c r="H29" s="153">
        <v>5870.42</v>
      </c>
      <c r="I29" s="154">
        <v>658</v>
      </c>
      <c r="J29" s="154">
        <v>139.5</v>
      </c>
      <c r="K29" s="154">
        <v>14361</v>
      </c>
      <c r="L29" s="154">
        <v>3210.03</v>
      </c>
      <c r="M29" s="155">
        <v>13640</v>
      </c>
      <c r="N29" s="154">
        <v>13604.5</v>
      </c>
      <c r="O29" s="154">
        <v>108</v>
      </c>
      <c r="P29" s="154">
        <v>75.8</v>
      </c>
      <c r="Q29" s="160" t="s">
        <v>284</v>
      </c>
      <c r="R29" s="161" t="s">
        <v>284</v>
      </c>
      <c r="S29" s="156" t="s">
        <v>284</v>
      </c>
      <c r="T29" s="157" t="s">
        <v>284</v>
      </c>
      <c r="U29" s="158">
        <v>200</v>
      </c>
      <c r="V29" s="159">
        <v>60</v>
      </c>
      <c r="W29" s="122" t="s">
        <v>146</v>
      </c>
      <c r="X29" s="132"/>
      <c r="Y29" s="132"/>
    </row>
    <row r="30" spans="1:25">
      <c r="A30" s="147" t="str">
        <f>VLOOKUP(ListOfRegions!A17,ListOfRegions!A17:B91,2,0)</f>
        <v xml:space="preserve">  Φλώρινας</v>
      </c>
      <c r="B30" s="152">
        <v>273937</v>
      </c>
      <c r="C30" s="153">
        <v>44908</v>
      </c>
      <c r="D30" s="154">
        <v>12557.558000000001</v>
      </c>
      <c r="E30" s="154">
        <v>28945</v>
      </c>
      <c r="F30" s="154">
        <v>6792.1</v>
      </c>
      <c r="G30" s="154">
        <v>69892</v>
      </c>
      <c r="H30" s="153">
        <v>19241.509999999998</v>
      </c>
      <c r="I30" s="154">
        <v>299</v>
      </c>
      <c r="J30" s="154">
        <v>70</v>
      </c>
      <c r="K30" s="154">
        <v>60801</v>
      </c>
      <c r="L30" s="154">
        <v>15410.239</v>
      </c>
      <c r="M30" s="155">
        <v>66857</v>
      </c>
      <c r="N30" s="154">
        <v>89070.14</v>
      </c>
      <c r="O30" s="161" t="s">
        <v>284</v>
      </c>
      <c r="P30" s="161" t="s">
        <v>284</v>
      </c>
      <c r="Q30" s="160" t="s">
        <v>284</v>
      </c>
      <c r="R30" s="161" t="s">
        <v>284</v>
      </c>
      <c r="S30" s="156" t="s">
        <v>284</v>
      </c>
      <c r="T30" s="157" t="s">
        <v>284</v>
      </c>
      <c r="U30" s="158">
        <v>2235</v>
      </c>
      <c r="V30" s="159">
        <v>469.35</v>
      </c>
      <c r="W30" s="122" t="s">
        <v>147</v>
      </c>
      <c r="X30" s="132"/>
      <c r="Y30" s="132"/>
    </row>
    <row r="31" spans="1:25" ht="14.4" customHeight="1">
      <c r="A31" s="237" t="s">
        <v>113</v>
      </c>
      <c r="B31" s="236">
        <v>166733</v>
      </c>
      <c r="C31" s="233">
        <v>4359</v>
      </c>
      <c r="D31" s="233">
        <v>1053.26</v>
      </c>
      <c r="E31" s="233">
        <v>1342</v>
      </c>
      <c r="F31" s="233">
        <v>277.75</v>
      </c>
      <c r="G31" s="233">
        <v>8211</v>
      </c>
      <c r="H31" s="233">
        <v>1874.8589999999999</v>
      </c>
      <c r="I31" s="233">
        <v>17925</v>
      </c>
      <c r="J31" s="233">
        <v>4465.3099999999995</v>
      </c>
      <c r="K31" s="233">
        <v>9676</v>
      </c>
      <c r="L31" s="233">
        <v>2374.317</v>
      </c>
      <c r="M31" s="211">
        <v>120228</v>
      </c>
      <c r="N31" s="227">
        <v>117760.065</v>
      </c>
      <c r="O31" s="227">
        <v>1412</v>
      </c>
      <c r="P31" s="227">
        <v>514.38</v>
      </c>
      <c r="Q31" s="227">
        <v>2970</v>
      </c>
      <c r="R31" s="227">
        <v>2280</v>
      </c>
      <c r="S31" s="227">
        <v>80</v>
      </c>
      <c r="T31" s="227">
        <v>10.9</v>
      </c>
      <c r="U31" s="209">
        <v>530</v>
      </c>
      <c r="V31" s="210">
        <v>400</v>
      </c>
      <c r="W31" s="212" t="s">
        <v>118</v>
      </c>
      <c r="X31" s="213"/>
      <c r="Y31" s="213"/>
    </row>
    <row r="32" spans="1:25">
      <c r="A32" s="237"/>
      <c r="B32" s="236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11"/>
      <c r="N32" s="227"/>
      <c r="O32" s="227"/>
      <c r="P32" s="227"/>
      <c r="Q32" s="227"/>
      <c r="R32" s="227"/>
      <c r="S32" s="227"/>
      <c r="T32" s="227"/>
      <c r="U32" s="209"/>
      <c r="V32" s="210"/>
      <c r="W32" s="212"/>
      <c r="X32" s="213"/>
      <c r="Y32" s="213"/>
    </row>
    <row r="33" spans="1:25">
      <c r="A33" s="147" t="str">
        <f>VLOOKUP(ListOfRegions!A18,ListOfRegions!A18:B92,2,0)</f>
        <v xml:space="preserve">  Ιωαννίνων</v>
      </c>
      <c r="B33" s="152">
        <v>61313</v>
      </c>
      <c r="C33" s="153">
        <v>3251</v>
      </c>
      <c r="D33" s="154">
        <v>846.71</v>
      </c>
      <c r="E33" s="154">
        <v>360</v>
      </c>
      <c r="F33" s="154">
        <v>70.849999999999994</v>
      </c>
      <c r="G33" s="154">
        <v>5516</v>
      </c>
      <c r="H33" s="153">
        <v>1319.6089999999999</v>
      </c>
      <c r="I33" s="154">
        <v>1743</v>
      </c>
      <c r="J33" s="154">
        <v>341.95</v>
      </c>
      <c r="K33" s="154">
        <v>8941</v>
      </c>
      <c r="L33" s="154">
        <v>2121.6570000000002</v>
      </c>
      <c r="M33" s="155">
        <v>40822</v>
      </c>
      <c r="N33" s="154">
        <v>37608.014999999999</v>
      </c>
      <c r="O33" s="154">
        <v>665</v>
      </c>
      <c r="P33" s="154">
        <v>254.08</v>
      </c>
      <c r="Q33" s="160" t="s">
        <v>284</v>
      </c>
      <c r="R33" s="161" t="s">
        <v>284</v>
      </c>
      <c r="S33" s="158">
        <v>10</v>
      </c>
      <c r="T33" s="162">
        <v>2.9</v>
      </c>
      <c r="U33" s="158">
        <v>5</v>
      </c>
      <c r="V33" s="159">
        <v>5</v>
      </c>
      <c r="W33" s="122" t="s">
        <v>148</v>
      </c>
      <c r="X33" s="132"/>
      <c r="Y33" s="132"/>
    </row>
    <row r="34" spans="1:25">
      <c r="A34" s="147" t="str">
        <f>VLOOKUP(ListOfRegions!A19,ListOfRegions!A19:B93,2,0)</f>
        <v xml:space="preserve">  Άρτας</v>
      </c>
      <c r="B34" s="152">
        <v>28137</v>
      </c>
      <c r="C34" s="153">
        <v>1028</v>
      </c>
      <c r="D34" s="154">
        <v>193.1</v>
      </c>
      <c r="E34" s="154">
        <v>625</v>
      </c>
      <c r="F34" s="154">
        <v>128.19999999999999</v>
      </c>
      <c r="G34" s="154">
        <v>1293</v>
      </c>
      <c r="H34" s="153">
        <v>273.55</v>
      </c>
      <c r="I34" s="154">
        <v>3789</v>
      </c>
      <c r="J34" s="154">
        <v>868.38</v>
      </c>
      <c r="K34" s="154">
        <v>15</v>
      </c>
      <c r="L34" s="154">
        <v>2.66</v>
      </c>
      <c r="M34" s="155">
        <v>19454</v>
      </c>
      <c r="N34" s="154">
        <v>17047.5</v>
      </c>
      <c r="O34" s="154">
        <v>738</v>
      </c>
      <c r="P34" s="154">
        <v>251.6</v>
      </c>
      <c r="Q34" s="153">
        <v>670</v>
      </c>
      <c r="R34" s="154">
        <v>335</v>
      </c>
      <c r="S34" s="156" t="s">
        <v>284</v>
      </c>
      <c r="T34" s="157" t="s">
        <v>284</v>
      </c>
      <c r="U34" s="158">
        <v>525</v>
      </c>
      <c r="V34" s="159">
        <v>395</v>
      </c>
      <c r="W34" s="122" t="s">
        <v>149</v>
      </c>
      <c r="X34" s="132"/>
      <c r="Y34" s="132"/>
    </row>
    <row r="35" spans="1:25">
      <c r="A35" s="147" t="str">
        <f>VLOOKUP(ListOfRegions!A20,ListOfRegions!A20:B94,2,0)</f>
        <v xml:space="preserve">  Θεσπρωτίας</v>
      </c>
      <c r="B35" s="152">
        <v>23337</v>
      </c>
      <c r="C35" s="153">
        <v>4</v>
      </c>
      <c r="D35" s="154">
        <v>1.2</v>
      </c>
      <c r="E35" s="154">
        <v>12</v>
      </c>
      <c r="F35" s="154">
        <v>2.6</v>
      </c>
      <c r="G35" s="154">
        <v>602</v>
      </c>
      <c r="H35" s="153">
        <v>130.05000000000001</v>
      </c>
      <c r="I35" s="154">
        <v>3130</v>
      </c>
      <c r="J35" s="154">
        <v>679.5</v>
      </c>
      <c r="K35" s="154">
        <v>240</v>
      </c>
      <c r="L35" s="154">
        <v>32</v>
      </c>
      <c r="M35" s="155">
        <v>17045</v>
      </c>
      <c r="N35" s="154">
        <v>17327.150000000001</v>
      </c>
      <c r="O35" s="154">
        <v>4</v>
      </c>
      <c r="P35" s="154">
        <v>0.7</v>
      </c>
      <c r="Q35" s="153">
        <v>2300</v>
      </c>
      <c r="R35" s="154">
        <v>1945</v>
      </c>
      <c r="S35" s="156" t="s">
        <v>284</v>
      </c>
      <c r="T35" s="157" t="s">
        <v>284</v>
      </c>
      <c r="U35" s="156" t="s">
        <v>284</v>
      </c>
      <c r="V35" s="164" t="s">
        <v>284</v>
      </c>
      <c r="W35" s="122" t="s">
        <v>150</v>
      </c>
      <c r="X35" s="132"/>
      <c r="Y35" s="132"/>
    </row>
    <row r="36" spans="1:25">
      <c r="A36" s="147" t="str">
        <f>VLOOKUP(ListOfRegions!A21,ListOfRegions!A21:B95,2,0)</f>
        <v xml:space="preserve">  Πρέβεζας</v>
      </c>
      <c r="B36" s="152">
        <v>53946</v>
      </c>
      <c r="C36" s="153">
        <v>76</v>
      </c>
      <c r="D36" s="154">
        <v>12.25</v>
      </c>
      <c r="E36" s="154">
        <v>345</v>
      </c>
      <c r="F36" s="154">
        <v>76.099999999999994</v>
      </c>
      <c r="G36" s="154">
        <v>800</v>
      </c>
      <c r="H36" s="153">
        <v>151.65</v>
      </c>
      <c r="I36" s="154">
        <v>9263</v>
      </c>
      <c r="J36" s="154">
        <v>2575.48</v>
      </c>
      <c r="K36" s="154">
        <v>480</v>
      </c>
      <c r="L36" s="154">
        <v>218</v>
      </c>
      <c r="M36" s="155">
        <v>42907</v>
      </c>
      <c r="N36" s="154">
        <v>45777.4</v>
      </c>
      <c r="O36" s="154">
        <v>5</v>
      </c>
      <c r="P36" s="154">
        <v>8</v>
      </c>
      <c r="Q36" s="160" t="s">
        <v>284</v>
      </c>
      <c r="R36" s="161" t="s">
        <v>284</v>
      </c>
      <c r="S36" s="158">
        <v>70</v>
      </c>
      <c r="T36" s="162">
        <v>8</v>
      </c>
      <c r="U36" s="156" t="s">
        <v>284</v>
      </c>
      <c r="V36" s="164" t="s">
        <v>284</v>
      </c>
      <c r="W36" s="122" t="s">
        <v>151</v>
      </c>
      <c r="X36" s="132"/>
      <c r="Y36" s="132"/>
    </row>
    <row r="37" spans="1:25" ht="11.4" customHeight="1">
      <c r="A37" s="237" t="s">
        <v>104</v>
      </c>
      <c r="B37" s="236">
        <v>2056391</v>
      </c>
      <c r="C37" s="233">
        <v>193818</v>
      </c>
      <c r="D37" s="233">
        <v>56312.580999999998</v>
      </c>
      <c r="E37" s="233">
        <v>1302881</v>
      </c>
      <c r="F37" s="233">
        <v>421100.38</v>
      </c>
      <c r="G37" s="233">
        <v>238031</v>
      </c>
      <c r="H37" s="233">
        <v>74997.438000000009</v>
      </c>
      <c r="I37" s="233">
        <v>33694</v>
      </c>
      <c r="J37" s="233">
        <v>8262.0370000000003</v>
      </c>
      <c r="K37" s="233">
        <v>7516</v>
      </c>
      <c r="L37" s="233">
        <v>1599.588</v>
      </c>
      <c r="M37" s="211">
        <v>276340</v>
      </c>
      <c r="N37" s="227">
        <v>328062.44</v>
      </c>
      <c r="O37" s="227">
        <v>315</v>
      </c>
      <c r="P37" s="227">
        <v>73.599999999999994</v>
      </c>
      <c r="Q37" s="227">
        <v>0</v>
      </c>
      <c r="R37" s="227">
        <v>0</v>
      </c>
      <c r="S37" s="227">
        <v>110</v>
      </c>
      <c r="T37" s="227">
        <v>71.599999999999994</v>
      </c>
      <c r="U37" s="209">
        <v>3686</v>
      </c>
      <c r="V37" s="210">
        <v>883.74</v>
      </c>
      <c r="W37" s="212" t="s">
        <v>127</v>
      </c>
      <c r="X37" s="213"/>
      <c r="Y37" s="213"/>
    </row>
    <row r="38" spans="1:25">
      <c r="A38" s="237"/>
      <c r="B38" s="236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11"/>
      <c r="N38" s="227"/>
      <c r="O38" s="227"/>
      <c r="P38" s="227"/>
      <c r="Q38" s="227"/>
      <c r="R38" s="227"/>
      <c r="S38" s="227"/>
      <c r="T38" s="227"/>
      <c r="U38" s="209"/>
      <c r="V38" s="210"/>
      <c r="W38" s="212"/>
      <c r="X38" s="213"/>
      <c r="Y38" s="213"/>
    </row>
    <row r="39" spans="1:25">
      <c r="A39" s="147" t="str">
        <f>VLOOKUP(ListOfRegions!A22,ListOfRegions!A22:B96,2,0)</f>
        <v xml:space="preserve">  Λάρισας</v>
      </c>
      <c r="B39" s="152">
        <v>1277687</v>
      </c>
      <c r="C39" s="153">
        <v>128257</v>
      </c>
      <c r="D39" s="154">
        <v>37411.252</v>
      </c>
      <c r="E39" s="154">
        <v>853211</v>
      </c>
      <c r="F39" s="154">
        <v>291687.935</v>
      </c>
      <c r="G39" s="154">
        <v>156134</v>
      </c>
      <c r="H39" s="153">
        <v>52911.705000000002</v>
      </c>
      <c r="I39" s="154">
        <v>18171</v>
      </c>
      <c r="J39" s="154">
        <v>4550.0320000000002</v>
      </c>
      <c r="K39" s="154">
        <v>7230</v>
      </c>
      <c r="L39" s="154">
        <v>1559</v>
      </c>
      <c r="M39" s="155">
        <v>111087</v>
      </c>
      <c r="N39" s="154">
        <v>138163.5</v>
      </c>
      <c r="O39" s="154">
        <v>107</v>
      </c>
      <c r="P39" s="154">
        <v>32.1</v>
      </c>
      <c r="Q39" s="160" t="s">
        <v>284</v>
      </c>
      <c r="R39" s="161" t="s">
        <v>284</v>
      </c>
      <c r="S39" s="158">
        <v>110</v>
      </c>
      <c r="T39" s="162">
        <v>71.599999999999994</v>
      </c>
      <c r="U39" s="158">
        <v>3380</v>
      </c>
      <c r="V39" s="159">
        <v>823</v>
      </c>
      <c r="W39" s="122" t="s">
        <v>152</v>
      </c>
      <c r="X39" s="132"/>
      <c r="Y39" s="132"/>
    </row>
    <row r="40" spans="1:25">
      <c r="A40" s="147" t="str">
        <f>VLOOKUP(ListOfRegions!A23,ListOfRegions!A23:B97,2,0)</f>
        <v xml:space="preserve">  Καρδίτσας</v>
      </c>
      <c r="B40" s="152">
        <v>304688</v>
      </c>
      <c r="C40" s="153">
        <v>18528</v>
      </c>
      <c r="D40" s="154">
        <v>5263.75</v>
      </c>
      <c r="E40" s="154">
        <v>217971</v>
      </c>
      <c r="F40" s="154">
        <v>72370.97</v>
      </c>
      <c r="G40" s="154">
        <v>8181</v>
      </c>
      <c r="H40" s="153">
        <v>2359.3000000000002</v>
      </c>
      <c r="I40" s="154">
        <v>6650</v>
      </c>
      <c r="J40" s="154">
        <v>1719.6</v>
      </c>
      <c r="K40" s="154">
        <v>30</v>
      </c>
      <c r="L40" s="154">
        <v>4.5</v>
      </c>
      <c r="M40" s="155">
        <v>53166</v>
      </c>
      <c r="N40" s="154">
        <v>54252.45</v>
      </c>
      <c r="O40" s="154">
        <v>162</v>
      </c>
      <c r="P40" s="154">
        <v>29</v>
      </c>
      <c r="Q40" s="160" t="s">
        <v>284</v>
      </c>
      <c r="R40" s="161" t="s">
        <v>284</v>
      </c>
      <c r="S40" s="156" t="s">
        <v>284</v>
      </c>
      <c r="T40" s="157" t="s">
        <v>284</v>
      </c>
      <c r="U40" s="156" t="s">
        <v>284</v>
      </c>
      <c r="V40" s="164" t="s">
        <v>284</v>
      </c>
      <c r="W40" s="122" t="s">
        <v>153</v>
      </c>
      <c r="X40" s="132"/>
      <c r="Y40" s="132"/>
    </row>
    <row r="41" spans="1:25">
      <c r="A41" s="147" t="str">
        <f>VLOOKUP(ListOfRegions!A24,ListOfRegions!A24:B98,2,0)</f>
        <v xml:space="preserve">  Μαγνησίας</v>
      </c>
      <c r="B41" s="152">
        <v>269955</v>
      </c>
      <c r="C41" s="153">
        <v>16568</v>
      </c>
      <c r="D41" s="154">
        <v>5429.46</v>
      </c>
      <c r="E41" s="154">
        <v>182233</v>
      </c>
      <c r="F41" s="154">
        <v>43926.8</v>
      </c>
      <c r="G41" s="154">
        <v>55638</v>
      </c>
      <c r="H41" s="153">
        <v>14912.1</v>
      </c>
      <c r="I41" s="154">
        <v>3820</v>
      </c>
      <c r="J41" s="154">
        <v>994.7</v>
      </c>
      <c r="K41" s="154">
        <v>100</v>
      </c>
      <c r="L41" s="154">
        <v>16</v>
      </c>
      <c r="M41" s="155">
        <v>11596</v>
      </c>
      <c r="N41" s="154">
        <v>16657.2</v>
      </c>
      <c r="O41" s="161" t="s">
        <v>284</v>
      </c>
      <c r="P41" s="161" t="s">
        <v>284</v>
      </c>
      <c r="Q41" s="160" t="s">
        <v>284</v>
      </c>
      <c r="R41" s="161" t="s">
        <v>284</v>
      </c>
      <c r="S41" s="156" t="s">
        <v>284</v>
      </c>
      <c r="T41" s="157" t="s">
        <v>284</v>
      </c>
      <c r="U41" s="156" t="s">
        <v>284</v>
      </c>
      <c r="V41" s="164" t="s">
        <v>284</v>
      </c>
      <c r="W41" s="122" t="s">
        <v>154</v>
      </c>
      <c r="X41" s="132"/>
      <c r="Y41" s="132"/>
    </row>
    <row r="42" spans="1:25">
      <c r="A42" s="147" t="str">
        <f>VLOOKUP(ListOfRegions!A25,ListOfRegions!A25:B99,2,0)</f>
        <v xml:space="preserve">  Σποράδων</v>
      </c>
      <c r="B42" s="152">
        <v>15</v>
      </c>
      <c r="C42" s="160" t="s">
        <v>284</v>
      </c>
      <c r="D42" s="161" t="s">
        <v>284</v>
      </c>
      <c r="E42" s="161" t="s">
        <v>284</v>
      </c>
      <c r="F42" s="161" t="s">
        <v>284</v>
      </c>
      <c r="G42" s="161" t="s">
        <v>284</v>
      </c>
      <c r="H42" s="160" t="s">
        <v>284</v>
      </c>
      <c r="I42" s="161" t="s">
        <v>284</v>
      </c>
      <c r="J42" s="161" t="s">
        <v>284</v>
      </c>
      <c r="K42" s="161" t="s">
        <v>284</v>
      </c>
      <c r="L42" s="161" t="s">
        <v>284</v>
      </c>
      <c r="M42" s="155">
        <v>15</v>
      </c>
      <c r="N42" s="154">
        <v>7.5</v>
      </c>
      <c r="O42" s="161" t="s">
        <v>284</v>
      </c>
      <c r="P42" s="161" t="s">
        <v>284</v>
      </c>
      <c r="Q42" s="160" t="s">
        <v>284</v>
      </c>
      <c r="R42" s="161" t="s">
        <v>284</v>
      </c>
      <c r="S42" s="156" t="s">
        <v>284</v>
      </c>
      <c r="T42" s="157" t="s">
        <v>284</v>
      </c>
      <c r="U42" s="156" t="s">
        <v>284</v>
      </c>
      <c r="V42" s="164" t="s">
        <v>284</v>
      </c>
      <c r="W42" s="122" t="s">
        <v>155</v>
      </c>
      <c r="X42" s="132"/>
      <c r="Y42" s="132"/>
    </row>
    <row r="43" spans="1:25">
      <c r="A43" s="147" t="str">
        <f>VLOOKUP(ListOfRegions!A26,ListOfRegions!A26:B100,2,0)</f>
        <v xml:space="preserve">  Τρικάλων</v>
      </c>
      <c r="B43" s="152">
        <v>204046</v>
      </c>
      <c r="C43" s="153">
        <v>30465</v>
      </c>
      <c r="D43" s="154">
        <v>8208.1190000000006</v>
      </c>
      <c r="E43" s="154">
        <v>49466</v>
      </c>
      <c r="F43" s="154">
        <v>13114.674999999999</v>
      </c>
      <c r="G43" s="154">
        <v>18078</v>
      </c>
      <c r="H43" s="153">
        <v>4814.3329999999996</v>
      </c>
      <c r="I43" s="154">
        <v>5053</v>
      </c>
      <c r="J43" s="154">
        <v>997.70500000000004</v>
      </c>
      <c r="K43" s="154">
        <v>156</v>
      </c>
      <c r="L43" s="154">
        <v>20.088000000000001</v>
      </c>
      <c r="M43" s="155">
        <v>100476</v>
      </c>
      <c r="N43" s="154">
        <v>118981.79</v>
      </c>
      <c r="O43" s="154">
        <v>46</v>
      </c>
      <c r="P43" s="154">
        <v>12.5</v>
      </c>
      <c r="Q43" s="160" t="s">
        <v>284</v>
      </c>
      <c r="R43" s="161" t="s">
        <v>284</v>
      </c>
      <c r="S43" s="156" t="s">
        <v>284</v>
      </c>
      <c r="T43" s="157" t="s">
        <v>284</v>
      </c>
      <c r="U43" s="158">
        <v>306</v>
      </c>
      <c r="V43" s="159">
        <v>60.74</v>
      </c>
      <c r="W43" s="122" t="s">
        <v>156</v>
      </c>
      <c r="X43" s="132"/>
      <c r="Y43" s="132"/>
    </row>
    <row r="44" spans="1:25" ht="11.4" customHeight="1">
      <c r="A44" s="237" t="s">
        <v>105</v>
      </c>
      <c r="B44" s="236">
        <v>1122019</v>
      </c>
      <c r="C44" s="233">
        <v>23782</v>
      </c>
      <c r="D44" s="233">
        <v>5628.8849999999993</v>
      </c>
      <c r="E44" s="233">
        <v>838235</v>
      </c>
      <c r="F44" s="233">
        <v>248089.92</v>
      </c>
      <c r="G44" s="233">
        <v>111454</v>
      </c>
      <c r="H44" s="233">
        <v>29410.428</v>
      </c>
      <c r="I44" s="233">
        <v>34599</v>
      </c>
      <c r="J44" s="233">
        <v>6858.0199999999995</v>
      </c>
      <c r="K44" s="233">
        <v>40</v>
      </c>
      <c r="L44" s="233">
        <v>12.2</v>
      </c>
      <c r="M44" s="211">
        <v>103718</v>
      </c>
      <c r="N44" s="227">
        <v>106778.73400000001</v>
      </c>
      <c r="O44" s="227">
        <v>1390</v>
      </c>
      <c r="P44" s="227">
        <v>264.59999999999997</v>
      </c>
      <c r="Q44" s="227">
        <v>8700</v>
      </c>
      <c r="R44" s="227">
        <v>6580</v>
      </c>
      <c r="S44" s="227">
        <v>100</v>
      </c>
      <c r="T44" s="227">
        <v>18</v>
      </c>
      <c r="U44" s="209">
        <v>1</v>
      </c>
      <c r="V44" s="210">
        <v>0.1</v>
      </c>
      <c r="W44" s="212" t="s">
        <v>119</v>
      </c>
      <c r="X44" s="213"/>
      <c r="Y44" s="213"/>
    </row>
    <row r="45" spans="1:25">
      <c r="A45" s="237"/>
      <c r="B45" s="236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11"/>
      <c r="N45" s="227"/>
      <c r="O45" s="227"/>
      <c r="P45" s="227"/>
      <c r="Q45" s="227"/>
      <c r="R45" s="227"/>
      <c r="S45" s="227"/>
      <c r="T45" s="227"/>
      <c r="U45" s="209"/>
      <c r="V45" s="210"/>
      <c r="W45" s="212"/>
      <c r="X45" s="213"/>
      <c r="Y45" s="213"/>
    </row>
    <row r="46" spans="1:25">
      <c r="A46" s="147" t="str">
        <f>VLOOKUP(ListOfRegions!A27,ListOfRegions!A27:B101,2,0)</f>
        <v xml:space="preserve">  Φθιώτιδας</v>
      </c>
      <c r="B46" s="152">
        <v>589078</v>
      </c>
      <c r="C46" s="153">
        <v>12634</v>
      </c>
      <c r="D46" s="154">
        <v>3751.6</v>
      </c>
      <c r="E46" s="154">
        <v>457435</v>
      </c>
      <c r="F46" s="154">
        <v>136212.91</v>
      </c>
      <c r="G46" s="154">
        <v>43611</v>
      </c>
      <c r="H46" s="153">
        <v>13477.75</v>
      </c>
      <c r="I46" s="154">
        <v>8535</v>
      </c>
      <c r="J46" s="154">
        <v>1850.42</v>
      </c>
      <c r="K46" s="154">
        <v>40</v>
      </c>
      <c r="L46" s="154">
        <v>12.2</v>
      </c>
      <c r="M46" s="155">
        <v>57960</v>
      </c>
      <c r="N46" s="154">
        <v>64624.160000000003</v>
      </c>
      <c r="O46" s="154">
        <v>63</v>
      </c>
      <c r="P46" s="154">
        <v>23.45</v>
      </c>
      <c r="Q46" s="153">
        <v>8700</v>
      </c>
      <c r="R46" s="154">
        <v>6580</v>
      </c>
      <c r="S46" s="158">
        <v>100</v>
      </c>
      <c r="T46" s="162">
        <v>18</v>
      </c>
      <c r="U46" s="156" t="s">
        <v>284</v>
      </c>
      <c r="V46" s="164" t="s">
        <v>284</v>
      </c>
      <c r="W46" s="122" t="s">
        <v>157</v>
      </c>
      <c r="X46" s="132"/>
      <c r="Y46" s="132"/>
    </row>
    <row r="47" spans="1:25">
      <c r="A47" s="147" t="str">
        <f>VLOOKUP(ListOfRegions!A28,ListOfRegions!A28:B102,2,0)</f>
        <v xml:space="preserve">  Βοιωτίας</v>
      </c>
      <c r="B47" s="152">
        <v>370738</v>
      </c>
      <c r="C47" s="153">
        <v>150</v>
      </c>
      <c r="D47" s="154">
        <v>45</v>
      </c>
      <c r="E47" s="154">
        <v>301163</v>
      </c>
      <c r="F47" s="154">
        <v>98548.9</v>
      </c>
      <c r="G47" s="154">
        <v>34860</v>
      </c>
      <c r="H47" s="153">
        <v>8436.2000000000007</v>
      </c>
      <c r="I47" s="154">
        <v>6255</v>
      </c>
      <c r="J47" s="154">
        <v>1534.75</v>
      </c>
      <c r="K47" s="161" t="s">
        <v>284</v>
      </c>
      <c r="L47" s="161" t="s">
        <v>284</v>
      </c>
      <c r="M47" s="155">
        <v>28310</v>
      </c>
      <c r="N47" s="154">
        <v>30019</v>
      </c>
      <c r="O47" s="161" t="s">
        <v>284</v>
      </c>
      <c r="P47" s="161" t="s">
        <v>284</v>
      </c>
      <c r="Q47" s="160" t="s">
        <v>284</v>
      </c>
      <c r="R47" s="161" t="s">
        <v>284</v>
      </c>
      <c r="S47" s="156" t="s">
        <v>284</v>
      </c>
      <c r="T47" s="157" t="s">
        <v>284</v>
      </c>
      <c r="U47" s="156" t="s">
        <v>284</v>
      </c>
      <c r="V47" s="164" t="s">
        <v>284</v>
      </c>
      <c r="W47" s="122" t="s">
        <v>158</v>
      </c>
      <c r="X47" s="132"/>
      <c r="Y47" s="132"/>
    </row>
    <row r="48" spans="1:25">
      <c r="A48" s="147" t="str">
        <f>VLOOKUP(ListOfRegions!A29,ListOfRegions!A29:B103,2,0)</f>
        <v xml:space="preserve">  Εύβοιας</v>
      </c>
      <c r="B48" s="152">
        <v>139759</v>
      </c>
      <c r="C48" s="153">
        <v>5795</v>
      </c>
      <c r="D48" s="154">
        <v>856.58500000000004</v>
      </c>
      <c r="E48" s="154">
        <v>73855</v>
      </c>
      <c r="F48" s="154">
        <v>12306.19</v>
      </c>
      <c r="G48" s="154">
        <v>31385</v>
      </c>
      <c r="H48" s="153">
        <v>7208.8779999999997</v>
      </c>
      <c r="I48" s="154">
        <v>13952</v>
      </c>
      <c r="J48" s="154">
        <v>2794.95</v>
      </c>
      <c r="K48" s="161" t="s">
        <v>284</v>
      </c>
      <c r="L48" s="161" t="s">
        <v>284</v>
      </c>
      <c r="M48" s="155">
        <v>14293</v>
      </c>
      <c r="N48" s="154">
        <v>10483.964</v>
      </c>
      <c r="O48" s="154">
        <v>478</v>
      </c>
      <c r="P48" s="154">
        <v>31.35</v>
      </c>
      <c r="Q48" s="160" t="s">
        <v>284</v>
      </c>
      <c r="R48" s="161" t="s">
        <v>284</v>
      </c>
      <c r="S48" s="156" t="s">
        <v>284</v>
      </c>
      <c r="T48" s="157" t="s">
        <v>284</v>
      </c>
      <c r="U48" s="158">
        <v>1</v>
      </c>
      <c r="V48" s="159">
        <v>0.1</v>
      </c>
      <c r="W48" s="122" t="s">
        <v>159</v>
      </c>
      <c r="X48" s="132"/>
      <c r="Y48" s="132"/>
    </row>
    <row r="49" spans="1:25">
      <c r="A49" s="147" t="str">
        <f>VLOOKUP(ListOfRegions!A30,ListOfRegions!A30:B104,2,0)</f>
        <v xml:space="preserve">  Ευρυτανίας</v>
      </c>
      <c r="B49" s="152">
        <v>1672</v>
      </c>
      <c r="C49" s="153">
        <v>22</v>
      </c>
      <c r="D49" s="154">
        <v>3.2</v>
      </c>
      <c r="E49" s="154">
        <v>104</v>
      </c>
      <c r="F49" s="154">
        <v>20.5</v>
      </c>
      <c r="G49" s="154">
        <v>59</v>
      </c>
      <c r="H49" s="153">
        <v>10.6</v>
      </c>
      <c r="I49" s="154">
        <v>198</v>
      </c>
      <c r="J49" s="154">
        <v>35.950000000000003</v>
      </c>
      <c r="K49" s="161" t="s">
        <v>284</v>
      </c>
      <c r="L49" s="161" t="s">
        <v>284</v>
      </c>
      <c r="M49" s="155">
        <v>500</v>
      </c>
      <c r="N49" s="154">
        <v>202.28</v>
      </c>
      <c r="O49" s="154">
        <v>789</v>
      </c>
      <c r="P49" s="154">
        <v>166.84</v>
      </c>
      <c r="Q49" s="160" t="s">
        <v>284</v>
      </c>
      <c r="R49" s="161" t="s">
        <v>284</v>
      </c>
      <c r="S49" s="156" t="s">
        <v>284</v>
      </c>
      <c r="T49" s="157" t="s">
        <v>284</v>
      </c>
      <c r="U49" s="156" t="s">
        <v>284</v>
      </c>
      <c r="V49" s="164" t="s">
        <v>284</v>
      </c>
      <c r="W49" s="122" t="s">
        <v>160</v>
      </c>
      <c r="X49" s="132"/>
      <c r="Y49" s="132"/>
    </row>
    <row r="50" spans="1:25">
      <c r="A50" s="147" t="str">
        <f>VLOOKUP(ListOfRegions!A31,ListOfRegions!A31:B105,2,0)</f>
        <v xml:space="preserve">  Φωκίδας</v>
      </c>
      <c r="B50" s="152">
        <v>20772</v>
      </c>
      <c r="C50" s="153">
        <v>5181</v>
      </c>
      <c r="D50" s="154">
        <v>972.5</v>
      </c>
      <c r="E50" s="154">
        <v>5678</v>
      </c>
      <c r="F50" s="154">
        <v>1001.42</v>
      </c>
      <c r="G50" s="154">
        <v>1539</v>
      </c>
      <c r="H50" s="153">
        <v>277</v>
      </c>
      <c r="I50" s="154">
        <v>5659</v>
      </c>
      <c r="J50" s="154">
        <v>641.95000000000005</v>
      </c>
      <c r="K50" s="161" t="s">
        <v>284</v>
      </c>
      <c r="L50" s="161" t="s">
        <v>284</v>
      </c>
      <c r="M50" s="155">
        <v>2655</v>
      </c>
      <c r="N50" s="154">
        <v>1449.33</v>
      </c>
      <c r="O50" s="154">
        <v>60</v>
      </c>
      <c r="P50" s="154">
        <v>42.96</v>
      </c>
      <c r="Q50" s="160" t="s">
        <v>284</v>
      </c>
      <c r="R50" s="161" t="s">
        <v>284</v>
      </c>
      <c r="S50" s="156" t="s">
        <v>284</v>
      </c>
      <c r="T50" s="157" t="s">
        <v>284</v>
      </c>
      <c r="U50" s="156" t="s">
        <v>284</v>
      </c>
      <c r="V50" s="164" t="s">
        <v>284</v>
      </c>
      <c r="W50" s="122" t="s">
        <v>161</v>
      </c>
      <c r="X50" s="132"/>
      <c r="Y50" s="132"/>
    </row>
    <row r="51" spans="1:25" ht="11.4" customHeight="1">
      <c r="A51" s="237" t="s">
        <v>106</v>
      </c>
      <c r="B51" s="236">
        <v>36399</v>
      </c>
      <c r="C51" s="233">
        <v>535</v>
      </c>
      <c r="D51" s="233">
        <v>37.35</v>
      </c>
      <c r="E51" s="233">
        <v>15577</v>
      </c>
      <c r="F51" s="233">
        <v>2310.6999999999998</v>
      </c>
      <c r="G51" s="233">
        <v>2762</v>
      </c>
      <c r="H51" s="233">
        <v>354.49</v>
      </c>
      <c r="I51" s="233">
        <v>9561</v>
      </c>
      <c r="J51" s="233">
        <v>1264.4000000000001</v>
      </c>
      <c r="K51" s="233">
        <v>880</v>
      </c>
      <c r="L51" s="233">
        <v>160.76</v>
      </c>
      <c r="M51" s="211">
        <v>3381</v>
      </c>
      <c r="N51" s="227">
        <v>937.245</v>
      </c>
      <c r="O51" s="227">
        <v>3586</v>
      </c>
      <c r="P51" s="227">
        <v>513.81899999999996</v>
      </c>
      <c r="Q51" s="227">
        <v>96</v>
      </c>
      <c r="R51" s="227">
        <v>13.3</v>
      </c>
      <c r="S51" s="227">
        <v>0</v>
      </c>
      <c r="T51" s="227">
        <v>0</v>
      </c>
      <c r="U51" s="209">
        <v>21</v>
      </c>
      <c r="V51" s="210">
        <v>2.4</v>
      </c>
      <c r="W51" s="212" t="s">
        <v>120</v>
      </c>
      <c r="X51" s="213"/>
      <c r="Y51" s="213"/>
    </row>
    <row r="52" spans="1:25" ht="11.4" customHeight="1">
      <c r="A52" s="237"/>
      <c r="B52" s="236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11"/>
      <c r="N52" s="227"/>
      <c r="O52" s="227"/>
      <c r="P52" s="227"/>
      <c r="Q52" s="227"/>
      <c r="R52" s="227"/>
      <c r="S52" s="227"/>
      <c r="T52" s="227"/>
      <c r="U52" s="209"/>
      <c r="V52" s="210"/>
      <c r="W52" s="212"/>
      <c r="X52" s="213"/>
      <c r="Y52" s="213"/>
    </row>
    <row r="53" spans="1:25">
      <c r="A53" s="147" t="str">
        <f>VLOOKUP(ListOfRegions!A32,ListOfRegions!A32:B106,2,0)</f>
        <v xml:space="preserve">  Κέρκυρας</v>
      </c>
      <c r="B53" s="152">
        <v>6546</v>
      </c>
      <c r="C53" s="153">
        <v>32</v>
      </c>
      <c r="D53" s="154">
        <v>5.4</v>
      </c>
      <c r="E53" s="161" t="s">
        <v>284</v>
      </c>
      <c r="F53" s="161" t="s">
        <v>284</v>
      </c>
      <c r="G53" s="154">
        <v>49</v>
      </c>
      <c r="H53" s="153">
        <v>7.91</v>
      </c>
      <c r="I53" s="154">
        <v>325</v>
      </c>
      <c r="J53" s="154">
        <v>35.43</v>
      </c>
      <c r="K53" s="154">
        <v>19</v>
      </c>
      <c r="L53" s="154">
        <v>6.5</v>
      </c>
      <c r="M53" s="155">
        <v>2556</v>
      </c>
      <c r="N53" s="154">
        <v>683.32500000000005</v>
      </c>
      <c r="O53" s="154">
        <v>3450</v>
      </c>
      <c r="P53" s="154">
        <v>464.28899999999999</v>
      </c>
      <c r="Q53" s="153">
        <v>96</v>
      </c>
      <c r="R53" s="154">
        <v>13.3</v>
      </c>
      <c r="S53" s="156" t="s">
        <v>284</v>
      </c>
      <c r="T53" s="157" t="s">
        <v>284</v>
      </c>
      <c r="U53" s="158">
        <v>19</v>
      </c>
      <c r="V53" s="159">
        <v>1.9</v>
      </c>
      <c r="W53" s="122" t="s">
        <v>162</v>
      </c>
      <c r="X53" s="132"/>
      <c r="Y53" s="132"/>
    </row>
    <row r="54" spans="1:25">
      <c r="A54" s="147" t="str">
        <f>VLOOKUP(ListOfRegions!A33,ListOfRegions!A33:B107,2,0)</f>
        <v xml:space="preserve">  Ζακύνθου</v>
      </c>
      <c r="B54" s="152">
        <v>18570</v>
      </c>
      <c r="C54" s="160" t="s">
        <v>284</v>
      </c>
      <c r="D54" s="161" t="s">
        <v>284</v>
      </c>
      <c r="E54" s="154">
        <v>12331</v>
      </c>
      <c r="F54" s="154">
        <v>1905.46</v>
      </c>
      <c r="G54" s="154">
        <v>2205</v>
      </c>
      <c r="H54" s="153">
        <v>285.60000000000002</v>
      </c>
      <c r="I54" s="154">
        <v>2418</v>
      </c>
      <c r="J54" s="154">
        <v>354.55</v>
      </c>
      <c r="K54" s="154">
        <v>844</v>
      </c>
      <c r="L54" s="154">
        <v>148.69999999999999</v>
      </c>
      <c r="M54" s="155">
        <v>673</v>
      </c>
      <c r="N54" s="154">
        <v>199.57</v>
      </c>
      <c r="O54" s="154">
        <v>99</v>
      </c>
      <c r="P54" s="154">
        <v>37.08</v>
      </c>
      <c r="Q54" s="160" t="s">
        <v>284</v>
      </c>
      <c r="R54" s="161" t="s">
        <v>284</v>
      </c>
      <c r="S54" s="156" t="s">
        <v>284</v>
      </c>
      <c r="T54" s="157" t="s">
        <v>284</v>
      </c>
      <c r="U54" s="156" t="s">
        <v>284</v>
      </c>
      <c r="V54" s="164" t="s">
        <v>284</v>
      </c>
      <c r="W54" s="122" t="s">
        <v>163</v>
      </c>
      <c r="X54" s="132"/>
      <c r="Y54" s="132"/>
    </row>
    <row r="55" spans="1:25">
      <c r="A55" s="147" t="str">
        <f>VLOOKUP(ListOfRegions!A34,ListOfRegions!A34:B108,2,0)</f>
        <v xml:space="preserve">  Ιθάκης</v>
      </c>
      <c r="B55" s="152">
        <v>0</v>
      </c>
      <c r="C55" s="160" t="s">
        <v>284</v>
      </c>
      <c r="D55" s="161" t="s">
        <v>284</v>
      </c>
      <c r="E55" s="161" t="s">
        <v>284</v>
      </c>
      <c r="F55" s="161" t="s">
        <v>284</v>
      </c>
      <c r="G55" s="161" t="s">
        <v>284</v>
      </c>
      <c r="H55" s="160" t="s">
        <v>284</v>
      </c>
      <c r="I55" s="161" t="s">
        <v>284</v>
      </c>
      <c r="J55" s="161" t="s">
        <v>284</v>
      </c>
      <c r="K55" s="161" t="s">
        <v>284</v>
      </c>
      <c r="L55" s="161" t="s">
        <v>284</v>
      </c>
      <c r="M55" s="163" t="s">
        <v>284</v>
      </c>
      <c r="N55" s="161" t="s">
        <v>284</v>
      </c>
      <c r="O55" s="161" t="s">
        <v>284</v>
      </c>
      <c r="P55" s="161" t="s">
        <v>284</v>
      </c>
      <c r="Q55" s="160" t="s">
        <v>284</v>
      </c>
      <c r="R55" s="161" t="s">
        <v>284</v>
      </c>
      <c r="S55" s="156" t="s">
        <v>284</v>
      </c>
      <c r="T55" s="157" t="s">
        <v>284</v>
      </c>
      <c r="U55" s="156" t="s">
        <v>284</v>
      </c>
      <c r="V55" s="164" t="s">
        <v>284</v>
      </c>
      <c r="W55" s="122" t="s">
        <v>164</v>
      </c>
      <c r="X55" s="132"/>
      <c r="Y55" s="132"/>
    </row>
    <row r="56" spans="1:25">
      <c r="A56" s="147" t="str">
        <f>VLOOKUP(ListOfRegions!A35,ListOfRegions!A35:B109,2,0)</f>
        <v xml:space="preserve">  Κεφαλληνίας</v>
      </c>
      <c r="B56" s="152">
        <v>10437</v>
      </c>
      <c r="C56" s="153">
        <v>478</v>
      </c>
      <c r="D56" s="154">
        <v>28.05</v>
      </c>
      <c r="E56" s="154">
        <v>3246</v>
      </c>
      <c r="F56" s="154">
        <v>405.24</v>
      </c>
      <c r="G56" s="154">
        <v>278</v>
      </c>
      <c r="H56" s="153">
        <v>34.450000000000003</v>
      </c>
      <c r="I56" s="154">
        <v>6407</v>
      </c>
      <c r="J56" s="154">
        <v>820.77</v>
      </c>
      <c r="K56" s="154">
        <v>6</v>
      </c>
      <c r="L56" s="154">
        <v>0.36</v>
      </c>
      <c r="M56" s="155">
        <v>18</v>
      </c>
      <c r="N56" s="154">
        <v>3.1</v>
      </c>
      <c r="O56" s="154">
        <v>2</v>
      </c>
      <c r="P56" s="154">
        <v>0.5</v>
      </c>
      <c r="Q56" s="160" t="s">
        <v>284</v>
      </c>
      <c r="R56" s="161" t="s">
        <v>284</v>
      </c>
      <c r="S56" s="156" t="s">
        <v>284</v>
      </c>
      <c r="T56" s="157" t="s">
        <v>284</v>
      </c>
      <c r="U56" s="158">
        <v>2</v>
      </c>
      <c r="V56" s="159">
        <v>0.5</v>
      </c>
      <c r="W56" s="122" t="s">
        <v>165</v>
      </c>
      <c r="X56" s="132"/>
      <c r="Y56" s="132"/>
    </row>
    <row r="57" spans="1:25">
      <c r="A57" s="147" t="str">
        <f>VLOOKUP(ListOfRegions!A36,ListOfRegions!A36:B110,2,0)</f>
        <v xml:space="preserve">  Λευκάδας</v>
      </c>
      <c r="B57" s="152">
        <v>846</v>
      </c>
      <c r="C57" s="153">
        <v>25</v>
      </c>
      <c r="D57" s="154">
        <v>3.9</v>
      </c>
      <c r="E57" s="161" t="s">
        <v>284</v>
      </c>
      <c r="F57" s="161" t="s">
        <v>284</v>
      </c>
      <c r="G57" s="154">
        <v>230</v>
      </c>
      <c r="H57" s="153">
        <v>26.53</v>
      </c>
      <c r="I57" s="154">
        <v>411</v>
      </c>
      <c r="J57" s="154">
        <v>53.65</v>
      </c>
      <c r="K57" s="154">
        <v>11</v>
      </c>
      <c r="L57" s="154">
        <v>5.2</v>
      </c>
      <c r="M57" s="155">
        <v>134</v>
      </c>
      <c r="N57" s="154">
        <v>51.25</v>
      </c>
      <c r="O57" s="154">
        <v>35</v>
      </c>
      <c r="P57" s="154">
        <v>11.95</v>
      </c>
      <c r="Q57" s="160" t="s">
        <v>284</v>
      </c>
      <c r="R57" s="161" t="s">
        <v>284</v>
      </c>
      <c r="S57" s="156" t="s">
        <v>284</v>
      </c>
      <c r="T57" s="157" t="s">
        <v>284</v>
      </c>
      <c r="U57" s="156" t="s">
        <v>284</v>
      </c>
      <c r="V57" s="164" t="s">
        <v>284</v>
      </c>
      <c r="W57" s="122" t="s">
        <v>166</v>
      </c>
      <c r="X57" s="132"/>
      <c r="Y57" s="132"/>
    </row>
    <row r="58" spans="1:25" ht="11.4" customHeight="1">
      <c r="A58" s="237" t="s">
        <v>107</v>
      </c>
      <c r="B58" s="236">
        <v>736666</v>
      </c>
      <c r="C58" s="233">
        <v>21784</v>
      </c>
      <c r="D58" s="233">
        <v>5327.375</v>
      </c>
      <c r="E58" s="233">
        <v>61409</v>
      </c>
      <c r="F58" s="233">
        <v>13592.285</v>
      </c>
      <c r="G58" s="233">
        <v>73435</v>
      </c>
      <c r="H58" s="233">
        <v>16800.53</v>
      </c>
      <c r="I58" s="233">
        <v>207146</v>
      </c>
      <c r="J58" s="233">
        <v>42428.457999999999</v>
      </c>
      <c r="K58" s="233">
        <v>504</v>
      </c>
      <c r="L58" s="233">
        <v>124.9</v>
      </c>
      <c r="M58" s="211">
        <v>354093</v>
      </c>
      <c r="N58" s="227">
        <v>364577.24</v>
      </c>
      <c r="O58" s="227">
        <v>6255</v>
      </c>
      <c r="P58" s="227">
        <v>2662.2799999999997</v>
      </c>
      <c r="Q58" s="227">
        <v>12015</v>
      </c>
      <c r="R58" s="227">
        <v>6907</v>
      </c>
      <c r="S58" s="227">
        <v>20</v>
      </c>
      <c r="T58" s="227">
        <v>4</v>
      </c>
      <c r="U58" s="209">
        <v>5</v>
      </c>
      <c r="V58" s="210">
        <v>0.8</v>
      </c>
      <c r="W58" s="212" t="s">
        <v>121</v>
      </c>
      <c r="X58" s="213"/>
      <c r="Y58" s="213"/>
    </row>
    <row r="59" spans="1:25">
      <c r="A59" s="237"/>
      <c r="B59" s="236"/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11"/>
      <c r="N59" s="227"/>
      <c r="O59" s="227"/>
      <c r="P59" s="227"/>
      <c r="Q59" s="227"/>
      <c r="R59" s="227"/>
      <c r="S59" s="227"/>
      <c r="T59" s="227"/>
      <c r="U59" s="209"/>
      <c r="V59" s="210"/>
      <c r="W59" s="212"/>
      <c r="X59" s="213"/>
      <c r="Y59" s="213"/>
    </row>
    <row r="60" spans="1:25">
      <c r="A60" s="147" t="str">
        <f>VLOOKUP(ListOfRegions!A37,ListOfRegions!A37:B111,2,0)</f>
        <v xml:space="preserve">  Αχαϊας</v>
      </c>
      <c r="B60" s="152">
        <v>184765</v>
      </c>
      <c r="C60" s="153">
        <v>8773</v>
      </c>
      <c r="D60" s="154">
        <v>2049.3150000000001</v>
      </c>
      <c r="E60" s="154">
        <v>38447</v>
      </c>
      <c r="F60" s="154">
        <v>8990.1749999999993</v>
      </c>
      <c r="G60" s="154">
        <v>29323</v>
      </c>
      <c r="H60" s="153">
        <v>6738.4</v>
      </c>
      <c r="I60" s="154">
        <v>67813</v>
      </c>
      <c r="J60" s="154">
        <v>16082.3</v>
      </c>
      <c r="K60" s="154">
        <v>215</v>
      </c>
      <c r="L60" s="154">
        <v>58.6</v>
      </c>
      <c r="M60" s="155">
        <v>39539</v>
      </c>
      <c r="N60" s="154">
        <v>29691.9</v>
      </c>
      <c r="O60" s="154">
        <v>650</v>
      </c>
      <c r="P60" s="154">
        <v>262.55</v>
      </c>
      <c r="Q60" s="160" t="s">
        <v>284</v>
      </c>
      <c r="R60" s="161" t="s">
        <v>284</v>
      </c>
      <c r="S60" s="156" t="s">
        <v>284</v>
      </c>
      <c r="T60" s="157" t="s">
        <v>284</v>
      </c>
      <c r="U60" s="158">
        <v>5</v>
      </c>
      <c r="V60" s="159">
        <v>0.8</v>
      </c>
      <c r="W60" s="122" t="s">
        <v>167</v>
      </c>
      <c r="X60" s="132"/>
      <c r="Y60" s="132"/>
    </row>
    <row r="61" spans="1:25">
      <c r="A61" s="147" t="str">
        <f>VLOOKUP(ListOfRegions!A38,ListOfRegions!A38:B112,2,0)</f>
        <v xml:space="preserve">  Αιτωλ/νανίας</v>
      </c>
      <c r="B61" s="152">
        <v>257634</v>
      </c>
      <c r="C61" s="153">
        <v>7589</v>
      </c>
      <c r="D61" s="154">
        <v>1779.85</v>
      </c>
      <c r="E61" s="154">
        <v>21288</v>
      </c>
      <c r="F61" s="154">
        <v>4205.3100000000004</v>
      </c>
      <c r="G61" s="154">
        <v>8822</v>
      </c>
      <c r="H61" s="153">
        <v>1944.13</v>
      </c>
      <c r="I61" s="154">
        <v>65608</v>
      </c>
      <c r="J61" s="154">
        <v>10663.692999999999</v>
      </c>
      <c r="K61" s="161" t="s">
        <v>284</v>
      </c>
      <c r="L61" s="161" t="s">
        <v>284</v>
      </c>
      <c r="M61" s="155">
        <v>141462</v>
      </c>
      <c r="N61" s="154">
        <v>142269.405</v>
      </c>
      <c r="O61" s="154">
        <v>850</v>
      </c>
      <c r="P61" s="154">
        <v>493.13</v>
      </c>
      <c r="Q61" s="153">
        <v>12015</v>
      </c>
      <c r="R61" s="154">
        <v>6907</v>
      </c>
      <c r="S61" s="156" t="s">
        <v>284</v>
      </c>
      <c r="T61" s="157" t="s">
        <v>284</v>
      </c>
      <c r="U61" s="156" t="s">
        <v>284</v>
      </c>
      <c r="V61" s="164" t="s">
        <v>284</v>
      </c>
      <c r="W61" s="122" t="s">
        <v>168</v>
      </c>
      <c r="X61" s="132"/>
      <c r="Y61" s="132"/>
    </row>
    <row r="62" spans="1:25">
      <c r="A62" s="147" t="str">
        <f>VLOOKUP(ListOfRegions!A39,ListOfRegions!A39:B113,2,0)</f>
        <v xml:space="preserve">  Ηλείας</v>
      </c>
      <c r="B62" s="152">
        <v>294267</v>
      </c>
      <c r="C62" s="153">
        <v>5422</v>
      </c>
      <c r="D62" s="154">
        <v>1498.21</v>
      </c>
      <c r="E62" s="154">
        <v>1674</v>
      </c>
      <c r="F62" s="154">
        <v>396.8</v>
      </c>
      <c r="G62" s="154">
        <v>35290</v>
      </c>
      <c r="H62" s="153">
        <v>8118</v>
      </c>
      <c r="I62" s="154">
        <v>73725</v>
      </c>
      <c r="J62" s="154">
        <v>15682.465</v>
      </c>
      <c r="K62" s="154">
        <v>289</v>
      </c>
      <c r="L62" s="154">
        <v>66.3</v>
      </c>
      <c r="M62" s="155">
        <v>173092</v>
      </c>
      <c r="N62" s="154">
        <v>192615.935</v>
      </c>
      <c r="O62" s="154">
        <v>4755</v>
      </c>
      <c r="P62" s="154">
        <v>1906.6</v>
      </c>
      <c r="Q62" s="160" t="s">
        <v>284</v>
      </c>
      <c r="R62" s="161" t="s">
        <v>284</v>
      </c>
      <c r="S62" s="158">
        <v>20</v>
      </c>
      <c r="T62" s="162">
        <v>4</v>
      </c>
      <c r="U62" s="156" t="s">
        <v>284</v>
      </c>
      <c r="V62" s="164" t="s">
        <v>284</v>
      </c>
      <c r="W62" s="122" t="s">
        <v>169</v>
      </c>
      <c r="X62" s="132"/>
      <c r="Y62" s="132"/>
    </row>
    <row r="63" spans="1:25" ht="11.4" customHeight="1">
      <c r="A63" s="237" t="s">
        <v>108</v>
      </c>
      <c r="B63" s="236">
        <v>217105</v>
      </c>
      <c r="C63" s="233">
        <v>25881</v>
      </c>
      <c r="D63" s="233">
        <v>6923.6149999999998</v>
      </c>
      <c r="E63" s="233">
        <v>62450</v>
      </c>
      <c r="F63" s="233">
        <v>15236.880000000001</v>
      </c>
      <c r="G63" s="233">
        <v>44883</v>
      </c>
      <c r="H63" s="233">
        <v>10643.831999999999</v>
      </c>
      <c r="I63" s="233">
        <v>54753</v>
      </c>
      <c r="J63" s="233">
        <v>11377.855000000001</v>
      </c>
      <c r="K63" s="233">
        <v>287</v>
      </c>
      <c r="L63" s="233">
        <v>88.4</v>
      </c>
      <c r="M63" s="211">
        <v>27005</v>
      </c>
      <c r="N63" s="227">
        <v>20285.04</v>
      </c>
      <c r="O63" s="227">
        <v>906</v>
      </c>
      <c r="P63" s="227">
        <v>373.18</v>
      </c>
      <c r="Q63" s="227">
        <v>900</v>
      </c>
      <c r="R63" s="227">
        <v>470</v>
      </c>
      <c r="S63" s="227">
        <v>0</v>
      </c>
      <c r="T63" s="227">
        <v>0</v>
      </c>
      <c r="U63" s="209">
        <v>40</v>
      </c>
      <c r="V63" s="210">
        <v>20.3</v>
      </c>
      <c r="W63" s="212" t="s">
        <v>122</v>
      </c>
      <c r="X63" s="213"/>
      <c r="Y63" s="213"/>
    </row>
    <row r="64" spans="1:25">
      <c r="A64" s="237"/>
      <c r="B64" s="236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11"/>
      <c r="N64" s="227"/>
      <c r="O64" s="227"/>
      <c r="P64" s="227"/>
      <c r="Q64" s="227"/>
      <c r="R64" s="227"/>
      <c r="S64" s="227"/>
      <c r="T64" s="227"/>
      <c r="U64" s="209"/>
      <c r="V64" s="210"/>
      <c r="W64" s="212"/>
      <c r="X64" s="213"/>
      <c r="Y64" s="213"/>
    </row>
    <row r="65" spans="1:25">
      <c r="A65" s="147" t="str">
        <f>VLOOKUP(ListOfRegions!A40,ListOfRegions!A40:B114,2,0)</f>
        <v xml:space="preserve">  Αρκαδίας</v>
      </c>
      <c r="B65" s="152">
        <v>90517</v>
      </c>
      <c r="C65" s="153">
        <v>19572</v>
      </c>
      <c r="D65" s="154">
        <v>5286.7849999999999</v>
      </c>
      <c r="E65" s="154">
        <v>17628</v>
      </c>
      <c r="F65" s="154">
        <v>4493.54</v>
      </c>
      <c r="G65" s="154">
        <v>17934</v>
      </c>
      <c r="H65" s="153">
        <v>4600.5320000000002</v>
      </c>
      <c r="I65" s="154">
        <v>26562</v>
      </c>
      <c r="J65" s="154">
        <v>5440.74</v>
      </c>
      <c r="K65" s="154">
        <v>32</v>
      </c>
      <c r="L65" s="154">
        <v>4</v>
      </c>
      <c r="M65" s="155">
        <v>8356</v>
      </c>
      <c r="N65" s="154">
        <v>4962.1400000000003</v>
      </c>
      <c r="O65" s="154">
        <v>403</v>
      </c>
      <c r="P65" s="154">
        <v>183.5</v>
      </c>
      <c r="Q65" s="160" t="s">
        <v>284</v>
      </c>
      <c r="R65" s="161" t="s">
        <v>284</v>
      </c>
      <c r="S65" s="156" t="s">
        <v>284</v>
      </c>
      <c r="T65" s="157" t="s">
        <v>284</v>
      </c>
      <c r="U65" s="158">
        <v>30</v>
      </c>
      <c r="V65" s="159">
        <v>10.3</v>
      </c>
      <c r="W65" s="122" t="s">
        <v>170</v>
      </c>
      <c r="X65" s="132"/>
      <c r="Y65" s="132"/>
    </row>
    <row r="66" spans="1:25">
      <c r="A66" s="147" t="str">
        <f>VLOOKUP(ListOfRegions!A41,ListOfRegions!A41:B115,2,0)</f>
        <v xml:space="preserve">  Αργολίδας</v>
      </c>
      <c r="B66" s="152">
        <v>30457</v>
      </c>
      <c r="C66" s="153">
        <v>1035</v>
      </c>
      <c r="D66" s="154">
        <v>222.5</v>
      </c>
      <c r="E66" s="154">
        <v>12455</v>
      </c>
      <c r="F66" s="154">
        <v>2597.8000000000002</v>
      </c>
      <c r="G66" s="154">
        <v>6995</v>
      </c>
      <c r="H66" s="153">
        <v>1392.2</v>
      </c>
      <c r="I66" s="154">
        <v>8582</v>
      </c>
      <c r="J66" s="154">
        <v>1595.6</v>
      </c>
      <c r="K66" s="161" t="s">
        <v>284</v>
      </c>
      <c r="L66" s="161" t="s">
        <v>284</v>
      </c>
      <c r="M66" s="155">
        <v>1390</v>
      </c>
      <c r="N66" s="154">
        <v>1226</v>
      </c>
      <c r="O66" s="161" t="s">
        <v>284</v>
      </c>
      <c r="P66" s="161" t="s">
        <v>284</v>
      </c>
      <c r="Q66" s="160" t="s">
        <v>284</v>
      </c>
      <c r="R66" s="161" t="s">
        <v>284</v>
      </c>
      <c r="S66" s="156" t="s">
        <v>284</v>
      </c>
      <c r="T66" s="157" t="s">
        <v>284</v>
      </c>
      <c r="U66" s="156" t="s">
        <v>284</v>
      </c>
      <c r="V66" s="164" t="s">
        <v>284</v>
      </c>
      <c r="W66" s="122" t="s">
        <v>171</v>
      </c>
      <c r="X66" s="132"/>
      <c r="Y66" s="132"/>
    </row>
    <row r="67" spans="1:25">
      <c r="A67" s="147" t="str">
        <f>VLOOKUP(ListOfRegions!A42,ListOfRegions!A42:B116,2,0)</f>
        <v xml:space="preserve">  Κορινθίας</v>
      </c>
      <c r="B67" s="152">
        <v>59267</v>
      </c>
      <c r="C67" s="153">
        <v>2540</v>
      </c>
      <c r="D67" s="154">
        <v>714.9</v>
      </c>
      <c r="E67" s="154">
        <v>29983</v>
      </c>
      <c r="F67" s="154">
        <v>7530.2</v>
      </c>
      <c r="G67" s="154">
        <v>14919</v>
      </c>
      <c r="H67" s="153">
        <v>3380.57</v>
      </c>
      <c r="I67" s="154">
        <v>10547</v>
      </c>
      <c r="J67" s="154">
        <v>2256.75</v>
      </c>
      <c r="K67" s="161" t="s">
        <v>284</v>
      </c>
      <c r="L67" s="161" t="s">
        <v>284</v>
      </c>
      <c r="M67" s="155">
        <v>1201</v>
      </c>
      <c r="N67" s="154">
        <v>1106.3</v>
      </c>
      <c r="O67" s="154">
        <v>77</v>
      </c>
      <c r="P67" s="154">
        <v>36</v>
      </c>
      <c r="Q67" s="160" t="s">
        <v>284</v>
      </c>
      <c r="R67" s="161" t="s">
        <v>284</v>
      </c>
      <c r="S67" s="156" t="s">
        <v>284</v>
      </c>
      <c r="T67" s="157" t="s">
        <v>284</v>
      </c>
      <c r="U67" s="156" t="s">
        <v>284</v>
      </c>
      <c r="V67" s="164" t="s">
        <v>284</v>
      </c>
      <c r="W67" s="122" t="s">
        <v>172</v>
      </c>
      <c r="X67" s="132"/>
      <c r="Y67" s="132"/>
    </row>
    <row r="68" spans="1:25">
      <c r="A68" s="147" t="str">
        <f>VLOOKUP(ListOfRegions!A43,ListOfRegions!A43:B117,2,0)</f>
        <v xml:space="preserve">  Λακωνίας</v>
      </c>
      <c r="B68" s="152">
        <v>16942</v>
      </c>
      <c r="C68" s="153">
        <v>1958</v>
      </c>
      <c r="D68" s="154">
        <v>492.18</v>
      </c>
      <c r="E68" s="154">
        <v>1357</v>
      </c>
      <c r="F68" s="154">
        <v>330.74</v>
      </c>
      <c r="G68" s="154">
        <v>3493</v>
      </c>
      <c r="H68" s="153">
        <v>924.31</v>
      </c>
      <c r="I68" s="154">
        <v>4398</v>
      </c>
      <c r="J68" s="154">
        <v>964.45</v>
      </c>
      <c r="K68" s="154">
        <v>228</v>
      </c>
      <c r="L68" s="154">
        <v>76</v>
      </c>
      <c r="M68" s="155">
        <v>5380</v>
      </c>
      <c r="N68" s="154">
        <v>4338.3999999999996</v>
      </c>
      <c r="O68" s="154">
        <v>128</v>
      </c>
      <c r="P68" s="154">
        <v>75.599999999999994</v>
      </c>
      <c r="Q68" s="160" t="s">
        <v>284</v>
      </c>
      <c r="R68" s="161" t="s">
        <v>284</v>
      </c>
      <c r="S68" s="156" t="s">
        <v>284</v>
      </c>
      <c r="T68" s="157" t="s">
        <v>284</v>
      </c>
      <c r="U68" s="156" t="s">
        <v>284</v>
      </c>
      <c r="V68" s="164" t="s">
        <v>284</v>
      </c>
      <c r="W68" s="122" t="s">
        <v>173</v>
      </c>
      <c r="X68" s="132"/>
      <c r="Y68" s="132"/>
    </row>
    <row r="69" spans="1:25">
      <c r="A69" s="147" t="str">
        <f>VLOOKUP(ListOfRegions!A44,ListOfRegions!A44:B118,2,0)</f>
        <v xml:space="preserve">  Μεσσηνίας</v>
      </c>
      <c r="B69" s="152">
        <v>19922</v>
      </c>
      <c r="C69" s="153">
        <v>776</v>
      </c>
      <c r="D69" s="154">
        <v>207.25</v>
      </c>
      <c r="E69" s="154">
        <v>1027</v>
      </c>
      <c r="F69" s="154">
        <v>284.60000000000002</v>
      </c>
      <c r="G69" s="154">
        <v>1542</v>
      </c>
      <c r="H69" s="153">
        <v>346.22</v>
      </c>
      <c r="I69" s="154">
        <v>4664</v>
      </c>
      <c r="J69" s="154">
        <v>1120.3150000000001</v>
      </c>
      <c r="K69" s="154">
        <v>27</v>
      </c>
      <c r="L69" s="154">
        <v>8.4</v>
      </c>
      <c r="M69" s="155">
        <v>10678</v>
      </c>
      <c r="N69" s="154">
        <v>8652.2000000000007</v>
      </c>
      <c r="O69" s="154">
        <v>298</v>
      </c>
      <c r="P69" s="154">
        <v>78.08</v>
      </c>
      <c r="Q69" s="153">
        <v>900</v>
      </c>
      <c r="R69" s="154">
        <v>470</v>
      </c>
      <c r="S69" s="156" t="s">
        <v>284</v>
      </c>
      <c r="T69" s="157" t="s">
        <v>284</v>
      </c>
      <c r="U69" s="158">
        <v>10</v>
      </c>
      <c r="V69" s="159">
        <v>10</v>
      </c>
      <c r="W69" s="122" t="s">
        <v>174</v>
      </c>
      <c r="X69" s="132"/>
      <c r="Y69" s="132"/>
    </row>
    <row r="70" spans="1:25" ht="11.4" customHeight="1">
      <c r="A70" s="237" t="s">
        <v>109</v>
      </c>
      <c r="B70" s="236">
        <v>61913</v>
      </c>
      <c r="C70" s="233">
        <v>400</v>
      </c>
      <c r="D70" s="233">
        <v>43.55</v>
      </c>
      <c r="E70" s="233">
        <v>45870</v>
      </c>
      <c r="F70" s="233">
        <v>8524.43</v>
      </c>
      <c r="G70" s="233">
        <v>11435</v>
      </c>
      <c r="H70" s="233">
        <v>2013.95</v>
      </c>
      <c r="I70" s="233">
        <v>4205</v>
      </c>
      <c r="J70" s="233">
        <v>702.35</v>
      </c>
      <c r="K70" s="233">
        <v>0</v>
      </c>
      <c r="L70" s="233">
        <v>0</v>
      </c>
      <c r="M70" s="211">
        <v>3</v>
      </c>
      <c r="N70" s="227">
        <v>3</v>
      </c>
      <c r="O70" s="227">
        <v>0</v>
      </c>
      <c r="P70" s="227">
        <v>0</v>
      </c>
      <c r="Q70" s="227">
        <v>0</v>
      </c>
      <c r="R70" s="227">
        <v>0</v>
      </c>
      <c r="S70" s="227">
        <v>0</v>
      </c>
      <c r="T70" s="227">
        <v>0</v>
      </c>
      <c r="U70" s="209">
        <v>0</v>
      </c>
      <c r="V70" s="210">
        <v>0</v>
      </c>
      <c r="W70" s="212" t="s">
        <v>123</v>
      </c>
      <c r="X70" s="213"/>
      <c r="Y70" s="213"/>
    </row>
    <row r="71" spans="1:25" ht="11.4" customHeight="1">
      <c r="A71" s="237"/>
      <c r="B71" s="236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11"/>
      <c r="N71" s="227"/>
      <c r="O71" s="227"/>
      <c r="P71" s="227"/>
      <c r="Q71" s="227"/>
      <c r="R71" s="227"/>
      <c r="S71" s="227"/>
      <c r="T71" s="227"/>
      <c r="U71" s="209"/>
      <c r="V71" s="210"/>
      <c r="W71" s="212"/>
      <c r="X71" s="213"/>
      <c r="Y71" s="213"/>
    </row>
    <row r="72" spans="1:25" ht="20.399999999999999">
      <c r="A72" s="147" t="str">
        <f>VLOOKUP(ListOfRegions!A45,ListOfRegions!A45:B119,2,0)</f>
        <v xml:space="preserve">  Κεντρικού Τομέα Αθηνών</v>
      </c>
      <c r="B72" s="152">
        <v>0</v>
      </c>
      <c r="C72" s="160" t="s">
        <v>284</v>
      </c>
      <c r="D72" s="161" t="s">
        <v>284</v>
      </c>
      <c r="E72" s="161" t="s">
        <v>284</v>
      </c>
      <c r="F72" s="161" t="s">
        <v>284</v>
      </c>
      <c r="G72" s="161" t="s">
        <v>284</v>
      </c>
      <c r="H72" s="160" t="s">
        <v>284</v>
      </c>
      <c r="I72" s="161" t="s">
        <v>284</v>
      </c>
      <c r="J72" s="161" t="s">
        <v>284</v>
      </c>
      <c r="K72" s="161" t="s">
        <v>284</v>
      </c>
      <c r="L72" s="161" t="s">
        <v>284</v>
      </c>
      <c r="M72" s="163" t="s">
        <v>284</v>
      </c>
      <c r="N72" s="161" t="s">
        <v>284</v>
      </c>
      <c r="O72" s="161" t="s">
        <v>284</v>
      </c>
      <c r="P72" s="161" t="s">
        <v>284</v>
      </c>
      <c r="Q72" s="160" t="s">
        <v>284</v>
      </c>
      <c r="R72" s="161" t="s">
        <v>284</v>
      </c>
      <c r="S72" s="156" t="s">
        <v>284</v>
      </c>
      <c r="T72" s="157" t="s">
        <v>284</v>
      </c>
      <c r="U72" s="156" t="s">
        <v>284</v>
      </c>
      <c r="V72" s="164" t="s">
        <v>284</v>
      </c>
      <c r="W72" s="122" t="s">
        <v>175</v>
      </c>
      <c r="X72" s="132"/>
      <c r="Y72" s="132"/>
    </row>
    <row r="73" spans="1:25">
      <c r="A73" s="147" t="str">
        <f>VLOOKUP(ListOfRegions!A46,ListOfRegions!A46:B120,2,0)</f>
        <v xml:space="preserve"> Βορείου Τομέα Αθηνών</v>
      </c>
      <c r="B73" s="152">
        <v>20</v>
      </c>
      <c r="C73" s="160" t="s">
        <v>284</v>
      </c>
      <c r="D73" s="161" t="s">
        <v>284</v>
      </c>
      <c r="E73" s="154">
        <v>20</v>
      </c>
      <c r="F73" s="154">
        <v>4</v>
      </c>
      <c r="G73" s="161" t="s">
        <v>284</v>
      </c>
      <c r="H73" s="160" t="s">
        <v>284</v>
      </c>
      <c r="I73" s="161" t="s">
        <v>284</v>
      </c>
      <c r="J73" s="161" t="s">
        <v>284</v>
      </c>
      <c r="K73" s="161" t="s">
        <v>284</v>
      </c>
      <c r="L73" s="161" t="s">
        <v>284</v>
      </c>
      <c r="M73" s="163" t="s">
        <v>284</v>
      </c>
      <c r="N73" s="161" t="s">
        <v>284</v>
      </c>
      <c r="O73" s="161" t="s">
        <v>284</v>
      </c>
      <c r="P73" s="161" t="s">
        <v>284</v>
      </c>
      <c r="Q73" s="160" t="s">
        <v>284</v>
      </c>
      <c r="R73" s="161" t="s">
        <v>284</v>
      </c>
      <c r="S73" s="156" t="s">
        <v>284</v>
      </c>
      <c r="T73" s="157" t="s">
        <v>284</v>
      </c>
      <c r="U73" s="156" t="s">
        <v>284</v>
      </c>
      <c r="V73" s="164" t="s">
        <v>284</v>
      </c>
      <c r="W73" s="122" t="s">
        <v>176</v>
      </c>
      <c r="X73" s="132"/>
      <c r="Y73" s="132"/>
    </row>
    <row r="74" spans="1:25" ht="20.399999999999999">
      <c r="A74" s="147" t="str">
        <f>VLOOKUP(ListOfRegions!A47,ListOfRegions!A47:B121,2,0)</f>
        <v xml:space="preserve">  Δυτικού Τομέα Αθηνών</v>
      </c>
      <c r="B74" s="152">
        <v>0</v>
      </c>
      <c r="C74" s="160" t="s">
        <v>284</v>
      </c>
      <c r="D74" s="161" t="s">
        <v>284</v>
      </c>
      <c r="E74" s="161" t="s">
        <v>284</v>
      </c>
      <c r="F74" s="161" t="s">
        <v>284</v>
      </c>
      <c r="G74" s="161" t="s">
        <v>284</v>
      </c>
      <c r="H74" s="160" t="s">
        <v>284</v>
      </c>
      <c r="I74" s="161" t="s">
        <v>284</v>
      </c>
      <c r="J74" s="161" t="s">
        <v>284</v>
      </c>
      <c r="K74" s="161" t="s">
        <v>284</v>
      </c>
      <c r="L74" s="161" t="s">
        <v>284</v>
      </c>
      <c r="M74" s="163" t="s">
        <v>284</v>
      </c>
      <c r="N74" s="161" t="s">
        <v>284</v>
      </c>
      <c r="O74" s="161" t="s">
        <v>284</v>
      </c>
      <c r="P74" s="161" t="s">
        <v>284</v>
      </c>
      <c r="Q74" s="160" t="s">
        <v>284</v>
      </c>
      <c r="R74" s="161" t="s">
        <v>284</v>
      </c>
      <c r="S74" s="156" t="s">
        <v>284</v>
      </c>
      <c r="T74" s="157" t="s">
        <v>284</v>
      </c>
      <c r="U74" s="156" t="s">
        <v>284</v>
      </c>
      <c r="V74" s="164" t="s">
        <v>284</v>
      </c>
      <c r="W74" s="122" t="s">
        <v>177</v>
      </c>
      <c r="X74" s="132"/>
      <c r="Y74" s="132"/>
    </row>
    <row r="75" spans="1:25">
      <c r="A75" s="147" t="str">
        <f>VLOOKUP(ListOfRegions!A48,ListOfRegions!A48:B122,2,0)</f>
        <v xml:space="preserve">  Νοτίου Τομέα Αθηνών</v>
      </c>
      <c r="B75" s="152">
        <v>0</v>
      </c>
      <c r="C75" s="160" t="s">
        <v>284</v>
      </c>
      <c r="D75" s="161" t="s">
        <v>284</v>
      </c>
      <c r="E75" s="161" t="s">
        <v>284</v>
      </c>
      <c r="F75" s="161" t="s">
        <v>284</v>
      </c>
      <c r="G75" s="161" t="s">
        <v>284</v>
      </c>
      <c r="H75" s="160" t="s">
        <v>284</v>
      </c>
      <c r="I75" s="161" t="s">
        <v>284</v>
      </c>
      <c r="J75" s="161" t="s">
        <v>284</v>
      </c>
      <c r="K75" s="161" t="s">
        <v>284</v>
      </c>
      <c r="L75" s="161" t="s">
        <v>284</v>
      </c>
      <c r="M75" s="163" t="s">
        <v>284</v>
      </c>
      <c r="N75" s="161" t="s">
        <v>284</v>
      </c>
      <c r="O75" s="161" t="s">
        <v>284</v>
      </c>
      <c r="P75" s="161" t="s">
        <v>284</v>
      </c>
      <c r="Q75" s="160" t="s">
        <v>284</v>
      </c>
      <c r="R75" s="161" t="s">
        <v>284</v>
      </c>
      <c r="S75" s="156" t="s">
        <v>284</v>
      </c>
      <c r="T75" s="157" t="s">
        <v>284</v>
      </c>
      <c r="U75" s="156" t="s">
        <v>284</v>
      </c>
      <c r="V75" s="164" t="s">
        <v>284</v>
      </c>
      <c r="W75" s="122" t="s">
        <v>178</v>
      </c>
      <c r="X75" s="132"/>
      <c r="Y75" s="132"/>
    </row>
    <row r="76" spans="1:25">
      <c r="A76" s="147" t="str">
        <f>VLOOKUP(ListOfRegions!A49,ListOfRegions!A49:B123,2,0)</f>
        <v xml:space="preserve">  Ανατολικής Αττικής</v>
      </c>
      <c r="B76" s="152">
        <v>20103</v>
      </c>
      <c r="C76" s="160" t="s">
        <v>284</v>
      </c>
      <c r="D76" s="161" t="s">
        <v>284</v>
      </c>
      <c r="E76" s="154">
        <v>17434</v>
      </c>
      <c r="F76" s="154">
        <v>2607.35</v>
      </c>
      <c r="G76" s="154">
        <v>2437</v>
      </c>
      <c r="H76" s="153">
        <v>455.8</v>
      </c>
      <c r="I76" s="154">
        <v>230</v>
      </c>
      <c r="J76" s="154">
        <v>47.85</v>
      </c>
      <c r="K76" s="161" t="s">
        <v>284</v>
      </c>
      <c r="L76" s="161" t="s">
        <v>284</v>
      </c>
      <c r="M76" s="155">
        <v>2</v>
      </c>
      <c r="N76" s="154">
        <v>2</v>
      </c>
      <c r="O76" s="161" t="s">
        <v>284</v>
      </c>
      <c r="P76" s="161" t="s">
        <v>284</v>
      </c>
      <c r="Q76" s="160" t="s">
        <v>284</v>
      </c>
      <c r="R76" s="161" t="s">
        <v>284</v>
      </c>
      <c r="S76" s="156" t="s">
        <v>284</v>
      </c>
      <c r="T76" s="157" t="s">
        <v>284</v>
      </c>
      <c r="U76" s="156" t="s">
        <v>284</v>
      </c>
      <c r="V76" s="164" t="s">
        <v>284</v>
      </c>
      <c r="W76" s="122" t="s">
        <v>179</v>
      </c>
      <c r="X76" s="132"/>
      <c r="Y76" s="132"/>
    </row>
    <row r="77" spans="1:25">
      <c r="A77" s="147" t="str">
        <f>VLOOKUP(ListOfRegions!A50,ListOfRegions!A50:B124,2,0)</f>
        <v xml:space="preserve">  Δυτικής Αττικής</v>
      </c>
      <c r="B77" s="152">
        <v>38811</v>
      </c>
      <c r="C77" s="160" t="s">
        <v>284</v>
      </c>
      <c r="D77" s="161" t="s">
        <v>284</v>
      </c>
      <c r="E77" s="154">
        <v>26660</v>
      </c>
      <c r="F77" s="154">
        <v>5605</v>
      </c>
      <c r="G77" s="154">
        <v>8400</v>
      </c>
      <c r="H77" s="153">
        <v>1471</v>
      </c>
      <c r="I77" s="154">
        <v>3750</v>
      </c>
      <c r="J77" s="154">
        <v>629</v>
      </c>
      <c r="K77" s="161" t="s">
        <v>284</v>
      </c>
      <c r="L77" s="161" t="s">
        <v>284</v>
      </c>
      <c r="M77" s="155">
        <v>1</v>
      </c>
      <c r="N77" s="154">
        <v>1</v>
      </c>
      <c r="O77" s="161" t="s">
        <v>284</v>
      </c>
      <c r="P77" s="161" t="s">
        <v>284</v>
      </c>
      <c r="Q77" s="160" t="s">
        <v>284</v>
      </c>
      <c r="R77" s="161" t="s">
        <v>284</v>
      </c>
      <c r="S77" s="156" t="s">
        <v>284</v>
      </c>
      <c r="T77" s="157" t="s">
        <v>284</v>
      </c>
      <c r="U77" s="156" t="s">
        <v>284</v>
      </c>
      <c r="V77" s="164" t="s">
        <v>284</v>
      </c>
      <c r="W77" s="122" t="s">
        <v>180</v>
      </c>
      <c r="X77" s="132"/>
      <c r="Y77" s="132"/>
    </row>
    <row r="78" spans="1:25">
      <c r="A78" s="147" t="str">
        <f>VLOOKUP(ListOfRegions!A51,ListOfRegions!A51:B125,2,0)</f>
        <v xml:space="preserve">  Πειραιώς</v>
      </c>
      <c r="B78" s="152">
        <v>0</v>
      </c>
      <c r="C78" s="160" t="s">
        <v>284</v>
      </c>
      <c r="D78" s="161" t="s">
        <v>284</v>
      </c>
      <c r="E78" s="161" t="s">
        <v>284</v>
      </c>
      <c r="F78" s="161" t="s">
        <v>284</v>
      </c>
      <c r="G78" s="161" t="s">
        <v>284</v>
      </c>
      <c r="H78" s="160" t="s">
        <v>284</v>
      </c>
      <c r="I78" s="161" t="s">
        <v>284</v>
      </c>
      <c r="J78" s="161" t="s">
        <v>284</v>
      </c>
      <c r="K78" s="161" t="s">
        <v>284</v>
      </c>
      <c r="L78" s="161" t="s">
        <v>284</v>
      </c>
      <c r="M78" s="163" t="s">
        <v>284</v>
      </c>
      <c r="N78" s="161" t="s">
        <v>284</v>
      </c>
      <c r="O78" s="161" t="s">
        <v>284</v>
      </c>
      <c r="P78" s="161" t="s">
        <v>284</v>
      </c>
      <c r="Q78" s="160" t="s">
        <v>284</v>
      </c>
      <c r="R78" s="161" t="s">
        <v>284</v>
      </c>
      <c r="S78" s="156" t="s">
        <v>284</v>
      </c>
      <c r="T78" s="157" t="s">
        <v>284</v>
      </c>
      <c r="U78" s="156" t="s">
        <v>284</v>
      </c>
      <c r="V78" s="164" t="s">
        <v>284</v>
      </c>
      <c r="W78" s="122" t="s">
        <v>181</v>
      </c>
      <c r="X78" s="132"/>
      <c r="Y78" s="132"/>
    </row>
    <row r="79" spans="1:25">
      <c r="A79" s="147" t="str">
        <f>VLOOKUP(ListOfRegions!A52,ListOfRegions!A52:B126,2,0)</f>
        <v xml:space="preserve">  Νήσων</v>
      </c>
      <c r="B79" s="152">
        <v>2979</v>
      </c>
      <c r="C79" s="153">
        <v>400</v>
      </c>
      <c r="D79" s="154">
        <v>43.55</v>
      </c>
      <c r="E79" s="154">
        <v>1756</v>
      </c>
      <c r="F79" s="154">
        <v>308.08</v>
      </c>
      <c r="G79" s="154">
        <v>598</v>
      </c>
      <c r="H79" s="153">
        <v>87.15</v>
      </c>
      <c r="I79" s="154">
        <v>225</v>
      </c>
      <c r="J79" s="154">
        <v>25.5</v>
      </c>
      <c r="K79" s="161" t="s">
        <v>284</v>
      </c>
      <c r="L79" s="161" t="s">
        <v>284</v>
      </c>
      <c r="M79" s="163" t="s">
        <v>284</v>
      </c>
      <c r="N79" s="161" t="s">
        <v>284</v>
      </c>
      <c r="O79" s="161" t="s">
        <v>284</v>
      </c>
      <c r="P79" s="161" t="s">
        <v>284</v>
      </c>
      <c r="Q79" s="160" t="s">
        <v>284</v>
      </c>
      <c r="R79" s="161" t="s">
        <v>284</v>
      </c>
      <c r="S79" s="156" t="s">
        <v>284</v>
      </c>
      <c r="T79" s="157" t="s">
        <v>284</v>
      </c>
      <c r="U79" s="156" t="s">
        <v>284</v>
      </c>
      <c r="V79" s="164" t="s">
        <v>284</v>
      </c>
      <c r="W79" s="122" t="s">
        <v>182</v>
      </c>
      <c r="X79" s="132"/>
      <c r="Y79" s="132"/>
    </row>
    <row r="80" spans="1:25" ht="11.4" customHeight="1">
      <c r="A80" s="237" t="s">
        <v>110</v>
      </c>
      <c r="B80" s="236">
        <v>146787</v>
      </c>
      <c r="C80" s="233">
        <v>22</v>
      </c>
      <c r="D80" s="233">
        <v>4.1120000000000001</v>
      </c>
      <c r="E80" s="233">
        <v>43616</v>
      </c>
      <c r="F80" s="233">
        <v>6077.52</v>
      </c>
      <c r="G80" s="233">
        <v>93356</v>
      </c>
      <c r="H80" s="233">
        <v>11085.596000000001</v>
      </c>
      <c r="I80" s="233">
        <v>8753</v>
      </c>
      <c r="J80" s="233">
        <v>1273.165</v>
      </c>
      <c r="K80" s="233">
        <v>9</v>
      </c>
      <c r="L80" s="233">
        <v>1</v>
      </c>
      <c r="M80" s="211">
        <v>672</v>
      </c>
      <c r="N80" s="227">
        <v>176.03</v>
      </c>
      <c r="O80" s="227">
        <v>350</v>
      </c>
      <c r="P80" s="227">
        <v>108.62999999999998</v>
      </c>
      <c r="Q80" s="227">
        <v>0</v>
      </c>
      <c r="R80" s="227">
        <v>0</v>
      </c>
      <c r="S80" s="227">
        <v>0</v>
      </c>
      <c r="T80" s="227">
        <v>0</v>
      </c>
      <c r="U80" s="209">
        <v>9</v>
      </c>
      <c r="V80" s="210">
        <v>0.67500000000000004</v>
      </c>
      <c r="W80" s="212" t="s">
        <v>124</v>
      </c>
      <c r="X80" s="213"/>
      <c r="Y80" s="213"/>
    </row>
    <row r="81" spans="1:25" ht="11.4" customHeight="1">
      <c r="A81" s="237"/>
      <c r="B81" s="236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11"/>
      <c r="N81" s="227"/>
      <c r="O81" s="227"/>
      <c r="P81" s="227"/>
      <c r="Q81" s="227"/>
      <c r="R81" s="227"/>
      <c r="S81" s="227"/>
      <c r="T81" s="227"/>
      <c r="U81" s="209"/>
      <c r="V81" s="210"/>
      <c r="W81" s="212"/>
      <c r="X81" s="213"/>
      <c r="Y81" s="213"/>
    </row>
    <row r="82" spans="1:25">
      <c r="A82" s="147" t="str">
        <f>VLOOKUP(ListOfRegions!A53,ListOfRegions!A53:B127,2,0)</f>
        <v xml:space="preserve">  Λέσβου</v>
      </c>
      <c r="B82" s="152">
        <v>9317</v>
      </c>
      <c r="C82" s="160" t="s">
        <v>284</v>
      </c>
      <c r="D82" s="161" t="s">
        <v>284</v>
      </c>
      <c r="E82" s="154">
        <v>6413</v>
      </c>
      <c r="F82" s="154">
        <v>1078.7</v>
      </c>
      <c r="G82" s="154">
        <v>1230</v>
      </c>
      <c r="H82" s="153">
        <v>142.25</v>
      </c>
      <c r="I82" s="154">
        <v>1258</v>
      </c>
      <c r="J82" s="154">
        <v>175.05</v>
      </c>
      <c r="K82" s="161" t="s">
        <v>284</v>
      </c>
      <c r="L82" s="161" t="s">
        <v>284</v>
      </c>
      <c r="M82" s="155">
        <v>274</v>
      </c>
      <c r="N82" s="154">
        <v>59.23</v>
      </c>
      <c r="O82" s="154">
        <v>142</v>
      </c>
      <c r="P82" s="154">
        <v>58.89</v>
      </c>
      <c r="Q82" s="160" t="s">
        <v>284</v>
      </c>
      <c r="R82" s="161" t="s">
        <v>284</v>
      </c>
      <c r="S82" s="156" t="s">
        <v>284</v>
      </c>
      <c r="T82" s="157" t="s">
        <v>284</v>
      </c>
      <c r="U82" s="156" t="s">
        <v>284</v>
      </c>
      <c r="V82" s="164" t="s">
        <v>284</v>
      </c>
      <c r="W82" s="122" t="s">
        <v>183</v>
      </c>
      <c r="X82" s="132"/>
      <c r="Y82" s="132"/>
    </row>
    <row r="83" spans="1:25">
      <c r="A83" s="147" t="str">
        <f>VLOOKUP(ListOfRegions!A54,ListOfRegions!A54:B128,2,0)</f>
        <v xml:space="preserve">  Ικαρίας</v>
      </c>
      <c r="B83" s="152">
        <v>596</v>
      </c>
      <c r="C83" s="153">
        <v>4</v>
      </c>
      <c r="D83" s="154">
        <v>0.83199999999999996</v>
      </c>
      <c r="E83" s="154">
        <v>10</v>
      </c>
      <c r="F83" s="154">
        <v>1.4</v>
      </c>
      <c r="G83" s="154">
        <v>182</v>
      </c>
      <c r="H83" s="153">
        <v>24.966000000000001</v>
      </c>
      <c r="I83" s="154">
        <v>286</v>
      </c>
      <c r="J83" s="154">
        <v>32.64</v>
      </c>
      <c r="K83" s="161" t="s">
        <v>284</v>
      </c>
      <c r="L83" s="161" t="s">
        <v>284</v>
      </c>
      <c r="M83" s="155">
        <v>67</v>
      </c>
      <c r="N83" s="154">
        <v>45</v>
      </c>
      <c r="O83" s="154">
        <v>47</v>
      </c>
      <c r="P83" s="154">
        <v>33.799999999999997</v>
      </c>
      <c r="Q83" s="160" t="s">
        <v>284</v>
      </c>
      <c r="R83" s="161" t="s">
        <v>284</v>
      </c>
      <c r="S83" s="156" t="s">
        <v>284</v>
      </c>
      <c r="T83" s="157" t="s">
        <v>284</v>
      </c>
      <c r="U83" s="156" t="s">
        <v>284</v>
      </c>
      <c r="V83" s="164" t="s">
        <v>284</v>
      </c>
      <c r="W83" s="122" t="s">
        <v>184</v>
      </c>
      <c r="X83" s="132"/>
      <c r="Y83" s="132"/>
    </row>
    <row r="84" spans="1:25">
      <c r="A84" s="147" t="str">
        <f>VLOOKUP(ListOfRegions!A55,ListOfRegions!A55:B129,2,0)</f>
        <v xml:space="preserve">  Λήμνου</v>
      </c>
      <c r="B84" s="152">
        <v>129484</v>
      </c>
      <c r="C84" s="160" t="s">
        <v>284</v>
      </c>
      <c r="D84" s="161" t="s">
        <v>284</v>
      </c>
      <c r="E84" s="154">
        <v>31184</v>
      </c>
      <c r="F84" s="154">
        <v>4269.2</v>
      </c>
      <c r="G84" s="154">
        <v>91005</v>
      </c>
      <c r="H84" s="153">
        <v>10828.7</v>
      </c>
      <c r="I84" s="154">
        <v>6820</v>
      </c>
      <c r="J84" s="154">
        <v>1024.93</v>
      </c>
      <c r="K84" s="154">
        <v>9</v>
      </c>
      <c r="L84" s="154">
        <v>1</v>
      </c>
      <c r="M84" s="155">
        <v>316</v>
      </c>
      <c r="N84" s="154">
        <v>66.25</v>
      </c>
      <c r="O84" s="154">
        <v>150</v>
      </c>
      <c r="P84" s="154">
        <v>15.35</v>
      </c>
      <c r="Q84" s="160" t="s">
        <v>284</v>
      </c>
      <c r="R84" s="161" t="s">
        <v>284</v>
      </c>
      <c r="S84" s="156" t="s">
        <v>284</v>
      </c>
      <c r="T84" s="157" t="s">
        <v>284</v>
      </c>
      <c r="U84" s="156" t="s">
        <v>284</v>
      </c>
      <c r="V84" s="164" t="s">
        <v>284</v>
      </c>
      <c r="W84" s="122" t="s">
        <v>185</v>
      </c>
      <c r="X84" s="132"/>
      <c r="Y84" s="132"/>
    </row>
    <row r="85" spans="1:25">
      <c r="A85" s="147" t="str">
        <f>VLOOKUP(ListOfRegions!A56,ListOfRegions!A56:B130,2,0)</f>
        <v xml:space="preserve">  Σάμου.</v>
      </c>
      <c r="B85" s="152">
        <v>4773</v>
      </c>
      <c r="C85" s="153">
        <v>18</v>
      </c>
      <c r="D85" s="154">
        <v>3.28</v>
      </c>
      <c r="E85" s="154">
        <v>4401</v>
      </c>
      <c r="F85" s="154">
        <v>549.89</v>
      </c>
      <c r="G85" s="154">
        <v>57</v>
      </c>
      <c r="H85" s="153">
        <v>7.4</v>
      </c>
      <c r="I85" s="154">
        <v>267</v>
      </c>
      <c r="J85" s="154">
        <v>31.245000000000001</v>
      </c>
      <c r="K85" s="161" t="s">
        <v>284</v>
      </c>
      <c r="L85" s="161" t="s">
        <v>284</v>
      </c>
      <c r="M85" s="155">
        <v>15</v>
      </c>
      <c r="N85" s="154">
        <v>5.55</v>
      </c>
      <c r="O85" s="154">
        <v>6</v>
      </c>
      <c r="P85" s="154">
        <v>0.24</v>
      </c>
      <c r="Q85" s="160" t="s">
        <v>284</v>
      </c>
      <c r="R85" s="161" t="s">
        <v>284</v>
      </c>
      <c r="S85" s="156" t="s">
        <v>284</v>
      </c>
      <c r="T85" s="157" t="s">
        <v>284</v>
      </c>
      <c r="U85" s="158">
        <v>9</v>
      </c>
      <c r="V85" s="159">
        <v>0.67500000000000004</v>
      </c>
      <c r="W85" s="122" t="s">
        <v>186</v>
      </c>
      <c r="X85" s="132"/>
      <c r="Y85" s="132"/>
    </row>
    <row r="86" spans="1:25">
      <c r="A86" s="147" t="str">
        <f>VLOOKUP(ListOfRegions!A57,ListOfRegions!A57:B131,2,0)</f>
        <v xml:space="preserve">  Χίου</v>
      </c>
      <c r="B86" s="152">
        <v>2617</v>
      </c>
      <c r="C86" s="160" t="s">
        <v>284</v>
      </c>
      <c r="D86" s="161" t="s">
        <v>284</v>
      </c>
      <c r="E86" s="154">
        <v>1608</v>
      </c>
      <c r="F86" s="154">
        <v>178.33</v>
      </c>
      <c r="G86" s="154">
        <v>882</v>
      </c>
      <c r="H86" s="153">
        <v>82.28</v>
      </c>
      <c r="I86" s="154">
        <v>122</v>
      </c>
      <c r="J86" s="154">
        <v>9.3000000000000007</v>
      </c>
      <c r="K86" s="161" t="s">
        <v>284</v>
      </c>
      <c r="L86" s="161" t="s">
        <v>284</v>
      </c>
      <c r="M86" s="163" t="s">
        <v>284</v>
      </c>
      <c r="N86" s="161" t="s">
        <v>284</v>
      </c>
      <c r="O86" s="154">
        <v>5</v>
      </c>
      <c r="P86" s="154">
        <v>0.35</v>
      </c>
      <c r="Q86" s="160" t="s">
        <v>284</v>
      </c>
      <c r="R86" s="161" t="s">
        <v>284</v>
      </c>
      <c r="S86" s="156" t="s">
        <v>284</v>
      </c>
      <c r="T86" s="157" t="s">
        <v>284</v>
      </c>
      <c r="U86" s="156" t="s">
        <v>284</v>
      </c>
      <c r="V86" s="164" t="s">
        <v>284</v>
      </c>
      <c r="W86" s="122" t="s">
        <v>187</v>
      </c>
      <c r="X86" s="132"/>
      <c r="Y86" s="132"/>
    </row>
    <row r="87" spans="1:25" ht="11.4" customHeight="1">
      <c r="A87" s="237" t="s">
        <v>111</v>
      </c>
      <c r="B87" s="236">
        <v>81207</v>
      </c>
      <c r="C87" s="233">
        <v>1558</v>
      </c>
      <c r="D87" s="233">
        <v>172.44800000000001</v>
      </c>
      <c r="E87" s="233">
        <v>31269</v>
      </c>
      <c r="F87" s="233">
        <v>4229.1189999999997</v>
      </c>
      <c r="G87" s="233">
        <v>37038</v>
      </c>
      <c r="H87" s="233">
        <v>4472.4660000000003</v>
      </c>
      <c r="I87" s="233">
        <v>10416</v>
      </c>
      <c r="J87" s="233">
        <v>2052.0059999999994</v>
      </c>
      <c r="K87" s="233">
        <v>25</v>
      </c>
      <c r="L87" s="233">
        <v>3.75</v>
      </c>
      <c r="M87" s="211">
        <v>310</v>
      </c>
      <c r="N87" s="227">
        <v>86.13</v>
      </c>
      <c r="O87" s="227">
        <v>258</v>
      </c>
      <c r="P87" s="227">
        <v>55.25</v>
      </c>
      <c r="Q87" s="227">
        <v>4</v>
      </c>
      <c r="R87" s="227">
        <v>1</v>
      </c>
      <c r="S87" s="227">
        <v>70</v>
      </c>
      <c r="T87" s="227">
        <v>6.1</v>
      </c>
      <c r="U87" s="209">
        <v>259</v>
      </c>
      <c r="V87" s="210">
        <v>32.19</v>
      </c>
      <c r="W87" s="212" t="s">
        <v>125</v>
      </c>
      <c r="X87" s="213"/>
      <c r="Y87" s="213"/>
    </row>
    <row r="88" spans="1:25" ht="11.4" customHeight="1">
      <c r="A88" s="237"/>
      <c r="B88" s="236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11"/>
      <c r="N88" s="227"/>
      <c r="O88" s="227"/>
      <c r="P88" s="227"/>
      <c r="Q88" s="227"/>
      <c r="R88" s="227"/>
      <c r="S88" s="227"/>
      <c r="T88" s="227"/>
      <c r="U88" s="209"/>
      <c r="V88" s="210"/>
      <c r="W88" s="212"/>
      <c r="X88" s="213"/>
      <c r="Y88" s="213"/>
    </row>
    <row r="89" spans="1:25">
      <c r="A89" s="147" t="str">
        <f>VLOOKUP(ListOfRegions!A58,ListOfRegions!A58:B132,2,0)</f>
        <v xml:space="preserve">  Σύρου</v>
      </c>
      <c r="B89" s="152">
        <v>253</v>
      </c>
      <c r="C89" s="160" t="s">
        <v>284</v>
      </c>
      <c r="D89" s="161" t="s">
        <v>284</v>
      </c>
      <c r="E89" s="161" t="s">
        <v>284</v>
      </c>
      <c r="F89" s="161" t="s">
        <v>284</v>
      </c>
      <c r="G89" s="154">
        <v>253</v>
      </c>
      <c r="H89" s="153">
        <v>43</v>
      </c>
      <c r="I89" s="161" t="s">
        <v>284</v>
      </c>
      <c r="J89" s="161" t="s">
        <v>284</v>
      </c>
      <c r="K89" s="161" t="s">
        <v>284</v>
      </c>
      <c r="L89" s="161" t="s">
        <v>284</v>
      </c>
      <c r="M89" s="163" t="s">
        <v>284</v>
      </c>
      <c r="N89" s="161" t="s">
        <v>284</v>
      </c>
      <c r="O89" s="161" t="s">
        <v>284</v>
      </c>
      <c r="P89" s="161" t="s">
        <v>284</v>
      </c>
      <c r="Q89" s="160" t="s">
        <v>284</v>
      </c>
      <c r="R89" s="161" t="s">
        <v>284</v>
      </c>
      <c r="S89" s="156" t="s">
        <v>284</v>
      </c>
      <c r="T89" s="157" t="s">
        <v>284</v>
      </c>
      <c r="U89" s="156" t="s">
        <v>284</v>
      </c>
      <c r="V89" s="164" t="s">
        <v>284</v>
      </c>
      <c r="W89" s="122" t="s">
        <v>188</v>
      </c>
      <c r="X89" s="132"/>
      <c r="Y89" s="132"/>
    </row>
    <row r="90" spans="1:25">
      <c r="A90" s="147" t="str">
        <f>VLOOKUP(ListOfRegions!A59,ListOfRegions!A59:B133,2,0)</f>
        <v xml:space="preserve">  Άνδρου</v>
      </c>
      <c r="B90" s="152">
        <v>6275</v>
      </c>
      <c r="C90" s="153">
        <v>48</v>
      </c>
      <c r="D90" s="154">
        <v>9.6</v>
      </c>
      <c r="E90" s="161" t="s">
        <v>284</v>
      </c>
      <c r="F90" s="161" t="s">
        <v>284</v>
      </c>
      <c r="G90" s="154">
        <v>3904</v>
      </c>
      <c r="H90" s="153">
        <v>496.64</v>
      </c>
      <c r="I90" s="154">
        <v>1784</v>
      </c>
      <c r="J90" s="154">
        <v>237.05</v>
      </c>
      <c r="K90" s="161" t="s">
        <v>284</v>
      </c>
      <c r="L90" s="161" t="s">
        <v>284</v>
      </c>
      <c r="M90" s="155">
        <v>259</v>
      </c>
      <c r="N90" s="154">
        <v>60.85</v>
      </c>
      <c r="O90" s="154">
        <v>216</v>
      </c>
      <c r="P90" s="154">
        <v>47.25</v>
      </c>
      <c r="Q90" s="153">
        <v>4</v>
      </c>
      <c r="R90" s="154">
        <v>1</v>
      </c>
      <c r="S90" s="156" t="s">
        <v>284</v>
      </c>
      <c r="T90" s="157" t="s">
        <v>284</v>
      </c>
      <c r="U90" s="158">
        <v>60</v>
      </c>
      <c r="V90" s="159">
        <v>8.19</v>
      </c>
      <c r="W90" s="122" t="s">
        <v>189</v>
      </c>
      <c r="X90" s="132"/>
      <c r="Y90" s="132"/>
    </row>
    <row r="91" spans="1:25">
      <c r="A91" s="147" t="str">
        <f>VLOOKUP(ListOfRegions!A60,ListOfRegions!A60:B134,2,0)</f>
        <v xml:space="preserve">  Θήρας</v>
      </c>
      <c r="B91" s="152">
        <v>1683</v>
      </c>
      <c r="C91" s="160" t="s">
        <v>284</v>
      </c>
      <c r="D91" s="161" t="s">
        <v>284</v>
      </c>
      <c r="E91" s="161" t="s">
        <v>284</v>
      </c>
      <c r="F91" s="161" t="s">
        <v>284</v>
      </c>
      <c r="G91" s="154">
        <v>1663</v>
      </c>
      <c r="H91" s="153">
        <v>185.1</v>
      </c>
      <c r="I91" s="154">
        <v>20</v>
      </c>
      <c r="J91" s="154">
        <v>0.7</v>
      </c>
      <c r="K91" s="161" t="s">
        <v>284</v>
      </c>
      <c r="L91" s="161" t="s">
        <v>284</v>
      </c>
      <c r="M91" s="163" t="s">
        <v>284</v>
      </c>
      <c r="N91" s="161" t="s">
        <v>284</v>
      </c>
      <c r="O91" s="161" t="s">
        <v>284</v>
      </c>
      <c r="P91" s="161" t="s">
        <v>284</v>
      </c>
      <c r="Q91" s="160" t="s">
        <v>284</v>
      </c>
      <c r="R91" s="161" t="s">
        <v>284</v>
      </c>
      <c r="S91" s="156" t="s">
        <v>284</v>
      </c>
      <c r="T91" s="157" t="s">
        <v>284</v>
      </c>
      <c r="U91" s="156" t="s">
        <v>284</v>
      </c>
      <c r="V91" s="164" t="s">
        <v>284</v>
      </c>
      <c r="W91" s="122" t="s">
        <v>190</v>
      </c>
      <c r="X91" s="132"/>
      <c r="Y91" s="132"/>
    </row>
    <row r="92" spans="1:25">
      <c r="A92" s="147" t="str">
        <f>VLOOKUP(ListOfRegions!A61,ListOfRegions!A61:B135,2,0)</f>
        <v xml:space="preserve">  Καλύμνου</v>
      </c>
      <c r="B92" s="152">
        <v>2349</v>
      </c>
      <c r="C92" s="153">
        <v>220</v>
      </c>
      <c r="D92" s="154">
        <v>14.5</v>
      </c>
      <c r="E92" s="154">
        <v>588</v>
      </c>
      <c r="F92" s="154">
        <v>69.191000000000003</v>
      </c>
      <c r="G92" s="154">
        <v>1411</v>
      </c>
      <c r="H92" s="153">
        <v>98.600999999999999</v>
      </c>
      <c r="I92" s="154">
        <v>130</v>
      </c>
      <c r="J92" s="154">
        <v>17.001000000000001</v>
      </c>
      <c r="K92" s="161" t="s">
        <v>284</v>
      </c>
      <c r="L92" s="161" t="s">
        <v>284</v>
      </c>
      <c r="M92" s="163" t="s">
        <v>284</v>
      </c>
      <c r="N92" s="161" t="s">
        <v>284</v>
      </c>
      <c r="O92" s="161" t="s">
        <v>284</v>
      </c>
      <c r="P92" s="161" t="s">
        <v>284</v>
      </c>
      <c r="Q92" s="160" t="s">
        <v>284</v>
      </c>
      <c r="R92" s="161" t="s">
        <v>284</v>
      </c>
      <c r="S92" s="156" t="s">
        <v>284</v>
      </c>
      <c r="T92" s="157" t="s">
        <v>284</v>
      </c>
      <c r="U92" s="156" t="s">
        <v>284</v>
      </c>
      <c r="V92" s="164" t="s">
        <v>284</v>
      </c>
      <c r="W92" s="122" t="s">
        <v>191</v>
      </c>
      <c r="X92" s="132"/>
      <c r="Y92" s="132"/>
    </row>
    <row r="93" spans="1:25">
      <c r="A93" s="147" t="str">
        <f>VLOOKUP(ListOfRegions!A62,ListOfRegions!A62:B136,2,0)</f>
        <v xml:space="preserve">  Καρπάθου</v>
      </c>
      <c r="B93" s="152">
        <v>845</v>
      </c>
      <c r="C93" s="153">
        <v>60</v>
      </c>
      <c r="D93" s="154">
        <v>4.5</v>
      </c>
      <c r="E93" s="154">
        <v>617</v>
      </c>
      <c r="F93" s="154">
        <v>57.59</v>
      </c>
      <c r="G93" s="154">
        <v>106</v>
      </c>
      <c r="H93" s="153">
        <v>8.98</v>
      </c>
      <c r="I93" s="154">
        <v>62</v>
      </c>
      <c r="J93" s="154">
        <v>6.84</v>
      </c>
      <c r="K93" s="161" t="s">
        <v>284</v>
      </c>
      <c r="L93" s="161" t="s">
        <v>284</v>
      </c>
      <c r="M93" s="163" t="s">
        <v>284</v>
      </c>
      <c r="N93" s="161" t="s">
        <v>284</v>
      </c>
      <c r="O93" s="161" t="s">
        <v>284</v>
      </c>
      <c r="P93" s="161" t="s">
        <v>284</v>
      </c>
      <c r="Q93" s="160" t="s">
        <v>284</v>
      </c>
      <c r="R93" s="161" t="s">
        <v>284</v>
      </c>
      <c r="S93" s="156" t="s">
        <v>284</v>
      </c>
      <c r="T93" s="157" t="s">
        <v>284</v>
      </c>
      <c r="U93" s="156" t="s">
        <v>284</v>
      </c>
      <c r="V93" s="164" t="s">
        <v>284</v>
      </c>
      <c r="W93" s="122" t="s">
        <v>192</v>
      </c>
      <c r="X93" s="132"/>
      <c r="Y93" s="132"/>
    </row>
    <row r="94" spans="1:25">
      <c r="A94" s="147" t="str">
        <f>VLOOKUP(ListOfRegions!A63,ListOfRegions!A63:B137,2,0)</f>
        <v xml:space="preserve">  Κύθνου</v>
      </c>
      <c r="B94" s="152">
        <v>1845</v>
      </c>
      <c r="C94" s="153">
        <v>15</v>
      </c>
      <c r="D94" s="154">
        <v>0.15</v>
      </c>
      <c r="E94" s="161" t="s">
        <v>284</v>
      </c>
      <c r="F94" s="161" t="s">
        <v>284</v>
      </c>
      <c r="G94" s="154">
        <v>1620</v>
      </c>
      <c r="H94" s="153">
        <v>166</v>
      </c>
      <c r="I94" s="154">
        <v>120</v>
      </c>
      <c r="J94" s="154">
        <v>12</v>
      </c>
      <c r="K94" s="161" t="s">
        <v>284</v>
      </c>
      <c r="L94" s="161" t="s">
        <v>284</v>
      </c>
      <c r="M94" s="155">
        <v>50</v>
      </c>
      <c r="N94" s="154">
        <v>25</v>
      </c>
      <c r="O94" s="154">
        <v>10</v>
      </c>
      <c r="P94" s="154">
        <v>5</v>
      </c>
      <c r="Q94" s="160" t="s">
        <v>284</v>
      </c>
      <c r="R94" s="161" t="s">
        <v>284</v>
      </c>
      <c r="S94" s="158">
        <v>10</v>
      </c>
      <c r="T94" s="162">
        <v>0.1</v>
      </c>
      <c r="U94" s="158">
        <v>20</v>
      </c>
      <c r="V94" s="159">
        <v>6</v>
      </c>
      <c r="W94" s="122" t="s">
        <v>193</v>
      </c>
      <c r="X94" s="132"/>
      <c r="Y94" s="132"/>
    </row>
    <row r="95" spans="1:25">
      <c r="A95" s="147" t="str">
        <f>VLOOKUP(ListOfRegions!A64,ListOfRegions!A64:B138,2,0)</f>
        <v xml:space="preserve">  Κω</v>
      </c>
      <c r="B95" s="152">
        <v>17252</v>
      </c>
      <c r="C95" s="160" t="s">
        <v>284</v>
      </c>
      <c r="D95" s="161" t="s">
        <v>284</v>
      </c>
      <c r="E95" s="154">
        <v>7412</v>
      </c>
      <c r="F95" s="154">
        <v>1764.2550000000001</v>
      </c>
      <c r="G95" s="154">
        <v>4482</v>
      </c>
      <c r="H95" s="153">
        <v>535.6</v>
      </c>
      <c r="I95" s="154">
        <v>5308</v>
      </c>
      <c r="J95" s="154">
        <v>1343.79</v>
      </c>
      <c r="K95" s="161" t="s">
        <v>284</v>
      </c>
      <c r="L95" s="161" t="s">
        <v>284</v>
      </c>
      <c r="M95" s="163" t="s">
        <v>284</v>
      </c>
      <c r="N95" s="161" t="s">
        <v>284</v>
      </c>
      <c r="O95" s="161" t="s">
        <v>284</v>
      </c>
      <c r="P95" s="161" t="s">
        <v>284</v>
      </c>
      <c r="Q95" s="160" t="s">
        <v>284</v>
      </c>
      <c r="R95" s="161" t="s">
        <v>284</v>
      </c>
      <c r="S95" s="158">
        <v>50</v>
      </c>
      <c r="T95" s="162">
        <v>5</v>
      </c>
      <c r="U95" s="156" t="s">
        <v>284</v>
      </c>
      <c r="V95" s="164" t="s">
        <v>284</v>
      </c>
      <c r="W95" s="122" t="s">
        <v>194</v>
      </c>
      <c r="X95" s="132"/>
      <c r="Y95" s="132"/>
    </row>
    <row r="96" spans="1:25">
      <c r="A96" s="147" t="str">
        <f>VLOOKUP(ListOfRegions!A65,ListOfRegions!A65:B139,2,0)</f>
        <v xml:space="preserve">  Μήλου</v>
      </c>
      <c r="B96" s="152">
        <v>5783</v>
      </c>
      <c r="C96" s="153">
        <v>326</v>
      </c>
      <c r="D96" s="154">
        <v>61.768000000000001</v>
      </c>
      <c r="E96" s="161" t="s">
        <v>284</v>
      </c>
      <c r="F96" s="161" t="s">
        <v>284</v>
      </c>
      <c r="G96" s="154">
        <v>4984</v>
      </c>
      <c r="H96" s="153">
        <v>781.84</v>
      </c>
      <c r="I96" s="154">
        <v>413</v>
      </c>
      <c r="J96" s="154">
        <v>48.5</v>
      </c>
      <c r="K96" s="161" t="s">
        <v>284</v>
      </c>
      <c r="L96" s="161" t="s">
        <v>284</v>
      </c>
      <c r="M96" s="163" t="s">
        <v>284</v>
      </c>
      <c r="N96" s="161" t="s">
        <v>284</v>
      </c>
      <c r="O96" s="161" t="s">
        <v>284</v>
      </c>
      <c r="P96" s="161" t="s">
        <v>284</v>
      </c>
      <c r="Q96" s="160" t="s">
        <v>284</v>
      </c>
      <c r="R96" s="161" t="s">
        <v>284</v>
      </c>
      <c r="S96" s="156" t="s">
        <v>284</v>
      </c>
      <c r="T96" s="157" t="s">
        <v>284</v>
      </c>
      <c r="U96" s="158">
        <v>60</v>
      </c>
      <c r="V96" s="159">
        <v>5.5</v>
      </c>
      <c r="W96" s="122" t="s">
        <v>195</v>
      </c>
      <c r="X96" s="132"/>
      <c r="Y96" s="132"/>
    </row>
    <row r="97" spans="1:25">
      <c r="A97" s="147" t="str">
        <f>VLOOKUP(ListOfRegions!A66,ListOfRegions!A66:B140,2,0)</f>
        <v xml:space="preserve">  Μυκόνου.</v>
      </c>
      <c r="B97" s="152">
        <v>200</v>
      </c>
      <c r="C97" s="160" t="s">
        <v>284</v>
      </c>
      <c r="D97" s="161" t="s">
        <v>284</v>
      </c>
      <c r="E97" s="161" t="s">
        <v>284</v>
      </c>
      <c r="F97" s="161" t="s">
        <v>284</v>
      </c>
      <c r="G97" s="154">
        <v>200</v>
      </c>
      <c r="H97" s="153">
        <v>20</v>
      </c>
      <c r="I97" s="161" t="s">
        <v>284</v>
      </c>
      <c r="J97" s="161" t="s">
        <v>284</v>
      </c>
      <c r="K97" s="161" t="s">
        <v>284</v>
      </c>
      <c r="L97" s="161" t="s">
        <v>284</v>
      </c>
      <c r="M97" s="163" t="s">
        <v>284</v>
      </c>
      <c r="N97" s="161" t="s">
        <v>284</v>
      </c>
      <c r="O97" s="161" t="s">
        <v>284</v>
      </c>
      <c r="P97" s="161" t="s">
        <v>284</v>
      </c>
      <c r="Q97" s="160" t="s">
        <v>284</v>
      </c>
      <c r="R97" s="161" t="s">
        <v>284</v>
      </c>
      <c r="S97" s="156" t="s">
        <v>284</v>
      </c>
      <c r="T97" s="157" t="s">
        <v>284</v>
      </c>
      <c r="U97" s="156" t="s">
        <v>284</v>
      </c>
      <c r="V97" s="164" t="s">
        <v>284</v>
      </c>
      <c r="W97" s="122" t="s">
        <v>196</v>
      </c>
      <c r="X97" s="132"/>
      <c r="Y97" s="132"/>
    </row>
    <row r="98" spans="1:25">
      <c r="A98" s="147" t="str">
        <f>VLOOKUP(ListOfRegions!A67,ListOfRegions!A67:B141,2,0)</f>
        <v xml:space="preserve">  Νάξου</v>
      </c>
      <c r="B98" s="152">
        <v>5059</v>
      </c>
      <c r="C98" s="153">
        <v>119</v>
      </c>
      <c r="D98" s="154">
        <v>3.93</v>
      </c>
      <c r="E98" s="154">
        <v>85</v>
      </c>
      <c r="F98" s="154">
        <v>7.36</v>
      </c>
      <c r="G98" s="154">
        <v>3156</v>
      </c>
      <c r="H98" s="153">
        <v>330.77</v>
      </c>
      <c r="I98" s="154">
        <v>1549</v>
      </c>
      <c r="J98" s="154">
        <v>219.6</v>
      </c>
      <c r="K98" s="154">
        <v>25</v>
      </c>
      <c r="L98" s="154">
        <v>3.75</v>
      </c>
      <c r="M98" s="163" t="s">
        <v>284</v>
      </c>
      <c r="N98" s="161" t="s">
        <v>284</v>
      </c>
      <c r="O98" s="161" t="s">
        <v>284</v>
      </c>
      <c r="P98" s="161" t="s">
        <v>284</v>
      </c>
      <c r="Q98" s="160" t="s">
        <v>284</v>
      </c>
      <c r="R98" s="161" t="s">
        <v>284</v>
      </c>
      <c r="S98" s="158">
        <v>10</v>
      </c>
      <c r="T98" s="162">
        <v>1</v>
      </c>
      <c r="U98" s="158">
        <v>115</v>
      </c>
      <c r="V98" s="159">
        <v>10</v>
      </c>
      <c r="W98" s="122" t="s">
        <v>197</v>
      </c>
      <c r="X98" s="132"/>
      <c r="Y98" s="132"/>
    </row>
    <row r="99" spans="1:25">
      <c r="A99" s="147" t="str">
        <f>VLOOKUP(ListOfRegions!A68,ListOfRegions!A68:B142,2,0)</f>
        <v xml:space="preserve">  Πάρου</v>
      </c>
      <c r="B99" s="152">
        <v>14535</v>
      </c>
      <c r="C99" s="153">
        <v>520</v>
      </c>
      <c r="D99" s="154">
        <v>52.6</v>
      </c>
      <c r="E99" s="154">
        <v>1118</v>
      </c>
      <c r="F99" s="154">
        <v>78.400000000000006</v>
      </c>
      <c r="G99" s="154">
        <v>12760</v>
      </c>
      <c r="H99" s="153">
        <v>1464.5</v>
      </c>
      <c r="I99" s="154">
        <v>105</v>
      </c>
      <c r="J99" s="154">
        <v>16.8</v>
      </c>
      <c r="K99" s="161" t="s">
        <v>284</v>
      </c>
      <c r="L99" s="161" t="s">
        <v>284</v>
      </c>
      <c r="M99" s="163" t="s">
        <v>284</v>
      </c>
      <c r="N99" s="161" t="s">
        <v>284</v>
      </c>
      <c r="O99" s="154">
        <v>32</v>
      </c>
      <c r="P99" s="154">
        <v>3</v>
      </c>
      <c r="Q99" s="160" t="s">
        <v>284</v>
      </c>
      <c r="R99" s="161" t="s">
        <v>284</v>
      </c>
      <c r="S99" s="156" t="s">
        <v>284</v>
      </c>
      <c r="T99" s="157" t="s">
        <v>284</v>
      </c>
      <c r="U99" s="156" t="s">
        <v>284</v>
      </c>
      <c r="V99" s="164" t="s">
        <v>284</v>
      </c>
      <c r="W99" s="122" t="s">
        <v>198</v>
      </c>
      <c r="X99" s="132"/>
      <c r="Y99" s="132"/>
    </row>
    <row r="100" spans="1:25">
      <c r="A100" s="147" t="str">
        <f>VLOOKUP(ListOfRegions!A69,ListOfRegions!A69:B143,2,0)</f>
        <v xml:space="preserve">  Ρόδου</v>
      </c>
      <c r="B100" s="152">
        <v>23804</v>
      </c>
      <c r="C100" s="153">
        <v>250</v>
      </c>
      <c r="D100" s="154">
        <v>25.4</v>
      </c>
      <c r="E100" s="154">
        <v>21425</v>
      </c>
      <c r="F100" s="154">
        <v>2251.0729999999999</v>
      </c>
      <c r="G100" s="154">
        <v>1285</v>
      </c>
      <c r="H100" s="153">
        <v>233.13499999999999</v>
      </c>
      <c r="I100" s="154">
        <v>839</v>
      </c>
      <c r="J100" s="154">
        <v>141.85</v>
      </c>
      <c r="K100" s="161" t="s">
        <v>284</v>
      </c>
      <c r="L100" s="161" t="s">
        <v>284</v>
      </c>
      <c r="M100" s="155">
        <v>1</v>
      </c>
      <c r="N100" s="154">
        <v>0.28000000000000003</v>
      </c>
      <c r="O100" s="161" t="s">
        <v>284</v>
      </c>
      <c r="P100" s="161" t="s">
        <v>284</v>
      </c>
      <c r="Q100" s="160" t="s">
        <v>284</v>
      </c>
      <c r="R100" s="161" t="s">
        <v>284</v>
      </c>
      <c r="S100" s="156" t="s">
        <v>284</v>
      </c>
      <c r="T100" s="157" t="s">
        <v>284</v>
      </c>
      <c r="U100" s="158">
        <v>4</v>
      </c>
      <c r="V100" s="159">
        <v>2.5</v>
      </c>
      <c r="W100" s="122" t="s">
        <v>199</v>
      </c>
      <c r="X100" s="132"/>
      <c r="Y100" s="132"/>
    </row>
    <row r="101" spans="1:25">
      <c r="A101" s="147" t="str">
        <f>VLOOKUP(ListOfRegions!A70,ListOfRegions!A70:B144,2,0)</f>
        <v xml:space="preserve">  Τήνου</v>
      </c>
      <c r="B101" s="152">
        <v>1324</v>
      </c>
      <c r="C101" s="160" t="s">
        <v>284</v>
      </c>
      <c r="D101" s="161" t="s">
        <v>284</v>
      </c>
      <c r="E101" s="154">
        <v>24</v>
      </c>
      <c r="F101" s="154">
        <v>1.25</v>
      </c>
      <c r="G101" s="154">
        <v>1214</v>
      </c>
      <c r="H101" s="153">
        <v>108.3</v>
      </c>
      <c r="I101" s="154">
        <v>86</v>
      </c>
      <c r="J101" s="154">
        <v>7.875</v>
      </c>
      <c r="K101" s="161" t="s">
        <v>284</v>
      </c>
      <c r="L101" s="161" t="s">
        <v>284</v>
      </c>
      <c r="M101" s="163" t="s">
        <v>284</v>
      </c>
      <c r="N101" s="161" t="s">
        <v>284</v>
      </c>
      <c r="O101" s="161" t="s">
        <v>284</v>
      </c>
      <c r="P101" s="161" t="s">
        <v>284</v>
      </c>
      <c r="Q101" s="160" t="s">
        <v>284</v>
      </c>
      <c r="R101" s="161" t="s">
        <v>284</v>
      </c>
      <c r="S101" s="156" t="s">
        <v>284</v>
      </c>
      <c r="T101" s="157" t="s">
        <v>284</v>
      </c>
      <c r="U101" s="156" t="s">
        <v>284</v>
      </c>
      <c r="V101" s="164" t="s">
        <v>284</v>
      </c>
      <c r="W101" s="122" t="s">
        <v>200</v>
      </c>
      <c r="X101" s="132"/>
      <c r="Y101" s="132"/>
    </row>
    <row r="102" spans="1:25" ht="11.4" customHeight="1">
      <c r="A102" s="237" t="s">
        <v>112</v>
      </c>
      <c r="B102" s="236">
        <v>38134</v>
      </c>
      <c r="C102" s="233">
        <v>4565</v>
      </c>
      <c r="D102" s="233">
        <v>1181.662</v>
      </c>
      <c r="E102" s="233">
        <v>9928</v>
      </c>
      <c r="F102" s="233">
        <v>1526.3219999999999</v>
      </c>
      <c r="G102" s="233">
        <v>12614</v>
      </c>
      <c r="H102" s="233">
        <v>1825.6470000000002</v>
      </c>
      <c r="I102" s="233">
        <v>9978</v>
      </c>
      <c r="J102" s="233">
        <v>2117.0679999999998</v>
      </c>
      <c r="K102" s="233">
        <v>33</v>
      </c>
      <c r="L102" s="233">
        <v>3.9</v>
      </c>
      <c r="M102" s="211">
        <v>801</v>
      </c>
      <c r="N102" s="227">
        <v>333.6</v>
      </c>
      <c r="O102" s="227">
        <v>129</v>
      </c>
      <c r="P102" s="227">
        <v>19.649999999999999</v>
      </c>
      <c r="Q102" s="227">
        <v>0</v>
      </c>
      <c r="R102" s="227">
        <v>0</v>
      </c>
      <c r="S102" s="227">
        <v>18</v>
      </c>
      <c r="T102" s="227">
        <v>3</v>
      </c>
      <c r="U102" s="209">
        <v>68</v>
      </c>
      <c r="V102" s="210">
        <v>7.68</v>
      </c>
      <c r="W102" s="212" t="s">
        <v>126</v>
      </c>
      <c r="X102" s="213"/>
      <c r="Y102" s="213"/>
    </row>
    <row r="103" spans="1:25" ht="11.4" customHeight="1">
      <c r="A103" s="237"/>
      <c r="B103" s="236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11"/>
      <c r="N103" s="227"/>
      <c r="O103" s="227"/>
      <c r="P103" s="227"/>
      <c r="Q103" s="227"/>
      <c r="R103" s="227"/>
      <c r="S103" s="227"/>
      <c r="T103" s="227"/>
      <c r="U103" s="209"/>
      <c r="V103" s="210"/>
      <c r="W103" s="212"/>
      <c r="X103" s="213"/>
      <c r="Y103" s="213"/>
    </row>
    <row r="104" spans="1:25">
      <c r="A104" s="147" t="str">
        <f>VLOOKUP(ListOfRegions!A71,ListOfRegions!A71:B145,2,0)</f>
        <v xml:space="preserve">  Ηρακλείου</v>
      </c>
      <c r="B104" s="152">
        <v>24646</v>
      </c>
      <c r="C104" s="153">
        <v>2060</v>
      </c>
      <c r="D104" s="154">
        <v>276.25</v>
      </c>
      <c r="E104" s="154">
        <v>9012</v>
      </c>
      <c r="F104" s="154">
        <v>1307.972</v>
      </c>
      <c r="G104" s="154">
        <v>9679</v>
      </c>
      <c r="H104" s="153">
        <v>1327.202</v>
      </c>
      <c r="I104" s="154">
        <v>3733</v>
      </c>
      <c r="J104" s="154">
        <v>507.63</v>
      </c>
      <c r="K104" s="154">
        <v>12</v>
      </c>
      <c r="L104" s="154">
        <v>1.8</v>
      </c>
      <c r="M104" s="155">
        <v>93</v>
      </c>
      <c r="N104" s="154">
        <v>224</v>
      </c>
      <c r="O104" s="154">
        <v>1</v>
      </c>
      <c r="P104" s="154">
        <v>0.6</v>
      </c>
      <c r="Q104" s="160" t="s">
        <v>284</v>
      </c>
      <c r="R104" s="161" t="s">
        <v>284</v>
      </c>
      <c r="S104" s="156" t="s">
        <v>284</v>
      </c>
      <c r="T104" s="157" t="s">
        <v>284</v>
      </c>
      <c r="U104" s="158">
        <v>56</v>
      </c>
      <c r="V104" s="159">
        <v>6.08</v>
      </c>
      <c r="W104" s="122" t="s">
        <v>201</v>
      </c>
      <c r="X104" s="132"/>
      <c r="Y104" s="132"/>
    </row>
    <row r="105" spans="1:25">
      <c r="A105" s="147" t="str">
        <f>VLOOKUP(ListOfRegions!A72,ListOfRegions!A72:B146,2,0)</f>
        <v xml:space="preserve">  Λασιθίου</v>
      </c>
      <c r="B105" s="152">
        <v>7334</v>
      </c>
      <c r="C105" s="153">
        <v>2303</v>
      </c>
      <c r="D105" s="154">
        <v>873.09199999999998</v>
      </c>
      <c r="E105" s="154">
        <v>488</v>
      </c>
      <c r="F105" s="154">
        <v>153.06</v>
      </c>
      <c r="G105" s="154">
        <v>1405</v>
      </c>
      <c r="H105" s="153">
        <v>289.745</v>
      </c>
      <c r="I105" s="154">
        <v>2567</v>
      </c>
      <c r="J105" s="154">
        <v>995.50800000000004</v>
      </c>
      <c r="K105" s="154">
        <v>15</v>
      </c>
      <c r="L105" s="154">
        <v>1</v>
      </c>
      <c r="M105" s="155">
        <v>440</v>
      </c>
      <c r="N105" s="154">
        <v>47.7</v>
      </c>
      <c r="O105" s="154">
        <v>86</v>
      </c>
      <c r="P105" s="154">
        <v>8</v>
      </c>
      <c r="Q105" s="160" t="s">
        <v>284</v>
      </c>
      <c r="R105" s="161" t="s">
        <v>284</v>
      </c>
      <c r="S105" s="158">
        <v>18</v>
      </c>
      <c r="T105" s="162">
        <v>3</v>
      </c>
      <c r="U105" s="158">
        <v>12</v>
      </c>
      <c r="V105" s="159">
        <v>1.6</v>
      </c>
      <c r="W105" s="122" t="s">
        <v>202</v>
      </c>
      <c r="X105" s="132"/>
      <c r="Y105" s="132"/>
    </row>
    <row r="106" spans="1:25">
      <c r="A106" s="147" t="str">
        <f>VLOOKUP(ListOfRegions!A73,ListOfRegions!A73:B147,2,0)</f>
        <v xml:space="preserve">  Ρεθύμνης</v>
      </c>
      <c r="B106" s="152">
        <v>5153</v>
      </c>
      <c r="C106" s="153">
        <v>80</v>
      </c>
      <c r="D106" s="154">
        <v>13.82</v>
      </c>
      <c r="E106" s="154">
        <v>428</v>
      </c>
      <c r="F106" s="154">
        <v>65.290000000000006</v>
      </c>
      <c r="G106" s="154">
        <v>1089</v>
      </c>
      <c r="H106" s="153">
        <v>160.69999999999999</v>
      </c>
      <c r="I106" s="154">
        <v>3513</v>
      </c>
      <c r="J106" s="154">
        <v>591.92999999999995</v>
      </c>
      <c r="K106" s="154">
        <v>6</v>
      </c>
      <c r="L106" s="154">
        <v>1.1000000000000001</v>
      </c>
      <c r="M106" s="155">
        <v>28</v>
      </c>
      <c r="N106" s="154">
        <v>6.6</v>
      </c>
      <c r="O106" s="154">
        <v>9</v>
      </c>
      <c r="P106" s="154">
        <v>2.2000000000000002</v>
      </c>
      <c r="Q106" s="160" t="s">
        <v>284</v>
      </c>
      <c r="R106" s="161" t="s">
        <v>284</v>
      </c>
      <c r="S106" s="156" t="s">
        <v>284</v>
      </c>
      <c r="T106" s="171" t="s">
        <v>284</v>
      </c>
      <c r="U106" s="156" t="s">
        <v>284</v>
      </c>
      <c r="V106" s="164" t="s">
        <v>284</v>
      </c>
      <c r="W106" s="122" t="s">
        <v>203</v>
      </c>
      <c r="X106" s="133"/>
      <c r="Y106" s="133"/>
    </row>
    <row r="107" spans="1:25" ht="10.8" thickBot="1">
      <c r="A107" s="148" t="str">
        <f>VLOOKUP(ListOfRegions!A74,ListOfRegions!A74:B148,2,0)</f>
        <v xml:space="preserve">  Χανίων</v>
      </c>
      <c r="B107" s="165">
        <v>1001</v>
      </c>
      <c r="C107" s="166">
        <v>122</v>
      </c>
      <c r="D107" s="167">
        <v>18.5</v>
      </c>
      <c r="E107" s="168" t="s">
        <v>284</v>
      </c>
      <c r="F107" s="168" t="s">
        <v>284</v>
      </c>
      <c r="G107" s="167">
        <v>441</v>
      </c>
      <c r="H107" s="166">
        <v>48</v>
      </c>
      <c r="I107" s="167">
        <v>165</v>
      </c>
      <c r="J107" s="167">
        <v>22</v>
      </c>
      <c r="K107" s="168" t="s">
        <v>284</v>
      </c>
      <c r="L107" s="168" t="s">
        <v>284</v>
      </c>
      <c r="M107" s="169">
        <v>240</v>
      </c>
      <c r="N107" s="167">
        <v>55.3</v>
      </c>
      <c r="O107" s="167">
        <v>33</v>
      </c>
      <c r="P107" s="167">
        <v>8.85</v>
      </c>
      <c r="Q107" s="172" t="s">
        <v>284</v>
      </c>
      <c r="R107" s="168" t="s">
        <v>284</v>
      </c>
      <c r="S107" s="170" t="s">
        <v>284</v>
      </c>
      <c r="T107" s="173" t="s">
        <v>284</v>
      </c>
      <c r="U107" s="170" t="s">
        <v>284</v>
      </c>
      <c r="V107" s="174" t="s">
        <v>284</v>
      </c>
      <c r="W107" s="134" t="s">
        <v>204</v>
      </c>
      <c r="X107" s="135"/>
      <c r="Y107" s="135"/>
    </row>
    <row r="108" spans="1:25" ht="14.4" customHeight="1">
      <c r="A108" s="175" t="s">
        <v>114</v>
      </c>
      <c r="K108" s="136" t="s">
        <v>115</v>
      </c>
      <c r="L108" s="136"/>
      <c r="M108" s="175" t="s">
        <v>114</v>
      </c>
      <c r="N108" s="175"/>
      <c r="X108" s="191" t="s">
        <v>115</v>
      </c>
      <c r="Y108" s="191"/>
    </row>
    <row r="109" spans="1:25">
      <c r="A109" s="176" t="s">
        <v>286</v>
      </c>
      <c r="K109" s="125"/>
      <c r="L109" s="125"/>
      <c r="M109" s="176"/>
      <c r="N109" s="176"/>
      <c r="X109" s="123" t="s">
        <v>287</v>
      </c>
    </row>
    <row r="110" spans="1:25">
      <c r="A110" s="137"/>
    </row>
    <row r="111" spans="1:25">
      <c r="A111" s="137"/>
    </row>
    <row r="112" spans="1:25">
      <c r="A112" s="124"/>
    </row>
    <row r="113" spans="1:14">
      <c r="A113" s="124"/>
    </row>
    <row r="114" spans="1:14">
      <c r="A114" s="124"/>
    </row>
    <row r="115" spans="1:14">
      <c r="A115" s="124"/>
    </row>
    <row r="116" spans="1:14">
      <c r="A116" s="124"/>
    </row>
    <row r="117" spans="1:14">
      <c r="A117" s="124"/>
    </row>
    <row r="118" spans="1:14">
      <c r="A118" s="124"/>
    </row>
    <row r="119" spans="1:14">
      <c r="A119" s="124"/>
    </row>
    <row r="120" spans="1:14">
      <c r="A120" s="124"/>
    </row>
    <row r="121" spans="1:14">
      <c r="A121" s="124"/>
    </row>
    <row r="122" spans="1:14">
      <c r="A122" s="138"/>
    </row>
    <row r="123" spans="1:14" s="124" customFormat="1" ht="12" customHeight="1">
      <c r="A123" s="217"/>
      <c r="B123" s="217"/>
      <c r="C123" s="217"/>
      <c r="D123" s="217"/>
      <c r="E123" s="217"/>
      <c r="F123" s="217"/>
      <c r="G123" s="192"/>
      <c r="H123" s="192"/>
      <c r="I123" s="192"/>
      <c r="J123" s="192"/>
      <c r="K123" s="192"/>
      <c r="L123" s="192"/>
    </row>
    <row r="124" spans="1:14" s="124" customFormat="1" ht="12" customHeight="1">
      <c r="A124" s="217"/>
      <c r="B124" s="217"/>
      <c r="C124" s="217"/>
      <c r="D124" s="217"/>
      <c r="E124" s="217"/>
      <c r="F124" s="217"/>
      <c r="G124" s="192"/>
      <c r="H124" s="192"/>
      <c r="I124" s="192"/>
      <c r="J124" s="192"/>
      <c r="K124" s="192"/>
      <c r="L124" s="192"/>
    </row>
    <row r="125" spans="1:14" s="124" customFormat="1">
      <c r="A125" s="217"/>
      <c r="B125" s="217"/>
      <c r="C125" s="217"/>
      <c r="D125" s="217"/>
      <c r="E125" s="217"/>
      <c r="F125" s="217"/>
      <c r="G125" s="192"/>
      <c r="H125" s="192"/>
      <c r="I125" s="192"/>
      <c r="J125" s="192"/>
      <c r="K125" s="192"/>
      <c r="L125" s="192"/>
    </row>
    <row r="126" spans="1:14" s="124" customFormat="1" ht="11.4" customHeight="1">
      <c r="A126" s="139"/>
      <c r="F126" s="230"/>
      <c r="G126" s="230"/>
      <c r="H126" s="230"/>
      <c r="I126" s="230"/>
      <c r="J126" s="230"/>
      <c r="K126" s="230"/>
      <c r="L126" s="230"/>
      <c r="N126" s="149" t="s">
        <v>284</v>
      </c>
    </row>
    <row r="127" spans="1:14" s="124" customFormat="1" ht="11.4" customHeight="1">
      <c r="A127" s="232"/>
      <c r="B127" s="202"/>
      <c r="C127" s="231"/>
      <c r="D127" s="231"/>
      <c r="E127" s="231"/>
      <c r="F127" s="202"/>
      <c r="G127" s="202"/>
      <c r="H127" s="202"/>
      <c r="I127" s="202"/>
      <c r="J127" s="202"/>
      <c r="K127" s="202"/>
      <c r="L127" s="202"/>
    </row>
    <row r="128" spans="1:14" s="124" customFormat="1">
      <c r="A128" s="232"/>
      <c r="B128" s="231"/>
      <c r="C128" s="231"/>
      <c r="D128" s="231"/>
      <c r="E128" s="231"/>
      <c r="F128" s="202"/>
      <c r="G128" s="202"/>
      <c r="H128" s="202"/>
      <c r="I128" s="202"/>
      <c r="J128" s="202"/>
      <c r="K128" s="202"/>
      <c r="L128" s="202"/>
    </row>
    <row r="129" spans="1:12" s="124" customFormat="1" ht="49.2" customHeight="1">
      <c r="A129" s="23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</row>
    <row r="130" spans="1:12" s="124" customFormat="1">
      <c r="A130" s="232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202"/>
    </row>
    <row r="131" spans="1:12" s="124" customFormat="1" ht="11.4" customHeight="1">
      <c r="A131" s="141"/>
      <c r="L131" s="142"/>
    </row>
    <row r="132" spans="1:12" s="124" customFormat="1">
      <c r="A132" s="143"/>
      <c r="L132" s="142"/>
    </row>
    <row r="133" spans="1:12" s="124" customFormat="1">
      <c r="A133" s="235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14"/>
    </row>
    <row r="134" spans="1:12" s="124" customFormat="1" ht="11.4" customHeight="1">
      <c r="A134" s="235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14"/>
    </row>
    <row r="135" spans="1:12" s="124" customFormat="1">
      <c r="A135" s="235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14"/>
    </row>
    <row r="136" spans="1:12" s="124" customFormat="1">
      <c r="A136" s="143"/>
      <c r="F136" s="144"/>
      <c r="G136" s="144"/>
      <c r="L136" s="145"/>
    </row>
    <row r="137" spans="1:12" s="124" customFormat="1">
      <c r="A137" s="143"/>
      <c r="F137" s="144"/>
      <c r="G137" s="144"/>
      <c r="L137" s="145"/>
    </row>
    <row r="138" spans="1:12" s="124" customFormat="1">
      <c r="A138" s="143"/>
      <c r="F138" s="144"/>
      <c r="G138" s="144"/>
      <c r="L138" s="145"/>
    </row>
    <row r="139" spans="1:12" s="124" customFormat="1">
      <c r="A139" s="143"/>
      <c r="F139" s="144"/>
      <c r="G139" s="144"/>
      <c r="L139" s="145"/>
    </row>
    <row r="140" spans="1:12" s="124" customFormat="1">
      <c r="A140" s="143"/>
      <c r="F140" s="144"/>
      <c r="G140" s="144"/>
      <c r="L140" s="145"/>
    </row>
    <row r="141" spans="1:12" s="124" customFormat="1">
      <c r="A141" s="143"/>
      <c r="F141" s="144"/>
      <c r="G141" s="144"/>
      <c r="L141" s="145"/>
    </row>
    <row r="142" spans="1:12" s="124" customFormat="1">
      <c r="A142" s="235"/>
      <c r="L142" s="215"/>
    </row>
    <row r="143" spans="1:12" s="124" customFormat="1">
      <c r="A143" s="235"/>
      <c r="L143" s="215"/>
    </row>
    <row r="144" spans="1:12" s="124" customFormat="1">
      <c r="A144" s="143"/>
      <c r="F144" s="144"/>
      <c r="G144" s="144"/>
      <c r="L144" s="145"/>
    </row>
    <row r="145" spans="1:12" s="124" customFormat="1">
      <c r="A145" s="143"/>
      <c r="F145" s="144"/>
      <c r="G145" s="144"/>
      <c r="L145" s="145"/>
    </row>
    <row r="146" spans="1:12" s="124" customFormat="1">
      <c r="A146" s="143"/>
      <c r="F146" s="144"/>
      <c r="G146" s="144"/>
      <c r="L146" s="145"/>
    </row>
    <row r="147" spans="1:12" s="124" customFormat="1">
      <c r="A147" s="143"/>
      <c r="F147" s="144"/>
      <c r="G147" s="144"/>
      <c r="L147" s="145"/>
    </row>
    <row r="148" spans="1:12" s="124" customFormat="1">
      <c r="A148" s="143"/>
      <c r="F148" s="144"/>
      <c r="G148" s="144"/>
      <c r="L148" s="145"/>
    </row>
    <row r="149" spans="1:12" s="124" customFormat="1">
      <c r="A149" s="143"/>
      <c r="F149" s="144"/>
      <c r="G149" s="144"/>
      <c r="L149" s="145"/>
    </row>
    <row r="150" spans="1:12" s="124" customFormat="1">
      <c r="A150" s="143"/>
      <c r="F150" s="144"/>
      <c r="G150" s="144"/>
      <c r="L150" s="145"/>
    </row>
    <row r="151" spans="1:12" s="124" customFormat="1">
      <c r="A151" s="143"/>
      <c r="F151" s="144"/>
      <c r="G151" s="144"/>
      <c r="L151" s="145"/>
    </row>
    <row r="152" spans="1:12" s="124" customFormat="1">
      <c r="A152" s="143"/>
      <c r="F152" s="144"/>
      <c r="G152" s="144"/>
      <c r="L152" s="145"/>
    </row>
    <row r="153" spans="1:12" s="124" customFormat="1">
      <c r="A153" s="143"/>
      <c r="F153" s="144"/>
      <c r="G153" s="144"/>
      <c r="L153" s="145"/>
    </row>
    <row r="154" spans="1:12" s="124" customFormat="1">
      <c r="A154" s="143"/>
      <c r="F154" s="144"/>
      <c r="G154" s="144"/>
      <c r="L154" s="145"/>
    </row>
    <row r="155" spans="1:12" s="124" customFormat="1">
      <c r="A155" s="234"/>
      <c r="L155" s="212"/>
    </row>
    <row r="156" spans="1:12" s="124" customFormat="1">
      <c r="A156" s="234"/>
      <c r="L156" s="212"/>
    </row>
    <row r="157" spans="1:12" s="124" customFormat="1">
      <c r="A157" s="143"/>
      <c r="F157" s="144"/>
      <c r="G157" s="144"/>
      <c r="L157" s="145"/>
    </row>
    <row r="158" spans="1:12" s="124" customFormat="1">
      <c r="A158" s="143"/>
      <c r="F158" s="144"/>
      <c r="G158" s="144"/>
      <c r="L158" s="145"/>
    </row>
    <row r="159" spans="1:12" s="124" customFormat="1">
      <c r="A159" s="143"/>
      <c r="F159" s="144"/>
      <c r="G159" s="144"/>
      <c r="L159" s="145"/>
    </row>
    <row r="160" spans="1:12" s="124" customFormat="1">
      <c r="A160" s="143"/>
      <c r="F160" s="144"/>
      <c r="G160" s="144"/>
      <c r="L160" s="145"/>
    </row>
    <row r="161" spans="1:12" s="124" customFormat="1">
      <c r="A161" s="234"/>
      <c r="L161" s="212"/>
    </row>
    <row r="162" spans="1:12" s="124" customFormat="1">
      <c r="A162" s="234"/>
      <c r="L162" s="212"/>
    </row>
    <row r="163" spans="1:12" s="124" customFormat="1">
      <c r="A163" s="143"/>
      <c r="F163" s="144"/>
      <c r="G163" s="144"/>
      <c r="L163" s="145"/>
    </row>
    <row r="164" spans="1:12" s="124" customFormat="1">
      <c r="A164" s="143"/>
      <c r="F164" s="144"/>
      <c r="G164" s="144"/>
      <c r="L164" s="145"/>
    </row>
    <row r="165" spans="1:12" s="124" customFormat="1">
      <c r="A165" s="143"/>
      <c r="F165" s="144"/>
      <c r="G165" s="144"/>
      <c r="L165" s="145"/>
    </row>
    <row r="166" spans="1:12" s="124" customFormat="1">
      <c r="A166" s="143"/>
      <c r="F166" s="144"/>
      <c r="G166" s="144"/>
      <c r="L166" s="145"/>
    </row>
    <row r="167" spans="1:12" s="124" customFormat="1">
      <c r="A167" s="143"/>
      <c r="F167" s="144"/>
      <c r="G167" s="144"/>
      <c r="L167" s="145"/>
    </row>
    <row r="168" spans="1:12" s="124" customFormat="1">
      <c r="A168" s="234"/>
      <c r="L168" s="212"/>
    </row>
    <row r="169" spans="1:12" s="124" customFormat="1">
      <c r="A169" s="234"/>
      <c r="L169" s="212"/>
    </row>
    <row r="170" spans="1:12" s="124" customFormat="1">
      <c r="A170" s="143"/>
      <c r="F170" s="144"/>
      <c r="G170" s="144"/>
      <c r="L170" s="145"/>
    </row>
    <row r="171" spans="1:12" s="124" customFormat="1">
      <c r="A171" s="143"/>
      <c r="F171" s="144"/>
      <c r="G171" s="144"/>
      <c r="L171" s="145"/>
    </row>
    <row r="172" spans="1:12" s="124" customFormat="1">
      <c r="A172" s="143"/>
      <c r="F172" s="144"/>
      <c r="G172" s="144"/>
      <c r="L172" s="145"/>
    </row>
    <row r="173" spans="1:12" s="124" customFormat="1">
      <c r="A173" s="143"/>
      <c r="F173" s="144"/>
      <c r="G173" s="144"/>
      <c r="L173" s="145"/>
    </row>
    <row r="174" spans="1:12" s="124" customFormat="1">
      <c r="A174" s="143"/>
      <c r="F174" s="144"/>
      <c r="G174" s="144"/>
      <c r="L174" s="145"/>
    </row>
    <row r="175" spans="1:12" s="124" customFormat="1">
      <c r="A175" s="234"/>
      <c r="L175" s="212"/>
    </row>
    <row r="176" spans="1:12" s="124" customFormat="1">
      <c r="A176" s="234"/>
      <c r="L176" s="212"/>
    </row>
    <row r="177" spans="1:12" s="124" customFormat="1">
      <c r="A177" s="143"/>
      <c r="F177" s="144"/>
      <c r="G177" s="144"/>
      <c r="L177" s="145"/>
    </row>
    <row r="178" spans="1:12" s="124" customFormat="1">
      <c r="A178" s="143"/>
      <c r="F178" s="144"/>
      <c r="G178" s="144"/>
      <c r="L178" s="145"/>
    </row>
    <row r="179" spans="1:12" s="124" customFormat="1">
      <c r="A179" s="143"/>
      <c r="F179" s="144"/>
      <c r="G179" s="144"/>
      <c r="L179" s="145"/>
    </row>
    <row r="180" spans="1:12" s="124" customFormat="1">
      <c r="A180" s="143"/>
      <c r="F180" s="144"/>
      <c r="G180" s="144"/>
      <c r="L180" s="145"/>
    </row>
    <row r="181" spans="1:12" s="124" customFormat="1">
      <c r="A181" s="143"/>
      <c r="F181" s="144"/>
      <c r="G181" s="144"/>
      <c r="L181" s="145"/>
    </row>
    <row r="182" spans="1:12" s="124" customFormat="1">
      <c r="A182" s="234"/>
      <c r="L182" s="212"/>
    </row>
    <row r="183" spans="1:12" s="124" customFormat="1">
      <c r="A183" s="234"/>
      <c r="L183" s="212"/>
    </row>
    <row r="184" spans="1:12" s="124" customFormat="1">
      <c r="A184" s="143"/>
      <c r="F184" s="144"/>
      <c r="G184" s="144"/>
      <c r="L184" s="145"/>
    </row>
    <row r="185" spans="1:12" s="124" customFormat="1">
      <c r="A185" s="143"/>
      <c r="F185" s="144"/>
      <c r="G185" s="144"/>
      <c r="L185" s="145"/>
    </row>
    <row r="186" spans="1:12" s="124" customFormat="1">
      <c r="A186" s="143"/>
      <c r="F186" s="144"/>
      <c r="G186" s="144"/>
      <c r="L186" s="145"/>
    </row>
    <row r="187" spans="1:12" s="124" customFormat="1">
      <c r="A187" s="234"/>
      <c r="L187" s="212"/>
    </row>
    <row r="188" spans="1:12" s="124" customFormat="1">
      <c r="A188" s="234"/>
      <c r="L188" s="212"/>
    </row>
    <row r="189" spans="1:12" s="124" customFormat="1">
      <c r="A189" s="143"/>
      <c r="F189" s="144"/>
      <c r="G189" s="144"/>
      <c r="L189" s="145"/>
    </row>
    <row r="190" spans="1:12" s="124" customFormat="1">
      <c r="A190" s="143"/>
      <c r="F190" s="144"/>
      <c r="G190" s="144"/>
      <c r="L190" s="145"/>
    </row>
    <row r="191" spans="1:12" s="124" customFormat="1">
      <c r="A191" s="143"/>
      <c r="F191" s="144"/>
      <c r="G191" s="144"/>
      <c r="L191" s="145"/>
    </row>
    <row r="192" spans="1:12" s="124" customFormat="1">
      <c r="A192" s="143"/>
      <c r="F192" s="144"/>
      <c r="G192" s="144"/>
      <c r="L192" s="145"/>
    </row>
    <row r="193" spans="1:12" s="124" customFormat="1">
      <c r="A193" s="143"/>
      <c r="F193" s="144"/>
      <c r="G193" s="144"/>
      <c r="L193" s="145"/>
    </row>
    <row r="194" spans="1:12" s="124" customFormat="1">
      <c r="A194" s="234"/>
      <c r="L194" s="212"/>
    </row>
    <row r="195" spans="1:12" s="124" customFormat="1">
      <c r="A195" s="234"/>
      <c r="L195" s="212"/>
    </row>
    <row r="196" spans="1:12" s="124" customFormat="1">
      <c r="A196" s="143"/>
      <c r="F196" s="144"/>
      <c r="G196" s="144"/>
      <c r="L196" s="145"/>
    </row>
    <row r="197" spans="1:12" s="124" customFormat="1">
      <c r="A197" s="143"/>
      <c r="F197" s="144"/>
      <c r="G197" s="144"/>
      <c r="L197" s="145"/>
    </row>
    <row r="198" spans="1:12" s="124" customFormat="1">
      <c r="A198" s="143"/>
      <c r="F198" s="144"/>
      <c r="G198" s="144"/>
      <c r="L198" s="145"/>
    </row>
    <row r="199" spans="1:12" s="124" customFormat="1">
      <c r="A199" s="143"/>
      <c r="F199" s="144"/>
      <c r="G199" s="144"/>
      <c r="L199" s="145"/>
    </row>
    <row r="200" spans="1:12" s="124" customFormat="1">
      <c r="A200" s="143"/>
      <c r="F200" s="144"/>
      <c r="G200" s="144"/>
      <c r="L200" s="145"/>
    </row>
    <row r="201" spans="1:12" s="124" customFormat="1">
      <c r="A201" s="143"/>
      <c r="F201" s="144"/>
      <c r="G201" s="144"/>
      <c r="L201" s="145"/>
    </row>
    <row r="202" spans="1:12" s="124" customFormat="1">
      <c r="A202" s="143"/>
      <c r="F202" s="144"/>
      <c r="G202" s="144"/>
      <c r="L202" s="145"/>
    </row>
    <row r="203" spans="1:12" s="124" customFormat="1">
      <c r="A203" s="143"/>
      <c r="F203" s="144"/>
      <c r="G203" s="144"/>
      <c r="L203" s="145"/>
    </row>
    <row r="204" spans="1:12" s="124" customFormat="1">
      <c r="A204" s="234"/>
      <c r="L204" s="212"/>
    </row>
    <row r="205" spans="1:12" s="124" customFormat="1">
      <c r="A205" s="234"/>
      <c r="L205" s="212"/>
    </row>
    <row r="206" spans="1:12" s="124" customFormat="1">
      <c r="A206" s="143"/>
      <c r="F206" s="144"/>
      <c r="G206" s="144"/>
      <c r="L206" s="145"/>
    </row>
    <row r="207" spans="1:12" s="124" customFormat="1">
      <c r="A207" s="143"/>
      <c r="F207" s="144"/>
      <c r="G207" s="144"/>
      <c r="L207" s="145"/>
    </row>
    <row r="208" spans="1:12" s="124" customFormat="1">
      <c r="A208" s="143"/>
      <c r="F208" s="144"/>
      <c r="G208" s="144"/>
      <c r="L208" s="145"/>
    </row>
    <row r="209" spans="1:12" s="124" customFormat="1">
      <c r="A209" s="143"/>
      <c r="F209" s="144"/>
      <c r="G209" s="144"/>
      <c r="L209" s="145"/>
    </row>
    <row r="210" spans="1:12" s="124" customFormat="1">
      <c r="A210" s="143"/>
      <c r="F210" s="144"/>
      <c r="G210" s="144"/>
      <c r="L210" s="145"/>
    </row>
    <row r="211" spans="1:12" s="124" customFormat="1">
      <c r="A211" s="234"/>
      <c r="L211" s="212"/>
    </row>
    <row r="212" spans="1:12" s="124" customFormat="1">
      <c r="A212" s="234"/>
      <c r="L212" s="212"/>
    </row>
    <row r="213" spans="1:12" s="124" customFormat="1">
      <c r="A213" s="143"/>
      <c r="F213" s="144"/>
      <c r="G213" s="144"/>
      <c r="L213" s="145"/>
    </row>
    <row r="214" spans="1:12" s="124" customFormat="1">
      <c r="A214" s="143"/>
      <c r="F214" s="144"/>
      <c r="G214" s="144"/>
      <c r="L214" s="145"/>
    </row>
    <row r="215" spans="1:12" s="124" customFormat="1">
      <c r="A215" s="143"/>
      <c r="F215" s="144"/>
      <c r="G215" s="144"/>
      <c r="L215" s="145"/>
    </row>
    <row r="216" spans="1:12" s="124" customFormat="1">
      <c r="A216" s="143"/>
      <c r="F216" s="144"/>
      <c r="G216" s="144"/>
      <c r="L216" s="145"/>
    </row>
    <row r="217" spans="1:12" s="124" customFormat="1">
      <c r="A217" s="143"/>
      <c r="F217" s="144"/>
      <c r="G217" s="144"/>
      <c r="L217" s="145"/>
    </row>
    <row r="218" spans="1:12" s="124" customFormat="1">
      <c r="A218" s="143"/>
      <c r="F218" s="144"/>
      <c r="G218" s="144"/>
      <c r="L218" s="145"/>
    </row>
    <row r="219" spans="1:12" s="124" customFormat="1">
      <c r="A219" s="143"/>
      <c r="F219" s="144"/>
      <c r="G219" s="144"/>
      <c r="L219" s="145"/>
    </row>
    <row r="220" spans="1:12" s="124" customFormat="1">
      <c r="A220" s="143"/>
      <c r="F220" s="144"/>
      <c r="G220" s="144"/>
      <c r="L220" s="145"/>
    </row>
    <row r="221" spans="1:12" s="124" customFormat="1">
      <c r="A221" s="143"/>
      <c r="F221" s="144"/>
      <c r="G221" s="144"/>
      <c r="L221" s="145"/>
    </row>
    <row r="222" spans="1:12" s="124" customFormat="1">
      <c r="A222" s="143"/>
      <c r="F222" s="144"/>
      <c r="G222" s="144"/>
      <c r="L222" s="145"/>
    </row>
    <row r="223" spans="1:12" s="124" customFormat="1">
      <c r="A223" s="143"/>
      <c r="F223" s="144"/>
      <c r="G223" s="144"/>
      <c r="L223" s="145"/>
    </row>
    <row r="224" spans="1:12" s="124" customFormat="1">
      <c r="A224" s="143"/>
      <c r="F224" s="144"/>
      <c r="G224" s="144"/>
      <c r="L224" s="145"/>
    </row>
    <row r="225" spans="1:12" s="124" customFormat="1">
      <c r="A225" s="143"/>
      <c r="F225" s="144"/>
      <c r="G225" s="144"/>
      <c r="L225" s="145"/>
    </row>
    <row r="226" spans="1:12" s="124" customFormat="1">
      <c r="A226" s="234"/>
      <c r="L226" s="212"/>
    </row>
    <row r="227" spans="1:12" s="124" customFormat="1">
      <c r="A227" s="234"/>
      <c r="L227" s="212"/>
    </row>
    <row r="228" spans="1:12" s="124" customFormat="1">
      <c r="A228" s="143"/>
      <c r="F228" s="144"/>
      <c r="G228" s="144"/>
      <c r="L228" s="145"/>
    </row>
    <row r="229" spans="1:12" s="124" customFormat="1">
      <c r="A229" s="143"/>
      <c r="F229" s="144"/>
      <c r="G229" s="144"/>
      <c r="L229" s="145"/>
    </row>
    <row r="230" spans="1:12" s="124" customFormat="1">
      <c r="A230" s="143"/>
      <c r="F230" s="144"/>
      <c r="G230" s="144"/>
      <c r="L230" s="145"/>
    </row>
    <row r="231" spans="1:12" s="124" customFormat="1">
      <c r="A231" s="143"/>
      <c r="F231" s="144"/>
      <c r="G231" s="144"/>
      <c r="L231" s="145"/>
    </row>
    <row r="232" spans="1:12" s="124" customFormat="1">
      <c r="A232" s="143"/>
    </row>
    <row r="233" spans="1:12">
      <c r="A233" s="146"/>
    </row>
  </sheetData>
  <mergeCells count="367">
    <mergeCell ref="A4:A7"/>
    <mergeCell ref="B4:B7"/>
    <mergeCell ref="C4:F5"/>
    <mergeCell ref="G4:H6"/>
    <mergeCell ref="I4:J6"/>
    <mergeCell ref="K4:L6"/>
    <mergeCell ref="G1:L1"/>
    <mergeCell ref="G2:L2"/>
    <mergeCell ref="G3:L3"/>
    <mergeCell ref="A2:F2"/>
    <mergeCell ref="C6:D6"/>
    <mergeCell ref="E6:F6"/>
    <mergeCell ref="A80:A81"/>
    <mergeCell ref="A87:A88"/>
    <mergeCell ref="A102:A103"/>
    <mergeCell ref="B8:B9"/>
    <mergeCell ref="B10:B11"/>
    <mergeCell ref="B31:B32"/>
    <mergeCell ref="B37:B38"/>
    <mergeCell ref="A37:A38"/>
    <mergeCell ref="A44:A45"/>
    <mergeCell ref="A51:A52"/>
    <mergeCell ref="A58:A59"/>
    <mergeCell ref="A63:A64"/>
    <mergeCell ref="A70:A71"/>
    <mergeCell ref="A31:A32"/>
    <mergeCell ref="A18:A19"/>
    <mergeCell ref="A8:A9"/>
    <mergeCell ref="L18:L19"/>
    <mergeCell ref="K18:K19"/>
    <mergeCell ref="B87:B88"/>
    <mergeCell ref="B102:B103"/>
    <mergeCell ref="B44:B45"/>
    <mergeCell ref="B51:B52"/>
    <mergeCell ref="B58:B59"/>
    <mergeCell ref="B63:B64"/>
    <mergeCell ref="B70:B71"/>
    <mergeCell ref="B80:B81"/>
    <mergeCell ref="D18:D19"/>
    <mergeCell ref="C18:C19"/>
    <mergeCell ref="B18:B19"/>
    <mergeCell ref="L31:L32"/>
    <mergeCell ref="K31:K32"/>
    <mergeCell ref="J31:J32"/>
    <mergeCell ref="I31:I32"/>
    <mergeCell ref="H31:H32"/>
    <mergeCell ref="G31:G32"/>
    <mergeCell ref="F31:F32"/>
    <mergeCell ref="J18:J19"/>
    <mergeCell ref="I18:I19"/>
    <mergeCell ref="H18:H19"/>
    <mergeCell ref="G18:G19"/>
    <mergeCell ref="C31:C32"/>
    <mergeCell ref="L37:L38"/>
    <mergeCell ref="K37:K38"/>
    <mergeCell ref="J37:J38"/>
    <mergeCell ref="I37:I38"/>
    <mergeCell ref="H37:H38"/>
    <mergeCell ref="G37:G38"/>
    <mergeCell ref="F37:F38"/>
    <mergeCell ref="E37:E38"/>
    <mergeCell ref="D37:D38"/>
    <mergeCell ref="C37:C38"/>
    <mergeCell ref="J58:J59"/>
    <mergeCell ref="I58:I59"/>
    <mergeCell ref="H58:H59"/>
    <mergeCell ref="G58:G59"/>
    <mergeCell ref="F58:F59"/>
    <mergeCell ref="E44:E45"/>
    <mergeCell ref="D44:D45"/>
    <mergeCell ref="F18:F19"/>
    <mergeCell ref="E18:E19"/>
    <mergeCell ref="E31:E32"/>
    <mergeCell ref="D31:D32"/>
    <mergeCell ref="F63:F64"/>
    <mergeCell ref="E63:E64"/>
    <mergeCell ref="E58:E59"/>
    <mergeCell ref="D58:D59"/>
    <mergeCell ref="C44:C45"/>
    <mergeCell ref="L51:L52"/>
    <mergeCell ref="K51:K52"/>
    <mergeCell ref="J51:J52"/>
    <mergeCell ref="I51:I52"/>
    <mergeCell ref="H51:H52"/>
    <mergeCell ref="G51:G52"/>
    <mergeCell ref="F51:F52"/>
    <mergeCell ref="L44:L45"/>
    <mergeCell ref="K44:K45"/>
    <mergeCell ref="J44:J45"/>
    <mergeCell ref="I44:I45"/>
    <mergeCell ref="H44:H45"/>
    <mergeCell ref="G44:G45"/>
    <mergeCell ref="F44:F45"/>
    <mergeCell ref="E51:E52"/>
    <mergeCell ref="D51:D52"/>
    <mergeCell ref="C51:C52"/>
    <mergeCell ref="L58:L59"/>
    <mergeCell ref="K58:K59"/>
    <mergeCell ref="C70:C71"/>
    <mergeCell ref="L80:L81"/>
    <mergeCell ref="K80:K81"/>
    <mergeCell ref="J80:J81"/>
    <mergeCell ref="I80:I81"/>
    <mergeCell ref="H80:H81"/>
    <mergeCell ref="G80:G81"/>
    <mergeCell ref="F80:F81"/>
    <mergeCell ref="C58:C59"/>
    <mergeCell ref="D63:D64"/>
    <mergeCell ref="C63:C64"/>
    <mergeCell ref="L63:L64"/>
    <mergeCell ref="L70:L71"/>
    <mergeCell ref="K70:K71"/>
    <mergeCell ref="J70:J71"/>
    <mergeCell ref="I70:I71"/>
    <mergeCell ref="H70:H71"/>
    <mergeCell ref="G70:G71"/>
    <mergeCell ref="F70:F71"/>
    <mergeCell ref="K63:K64"/>
    <mergeCell ref="J63:J64"/>
    <mergeCell ref="I63:I64"/>
    <mergeCell ref="H63:H64"/>
    <mergeCell ref="G63:G64"/>
    <mergeCell ref="L87:L88"/>
    <mergeCell ref="K87:K88"/>
    <mergeCell ref="J87:J88"/>
    <mergeCell ref="I87:I88"/>
    <mergeCell ref="H87:H88"/>
    <mergeCell ref="G87:G88"/>
    <mergeCell ref="F87:F88"/>
    <mergeCell ref="E70:E71"/>
    <mergeCell ref="D70:D71"/>
    <mergeCell ref="K102:K103"/>
    <mergeCell ref="J102:J103"/>
    <mergeCell ref="I102:I103"/>
    <mergeCell ref="H102:H103"/>
    <mergeCell ref="G102:G103"/>
    <mergeCell ref="F102:F103"/>
    <mergeCell ref="E80:E81"/>
    <mergeCell ref="D80:D81"/>
    <mergeCell ref="C80:C81"/>
    <mergeCell ref="L211:L212"/>
    <mergeCell ref="L226:L227"/>
    <mergeCell ref="L133:L135"/>
    <mergeCell ref="L142:L143"/>
    <mergeCell ref="L155:L156"/>
    <mergeCell ref="L161:L162"/>
    <mergeCell ref="L168:L169"/>
    <mergeCell ref="L175:L176"/>
    <mergeCell ref="A226:A227"/>
    <mergeCell ref="A133:A135"/>
    <mergeCell ref="A142:A143"/>
    <mergeCell ref="A155:A156"/>
    <mergeCell ref="A161:A162"/>
    <mergeCell ref="A168:A169"/>
    <mergeCell ref="A175:A176"/>
    <mergeCell ref="A182:A183"/>
    <mergeCell ref="A187:A188"/>
    <mergeCell ref="A194:A195"/>
    <mergeCell ref="A204:A205"/>
    <mergeCell ref="A211:A212"/>
    <mergeCell ref="B133:B135"/>
    <mergeCell ref="B129:C129"/>
    <mergeCell ref="F126:L126"/>
    <mergeCell ref="L10:L11"/>
    <mergeCell ref="L182:L183"/>
    <mergeCell ref="L187:L188"/>
    <mergeCell ref="L194:L195"/>
    <mergeCell ref="L204:L205"/>
    <mergeCell ref="B127:E128"/>
    <mergeCell ref="F127:G129"/>
    <mergeCell ref="H127:I129"/>
    <mergeCell ref="J127:K129"/>
    <mergeCell ref="A123:F125"/>
    <mergeCell ref="A127:A130"/>
    <mergeCell ref="E102:E103"/>
    <mergeCell ref="D102:D103"/>
    <mergeCell ref="C102:C103"/>
    <mergeCell ref="L127:L130"/>
    <mergeCell ref="G123:L125"/>
    <mergeCell ref="D129:E129"/>
    <mergeCell ref="E87:E88"/>
    <mergeCell ref="D87:D88"/>
    <mergeCell ref="C87:C88"/>
    <mergeCell ref="C133:C135"/>
    <mergeCell ref="L102:L103"/>
    <mergeCell ref="N8:N9"/>
    <mergeCell ref="H8:H9"/>
    <mergeCell ref="D10:D11"/>
    <mergeCell ref="C10:C11"/>
    <mergeCell ref="K133:K135"/>
    <mergeCell ref="J133:J135"/>
    <mergeCell ref="I133:I135"/>
    <mergeCell ref="H133:H135"/>
    <mergeCell ref="G133:G135"/>
    <mergeCell ref="F133:F135"/>
    <mergeCell ref="E133:E135"/>
    <mergeCell ref="D133:D135"/>
    <mergeCell ref="E10:E11"/>
    <mergeCell ref="J10:J11"/>
    <mergeCell ref="I10:I11"/>
    <mergeCell ref="H10:H11"/>
    <mergeCell ref="G10:G11"/>
    <mergeCell ref="F10:F11"/>
    <mergeCell ref="M31:M32"/>
    <mergeCell ref="N31:N32"/>
    <mergeCell ref="M44:M45"/>
    <mergeCell ref="N44:N45"/>
    <mergeCell ref="M58:M59"/>
    <mergeCell ref="K10:K11"/>
    <mergeCell ref="U10:U11"/>
    <mergeCell ref="V10:V11"/>
    <mergeCell ref="M18:M19"/>
    <mergeCell ref="N18:N19"/>
    <mergeCell ref="O18:O19"/>
    <mergeCell ref="P18:P19"/>
    <mergeCell ref="Q18:Q19"/>
    <mergeCell ref="R18:R19"/>
    <mergeCell ref="S18:S19"/>
    <mergeCell ref="T18:T19"/>
    <mergeCell ref="M10:M11"/>
    <mergeCell ref="N10:N11"/>
    <mergeCell ref="O10:O11"/>
    <mergeCell ref="P10:P11"/>
    <mergeCell ref="Q10:Q11"/>
    <mergeCell ref="R10:R11"/>
    <mergeCell ref="S10:S11"/>
    <mergeCell ref="T10:T11"/>
    <mergeCell ref="U18:U19"/>
    <mergeCell ref="V18:V19"/>
    <mergeCell ref="O31:O32"/>
    <mergeCell ref="P31:P32"/>
    <mergeCell ref="Q31:Q32"/>
    <mergeCell ref="R31:R32"/>
    <mergeCell ref="S31:S32"/>
    <mergeCell ref="T31:T32"/>
    <mergeCell ref="U31:U32"/>
    <mergeCell ref="V31:V32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V38"/>
    <mergeCell ref="M51:M52"/>
    <mergeCell ref="N51:N52"/>
    <mergeCell ref="O51:O52"/>
    <mergeCell ref="P51:P52"/>
    <mergeCell ref="Q51:Q52"/>
    <mergeCell ref="R51:R52"/>
    <mergeCell ref="S51:S52"/>
    <mergeCell ref="T51:T52"/>
    <mergeCell ref="U51:U52"/>
    <mergeCell ref="U58:U59"/>
    <mergeCell ref="V58:V59"/>
    <mergeCell ref="O44:O45"/>
    <mergeCell ref="P44:P45"/>
    <mergeCell ref="Q44:Q45"/>
    <mergeCell ref="R44:R45"/>
    <mergeCell ref="S44:S45"/>
    <mergeCell ref="T44:T45"/>
    <mergeCell ref="U44:U45"/>
    <mergeCell ref="V44:V45"/>
    <mergeCell ref="V51:V52"/>
    <mergeCell ref="T70:T71"/>
    <mergeCell ref="V70:V71"/>
    <mergeCell ref="U70:U71"/>
    <mergeCell ref="M63:M64"/>
    <mergeCell ref="N63:N64"/>
    <mergeCell ref="O63:O64"/>
    <mergeCell ref="P63:P64"/>
    <mergeCell ref="Q63:Q64"/>
    <mergeCell ref="R63:R64"/>
    <mergeCell ref="S63:S64"/>
    <mergeCell ref="T63:T64"/>
    <mergeCell ref="U63:U64"/>
    <mergeCell ref="N58:N59"/>
    <mergeCell ref="O58:O59"/>
    <mergeCell ref="P58:P59"/>
    <mergeCell ref="Q58:Q59"/>
    <mergeCell ref="R58:R59"/>
    <mergeCell ref="S58:S59"/>
    <mergeCell ref="T58:T59"/>
    <mergeCell ref="V80:V81"/>
    <mergeCell ref="M80:M81"/>
    <mergeCell ref="N80:N81"/>
    <mergeCell ref="O80:O81"/>
    <mergeCell ref="P80:P81"/>
    <mergeCell ref="Q80:Q81"/>
    <mergeCell ref="R80:R81"/>
    <mergeCell ref="S80:S81"/>
    <mergeCell ref="T80:T81"/>
    <mergeCell ref="V63:V64"/>
    <mergeCell ref="M70:M71"/>
    <mergeCell ref="N70:N71"/>
    <mergeCell ref="O70:O71"/>
    <mergeCell ref="P70:P71"/>
    <mergeCell ref="Q70:Q71"/>
    <mergeCell ref="R70:R71"/>
    <mergeCell ref="S70:S71"/>
    <mergeCell ref="N102:N103"/>
    <mergeCell ref="O102:O103"/>
    <mergeCell ref="P102:P103"/>
    <mergeCell ref="Q102:Q103"/>
    <mergeCell ref="R102:R103"/>
    <mergeCell ref="S102:S103"/>
    <mergeCell ref="T102:T103"/>
    <mergeCell ref="U80:U81"/>
    <mergeCell ref="M87:M88"/>
    <mergeCell ref="N87:N88"/>
    <mergeCell ref="O87:O88"/>
    <mergeCell ref="P87:P88"/>
    <mergeCell ref="Q87:Q88"/>
    <mergeCell ref="R87:R88"/>
    <mergeCell ref="S87:S88"/>
    <mergeCell ref="T87:T88"/>
    <mergeCell ref="W44:Y45"/>
    <mergeCell ref="M1:P2"/>
    <mergeCell ref="G8:G9"/>
    <mergeCell ref="F8:F9"/>
    <mergeCell ref="E8:E9"/>
    <mergeCell ref="D8:D9"/>
    <mergeCell ref="C8:C9"/>
    <mergeCell ref="M4:P5"/>
    <mergeCell ref="L8:L9"/>
    <mergeCell ref="K8:K9"/>
    <mergeCell ref="J8:J9"/>
    <mergeCell ref="I8:I9"/>
    <mergeCell ref="U8:U9"/>
    <mergeCell ref="V8:V9"/>
    <mergeCell ref="O8:O9"/>
    <mergeCell ref="P8:P9"/>
    <mergeCell ref="Q8:Q9"/>
    <mergeCell ref="R8:R9"/>
    <mergeCell ref="S8:S9"/>
    <mergeCell ref="T8:T9"/>
    <mergeCell ref="W8:Y9"/>
    <mergeCell ref="M3:P3"/>
    <mergeCell ref="Q4:R6"/>
    <mergeCell ref="M8:M9"/>
    <mergeCell ref="X108:Y108"/>
    <mergeCell ref="Q1:Y2"/>
    <mergeCell ref="A10:A11"/>
    <mergeCell ref="S4:T6"/>
    <mergeCell ref="U4:V6"/>
    <mergeCell ref="M6:N6"/>
    <mergeCell ref="O6:P6"/>
    <mergeCell ref="U102:U103"/>
    <mergeCell ref="V102:V103"/>
    <mergeCell ref="U87:U88"/>
    <mergeCell ref="V87:V88"/>
    <mergeCell ref="M102:M103"/>
    <mergeCell ref="W102:Y103"/>
    <mergeCell ref="W51:Y52"/>
    <mergeCell ref="W58:Y59"/>
    <mergeCell ref="W63:Y64"/>
    <mergeCell ref="W70:Y71"/>
    <mergeCell ref="W80:Y81"/>
    <mergeCell ref="W87:Y88"/>
    <mergeCell ref="W4:Y7"/>
    <mergeCell ref="W10:Y11"/>
    <mergeCell ref="W18:Y19"/>
    <mergeCell ref="W31:Y32"/>
    <mergeCell ref="W37:Y38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ListOfRegions</vt:lpstr>
      <vt:lpstr>Πίνακας2(α)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2015-05-06T09:29:52Z</cp:lastPrinted>
  <dcterms:created xsi:type="dcterms:W3CDTF">2015-04-23T05:14:58Z</dcterms:created>
  <dcterms:modified xsi:type="dcterms:W3CDTF">2016-09-02T11:24:54Z</dcterms:modified>
</cp:coreProperties>
</file>