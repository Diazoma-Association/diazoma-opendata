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52" windowWidth="14856" windowHeight="5760" firstSheet="1" activeTab="1"/>
  </bookViews>
  <sheets>
    <sheet name="ListOfValues" sheetId="1" state="hidden" r:id="rId1"/>
    <sheet name="Πίνακας2(δ)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A107" i="2"/>
  <c r="A106"/>
  <c r="A105"/>
  <c r="A104"/>
  <c r="A101"/>
  <c r="A100"/>
  <c r="A99"/>
  <c r="A98"/>
  <c r="A97"/>
  <c r="A96"/>
  <c r="A95"/>
  <c r="A94"/>
  <c r="A93"/>
  <c r="A92"/>
  <c r="A91"/>
  <c r="A90"/>
  <c r="A89"/>
  <c r="A86"/>
  <c r="A85"/>
  <c r="A84"/>
  <c r="A83"/>
  <c r="A82"/>
  <c r="A79"/>
  <c r="A78"/>
  <c r="A77"/>
  <c r="A76"/>
  <c r="A75"/>
  <c r="A74"/>
  <c r="A73"/>
  <c r="A72"/>
  <c r="A69"/>
  <c r="A68"/>
  <c r="A67"/>
  <c r="A66"/>
  <c r="A65"/>
  <c r="A62"/>
  <c r="A61"/>
  <c r="A60"/>
  <c r="A57"/>
  <c r="A56"/>
  <c r="A55"/>
  <c r="A54"/>
  <c r="A53"/>
  <c r="A50"/>
  <c r="A49"/>
  <c r="A48"/>
  <c r="A47"/>
  <c r="A46"/>
  <c r="A43"/>
  <c r="A42"/>
  <c r="A41"/>
  <c r="A40"/>
  <c r="A39"/>
  <c r="A36"/>
  <c r="A35"/>
  <c r="A34"/>
  <c r="A33"/>
  <c r="A30"/>
  <c r="A29"/>
  <c r="A28"/>
  <c r="A27"/>
  <c r="A26"/>
  <c r="A25"/>
  <c r="A24"/>
  <c r="A23"/>
  <c r="A22"/>
  <c r="A21"/>
  <c r="A20"/>
  <c r="A17"/>
  <c r="A16"/>
  <c r="A15"/>
  <c r="A14"/>
  <c r="A13"/>
  <c r="A12"/>
</calcChain>
</file>

<file path=xl/sharedStrings.xml><?xml version="1.0" encoding="utf-8"?>
<sst xmlns="http://schemas.openxmlformats.org/spreadsheetml/2006/main" count="1868" uniqueCount="303">
  <si>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</si>
  <si>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</si>
  <si>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</si>
  <si>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</si>
  <si>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</si>
  <si>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</si>
  <si>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</si>
  <si>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</si>
  <si>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</si>
  <si>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</si>
  <si>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</si>
  <si>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</si>
  <si>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</si>
  <si>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</si>
  <si>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</si>
  <si>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</si>
  <si>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</si>
  <si>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</si>
  <si>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</si>
  <si>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</si>
  <si>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</si>
  <si>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</si>
  <si>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</si>
  <si>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</si>
  <si>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</si>
  <si>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</si>
  <si>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</si>
  <si>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</si>
  <si>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</si>
  <si>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</si>
  <si>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</si>
  <si>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</si>
  <si>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</si>
  <si>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</si>
  <si>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</si>
  <si>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</si>
  <si>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</si>
  <si>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</si>
  <si>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</si>
  <si>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</si>
  <si>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</si>
  <si>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</si>
  <si>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</si>
  <si>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</si>
  <si>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</si>
  <si>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</si>
  <si>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</si>
  <si>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</si>
  <si>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</si>
  <si>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</si>
  <si>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</si>
  <si>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</si>
  <si>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</si>
  <si>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</si>
  <si>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</si>
  <si>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</si>
  <si>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</si>
  <si>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</si>
  <si>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</si>
  <si>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</si>
  <si>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</si>
  <si>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</si>
  <si>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</si>
  <si>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</si>
  <si>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</si>
  <si>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</si>
  <si>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</si>
  <si>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</si>
  <si>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</si>
  <si>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</si>
  <si>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</si>
  <si>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</si>
  <si>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</si>
  <si>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</si>
  <si>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</si>
  <si>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</si>
  <si>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</si>
  <si>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</si>
  <si>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</si>
  <si>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</si>
  <si>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</si>
  <si>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</si>
  <si>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</si>
  <si>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</si>
  <si>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</si>
  <si>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</si>
  <si>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</si>
  <si>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</si>
  <si>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</si>
  <si>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</si>
  <si>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</si>
  <si>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</si>
  <si>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</si>
  <si>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</si>
  <si>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</si>
  <si>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</si>
  <si>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</si>
  <si>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</si>
  <si>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</si>
  <si>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</si>
  <si>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</si>
  <si>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</si>
  <si>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</si>
  <si>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</si>
  <si>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</si>
  <si>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</si>
  <si>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</si>
  <si>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</si>
  <si>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</si>
  <si>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</si>
  <si>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</si>
  <si>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</si>
  <si>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</si>
  <si>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</si>
  <si>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</si>
  <si>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</si>
  <si>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</si>
  <si>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</si>
  <si>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</si>
  <si>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</si>
  <si>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</si>
  <si>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</si>
  <si>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</si>
  <si>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</si>
  <si>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</si>
  <si>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</si>
  <si>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</si>
  <si>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</si>
  <si>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</si>
  <si>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</si>
  <si>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</si>
  <si>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</si>
  <si>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</si>
  <si>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</si>
  <si>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</si>
  <si>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</si>
  <si>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</si>
  <si>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</si>
  <si>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</si>
  <si>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</si>
  <si>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</si>
  <si>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</si>
  <si>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</si>
  <si>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</si>
  <si>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</si>
  <si>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</si>
  <si>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</si>
  <si>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</si>
  <si>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</si>
  <si>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</si>
  <si>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</si>
  <si>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</si>
  <si>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</si>
  <si>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</si>
  <si>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</si>
  <si>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</si>
  <si>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</si>
  <si>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</si>
  <si>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</si>
  <si>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</si>
  <si>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</si>
  <si>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</si>
  <si>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</si>
  <si>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</si>
  <si>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</si>
  <si>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</si>
  <si>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</si>
  <si>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</si>
  <si>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</si>
  <si>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</si>
  <si>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</si>
  <si>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</si>
  <si>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Σύνολο Εκτάσεων - 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</si>
  <si>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</si>
  <si>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</si>
  <si>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</si>
  <si>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</si>
  <si>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</si>
  <si>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</si>
  <si>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</si>
  <si>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</si>
  <si>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</si>
  <si>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</si>
  <si>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</si>
  <si>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</si>
  <si>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</si>
  <si>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</si>
  <si>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</si>
  <si>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</si>
  <si>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</si>
  <si>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</si>
  <si>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</si>
  <si>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</si>
  <si>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</si>
  <si>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</si>
  <si>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</si>
  <si>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</si>
  <si>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</si>
  <si>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</si>
  <si>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</si>
  <si>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</si>
  <si>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</si>
  <si>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</si>
  <si>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</si>
  <si>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</si>
  <si>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</si>
  <si>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</si>
  <si>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</si>
  <si>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</si>
  <si>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</si>
  <si>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</si>
  <si>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</si>
  <si>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</si>
  <si>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</si>
  <si>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</si>
  <si>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</si>
  <si>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</si>
  <si>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</si>
  <si>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</si>
  <si>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</si>
  <si>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</si>
  <si>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</si>
  <si>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</si>
  <si>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</si>
  <si>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</si>
  <si>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</si>
  <si>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</si>
  <si>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</si>
  <si>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</si>
  <si>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</si>
  <si>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</si>
  <si>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</si>
  <si>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</si>
  <si>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</si>
  <si>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</si>
  <si>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</si>
  <si>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</si>
  <si>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</si>
  <si>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</si>
  <si>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</si>
  <si>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</si>
  <si>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</si>
  <si>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</si>
  <si>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</si>
  <si>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</si>
  <si>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</si>
  <si>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</si>
  <si>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</si>
  <si>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</si>
  <si>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</si>
  <si>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</si>
  <si>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</si>
  <si>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</si>
  <si>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</si>
  <si>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</si>
  <si>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</si>
  <si>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</si>
  <si>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</si>
  <si>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</si>
  <si>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</si>
  <si>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</si>
  <si>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</si>
  <si>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</si>
  <si>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</si>
  <si>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</si>
  <si>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</si>
  <si>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</si>
  <si>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</si>
  <si>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</si>
  <si>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</si>
  <si>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</si>
  <si>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</si>
  <si>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</si>
  <si>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</si>
  <si>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</si>
  <si>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</si>
  <si>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Καπνός - Tobacco</t>
  </si>
  <si>
    <t>Βαμβάκι - Cotton</t>
  </si>
  <si>
    <t>Σόργο - Sorgum</t>
  </si>
  <si>
    <t>Ζαχαρότευτλα Sugar beets</t>
  </si>
  <si>
    <r>
      <t>Αρωματικά φυτά που καλλιεργούνται</t>
    </r>
    <r>
      <rPr>
        <vertAlign val="superscript"/>
        <sz val="8"/>
        <color theme="1"/>
        <rFont val="Arial"/>
        <family val="2"/>
        <charset val="161"/>
      </rPr>
      <t xml:space="preserve">(3) </t>
    </r>
    <r>
      <rPr>
        <sz val="8"/>
        <color theme="1"/>
        <rFont val="Arial"/>
        <family val="2"/>
        <charset val="161"/>
      </rPr>
      <t>Cultivated aromatic plants</t>
    </r>
  </si>
  <si>
    <t>Σύνολο Total</t>
  </si>
  <si>
    <t xml:space="preserve">    Μπέρλευ, Βιρτζίνια     Berley Virginia</t>
  </si>
  <si>
    <t xml:space="preserve">       Ανατολικού τύπου      Eastern type</t>
  </si>
  <si>
    <t xml:space="preserve">   Κολοκύθες για σπόρους πασατέμπου Pumpkin seed</t>
  </si>
  <si>
    <t>Αραχίδα Groundnuts</t>
  </si>
  <si>
    <t>Σόγια, σπόρος Soya seed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</si>
  <si>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</si>
  <si>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</si>
  <si>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</si>
  <si>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</si>
  <si>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>―</t>
  </si>
  <si>
    <t>ποτιστικό               irrigated</t>
  </si>
  <si>
    <t>Σουσάμι              Sesame</t>
  </si>
  <si>
    <t>Ηλιόσπορος      Sunflower</t>
  </si>
  <si>
    <t>Ελαιοκράμβη        Rapeseed</t>
  </si>
  <si>
    <r>
      <t>Λοιπά</t>
    </r>
    <r>
      <rPr>
        <vertAlign val="superscript"/>
        <sz val="8"/>
        <rFont val="Arial"/>
        <family val="2"/>
        <charset val="161"/>
      </rPr>
      <t xml:space="preserve">(1)   </t>
    </r>
    <r>
      <rPr>
        <sz val="8"/>
        <rFont val="Arial"/>
        <family val="2"/>
        <charset val="161"/>
      </rPr>
      <t>Other</t>
    </r>
  </si>
  <si>
    <t xml:space="preserve">Περιφέρειες και Περιφερειακές Ενότητες     </t>
  </si>
  <si>
    <t>σπόρος      seed</t>
  </si>
  <si>
    <t>χόρτο    broom</t>
  </si>
  <si>
    <t>Table 2d. Industrial plants. Areas and production by Region and Regional Unity: 2011</t>
  </si>
  <si>
    <t>ξερικό                         non-irrigated</t>
  </si>
  <si>
    <t>Πίνακας 2δ. Βιομηχανικά φυτά. Εκτάσεις και παραγωγή κατά Περιφέρεια και Περιφερειακή Ενότητα: 2011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</si>
</sst>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color theme="1"/>
      <name val="Arial"/>
      <family val="2"/>
      <charset val="161"/>
    </font>
    <font>
      <vertAlign val="superscript"/>
      <sz val="8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8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4" borderId="4" xfId="0" applyNumberFormat="1" applyFont="1" applyFill="1" applyBorder="1"/>
    <xf numFmtId="49" fontId="1" fillId="4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4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1" fillId="4" borderId="0" xfId="0" applyNumberFormat="1" applyFont="1" applyFill="1" applyBorder="1"/>
    <xf numFmtId="49" fontId="3" fillId="4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6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6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7" borderId="1" xfId="0" applyNumberFormat="1" applyFont="1" applyFill="1" applyBorder="1"/>
    <xf numFmtId="49" fontId="1" fillId="7" borderId="2" xfId="0" applyNumberFormat="1" applyFont="1" applyFill="1" applyBorder="1"/>
    <xf numFmtId="0" fontId="2" fillId="7" borderId="2" xfId="0" applyNumberFormat="1" applyFont="1" applyFill="1" applyBorder="1" applyAlignment="1" applyProtection="1"/>
    <xf numFmtId="49" fontId="3" fillId="7" borderId="2" xfId="0" applyNumberFormat="1" applyFont="1" applyFill="1" applyBorder="1"/>
    <xf numFmtId="49" fontId="3" fillId="7" borderId="2" xfId="0" applyNumberFormat="1" applyFont="1" applyFill="1" applyBorder="1" applyAlignment="1">
      <alignment vertical="center" textRotation="90"/>
    </xf>
    <xf numFmtId="0" fontId="2" fillId="7" borderId="3" xfId="0" applyNumberFormat="1" applyFont="1" applyFill="1" applyBorder="1" applyAlignment="1" applyProtection="1"/>
    <xf numFmtId="49" fontId="1" fillId="7" borderId="4" xfId="0" applyNumberFormat="1" applyFont="1" applyFill="1" applyBorder="1"/>
    <xf numFmtId="49" fontId="1" fillId="7" borderId="0" xfId="0" applyNumberFormat="1" applyFont="1" applyFill="1" applyBorder="1"/>
    <xf numFmtId="0" fontId="2" fillId="7" borderId="0" xfId="0" applyNumberFormat="1" applyFont="1" applyFill="1" applyBorder="1" applyAlignment="1" applyProtection="1"/>
    <xf numFmtId="49" fontId="3" fillId="7" borderId="0" xfId="0" applyNumberFormat="1" applyFont="1" applyFill="1" applyBorder="1" applyAlignment="1">
      <alignment vertical="center" textRotation="90"/>
    </xf>
    <xf numFmtId="0" fontId="2" fillId="7" borderId="5" xfId="0" applyNumberFormat="1" applyFont="1" applyFill="1" applyBorder="1" applyAlignment="1" applyProtection="1"/>
    <xf numFmtId="49" fontId="4" fillId="7" borderId="0" xfId="0" applyNumberFormat="1" applyFont="1" applyFill="1" applyBorder="1"/>
    <xf numFmtId="49" fontId="1" fillId="8" borderId="4" xfId="0" applyNumberFormat="1" applyFont="1" applyFill="1" applyBorder="1"/>
    <xf numFmtId="49" fontId="1" fillId="8" borderId="0" xfId="0" applyNumberFormat="1" applyFont="1" applyFill="1" applyBorder="1"/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1" fillId="8" borderId="6" xfId="0" applyNumberFormat="1" applyFont="1" applyFill="1" applyBorder="1"/>
    <xf numFmtId="49" fontId="1" fillId="8" borderId="7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3" fillId="8" borderId="7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9" borderId="1" xfId="0" applyNumberFormat="1" applyFont="1" applyFill="1" applyBorder="1"/>
    <xf numFmtId="49" fontId="1" fillId="9" borderId="2" xfId="0" applyNumberFormat="1" applyFont="1" applyFill="1" applyBorder="1"/>
    <xf numFmtId="0" fontId="2" fillId="9" borderId="2" xfId="0" applyNumberFormat="1" applyFont="1" applyFill="1" applyBorder="1" applyAlignment="1" applyProtection="1"/>
    <xf numFmtId="49" fontId="3" fillId="9" borderId="2" xfId="0" applyNumberFormat="1" applyFont="1" applyFill="1" applyBorder="1"/>
    <xf numFmtId="0" fontId="5" fillId="9" borderId="2" xfId="0" applyNumberFormat="1" applyFont="1" applyFill="1" applyBorder="1" applyAlignment="1" applyProtection="1"/>
    <xf numFmtId="49" fontId="3" fillId="9" borderId="2" xfId="0" applyNumberFormat="1" applyFont="1" applyFill="1" applyBorder="1" applyAlignment="1">
      <alignment vertical="center" textRotation="90"/>
    </xf>
    <xf numFmtId="0" fontId="5" fillId="9" borderId="3" xfId="0" applyNumberFormat="1" applyFont="1" applyFill="1" applyBorder="1" applyAlignment="1" applyProtection="1"/>
    <xf numFmtId="49" fontId="1" fillId="9" borderId="4" xfId="0" applyNumberFormat="1" applyFont="1" applyFill="1" applyBorder="1"/>
    <xf numFmtId="49" fontId="1" fillId="9" borderId="0" xfId="0" applyNumberFormat="1" applyFont="1" applyFill="1" applyBorder="1"/>
    <xf numFmtId="0" fontId="2" fillId="9" borderId="0" xfId="0" applyNumberFormat="1" applyFont="1" applyFill="1" applyBorder="1" applyAlignment="1" applyProtection="1"/>
    <xf numFmtId="49" fontId="3" fillId="9" borderId="0" xfId="0" applyNumberFormat="1" applyFont="1" applyFill="1" applyBorder="1" applyAlignment="1">
      <alignment vertical="center" textRotation="90"/>
    </xf>
    <xf numFmtId="0" fontId="2" fillId="9" borderId="5" xfId="0" applyNumberFormat="1" applyFont="1" applyFill="1" applyBorder="1" applyAlignment="1" applyProtection="1"/>
    <xf numFmtId="49" fontId="4" fillId="9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9" borderId="2" xfId="0" applyNumberFormat="1" applyFont="1" applyFill="1" applyBorder="1" applyAlignment="1" applyProtection="1"/>
    <xf numFmtId="0" fontId="2" fillId="9" borderId="3" xfId="0" applyNumberFormat="1" applyFont="1" applyFill="1" applyBorder="1" applyAlignment="1" applyProtection="1"/>
    <xf numFmtId="0" fontId="5" fillId="9" borderId="0" xfId="0" applyNumberFormat="1" applyFont="1" applyFill="1" applyBorder="1" applyAlignment="1" applyProtection="1"/>
    <xf numFmtId="49" fontId="1" fillId="9" borderId="6" xfId="0" applyNumberFormat="1" applyFont="1" applyFill="1" applyBorder="1"/>
    <xf numFmtId="49" fontId="1" fillId="9" borderId="7" xfId="0" applyNumberFormat="1" applyFont="1" applyFill="1" applyBorder="1"/>
    <xf numFmtId="0" fontId="2" fillId="9" borderId="7" xfId="0" applyNumberFormat="1" applyFont="1" applyFill="1" applyBorder="1" applyAlignment="1" applyProtection="1"/>
    <xf numFmtId="0" fontId="2" fillId="9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4" borderId="1" xfId="0" applyNumberFormat="1" applyFont="1" applyFill="1" applyBorder="1"/>
    <xf numFmtId="49" fontId="7" fillId="4" borderId="0" xfId="0" applyNumberFormat="1" applyFont="1" applyFill="1" applyBorder="1"/>
    <xf numFmtId="0" fontId="2" fillId="4" borderId="2" xfId="0" applyNumberFormat="1" applyFont="1" applyFill="1" applyBorder="1" applyAlignment="1" applyProtection="1"/>
    <xf numFmtId="49" fontId="3" fillId="4" borderId="2" xfId="0" applyNumberFormat="1" applyFont="1" applyFill="1" applyBorder="1"/>
    <xf numFmtId="49" fontId="1" fillId="4" borderId="2" xfId="0" applyNumberFormat="1" applyFont="1" applyFill="1" applyBorder="1"/>
    <xf numFmtId="0" fontId="2" fillId="4" borderId="3" xfId="0" applyNumberFormat="1" applyFont="1" applyFill="1" applyBorder="1" applyAlignment="1" applyProtection="1"/>
    <xf numFmtId="49" fontId="4" fillId="14" borderId="0" xfId="0" applyNumberFormat="1" applyFont="1" applyFill="1" applyBorder="1" applyAlignment="1">
      <alignment horizontal="left"/>
    </xf>
    <xf numFmtId="0" fontId="2" fillId="14" borderId="0" xfId="0" applyNumberFormat="1" applyFont="1" applyFill="1" applyBorder="1" applyAlignment="1" applyProtection="1">
      <alignment horizontal="left"/>
    </xf>
    <xf numFmtId="49" fontId="8" fillId="14" borderId="0" xfId="0" applyNumberFormat="1" applyFont="1" applyFill="1" applyBorder="1" applyAlignment="1">
      <alignment horizontal="left"/>
    </xf>
    <xf numFmtId="49" fontId="1" fillId="4" borderId="6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1" fillId="4" borderId="7" xfId="0" applyNumberFormat="1" applyFont="1" applyFill="1" applyBorder="1"/>
    <xf numFmtId="0" fontId="2" fillId="4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5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1" fillId="0" borderId="0" xfId="0" applyFont="1"/>
    <xf numFmtId="0" fontId="11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0" fontId="13" fillId="0" borderId="27" xfId="0" applyFont="1" applyBorder="1" applyAlignment="1">
      <alignment horizontal="center"/>
    </xf>
    <xf numFmtId="49" fontId="10" fillId="0" borderId="0" xfId="0" applyNumberFormat="1" applyFont="1" applyFill="1" applyBorder="1" applyAlignment="1" applyProtection="1">
      <alignment horizontal="left" wrapText="1" indent="2"/>
    </xf>
    <xf numFmtId="3" fontId="10" fillId="0" borderId="16" xfId="0" applyNumberFormat="1" applyFont="1" applyFill="1" applyBorder="1" applyAlignment="1" applyProtection="1">
      <alignment vertical="center" wrapText="1"/>
    </xf>
    <xf numFmtId="3" fontId="15" fillId="0" borderId="0" xfId="0" applyNumberFormat="1" applyFont="1" applyFill="1" applyBorder="1" applyAlignment="1" applyProtection="1"/>
    <xf numFmtId="0" fontId="11" fillId="0" borderId="0" xfId="0" applyFont="1" applyBorder="1" applyAlignment="1">
      <alignment horizontal="left"/>
    </xf>
    <xf numFmtId="49" fontId="10" fillId="0" borderId="7" xfId="0" applyNumberFormat="1" applyFont="1" applyFill="1" applyBorder="1" applyAlignment="1" applyProtection="1">
      <alignment horizontal="left" wrapText="1" indent="2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right" vertical="center"/>
    </xf>
    <xf numFmtId="0" fontId="11" fillId="0" borderId="0" xfId="0" applyFont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0" fontId="13" fillId="0" borderId="0" xfId="0" applyFont="1" applyBorder="1" applyAlignment="1">
      <alignment horizontal="center"/>
    </xf>
    <xf numFmtId="49" fontId="9" fillId="0" borderId="0" xfId="0" applyNumberFormat="1" applyFont="1" applyFill="1" applyBorder="1" applyAlignment="1" applyProtection="1">
      <alignment horizontal="left" indent="2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11" fillId="0" borderId="0" xfId="0" applyNumberFormat="1" applyFont="1" applyBorder="1"/>
    <xf numFmtId="0" fontId="12" fillId="0" borderId="0" xfId="0" applyFont="1" applyBorder="1" applyAlignment="1">
      <alignment horizontal="right" vertical="center"/>
    </xf>
    <xf numFmtId="0" fontId="15" fillId="0" borderId="0" xfId="0" applyNumberFormat="1" applyFont="1" applyFill="1" applyBorder="1" applyAlignment="1" applyProtection="1"/>
    <xf numFmtId="0" fontId="11" fillId="0" borderId="0" xfId="0" applyFont="1" applyBorder="1" applyAlignment="1">
      <alignment horizontal="left" indent="2"/>
    </xf>
    <xf numFmtId="49" fontId="11" fillId="0" borderId="0" xfId="0" applyNumberFormat="1" applyFont="1"/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3" fillId="0" borderId="34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3" fillId="0" borderId="17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0" fillId="0" borderId="34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4" xfId="0" applyFont="1" applyBorder="1" applyAlignment="1">
      <alignment horizontal="left" indent="2"/>
    </xf>
    <xf numFmtId="0" fontId="11" fillId="0" borderId="6" xfId="0" applyFont="1" applyBorder="1" applyAlignment="1">
      <alignment horizontal="left" indent="2"/>
    </xf>
    <xf numFmtId="0" fontId="11" fillId="0" borderId="0" xfId="0" applyFont="1" applyBorder="1" applyAlignment="1">
      <alignment horizontal="center"/>
    </xf>
    <xf numFmtId="3" fontId="10" fillId="0" borderId="30" xfId="0" applyNumberFormat="1" applyFont="1" applyFill="1" applyBorder="1" applyAlignment="1" applyProtection="1">
      <alignment vertical="center" wrapText="1"/>
    </xf>
    <xf numFmtId="3" fontId="10" fillId="0" borderId="0" xfId="0" applyNumberFormat="1" applyFont="1" applyFill="1" applyBorder="1" applyAlignment="1" applyProtection="1">
      <alignment vertical="center" wrapText="1"/>
    </xf>
    <xf numFmtId="0" fontId="0" fillId="0" borderId="0" xfId="0" applyBorder="1"/>
    <xf numFmtId="3" fontId="0" fillId="0" borderId="0" xfId="0" applyNumberFormat="1" applyBorder="1"/>
    <xf numFmtId="3" fontId="9" fillId="0" borderId="0" xfId="0" applyNumberFormat="1" applyFont="1" applyFill="1" applyBorder="1" applyAlignment="1" applyProtection="1">
      <alignment vertical="center" wrapText="1"/>
    </xf>
    <xf numFmtId="0" fontId="10" fillId="0" borderId="7" xfId="0" applyNumberFormat="1" applyFont="1" applyFill="1" applyBorder="1" applyAlignment="1" applyProtection="1"/>
    <xf numFmtId="0" fontId="11" fillId="0" borderId="0" xfId="0" applyFont="1" applyBorder="1" applyAlignment="1">
      <alignment horizontal="left"/>
    </xf>
    <xf numFmtId="3" fontId="15" fillId="0" borderId="29" xfId="0" applyNumberFormat="1" applyFont="1" applyFill="1" applyBorder="1" applyAlignment="1" applyProtection="1">
      <alignment horizontal="right"/>
    </xf>
    <xf numFmtId="3" fontId="15" fillId="0" borderId="29" xfId="0" quotePrefix="1" applyNumberFormat="1" applyFont="1" applyFill="1" applyBorder="1" applyAlignment="1" applyProtection="1">
      <alignment horizontal="right"/>
    </xf>
    <xf numFmtId="3" fontId="15" fillId="0" borderId="20" xfId="0" applyNumberFormat="1" applyFont="1" applyFill="1" applyBorder="1" applyAlignment="1" applyProtection="1">
      <alignment horizontal="right"/>
    </xf>
    <xf numFmtId="3" fontId="15" fillId="0" borderId="20" xfId="0" quotePrefix="1" applyNumberFormat="1" applyFont="1" applyFill="1" applyBorder="1" applyAlignment="1" applyProtection="1">
      <alignment horizontal="right"/>
    </xf>
    <xf numFmtId="3" fontId="15" fillId="0" borderId="21" xfId="0" applyNumberFormat="1" applyFont="1" applyFill="1" applyBorder="1" applyAlignment="1" applyProtection="1">
      <alignment horizontal="right"/>
    </xf>
    <xf numFmtId="3" fontId="15" fillId="0" borderId="21" xfId="0" quotePrefix="1" applyNumberFormat="1" applyFont="1" applyFill="1" applyBorder="1" applyAlignment="1" applyProtection="1">
      <alignment horizontal="right"/>
    </xf>
    <xf numFmtId="3" fontId="15" fillId="0" borderId="32" xfId="0" quotePrefix="1" applyNumberFormat="1" applyFont="1" applyFill="1" applyBorder="1" applyAlignment="1" applyProtection="1">
      <alignment horizontal="right"/>
    </xf>
    <xf numFmtId="3" fontId="15" fillId="0" borderId="31" xfId="0" quotePrefix="1" applyNumberFormat="1" applyFont="1" applyFill="1" applyBorder="1" applyAlignment="1" applyProtection="1">
      <alignment horizontal="right"/>
    </xf>
    <xf numFmtId="3" fontId="15" fillId="0" borderId="32" xfId="0" applyNumberFormat="1" applyFont="1" applyFill="1" applyBorder="1" applyAlignment="1" applyProtection="1">
      <alignment horizontal="right"/>
    </xf>
    <xf numFmtId="3" fontId="15" fillId="0" borderId="33" xfId="0" applyNumberFormat="1" applyFont="1" applyFill="1" applyBorder="1" applyAlignment="1" applyProtection="1">
      <alignment horizontal="right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49" fontId="10" fillId="0" borderId="0" xfId="0" applyNumberFormat="1" applyFont="1" applyFill="1" applyBorder="1" applyAlignment="1">
      <alignment vertical="center"/>
    </xf>
    <xf numFmtId="0" fontId="11" fillId="0" borderId="7" xfId="0" applyFont="1" applyBorder="1"/>
    <xf numFmtId="49" fontId="3" fillId="13" borderId="2" xfId="0" applyNumberFormat="1" applyFont="1" applyFill="1" applyBorder="1" applyAlignment="1">
      <alignment horizontal="center" vertical="center" textRotation="90"/>
    </xf>
    <xf numFmtId="49" fontId="3" fillId="13" borderId="0" xfId="0" applyNumberFormat="1" applyFont="1" applyFill="1" applyBorder="1" applyAlignment="1">
      <alignment horizontal="center" vertical="center" textRotation="90"/>
    </xf>
    <xf numFmtId="49" fontId="3" fillId="13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10" borderId="2" xfId="0" applyNumberFormat="1" applyFont="1" applyFill="1" applyBorder="1" applyAlignment="1">
      <alignment horizontal="center" vertical="center" textRotation="90" wrapText="1"/>
    </xf>
    <xf numFmtId="49" fontId="3" fillId="10" borderId="0" xfId="0" applyNumberFormat="1" applyFont="1" applyFill="1" applyBorder="1" applyAlignment="1">
      <alignment horizontal="center" vertical="center" textRotation="90" wrapText="1"/>
    </xf>
    <xf numFmtId="49" fontId="3" fillId="10" borderId="7" xfId="0" applyNumberFormat="1" applyFont="1" applyFill="1" applyBorder="1" applyAlignment="1">
      <alignment horizontal="center" vertical="center" textRotation="90" wrapText="1"/>
    </xf>
    <xf numFmtId="3" fontId="9" fillId="0" borderId="36" xfId="0" applyNumberFormat="1" applyFont="1" applyFill="1" applyBorder="1" applyAlignment="1" applyProtection="1">
      <alignment horizontal="right" vertical="center" wrapText="1"/>
    </xf>
    <xf numFmtId="0" fontId="9" fillId="0" borderId="21" xfId="0" applyNumberFormat="1" applyFont="1" applyFill="1" applyBorder="1" applyAlignment="1" applyProtection="1">
      <alignment horizontal="right" vertical="center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3" fontId="9" fillId="0" borderId="16" xfId="0" applyNumberFormat="1" applyFont="1" applyFill="1" applyBorder="1" applyAlignment="1" applyProtection="1">
      <alignment horizontal="right" vertical="center" wrapText="1"/>
    </xf>
    <xf numFmtId="49" fontId="12" fillId="0" borderId="0" xfId="0" applyNumberFormat="1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right"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right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3" fontId="12" fillId="0" borderId="20" xfId="0" applyNumberFormat="1" applyFont="1" applyBorder="1" applyAlignment="1">
      <alignment horizontal="right" vertical="center"/>
    </xf>
    <xf numFmtId="3" fontId="12" fillId="0" borderId="29" xfId="0" applyNumberFormat="1" applyFont="1" applyBorder="1" applyAlignment="1">
      <alignment horizontal="right" vertical="center"/>
    </xf>
    <xf numFmtId="0" fontId="12" fillId="0" borderId="4" xfId="0" applyFont="1" applyBorder="1" applyAlignment="1">
      <alignment horizontal="left" vertical="center"/>
    </xf>
    <xf numFmtId="3" fontId="9" fillId="0" borderId="29" xfId="0" applyNumberFormat="1" applyFont="1" applyFill="1" applyBorder="1" applyAlignment="1" applyProtection="1">
      <alignment horizontal="right" vertical="center"/>
    </xf>
    <xf numFmtId="3" fontId="9" fillId="0" borderId="20" xfId="0" applyNumberFormat="1" applyFont="1" applyFill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0" fontId="9" fillId="0" borderId="16" xfId="0" applyNumberFormat="1" applyFont="1" applyFill="1" applyBorder="1" applyAlignment="1" applyProtection="1">
      <alignment horizontal="right" vertical="center" wrapText="1"/>
    </xf>
    <xf numFmtId="0" fontId="12" fillId="0" borderId="4" xfId="0" applyFont="1" applyBorder="1" applyAlignment="1">
      <alignment horizontal="left" vertical="center" wrapTex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3" fontId="14" fillId="0" borderId="29" xfId="0" applyNumberFormat="1" applyFont="1" applyBorder="1" applyAlignment="1">
      <alignment horizontal="right" vertical="center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3" fontId="14" fillId="0" borderId="20" xfId="0" applyNumberFormat="1" applyFont="1" applyBorder="1" applyAlignment="1">
      <alignment horizontal="right" vertical="center"/>
    </xf>
    <xf numFmtId="49" fontId="9" fillId="0" borderId="5" xfId="0" applyNumberFormat="1" applyFont="1" applyFill="1" applyBorder="1" applyAlignment="1" applyProtection="1">
      <alignment horizontal="center" vertical="center" wrapText="1"/>
    </xf>
    <xf numFmtId="49" fontId="9" fillId="0" borderId="28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3" fontId="9" fillId="0" borderId="37" xfId="0" applyNumberFormat="1" applyFont="1" applyFill="1" applyBorder="1" applyAlignment="1" applyProtection="1">
      <alignment horizontal="right" vertical="center" wrapText="1"/>
    </xf>
    <xf numFmtId="0" fontId="9" fillId="0" borderId="29" xfId="0" applyNumberFormat="1" applyFont="1" applyFill="1" applyBorder="1" applyAlignment="1" applyProtection="1">
      <alignment horizontal="right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0" fontId="10" fillId="0" borderId="19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13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vertical="center" wrapText="1"/>
    </xf>
    <xf numFmtId="0" fontId="10" fillId="0" borderId="15" xfId="0" applyNumberFormat="1" applyFont="1" applyFill="1" applyBorder="1" applyAlignment="1" applyProtection="1">
      <alignment vertical="center" wrapText="1"/>
    </xf>
    <xf numFmtId="0" fontId="10" fillId="0" borderId="17" xfId="0" applyNumberFormat="1" applyFont="1" applyFill="1" applyBorder="1" applyAlignment="1" applyProtection="1">
      <alignment vertical="center" wrapText="1"/>
    </xf>
    <xf numFmtId="0" fontId="10" fillId="0" borderId="18" xfId="0" applyNumberFormat="1" applyFont="1" applyFill="1" applyBorder="1" applyAlignment="1" applyProtection="1">
      <alignment vertical="center" wrapText="1"/>
    </xf>
    <xf numFmtId="0" fontId="10" fillId="0" borderId="19" xfId="0" applyNumberFormat="1" applyFont="1" applyFill="1" applyBorder="1" applyAlignment="1" applyProtection="1">
      <alignment vertical="center" wrapText="1"/>
    </xf>
    <xf numFmtId="0" fontId="0" fillId="0" borderId="21" xfId="0" applyBorder="1"/>
    <xf numFmtId="0" fontId="0" fillId="0" borderId="20" xfId="0" applyBorder="1"/>
    <xf numFmtId="0" fontId="0" fillId="0" borderId="17" xfId="0" applyBorder="1"/>
    <xf numFmtId="0" fontId="0" fillId="0" borderId="19" xfId="0" applyBorder="1"/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3" fontId="9" fillId="0" borderId="0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right" vertical="center" wrapText="1"/>
    </xf>
    <xf numFmtId="0" fontId="10" fillId="0" borderId="7" xfId="0" applyFont="1" applyFill="1" applyBorder="1" applyAlignment="1" applyProtection="1">
      <alignment horizontal="left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7" xfId="0" applyNumberFormat="1" applyFont="1" applyFill="1" applyBorder="1" applyAlignment="1" applyProtection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XFD1048576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80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81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83" t="s">
        <v>7</v>
      </c>
      <c r="E3" s="183"/>
      <c r="F3" s="183"/>
      <c r="G3" s="183"/>
      <c r="H3" s="181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81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81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81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81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81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81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81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81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81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81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81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81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81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81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81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81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81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82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84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185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85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185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185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185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185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85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185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186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187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188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88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188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188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188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88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188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188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188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88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188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189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80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81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81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81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81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81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81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82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77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78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78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78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78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78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78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78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78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78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78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78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78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78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78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78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78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79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34"/>
  <sheetViews>
    <sheetView showGridLines="0" tabSelected="1" zoomScale="130" zoomScaleNormal="130" workbookViewId="0">
      <selection activeCell="F13" sqref="F13"/>
    </sheetView>
  </sheetViews>
  <sheetFormatPr defaultRowHeight="10.199999999999999"/>
  <cols>
    <col min="1" max="1" width="18.5546875" style="120" customWidth="1"/>
    <col min="2" max="2" width="10.109375" style="120" customWidth="1"/>
    <col min="3" max="3" width="8.21875" style="120" customWidth="1"/>
    <col min="4" max="4" width="8.88671875" style="120" customWidth="1"/>
    <col min="5" max="14" width="8.21875" style="120" customWidth="1"/>
    <col min="15" max="17" width="9.33203125" style="120" customWidth="1"/>
    <col min="18" max="19" width="6.44140625" style="120" customWidth="1"/>
    <col min="20" max="20" width="8" style="120" customWidth="1"/>
    <col min="21" max="21" width="7.44140625" style="120" customWidth="1"/>
    <col min="22" max="23" width="7.109375" style="120" customWidth="1"/>
    <col min="24" max="24" width="8" style="120" customWidth="1"/>
    <col min="25" max="25" width="8.6640625" style="120" customWidth="1"/>
    <col min="26" max="27" width="9.33203125" style="120" customWidth="1"/>
    <col min="28" max="28" width="12.5546875" style="120" customWidth="1"/>
    <col min="29" max="29" width="9.33203125" style="120" customWidth="1"/>
    <col min="30" max="30" width="9.6640625" style="120" customWidth="1"/>
    <col min="31" max="31" width="7.109375" style="120" customWidth="1"/>
    <col min="32" max="32" width="11.33203125" style="120" customWidth="1"/>
    <col min="33" max="33" width="10.109375" style="120" customWidth="1"/>
    <col min="34" max="16384" width="8.88671875" style="120"/>
  </cols>
  <sheetData>
    <row r="1" spans="1:33" ht="22.2" customHeight="1">
      <c r="A1" s="206" t="s">
        <v>302</v>
      </c>
      <c r="B1" s="206"/>
      <c r="C1" s="206"/>
      <c r="D1" s="206"/>
      <c r="E1" s="206"/>
      <c r="F1" s="206"/>
      <c r="G1" s="254" t="s">
        <v>300</v>
      </c>
      <c r="H1" s="254"/>
      <c r="I1" s="254"/>
      <c r="J1" s="254"/>
      <c r="K1" s="254"/>
      <c r="L1" s="254"/>
      <c r="M1" s="254"/>
      <c r="N1" s="254"/>
      <c r="O1" s="192"/>
      <c r="P1" s="192"/>
      <c r="Q1" s="192"/>
      <c r="R1" s="192"/>
      <c r="S1" s="192"/>
      <c r="T1" s="192"/>
      <c r="U1" s="192"/>
      <c r="V1" s="192"/>
      <c r="W1" s="192"/>
      <c r="X1" s="193"/>
      <c r="Y1" s="193"/>
      <c r="Z1" s="193"/>
      <c r="AA1" s="193"/>
      <c r="AB1" s="193"/>
      <c r="AC1" s="193"/>
      <c r="AD1" s="193"/>
      <c r="AE1" s="193"/>
      <c r="AF1" s="193"/>
      <c r="AG1" s="121"/>
    </row>
    <row r="2" spans="1:33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3"/>
      <c r="P2" s="123"/>
      <c r="Q2" s="123"/>
      <c r="R2" s="123"/>
      <c r="S2" s="123"/>
      <c r="T2" s="123"/>
      <c r="U2" s="123"/>
      <c r="V2" s="123"/>
      <c r="W2" s="123"/>
      <c r="X2" s="121"/>
      <c r="Y2" s="121"/>
      <c r="Z2" s="121"/>
      <c r="AA2" s="121"/>
      <c r="AB2" s="121"/>
      <c r="AC2" s="121"/>
      <c r="AD2" s="121"/>
      <c r="AE2" s="121"/>
      <c r="AF2" s="121"/>
      <c r="AG2" s="121"/>
    </row>
    <row r="3" spans="1:33" ht="15" customHeight="1" thickBot="1">
      <c r="A3" s="124" t="s">
        <v>170</v>
      </c>
      <c r="B3" s="124"/>
      <c r="C3" s="124"/>
      <c r="D3" s="124"/>
      <c r="E3" s="124"/>
      <c r="F3" s="124"/>
      <c r="G3" s="161" t="s">
        <v>171</v>
      </c>
      <c r="H3" s="161"/>
      <c r="I3" s="161"/>
      <c r="J3" s="161"/>
      <c r="K3" s="161"/>
      <c r="L3" s="161"/>
      <c r="M3" s="161"/>
      <c r="N3" s="161"/>
      <c r="O3" s="263" t="s">
        <v>170</v>
      </c>
      <c r="P3" s="263"/>
      <c r="Q3" s="263"/>
      <c r="R3" s="263"/>
      <c r="S3" s="176"/>
      <c r="T3" s="161"/>
      <c r="U3" s="161"/>
      <c r="V3" s="161"/>
      <c r="W3" s="161"/>
      <c r="X3" s="161"/>
      <c r="Y3" s="161"/>
      <c r="Z3" s="161"/>
      <c r="AA3" s="161"/>
      <c r="AB3" s="161"/>
      <c r="AC3" s="265" t="s">
        <v>171</v>
      </c>
      <c r="AD3" s="265"/>
      <c r="AE3" s="265"/>
      <c r="AF3" s="265"/>
      <c r="AG3" s="125"/>
    </row>
    <row r="4" spans="1:33" ht="10.199999999999999" customHeight="1">
      <c r="A4" s="236" t="s">
        <v>297</v>
      </c>
      <c r="B4" s="239" t="s">
        <v>172</v>
      </c>
      <c r="C4" s="229" t="s">
        <v>276</v>
      </c>
      <c r="D4" s="242"/>
      <c r="E4" s="242"/>
      <c r="F4" s="243"/>
      <c r="G4" s="229" t="s">
        <v>277</v>
      </c>
      <c r="H4" s="227"/>
      <c r="I4" s="227"/>
      <c r="J4" s="230"/>
      <c r="K4" s="235" t="s">
        <v>293</v>
      </c>
      <c r="L4" s="247"/>
      <c r="M4" s="235" t="s">
        <v>294</v>
      </c>
      <c r="N4" s="234"/>
      <c r="O4" s="229" t="s">
        <v>278</v>
      </c>
      <c r="P4" s="227"/>
      <c r="Q4" s="230"/>
      <c r="R4" s="229" t="s">
        <v>285</v>
      </c>
      <c r="S4" s="234"/>
      <c r="T4" s="235" t="s">
        <v>279</v>
      </c>
      <c r="U4" s="202"/>
      <c r="V4" s="235" t="s">
        <v>286</v>
      </c>
      <c r="W4" s="234"/>
      <c r="X4" s="229" t="s">
        <v>284</v>
      </c>
      <c r="Y4" s="230"/>
      <c r="Z4" s="255" t="s">
        <v>295</v>
      </c>
      <c r="AA4" s="256"/>
      <c r="AB4" s="255" t="s">
        <v>280</v>
      </c>
      <c r="AC4" s="229" t="s">
        <v>296</v>
      </c>
      <c r="AD4" s="226" t="s">
        <v>173</v>
      </c>
      <c r="AE4" s="227"/>
      <c r="AF4" s="227"/>
      <c r="AG4" s="134"/>
    </row>
    <row r="5" spans="1:33">
      <c r="A5" s="237"/>
      <c r="B5" s="240"/>
      <c r="C5" s="244"/>
      <c r="D5" s="245"/>
      <c r="E5" s="245"/>
      <c r="F5" s="246"/>
      <c r="G5" s="231"/>
      <c r="H5" s="232"/>
      <c r="I5" s="232"/>
      <c r="J5" s="233"/>
      <c r="K5" s="248"/>
      <c r="L5" s="247"/>
      <c r="M5" s="235"/>
      <c r="N5" s="234"/>
      <c r="O5" s="231"/>
      <c r="P5" s="232"/>
      <c r="Q5" s="233"/>
      <c r="R5" s="235"/>
      <c r="S5" s="234"/>
      <c r="T5" s="235"/>
      <c r="U5" s="202"/>
      <c r="V5" s="235"/>
      <c r="W5" s="234"/>
      <c r="X5" s="235"/>
      <c r="Y5" s="234"/>
      <c r="Z5" s="257"/>
      <c r="AA5" s="258"/>
      <c r="AB5" s="257"/>
      <c r="AC5" s="235"/>
      <c r="AD5" s="228"/>
      <c r="AE5" s="202"/>
      <c r="AF5" s="202"/>
      <c r="AG5" s="134"/>
    </row>
    <row r="6" spans="1:33" ht="36.6" customHeight="1">
      <c r="A6" s="237"/>
      <c r="B6" s="240"/>
      <c r="C6" s="196" t="s">
        <v>283</v>
      </c>
      <c r="D6" s="197"/>
      <c r="E6" s="196" t="s">
        <v>282</v>
      </c>
      <c r="F6" s="197"/>
      <c r="G6" s="196" t="s">
        <v>292</v>
      </c>
      <c r="H6" s="264"/>
      <c r="I6" s="196" t="s">
        <v>301</v>
      </c>
      <c r="J6" s="197"/>
      <c r="K6" s="249"/>
      <c r="L6" s="250"/>
      <c r="M6" s="231"/>
      <c r="N6" s="233"/>
      <c r="O6" s="148" t="s">
        <v>281</v>
      </c>
      <c r="P6" s="173" t="s">
        <v>299</v>
      </c>
      <c r="Q6" s="174" t="s">
        <v>298</v>
      </c>
      <c r="R6" s="231"/>
      <c r="S6" s="233"/>
      <c r="T6" s="231"/>
      <c r="U6" s="232"/>
      <c r="V6" s="231"/>
      <c r="W6" s="233"/>
      <c r="X6" s="231"/>
      <c r="Y6" s="233"/>
      <c r="Z6" s="259"/>
      <c r="AA6" s="260"/>
      <c r="AB6" s="259"/>
      <c r="AC6" s="231"/>
      <c r="AD6" s="228"/>
      <c r="AE6" s="202"/>
      <c r="AF6" s="202"/>
      <c r="AG6" s="134"/>
    </row>
    <row r="7" spans="1:33" s="152" customFormat="1" ht="10.8" thickBot="1">
      <c r="A7" s="238"/>
      <c r="B7" s="241"/>
      <c r="C7" s="126">
        <v>1</v>
      </c>
      <c r="D7" s="126">
        <v>2</v>
      </c>
      <c r="E7" s="126">
        <v>1</v>
      </c>
      <c r="F7" s="126">
        <v>2</v>
      </c>
      <c r="G7" s="126">
        <v>1</v>
      </c>
      <c r="H7" s="126">
        <v>2</v>
      </c>
      <c r="I7" s="146">
        <v>1</v>
      </c>
      <c r="J7" s="146">
        <v>2</v>
      </c>
      <c r="K7" s="126">
        <v>1</v>
      </c>
      <c r="L7" s="126">
        <v>2</v>
      </c>
      <c r="M7" s="126">
        <v>1</v>
      </c>
      <c r="N7" s="126">
        <v>2</v>
      </c>
      <c r="O7" s="147">
        <v>1</v>
      </c>
      <c r="P7" s="146">
        <v>2</v>
      </c>
      <c r="Q7" s="146">
        <v>2</v>
      </c>
      <c r="R7" s="150">
        <v>1</v>
      </c>
      <c r="S7" s="147">
        <v>2</v>
      </c>
      <c r="T7" s="126">
        <v>1</v>
      </c>
      <c r="U7" s="146">
        <v>2</v>
      </c>
      <c r="V7" s="149">
        <v>1</v>
      </c>
      <c r="W7" s="126">
        <v>2</v>
      </c>
      <c r="X7" s="149">
        <v>1</v>
      </c>
      <c r="Y7" s="148">
        <v>2</v>
      </c>
      <c r="Z7" s="145">
        <v>1</v>
      </c>
      <c r="AA7" s="151">
        <v>2</v>
      </c>
      <c r="AB7" s="151">
        <v>1</v>
      </c>
      <c r="AC7" s="149">
        <v>1</v>
      </c>
      <c r="AD7" s="228"/>
      <c r="AE7" s="202"/>
      <c r="AF7" s="202"/>
      <c r="AG7" s="155"/>
    </row>
    <row r="8" spans="1:33" ht="11.4" customHeight="1">
      <c r="A8" s="220" t="s">
        <v>174</v>
      </c>
      <c r="B8" s="222">
        <v>4089445</v>
      </c>
      <c r="C8" s="224">
        <v>144118</v>
      </c>
      <c r="D8" s="190">
        <v>26990.971999999998</v>
      </c>
      <c r="E8" s="190">
        <v>14815</v>
      </c>
      <c r="F8" s="190">
        <v>5052.01</v>
      </c>
      <c r="G8" s="190">
        <v>2760387</v>
      </c>
      <c r="H8" s="190">
        <v>782340.39099999983</v>
      </c>
      <c r="I8" s="190">
        <v>214696</v>
      </c>
      <c r="J8" s="190">
        <v>32118.362000000005</v>
      </c>
      <c r="K8" s="190">
        <v>1161</v>
      </c>
      <c r="L8" s="190">
        <v>85.097000000000008</v>
      </c>
      <c r="M8" s="190">
        <v>691374</v>
      </c>
      <c r="N8" s="190">
        <v>147655.22199999998</v>
      </c>
      <c r="O8" s="190">
        <v>287</v>
      </c>
      <c r="P8" s="190">
        <v>11.24</v>
      </c>
      <c r="Q8" s="190">
        <v>11.52</v>
      </c>
      <c r="R8" s="190">
        <v>5647</v>
      </c>
      <c r="S8" s="190">
        <v>1987.62</v>
      </c>
      <c r="T8" s="190">
        <v>96060</v>
      </c>
      <c r="U8" s="190">
        <v>581483.07999999996</v>
      </c>
      <c r="V8" s="190">
        <v>3581</v>
      </c>
      <c r="W8" s="190">
        <v>911.32100000000014</v>
      </c>
      <c r="X8" s="190">
        <v>5362</v>
      </c>
      <c r="Y8" s="190">
        <v>672.98</v>
      </c>
      <c r="Z8" s="190">
        <v>122757</v>
      </c>
      <c r="AA8" s="190">
        <v>21896.864000000001</v>
      </c>
      <c r="AB8" s="190">
        <v>19306</v>
      </c>
      <c r="AC8" s="261">
        <v>9894</v>
      </c>
      <c r="AD8" s="251" t="s">
        <v>175</v>
      </c>
      <c r="AE8" s="252"/>
      <c r="AF8" s="252"/>
      <c r="AG8" s="134"/>
    </row>
    <row r="9" spans="1:33">
      <c r="A9" s="221"/>
      <c r="B9" s="223"/>
      <c r="C9" s="225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262"/>
      <c r="AD9" s="253"/>
      <c r="AE9" s="254"/>
      <c r="AF9" s="254"/>
      <c r="AG9" s="134"/>
    </row>
    <row r="10" spans="1:33" ht="14.4" customHeight="1">
      <c r="A10" s="219" t="s">
        <v>176</v>
      </c>
      <c r="B10" s="198">
        <v>1198788</v>
      </c>
      <c r="C10" s="216">
        <v>70304</v>
      </c>
      <c r="D10" s="216">
        <v>9641.7669999999998</v>
      </c>
      <c r="E10" s="216">
        <v>2961</v>
      </c>
      <c r="F10" s="216">
        <v>385.61</v>
      </c>
      <c r="G10" s="216">
        <v>474225</v>
      </c>
      <c r="H10" s="216">
        <v>131289.83000000002</v>
      </c>
      <c r="I10" s="216">
        <v>151731</v>
      </c>
      <c r="J10" s="216">
        <v>19022.521000000001</v>
      </c>
      <c r="K10" s="216">
        <v>746</v>
      </c>
      <c r="L10" s="216">
        <v>62.34</v>
      </c>
      <c r="M10" s="216">
        <v>441788</v>
      </c>
      <c r="N10" s="218">
        <v>98037.936999999991</v>
      </c>
      <c r="O10" s="216">
        <v>62</v>
      </c>
      <c r="P10" s="216">
        <v>10.24</v>
      </c>
      <c r="Q10" s="216">
        <v>11.52</v>
      </c>
      <c r="R10" s="216">
        <v>33</v>
      </c>
      <c r="S10" s="216">
        <v>11.7</v>
      </c>
      <c r="T10" s="216">
        <v>18327</v>
      </c>
      <c r="U10" s="216">
        <v>111971</v>
      </c>
      <c r="V10" s="216">
        <v>2346</v>
      </c>
      <c r="W10" s="216">
        <v>600.45000000000005</v>
      </c>
      <c r="X10" s="216">
        <v>5352</v>
      </c>
      <c r="Y10" s="216">
        <v>667.03</v>
      </c>
      <c r="Z10" s="216">
        <v>30389</v>
      </c>
      <c r="AA10" s="216">
        <v>6341.4009999999998</v>
      </c>
      <c r="AB10" s="216">
        <v>406</v>
      </c>
      <c r="AC10" s="218">
        <v>118</v>
      </c>
      <c r="AD10" s="217" t="s">
        <v>177</v>
      </c>
      <c r="AE10" s="206"/>
      <c r="AF10" s="206"/>
      <c r="AG10" s="134"/>
    </row>
    <row r="11" spans="1:33" ht="12" customHeight="1">
      <c r="A11" s="219"/>
      <c r="B11" s="213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8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8"/>
      <c r="AD11" s="217"/>
      <c r="AE11" s="206"/>
      <c r="AF11" s="206"/>
      <c r="AG11" s="134"/>
    </row>
    <row r="12" spans="1:33">
      <c r="A12" s="127" t="str">
        <f>VLOOKUP([1]ListOfRegions!$A$1,[1]ListOfRegions!$A$1:B75,2,0)</f>
        <v xml:space="preserve">  Ροδόπης</v>
      </c>
      <c r="B12" s="128">
        <v>406696</v>
      </c>
      <c r="C12" s="163">
        <v>48417</v>
      </c>
      <c r="D12" s="163">
        <v>6772.06</v>
      </c>
      <c r="E12" s="163">
        <v>1750</v>
      </c>
      <c r="F12" s="163">
        <v>241.4</v>
      </c>
      <c r="G12" s="163">
        <v>283294</v>
      </c>
      <c r="H12" s="163">
        <v>80340.23</v>
      </c>
      <c r="I12" s="163">
        <v>54302</v>
      </c>
      <c r="J12" s="163">
        <v>6003.2</v>
      </c>
      <c r="K12" s="164" t="s">
        <v>291</v>
      </c>
      <c r="L12" s="164" t="s">
        <v>291</v>
      </c>
      <c r="M12" s="163">
        <v>15668</v>
      </c>
      <c r="N12" s="165">
        <v>2464.89</v>
      </c>
      <c r="O12" s="164" t="s">
        <v>291</v>
      </c>
      <c r="P12" s="164" t="s">
        <v>291</v>
      </c>
      <c r="Q12" s="166" t="s">
        <v>291</v>
      </c>
      <c r="R12" s="163">
        <v>33</v>
      </c>
      <c r="S12" s="167">
        <v>11.7</v>
      </c>
      <c r="T12" s="163">
        <v>1020</v>
      </c>
      <c r="U12" s="163">
        <v>5857</v>
      </c>
      <c r="V12" s="163">
        <v>130</v>
      </c>
      <c r="W12" s="163">
        <v>14.3</v>
      </c>
      <c r="X12" s="163">
        <v>1095</v>
      </c>
      <c r="Y12" s="163">
        <v>132.35</v>
      </c>
      <c r="Z12" s="163">
        <v>822</v>
      </c>
      <c r="AA12" s="163">
        <v>191.05</v>
      </c>
      <c r="AB12" s="163">
        <v>120</v>
      </c>
      <c r="AC12" s="165">
        <v>45</v>
      </c>
      <c r="AD12" s="153" t="s">
        <v>178</v>
      </c>
      <c r="AE12" s="162"/>
      <c r="AF12" s="162"/>
      <c r="AG12" s="134"/>
    </row>
    <row r="13" spans="1:33">
      <c r="A13" s="127" t="str">
        <f>VLOOKUP([1]ListOfRegions!$A$2,[1]ListOfRegions!$A$2:B76,2,0)</f>
        <v xml:space="preserve">  Δράμας</v>
      </c>
      <c r="B13" s="128">
        <v>91126</v>
      </c>
      <c r="C13" s="163">
        <v>1227</v>
      </c>
      <c r="D13" s="163">
        <v>311.3</v>
      </c>
      <c r="E13" s="164" t="s">
        <v>291</v>
      </c>
      <c r="F13" s="164" t="s">
        <v>291</v>
      </c>
      <c r="G13" s="163">
        <v>56567</v>
      </c>
      <c r="H13" s="163">
        <v>15637.11</v>
      </c>
      <c r="I13" s="163">
        <v>3000</v>
      </c>
      <c r="J13" s="163">
        <v>840</v>
      </c>
      <c r="K13" s="164" t="s">
        <v>291</v>
      </c>
      <c r="L13" s="164" t="s">
        <v>291</v>
      </c>
      <c r="M13" s="163">
        <v>25367</v>
      </c>
      <c r="N13" s="165">
        <v>8479.65</v>
      </c>
      <c r="O13" s="164" t="s">
        <v>291</v>
      </c>
      <c r="P13" s="164" t="s">
        <v>291</v>
      </c>
      <c r="Q13" s="166" t="s">
        <v>291</v>
      </c>
      <c r="R13" s="164" t="s">
        <v>291</v>
      </c>
      <c r="S13" s="168" t="s">
        <v>291</v>
      </c>
      <c r="T13" s="163">
        <v>1162</v>
      </c>
      <c r="U13" s="163">
        <v>4888.6000000000004</v>
      </c>
      <c r="V13" s="163">
        <v>922</v>
      </c>
      <c r="W13" s="163">
        <v>267.3</v>
      </c>
      <c r="X13" s="164" t="s">
        <v>291</v>
      </c>
      <c r="Y13" s="164" t="s">
        <v>291</v>
      </c>
      <c r="Z13" s="163">
        <v>2881</v>
      </c>
      <c r="AA13" s="163">
        <v>656.2</v>
      </c>
      <c r="AB13" s="164" t="s">
        <v>291</v>
      </c>
      <c r="AC13" s="166" t="s">
        <v>291</v>
      </c>
      <c r="AD13" s="153" t="s">
        <v>179</v>
      </c>
      <c r="AE13" s="162"/>
      <c r="AF13" s="162"/>
      <c r="AG13" s="134"/>
    </row>
    <row r="14" spans="1:33">
      <c r="A14" s="127" t="str">
        <f>VLOOKUP([1]ListOfRegions!A3,[1]ListOfRegions!A3:B77,2,0)</f>
        <v xml:space="preserve">  Έβρου</v>
      </c>
      <c r="B14" s="128">
        <v>592481</v>
      </c>
      <c r="C14" s="163">
        <v>1538</v>
      </c>
      <c r="D14" s="163">
        <v>210.91499999999999</v>
      </c>
      <c r="E14" s="163">
        <v>1101</v>
      </c>
      <c r="F14" s="163">
        <v>121.11</v>
      </c>
      <c r="G14" s="163">
        <v>113703</v>
      </c>
      <c r="H14" s="163">
        <v>30482.54</v>
      </c>
      <c r="I14" s="163">
        <v>92713</v>
      </c>
      <c r="J14" s="163">
        <v>11939.620999999999</v>
      </c>
      <c r="K14" s="163">
        <v>706</v>
      </c>
      <c r="L14" s="163">
        <v>56.34</v>
      </c>
      <c r="M14" s="163">
        <v>344129</v>
      </c>
      <c r="N14" s="165">
        <v>73434.917000000001</v>
      </c>
      <c r="O14" s="163">
        <v>62</v>
      </c>
      <c r="P14" s="163">
        <v>10.24</v>
      </c>
      <c r="Q14" s="165">
        <v>11.52</v>
      </c>
      <c r="R14" s="164" t="s">
        <v>291</v>
      </c>
      <c r="S14" s="168" t="s">
        <v>291</v>
      </c>
      <c r="T14" s="163">
        <v>15495</v>
      </c>
      <c r="U14" s="163">
        <v>96913.4</v>
      </c>
      <c r="V14" s="163">
        <v>32</v>
      </c>
      <c r="W14" s="163">
        <v>11.2</v>
      </c>
      <c r="X14" s="163">
        <v>4257</v>
      </c>
      <c r="Y14" s="163">
        <v>534.67999999999995</v>
      </c>
      <c r="Z14" s="163">
        <v>18455</v>
      </c>
      <c r="AA14" s="163">
        <v>3426.5010000000002</v>
      </c>
      <c r="AB14" s="163">
        <v>247</v>
      </c>
      <c r="AC14" s="165">
        <v>43</v>
      </c>
      <c r="AD14" s="153" t="s">
        <v>180</v>
      </c>
      <c r="AE14" s="162"/>
      <c r="AF14" s="162"/>
      <c r="AG14" s="134"/>
    </row>
    <row r="15" spans="1:33">
      <c r="A15" s="127" t="str">
        <f>VLOOKUP([1]ListOfRegions!A4,[1]ListOfRegions!A4:B78,2,0)</f>
        <v xml:space="preserve">  Θάσου</v>
      </c>
      <c r="B15" s="128">
        <v>0</v>
      </c>
      <c r="C15" s="164" t="s">
        <v>291</v>
      </c>
      <c r="D15" s="164" t="s">
        <v>291</v>
      </c>
      <c r="E15" s="164" t="s">
        <v>291</v>
      </c>
      <c r="F15" s="164" t="s">
        <v>291</v>
      </c>
      <c r="G15" s="164" t="s">
        <v>291</v>
      </c>
      <c r="H15" s="164" t="s">
        <v>291</v>
      </c>
      <c r="I15" s="164" t="s">
        <v>291</v>
      </c>
      <c r="J15" s="164" t="s">
        <v>291</v>
      </c>
      <c r="K15" s="164" t="s">
        <v>291</v>
      </c>
      <c r="L15" s="164" t="s">
        <v>291</v>
      </c>
      <c r="M15" s="164" t="s">
        <v>291</v>
      </c>
      <c r="N15" s="166" t="s">
        <v>291</v>
      </c>
      <c r="O15" s="164" t="s">
        <v>291</v>
      </c>
      <c r="P15" s="164" t="s">
        <v>291</v>
      </c>
      <c r="Q15" s="166" t="s">
        <v>291</v>
      </c>
      <c r="R15" s="164" t="s">
        <v>291</v>
      </c>
      <c r="S15" s="168" t="s">
        <v>291</v>
      </c>
      <c r="T15" s="164" t="s">
        <v>291</v>
      </c>
      <c r="U15" s="164" t="s">
        <v>291</v>
      </c>
      <c r="V15" s="164" t="s">
        <v>291</v>
      </c>
      <c r="W15" s="164" t="s">
        <v>291</v>
      </c>
      <c r="X15" s="164" t="s">
        <v>291</v>
      </c>
      <c r="Y15" s="164" t="s">
        <v>291</v>
      </c>
      <c r="Z15" s="164" t="s">
        <v>291</v>
      </c>
      <c r="AA15" s="164" t="s">
        <v>291</v>
      </c>
      <c r="AB15" s="164" t="s">
        <v>291</v>
      </c>
      <c r="AC15" s="166" t="s">
        <v>291</v>
      </c>
      <c r="AD15" s="153" t="s">
        <v>181</v>
      </c>
      <c r="AE15" s="162"/>
      <c r="AF15" s="162"/>
      <c r="AG15" s="134"/>
    </row>
    <row r="16" spans="1:33">
      <c r="A16" s="127" t="str">
        <f>VLOOKUP([1]ListOfRegions!A5,[1]ListOfRegions!A5:B79,2,0)</f>
        <v xml:space="preserve">  Καβάλας</v>
      </c>
      <c r="B16" s="128">
        <v>11763</v>
      </c>
      <c r="C16" s="163">
        <v>554</v>
      </c>
      <c r="D16" s="163">
        <v>109.26</v>
      </c>
      <c r="E16" s="164" t="s">
        <v>291</v>
      </c>
      <c r="F16" s="164" t="s">
        <v>291</v>
      </c>
      <c r="G16" s="163">
        <v>2715</v>
      </c>
      <c r="H16" s="163">
        <v>726.95</v>
      </c>
      <c r="I16" s="163">
        <v>144</v>
      </c>
      <c r="J16" s="163">
        <v>32.5</v>
      </c>
      <c r="K16" s="164" t="s">
        <v>291</v>
      </c>
      <c r="L16" s="164" t="s">
        <v>291</v>
      </c>
      <c r="M16" s="163">
        <v>6294</v>
      </c>
      <c r="N16" s="165">
        <v>1923.28</v>
      </c>
      <c r="O16" s="164" t="s">
        <v>291</v>
      </c>
      <c r="P16" s="164" t="s">
        <v>291</v>
      </c>
      <c r="Q16" s="166" t="s">
        <v>291</v>
      </c>
      <c r="R16" s="164" t="s">
        <v>291</v>
      </c>
      <c r="S16" s="168" t="s">
        <v>291</v>
      </c>
      <c r="T16" s="163">
        <v>280</v>
      </c>
      <c r="U16" s="163">
        <v>1742</v>
      </c>
      <c r="V16" s="163">
        <v>1162</v>
      </c>
      <c r="W16" s="163">
        <v>271.64999999999998</v>
      </c>
      <c r="X16" s="164" t="s">
        <v>291</v>
      </c>
      <c r="Y16" s="164" t="s">
        <v>291</v>
      </c>
      <c r="Z16" s="163">
        <v>601</v>
      </c>
      <c r="AA16" s="163">
        <v>150.25</v>
      </c>
      <c r="AB16" s="163">
        <v>13</v>
      </c>
      <c r="AC16" s="166" t="s">
        <v>291</v>
      </c>
      <c r="AD16" s="153" t="s">
        <v>182</v>
      </c>
      <c r="AE16" s="162"/>
      <c r="AF16" s="162"/>
      <c r="AG16" s="134"/>
    </row>
    <row r="17" spans="1:33">
      <c r="A17" s="127" t="str">
        <f>VLOOKUP([1]ListOfRegions!A6,[1]ListOfRegions!A6:B80,2,0)</f>
        <v xml:space="preserve">  Ξάνθης</v>
      </c>
      <c r="B17" s="128">
        <v>96722</v>
      </c>
      <c r="C17" s="163">
        <v>18568</v>
      </c>
      <c r="D17" s="163">
        <v>2238.232</v>
      </c>
      <c r="E17" s="163">
        <v>110</v>
      </c>
      <c r="F17" s="163">
        <v>23.1</v>
      </c>
      <c r="G17" s="163">
        <v>17946</v>
      </c>
      <c r="H17" s="163">
        <v>4103</v>
      </c>
      <c r="I17" s="163">
        <v>1572</v>
      </c>
      <c r="J17" s="163">
        <v>207.2</v>
      </c>
      <c r="K17" s="163">
        <v>40</v>
      </c>
      <c r="L17" s="163">
        <v>6</v>
      </c>
      <c r="M17" s="163">
        <v>50330</v>
      </c>
      <c r="N17" s="165">
        <v>11735.2</v>
      </c>
      <c r="O17" s="164" t="s">
        <v>291</v>
      </c>
      <c r="P17" s="164" t="s">
        <v>291</v>
      </c>
      <c r="Q17" s="166" t="s">
        <v>291</v>
      </c>
      <c r="R17" s="164" t="s">
        <v>291</v>
      </c>
      <c r="S17" s="168" t="s">
        <v>291</v>
      </c>
      <c r="T17" s="163">
        <v>370</v>
      </c>
      <c r="U17" s="163">
        <v>2570</v>
      </c>
      <c r="V17" s="163">
        <v>100</v>
      </c>
      <c r="W17" s="163">
        <v>36</v>
      </c>
      <c r="X17" s="164" t="s">
        <v>291</v>
      </c>
      <c r="Y17" s="164" t="s">
        <v>291</v>
      </c>
      <c r="Z17" s="163">
        <v>7630</v>
      </c>
      <c r="AA17" s="163">
        <v>1917.4</v>
      </c>
      <c r="AB17" s="163">
        <v>26</v>
      </c>
      <c r="AC17" s="165">
        <v>30</v>
      </c>
      <c r="AD17" s="153" t="s">
        <v>183</v>
      </c>
      <c r="AE17" s="162"/>
      <c r="AF17" s="162"/>
      <c r="AG17" s="134"/>
    </row>
    <row r="18" spans="1:33">
      <c r="A18" s="215" t="s">
        <v>184</v>
      </c>
      <c r="B18" s="198">
        <v>1227433</v>
      </c>
      <c r="C18" s="210">
        <v>67271</v>
      </c>
      <c r="D18" s="210">
        <v>15820.974999999999</v>
      </c>
      <c r="E18" s="210">
        <v>2200</v>
      </c>
      <c r="F18" s="210">
        <v>1061.3500000000001</v>
      </c>
      <c r="G18" s="210">
        <v>713508</v>
      </c>
      <c r="H18" s="210">
        <v>205895.61</v>
      </c>
      <c r="I18" s="210">
        <v>25625</v>
      </c>
      <c r="J18" s="210">
        <v>3262.1109999999999</v>
      </c>
      <c r="K18" s="210">
        <v>168</v>
      </c>
      <c r="L18" s="210">
        <v>7.681</v>
      </c>
      <c r="M18" s="210">
        <v>236248</v>
      </c>
      <c r="N18" s="211">
        <v>46255.255000000005</v>
      </c>
      <c r="O18" s="208">
        <v>0</v>
      </c>
      <c r="P18" s="207">
        <v>0</v>
      </c>
      <c r="Q18" s="207">
        <v>0</v>
      </c>
      <c r="R18" s="208">
        <v>2005</v>
      </c>
      <c r="S18" s="207">
        <v>693.44999999999993</v>
      </c>
      <c r="T18" s="207">
        <v>68272</v>
      </c>
      <c r="U18" s="207">
        <v>401266.77999999997</v>
      </c>
      <c r="V18" s="207">
        <v>1197</v>
      </c>
      <c r="W18" s="208">
        <v>300.67099999999999</v>
      </c>
      <c r="X18" s="208">
        <v>0</v>
      </c>
      <c r="Y18" s="208">
        <v>0</v>
      </c>
      <c r="Z18" s="208">
        <v>92098</v>
      </c>
      <c r="AA18" s="208">
        <v>15473.463000000002</v>
      </c>
      <c r="AB18" s="208">
        <v>15722</v>
      </c>
      <c r="AC18" s="207">
        <v>3119</v>
      </c>
      <c r="AD18" s="214" t="s">
        <v>185</v>
      </c>
      <c r="AE18" s="200"/>
      <c r="AF18" s="200"/>
      <c r="AG18" s="134"/>
    </row>
    <row r="19" spans="1:33">
      <c r="A19" s="215"/>
      <c r="B19" s="213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1"/>
      <c r="O19" s="208"/>
      <c r="P19" s="207"/>
      <c r="Q19" s="207"/>
      <c r="R19" s="208"/>
      <c r="S19" s="207"/>
      <c r="T19" s="207"/>
      <c r="U19" s="207"/>
      <c r="V19" s="207"/>
      <c r="W19" s="208"/>
      <c r="X19" s="208"/>
      <c r="Y19" s="208"/>
      <c r="Z19" s="208"/>
      <c r="AA19" s="208"/>
      <c r="AB19" s="208"/>
      <c r="AC19" s="207"/>
      <c r="AD19" s="214"/>
      <c r="AE19" s="200"/>
      <c r="AF19" s="200"/>
      <c r="AG19" s="134"/>
    </row>
    <row r="20" spans="1:33">
      <c r="A20" s="127" t="str">
        <f>VLOOKUP([1]ListOfRegions!A7,[1]ListOfRegions!A7:B81,2,0)</f>
        <v xml:space="preserve">  Θεσσαλονίκης</v>
      </c>
      <c r="B20" s="128">
        <v>263937</v>
      </c>
      <c r="C20" s="163">
        <v>2384</v>
      </c>
      <c r="D20" s="163">
        <v>390.74</v>
      </c>
      <c r="E20" s="163">
        <v>854</v>
      </c>
      <c r="F20" s="163">
        <v>152</v>
      </c>
      <c r="G20" s="163">
        <v>97363</v>
      </c>
      <c r="H20" s="163">
        <v>32581.59</v>
      </c>
      <c r="I20" s="163">
        <v>14457</v>
      </c>
      <c r="J20" s="163">
        <v>1891.55</v>
      </c>
      <c r="K20" s="164" t="s">
        <v>291</v>
      </c>
      <c r="L20" s="164" t="s">
        <v>291</v>
      </c>
      <c r="M20" s="163">
        <v>90874</v>
      </c>
      <c r="N20" s="165">
        <v>10430.290000000001</v>
      </c>
      <c r="O20" s="164" t="s">
        <v>291</v>
      </c>
      <c r="P20" s="164" t="s">
        <v>291</v>
      </c>
      <c r="Q20" s="166" t="s">
        <v>291</v>
      </c>
      <c r="R20" s="163">
        <v>3</v>
      </c>
      <c r="S20" s="167">
        <v>0.9</v>
      </c>
      <c r="T20" s="163">
        <v>1359</v>
      </c>
      <c r="U20" s="163">
        <v>10281.5</v>
      </c>
      <c r="V20" s="163">
        <v>94</v>
      </c>
      <c r="W20" s="163">
        <v>17.62</v>
      </c>
      <c r="X20" s="164" t="s">
        <v>291</v>
      </c>
      <c r="Y20" s="164" t="s">
        <v>291</v>
      </c>
      <c r="Z20" s="163">
        <v>47646</v>
      </c>
      <c r="AA20" s="163">
        <v>6150.5010000000002</v>
      </c>
      <c r="AB20" s="163">
        <v>8533</v>
      </c>
      <c r="AC20" s="165">
        <v>370</v>
      </c>
      <c r="AD20" s="153" t="s">
        <v>186</v>
      </c>
      <c r="AE20" s="162"/>
      <c r="AF20" s="162"/>
      <c r="AG20" s="134"/>
    </row>
    <row r="21" spans="1:33">
      <c r="A21" s="127" t="str">
        <f>VLOOKUP([1]ListOfRegions!A8,[1]ListOfRegions!A8:B82,2,0)</f>
        <v xml:space="preserve">  Ημαθίας</v>
      </c>
      <c r="B21" s="128">
        <v>156865</v>
      </c>
      <c r="C21" s="163">
        <v>1622</v>
      </c>
      <c r="D21" s="163">
        <v>379.25</v>
      </c>
      <c r="E21" s="163">
        <v>70</v>
      </c>
      <c r="F21" s="163">
        <v>28</v>
      </c>
      <c r="G21" s="163">
        <v>142178</v>
      </c>
      <c r="H21" s="163">
        <v>41724.61</v>
      </c>
      <c r="I21" s="163">
        <v>530</v>
      </c>
      <c r="J21" s="163">
        <v>105</v>
      </c>
      <c r="K21" s="164" t="s">
        <v>291</v>
      </c>
      <c r="L21" s="164" t="s">
        <v>291</v>
      </c>
      <c r="M21" s="163">
        <v>30</v>
      </c>
      <c r="N21" s="165">
        <v>15</v>
      </c>
      <c r="O21" s="164" t="s">
        <v>291</v>
      </c>
      <c r="P21" s="164" t="s">
        <v>291</v>
      </c>
      <c r="Q21" s="166" t="s">
        <v>291</v>
      </c>
      <c r="R21" s="164" t="s">
        <v>291</v>
      </c>
      <c r="S21" s="168" t="s">
        <v>291</v>
      </c>
      <c r="T21" s="163">
        <v>12246</v>
      </c>
      <c r="U21" s="163">
        <v>74094.600000000006</v>
      </c>
      <c r="V21" s="163">
        <v>4</v>
      </c>
      <c r="W21" s="163">
        <v>1</v>
      </c>
      <c r="X21" s="164" t="s">
        <v>291</v>
      </c>
      <c r="Y21" s="164" t="s">
        <v>291</v>
      </c>
      <c r="Z21" s="164" t="s">
        <v>291</v>
      </c>
      <c r="AA21" s="164" t="s">
        <v>291</v>
      </c>
      <c r="AB21" s="163">
        <v>185</v>
      </c>
      <c r="AC21" s="166" t="s">
        <v>291</v>
      </c>
      <c r="AD21" s="153" t="s">
        <v>187</v>
      </c>
      <c r="AE21" s="162"/>
      <c r="AF21" s="162"/>
      <c r="AG21" s="134"/>
    </row>
    <row r="22" spans="1:33">
      <c r="A22" s="127" t="str">
        <f>VLOOKUP([1]ListOfRegions!A9,[1]ListOfRegions!A9:B83,2,0)</f>
        <v xml:space="preserve">  Κιλκίς</v>
      </c>
      <c r="B22" s="128">
        <v>145427</v>
      </c>
      <c r="C22" s="163">
        <v>508</v>
      </c>
      <c r="D22" s="163">
        <v>101.69</v>
      </c>
      <c r="E22" s="163">
        <v>944</v>
      </c>
      <c r="F22" s="163">
        <v>840</v>
      </c>
      <c r="G22" s="163">
        <v>78144</v>
      </c>
      <c r="H22" s="163">
        <v>16355.87</v>
      </c>
      <c r="I22" s="163">
        <v>5911</v>
      </c>
      <c r="J22" s="163">
        <v>582.601</v>
      </c>
      <c r="K22" s="163">
        <v>11</v>
      </c>
      <c r="L22" s="163">
        <v>1E-3</v>
      </c>
      <c r="M22" s="163">
        <v>40087</v>
      </c>
      <c r="N22" s="165">
        <v>5879.3850000000002</v>
      </c>
      <c r="O22" s="164" t="s">
        <v>291</v>
      </c>
      <c r="P22" s="164" t="s">
        <v>291</v>
      </c>
      <c r="Q22" s="166" t="s">
        <v>291</v>
      </c>
      <c r="R22" s="164" t="s">
        <v>291</v>
      </c>
      <c r="S22" s="168" t="s">
        <v>291</v>
      </c>
      <c r="T22" s="163">
        <v>2163</v>
      </c>
      <c r="U22" s="163">
        <v>10421.35</v>
      </c>
      <c r="V22" s="163">
        <v>110</v>
      </c>
      <c r="W22" s="163">
        <v>12.500999999999999</v>
      </c>
      <c r="X22" s="164" t="s">
        <v>291</v>
      </c>
      <c r="Y22" s="164" t="s">
        <v>291</v>
      </c>
      <c r="Z22" s="163">
        <v>16544</v>
      </c>
      <c r="AA22" s="163">
        <v>2247.8870000000002</v>
      </c>
      <c r="AB22" s="163">
        <v>995</v>
      </c>
      <c r="AC22" s="165">
        <v>10</v>
      </c>
      <c r="AD22" s="153" t="s">
        <v>188</v>
      </c>
      <c r="AE22" s="162"/>
      <c r="AF22" s="162"/>
      <c r="AG22" s="134"/>
    </row>
    <row r="23" spans="1:33">
      <c r="A23" s="127" t="str">
        <f>VLOOKUP([1]ListOfRegions!A10,[1]ListOfRegions!A10:B84,2,0)</f>
        <v xml:space="preserve">  Πέλλας</v>
      </c>
      <c r="B23" s="128">
        <v>148680</v>
      </c>
      <c r="C23" s="163">
        <v>170</v>
      </c>
      <c r="D23" s="163">
        <v>32.26</v>
      </c>
      <c r="E23" s="164" t="s">
        <v>291</v>
      </c>
      <c r="F23" s="164" t="s">
        <v>291</v>
      </c>
      <c r="G23" s="163">
        <v>130254</v>
      </c>
      <c r="H23" s="163">
        <v>42245.01</v>
      </c>
      <c r="I23" s="164" t="s">
        <v>291</v>
      </c>
      <c r="J23" s="164" t="s">
        <v>291</v>
      </c>
      <c r="K23" s="164" t="s">
        <v>291</v>
      </c>
      <c r="L23" s="164" t="s">
        <v>291</v>
      </c>
      <c r="M23" s="163">
        <v>1444</v>
      </c>
      <c r="N23" s="165">
        <v>304.27999999999997</v>
      </c>
      <c r="O23" s="164" t="s">
        <v>291</v>
      </c>
      <c r="P23" s="164" t="s">
        <v>291</v>
      </c>
      <c r="Q23" s="166" t="s">
        <v>291</v>
      </c>
      <c r="R23" s="164" t="s">
        <v>291</v>
      </c>
      <c r="S23" s="168" t="s">
        <v>291</v>
      </c>
      <c r="T23" s="163">
        <v>16775</v>
      </c>
      <c r="U23" s="163">
        <v>96972.2</v>
      </c>
      <c r="V23" s="164" t="s">
        <v>291</v>
      </c>
      <c r="W23" s="164" t="s">
        <v>291</v>
      </c>
      <c r="X23" s="164" t="s">
        <v>291</v>
      </c>
      <c r="Y23" s="164" t="s">
        <v>291</v>
      </c>
      <c r="Z23" s="164" t="s">
        <v>291</v>
      </c>
      <c r="AA23" s="164" t="s">
        <v>291</v>
      </c>
      <c r="AB23" s="163">
        <v>1</v>
      </c>
      <c r="AC23" s="165">
        <v>36</v>
      </c>
      <c r="AD23" s="153" t="s">
        <v>189</v>
      </c>
      <c r="AE23" s="162"/>
      <c r="AF23" s="162"/>
      <c r="AG23" s="134"/>
    </row>
    <row r="24" spans="1:33">
      <c r="A24" s="127" t="str">
        <f>VLOOKUP([1]ListOfRegions!A11,[1]ListOfRegions!A11:B85,2,0)</f>
        <v xml:space="preserve">  Πιερίας</v>
      </c>
      <c r="B24" s="128">
        <v>92657</v>
      </c>
      <c r="C24" s="163">
        <v>43699</v>
      </c>
      <c r="D24" s="163">
        <v>11087.48</v>
      </c>
      <c r="E24" s="163">
        <v>3</v>
      </c>
      <c r="F24" s="163">
        <v>0.75</v>
      </c>
      <c r="G24" s="163">
        <v>42713</v>
      </c>
      <c r="H24" s="163">
        <v>12177.17</v>
      </c>
      <c r="I24" s="164" t="s">
        <v>291</v>
      </c>
      <c r="J24" s="164" t="s">
        <v>291</v>
      </c>
      <c r="K24" s="164" t="s">
        <v>291</v>
      </c>
      <c r="L24" s="164" t="s">
        <v>291</v>
      </c>
      <c r="M24" s="163">
        <v>80</v>
      </c>
      <c r="N24" s="165">
        <v>8</v>
      </c>
      <c r="O24" s="164" t="s">
        <v>291</v>
      </c>
      <c r="P24" s="164" t="s">
        <v>291</v>
      </c>
      <c r="Q24" s="166" t="s">
        <v>291</v>
      </c>
      <c r="R24" s="164" t="s">
        <v>291</v>
      </c>
      <c r="S24" s="168" t="s">
        <v>291</v>
      </c>
      <c r="T24" s="163">
        <v>4429</v>
      </c>
      <c r="U24" s="163">
        <v>21675.4</v>
      </c>
      <c r="V24" s="164" t="s">
        <v>291</v>
      </c>
      <c r="W24" s="164" t="s">
        <v>291</v>
      </c>
      <c r="X24" s="164" t="s">
        <v>291</v>
      </c>
      <c r="Y24" s="164" t="s">
        <v>291</v>
      </c>
      <c r="Z24" s="164" t="s">
        <v>291</v>
      </c>
      <c r="AA24" s="164" t="s">
        <v>291</v>
      </c>
      <c r="AB24" s="163">
        <v>1733</v>
      </c>
      <c r="AC24" s="166" t="s">
        <v>291</v>
      </c>
      <c r="AD24" s="153" t="s">
        <v>190</v>
      </c>
      <c r="AE24" s="162"/>
      <c r="AF24" s="162"/>
      <c r="AG24" s="134"/>
    </row>
    <row r="25" spans="1:33">
      <c r="A25" s="127" t="str">
        <f>VLOOKUP([1]ListOfRegions!A12,[1]ListOfRegions!A12:B86,2,0)</f>
        <v xml:space="preserve">  Σερρών</v>
      </c>
      <c r="B25" s="128">
        <v>344087</v>
      </c>
      <c r="C25" s="163">
        <v>15836</v>
      </c>
      <c r="D25" s="163">
        <v>3188.47</v>
      </c>
      <c r="E25" s="163">
        <v>70</v>
      </c>
      <c r="F25" s="163">
        <v>11.9</v>
      </c>
      <c r="G25" s="163">
        <v>211129</v>
      </c>
      <c r="H25" s="163">
        <v>57900.71</v>
      </c>
      <c r="I25" s="163">
        <v>4150</v>
      </c>
      <c r="J25" s="163">
        <v>610</v>
      </c>
      <c r="K25" s="163">
        <v>57</v>
      </c>
      <c r="L25" s="163">
        <v>2.68</v>
      </c>
      <c r="M25" s="163">
        <v>61162</v>
      </c>
      <c r="N25" s="165">
        <v>18215.05</v>
      </c>
      <c r="O25" s="164" t="s">
        <v>291</v>
      </c>
      <c r="P25" s="164" t="s">
        <v>291</v>
      </c>
      <c r="Q25" s="166" t="s">
        <v>291</v>
      </c>
      <c r="R25" s="163">
        <v>2002</v>
      </c>
      <c r="S25" s="167">
        <v>692.55</v>
      </c>
      <c r="T25" s="163">
        <v>20787</v>
      </c>
      <c r="U25" s="163">
        <v>138831.79999999999</v>
      </c>
      <c r="V25" s="163">
        <v>939</v>
      </c>
      <c r="W25" s="163">
        <v>251.65</v>
      </c>
      <c r="X25" s="164" t="s">
        <v>291</v>
      </c>
      <c r="Y25" s="164" t="s">
        <v>291</v>
      </c>
      <c r="Z25" s="163">
        <v>27554</v>
      </c>
      <c r="AA25" s="163">
        <v>7013.05</v>
      </c>
      <c r="AB25" s="163">
        <v>401</v>
      </c>
      <c r="AC25" s="166" t="s">
        <v>291</v>
      </c>
      <c r="AD25" s="153" t="s">
        <v>191</v>
      </c>
      <c r="AE25" s="162"/>
      <c r="AF25" s="162"/>
      <c r="AG25" s="134"/>
    </row>
    <row r="26" spans="1:33">
      <c r="A26" s="127" t="str">
        <f>VLOOKUP([1]ListOfRegions!A13,[1]ListOfRegions!A13:B87,2,0)</f>
        <v xml:space="preserve">  Χαλκιδικής</v>
      </c>
      <c r="B26" s="128">
        <v>25095</v>
      </c>
      <c r="C26" s="163">
        <v>29</v>
      </c>
      <c r="D26" s="163">
        <v>7.3</v>
      </c>
      <c r="E26" s="164" t="s">
        <v>291</v>
      </c>
      <c r="F26" s="164" t="s">
        <v>291</v>
      </c>
      <c r="G26" s="163">
        <v>11684</v>
      </c>
      <c r="H26" s="163">
        <v>2902.65</v>
      </c>
      <c r="I26" s="163">
        <v>577</v>
      </c>
      <c r="J26" s="163">
        <v>72.959999999999994</v>
      </c>
      <c r="K26" s="163">
        <v>100</v>
      </c>
      <c r="L26" s="163">
        <v>5</v>
      </c>
      <c r="M26" s="163">
        <v>10458</v>
      </c>
      <c r="N26" s="165">
        <v>1606</v>
      </c>
      <c r="O26" s="164" t="s">
        <v>291</v>
      </c>
      <c r="P26" s="164" t="s">
        <v>291</v>
      </c>
      <c r="Q26" s="166" t="s">
        <v>291</v>
      </c>
      <c r="R26" s="164" t="s">
        <v>291</v>
      </c>
      <c r="S26" s="168" t="s">
        <v>291</v>
      </c>
      <c r="T26" s="164" t="s">
        <v>291</v>
      </c>
      <c r="U26" s="164" t="s">
        <v>291</v>
      </c>
      <c r="V26" s="164" t="s">
        <v>291</v>
      </c>
      <c r="W26" s="164" t="s">
        <v>291</v>
      </c>
      <c r="X26" s="164" t="s">
        <v>291</v>
      </c>
      <c r="Y26" s="164" t="s">
        <v>291</v>
      </c>
      <c r="Z26" s="163">
        <v>70</v>
      </c>
      <c r="AA26" s="163">
        <v>7.5</v>
      </c>
      <c r="AB26" s="163">
        <v>2177</v>
      </c>
      <c r="AC26" s="166" t="s">
        <v>291</v>
      </c>
      <c r="AD26" s="153" t="s">
        <v>192</v>
      </c>
      <c r="AE26" s="162"/>
      <c r="AF26" s="162"/>
      <c r="AG26" s="134"/>
    </row>
    <row r="27" spans="1:33">
      <c r="A27" s="127" t="str">
        <f>VLOOKUP([1]ListOfRegions!A14,[1]ListOfRegions!A14:B88,2,0)</f>
        <v xml:space="preserve">  Κοζάνης</v>
      </c>
      <c r="B27" s="128">
        <v>24870</v>
      </c>
      <c r="C27" s="163">
        <v>1418</v>
      </c>
      <c r="D27" s="163">
        <v>293.94499999999999</v>
      </c>
      <c r="E27" s="163">
        <v>259</v>
      </c>
      <c r="F27" s="163">
        <v>28.7</v>
      </c>
      <c r="G27" s="163">
        <v>43</v>
      </c>
      <c r="H27" s="163">
        <v>8</v>
      </c>
      <c r="I27" s="164" t="s">
        <v>291</v>
      </c>
      <c r="J27" s="164" t="s">
        <v>291</v>
      </c>
      <c r="K27" s="164" t="s">
        <v>291</v>
      </c>
      <c r="L27" s="164" t="s">
        <v>291</v>
      </c>
      <c r="M27" s="163">
        <v>11382</v>
      </c>
      <c r="N27" s="165">
        <v>3981.81</v>
      </c>
      <c r="O27" s="164" t="s">
        <v>291</v>
      </c>
      <c r="P27" s="164" t="s">
        <v>291</v>
      </c>
      <c r="Q27" s="166" t="s">
        <v>291</v>
      </c>
      <c r="R27" s="164" t="s">
        <v>291</v>
      </c>
      <c r="S27" s="168" t="s">
        <v>291</v>
      </c>
      <c r="T27" s="163">
        <v>7837</v>
      </c>
      <c r="U27" s="163">
        <v>37117.699999999997</v>
      </c>
      <c r="V27" s="163">
        <v>50</v>
      </c>
      <c r="W27" s="163">
        <v>17.899999999999999</v>
      </c>
      <c r="X27" s="164" t="s">
        <v>291</v>
      </c>
      <c r="Y27" s="164" t="s">
        <v>291</v>
      </c>
      <c r="Z27" s="163">
        <v>19</v>
      </c>
      <c r="AA27" s="163">
        <v>1.3</v>
      </c>
      <c r="AB27" s="163">
        <v>1159</v>
      </c>
      <c r="AC27" s="165">
        <v>2703</v>
      </c>
      <c r="AD27" s="153" t="s">
        <v>193</v>
      </c>
      <c r="AE27" s="162"/>
      <c r="AF27" s="162"/>
      <c r="AG27" s="134"/>
    </row>
    <row r="28" spans="1:33">
      <c r="A28" s="127" t="str">
        <f>VLOOKUP([1]ListOfRegions!A15,[1]ListOfRegions!A15:B89,2,0)</f>
        <v xml:space="preserve">  Γρεβενών</v>
      </c>
      <c r="B28" s="128">
        <v>5740</v>
      </c>
      <c r="C28" s="163">
        <v>985</v>
      </c>
      <c r="D28" s="163">
        <v>197.94</v>
      </c>
      <c r="E28" s="164" t="s">
        <v>291</v>
      </c>
      <c r="F28" s="164" t="s">
        <v>291</v>
      </c>
      <c r="G28" s="164" t="s">
        <v>291</v>
      </c>
      <c r="H28" s="164" t="s">
        <v>291</v>
      </c>
      <c r="I28" s="164" t="s">
        <v>291</v>
      </c>
      <c r="J28" s="164" t="s">
        <v>291</v>
      </c>
      <c r="K28" s="164" t="s">
        <v>291</v>
      </c>
      <c r="L28" s="164" t="s">
        <v>291</v>
      </c>
      <c r="M28" s="163">
        <v>4715</v>
      </c>
      <c r="N28" s="165">
        <v>690.67</v>
      </c>
      <c r="O28" s="164" t="s">
        <v>291</v>
      </c>
      <c r="P28" s="164" t="s">
        <v>291</v>
      </c>
      <c r="Q28" s="166" t="s">
        <v>291</v>
      </c>
      <c r="R28" s="164" t="s">
        <v>291</v>
      </c>
      <c r="S28" s="168" t="s">
        <v>291</v>
      </c>
      <c r="T28" s="164" t="s">
        <v>291</v>
      </c>
      <c r="U28" s="164" t="s">
        <v>291</v>
      </c>
      <c r="V28" s="164" t="s">
        <v>291</v>
      </c>
      <c r="W28" s="164" t="s">
        <v>291</v>
      </c>
      <c r="X28" s="164" t="s">
        <v>291</v>
      </c>
      <c r="Y28" s="164" t="s">
        <v>291</v>
      </c>
      <c r="Z28" s="164" t="s">
        <v>291</v>
      </c>
      <c r="AA28" s="164" t="s">
        <v>291</v>
      </c>
      <c r="AB28" s="163">
        <v>40</v>
      </c>
      <c r="AC28" s="166" t="s">
        <v>291</v>
      </c>
      <c r="AD28" s="153" t="s">
        <v>194</v>
      </c>
      <c r="AE28" s="162"/>
      <c r="AF28" s="162"/>
      <c r="AG28" s="134"/>
    </row>
    <row r="29" spans="1:33">
      <c r="A29" s="127" t="str">
        <f>VLOOKUP([1]ListOfRegions!A16,[1]ListOfRegions!A16:B90,2,0)</f>
        <v xml:space="preserve">  Καστοριάς</v>
      </c>
      <c r="B29" s="128">
        <v>559</v>
      </c>
      <c r="C29" s="163">
        <v>559</v>
      </c>
      <c r="D29" s="163">
        <v>123.6</v>
      </c>
      <c r="E29" s="164" t="s">
        <v>291</v>
      </c>
      <c r="F29" s="164" t="s">
        <v>291</v>
      </c>
      <c r="G29" s="164" t="s">
        <v>291</v>
      </c>
      <c r="H29" s="164" t="s">
        <v>291</v>
      </c>
      <c r="I29" s="164" t="s">
        <v>291</v>
      </c>
      <c r="J29" s="164" t="s">
        <v>291</v>
      </c>
      <c r="K29" s="164" t="s">
        <v>291</v>
      </c>
      <c r="L29" s="164" t="s">
        <v>291</v>
      </c>
      <c r="M29" s="164" t="s">
        <v>291</v>
      </c>
      <c r="N29" s="166" t="s">
        <v>291</v>
      </c>
      <c r="O29" s="164" t="s">
        <v>291</v>
      </c>
      <c r="P29" s="164" t="s">
        <v>291</v>
      </c>
      <c r="Q29" s="166" t="s">
        <v>291</v>
      </c>
      <c r="R29" s="164" t="s">
        <v>291</v>
      </c>
      <c r="S29" s="168" t="s">
        <v>291</v>
      </c>
      <c r="T29" s="164" t="s">
        <v>291</v>
      </c>
      <c r="U29" s="164" t="s">
        <v>291</v>
      </c>
      <c r="V29" s="164" t="s">
        <v>291</v>
      </c>
      <c r="W29" s="164" t="s">
        <v>291</v>
      </c>
      <c r="X29" s="164" t="s">
        <v>291</v>
      </c>
      <c r="Y29" s="164" t="s">
        <v>291</v>
      </c>
      <c r="Z29" s="164" t="s">
        <v>291</v>
      </c>
      <c r="AA29" s="164" t="s">
        <v>291</v>
      </c>
      <c r="AB29" s="164" t="s">
        <v>291</v>
      </c>
      <c r="AC29" s="166" t="s">
        <v>291</v>
      </c>
      <c r="AD29" s="153" t="s">
        <v>195</v>
      </c>
      <c r="AE29" s="162"/>
      <c r="AF29" s="162"/>
      <c r="AG29" s="134"/>
    </row>
    <row r="30" spans="1:33">
      <c r="A30" s="127" t="str">
        <f>VLOOKUP([1]ListOfRegions!A17,[1]ListOfRegions!A17:B91,2,0)</f>
        <v xml:space="preserve">  Φλώρινας</v>
      </c>
      <c r="B30" s="128">
        <v>19516</v>
      </c>
      <c r="C30" s="163">
        <v>61</v>
      </c>
      <c r="D30" s="163">
        <v>18.3</v>
      </c>
      <c r="E30" s="164" t="s">
        <v>291</v>
      </c>
      <c r="F30" s="164" t="s">
        <v>291</v>
      </c>
      <c r="G30" s="164" t="s">
        <v>291</v>
      </c>
      <c r="H30" s="164" t="s">
        <v>291</v>
      </c>
      <c r="I30" s="164" t="s">
        <v>291</v>
      </c>
      <c r="J30" s="164" t="s">
        <v>291</v>
      </c>
      <c r="K30" s="164" t="s">
        <v>291</v>
      </c>
      <c r="L30" s="164" t="s">
        <v>291</v>
      </c>
      <c r="M30" s="163">
        <v>16016</v>
      </c>
      <c r="N30" s="165">
        <v>5124.7700000000004</v>
      </c>
      <c r="O30" s="164" t="s">
        <v>291</v>
      </c>
      <c r="P30" s="164" t="s">
        <v>291</v>
      </c>
      <c r="Q30" s="166" t="s">
        <v>291</v>
      </c>
      <c r="R30" s="164" t="s">
        <v>291</v>
      </c>
      <c r="S30" s="168" t="s">
        <v>291</v>
      </c>
      <c r="T30" s="163">
        <v>2676</v>
      </c>
      <c r="U30" s="163">
        <v>11872.23</v>
      </c>
      <c r="V30" s="164" t="s">
        <v>291</v>
      </c>
      <c r="W30" s="164" t="s">
        <v>291</v>
      </c>
      <c r="X30" s="164" t="s">
        <v>291</v>
      </c>
      <c r="Y30" s="164" t="s">
        <v>291</v>
      </c>
      <c r="Z30" s="163">
        <v>265</v>
      </c>
      <c r="AA30" s="163">
        <v>53.225000000000001</v>
      </c>
      <c r="AB30" s="163">
        <v>498</v>
      </c>
      <c r="AC30" s="166" t="s">
        <v>291</v>
      </c>
      <c r="AD30" s="153" t="s">
        <v>196</v>
      </c>
      <c r="AE30" s="162"/>
      <c r="AF30" s="162"/>
      <c r="AG30" s="134"/>
    </row>
    <row r="31" spans="1:33">
      <c r="A31" s="212" t="s">
        <v>197</v>
      </c>
      <c r="B31" s="198">
        <v>4841</v>
      </c>
      <c r="C31" s="210">
        <v>20</v>
      </c>
      <c r="D31" s="210">
        <v>1</v>
      </c>
      <c r="E31" s="210">
        <v>0</v>
      </c>
      <c r="F31" s="210">
        <v>0</v>
      </c>
      <c r="G31" s="210">
        <v>2987</v>
      </c>
      <c r="H31" s="210">
        <v>820.43100000000004</v>
      </c>
      <c r="I31" s="210">
        <v>70</v>
      </c>
      <c r="J31" s="210">
        <v>22.7</v>
      </c>
      <c r="K31" s="210">
        <v>0</v>
      </c>
      <c r="L31" s="210">
        <v>0</v>
      </c>
      <c r="M31" s="210">
        <v>1760</v>
      </c>
      <c r="N31" s="211">
        <v>281.5</v>
      </c>
      <c r="O31" s="208">
        <v>0</v>
      </c>
      <c r="P31" s="207">
        <v>0</v>
      </c>
      <c r="Q31" s="207">
        <v>0</v>
      </c>
      <c r="R31" s="208">
        <v>0</v>
      </c>
      <c r="S31" s="207">
        <v>0</v>
      </c>
      <c r="T31" s="207">
        <v>0</v>
      </c>
      <c r="U31" s="207">
        <v>0</v>
      </c>
      <c r="V31" s="207">
        <v>0</v>
      </c>
      <c r="W31" s="208">
        <v>0</v>
      </c>
      <c r="X31" s="208">
        <v>0</v>
      </c>
      <c r="Y31" s="208">
        <v>0</v>
      </c>
      <c r="Z31" s="208">
        <v>0</v>
      </c>
      <c r="AA31" s="208">
        <v>0</v>
      </c>
      <c r="AB31" s="208">
        <v>4</v>
      </c>
      <c r="AC31" s="207">
        <v>0</v>
      </c>
      <c r="AD31" s="209" t="s">
        <v>198</v>
      </c>
      <c r="AE31" s="195"/>
      <c r="AF31" s="195"/>
      <c r="AG31" s="134"/>
    </row>
    <row r="32" spans="1:33">
      <c r="A32" s="212"/>
      <c r="B32" s="213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1"/>
      <c r="O32" s="208"/>
      <c r="P32" s="207"/>
      <c r="Q32" s="207"/>
      <c r="R32" s="208"/>
      <c r="S32" s="207"/>
      <c r="T32" s="207"/>
      <c r="U32" s="207"/>
      <c r="V32" s="207"/>
      <c r="W32" s="208"/>
      <c r="X32" s="208"/>
      <c r="Y32" s="208"/>
      <c r="Z32" s="208"/>
      <c r="AA32" s="208"/>
      <c r="AB32" s="208"/>
      <c r="AC32" s="207"/>
      <c r="AD32" s="209"/>
      <c r="AE32" s="195"/>
      <c r="AF32" s="195"/>
      <c r="AG32" s="134"/>
    </row>
    <row r="33" spans="1:33">
      <c r="A33" s="127" t="str">
        <f>VLOOKUP([1]ListOfRegions!A18,[1]ListOfRegions!A18:B92,2,0)</f>
        <v xml:space="preserve">  Ιωαννίνων</v>
      </c>
      <c r="B33" s="128">
        <v>1752</v>
      </c>
      <c r="C33" s="164" t="s">
        <v>291</v>
      </c>
      <c r="D33" s="164" t="s">
        <v>291</v>
      </c>
      <c r="E33" s="164" t="s">
        <v>291</v>
      </c>
      <c r="F33" s="164" t="s">
        <v>291</v>
      </c>
      <c r="G33" s="164" t="s">
        <v>291</v>
      </c>
      <c r="H33" s="164" t="s">
        <v>291</v>
      </c>
      <c r="I33" s="164" t="s">
        <v>291</v>
      </c>
      <c r="J33" s="164" t="s">
        <v>291</v>
      </c>
      <c r="K33" s="164" t="s">
        <v>291</v>
      </c>
      <c r="L33" s="164" t="s">
        <v>291</v>
      </c>
      <c r="M33" s="163">
        <v>1750</v>
      </c>
      <c r="N33" s="165">
        <v>280</v>
      </c>
      <c r="O33" s="164" t="s">
        <v>291</v>
      </c>
      <c r="P33" s="164" t="s">
        <v>291</v>
      </c>
      <c r="Q33" s="166" t="s">
        <v>291</v>
      </c>
      <c r="R33" s="164" t="s">
        <v>291</v>
      </c>
      <c r="S33" s="168" t="s">
        <v>291</v>
      </c>
      <c r="T33" s="164" t="s">
        <v>291</v>
      </c>
      <c r="U33" s="164" t="s">
        <v>291</v>
      </c>
      <c r="V33" s="164" t="s">
        <v>291</v>
      </c>
      <c r="W33" s="164" t="s">
        <v>291</v>
      </c>
      <c r="X33" s="164" t="s">
        <v>291</v>
      </c>
      <c r="Y33" s="164" t="s">
        <v>291</v>
      </c>
      <c r="Z33" s="164" t="s">
        <v>291</v>
      </c>
      <c r="AA33" s="164" t="s">
        <v>291</v>
      </c>
      <c r="AB33" s="163">
        <v>2</v>
      </c>
      <c r="AC33" s="166" t="s">
        <v>291</v>
      </c>
      <c r="AD33" s="153" t="s">
        <v>199</v>
      </c>
      <c r="AE33" s="162"/>
      <c r="AF33" s="162"/>
      <c r="AG33" s="134"/>
    </row>
    <row r="34" spans="1:33">
      <c r="A34" s="127" t="str">
        <f>VLOOKUP([1]ListOfRegions!A19,[1]ListOfRegions!A19:B93,2,0)</f>
        <v xml:space="preserve">  Άρτας</v>
      </c>
      <c r="B34" s="128">
        <v>322</v>
      </c>
      <c r="C34" s="163">
        <v>20</v>
      </c>
      <c r="D34" s="163">
        <v>1</v>
      </c>
      <c r="E34" s="164" t="s">
        <v>291</v>
      </c>
      <c r="F34" s="164" t="s">
        <v>291</v>
      </c>
      <c r="G34" s="163">
        <v>300</v>
      </c>
      <c r="H34" s="163">
        <v>88</v>
      </c>
      <c r="I34" s="164" t="s">
        <v>291</v>
      </c>
      <c r="J34" s="164" t="s">
        <v>291</v>
      </c>
      <c r="K34" s="164" t="s">
        <v>291</v>
      </c>
      <c r="L34" s="164" t="s">
        <v>291</v>
      </c>
      <c r="M34" s="164" t="s">
        <v>291</v>
      </c>
      <c r="N34" s="166" t="s">
        <v>291</v>
      </c>
      <c r="O34" s="164" t="s">
        <v>291</v>
      </c>
      <c r="P34" s="164" t="s">
        <v>291</v>
      </c>
      <c r="Q34" s="166" t="s">
        <v>291</v>
      </c>
      <c r="R34" s="164" t="s">
        <v>291</v>
      </c>
      <c r="S34" s="168" t="s">
        <v>291</v>
      </c>
      <c r="T34" s="164" t="s">
        <v>291</v>
      </c>
      <c r="U34" s="164" t="s">
        <v>291</v>
      </c>
      <c r="V34" s="164" t="s">
        <v>291</v>
      </c>
      <c r="W34" s="164" t="s">
        <v>291</v>
      </c>
      <c r="X34" s="164" t="s">
        <v>291</v>
      </c>
      <c r="Y34" s="164" t="s">
        <v>291</v>
      </c>
      <c r="Z34" s="164" t="s">
        <v>291</v>
      </c>
      <c r="AA34" s="164" t="s">
        <v>291</v>
      </c>
      <c r="AB34" s="163">
        <v>2</v>
      </c>
      <c r="AC34" s="166" t="s">
        <v>291</v>
      </c>
      <c r="AD34" s="153" t="s">
        <v>200</v>
      </c>
      <c r="AE34" s="162"/>
      <c r="AF34" s="162"/>
      <c r="AG34" s="134"/>
    </row>
    <row r="35" spans="1:33">
      <c r="A35" s="127" t="str">
        <f>VLOOKUP([1]ListOfRegions!A20,[1]ListOfRegions!A20:B94,2,0)</f>
        <v xml:space="preserve">  Θεσπρωτίας</v>
      </c>
      <c r="B35" s="128">
        <v>0</v>
      </c>
      <c r="C35" s="164" t="s">
        <v>291</v>
      </c>
      <c r="D35" s="164" t="s">
        <v>291</v>
      </c>
      <c r="E35" s="164" t="s">
        <v>291</v>
      </c>
      <c r="F35" s="164" t="s">
        <v>291</v>
      </c>
      <c r="G35" s="164" t="s">
        <v>291</v>
      </c>
      <c r="H35" s="164" t="s">
        <v>291</v>
      </c>
      <c r="I35" s="164" t="s">
        <v>291</v>
      </c>
      <c r="J35" s="164" t="s">
        <v>291</v>
      </c>
      <c r="K35" s="164" t="s">
        <v>291</v>
      </c>
      <c r="L35" s="164" t="s">
        <v>291</v>
      </c>
      <c r="M35" s="164" t="s">
        <v>291</v>
      </c>
      <c r="N35" s="166" t="s">
        <v>291</v>
      </c>
      <c r="O35" s="164" t="s">
        <v>291</v>
      </c>
      <c r="P35" s="164" t="s">
        <v>291</v>
      </c>
      <c r="Q35" s="166" t="s">
        <v>291</v>
      </c>
      <c r="R35" s="164" t="s">
        <v>291</v>
      </c>
      <c r="S35" s="168" t="s">
        <v>291</v>
      </c>
      <c r="T35" s="164" t="s">
        <v>291</v>
      </c>
      <c r="U35" s="164" t="s">
        <v>291</v>
      </c>
      <c r="V35" s="164" t="s">
        <v>291</v>
      </c>
      <c r="W35" s="164" t="s">
        <v>291</v>
      </c>
      <c r="X35" s="164" t="s">
        <v>291</v>
      </c>
      <c r="Y35" s="164" t="s">
        <v>291</v>
      </c>
      <c r="Z35" s="164" t="s">
        <v>291</v>
      </c>
      <c r="AA35" s="164" t="s">
        <v>291</v>
      </c>
      <c r="AB35" s="164" t="s">
        <v>291</v>
      </c>
      <c r="AC35" s="166" t="s">
        <v>291</v>
      </c>
      <c r="AD35" s="153" t="s">
        <v>201</v>
      </c>
      <c r="AE35" s="162"/>
      <c r="AF35" s="162"/>
      <c r="AG35" s="134"/>
    </row>
    <row r="36" spans="1:33">
      <c r="A36" s="127" t="str">
        <f>VLOOKUP([1]ListOfRegions!A21,[1]ListOfRegions!A21:B95,2,0)</f>
        <v xml:space="preserve">  Πρέβεζας</v>
      </c>
      <c r="B36" s="128">
        <v>2767</v>
      </c>
      <c r="C36" s="164" t="s">
        <v>291</v>
      </c>
      <c r="D36" s="164" t="s">
        <v>291</v>
      </c>
      <c r="E36" s="164" t="s">
        <v>291</v>
      </c>
      <c r="F36" s="164" t="s">
        <v>291</v>
      </c>
      <c r="G36" s="163">
        <v>2687</v>
      </c>
      <c r="H36" s="163">
        <v>732.43100000000004</v>
      </c>
      <c r="I36" s="163">
        <v>70</v>
      </c>
      <c r="J36" s="163">
        <v>22.7</v>
      </c>
      <c r="K36" s="164" t="s">
        <v>291</v>
      </c>
      <c r="L36" s="164" t="s">
        <v>291</v>
      </c>
      <c r="M36" s="163">
        <v>10</v>
      </c>
      <c r="N36" s="165">
        <v>1.5</v>
      </c>
      <c r="O36" s="164" t="s">
        <v>291</v>
      </c>
      <c r="P36" s="164" t="s">
        <v>291</v>
      </c>
      <c r="Q36" s="166" t="s">
        <v>291</v>
      </c>
      <c r="R36" s="164" t="s">
        <v>291</v>
      </c>
      <c r="S36" s="168" t="s">
        <v>291</v>
      </c>
      <c r="T36" s="164" t="s">
        <v>291</v>
      </c>
      <c r="U36" s="164" t="s">
        <v>291</v>
      </c>
      <c r="V36" s="164" t="s">
        <v>291</v>
      </c>
      <c r="W36" s="164" t="s">
        <v>291</v>
      </c>
      <c r="X36" s="164" t="s">
        <v>291</v>
      </c>
      <c r="Y36" s="164" t="s">
        <v>291</v>
      </c>
      <c r="Z36" s="164" t="s">
        <v>291</v>
      </c>
      <c r="AA36" s="164" t="s">
        <v>291</v>
      </c>
      <c r="AB36" s="164" t="s">
        <v>291</v>
      </c>
      <c r="AC36" s="166" t="s">
        <v>291</v>
      </c>
      <c r="AD36" s="153" t="s">
        <v>202</v>
      </c>
      <c r="AE36" s="162"/>
      <c r="AF36" s="162"/>
      <c r="AG36" s="134"/>
    </row>
    <row r="37" spans="1:33">
      <c r="A37" s="212" t="s">
        <v>203</v>
      </c>
      <c r="B37" s="198">
        <v>1188336</v>
      </c>
      <c r="C37" s="210">
        <v>4942</v>
      </c>
      <c r="D37" s="210">
        <v>1179.5</v>
      </c>
      <c r="E37" s="210">
        <v>8085</v>
      </c>
      <c r="F37" s="210">
        <v>2844.95</v>
      </c>
      <c r="G37" s="210">
        <v>1155279</v>
      </c>
      <c r="H37" s="210">
        <v>311549.59999999998</v>
      </c>
      <c r="I37" s="210">
        <v>420</v>
      </c>
      <c r="J37" s="210">
        <v>41.3</v>
      </c>
      <c r="K37" s="210">
        <v>0</v>
      </c>
      <c r="L37" s="210">
        <v>0</v>
      </c>
      <c r="M37" s="210">
        <v>5720</v>
      </c>
      <c r="N37" s="211">
        <v>1622.88</v>
      </c>
      <c r="O37" s="208">
        <v>0</v>
      </c>
      <c r="P37" s="207">
        <v>0</v>
      </c>
      <c r="Q37" s="207">
        <v>0</v>
      </c>
      <c r="R37" s="208">
        <v>0</v>
      </c>
      <c r="S37" s="207">
        <v>0</v>
      </c>
      <c r="T37" s="207">
        <v>8464</v>
      </c>
      <c r="U37" s="207">
        <v>60509.2</v>
      </c>
      <c r="V37" s="207">
        <v>7</v>
      </c>
      <c r="W37" s="208">
        <v>2.4500000000000002</v>
      </c>
      <c r="X37" s="208">
        <v>0</v>
      </c>
      <c r="Y37" s="208">
        <v>0</v>
      </c>
      <c r="Z37" s="208">
        <v>20</v>
      </c>
      <c r="AA37" s="208">
        <v>7</v>
      </c>
      <c r="AB37" s="208">
        <v>2500</v>
      </c>
      <c r="AC37" s="207">
        <v>2899</v>
      </c>
      <c r="AD37" s="209" t="s">
        <v>204</v>
      </c>
      <c r="AE37" s="195"/>
      <c r="AF37" s="195"/>
      <c r="AG37" s="134"/>
    </row>
    <row r="38" spans="1:33">
      <c r="A38" s="212"/>
      <c r="B38" s="213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1"/>
      <c r="O38" s="208"/>
      <c r="P38" s="207"/>
      <c r="Q38" s="207"/>
      <c r="R38" s="208"/>
      <c r="S38" s="207"/>
      <c r="T38" s="207"/>
      <c r="U38" s="207"/>
      <c r="V38" s="207"/>
      <c r="W38" s="208"/>
      <c r="X38" s="208"/>
      <c r="Y38" s="208"/>
      <c r="Z38" s="208"/>
      <c r="AA38" s="208"/>
      <c r="AB38" s="208"/>
      <c r="AC38" s="207"/>
      <c r="AD38" s="209"/>
      <c r="AE38" s="195"/>
      <c r="AF38" s="195"/>
      <c r="AG38" s="134"/>
    </row>
    <row r="39" spans="1:33">
      <c r="A39" s="127" t="str">
        <f>VLOOKUP([1]ListOfRegions!A22,[1]ListOfRegions!A22:B96,2,0)</f>
        <v xml:space="preserve">  Λάρισας</v>
      </c>
      <c r="B39" s="128">
        <v>482158</v>
      </c>
      <c r="C39" s="163">
        <v>4778</v>
      </c>
      <c r="D39" s="163">
        <v>1130.25</v>
      </c>
      <c r="E39" s="163">
        <v>1306</v>
      </c>
      <c r="F39" s="163">
        <v>446.75</v>
      </c>
      <c r="G39" s="163">
        <v>464409</v>
      </c>
      <c r="H39" s="163">
        <v>143155.57</v>
      </c>
      <c r="I39" s="163">
        <v>220</v>
      </c>
      <c r="J39" s="163">
        <v>17.3</v>
      </c>
      <c r="K39" s="164" t="s">
        <v>291</v>
      </c>
      <c r="L39" s="164" t="s">
        <v>291</v>
      </c>
      <c r="M39" s="163">
        <v>4481</v>
      </c>
      <c r="N39" s="165">
        <v>1439.93</v>
      </c>
      <c r="O39" s="164" t="s">
        <v>291</v>
      </c>
      <c r="P39" s="164" t="s">
        <v>291</v>
      </c>
      <c r="Q39" s="166" t="s">
        <v>291</v>
      </c>
      <c r="R39" s="164" t="s">
        <v>291</v>
      </c>
      <c r="S39" s="168" t="s">
        <v>291</v>
      </c>
      <c r="T39" s="163">
        <v>6444</v>
      </c>
      <c r="U39" s="163">
        <v>42960.2</v>
      </c>
      <c r="V39" s="164" t="s">
        <v>291</v>
      </c>
      <c r="W39" s="164" t="s">
        <v>291</v>
      </c>
      <c r="X39" s="164" t="s">
        <v>291</v>
      </c>
      <c r="Y39" s="164" t="s">
        <v>291</v>
      </c>
      <c r="Z39" s="164" t="s">
        <v>291</v>
      </c>
      <c r="AA39" s="164" t="s">
        <v>291</v>
      </c>
      <c r="AB39" s="163">
        <v>180</v>
      </c>
      <c r="AC39" s="165">
        <v>340</v>
      </c>
      <c r="AD39" s="153" t="s">
        <v>205</v>
      </c>
      <c r="AE39" s="162"/>
      <c r="AF39" s="162"/>
      <c r="AG39" s="134"/>
    </row>
    <row r="40" spans="1:33">
      <c r="A40" s="127" t="str">
        <f>VLOOKUP([1]ListOfRegions!A23,[1]ListOfRegions!A23:B97,2,0)</f>
        <v xml:space="preserve">  Καρδίτσας</v>
      </c>
      <c r="B40" s="128">
        <v>502202</v>
      </c>
      <c r="C40" s="163">
        <v>10</v>
      </c>
      <c r="D40" s="163">
        <v>3.5</v>
      </c>
      <c r="E40" s="163">
        <v>2749</v>
      </c>
      <c r="F40" s="163">
        <v>1005</v>
      </c>
      <c r="G40" s="163">
        <v>496935</v>
      </c>
      <c r="H40" s="163">
        <v>121358.99</v>
      </c>
      <c r="I40" s="163">
        <v>200</v>
      </c>
      <c r="J40" s="163">
        <v>24</v>
      </c>
      <c r="K40" s="164" t="s">
        <v>291</v>
      </c>
      <c r="L40" s="164" t="s">
        <v>291</v>
      </c>
      <c r="M40" s="163">
        <v>700</v>
      </c>
      <c r="N40" s="165">
        <v>130</v>
      </c>
      <c r="O40" s="164" t="s">
        <v>291</v>
      </c>
      <c r="P40" s="164" t="s">
        <v>291</v>
      </c>
      <c r="Q40" s="166" t="s">
        <v>291</v>
      </c>
      <c r="R40" s="164" t="s">
        <v>291</v>
      </c>
      <c r="S40" s="168" t="s">
        <v>291</v>
      </c>
      <c r="T40" s="163">
        <v>400</v>
      </c>
      <c r="U40" s="163">
        <v>4000</v>
      </c>
      <c r="V40" s="164" t="s">
        <v>291</v>
      </c>
      <c r="W40" s="164" t="s">
        <v>291</v>
      </c>
      <c r="X40" s="164" t="s">
        <v>291</v>
      </c>
      <c r="Y40" s="164" t="s">
        <v>291</v>
      </c>
      <c r="Z40" s="164" t="s">
        <v>291</v>
      </c>
      <c r="AA40" s="164" t="s">
        <v>291</v>
      </c>
      <c r="AB40" s="163">
        <v>379</v>
      </c>
      <c r="AC40" s="165">
        <v>829</v>
      </c>
      <c r="AD40" s="153" t="s">
        <v>206</v>
      </c>
      <c r="AE40" s="162"/>
      <c r="AF40" s="162"/>
      <c r="AG40" s="134"/>
    </row>
    <row r="41" spans="1:33">
      <c r="A41" s="127" t="str">
        <f>VLOOKUP([1]ListOfRegions!A24,[1]ListOfRegions!A24:B98,2,0)</f>
        <v xml:space="preserve">  Μαγνησίας</v>
      </c>
      <c r="B41" s="128">
        <v>78661</v>
      </c>
      <c r="C41" s="164" t="s">
        <v>291</v>
      </c>
      <c r="D41" s="164" t="s">
        <v>291</v>
      </c>
      <c r="E41" s="164" t="s">
        <v>291</v>
      </c>
      <c r="F41" s="164" t="s">
        <v>291</v>
      </c>
      <c r="G41" s="163">
        <v>73533</v>
      </c>
      <c r="H41" s="163">
        <v>19819.36</v>
      </c>
      <c r="I41" s="164" t="s">
        <v>291</v>
      </c>
      <c r="J41" s="164" t="s">
        <v>291</v>
      </c>
      <c r="K41" s="164" t="s">
        <v>291</v>
      </c>
      <c r="L41" s="164" t="s">
        <v>291</v>
      </c>
      <c r="M41" s="164" t="s">
        <v>291</v>
      </c>
      <c r="N41" s="166" t="s">
        <v>291</v>
      </c>
      <c r="O41" s="164" t="s">
        <v>291</v>
      </c>
      <c r="P41" s="164" t="s">
        <v>291</v>
      </c>
      <c r="Q41" s="166" t="s">
        <v>291</v>
      </c>
      <c r="R41" s="164" t="s">
        <v>291</v>
      </c>
      <c r="S41" s="168" t="s">
        <v>291</v>
      </c>
      <c r="T41" s="163">
        <v>1620</v>
      </c>
      <c r="U41" s="163">
        <v>13549</v>
      </c>
      <c r="V41" s="164" t="s">
        <v>291</v>
      </c>
      <c r="W41" s="164" t="s">
        <v>291</v>
      </c>
      <c r="X41" s="164" t="s">
        <v>291</v>
      </c>
      <c r="Y41" s="164" t="s">
        <v>291</v>
      </c>
      <c r="Z41" s="164" t="s">
        <v>291</v>
      </c>
      <c r="AA41" s="164" t="s">
        <v>291</v>
      </c>
      <c r="AB41" s="163">
        <v>1901</v>
      </c>
      <c r="AC41" s="165">
        <v>1607</v>
      </c>
      <c r="AD41" s="153" t="s">
        <v>207</v>
      </c>
      <c r="AE41" s="162"/>
      <c r="AF41" s="162"/>
      <c r="AG41" s="134"/>
    </row>
    <row r="42" spans="1:33">
      <c r="A42" s="127" t="str">
        <f>VLOOKUP([1]ListOfRegions!A25,[1]ListOfRegions!A25:B99,2,0)</f>
        <v xml:space="preserve">  Σποράδων</v>
      </c>
      <c r="B42" s="128">
        <v>0</v>
      </c>
      <c r="C42" s="164" t="s">
        <v>291</v>
      </c>
      <c r="D42" s="164" t="s">
        <v>291</v>
      </c>
      <c r="E42" s="164" t="s">
        <v>291</v>
      </c>
      <c r="F42" s="164" t="s">
        <v>291</v>
      </c>
      <c r="G42" s="164" t="s">
        <v>291</v>
      </c>
      <c r="H42" s="164" t="s">
        <v>291</v>
      </c>
      <c r="I42" s="164" t="s">
        <v>291</v>
      </c>
      <c r="J42" s="164" t="s">
        <v>291</v>
      </c>
      <c r="K42" s="164" t="s">
        <v>291</v>
      </c>
      <c r="L42" s="164" t="s">
        <v>291</v>
      </c>
      <c r="M42" s="164" t="s">
        <v>291</v>
      </c>
      <c r="N42" s="166" t="s">
        <v>291</v>
      </c>
      <c r="O42" s="164" t="s">
        <v>291</v>
      </c>
      <c r="P42" s="164" t="s">
        <v>291</v>
      </c>
      <c r="Q42" s="166" t="s">
        <v>291</v>
      </c>
      <c r="R42" s="164" t="s">
        <v>291</v>
      </c>
      <c r="S42" s="168" t="s">
        <v>291</v>
      </c>
      <c r="T42" s="164" t="s">
        <v>291</v>
      </c>
      <c r="U42" s="164" t="s">
        <v>291</v>
      </c>
      <c r="V42" s="164" t="s">
        <v>291</v>
      </c>
      <c r="W42" s="164" t="s">
        <v>291</v>
      </c>
      <c r="X42" s="164" t="s">
        <v>291</v>
      </c>
      <c r="Y42" s="164" t="s">
        <v>291</v>
      </c>
      <c r="Z42" s="164" t="s">
        <v>291</v>
      </c>
      <c r="AA42" s="164" t="s">
        <v>291</v>
      </c>
      <c r="AB42" s="164" t="s">
        <v>291</v>
      </c>
      <c r="AC42" s="166" t="s">
        <v>291</v>
      </c>
      <c r="AD42" s="153" t="s">
        <v>208</v>
      </c>
      <c r="AE42" s="162"/>
      <c r="AF42" s="162"/>
      <c r="AG42" s="134"/>
    </row>
    <row r="43" spans="1:33">
      <c r="A43" s="127" t="str">
        <f>VLOOKUP([1]ListOfRegions!A26,[1]ListOfRegions!A26:B100,2,0)</f>
        <v xml:space="preserve">  Τρικάλων</v>
      </c>
      <c r="B43" s="128">
        <v>125315</v>
      </c>
      <c r="C43" s="163">
        <v>154</v>
      </c>
      <c r="D43" s="163">
        <v>45.75</v>
      </c>
      <c r="E43" s="163">
        <v>4030</v>
      </c>
      <c r="F43" s="163">
        <v>1393.2</v>
      </c>
      <c r="G43" s="163">
        <v>120402</v>
      </c>
      <c r="H43" s="163">
        <v>27215.68</v>
      </c>
      <c r="I43" s="164" t="s">
        <v>291</v>
      </c>
      <c r="J43" s="164" t="s">
        <v>291</v>
      </c>
      <c r="K43" s="164" t="s">
        <v>291</v>
      </c>
      <c r="L43" s="164" t="s">
        <v>291</v>
      </c>
      <c r="M43" s="163">
        <v>539</v>
      </c>
      <c r="N43" s="165">
        <v>52.95</v>
      </c>
      <c r="O43" s="164" t="s">
        <v>291</v>
      </c>
      <c r="P43" s="164" t="s">
        <v>291</v>
      </c>
      <c r="Q43" s="166" t="s">
        <v>291</v>
      </c>
      <c r="R43" s="164" t="s">
        <v>291</v>
      </c>
      <c r="S43" s="168" t="s">
        <v>291</v>
      </c>
      <c r="T43" s="164" t="s">
        <v>291</v>
      </c>
      <c r="U43" s="164" t="s">
        <v>291</v>
      </c>
      <c r="V43" s="163">
        <v>7</v>
      </c>
      <c r="W43" s="163">
        <v>2.4500000000000002</v>
      </c>
      <c r="X43" s="164" t="s">
        <v>291</v>
      </c>
      <c r="Y43" s="164" t="s">
        <v>291</v>
      </c>
      <c r="Z43" s="163">
        <v>20</v>
      </c>
      <c r="AA43" s="163">
        <v>7</v>
      </c>
      <c r="AB43" s="163">
        <v>40</v>
      </c>
      <c r="AC43" s="165">
        <v>123</v>
      </c>
      <c r="AD43" s="153" t="s">
        <v>209</v>
      </c>
      <c r="AE43" s="162"/>
      <c r="AF43" s="162"/>
      <c r="AG43" s="134"/>
    </row>
    <row r="44" spans="1:33">
      <c r="A44" s="212" t="s">
        <v>210</v>
      </c>
      <c r="B44" s="198">
        <v>382079</v>
      </c>
      <c r="C44" s="210">
        <v>1220</v>
      </c>
      <c r="D44" s="210">
        <v>207.1</v>
      </c>
      <c r="E44" s="210">
        <v>1141</v>
      </c>
      <c r="F44" s="210">
        <v>585.6</v>
      </c>
      <c r="G44" s="210">
        <v>344838</v>
      </c>
      <c r="H44" s="210">
        <v>107243.31999999999</v>
      </c>
      <c r="I44" s="210">
        <v>24594</v>
      </c>
      <c r="J44" s="210">
        <v>6772.5300000000007</v>
      </c>
      <c r="K44" s="210">
        <v>0</v>
      </c>
      <c r="L44" s="210">
        <v>0</v>
      </c>
      <c r="M44" s="210">
        <v>5742</v>
      </c>
      <c r="N44" s="211">
        <v>1436.4</v>
      </c>
      <c r="O44" s="208">
        <v>50</v>
      </c>
      <c r="P44" s="207">
        <v>0</v>
      </c>
      <c r="Q44" s="207">
        <v>0</v>
      </c>
      <c r="R44" s="208">
        <v>60</v>
      </c>
      <c r="S44" s="207">
        <v>1.8</v>
      </c>
      <c r="T44" s="207">
        <v>995</v>
      </c>
      <c r="U44" s="207">
        <v>7734.1</v>
      </c>
      <c r="V44" s="207">
        <v>30</v>
      </c>
      <c r="W44" s="208">
        <v>7.5</v>
      </c>
      <c r="X44" s="208">
        <v>0</v>
      </c>
      <c r="Y44" s="208">
        <v>0</v>
      </c>
      <c r="Z44" s="208">
        <v>250</v>
      </c>
      <c r="AA44" s="208">
        <v>75</v>
      </c>
      <c r="AB44" s="208">
        <v>106</v>
      </c>
      <c r="AC44" s="207">
        <v>3053</v>
      </c>
      <c r="AD44" s="209" t="s">
        <v>211</v>
      </c>
      <c r="AE44" s="195"/>
      <c r="AF44" s="195"/>
      <c r="AG44" s="134"/>
    </row>
    <row r="45" spans="1:33">
      <c r="A45" s="212"/>
      <c r="B45" s="213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1"/>
      <c r="O45" s="208"/>
      <c r="P45" s="207"/>
      <c r="Q45" s="207"/>
      <c r="R45" s="208"/>
      <c r="S45" s="207"/>
      <c r="T45" s="207"/>
      <c r="U45" s="207"/>
      <c r="V45" s="207"/>
      <c r="W45" s="208"/>
      <c r="X45" s="208"/>
      <c r="Y45" s="208"/>
      <c r="Z45" s="208"/>
      <c r="AA45" s="208"/>
      <c r="AB45" s="208"/>
      <c r="AC45" s="207"/>
      <c r="AD45" s="209"/>
      <c r="AE45" s="195"/>
      <c r="AF45" s="195"/>
      <c r="AG45" s="134"/>
    </row>
    <row r="46" spans="1:33">
      <c r="A46" s="127" t="str">
        <f>VLOOKUP([1]ListOfRegions!A27,[1]ListOfRegions!A27:B101,2,0)</f>
        <v xml:space="preserve">  Φθιώτιδας</v>
      </c>
      <c r="B46" s="128">
        <v>169005</v>
      </c>
      <c r="C46" s="163">
        <v>1220</v>
      </c>
      <c r="D46" s="163">
        <v>207.1</v>
      </c>
      <c r="E46" s="163">
        <v>820</v>
      </c>
      <c r="F46" s="163">
        <v>457.7</v>
      </c>
      <c r="G46" s="163">
        <v>139819</v>
      </c>
      <c r="H46" s="163">
        <v>44842.82</v>
      </c>
      <c r="I46" s="163">
        <v>20079</v>
      </c>
      <c r="J46" s="163">
        <v>6318.43</v>
      </c>
      <c r="K46" s="164" t="s">
        <v>291</v>
      </c>
      <c r="L46" s="164" t="s">
        <v>291</v>
      </c>
      <c r="M46" s="163">
        <v>5692</v>
      </c>
      <c r="N46" s="165">
        <v>1429.4</v>
      </c>
      <c r="O46" s="163">
        <v>50</v>
      </c>
      <c r="P46" s="164" t="s">
        <v>291</v>
      </c>
      <c r="Q46" s="166" t="s">
        <v>291</v>
      </c>
      <c r="R46" s="164" t="s">
        <v>291</v>
      </c>
      <c r="S46" s="168" t="s">
        <v>291</v>
      </c>
      <c r="T46" s="163">
        <v>995</v>
      </c>
      <c r="U46" s="163">
        <v>7734.1</v>
      </c>
      <c r="V46" s="163">
        <v>30</v>
      </c>
      <c r="W46" s="163">
        <v>7.5</v>
      </c>
      <c r="X46" s="164" t="s">
        <v>291</v>
      </c>
      <c r="Y46" s="164" t="s">
        <v>291</v>
      </c>
      <c r="Z46" s="163">
        <v>250</v>
      </c>
      <c r="AA46" s="163">
        <v>75</v>
      </c>
      <c r="AB46" s="164" t="s">
        <v>291</v>
      </c>
      <c r="AC46" s="165">
        <v>50</v>
      </c>
      <c r="AD46" s="153" t="s">
        <v>212</v>
      </c>
      <c r="AE46" s="162"/>
      <c r="AF46" s="162"/>
      <c r="AG46" s="134"/>
    </row>
    <row r="47" spans="1:33">
      <c r="A47" s="127" t="str">
        <f>VLOOKUP([1]ListOfRegions!A28,[1]ListOfRegions!A28:B102,2,0)</f>
        <v xml:space="preserve">  Βοιωτίας</v>
      </c>
      <c r="B47" s="128">
        <v>194749</v>
      </c>
      <c r="C47" s="164" t="s">
        <v>291</v>
      </c>
      <c r="D47" s="164" t="s">
        <v>291</v>
      </c>
      <c r="E47" s="163">
        <v>10</v>
      </c>
      <c r="F47" s="163">
        <v>3.5</v>
      </c>
      <c r="G47" s="163">
        <v>190174</v>
      </c>
      <c r="H47" s="163">
        <v>59089.2</v>
      </c>
      <c r="I47" s="163">
        <v>4515</v>
      </c>
      <c r="J47" s="163">
        <v>454.1</v>
      </c>
      <c r="K47" s="164" t="s">
        <v>291</v>
      </c>
      <c r="L47" s="164" t="s">
        <v>291</v>
      </c>
      <c r="M47" s="163">
        <v>50</v>
      </c>
      <c r="N47" s="165">
        <v>7</v>
      </c>
      <c r="O47" s="164" t="s">
        <v>291</v>
      </c>
      <c r="P47" s="164" t="s">
        <v>291</v>
      </c>
      <c r="Q47" s="166" t="s">
        <v>291</v>
      </c>
      <c r="R47" s="164" t="s">
        <v>291</v>
      </c>
      <c r="S47" s="168" t="s">
        <v>291</v>
      </c>
      <c r="T47" s="164" t="s">
        <v>291</v>
      </c>
      <c r="U47" s="164" t="s">
        <v>291</v>
      </c>
      <c r="V47" s="164" t="s">
        <v>291</v>
      </c>
      <c r="W47" s="164" t="s">
        <v>291</v>
      </c>
      <c r="X47" s="164" t="s">
        <v>291</v>
      </c>
      <c r="Y47" s="164" t="s">
        <v>291</v>
      </c>
      <c r="Z47" s="164" t="s">
        <v>291</v>
      </c>
      <c r="AA47" s="164" t="s">
        <v>291</v>
      </c>
      <c r="AB47" s="164" t="s">
        <v>291</v>
      </c>
      <c r="AC47" s="166" t="s">
        <v>291</v>
      </c>
      <c r="AD47" s="153" t="s">
        <v>213</v>
      </c>
      <c r="AE47" s="162"/>
      <c r="AF47" s="162"/>
      <c r="AG47" s="134"/>
    </row>
    <row r="48" spans="1:33">
      <c r="A48" s="127" t="str">
        <f>VLOOKUP([1]ListOfRegions!A29,[1]ListOfRegions!A29:B103,2,0)</f>
        <v xml:space="preserve">  Εύβοιας</v>
      </c>
      <c r="B48" s="128">
        <v>17450</v>
      </c>
      <c r="C48" s="164" t="s">
        <v>291</v>
      </c>
      <c r="D48" s="164" t="s">
        <v>291</v>
      </c>
      <c r="E48" s="164" t="s">
        <v>291</v>
      </c>
      <c r="F48" s="164" t="s">
        <v>291</v>
      </c>
      <c r="G48" s="163">
        <v>14285</v>
      </c>
      <c r="H48" s="163">
        <v>3199.3</v>
      </c>
      <c r="I48" s="164" t="s">
        <v>291</v>
      </c>
      <c r="J48" s="164" t="s">
        <v>291</v>
      </c>
      <c r="K48" s="164" t="s">
        <v>291</v>
      </c>
      <c r="L48" s="164" t="s">
        <v>291</v>
      </c>
      <c r="M48" s="164" t="s">
        <v>291</v>
      </c>
      <c r="N48" s="166" t="s">
        <v>291</v>
      </c>
      <c r="O48" s="164" t="s">
        <v>291</v>
      </c>
      <c r="P48" s="164" t="s">
        <v>291</v>
      </c>
      <c r="Q48" s="166" t="s">
        <v>291</v>
      </c>
      <c r="R48" s="163">
        <v>60</v>
      </c>
      <c r="S48" s="167">
        <v>1.8</v>
      </c>
      <c r="T48" s="164" t="s">
        <v>291</v>
      </c>
      <c r="U48" s="164" t="s">
        <v>291</v>
      </c>
      <c r="V48" s="164" t="s">
        <v>291</v>
      </c>
      <c r="W48" s="164" t="s">
        <v>291</v>
      </c>
      <c r="X48" s="164" t="s">
        <v>291</v>
      </c>
      <c r="Y48" s="164" t="s">
        <v>291</v>
      </c>
      <c r="Z48" s="164" t="s">
        <v>291</v>
      </c>
      <c r="AA48" s="164" t="s">
        <v>291</v>
      </c>
      <c r="AB48" s="163">
        <v>102</v>
      </c>
      <c r="AC48" s="165">
        <v>3003</v>
      </c>
      <c r="AD48" s="153" t="s">
        <v>214</v>
      </c>
      <c r="AE48" s="162"/>
      <c r="AF48" s="162"/>
      <c r="AG48" s="134"/>
    </row>
    <row r="49" spans="1:33">
      <c r="A49" s="127" t="str">
        <f>VLOOKUP([1]ListOfRegions!A30,[1]ListOfRegions!A30:B104,2,0)</f>
        <v xml:space="preserve">  Ευρυτανίας</v>
      </c>
      <c r="B49" s="128">
        <v>4</v>
      </c>
      <c r="C49" s="164" t="s">
        <v>291</v>
      </c>
      <c r="D49" s="164" t="s">
        <v>291</v>
      </c>
      <c r="E49" s="164" t="s">
        <v>291</v>
      </c>
      <c r="F49" s="164" t="s">
        <v>291</v>
      </c>
      <c r="G49" s="164" t="s">
        <v>291</v>
      </c>
      <c r="H49" s="164" t="s">
        <v>291</v>
      </c>
      <c r="I49" s="164" t="s">
        <v>291</v>
      </c>
      <c r="J49" s="164" t="s">
        <v>291</v>
      </c>
      <c r="K49" s="164" t="s">
        <v>291</v>
      </c>
      <c r="L49" s="164" t="s">
        <v>291</v>
      </c>
      <c r="M49" s="164" t="s">
        <v>291</v>
      </c>
      <c r="N49" s="166" t="s">
        <v>291</v>
      </c>
      <c r="O49" s="164" t="s">
        <v>291</v>
      </c>
      <c r="P49" s="164" t="s">
        <v>291</v>
      </c>
      <c r="Q49" s="166" t="s">
        <v>291</v>
      </c>
      <c r="R49" s="164" t="s">
        <v>291</v>
      </c>
      <c r="S49" s="168" t="s">
        <v>291</v>
      </c>
      <c r="T49" s="164" t="s">
        <v>291</v>
      </c>
      <c r="U49" s="164" t="s">
        <v>291</v>
      </c>
      <c r="V49" s="164" t="s">
        <v>291</v>
      </c>
      <c r="W49" s="164" t="s">
        <v>291</v>
      </c>
      <c r="X49" s="164" t="s">
        <v>291</v>
      </c>
      <c r="Y49" s="164" t="s">
        <v>291</v>
      </c>
      <c r="Z49" s="164" t="s">
        <v>291</v>
      </c>
      <c r="AA49" s="164" t="s">
        <v>291</v>
      </c>
      <c r="AB49" s="163">
        <v>4</v>
      </c>
      <c r="AC49" s="166" t="s">
        <v>291</v>
      </c>
      <c r="AD49" s="153" t="s">
        <v>215</v>
      </c>
      <c r="AE49" s="162"/>
      <c r="AF49" s="162"/>
      <c r="AG49" s="134"/>
    </row>
    <row r="50" spans="1:33">
      <c r="A50" s="127" t="str">
        <f>VLOOKUP([1]ListOfRegions!A31,[1]ListOfRegions!A31:B105,2,0)</f>
        <v xml:space="preserve">  Φωκίδας</v>
      </c>
      <c r="B50" s="128">
        <v>871</v>
      </c>
      <c r="C50" s="164" t="s">
        <v>291</v>
      </c>
      <c r="D50" s="164" t="s">
        <v>291</v>
      </c>
      <c r="E50" s="163">
        <v>311</v>
      </c>
      <c r="F50" s="163">
        <v>124.4</v>
      </c>
      <c r="G50" s="163">
        <v>560</v>
      </c>
      <c r="H50" s="163">
        <v>112</v>
      </c>
      <c r="I50" s="164" t="s">
        <v>291</v>
      </c>
      <c r="J50" s="164" t="s">
        <v>291</v>
      </c>
      <c r="K50" s="164" t="s">
        <v>291</v>
      </c>
      <c r="L50" s="164" t="s">
        <v>291</v>
      </c>
      <c r="M50" s="164" t="s">
        <v>291</v>
      </c>
      <c r="N50" s="166" t="s">
        <v>291</v>
      </c>
      <c r="O50" s="164" t="s">
        <v>291</v>
      </c>
      <c r="P50" s="164" t="s">
        <v>291</v>
      </c>
      <c r="Q50" s="166" t="s">
        <v>291</v>
      </c>
      <c r="R50" s="164" t="s">
        <v>291</v>
      </c>
      <c r="S50" s="168" t="s">
        <v>291</v>
      </c>
      <c r="T50" s="164" t="s">
        <v>291</v>
      </c>
      <c r="U50" s="164" t="s">
        <v>291</v>
      </c>
      <c r="V50" s="164" t="s">
        <v>291</v>
      </c>
      <c r="W50" s="164" t="s">
        <v>291</v>
      </c>
      <c r="X50" s="164" t="s">
        <v>291</v>
      </c>
      <c r="Y50" s="164" t="s">
        <v>291</v>
      </c>
      <c r="Z50" s="164" t="s">
        <v>291</v>
      </c>
      <c r="AA50" s="164" t="s">
        <v>291</v>
      </c>
      <c r="AB50" s="164" t="s">
        <v>291</v>
      </c>
      <c r="AC50" s="166" t="s">
        <v>291</v>
      </c>
      <c r="AD50" s="153" t="s">
        <v>216</v>
      </c>
      <c r="AE50" s="162"/>
      <c r="AF50" s="162"/>
      <c r="AG50" s="134"/>
    </row>
    <row r="51" spans="1:33">
      <c r="A51" s="212" t="s">
        <v>217</v>
      </c>
      <c r="B51" s="198">
        <v>7</v>
      </c>
      <c r="C51" s="210">
        <v>0</v>
      </c>
      <c r="D51" s="210">
        <v>0</v>
      </c>
      <c r="E51" s="210">
        <v>0</v>
      </c>
      <c r="F51" s="210">
        <v>0</v>
      </c>
      <c r="G51" s="210">
        <v>0</v>
      </c>
      <c r="H51" s="210">
        <v>0</v>
      </c>
      <c r="I51" s="210">
        <v>0</v>
      </c>
      <c r="J51" s="210">
        <v>0</v>
      </c>
      <c r="K51" s="210">
        <v>0</v>
      </c>
      <c r="L51" s="210">
        <v>0</v>
      </c>
      <c r="M51" s="210">
        <v>0</v>
      </c>
      <c r="N51" s="211">
        <v>0</v>
      </c>
      <c r="O51" s="208">
        <v>0</v>
      </c>
      <c r="P51" s="207">
        <v>0</v>
      </c>
      <c r="Q51" s="207">
        <v>0</v>
      </c>
      <c r="R51" s="208">
        <v>6</v>
      </c>
      <c r="S51" s="207">
        <v>0.3</v>
      </c>
      <c r="T51" s="207">
        <v>0</v>
      </c>
      <c r="U51" s="207">
        <v>0</v>
      </c>
      <c r="V51" s="207">
        <v>0</v>
      </c>
      <c r="W51" s="208">
        <v>0</v>
      </c>
      <c r="X51" s="208">
        <v>0</v>
      </c>
      <c r="Y51" s="208">
        <v>0</v>
      </c>
      <c r="Z51" s="208">
        <v>0</v>
      </c>
      <c r="AA51" s="208">
        <v>0</v>
      </c>
      <c r="AB51" s="208">
        <v>1</v>
      </c>
      <c r="AC51" s="207">
        <v>0</v>
      </c>
      <c r="AD51" s="209" t="s">
        <v>218</v>
      </c>
      <c r="AE51" s="195"/>
      <c r="AF51" s="195"/>
      <c r="AG51" s="134"/>
    </row>
    <row r="52" spans="1:33">
      <c r="A52" s="212"/>
      <c r="B52" s="198"/>
      <c r="C52" s="210"/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1"/>
      <c r="O52" s="208"/>
      <c r="P52" s="207"/>
      <c r="Q52" s="207"/>
      <c r="R52" s="208"/>
      <c r="S52" s="207"/>
      <c r="T52" s="207"/>
      <c r="U52" s="207"/>
      <c r="V52" s="207"/>
      <c r="W52" s="208"/>
      <c r="X52" s="208"/>
      <c r="Y52" s="208"/>
      <c r="Z52" s="208"/>
      <c r="AA52" s="208"/>
      <c r="AB52" s="208"/>
      <c r="AC52" s="207"/>
      <c r="AD52" s="209"/>
      <c r="AE52" s="195"/>
      <c r="AF52" s="195"/>
      <c r="AG52" s="134"/>
    </row>
    <row r="53" spans="1:33">
      <c r="A53" s="127" t="str">
        <f>VLOOKUP([1]ListOfRegions!A32,[1]ListOfRegions!A32:B106,2,0)</f>
        <v xml:space="preserve">  Κέρκυρας</v>
      </c>
      <c r="B53" s="128">
        <v>6</v>
      </c>
      <c r="C53" s="164" t="s">
        <v>291</v>
      </c>
      <c r="D53" s="164" t="s">
        <v>291</v>
      </c>
      <c r="E53" s="164" t="s">
        <v>291</v>
      </c>
      <c r="F53" s="164" t="s">
        <v>291</v>
      </c>
      <c r="G53" s="164" t="s">
        <v>291</v>
      </c>
      <c r="H53" s="164" t="s">
        <v>291</v>
      </c>
      <c r="I53" s="164" t="s">
        <v>291</v>
      </c>
      <c r="J53" s="164" t="s">
        <v>291</v>
      </c>
      <c r="K53" s="164" t="s">
        <v>291</v>
      </c>
      <c r="L53" s="164" t="s">
        <v>291</v>
      </c>
      <c r="M53" s="164" t="s">
        <v>291</v>
      </c>
      <c r="N53" s="166" t="s">
        <v>291</v>
      </c>
      <c r="O53" s="164" t="s">
        <v>291</v>
      </c>
      <c r="P53" s="164" t="s">
        <v>291</v>
      </c>
      <c r="Q53" s="166" t="s">
        <v>291</v>
      </c>
      <c r="R53" s="163">
        <v>6</v>
      </c>
      <c r="S53" s="167">
        <v>0.3</v>
      </c>
      <c r="T53" s="164" t="s">
        <v>291</v>
      </c>
      <c r="U53" s="164" t="s">
        <v>291</v>
      </c>
      <c r="V53" s="164" t="s">
        <v>291</v>
      </c>
      <c r="W53" s="164" t="s">
        <v>291</v>
      </c>
      <c r="X53" s="164" t="s">
        <v>291</v>
      </c>
      <c r="Y53" s="164" t="s">
        <v>291</v>
      </c>
      <c r="Z53" s="164" t="s">
        <v>291</v>
      </c>
      <c r="AA53" s="164" t="s">
        <v>291</v>
      </c>
      <c r="AB53" s="164" t="s">
        <v>291</v>
      </c>
      <c r="AC53" s="166" t="s">
        <v>291</v>
      </c>
      <c r="AD53" s="153" t="s">
        <v>219</v>
      </c>
      <c r="AE53" s="162"/>
      <c r="AF53" s="162"/>
      <c r="AG53" s="134"/>
    </row>
    <row r="54" spans="1:33">
      <c r="A54" s="127" t="str">
        <f>VLOOKUP([1]ListOfRegions!A33,[1]ListOfRegions!A33:B107,2,0)</f>
        <v xml:space="preserve">  Ζακύνθου</v>
      </c>
      <c r="B54" s="128">
        <v>0</v>
      </c>
      <c r="C54" s="164" t="s">
        <v>291</v>
      </c>
      <c r="D54" s="164" t="s">
        <v>291</v>
      </c>
      <c r="E54" s="164" t="s">
        <v>291</v>
      </c>
      <c r="F54" s="164" t="s">
        <v>291</v>
      </c>
      <c r="G54" s="164" t="s">
        <v>291</v>
      </c>
      <c r="H54" s="164" t="s">
        <v>291</v>
      </c>
      <c r="I54" s="164" t="s">
        <v>291</v>
      </c>
      <c r="J54" s="164" t="s">
        <v>291</v>
      </c>
      <c r="K54" s="164" t="s">
        <v>291</v>
      </c>
      <c r="L54" s="164" t="s">
        <v>291</v>
      </c>
      <c r="M54" s="164" t="s">
        <v>291</v>
      </c>
      <c r="N54" s="166" t="s">
        <v>291</v>
      </c>
      <c r="O54" s="164" t="s">
        <v>291</v>
      </c>
      <c r="P54" s="164" t="s">
        <v>291</v>
      </c>
      <c r="Q54" s="166" t="s">
        <v>291</v>
      </c>
      <c r="R54" s="164" t="s">
        <v>291</v>
      </c>
      <c r="S54" s="168" t="s">
        <v>291</v>
      </c>
      <c r="T54" s="164" t="s">
        <v>291</v>
      </c>
      <c r="U54" s="164" t="s">
        <v>291</v>
      </c>
      <c r="V54" s="164" t="s">
        <v>291</v>
      </c>
      <c r="W54" s="164" t="s">
        <v>291</v>
      </c>
      <c r="X54" s="164" t="s">
        <v>291</v>
      </c>
      <c r="Y54" s="164" t="s">
        <v>291</v>
      </c>
      <c r="Z54" s="164" t="s">
        <v>291</v>
      </c>
      <c r="AA54" s="164" t="s">
        <v>291</v>
      </c>
      <c r="AB54" s="164" t="s">
        <v>291</v>
      </c>
      <c r="AC54" s="166" t="s">
        <v>291</v>
      </c>
      <c r="AD54" s="153" t="s">
        <v>220</v>
      </c>
      <c r="AE54" s="162"/>
      <c r="AF54" s="162"/>
      <c r="AG54" s="134"/>
    </row>
    <row r="55" spans="1:33">
      <c r="A55" s="127" t="str">
        <f>VLOOKUP([1]ListOfRegions!A34,[1]ListOfRegions!A34:B108,2,0)</f>
        <v xml:space="preserve">  Ιθάκης</v>
      </c>
      <c r="B55" s="128">
        <v>0</v>
      </c>
      <c r="C55" s="164" t="s">
        <v>291</v>
      </c>
      <c r="D55" s="164" t="s">
        <v>291</v>
      </c>
      <c r="E55" s="164" t="s">
        <v>291</v>
      </c>
      <c r="F55" s="164" t="s">
        <v>291</v>
      </c>
      <c r="G55" s="164" t="s">
        <v>291</v>
      </c>
      <c r="H55" s="164" t="s">
        <v>291</v>
      </c>
      <c r="I55" s="164" t="s">
        <v>291</v>
      </c>
      <c r="J55" s="164" t="s">
        <v>291</v>
      </c>
      <c r="K55" s="164" t="s">
        <v>291</v>
      </c>
      <c r="L55" s="164" t="s">
        <v>291</v>
      </c>
      <c r="M55" s="164" t="s">
        <v>291</v>
      </c>
      <c r="N55" s="166" t="s">
        <v>291</v>
      </c>
      <c r="O55" s="164" t="s">
        <v>291</v>
      </c>
      <c r="P55" s="164" t="s">
        <v>291</v>
      </c>
      <c r="Q55" s="166" t="s">
        <v>291</v>
      </c>
      <c r="R55" s="164" t="s">
        <v>291</v>
      </c>
      <c r="S55" s="168" t="s">
        <v>291</v>
      </c>
      <c r="T55" s="164" t="s">
        <v>291</v>
      </c>
      <c r="U55" s="164" t="s">
        <v>291</v>
      </c>
      <c r="V55" s="164" t="s">
        <v>291</v>
      </c>
      <c r="W55" s="164" t="s">
        <v>291</v>
      </c>
      <c r="X55" s="164" t="s">
        <v>291</v>
      </c>
      <c r="Y55" s="164" t="s">
        <v>291</v>
      </c>
      <c r="Z55" s="164" t="s">
        <v>291</v>
      </c>
      <c r="AA55" s="164" t="s">
        <v>291</v>
      </c>
      <c r="AB55" s="164" t="s">
        <v>291</v>
      </c>
      <c r="AC55" s="166" t="s">
        <v>291</v>
      </c>
      <c r="AD55" s="153" t="s">
        <v>221</v>
      </c>
      <c r="AE55" s="162"/>
      <c r="AF55" s="162"/>
      <c r="AG55" s="134"/>
    </row>
    <row r="56" spans="1:33">
      <c r="A56" s="127" t="str">
        <f>VLOOKUP([1]ListOfRegions!A35,[1]ListOfRegions!A35:B109,2,0)</f>
        <v xml:space="preserve">  Κεφαλληνίας</v>
      </c>
      <c r="B56" s="128">
        <v>1</v>
      </c>
      <c r="C56" s="164" t="s">
        <v>291</v>
      </c>
      <c r="D56" s="164" t="s">
        <v>291</v>
      </c>
      <c r="E56" s="164" t="s">
        <v>291</v>
      </c>
      <c r="F56" s="164" t="s">
        <v>291</v>
      </c>
      <c r="G56" s="164" t="s">
        <v>291</v>
      </c>
      <c r="H56" s="164" t="s">
        <v>291</v>
      </c>
      <c r="I56" s="164" t="s">
        <v>291</v>
      </c>
      <c r="J56" s="164" t="s">
        <v>291</v>
      </c>
      <c r="K56" s="164" t="s">
        <v>291</v>
      </c>
      <c r="L56" s="164" t="s">
        <v>291</v>
      </c>
      <c r="M56" s="164" t="s">
        <v>291</v>
      </c>
      <c r="N56" s="166" t="s">
        <v>291</v>
      </c>
      <c r="O56" s="164" t="s">
        <v>291</v>
      </c>
      <c r="P56" s="164" t="s">
        <v>291</v>
      </c>
      <c r="Q56" s="166" t="s">
        <v>291</v>
      </c>
      <c r="R56" s="164" t="s">
        <v>291</v>
      </c>
      <c r="S56" s="168" t="s">
        <v>291</v>
      </c>
      <c r="T56" s="164" t="s">
        <v>291</v>
      </c>
      <c r="U56" s="164" t="s">
        <v>291</v>
      </c>
      <c r="V56" s="164" t="s">
        <v>291</v>
      </c>
      <c r="W56" s="164" t="s">
        <v>291</v>
      </c>
      <c r="X56" s="164" t="s">
        <v>291</v>
      </c>
      <c r="Y56" s="164" t="s">
        <v>291</v>
      </c>
      <c r="Z56" s="164" t="s">
        <v>291</v>
      </c>
      <c r="AA56" s="164" t="s">
        <v>291</v>
      </c>
      <c r="AB56" s="163">
        <v>1</v>
      </c>
      <c r="AC56" s="166" t="s">
        <v>291</v>
      </c>
      <c r="AD56" s="153" t="s">
        <v>222</v>
      </c>
      <c r="AE56" s="162"/>
      <c r="AF56" s="162"/>
      <c r="AG56" s="134"/>
    </row>
    <row r="57" spans="1:33">
      <c r="A57" s="127" t="str">
        <f>VLOOKUP([1]ListOfRegions!A36,[1]ListOfRegions!A36:B110,2,0)</f>
        <v xml:space="preserve">  Λευκάδας</v>
      </c>
      <c r="B57" s="128">
        <v>0</v>
      </c>
      <c r="C57" s="164" t="s">
        <v>291</v>
      </c>
      <c r="D57" s="164" t="s">
        <v>291</v>
      </c>
      <c r="E57" s="164" t="s">
        <v>291</v>
      </c>
      <c r="F57" s="164" t="s">
        <v>291</v>
      </c>
      <c r="G57" s="164" t="s">
        <v>291</v>
      </c>
      <c r="H57" s="164" t="s">
        <v>291</v>
      </c>
      <c r="I57" s="164" t="s">
        <v>291</v>
      </c>
      <c r="J57" s="164" t="s">
        <v>291</v>
      </c>
      <c r="K57" s="164" t="s">
        <v>291</v>
      </c>
      <c r="L57" s="164" t="s">
        <v>291</v>
      </c>
      <c r="M57" s="164" t="s">
        <v>291</v>
      </c>
      <c r="N57" s="166" t="s">
        <v>291</v>
      </c>
      <c r="O57" s="164" t="s">
        <v>291</v>
      </c>
      <c r="P57" s="164" t="s">
        <v>291</v>
      </c>
      <c r="Q57" s="166" t="s">
        <v>291</v>
      </c>
      <c r="R57" s="164" t="s">
        <v>291</v>
      </c>
      <c r="S57" s="168" t="s">
        <v>291</v>
      </c>
      <c r="T57" s="164" t="s">
        <v>291</v>
      </c>
      <c r="U57" s="164" t="s">
        <v>291</v>
      </c>
      <c r="V57" s="164" t="s">
        <v>291</v>
      </c>
      <c r="W57" s="164" t="s">
        <v>291</v>
      </c>
      <c r="X57" s="164" t="s">
        <v>291</v>
      </c>
      <c r="Y57" s="164" t="s">
        <v>291</v>
      </c>
      <c r="Z57" s="164" t="s">
        <v>291</v>
      </c>
      <c r="AA57" s="164" t="s">
        <v>291</v>
      </c>
      <c r="AB57" s="164" t="s">
        <v>291</v>
      </c>
      <c r="AC57" s="166" t="s">
        <v>291</v>
      </c>
      <c r="AD57" s="153" t="s">
        <v>223</v>
      </c>
      <c r="AE57" s="162"/>
      <c r="AF57" s="162"/>
      <c r="AG57" s="134"/>
    </row>
    <row r="58" spans="1:33">
      <c r="A58" s="212" t="s">
        <v>224</v>
      </c>
      <c r="B58" s="198">
        <v>76180</v>
      </c>
      <c r="C58" s="210">
        <v>361</v>
      </c>
      <c r="D58" s="210">
        <v>140.63</v>
      </c>
      <c r="E58" s="210">
        <v>428</v>
      </c>
      <c r="F58" s="210">
        <v>174.5</v>
      </c>
      <c r="G58" s="210">
        <v>68550</v>
      </c>
      <c r="H58" s="210">
        <v>25221.599999999999</v>
      </c>
      <c r="I58" s="210">
        <v>5060</v>
      </c>
      <c r="J58" s="210">
        <v>1558</v>
      </c>
      <c r="K58" s="210">
        <v>1</v>
      </c>
      <c r="L58" s="210">
        <v>0.28000000000000003</v>
      </c>
      <c r="M58" s="210">
        <v>0</v>
      </c>
      <c r="N58" s="211">
        <v>0</v>
      </c>
      <c r="O58" s="208">
        <v>0</v>
      </c>
      <c r="P58" s="207">
        <v>0</v>
      </c>
      <c r="Q58" s="207">
        <v>0</v>
      </c>
      <c r="R58" s="208">
        <v>1017</v>
      </c>
      <c r="S58" s="207">
        <v>312.3</v>
      </c>
      <c r="T58" s="207">
        <v>0</v>
      </c>
      <c r="U58" s="207">
        <v>0</v>
      </c>
      <c r="V58" s="207">
        <v>0</v>
      </c>
      <c r="W58" s="208">
        <v>0</v>
      </c>
      <c r="X58" s="208">
        <v>0</v>
      </c>
      <c r="Y58" s="208">
        <v>0</v>
      </c>
      <c r="Z58" s="208">
        <v>0</v>
      </c>
      <c r="AA58" s="208">
        <v>0</v>
      </c>
      <c r="AB58" s="208">
        <v>63</v>
      </c>
      <c r="AC58" s="207">
        <v>700</v>
      </c>
      <c r="AD58" s="209" t="s">
        <v>225</v>
      </c>
      <c r="AE58" s="195"/>
      <c r="AF58" s="195"/>
      <c r="AG58" s="134"/>
    </row>
    <row r="59" spans="1:33">
      <c r="A59" s="212"/>
      <c r="B59" s="213"/>
      <c r="C59" s="210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1"/>
      <c r="O59" s="208"/>
      <c r="P59" s="207"/>
      <c r="Q59" s="207"/>
      <c r="R59" s="208"/>
      <c r="S59" s="207"/>
      <c r="T59" s="207"/>
      <c r="U59" s="207"/>
      <c r="V59" s="207"/>
      <c r="W59" s="208"/>
      <c r="X59" s="208"/>
      <c r="Y59" s="208"/>
      <c r="Z59" s="208"/>
      <c r="AA59" s="208"/>
      <c r="AB59" s="208"/>
      <c r="AC59" s="207"/>
      <c r="AD59" s="209"/>
      <c r="AE59" s="195"/>
      <c r="AF59" s="195"/>
      <c r="AG59" s="134"/>
    </row>
    <row r="60" spans="1:33">
      <c r="A60" s="127" t="str">
        <f>VLOOKUP([1]ListOfRegions!A37,[1]ListOfRegions!A37:B111,2,0)</f>
        <v xml:space="preserve">  Αχαϊας</v>
      </c>
      <c r="B60" s="128">
        <v>754</v>
      </c>
      <c r="C60" s="163">
        <v>34</v>
      </c>
      <c r="D60" s="163">
        <v>10.1</v>
      </c>
      <c r="E60" s="164" t="s">
        <v>291</v>
      </c>
      <c r="F60" s="164" t="s">
        <v>291</v>
      </c>
      <c r="G60" s="164" t="s">
        <v>291</v>
      </c>
      <c r="H60" s="164" t="s">
        <v>291</v>
      </c>
      <c r="I60" s="164" t="s">
        <v>291</v>
      </c>
      <c r="J60" s="164" t="s">
        <v>291</v>
      </c>
      <c r="K60" s="164" t="s">
        <v>291</v>
      </c>
      <c r="L60" s="164" t="s">
        <v>291</v>
      </c>
      <c r="M60" s="164" t="s">
        <v>291</v>
      </c>
      <c r="N60" s="166" t="s">
        <v>291</v>
      </c>
      <c r="O60" s="164" t="s">
        <v>291</v>
      </c>
      <c r="P60" s="164" t="s">
        <v>291</v>
      </c>
      <c r="Q60" s="166" t="s">
        <v>291</v>
      </c>
      <c r="R60" s="164" t="s">
        <v>291</v>
      </c>
      <c r="S60" s="168" t="s">
        <v>291</v>
      </c>
      <c r="T60" s="164" t="s">
        <v>291</v>
      </c>
      <c r="U60" s="164" t="s">
        <v>291</v>
      </c>
      <c r="V60" s="164" t="s">
        <v>291</v>
      </c>
      <c r="W60" s="164" t="s">
        <v>291</v>
      </c>
      <c r="X60" s="164" t="s">
        <v>291</v>
      </c>
      <c r="Y60" s="164" t="s">
        <v>291</v>
      </c>
      <c r="Z60" s="164" t="s">
        <v>291</v>
      </c>
      <c r="AA60" s="164" t="s">
        <v>291</v>
      </c>
      <c r="AB60" s="163">
        <v>20</v>
      </c>
      <c r="AC60" s="165">
        <v>700</v>
      </c>
      <c r="AD60" s="153" t="s">
        <v>226</v>
      </c>
      <c r="AE60" s="162"/>
      <c r="AF60" s="162"/>
      <c r="AG60" s="134"/>
    </row>
    <row r="61" spans="1:33">
      <c r="A61" s="127" t="str">
        <f>VLOOKUP([1]ListOfRegions!A38,[1]ListOfRegions!A38:B112,2,0)</f>
        <v xml:space="preserve">  Αιτωλ/νανίας</v>
      </c>
      <c r="B61" s="128">
        <v>51349</v>
      </c>
      <c r="C61" s="163">
        <v>327</v>
      </c>
      <c r="D61" s="163">
        <v>130.53</v>
      </c>
      <c r="E61" s="163">
        <v>428</v>
      </c>
      <c r="F61" s="163">
        <v>174.5</v>
      </c>
      <c r="G61" s="163">
        <v>50550</v>
      </c>
      <c r="H61" s="163">
        <v>18686.099999999999</v>
      </c>
      <c r="I61" s="164" t="s">
        <v>291</v>
      </c>
      <c r="J61" s="164" t="s">
        <v>291</v>
      </c>
      <c r="K61" s="163">
        <v>1</v>
      </c>
      <c r="L61" s="163">
        <v>0.28000000000000003</v>
      </c>
      <c r="M61" s="164" t="s">
        <v>291</v>
      </c>
      <c r="N61" s="166" t="s">
        <v>291</v>
      </c>
      <c r="O61" s="164" t="s">
        <v>291</v>
      </c>
      <c r="P61" s="164" t="s">
        <v>291</v>
      </c>
      <c r="Q61" s="166" t="s">
        <v>291</v>
      </c>
      <c r="R61" s="164" t="s">
        <v>291</v>
      </c>
      <c r="S61" s="168" t="s">
        <v>291</v>
      </c>
      <c r="T61" s="164" t="s">
        <v>291</v>
      </c>
      <c r="U61" s="164" t="s">
        <v>291</v>
      </c>
      <c r="V61" s="164" t="s">
        <v>291</v>
      </c>
      <c r="W61" s="164" t="s">
        <v>291</v>
      </c>
      <c r="X61" s="164" t="s">
        <v>291</v>
      </c>
      <c r="Y61" s="164" t="s">
        <v>291</v>
      </c>
      <c r="Z61" s="164" t="s">
        <v>291</v>
      </c>
      <c r="AA61" s="164" t="s">
        <v>291</v>
      </c>
      <c r="AB61" s="163">
        <v>43</v>
      </c>
      <c r="AC61" s="166" t="s">
        <v>291</v>
      </c>
      <c r="AD61" s="153" t="s">
        <v>227</v>
      </c>
      <c r="AE61" s="162"/>
      <c r="AF61" s="162"/>
      <c r="AG61" s="134"/>
    </row>
    <row r="62" spans="1:33">
      <c r="A62" s="127" t="str">
        <f>VLOOKUP([1]ListOfRegions!A39,[1]ListOfRegions!A39:B113,2,0)</f>
        <v xml:space="preserve">  Ηλείας</v>
      </c>
      <c r="B62" s="128">
        <v>24077</v>
      </c>
      <c r="C62" s="164" t="s">
        <v>291</v>
      </c>
      <c r="D62" s="164" t="s">
        <v>291</v>
      </c>
      <c r="E62" s="164" t="s">
        <v>291</v>
      </c>
      <c r="F62" s="164" t="s">
        <v>291</v>
      </c>
      <c r="G62" s="163">
        <v>18000</v>
      </c>
      <c r="H62" s="163">
        <v>6535.5</v>
      </c>
      <c r="I62" s="163">
        <v>5060</v>
      </c>
      <c r="J62" s="163">
        <v>1558</v>
      </c>
      <c r="K62" s="164" t="s">
        <v>291</v>
      </c>
      <c r="L62" s="164" t="s">
        <v>291</v>
      </c>
      <c r="M62" s="164" t="s">
        <v>291</v>
      </c>
      <c r="N62" s="166" t="s">
        <v>291</v>
      </c>
      <c r="O62" s="164" t="s">
        <v>291</v>
      </c>
      <c r="P62" s="164" t="s">
        <v>291</v>
      </c>
      <c r="Q62" s="166" t="s">
        <v>291</v>
      </c>
      <c r="R62" s="163">
        <v>1017</v>
      </c>
      <c r="S62" s="167">
        <v>312.3</v>
      </c>
      <c r="T62" s="164" t="s">
        <v>291</v>
      </c>
      <c r="U62" s="164" t="s">
        <v>291</v>
      </c>
      <c r="V62" s="164" t="s">
        <v>291</v>
      </c>
      <c r="W62" s="164" t="s">
        <v>291</v>
      </c>
      <c r="X62" s="164" t="s">
        <v>291</v>
      </c>
      <c r="Y62" s="164" t="s">
        <v>291</v>
      </c>
      <c r="Z62" s="164" t="s">
        <v>291</v>
      </c>
      <c r="AA62" s="164" t="s">
        <v>291</v>
      </c>
      <c r="AB62" s="164" t="s">
        <v>291</v>
      </c>
      <c r="AC62" s="166" t="s">
        <v>291</v>
      </c>
      <c r="AD62" s="153" t="s">
        <v>228</v>
      </c>
      <c r="AE62" s="162"/>
      <c r="AF62" s="162"/>
      <c r="AG62" s="134"/>
    </row>
    <row r="63" spans="1:33">
      <c r="A63" s="212" t="s">
        <v>229</v>
      </c>
      <c r="B63" s="198">
        <v>2558</v>
      </c>
      <c r="C63" s="210">
        <v>0</v>
      </c>
      <c r="D63" s="210">
        <v>0</v>
      </c>
      <c r="E63" s="210">
        <v>0</v>
      </c>
      <c r="F63" s="210">
        <v>0</v>
      </c>
      <c r="G63" s="210">
        <v>0</v>
      </c>
      <c r="H63" s="210">
        <v>0</v>
      </c>
      <c r="I63" s="210">
        <v>0</v>
      </c>
      <c r="J63" s="210">
        <v>0</v>
      </c>
      <c r="K63" s="210">
        <v>0</v>
      </c>
      <c r="L63" s="210">
        <v>0</v>
      </c>
      <c r="M63" s="210">
        <v>100</v>
      </c>
      <c r="N63" s="211">
        <v>20</v>
      </c>
      <c r="O63" s="208">
        <v>3</v>
      </c>
      <c r="P63" s="207">
        <v>1</v>
      </c>
      <c r="Q63" s="207">
        <v>0</v>
      </c>
      <c r="R63" s="208">
        <v>2437</v>
      </c>
      <c r="S63" s="207">
        <v>952.5</v>
      </c>
      <c r="T63" s="207">
        <v>0</v>
      </c>
      <c r="U63" s="207">
        <v>0</v>
      </c>
      <c r="V63" s="207">
        <v>0</v>
      </c>
      <c r="W63" s="208">
        <v>0</v>
      </c>
      <c r="X63" s="208">
        <v>0</v>
      </c>
      <c r="Y63" s="208">
        <v>0</v>
      </c>
      <c r="Z63" s="208">
        <v>0</v>
      </c>
      <c r="AA63" s="208">
        <v>0</v>
      </c>
      <c r="AB63" s="208">
        <v>18</v>
      </c>
      <c r="AC63" s="207">
        <v>0</v>
      </c>
      <c r="AD63" s="209" t="s">
        <v>230</v>
      </c>
      <c r="AE63" s="195"/>
      <c r="AF63" s="195"/>
      <c r="AG63" s="134"/>
    </row>
    <row r="64" spans="1:33">
      <c r="A64" s="212"/>
      <c r="B64" s="213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1"/>
      <c r="O64" s="208"/>
      <c r="P64" s="207"/>
      <c r="Q64" s="207"/>
      <c r="R64" s="208"/>
      <c r="S64" s="207"/>
      <c r="T64" s="207"/>
      <c r="U64" s="207"/>
      <c r="V64" s="207"/>
      <c r="W64" s="208"/>
      <c r="X64" s="208"/>
      <c r="Y64" s="208"/>
      <c r="Z64" s="208"/>
      <c r="AA64" s="208"/>
      <c r="AB64" s="208"/>
      <c r="AC64" s="207"/>
      <c r="AD64" s="209"/>
      <c r="AE64" s="195"/>
      <c r="AF64" s="195"/>
      <c r="AG64" s="134"/>
    </row>
    <row r="65" spans="1:33">
      <c r="A65" s="127" t="str">
        <f>VLOOKUP([1]ListOfRegions!A40,[1]ListOfRegions!A40:B114,2,0)</f>
        <v xml:space="preserve">  Αρκαδίας</v>
      </c>
      <c r="B65" s="128">
        <v>108</v>
      </c>
      <c r="C65" s="164" t="s">
        <v>291</v>
      </c>
      <c r="D65" s="164" t="s">
        <v>291</v>
      </c>
      <c r="E65" s="164" t="s">
        <v>291</v>
      </c>
      <c r="F65" s="164" t="s">
        <v>291</v>
      </c>
      <c r="G65" s="164" t="s">
        <v>291</v>
      </c>
      <c r="H65" s="164" t="s">
        <v>291</v>
      </c>
      <c r="I65" s="164" t="s">
        <v>291</v>
      </c>
      <c r="J65" s="164" t="s">
        <v>291</v>
      </c>
      <c r="K65" s="164" t="s">
        <v>291</v>
      </c>
      <c r="L65" s="164" t="s">
        <v>291</v>
      </c>
      <c r="M65" s="163">
        <v>100</v>
      </c>
      <c r="N65" s="165">
        <v>20</v>
      </c>
      <c r="O65" s="163">
        <v>3</v>
      </c>
      <c r="P65" s="163">
        <v>1</v>
      </c>
      <c r="Q65" s="166" t="s">
        <v>291</v>
      </c>
      <c r="R65" s="164" t="s">
        <v>291</v>
      </c>
      <c r="S65" s="168" t="s">
        <v>291</v>
      </c>
      <c r="T65" s="164" t="s">
        <v>291</v>
      </c>
      <c r="U65" s="164" t="s">
        <v>291</v>
      </c>
      <c r="V65" s="164" t="s">
        <v>291</v>
      </c>
      <c r="W65" s="164" t="s">
        <v>291</v>
      </c>
      <c r="X65" s="164" t="s">
        <v>291</v>
      </c>
      <c r="Y65" s="164" t="s">
        <v>291</v>
      </c>
      <c r="Z65" s="164" t="s">
        <v>291</v>
      </c>
      <c r="AA65" s="164" t="s">
        <v>291</v>
      </c>
      <c r="AB65" s="163">
        <v>5</v>
      </c>
      <c r="AC65" s="166" t="s">
        <v>291</v>
      </c>
      <c r="AD65" s="153" t="s">
        <v>231</v>
      </c>
      <c r="AE65" s="162"/>
      <c r="AF65" s="162"/>
      <c r="AG65" s="134"/>
    </row>
    <row r="66" spans="1:33">
      <c r="A66" s="127" t="str">
        <f>VLOOKUP([1]ListOfRegions!A41,[1]ListOfRegions!A41:B115,2,0)</f>
        <v xml:space="preserve">  Αργολίδας</v>
      </c>
      <c r="B66" s="128">
        <v>0</v>
      </c>
      <c r="C66" s="164" t="s">
        <v>291</v>
      </c>
      <c r="D66" s="164" t="s">
        <v>291</v>
      </c>
      <c r="E66" s="164" t="s">
        <v>291</v>
      </c>
      <c r="F66" s="164" t="s">
        <v>291</v>
      </c>
      <c r="G66" s="164" t="s">
        <v>291</v>
      </c>
      <c r="H66" s="164" t="s">
        <v>291</v>
      </c>
      <c r="I66" s="164" t="s">
        <v>291</v>
      </c>
      <c r="J66" s="164" t="s">
        <v>291</v>
      </c>
      <c r="K66" s="164" t="s">
        <v>291</v>
      </c>
      <c r="L66" s="164" t="s">
        <v>291</v>
      </c>
      <c r="M66" s="164" t="s">
        <v>291</v>
      </c>
      <c r="N66" s="166" t="s">
        <v>291</v>
      </c>
      <c r="O66" s="164" t="s">
        <v>291</v>
      </c>
      <c r="P66" s="164" t="s">
        <v>291</v>
      </c>
      <c r="Q66" s="166" t="s">
        <v>291</v>
      </c>
      <c r="R66" s="164" t="s">
        <v>291</v>
      </c>
      <c r="S66" s="168" t="s">
        <v>291</v>
      </c>
      <c r="T66" s="164" t="s">
        <v>291</v>
      </c>
      <c r="U66" s="164" t="s">
        <v>291</v>
      </c>
      <c r="V66" s="164" t="s">
        <v>291</v>
      </c>
      <c r="W66" s="164" t="s">
        <v>291</v>
      </c>
      <c r="X66" s="164" t="s">
        <v>291</v>
      </c>
      <c r="Y66" s="164" t="s">
        <v>291</v>
      </c>
      <c r="Z66" s="164" t="s">
        <v>291</v>
      </c>
      <c r="AA66" s="164" t="s">
        <v>291</v>
      </c>
      <c r="AB66" s="164" t="s">
        <v>291</v>
      </c>
      <c r="AC66" s="166" t="s">
        <v>291</v>
      </c>
      <c r="AD66" s="153" t="s">
        <v>232</v>
      </c>
      <c r="AE66" s="162"/>
      <c r="AF66" s="162"/>
      <c r="AG66" s="134"/>
    </row>
    <row r="67" spans="1:33">
      <c r="A67" s="127" t="str">
        <f>VLOOKUP([1]ListOfRegions!A42,[1]ListOfRegions!A42:B116,2,0)</f>
        <v xml:space="preserve">  Κορινθίας</v>
      </c>
      <c r="B67" s="128">
        <v>7</v>
      </c>
      <c r="C67" s="164" t="s">
        <v>291</v>
      </c>
      <c r="D67" s="164" t="s">
        <v>291</v>
      </c>
      <c r="E67" s="164" t="s">
        <v>291</v>
      </c>
      <c r="F67" s="164" t="s">
        <v>291</v>
      </c>
      <c r="G67" s="164" t="s">
        <v>291</v>
      </c>
      <c r="H67" s="164" t="s">
        <v>291</v>
      </c>
      <c r="I67" s="164" t="s">
        <v>291</v>
      </c>
      <c r="J67" s="164" t="s">
        <v>291</v>
      </c>
      <c r="K67" s="164" t="s">
        <v>291</v>
      </c>
      <c r="L67" s="164" t="s">
        <v>291</v>
      </c>
      <c r="M67" s="164" t="s">
        <v>291</v>
      </c>
      <c r="N67" s="166" t="s">
        <v>291</v>
      </c>
      <c r="O67" s="164" t="s">
        <v>291</v>
      </c>
      <c r="P67" s="164" t="s">
        <v>291</v>
      </c>
      <c r="Q67" s="166" t="s">
        <v>291</v>
      </c>
      <c r="R67" s="164" t="s">
        <v>291</v>
      </c>
      <c r="S67" s="168" t="s">
        <v>291</v>
      </c>
      <c r="T67" s="164" t="s">
        <v>291</v>
      </c>
      <c r="U67" s="164" t="s">
        <v>291</v>
      </c>
      <c r="V67" s="164" t="s">
        <v>291</v>
      </c>
      <c r="W67" s="164" t="s">
        <v>291</v>
      </c>
      <c r="X67" s="164" t="s">
        <v>291</v>
      </c>
      <c r="Y67" s="164" t="s">
        <v>291</v>
      </c>
      <c r="Z67" s="164" t="s">
        <v>291</v>
      </c>
      <c r="AA67" s="164" t="s">
        <v>291</v>
      </c>
      <c r="AB67" s="163">
        <v>7</v>
      </c>
      <c r="AC67" s="166" t="s">
        <v>291</v>
      </c>
      <c r="AD67" s="153" t="s">
        <v>233</v>
      </c>
      <c r="AE67" s="162"/>
      <c r="AF67" s="162"/>
      <c r="AG67" s="134"/>
    </row>
    <row r="68" spans="1:33">
      <c r="A68" s="127" t="str">
        <f>VLOOKUP([1]ListOfRegions!A43,[1]ListOfRegions!A43:B117,2,0)</f>
        <v xml:space="preserve">  Λακωνίας</v>
      </c>
      <c r="B68" s="128">
        <v>51</v>
      </c>
      <c r="C68" s="164" t="s">
        <v>291</v>
      </c>
      <c r="D68" s="164" t="s">
        <v>291</v>
      </c>
      <c r="E68" s="164" t="s">
        <v>291</v>
      </c>
      <c r="F68" s="164" t="s">
        <v>291</v>
      </c>
      <c r="G68" s="164" t="s">
        <v>291</v>
      </c>
      <c r="H68" s="164" t="s">
        <v>291</v>
      </c>
      <c r="I68" s="164" t="s">
        <v>291</v>
      </c>
      <c r="J68" s="164" t="s">
        <v>291</v>
      </c>
      <c r="K68" s="164" t="s">
        <v>291</v>
      </c>
      <c r="L68" s="164" t="s">
        <v>291</v>
      </c>
      <c r="M68" s="164" t="s">
        <v>291</v>
      </c>
      <c r="N68" s="166" t="s">
        <v>291</v>
      </c>
      <c r="O68" s="164" t="s">
        <v>291</v>
      </c>
      <c r="P68" s="164" t="s">
        <v>291</v>
      </c>
      <c r="Q68" s="166" t="s">
        <v>291</v>
      </c>
      <c r="R68" s="163">
        <v>47</v>
      </c>
      <c r="S68" s="167">
        <v>19.5</v>
      </c>
      <c r="T68" s="164" t="s">
        <v>291</v>
      </c>
      <c r="U68" s="164" t="s">
        <v>291</v>
      </c>
      <c r="V68" s="164" t="s">
        <v>291</v>
      </c>
      <c r="W68" s="164" t="s">
        <v>291</v>
      </c>
      <c r="X68" s="164" t="s">
        <v>291</v>
      </c>
      <c r="Y68" s="164" t="s">
        <v>291</v>
      </c>
      <c r="Z68" s="164" t="s">
        <v>291</v>
      </c>
      <c r="AA68" s="164" t="s">
        <v>291</v>
      </c>
      <c r="AB68" s="163">
        <v>4</v>
      </c>
      <c r="AC68" s="166" t="s">
        <v>291</v>
      </c>
      <c r="AD68" s="153" t="s">
        <v>234</v>
      </c>
      <c r="AE68" s="162"/>
      <c r="AF68" s="162"/>
      <c r="AG68" s="134"/>
    </row>
    <row r="69" spans="1:33">
      <c r="A69" s="127" t="str">
        <f>VLOOKUP([1]ListOfRegions!A44,[1]ListOfRegions!A44:B118,2,0)</f>
        <v xml:space="preserve">  Μεσσηνίας</v>
      </c>
      <c r="B69" s="128">
        <v>2392</v>
      </c>
      <c r="C69" s="164" t="s">
        <v>291</v>
      </c>
      <c r="D69" s="164" t="s">
        <v>291</v>
      </c>
      <c r="E69" s="164" t="s">
        <v>291</v>
      </c>
      <c r="F69" s="164" t="s">
        <v>291</v>
      </c>
      <c r="G69" s="164" t="s">
        <v>291</v>
      </c>
      <c r="H69" s="164" t="s">
        <v>291</v>
      </c>
      <c r="I69" s="164" t="s">
        <v>291</v>
      </c>
      <c r="J69" s="164" t="s">
        <v>291</v>
      </c>
      <c r="K69" s="164" t="s">
        <v>291</v>
      </c>
      <c r="L69" s="164" t="s">
        <v>291</v>
      </c>
      <c r="M69" s="164" t="s">
        <v>291</v>
      </c>
      <c r="N69" s="166" t="s">
        <v>291</v>
      </c>
      <c r="O69" s="164" t="s">
        <v>291</v>
      </c>
      <c r="P69" s="164" t="s">
        <v>291</v>
      </c>
      <c r="Q69" s="166" t="s">
        <v>291</v>
      </c>
      <c r="R69" s="163">
        <v>2390</v>
      </c>
      <c r="S69" s="167">
        <v>933</v>
      </c>
      <c r="T69" s="164" t="s">
        <v>291</v>
      </c>
      <c r="U69" s="164" t="s">
        <v>291</v>
      </c>
      <c r="V69" s="164" t="s">
        <v>291</v>
      </c>
      <c r="W69" s="164" t="s">
        <v>291</v>
      </c>
      <c r="X69" s="164" t="s">
        <v>291</v>
      </c>
      <c r="Y69" s="164" t="s">
        <v>291</v>
      </c>
      <c r="Z69" s="164" t="s">
        <v>291</v>
      </c>
      <c r="AA69" s="164" t="s">
        <v>291</v>
      </c>
      <c r="AB69" s="163">
        <v>2</v>
      </c>
      <c r="AC69" s="166" t="s">
        <v>291</v>
      </c>
      <c r="AD69" s="153" t="s">
        <v>235</v>
      </c>
      <c r="AE69" s="162"/>
      <c r="AF69" s="162"/>
      <c r="AG69" s="134"/>
    </row>
    <row r="70" spans="1:33">
      <c r="A70" s="212" t="s">
        <v>236</v>
      </c>
      <c r="B70" s="198">
        <v>8196</v>
      </c>
      <c r="C70" s="210">
        <v>0</v>
      </c>
      <c r="D70" s="210">
        <v>0</v>
      </c>
      <c r="E70" s="210">
        <v>0</v>
      </c>
      <c r="F70" s="210">
        <v>0</v>
      </c>
      <c r="G70" s="210">
        <v>1000</v>
      </c>
      <c r="H70" s="210">
        <v>320</v>
      </c>
      <c r="I70" s="210">
        <v>7196</v>
      </c>
      <c r="J70" s="210">
        <v>1439.2</v>
      </c>
      <c r="K70" s="210">
        <v>0</v>
      </c>
      <c r="L70" s="210">
        <v>0</v>
      </c>
      <c r="M70" s="210">
        <v>0</v>
      </c>
      <c r="N70" s="211">
        <v>0</v>
      </c>
      <c r="O70" s="208">
        <v>0</v>
      </c>
      <c r="P70" s="207">
        <v>0</v>
      </c>
      <c r="Q70" s="207">
        <v>0</v>
      </c>
      <c r="R70" s="208">
        <v>0</v>
      </c>
      <c r="S70" s="207">
        <v>0</v>
      </c>
      <c r="T70" s="207">
        <v>0</v>
      </c>
      <c r="U70" s="207">
        <v>0</v>
      </c>
      <c r="V70" s="207">
        <v>0</v>
      </c>
      <c r="W70" s="208">
        <v>0</v>
      </c>
      <c r="X70" s="208">
        <v>0</v>
      </c>
      <c r="Y70" s="208">
        <v>0</v>
      </c>
      <c r="Z70" s="208">
        <v>0</v>
      </c>
      <c r="AA70" s="208">
        <v>0</v>
      </c>
      <c r="AB70" s="208">
        <v>0</v>
      </c>
      <c r="AC70" s="207">
        <v>0</v>
      </c>
      <c r="AD70" s="209" t="s">
        <v>237</v>
      </c>
      <c r="AE70" s="195"/>
      <c r="AF70" s="195"/>
      <c r="AG70" s="134"/>
    </row>
    <row r="71" spans="1:33">
      <c r="A71" s="212"/>
      <c r="B71" s="213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1"/>
      <c r="O71" s="208"/>
      <c r="P71" s="207"/>
      <c r="Q71" s="207"/>
      <c r="R71" s="208"/>
      <c r="S71" s="207"/>
      <c r="T71" s="207"/>
      <c r="U71" s="207"/>
      <c r="V71" s="207"/>
      <c r="W71" s="208"/>
      <c r="X71" s="208"/>
      <c r="Y71" s="208"/>
      <c r="Z71" s="208"/>
      <c r="AA71" s="208"/>
      <c r="AB71" s="208"/>
      <c r="AC71" s="207"/>
      <c r="AD71" s="209"/>
      <c r="AE71" s="195"/>
      <c r="AF71" s="195"/>
      <c r="AG71" s="134"/>
    </row>
    <row r="72" spans="1:33" ht="20.399999999999999">
      <c r="A72" s="127" t="str">
        <f>VLOOKUP([1]ListOfRegions!A45,[1]ListOfRegions!A45:B119,2,0)</f>
        <v xml:space="preserve">  Κεντρικού Τομέα Αθηνών</v>
      </c>
      <c r="B72" s="128">
        <v>0</v>
      </c>
      <c r="C72" s="164" t="s">
        <v>291</v>
      </c>
      <c r="D72" s="164" t="s">
        <v>291</v>
      </c>
      <c r="E72" s="164" t="s">
        <v>291</v>
      </c>
      <c r="F72" s="164" t="s">
        <v>291</v>
      </c>
      <c r="G72" s="164" t="s">
        <v>291</v>
      </c>
      <c r="H72" s="164" t="s">
        <v>291</v>
      </c>
      <c r="I72" s="164" t="s">
        <v>291</v>
      </c>
      <c r="J72" s="164" t="s">
        <v>291</v>
      </c>
      <c r="K72" s="164" t="s">
        <v>291</v>
      </c>
      <c r="L72" s="164" t="s">
        <v>291</v>
      </c>
      <c r="M72" s="164" t="s">
        <v>291</v>
      </c>
      <c r="N72" s="166" t="s">
        <v>291</v>
      </c>
      <c r="O72" s="164" t="s">
        <v>291</v>
      </c>
      <c r="P72" s="164" t="s">
        <v>291</v>
      </c>
      <c r="Q72" s="166" t="s">
        <v>291</v>
      </c>
      <c r="R72" s="164" t="s">
        <v>291</v>
      </c>
      <c r="S72" s="168" t="s">
        <v>291</v>
      </c>
      <c r="T72" s="164" t="s">
        <v>291</v>
      </c>
      <c r="U72" s="164" t="s">
        <v>291</v>
      </c>
      <c r="V72" s="164" t="s">
        <v>291</v>
      </c>
      <c r="W72" s="164" t="s">
        <v>291</v>
      </c>
      <c r="X72" s="164" t="s">
        <v>291</v>
      </c>
      <c r="Y72" s="164" t="s">
        <v>291</v>
      </c>
      <c r="Z72" s="164" t="s">
        <v>291</v>
      </c>
      <c r="AA72" s="164" t="s">
        <v>291</v>
      </c>
      <c r="AB72" s="164" t="s">
        <v>291</v>
      </c>
      <c r="AC72" s="166" t="s">
        <v>291</v>
      </c>
      <c r="AD72" s="153" t="s">
        <v>238</v>
      </c>
      <c r="AE72" s="162"/>
      <c r="AF72" s="162"/>
      <c r="AG72" s="134"/>
    </row>
    <row r="73" spans="1:33">
      <c r="A73" s="127" t="str">
        <f>VLOOKUP([1]ListOfRegions!A46,[1]ListOfRegions!A46:B120,2,0)</f>
        <v xml:space="preserve"> Βορείου Τομέα Αθηνών</v>
      </c>
      <c r="B73" s="128">
        <v>0</v>
      </c>
      <c r="C73" s="164" t="s">
        <v>291</v>
      </c>
      <c r="D73" s="164" t="s">
        <v>291</v>
      </c>
      <c r="E73" s="164" t="s">
        <v>291</v>
      </c>
      <c r="F73" s="164" t="s">
        <v>291</v>
      </c>
      <c r="G73" s="164" t="s">
        <v>291</v>
      </c>
      <c r="H73" s="164" t="s">
        <v>291</v>
      </c>
      <c r="I73" s="164" t="s">
        <v>291</v>
      </c>
      <c r="J73" s="164" t="s">
        <v>291</v>
      </c>
      <c r="K73" s="164" t="s">
        <v>291</v>
      </c>
      <c r="L73" s="164" t="s">
        <v>291</v>
      </c>
      <c r="M73" s="164" t="s">
        <v>291</v>
      </c>
      <c r="N73" s="166" t="s">
        <v>291</v>
      </c>
      <c r="O73" s="164" t="s">
        <v>291</v>
      </c>
      <c r="P73" s="164" t="s">
        <v>291</v>
      </c>
      <c r="Q73" s="166" t="s">
        <v>291</v>
      </c>
      <c r="R73" s="164" t="s">
        <v>291</v>
      </c>
      <c r="S73" s="168" t="s">
        <v>291</v>
      </c>
      <c r="T73" s="164" t="s">
        <v>291</v>
      </c>
      <c r="U73" s="164" t="s">
        <v>291</v>
      </c>
      <c r="V73" s="164" t="s">
        <v>291</v>
      </c>
      <c r="W73" s="164" t="s">
        <v>291</v>
      </c>
      <c r="X73" s="164" t="s">
        <v>291</v>
      </c>
      <c r="Y73" s="164" t="s">
        <v>291</v>
      </c>
      <c r="Z73" s="164" t="s">
        <v>291</v>
      </c>
      <c r="AA73" s="164" t="s">
        <v>291</v>
      </c>
      <c r="AB73" s="164" t="s">
        <v>291</v>
      </c>
      <c r="AC73" s="166" t="s">
        <v>291</v>
      </c>
      <c r="AD73" s="153" t="s">
        <v>239</v>
      </c>
      <c r="AE73" s="162"/>
      <c r="AF73" s="162"/>
      <c r="AG73" s="134"/>
    </row>
    <row r="74" spans="1:33" ht="20.399999999999999">
      <c r="A74" s="127" t="str">
        <f>VLOOKUP([1]ListOfRegions!A47,[1]ListOfRegions!A47:B121,2,0)</f>
        <v xml:space="preserve">  Δυτικού Τομέα Αθηνών</v>
      </c>
      <c r="B74" s="128">
        <v>0</v>
      </c>
      <c r="C74" s="164" t="s">
        <v>291</v>
      </c>
      <c r="D74" s="164" t="s">
        <v>291</v>
      </c>
      <c r="E74" s="164" t="s">
        <v>291</v>
      </c>
      <c r="F74" s="164" t="s">
        <v>291</v>
      </c>
      <c r="G74" s="164" t="s">
        <v>291</v>
      </c>
      <c r="H74" s="164" t="s">
        <v>291</v>
      </c>
      <c r="I74" s="164" t="s">
        <v>291</v>
      </c>
      <c r="J74" s="164" t="s">
        <v>291</v>
      </c>
      <c r="K74" s="164" t="s">
        <v>291</v>
      </c>
      <c r="L74" s="164" t="s">
        <v>291</v>
      </c>
      <c r="M74" s="164" t="s">
        <v>291</v>
      </c>
      <c r="N74" s="166" t="s">
        <v>291</v>
      </c>
      <c r="O74" s="164" t="s">
        <v>291</v>
      </c>
      <c r="P74" s="164" t="s">
        <v>291</v>
      </c>
      <c r="Q74" s="166" t="s">
        <v>291</v>
      </c>
      <c r="R74" s="164" t="s">
        <v>291</v>
      </c>
      <c r="S74" s="168" t="s">
        <v>291</v>
      </c>
      <c r="T74" s="164" t="s">
        <v>291</v>
      </c>
      <c r="U74" s="164" t="s">
        <v>291</v>
      </c>
      <c r="V74" s="164" t="s">
        <v>291</v>
      </c>
      <c r="W74" s="164" t="s">
        <v>291</v>
      </c>
      <c r="X74" s="164" t="s">
        <v>291</v>
      </c>
      <c r="Y74" s="164" t="s">
        <v>291</v>
      </c>
      <c r="Z74" s="164" t="s">
        <v>291</v>
      </c>
      <c r="AA74" s="164" t="s">
        <v>291</v>
      </c>
      <c r="AB74" s="164" t="s">
        <v>291</v>
      </c>
      <c r="AC74" s="166" t="s">
        <v>291</v>
      </c>
      <c r="AD74" s="153" t="s">
        <v>240</v>
      </c>
      <c r="AE74" s="162"/>
      <c r="AF74" s="162"/>
      <c r="AG74" s="134"/>
    </row>
    <row r="75" spans="1:33">
      <c r="A75" s="127" t="str">
        <f>VLOOKUP([1]ListOfRegions!A48,[1]ListOfRegions!A48:B122,2,0)</f>
        <v xml:space="preserve">  Νοτίου Τομέα Αθηνών</v>
      </c>
      <c r="B75" s="128">
        <v>0</v>
      </c>
      <c r="C75" s="164" t="s">
        <v>291</v>
      </c>
      <c r="D75" s="164" t="s">
        <v>291</v>
      </c>
      <c r="E75" s="164" t="s">
        <v>291</v>
      </c>
      <c r="F75" s="164" t="s">
        <v>291</v>
      </c>
      <c r="G75" s="164" t="s">
        <v>291</v>
      </c>
      <c r="H75" s="164" t="s">
        <v>291</v>
      </c>
      <c r="I75" s="164" t="s">
        <v>291</v>
      </c>
      <c r="J75" s="164" t="s">
        <v>291</v>
      </c>
      <c r="K75" s="164" t="s">
        <v>291</v>
      </c>
      <c r="L75" s="164" t="s">
        <v>291</v>
      </c>
      <c r="M75" s="164" t="s">
        <v>291</v>
      </c>
      <c r="N75" s="166" t="s">
        <v>291</v>
      </c>
      <c r="O75" s="164" t="s">
        <v>291</v>
      </c>
      <c r="P75" s="164" t="s">
        <v>291</v>
      </c>
      <c r="Q75" s="166" t="s">
        <v>291</v>
      </c>
      <c r="R75" s="164" t="s">
        <v>291</v>
      </c>
      <c r="S75" s="168" t="s">
        <v>291</v>
      </c>
      <c r="T75" s="164" t="s">
        <v>291</v>
      </c>
      <c r="U75" s="164" t="s">
        <v>291</v>
      </c>
      <c r="V75" s="164" t="s">
        <v>291</v>
      </c>
      <c r="W75" s="164" t="s">
        <v>291</v>
      </c>
      <c r="X75" s="164" t="s">
        <v>291</v>
      </c>
      <c r="Y75" s="164" t="s">
        <v>291</v>
      </c>
      <c r="Z75" s="164" t="s">
        <v>291</v>
      </c>
      <c r="AA75" s="164" t="s">
        <v>291</v>
      </c>
      <c r="AB75" s="164" t="s">
        <v>291</v>
      </c>
      <c r="AC75" s="166" t="s">
        <v>291</v>
      </c>
      <c r="AD75" s="153" t="s">
        <v>241</v>
      </c>
      <c r="AE75" s="162"/>
      <c r="AF75" s="162"/>
      <c r="AG75" s="134"/>
    </row>
    <row r="76" spans="1:33">
      <c r="A76" s="127" t="str">
        <f>VLOOKUP([1]ListOfRegions!A49,[1]ListOfRegions!A49:B123,2,0)</f>
        <v xml:space="preserve">  Ανατολικής Αττικής</v>
      </c>
      <c r="B76" s="128">
        <v>0</v>
      </c>
      <c r="C76" s="164" t="s">
        <v>291</v>
      </c>
      <c r="D76" s="164" t="s">
        <v>291</v>
      </c>
      <c r="E76" s="164" t="s">
        <v>291</v>
      </c>
      <c r="F76" s="164" t="s">
        <v>291</v>
      </c>
      <c r="G76" s="164" t="s">
        <v>291</v>
      </c>
      <c r="H76" s="164" t="s">
        <v>291</v>
      </c>
      <c r="I76" s="164" t="s">
        <v>291</v>
      </c>
      <c r="J76" s="164" t="s">
        <v>291</v>
      </c>
      <c r="K76" s="164" t="s">
        <v>291</v>
      </c>
      <c r="L76" s="164" t="s">
        <v>291</v>
      </c>
      <c r="M76" s="164" t="s">
        <v>291</v>
      </c>
      <c r="N76" s="166" t="s">
        <v>291</v>
      </c>
      <c r="O76" s="164" t="s">
        <v>291</v>
      </c>
      <c r="P76" s="164" t="s">
        <v>291</v>
      </c>
      <c r="Q76" s="166" t="s">
        <v>291</v>
      </c>
      <c r="R76" s="164" t="s">
        <v>291</v>
      </c>
      <c r="S76" s="168" t="s">
        <v>291</v>
      </c>
      <c r="T76" s="164" t="s">
        <v>291</v>
      </c>
      <c r="U76" s="164" t="s">
        <v>291</v>
      </c>
      <c r="V76" s="164" t="s">
        <v>291</v>
      </c>
      <c r="W76" s="164" t="s">
        <v>291</v>
      </c>
      <c r="X76" s="164" t="s">
        <v>291</v>
      </c>
      <c r="Y76" s="164" t="s">
        <v>291</v>
      </c>
      <c r="Z76" s="164" t="s">
        <v>291</v>
      </c>
      <c r="AA76" s="164" t="s">
        <v>291</v>
      </c>
      <c r="AB76" s="164" t="s">
        <v>291</v>
      </c>
      <c r="AC76" s="166" t="s">
        <v>291</v>
      </c>
      <c r="AD76" s="153" t="s">
        <v>242</v>
      </c>
      <c r="AE76" s="162"/>
      <c r="AF76" s="162"/>
      <c r="AG76" s="134"/>
    </row>
    <row r="77" spans="1:33">
      <c r="A77" s="127" t="str">
        <f>VLOOKUP([1]ListOfRegions!A50,[1]ListOfRegions!A50:B124,2,0)</f>
        <v xml:space="preserve">  Δυτικής Αττικής</v>
      </c>
      <c r="B77" s="128">
        <v>8196</v>
      </c>
      <c r="C77" s="164" t="s">
        <v>291</v>
      </c>
      <c r="D77" s="164" t="s">
        <v>291</v>
      </c>
      <c r="E77" s="164" t="s">
        <v>291</v>
      </c>
      <c r="F77" s="164" t="s">
        <v>291</v>
      </c>
      <c r="G77" s="163">
        <v>1000</v>
      </c>
      <c r="H77" s="163">
        <v>320</v>
      </c>
      <c r="I77" s="163">
        <v>7196</v>
      </c>
      <c r="J77" s="163">
        <v>1439.2</v>
      </c>
      <c r="K77" s="164" t="s">
        <v>291</v>
      </c>
      <c r="L77" s="164" t="s">
        <v>291</v>
      </c>
      <c r="M77" s="164" t="s">
        <v>291</v>
      </c>
      <c r="N77" s="166" t="s">
        <v>291</v>
      </c>
      <c r="O77" s="164" t="s">
        <v>291</v>
      </c>
      <c r="P77" s="164" t="s">
        <v>291</v>
      </c>
      <c r="Q77" s="166" t="s">
        <v>291</v>
      </c>
      <c r="R77" s="164" t="s">
        <v>291</v>
      </c>
      <c r="S77" s="168" t="s">
        <v>291</v>
      </c>
      <c r="T77" s="164" t="s">
        <v>291</v>
      </c>
      <c r="U77" s="164" t="s">
        <v>291</v>
      </c>
      <c r="V77" s="164" t="s">
        <v>291</v>
      </c>
      <c r="W77" s="164" t="s">
        <v>291</v>
      </c>
      <c r="X77" s="164" t="s">
        <v>291</v>
      </c>
      <c r="Y77" s="164" t="s">
        <v>291</v>
      </c>
      <c r="Z77" s="164" t="s">
        <v>291</v>
      </c>
      <c r="AA77" s="164" t="s">
        <v>291</v>
      </c>
      <c r="AB77" s="164" t="s">
        <v>291</v>
      </c>
      <c r="AC77" s="166" t="s">
        <v>291</v>
      </c>
      <c r="AD77" s="153" t="s">
        <v>243</v>
      </c>
      <c r="AE77" s="162"/>
      <c r="AF77" s="162"/>
      <c r="AG77" s="134"/>
    </row>
    <row r="78" spans="1:33">
      <c r="A78" s="127" t="str">
        <f>VLOOKUP([1]ListOfRegions!A51,[1]ListOfRegions!A51:B125,2,0)</f>
        <v xml:space="preserve">  Πειραιώς</v>
      </c>
      <c r="B78" s="128">
        <v>0</v>
      </c>
      <c r="C78" s="164" t="s">
        <v>291</v>
      </c>
      <c r="D78" s="164" t="s">
        <v>291</v>
      </c>
      <c r="E78" s="164" t="s">
        <v>291</v>
      </c>
      <c r="F78" s="164" t="s">
        <v>291</v>
      </c>
      <c r="G78" s="164" t="s">
        <v>291</v>
      </c>
      <c r="H78" s="164" t="s">
        <v>291</v>
      </c>
      <c r="I78" s="164" t="s">
        <v>291</v>
      </c>
      <c r="J78" s="164" t="s">
        <v>291</v>
      </c>
      <c r="K78" s="164" t="s">
        <v>291</v>
      </c>
      <c r="L78" s="164" t="s">
        <v>291</v>
      </c>
      <c r="M78" s="164" t="s">
        <v>291</v>
      </c>
      <c r="N78" s="166" t="s">
        <v>291</v>
      </c>
      <c r="O78" s="164" t="s">
        <v>291</v>
      </c>
      <c r="P78" s="164" t="s">
        <v>291</v>
      </c>
      <c r="Q78" s="166" t="s">
        <v>291</v>
      </c>
      <c r="R78" s="164" t="s">
        <v>291</v>
      </c>
      <c r="S78" s="168" t="s">
        <v>291</v>
      </c>
      <c r="T78" s="164" t="s">
        <v>291</v>
      </c>
      <c r="U78" s="164" t="s">
        <v>291</v>
      </c>
      <c r="V78" s="164" t="s">
        <v>291</v>
      </c>
      <c r="W78" s="164" t="s">
        <v>291</v>
      </c>
      <c r="X78" s="164" t="s">
        <v>291</v>
      </c>
      <c r="Y78" s="164" t="s">
        <v>291</v>
      </c>
      <c r="Z78" s="164" t="s">
        <v>291</v>
      </c>
      <c r="AA78" s="164" t="s">
        <v>291</v>
      </c>
      <c r="AB78" s="164" t="s">
        <v>291</v>
      </c>
      <c r="AC78" s="166" t="s">
        <v>291</v>
      </c>
      <c r="AD78" s="153" t="s">
        <v>244</v>
      </c>
      <c r="AE78" s="162"/>
      <c r="AF78" s="162"/>
      <c r="AG78" s="134"/>
    </row>
    <row r="79" spans="1:33">
      <c r="A79" s="127" t="str">
        <f>VLOOKUP([1]ListOfRegions!A52,[1]ListOfRegions!A52:B126,2,0)</f>
        <v xml:space="preserve">  Νήσων</v>
      </c>
      <c r="B79" s="128">
        <v>0</v>
      </c>
      <c r="C79" s="164" t="s">
        <v>291</v>
      </c>
      <c r="D79" s="164" t="s">
        <v>291</v>
      </c>
      <c r="E79" s="164" t="s">
        <v>291</v>
      </c>
      <c r="F79" s="164" t="s">
        <v>291</v>
      </c>
      <c r="G79" s="164" t="s">
        <v>291</v>
      </c>
      <c r="H79" s="164" t="s">
        <v>291</v>
      </c>
      <c r="I79" s="164" t="s">
        <v>291</v>
      </c>
      <c r="J79" s="164" t="s">
        <v>291</v>
      </c>
      <c r="K79" s="164" t="s">
        <v>291</v>
      </c>
      <c r="L79" s="164" t="s">
        <v>291</v>
      </c>
      <c r="M79" s="164" t="s">
        <v>291</v>
      </c>
      <c r="N79" s="166" t="s">
        <v>291</v>
      </c>
      <c r="O79" s="164" t="s">
        <v>291</v>
      </c>
      <c r="P79" s="164" t="s">
        <v>291</v>
      </c>
      <c r="Q79" s="166" t="s">
        <v>291</v>
      </c>
      <c r="R79" s="164" t="s">
        <v>291</v>
      </c>
      <c r="S79" s="168" t="s">
        <v>291</v>
      </c>
      <c r="T79" s="164" t="s">
        <v>291</v>
      </c>
      <c r="U79" s="164" t="s">
        <v>291</v>
      </c>
      <c r="V79" s="164" t="s">
        <v>291</v>
      </c>
      <c r="W79" s="164" t="s">
        <v>291</v>
      </c>
      <c r="X79" s="164" t="s">
        <v>291</v>
      </c>
      <c r="Y79" s="164" t="s">
        <v>291</v>
      </c>
      <c r="Z79" s="164" t="s">
        <v>291</v>
      </c>
      <c r="AA79" s="164" t="s">
        <v>291</v>
      </c>
      <c r="AB79" s="164" t="s">
        <v>291</v>
      </c>
      <c r="AC79" s="166" t="s">
        <v>291</v>
      </c>
      <c r="AD79" s="153" t="s">
        <v>245</v>
      </c>
      <c r="AE79" s="162"/>
      <c r="AF79" s="162"/>
      <c r="AG79" s="134"/>
    </row>
    <row r="80" spans="1:33">
      <c r="A80" s="212" t="s">
        <v>246</v>
      </c>
      <c r="B80" s="198">
        <v>218</v>
      </c>
      <c r="C80" s="210">
        <v>0</v>
      </c>
      <c r="D80" s="210">
        <v>0</v>
      </c>
      <c r="E80" s="210">
        <v>0</v>
      </c>
      <c r="F80" s="210">
        <v>0</v>
      </c>
      <c r="G80" s="210">
        <v>0</v>
      </c>
      <c r="H80" s="210">
        <v>0</v>
      </c>
      <c r="I80" s="210">
        <v>0</v>
      </c>
      <c r="J80" s="210">
        <v>0</v>
      </c>
      <c r="K80" s="210">
        <v>64</v>
      </c>
      <c r="L80" s="210">
        <v>2.2410000000000001</v>
      </c>
      <c r="M80" s="210">
        <v>2</v>
      </c>
      <c r="N80" s="211">
        <v>0.28999999999999998</v>
      </c>
      <c r="O80" s="208">
        <v>0</v>
      </c>
      <c r="P80" s="207">
        <v>0</v>
      </c>
      <c r="Q80" s="207">
        <v>0</v>
      </c>
      <c r="R80" s="208">
        <v>35</v>
      </c>
      <c r="S80" s="207">
        <v>1.21</v>
      </c>
      <c r="T80" s="207">
        <v>0</v>
      </c>
      <c r="U80" s="207">
        <v>0</v>
      </c>
      <c r="V80" s="207">
        <v>0</v>
      </c>
      <c r="W80" s="208">
        <v>0</v>
      </c>
      <c r="X80" s="208">
        <v>0</v>
      </c>
      <c r="Y80" s="208">
        <v>0</v>
      </c>
      <c r="Z80" s="208">
        <v>0</v>
      </c>
      <c r="AA80" s="208">
        <v>0</v>
      </c>
      <c r="AB80" s="208">
        <v>112</v>
      </c>
      <c r="AC80" s="207">
        <v>5</v>
      </c>
      <c r="AD80" s="209" t="s">
        <v>247</v>
      </c>
      <c r="AE80" s="195"/>
      <c r="AF80" s="195"/>
      <c r="AG80" s="134"/>
    </row>
    <row r="81" spans="1:33">
      <c r="A81" s="212"/>
      <c r="B81" s="213"/>
      <c r="C81" s="210"/>
      <c r="D81" s="210"/>
      <c r="E81" s="210"/>
      <c r="F81" s="210"/>
      <c r="G81" s="210"/>
      <c r="H81" s="210"/>
      <c r="I81" s="210"/>
      <c r="J81" s="210"/>
      <c r="K81" s="210"/>
      <c r="L81" s="210"/>
      <c r="M81" s="210"/>
      <c r="N81" s="211"/>
      <c r="O81" s="208"/>
      <c r="P81" s="207"/>
      <c r="Q81" s="207"/>
      <c r="R81" s="208"/>
      <c r="S81" s="207"/>
      <c r="T81" s="207"/>
      <c r="U81" s="207"/>
      <c r="V81" s="207"/>
      <c r="W81" s="208"/>
      <c r="X81" s="208"/>
      <c r="Y81" s="208"/>
      <c r="Z81" s="208"/>
      <c r="AA81" s="208"/>
      <c r="AB81" s="208"/>
      <c r="AC81" s="207"/>
      <c r="AD81" s="209"/>
      <c r="AE81" s="195"/>
      <c r="AF81" s="195"/>
      <c r="AG81" s="134"/>
    </row>
    <row r="82" spans="1:33">
      <c r="A82" s="127" t="str">
        <f>VLOOKUP([1]ListOfRegions!A53,[1]ListOfRegions!A53:B127,2,0)</f>
        <v xml:space="preserve">  Λέσβου</v>
      </c>
      <c r="B82" s="128">
        <v>89</v>
      </c>
      <c r="C82" s="164" t="s">
        <v>291</v>
      </c>
      <c r="D82" s="164" t="s">
        <v>291</v>
      </c>
      <c r="E82" s="164" t="s">
        <v>291</v>
      </c>
      <c r="F82" s="164" t="s">
        <v>291</v>
      </c>
      <c r="G82" s="164" t="s">
        <v>291</v>
      </c>
      <c r="H82" s="164" t="s">
        <v>291</v>
      </c>
      <c r="I82" s="164" t="s">
        <v>291</v>
      </c>
      <c r="J82" s="164" t="s">
        <v>291</v>
      </c>
      <c r="K82" s="163">
        <v>1</v>
      </c>
      <c r="L82" s="163">
        <v>6.0000000000000001E-3</v>
      </c>
      <c r="M82" s="164" t="s">
        <v>291</v>
      </c>
      <c r="N82" s="166" t="s">
        <v>291</v>
      </c>
      <c r="O82" s="164" t="s">
        <v>291</v>
      </c>
      <c r="P82" s="164" t="s">
        <v>291</v>
      </c>
      <c r="Q82" s="166" t="s">
        <v>291</v>
      </c>
      <c r="R82" s="163">
        <v>28</v>
      </c>
      <c r="S82" s="167">
        <v>0.45</v>
      </c>
      <c r="T82" s="164" t="s">
        <v>291</v>
      </c>
      <c r="U82" s="164" t="s">
        <v>291</v>
      </c>
      <c r="V82" s="164" t="s">
        <v>291</v>
      </c>
      <c r="W82" s="164" t="s">
        <v>291</v>
      </c>
      <c r="X82" s="164" t="s">
        <v>291</v>
      </c>
      <c r="Y82" s="164" t="s">
        <v>291</v>
      </c>
      <c r="Z82" s="164" t="s">
        <v>291</v>
      </c>
      <c r="AA82" s="164" t="s">
        <v>291</v>
      </c>
      <c r="AB82" s="163">
        <v>60</v>
      </c>
      <c r="AC82" s="166" t="s">
        <v>291</v>
      </c>
      <c r="AD82" s="153" t="s">
        <v>248</v>
      </c>
      <c r="AE82" s="162"/>
      <c r="AF82" s="162"/>
      <c r="AG82" s="134"/>
    </row>
    <row r="83" spans="1:33">
      <c r="A83" s="127" t="str">
        <f>VLOOKUP([1]ListOfRegions!A54,[1]ListOfRegions!A54:B128,2,0)</f>
        <v xml:space="preserve">  Ικαρίας</v>
      </c>
      <c r="B83" s="128">
        <v>0</v>
      </c>
      <c r="C83" s="164" t="s">
        <v>291</v>
      </c>
      <c r="D83" s="164" t="s">
        <v>291</v>
      </c>
      <c r="E83" s="164" t="s">
        <v>291</v>
      </c>
      <c r="F83" s="164" t="s">
        <v>291</v>
      </c>
      <c r="G83" s="164" t="s">
        <v>291</v>
      </c>
      <c r="H83" s="164" t="s">
        <v>291</v>
      </c>
      <c r="I83" s="164" t="s">
        <v>291</v>
      </c>
      <c r="J83" s="164" t="s">
        <v>291</v>
      </c>
      <c r="K83" s="164" t="s">
        <v>291</v>
      </c>
      <c r="L83" s="164" t="s">
        <v>291</v>
      </c>
      <c r="M83" s="164" t="s">
        <v>291</v>
      </c>
      <c r="N83" s="166" t="s">
        <v>291</v>
      </c>
      <c r="O83" s="164" t="s">
        <v>291</v>
      </c>
      <c r="P83" s="164" t="s">
        <v>291</v>
      </c>
      <c r="Q83" s="166" t="s">
        <v>291</v>
      </c>
      <c r="R83" s="164" t="s">
        <v>291</v>
      </c>
      <c r="S83" s="168" t="s">
        <v>291</v>
      </c>
      <c r="T83" s="164" t="s">
        <v>291</v>
      </c>
      <c r="U83" s="164" t="s">
        <v>291</v>
      </c>
      <c r="V83" s="164" t="s">
        <v>291</v>
      </c>
      <c r="W83" s="164" t="s">
        <v>291</v>
      </c>
      <c r="X83" s="164" t="s">
        <v>291</v>
      </c>
      <c r="Y83" s="164" t="s">
        <v>291</v>
      </c>
      <c r="Z83" s="164" t="s">
        <v>291</v>
      </c>
      <c r="AA83" s="164" t="s">
        <v>291</v>
      </c>
      <c r="AB83" s="164" t="s">
        <v>291</v>
      </c>
      <c r="AC83" s="166" t="s">
        <v>291</v>
      </c>
      <c r="AD83" s="153" t="s">
        <v>249</v>
      </c>
      <c r="AE83" s="162"/>
      <c r="AF83" s="162"/>
      <c r="AG83" s="134"/>
    </row>
    <row r="84" spans="1:33">
      <c r="A84" s="127" t="str">
        <f>VLOOKUP([1]ListOfRegions!A55,[1]ListOfRegions!A55:B129,2,0)</f>
        <v xml:space="preserve">  Λήμνου</v>
      </c>
      <c r="B84" s="128">
        <v>82</v>
      </c>
      <c r="C84" s="164" t="s">
        <v>291</v>
      </c>
      <c r="D84" s="164" t="s">
        <v>291</v>
      </c>
      <c r="E84" s="164" t="s">
        <v>291</v>
      </c>
      <c r="F84" s="164" t="s">
        <v>291</v>
      </c>
      <c r="G84" s="164" t="s">
        <v>291</v>
      </c>
      <c r="H84" s="164" t="s">
        <v>291</v>
      </c>
      <c r="I84" s="164" t="s">
        <v>291</v>
      </c>
      <c r="J84" s="164" t="s">
        <v>291</v>
      </c>
      <c r="K84" s="163">
        <v>59</v>
      </c>
      <c r="L84" s="163">
        <v>1.875</v>
      </c>
      <c r="M84" s="164" t="s">
        <v>291</v>
      </c>
      <c r="N84" s="166" t="s">
        <v>291</v>
      </c>
      <c r="O84" s="164" t="s">
        <v>291</v>
      </c>
      <c r="P84" s="164" t="s">
        <v>291</v>
      </c>
      <c r="Q84" s="166" t="s">
        <v>291</v>
      </c>
      <c r="R84" s="163">
        <v>3</v>
      </c>
      <c r="S84" s="167">
        <v>0.27</v>
      </c>
      <c r="T84" s="164" t="s">
        <v>291</v>
      </c>
      <c r="U84" s="164" t="s">
        <v>291</v>
      </c>
      <c r="V84" s="164" t="s">
        <v>291</v>
      </c>
      <c r="W84" s="164" t="s">
        <v>291</v>
      </c>
      <c r="X84" s="164" t="s">
        <v>291</v>
      </c>
      <c r="Y84" s="164" t="s">
        <v>291</v>
      </c>
      <c r="Z84" s="164" t="s">
        <v>291</v>
      </c>
      <c r="AA84" s="164" t="s">
        <v>291</v>
      </c>
      <c r="AB84" s="163">
        <v>20</v>
      </c>
      <c r="AC84" s="166" t="s">
        <v>291</v>
      </c>
      <c r="AD84" s="153" t="s">
        <v>250</v>
      </c>
      <c r="AE84" s="162"/>
      <c r="AF84" s="162"/>
      <c r="AG84" s="134"/>
    </row>
    <row r="85" spans="1:33">
      <c r="A85" s="127" t="str">
        <f>VLOOKUP([1]ListOfRegions!A56,[1]ListOfRegions!A56:B130,2,0)</f>
        <v xml:space="preserve">  Σάμου.</v>
      </c>
      <c r="B85" s="128">
        <v>42</v>
      </c>
      <c r="C85" s="164" t="s">
        <v>291</v>
      </c>
      <c r="D85" s="164" t="s">
        <v>291</v>
      </c>
      <c r="E85" s="164" t="s">
        <v>291</v>
      </c>
      <c r="F85" s="164" t="s">
        <v>291</v>
      </c>
      <c r="G85" s="164" t="s">
        <v>291</v>
      </c>
      <c r="H85" s="164" t="s">
        <v>291</v>
      </c>
      <c r="I85" s="164" t="s">
        <v>291</v>
      </c>
      <c r="J85" s="164" t="s">
        <v>291</v>
      </c>
      <c r="K85" s="163">
        <v>4</v>
      </c>
      <c r="L85" s="163">
        <v>0.36</v>
      </c>
      <c r="M85" s="163">
        <v>2</v>
      </c>
      <c r="N85" s="165">
        <v>0.28999999999999998</v>
      </c>
      <c r="O85" s="164" t="s">
        <v>291</v>
      </c>
      <c r="P85" s="164" t="s">
        <v>291</v>
      </c>
      <c r="Q85" s="166" t="s">
        <v>291</v>
      </c>
      <c r="R85" s="163">
        <v>4</v>
      </c>
      <c r="S85" s="167">
        <v>0.49</v>
      </c>
      <c r="T85" s="164" t="s">
        <v>291</v>
      </c>
      <c r="U85" s="164" t="s">
        <v>291</v>
      </c>
      <c r="V85" s="164" t="s">
        <v>291</v>
      </c>
      <c r="W85" s="164" t="s">
        <v>291</v>
      </c>
      <c r="X85" s="164" t="s">
        <v>291</v>
      </c>
      <c r="Y85" s="164" t="s">
        <v>291</v>
      </c>
      <c r="Z85" s="164" t="s">
        <v>291</v>
      </c>
      <c r="AA85" s="164" t="s">
        <v>291</v>
      </c>
      <c r="AB85" s="163">
        <v>32</v>
      </c>
      <c r="AC85" s="166" t="s">
        <v>291</v>
      </c>
      <c r="AD85" s="153" t="s">
        <v>251</v>
      </c>
      <c r="AE85" s="162"/>
      <c r="AF85" s="162"/>
      <c r="AG85" s="134"/>
    </row>
    <row r="86" spans="1:33">
      <c r="A86" s="127" t="str">
        <f>VLOOKUP([1]ListOfRegions!A57,[1]ListOfRegions!A57:B131,2,0)</f>
        <v xml:space="preserve">  Χίου</v>
      </c>
      <c r="B86" s="128">
        <v>5</v>
      </c>
      <c r="C86" s="164" t="s">
        <v>291</v>
      </c>
      <c r="D86" s="164" t="s">
        <v>291</v>
      </c>
      <c r="E86" s="164" t="s">
        <v>291</v>
      </c>
      <c r="F86" s="164" t="s">
        <v>291</v>
      </c>
      <c r="G86" s="164" t="s">
        <v>291</v>
      </c>
      <c r="H86" s="164" t="s">
        <v>291</v>
      </c>
      <c r="I86" s="164" t="s">
        <v>291</v>
      </c>
      <c r="J86" s="164" t="s">
        <v>291</v>
      </c>
      <c r="K86" s="164" t="s">
        <v>291</v>
      </c>
      <c r="L86" s="164" t="s">
        <v>291</v>
      </c>
      <c r="M86" s="164" t="s">
        <v>291</v>
      </c>
      <c r="N86" s="166" t="s">
        <v>291</v>
      </c>
      <c r="O86" s="164" t="s">
        <v>291</v>
      </c>
      <c r="P86" s="164" t="s">
        <v>291</v>
      </c>
      <c r="Q86" s="166" t="s">
        <v>291</v>
      </c>
      <c r="R86" s="164" t="s">
        <v>291</v>
      </c>
      <c r="S86" s="168" t="s">
        <v>291</v>
      </c>
      <c r="T86" s="164" t="s">
        <v>291</v>
      </c>
      <c r="U86" s="164" t="s">
        <v>291</v>
      </c>
      <c r="V86" s="164" t="s">
        <v>291</v>
      </c>
      <c r="W86" s="164" t="s">
        <v>291</v>
      </c>
      <c r="X86" s="164" t="s">
        <v>291</v>
      </c>
      <c r="Y86" s="164" t="s">
        <v>291</v>
      </c>
      <c r="Z86" s="164" t="s">
        <v>291</v>
      </c>
      <c r="AA86" s="164" t="s">
        <v>291</v>
      </c>
      <c r="AB86" s="164" t="s">
        <v>291</v>
      </c>
      <c r="AC86" s="165">
        <v>5</v>
      </c>
      <c r="AD86" s="153" t="s">
        <v>252</v>
      </c>
      <c r="AE86" s="162"/>
      <c r="AF86" s="162"/>
      <c r="AG86" s="134"/>
    </row>
    <row r="87" spans="1:33">
      <c r="A87" s="212" t="s">
        <v>253</v>
      </c>
      <c r="B87" s="198">
        <v>337</v>
      </c>
      <c r="C87" s="210">
        <v>0</v>
      </c>
      <c r="D87" s="210">
        <v>0</v>
      </c>
      <c r="E87" s="210">
        <v>0</v>
      </c>
      <c r="F87" s="210">
        <v>0</v>
      </c>
      <c r="G87" s="210">
        <v>0</v>
      </c>
      <c r="H87" s="210">
        <v>0</v>
      </c>
      <c r="I87" s="210">
        <v>0</v>
      </c>
      <c r="J87" s="210">
        <v>0</v>
      </c>
      <c r="K87" s="210">
        <v>142</v>
      </c>
      <c r="L87" s="210">
        <v>9.5150000000000006</v>
      </c>
      <c r="M87" s="210">
        <v>7</v>
      </c>
      <c r="N87" s="211">
        <v>0.6</v>
      </c>
      <c r="O87" s="208">
        <v>172</v>
      </c>
      <c r="P87" s="207">
        <v>0</v>
      </c>
      <c r="Q87" s="207">
        <v>0</v>
      </c>
      <c r="R87" s="208">
        <v>12</v>
      </c>
      <c r="S87" s="207">
        <v>3.26</v>
      </c>
      <c r="T87" s="207">
        <v>2</v>
      </c>
      <c r="U87" s="207">
        <v>2</v>
      </c>
      <c r="V87" s="207">
        <v>1</v>
      </c>
      <c r="W87" s="208">
        <v>0.25</v>
      </c>
      <c r="X87" s="208">
        <v>0</v>
      </c>
      <c r="Y87" s="208">
        <v>0</v>
      </c>
      <c r="Z87" s="208">
        <v>0</v>
      </c>
      <c r="AA87" s="208">
        <v>0</v>
      </c>
      <c r="AB87" s="208">
        <v>1</v>
      </c>
      <c r="AC87" s="207">
        <v>0</v>
      </c>
      <c r="AD87" s="209" t="s">
        <v>254</v>
      </c>
      <c r="AE87" s="195"/>
      <c r="AF87" s="195"/>
      <c r="AG87" s="134"/>
    </row>
    <row r="88" spans="1:33">
      <c r="A88" s="212"/>
      <c r="B88" s="213"/>
      <c r="C88" s="210"/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1"/>
      <c r="O88" s="208"/>
      <c r="P88" s="207"/>
      <c r="Q88" s="207"/>
      <c r="R88" s="208"/>
      <c r="S88" s="207"/>
      <c r="T88" s="207"/>
      <c r="U88" s="207"/>
      <c r="V88" s="207"/>
      <c r="W88" s="208"/>
      <c r="X88" s="208"/>
      <c r="Y88" s="208"/>
      <c r="Z88" s="208"/>
      <c r="AA88" s="208"/>
      <c r="AB88" s="208"/>
      <c r="AC88" s="207"/>
      <c r="AD88" s="209"/>
      <c r="AE88" s="195"/>
      <c r="AF88" s="195"/>
      <c r="AG88" s="134"/>
    </row>
    <row r="89" spans="1:33">
      <c r="A89" s="127" t="str">
        <f>VLOOKUP([1]ListOfRegions!A58,[1]ListOfRegions!A58:B132,2,0)</f>
        <v xml:space="preserve">  Σύρου</v>
      </c>
      <c r="B89" s="128">
        <v>0</v>
      </c>
      <c r="C89" s="164" t="s">
        <v>291</v>
      </c>
      <c r="D89" s="164" t="s">
        <v>291</v>
      </c>
      <c r="E89" s="164" t="s">
        <v>291</v>
      </c>
      <c r="F89" s="164" t="s">
        <v>291</v>
      </c>
      <c r="G89" s="164" t="s">
        <v>291</v>
      </c>
      <c r="H89" s="164" t="s">
        <v>291</v>
      </c>
      <c r="I89" s="164" t="s">
        <v>291</v>
      </c>
      <c r="J89" s="164" t="s">
        <v>291</v>
      </c>
      <c r="K89" s="164" t="s">
        <v>291</v>
      </c>
      <c r="L89" s="164" t="s">
        <v>291</v>
      </c>
      <c r="M89" s="164" t="s">
        <v>291</v>
      </c>
      <c r="N89" s="166" t="s">
        <v>291</v>
      </c>
      <c r="O89" s="164" t="s">
        <v>291</v>
      </c>
      <c r="P89" s="164" t="s">
        <v>291</v>
      </c>
      <c r="Q89" s="166" t="s">
        <v>291</v>
      </c>
      <c r="R89" s="164" t="s">
        <v>291</v>
      </c>
      <c r="S89" s="168" t="s">
        <v>291</v>
      </c>
      <c r="T89" s="164" t="s">
        <v>291</v>
      </c>
      <c r="U89" s="164" t="s">
        <v>291</v>
      </c>
      <c r="V89" s="164" t="s">
        <v>291</v>
      </c>
      <c r="W89" s="164" t="s">
        <v>291</v>
      </c>
      <c r="X89" s="164" t="s">
        <v>291</v>
      </c>
      <c r="Y89" s="164" t="s">
        <v>291</v>
      </c>
      <c r="Z89" s="164" t="s">
        <v>291</v>
      </c>
      <c r="AA89" s="164" t="s">
        <v>291</v>
      </c>
      <c r="AB89" s="164" t="s">
        <v>291</v>
      </c>
      <c r="AC89" s="166" t="s">
        <v>291</v>
      </c>
      <c r="AD89" s="153" t="s">
        <v>255</v>
      </c>
      <c r="AE89" s="162"/>
      <c r="AF89" s="162"/>
      <c r="AG89" s="134"/>
    </row>
    <row r="90" spans="1:33">
      <c r="A90" s="127" t="str">
        <f>VLOOKUP([1]ListOfRegions!A59,[1]ListOfRegions!A59:B133,2,0)</f>
        <v xml:space="preserve">  Άνδρου</v>
      </c>
      <c r="B90" s="128">
        <v>0</v>
      </c>
      <c r="C90" s="164" t="s">
        <v>291</v>
      </c>
      <c r="D90" s="164" t="s">
        <v>291</v>
      </c>
      <c r="E90" s="164" t="s">
        <v>291</v>
      </c>
      <c r="F90" s="164" t="s">
        <v>291</v>
      </c>
      <c r="G90" s="164" t="s">
        <v>291</v>
      </c>
      <c r="H90" s="164" t="s">
        <v>291</v>
      </c>
      <c r="I90" s="164" t="s">
        <v>291</v>
      </c>
      <c r="J90" s="164" t="s">
        <v>291</v>
      </c>
      <c r="K90" s="164" t="s">
        <v>291</v>
      </c>
      <c r="L90" s="164" t="s">
        <v>291</v>
      </c>
      <c r="M90" s="164" t="s">
        <v>291</v>
      </c>
      <c r="N90" s="166" t="s">
        <v>291</v>
      </c>
      <c r="O90" s="164" t="s">
        <v>291</v>
      </c>
      <c r="P90" s="164" t="s">
        <v>291</v>
      </c>
      <c r="Q90" s="166" t="s">
        <v>291</v>
      </c>
      <c r="R90" s="164" t="s">
        <v>291</v>
      </c>
      <c r="S90" s="168" t="s">
        <v>291</v>
      </c>
      <c r="T90" s="164" t="s">
        <v>291</v>
      </c>
      <c r="U90" s="164" t="s">
        <v>291</v>
      </c>
      <c r="V90" s="164" t="s">
        <v>291</v>
      </c>
      <c r="W90" s="164" t="s">
        <v>291</v>
      </c>
      <c r="X90" s="164" t="s">
        <v>291</v>
      </c>
      <c r="Y90" s="164" t="s">
        <v>291</v>
      </c>
      <c r="Z90" s="164" t="s">
        <v>291</v>
      </c>
      <c r="AA90" s="164" t="s">
        <v>291</v>
      </c>
      <c r="AB90" s="164" t="s">
        <v>291</v>
      </c>
      <c r="AC90" s="166" t="s">
        <v>291</v>
      </c>
      <c r="AD90" s="153" t="s">
        <v>256</v>
      </c>
      <c r="AE90" s="162"/>
      <c r="AF90" s="162"/>
      <c r="AG90" s="134"/>
    </row>
    <row r="91" spans="1:33">
      <c r="A91" s="127" t="str">
        <f>VLOOKUP([1]ListOfRegions!A60,[1]ListOfRegions!A60:B134,2,0)</f>
        <v xml:space="preserve">  Θήρας</v>
      </c>
      <c r="B91" s="128">
        <v>0</v>
      </c>
      <c r="C91" s="164" t="s">
        <v>291</v>
      </c>
      <c r="D91" s="164" t="s">
        <v>291</v>
      </c>
      <c r="E91" s="164" t="s">
        <v>291</v>
      </c>
      <c r="F91" s="164" t="s">
        <v>291</v>
      </c>
      <c r="G91" s="164" t="s">
        <v>291</v>
      </c>
      <c r="H91" s="164" t="s">
        <v>291</v>
      </c>
      <c r="I91" s="164" t="s">
        <v>291</v>
      </c>
      <c r="J91" s="164" t="s">
        <v>291</v>
      </c>
      <c r="K91" s="164" t="s">
        <v>291</v>
      </c>
      <c r="L91" s="164" t="s">
        <v>291</v>
      </c>
      <c r="M91" s="164" t="s">
        <v>291</v>
      </c>
      <c r="N91" s="166" t="s">
        <v>291</v>
      </c>
      <c r="O91" s="164" t="s">
        <v>291</v>
      </c>
      <c r="P91" s="164" t="s">
        <v>291</v>
      </c>
      <c r="Q91" s="166" t="s">
        <v>291</v>
      </c>
      <c r="R91" s="164" t="s">
        <v>291</v>
      </c>
      <c r="S91" s="168" t="s">
        <v>291</v>
      </c>
      <c r="T91" s="164" t="s">
        <v>291</v>
      </c>
      <c r="U91" s="164" t="s">
        <v>291</v>
      </c>
      <c r="V91" s="164" t="s">
        <v>291</v>
      </c>
      <c r="W91" s="164" t="s">
        <v>291</v>
      </c>
      <c r="X91" s="164" t="s">
        <v>291</v>
      </c>
      <c r="Y91" s="164" t="s">
        <v>291</v>
      </c>
      <c r="Z91" s="164" t="s">
        <v>291</v>
      </c>
      <c r="AA91" s="164" t="s">
        <v>291</v>
      </c>
      <c r="AB91" s="164" t="s">
        <v>291</v>
      </c>
      <c r="AC91" s="166" t="s">
        <v>291</v>
      </c>
      <c r="AD91" s="153" t="s">
        <v>257</v>
      </c>
      <c r="AE91" s="162"/>
      <c r="AF91" s="162"/>
      <c r="AG91" s="134"/>
    </row>
    <row r="92" spans="1:33">
      <c r="A92" s="127" t="str">
        <f>VLOOKUP([1]ListOfRegions!A61,[1]ListOfRegions!A61:B135,2,0)</f>
        <v xml:space="preserve">  Καλύμνου</v>
      </c>
      <c r="B92" s="128">
        <v>197</v>
      </c>
      <c r="C92" s="164" t="s">
        <v>291</v>
      </c>
      <c r="D92" s="164" t="s">
        <v>291</v>
      </c>
      <c r="E92" s="164" t="s">
        <v>291</v>
      </c>
      <c r="F92" s="164" t="s">
        <v>291</v>
      </c>
      <c r="G92" s="164" t="s">
        <v>291</v>
      </c>
      <c r="H92" s="164" t="s">
        <v>291</v>
      </c>
      <c r="I92" s="164" t="s">
        <v>291</v>
      </c>
      <c r="J92" s="164" t="s">
        <v>291</v>
      </c>
      <c r="K92" s="163">
        <v>20</v>
      </c>
      <c r="L92" s="163">
        <v>1</v>
      </c>
      <c r="M92" s="163">
        <v>2</v>
      </c>
      <c r="N92" s="165">
        <v>0.1</v>
      </c>
      <c r="O92" s="163">
        <v>172</v>
      </c>
      <c r="P92" s="164" t="s">
        <v>291</v>
      </c>
      <c r="Q92" s="166" t="s">
        <v>291</v>
      </c>
      <c r="R92" s="164" t="s">
        <v>291</v>
      </c>
      <c r="S92" s="168" t="s">
        <v>291</v>
      </c>
      <c r="T92" s="163">
        <v>2</v>
      </c>
      <c r="U92" s="163">
        <v>2</v>
      </c>
      <c r="V92" s="163">
        <v>1</v>
      </c>
      <c r="W92" s="163">
        <v>0.25</v>
      </c>
      <c r="X92" s="164" t="s">
        <v>291</v>
      </c>
      <c r="Y92" s="164" t="s">
        <v>291</v>
      </c>
      <c r="Z92" s="164" t="s">
        <v>291</v>
      </c>
      <c r="AA92" s="164" t="s">
        <v>291</v>
      </c>
      <c r="AB92" s="164" t="s">
        <v>291</v>
      </c>
      <c r="AC92" s="166" t="s">
        <v>291</v>
      </c>
      <c r="AD92" s="153" t="s">
        <v>258</v>
      </c>
      <c r="AE92" s="162"/>
      <c r="AF92" s="162"/>
      <c r="AG92" s="134"/>
    </row>
    <row r="93" spans="1:33">
      <c r="A93" s="127" t="str">
        <f>VLOOKUP([1]ListOfRegions!A62,[1]ListOfRegions!A62:B136,2,0)</f>
        <v xml:space="preserve">  Καρπάθου</v>
      </c>
      <c r="B93" s="128">
        <v>0</v>
      </c>
      <c r="C93" s="164" t="s">
        <v>291</v>
      </c>
      <c r="D93" s="164" t="s">
        <v>291</v>
      </c>
      <c r="E93" s="164" t="s">
        <v>291</v>
      </c>
      <c r="F93" s="164" t="s">
        <v>291</v>
      </c>
      <c r="G93" s="164" t="s">
        <v>291</v>
      </c>
      <c r="H93" s="164" t="s">
        <v>291</v>
      </c>
      <c r="I93" s="164" t="s">
        <v>291</v>
      </c>
      <c r="J93" s="164" t="s">
        <v>291</v>
      </c>
      <c r="K93" s="164" t="s">
        <v>291</v>
      </c>
      <c r="L93" s="164" t="s">
        <v>291</v>
      </c>
      <c r="M93" s="164" t="s">
        <v>291</v>
      </c>
      <c r="N93" s="166" t="s">
        <v>291</v>
      </c>
      <c r="O93" s="164" t="s">
        <v>291</v>
      </c>
      <c r="P93" s="164" t="s">
        <v>291</v>
      </c>
      <c r="Q93" s="166" t="s">
        <v>291</v>
      </c>
      <c r="R93" s="164" t="s">
        <v>291</v>
      </c>
      <c r="S93" s="168" t="s">
        <v>291</v>
      </c>
      <c r="T93" s="164" t="s">
        <v>291</v>
      </c>
      <c r="U93" s="164" t="s">
        <v>291</v>
      </c>
      <c r="V93" s="164" t="s">
        <v>291</v>
      </c>
      <c r="W93" s="164" t="s">
        <v>291</v>
      </c>
      <c r="X93" s="164" t="s">
        <v>291</v>
      </c>
      <c r="Y93" s="164" t="s">
        <v>291</v>
      </c>
      <c r="Z93" s="164" t="s">
        <v>291</v>
      </c>
      <c r="AA93" s="164" t="s">
        <v>291</v>
      </c>
      <c r="AB93" s="164" t="s">
        <v>291</v>
      </c>
      <c r="AC93" s="166" t="s">
        <v>291</v>
      </c>
      <c r="AD93" s="153" t="s">
        <v>259</v>
      </c>
      <c r="AE93" s="162"/>
      <c r="AF93" s="162"/>
      <c r="AG93" s="134"/>
    </row>
    <row r="94" spans="1:33">
      <c r="A94" s="127" t="str">
        <f>VLOOKUP([1]ListOfRegions!A63,[1]ListOfRegions!A63:B137,2,0)</f>
        <v xml:space="preserve">  Κύθνου</v>
      </c>
      <c r="B94" s="128">
        <v>0</v>
      </c>
      <c r="C94" s="164" t="s">
        <v>291</v>
      </c>
      <c r="D94" s="164" t="s">
        <v>291</v>
      </c>
      <c r="E94" s="164" t="s">
        <v>291</v>
      </c>
      <c r="F94" s="164" t="s">
        <v>291</v>
      </c>
      <c r="G94" s="164" t="s">
        <v>291</v>
      </c>
      <c r="H94" s="164" t="s">
        <v>291</v>
      </c>
      <c r="I94" s="164" t="s">
        <v>291</v>
      </c>
      <c r="J94" s="164" t="s">
        <v>291</v>
      </c>
      <c r="K94" s="164" t="s">
        <v>291</v>
      </c>
      <c r="L94" s="164" t="s">
        <v>291</v>
      </c>
      <c r="M94" s="164" t="s">
        <v>291</v>
      </c>
      <c r="N94" s="166" t="s">
        <v>291</v>
      </c>
      <c r="O94" s="164" t="s">
        <v>291</v>
      </c>
      <c r="P94" s="164" t="s">
        <v>291</v>
      </c>
      <c r="Q94" s="166" t="s">
        <v>291</v>
      </c>
      <c r="R94" s="164" t="s">
        <v>291</v>
      </c>
      <c r="S94" s="168" t="s">
        <v>291</v>
      </c>
      <c r="T94" s="164" t="s">
        <v>291</v>
      </c>
      <c r="U94" s="164" t="s">
        <v>291</v>
      </c>
      <c r="V94" s="164" t="s">
        <v>291</v>
      </c>
      <c r="W94" s="164" t="s">
        <v>291</v>
      </c>
      <c r="X94" s="164" t="s">
        <v>291</v>
      </c>
      <c r="Y94" s="164" t="s">
        <v>291</v>
      </c>
      <c r="Z94" s="164" t="s">
        <v>291</v>
      </c>
      <c r="AA94" s="164" t="s">
        <v>291</v>
      </c>
      <c r="AB94" s="164" t="s">
        <v>291</v>
      </c>
      <c r="AC94" s="166" t="s">
        <v>291</v>
      </c>
      <c r="AD94" s="153" t="s">
        <v>260</v>
      </c>
      <c r="AE94" s="162"/>
      <c r="AF94" s="162"/>
      <c r="AG94" s="134"/>
    </row>
    <row r="95" spans="1:33">
      <c r="A95" s="127" t="str">
        <f>VLOOKUP([1]ListOfRegions!A64,[1]ListOfRegions!A64:B138,2,0)</f>
        <v xml:space="preserve">  Κω</v>
      </c>
      <c r="B95" s="128">
        <v>18</v>
      </c>
      <c r="C95" s="164" t="s">
        <v>291</v>
      </c>
      <c r="D95" s="164" t="s">
        <v>291</v>
      </c>
      <c r="E95" s="164" t="s">
        <v>291</v>
      </c>
      <c r="F95" s="164" t="s">
        <v>291</v>
      </c>
      <c r="G95" s="164" t="s">
        <v>291</v>
      </c>
      <c r="H95" s="164" t="s">
        <v>291</v>
      </c>
      <c r="I95" s="164" t="s">
        <v>291</v>
      </c>
      <c r="J95" s="164" t="s">
        <v>291</v>
      </c>
      <c r="K95" s="163">
        <v>18</v>
      </c>
      <c r="L95" s="163">
        <v>1.05</v>
      </c>
      <c r="M95" s="164" t="s">
        <v>291</v>
      </c>
      <c r="N95" s="166" t="s">
        <v>291</v>
      </c>
      <c r="O95" s="164" t="s">
        <v>291</v>
      </c>
      <c r="P95" s="164" t="s">
        <v>291</v>
      </c>
      <c r="Q95" s="166" t="s">
        <v>291</v>
      </c>
      <c r="R95" s="164" t="s">
        <v>291</v>
      </c>
      <c r="S95" s="168" t="s">
        <v>291</v>
      </c>
      <c r="T95" s="164" t="s">
        <v>291</v>
      </c>
      <c r="U95" s="164" t="s">
        <v>291</v>
      </c>
      <c r="V95" s="164" t="s">
        <v>291</v>
      </c>
      <c r="W95" s="164" t="s">
        <v>291</v>
      </c>
      <c r="X95" s="164" t="s">
        <v>291</v>
      </c>
      <c r="Y95" s="164" t="s">
        <v>291</v>
      </c>
      <c r="Z95" s="164" t="s">
        <v>291</v>
      </c>
      <c r="AA95" s="164" t="s">
        <v>291</v>
      </c>
      <c r="AB95" s="164" t="s">
        <v>291</v>
      </c>
      <c r="AC95" s="166" t="s">
        <v>291</v>
      </c>
      <c r="AD95" s="153" t="s">
        <v>261</v>
      </c>
      <c r="AE95" s="162"/>
      <c r="AF95" s="162"/>
      <c r="AG95" s="134"/>
    </row>
    <row r="96" spans="1:33">
      <c r="A96" s="127" t="str">
        <f>VLOOKUP([1]ListOfRegions!A65,[1]ListOfRegions!A65:B139,2,0)</f>
        <v xml:space="preserve">  Μήλου</v>
      </c>
      <c r="B96" s="128">
        <v>6</v>
      </c>
      <c r="C96" s="164" t="s">
        <v>291</v>
      </c>
      <c r="D96" s="164" t="s">
        <v>291</v>
      </c>
      <c r="E96" s="164" t="s">
        <v>291</v>
      </c>
      <c r="F96" s="164" t="s">
        <v>291</v>
      </c>
      <c r="G96" s="164" t="s">
        <v>291</v>
      </c>
      <c r="H96" s="164" t="s">
        <v>291</v>
      </c>
      <c r="I96" s="164" t="s">
        <v>291</v>
      </c>
      <c r="J96" s="164" t="s">
        <v>291</v>
      </c>
      <c r="K96" s="163">
        <v>6</v>
      </c>
      <c r="L96" s="163">
        <v>0.1</v>
      </c>
      <c r="M96" s="164" t="s">
        <v>291</v>
      </c>
      <c r="N96" s="166" t="s">
        <v>291</v>
      </c>
      <c r="O96" s="164" t="s">
        <v>291</v>
      </c>
      <c r="P96" s="164" t="s">
        <v>291</v>
      </c>
      <c r="Q96" s="166" t="s">
        <v>291</v>
      </c>
      <c r="R96" s="164" t="s">
        <v>291</v>
      </c>
      <c r="S96" s="168" t="s">
        <v>291</v>
      </c>
      <c r="T96" s="164" t="s">
        <v>291</v>
      </c>
      <c r="U96" s="164" t="s">
        <v>291</v>
      </c>
      <c r="V96" s="164" t="s">
        <v>291</v>
      </c>
      <c r="W96" s="164" t="s">
        <v>291</v>
      </c>
      <c r="X96" s="164" t="s">
        <v>291</v>
      </c>
      <c r="Y96" s="164" t="s">
        <v>291</v>
      </c>
      <c r="Z96" s="164" t="s">
        <v>291</v>
      </c>
      <c r="AA96" s="164" t="s">
        <v>291</v>
      </c>
      <c r="AB96" s="164" t="s">
        <v>291</v>
      </c>
      <c r="AC96" s="166" t="s">
        <v>291</v>
      </c>
      <c r="AD96" s="153" t="s">
        <v>262</v>
      </c>
      <c r="AE96" s="162"/>
      <c r="AF96" s="162"/>
      <c r="AG96" s="134"/>
    </row>
    <row r="97" spans="1:33">
      <c r="A97" s="127" t="str">
        <f>VLOOKUP([1]ListOfRegions!A66,[1]ListOfRegions!A66:B140,2,0)</f>
        <v xml:space="preserve">  Μυκόνου.</v>
      </c>
      <c r="B97" s="128">
        <v>0</v>
      </c>
      <c r="C97" s="164" t="s">
        <v>291</v>
      </c>
      <c r="D97" s="164" t="s">
        <v>291</v>
      </c>
      <c r="E97" s="164" t="s">
        <v>291</v>
      </c>
      <c r="F97" s="164" t="s">
        <v>291</v>
      </c>
      <c r="G97" s="164" t="s">
        <v>291</v>
      </c>
      <c r="H97" s="164" t="s">
        <v>291</v>
      </c>
      <c r="I97" s="164" t="s">
        <v>291</v>
      </c>
      <c r="J97" s="164" t="s">
        <v>291</v>
      </c>
      <c r="K97" s="164" t="s">
        <v>291</v>
      </c>
      <c r="L97" s="164" t="s">
        <v>291</v>
      </c>
      <c r="M97" s="164" t="s">
        <v>291</v>
      </c>
      <c r="N97" s="166" t="s">
        <v>291</v>
      </c>
      <c r="O97" s="164" t="s">
        <v>291</v>
      </c>
      <c r="P97" s="164" t="s">
        <v>291</v>
      </c>
      <c r="Q97" s="166" t="s">
        <v>291</v>
      </c>
      <c r="R97" s="164" t="s">
        <v>291</v>
      </c>
      <c r="S97" s="168" t="s">
        <v>291</v>
      </c>
      <c r="T97" s="164" t="s">
        <v>291</v>
      </c>
      <c r="U97" s="164" t="s">
        <v>291</v>
      </c>
      <c r="V97" s="164" t="s">
        <v>291</v>
      </c>
      <c r="W97" s="164" t="s">
        <v>291</v>
      </c>
      <c r="X97" s="164" t="s">
        <v>291</v>
      </c>
      <c r="Y97" s="164" t="s">
        <v>291</v>
      </c>
      <c r="Z97" s="164" t="s">
        <v>291</v>
      </c>
      <c r="AA97" s="164" t="s">
        <v>291</v>
      </c>
      <c r="AB97" s="164" t="s">
        <v>291</v>
      </c>
      <c r="AC97" s="166" t="s">
        <v>291</v>
      </c>
      <c r="AD97" s="153" t="s">
        <v>263</v>
      </c>
      <c r="AE97" s="162"/>
      <c r="AF97" s="162"/>
      <c r="AG97" s="134"/>
    </row>
    <row r="98" spans="1:33">
      <c r="A98" s="127" t="str">
        <f>VLOOKUP([1]ListOfRegions!A67,[1]ListOfRegions!A67:B141,2,0)</f>
        <v xml:space="preserve">  Νάξου</v>
      </c>
      <c r="B98" s="128">
        <v>1</v>
      </c>
      <c r="C98" s="164" t="s">
        <v>291</v>
      </c>
      <c r="D98" s="164" t="s">
        <v>291</v>
      </c>
      <c r="E98" s="164" t="s">
        <v>291</v>
      </c>
      <c r="F98" s="164" t="s">
        <v>291</v>
      </c>
      <c r="G98" s="164" t="s">
        <v>291</v>
      </c>
      <c r="H98" s="164" t="s">
        <v>291</v>
      </c>
      <c r="I98" s="164" t="s">
        <v>291</v>
      </c>
      <c r="J98" s="164" t="s">
        <v>291</v>
      </c>
      <c r="K98" s="163">
        <v>1</v>
      </c>
      <c r="L98" s="163">
        <v>0.03</v>
      </c>
      <c r="M98" s="164" t="s">
        <v>291</v>
      </c>
      <c r="N98" s="166" t="s">
        <v>291</v>
      </c>
      <c r="O98" s="164" t="s">
        <v>291</v>
      </c>
      <c r="P98" s="164" t="s">
        <v>291</v>
      </c>
      <c r="Q98" s="166" t="s">
        <v>291</v>
      </c>
      <c r="R98" s="164" t="s">
        <v>291</v>
      </c>
      <c r="S98" s="168" t="s">
        <v>291</v>
      </c>
      <c r="T98" s="164" t="s">
        <v>291</v>
      </c>
      <c r="U98" s="164" t="s">
        <v>291</v>
      </c>
      <c r="V98" s="164" t="s">
        <v>291</v>
      </c>
      <c r="W98" s="164" t="s">
        <v>291</v>
      </c>
      <c r="X98" s="164" t="s">
        <v>291</v>
      </c>
      <c r="Y98" s="164" t="s">
        <v>291</v>
      </c>
      <c r="Z98" s="164" t="s">
        <v>291</v>
      </c>
      <c r="AA98" s="164" t="s">
        <v>291</v>
      </c>
      <c r="AB98" s="164" t="s">
        <v>291</v>
      </c>
      <c r="AC98" s="166" t="s">
        <v>291</v>
      </c>
      <c r="AD98" s="153" t="s">
        <v>264</v>
      </c>
      <c r="AE98" s="162"/>
      <c r="AF98" s="162"/>
      <c r="AG98" s="134"/>
    </row>
    <row r="99" spans="1:33">
      <c r="A99" s="127" t="str">
        <f>VLOOKUP([1]ListOfRegions!A68,[1]ListOfRegions!A68:B142,2,0)</f>
        <v xml:space="preserve">  Πάρου</v>
      </c>
      <c r="B99" s="128">
        <v>5</v>
      </c>
      <c r="C99" s="164" t="s">
        <v>291</v>
      </c>
      <c r="D99" s="164" t="s">
        <v>291</v>
      </c>
      <c r="E99" s="164" t="s">
        <v>291</v>
      </c>
      <c r="F99" s="164" t="s">
        <v>291</v>
      </c>
      <c r="G99" s="164" t="s">
        <v>291</v>
      </c>
      <c r="H99" s="164" t="s">
        <v>291</v>
      </c>
      <c r="I99" s="164" t="s">
        <v>291</v>
      </c>
      <c r="J99" s="164" t="s">
        <v>291</v>
      </c>
      <c r="K99" s="163">
        <v>5</v>
      </c>
      <c r="L99" s="163">
        <v>0.1</v>
      </c>
      <c r="M99" s="164" t="s">
        <v>291</v>
      </c>
      <c r="N99" s="166" t="s">
        <v>291</v>
      </c>
      <c r="O99" s="164" t="s">
        <v>291</v>
      </c>
      <c r="P99" s="164" t="s">
        <v>291</v>
      </c>
      <c r="Q99" s="166" t="s">
        <v>291</v>
      </c>
      <c r="R99" s="164" t="s">
        <v>291</v>
      </c>
      <c r="S99" s="168" t="s">
        <v>291</v>
      </c>
      <c r="T99" s="164" t="s">
        <v>291</v>
      </c>
      <c r="U99" s="164" t="s">
        <v>291</v>
      </c>
      <c r="V99" s="164" t="s">
        <v>291</v>
      </c>
      <c r="W99" s="164" t="s">
        <v>291</v>
      </c>
      <c r="X99" s="164" t="s">
        <v>291</v>
      </c>
      <c r="Y99" s="164" t="s">
        <v>291</v>
      </c>
      <c r="Z99" s="164" t="s">
        <v>291</v>
      </c>
      <c r="AA99" s="164" t="s">
        <v>291</v>
      </c>
      <c r="AB99" s="164" t="s">
        <v>291</v>
      </c>
      <c r="AC99" s="166" t="s">
        <v>291</v>
      </c>
      <c r="AD99" s="153" t="s">
        <v>265</v>
      </c>
      <c r="AE99" s="162"/>
      <c r="AF99" s="162"/>
      <c r="AG99" s="134"/>
    </row>
    <row r="100" spans="1:33">
      <c r="A100" s="127" t="str">
        <f>VLOOKUP([1]ListOfRegions!A69,[1]ListOfRegions!A69:B143,2,0)</f>
        <v xml:space="preserve">  Ρόδου</v>
      </c>
      <c r="B100" s="128">
        <v>110</v>
      </c>
      <c r="C100" s="164" t="s">
        <v>291</v>
      </c>
      <c r="D100" s="164" t="s">
        <v>291</v>
      </c>
      <c r="E100" s="164" t="s">
        <v>291</v>
      </c>
      <c r="F100" s="164" t="s">
        <v>291</v>
      </c>
      <c r="G100" s="164" t="s">
        <v>291</v>
      </c>
      <c r="H100" s="164" t="s">
        <v>291</v>
      </c>
      <c r="I100" s="164" t="s">
        <v>291</v>
      </c>
      <c r="J100" s="164" t="s">
        <v>291</v>
      </c>
      <c r="K100" s="163">
        <v>92</v>
      </c>
      <c r="L100" s="163">
        <v>7.2350000000000003</v>
      </c>
      <c r="M100" s="163">
        <v>5</v>
      </c>
      <c r="N100" s="165">
        <v>0.5</v>
      </c>
      <c r="O100" s="164" t="s">
        <v>291</v>
      </c>
      <c r="P100" s="164" t="s">
        <v>291</v>
      </c>
      <c r="Q100" s="166" t="s">
        <v>291</v>
      </c>
      <c r="R100" s="163">
        <v>12</v>
      </c>
      <c r="S100" s="167">
        <v>3.26</v>
      </c>
      <c r="T100" s="164" t="s">
        <v>291</v>
      </c>
      <c r="U100" s="164" t="s">
        <v>291</v>
      </c>
      <c r="V100" s="164" t="s">
        <v>291</v>
      </c>
      <c r="W100" s="164" t="s">
        <v>291</v>
      </c>
      <c r="X100" s="164" t="s">
        <v>291</v>
      </c>
      <c r="Y100" s="164" t="s">
        <v>291</v>
      </c>
      <c r="Z100" s="164" t="s">
        <v>291</v>
      </c>
      <c r="AA100" s="164" t="s">
        <v>291</v>
      </c>
      <c r="AB100" s="163">
        <v>1</v>
      </c>
      <c r="AC100" s="166" t="s">
        <v>291</v>
      </c>
      <c r="AD100" s="153" t="s">
        <v>266</v>
      </c>
      <c r="AE100" s="162"/>
      <c r="AF100" s="162"/>
      <c r="AG100" s="134"/>
    </row>
    <row r="101" spans="1:33">
      <c r="A101" s="127" t="str">
        <f>VLOOKUP([1]ListOfRegions!A70,[1]ListOfRegions!A70:B144,2,0)</f>
        <v xml:space="preserve">  Τήνου</v>
      </c>
      <c r="B101" s="128">
        <v>0</v>
      </c>
      <c r="C101" s="164" t="s">
        <v>291</v>
      </c>
      <c r="D101" s="164" t="s">
        <v>291</v>
      </c>
      <c r="E101" s="164" t="s">
        <v>291</v>
      </c>
      <c r="F101" s="164" t="s">
        <v>291</v>
      </c>
      <c r="G101" s="164" t="s">
        <v>291</v>
      </c>
      <c r="H101" s="164" t="s">
        <v>291</v>
      </c>
      <c r="I101" s="164" t="s">
        <v>291</v>
      </c>
      <c r="J101" s="164" t="s">
        <v>291</v>
      </c>
      <c r="K101" s="164" t="s">
        <v>291</v>
      </c>
      <c r="L101" s="164" t="s">
        <v>291</v>
      </c>
      <c r="M101" s="164" t="s">
        <v>291</v>
      </c>
      <c r="N101" s="166" t="s">
        <v>291</v>
      </c>
      <c r="O101" s="164" t="s">
        <v>291</v>
      </c>
      <c r="P101" s="164" t="s">
        <v>291</v>
      </c>
      <c r="Q101" s="166" t="s">
        <v>291</v>
      </c>
      <c r="R101" s="164" t="s">
        <v>291</v>
      </c>
      <c r="S101" s="168" t="s">
        <v>291</v>
      </c>
      <c r="T101" s="164" t="s">
        <v>291</v>
      </c>
      <c r="U101" s="164" t="s">
        <v>291</v>
      </c>
      <c r="V101" s="164" t="s">
        <v>291</v>
      </c>
      <c r="W101" s="164" t="s">
        <v>291</v>
      </c>
      <c r="X101" s="164" t="s">
        <v>291</v>
      </c>
      <c r="Y101" s="164" t="s">
        <v>291</v>
      </c>
      <c r="Z101" s="164" t="s">
        <v>291</v>
      </c>
      <c r="AA101" s="164" t="s">
        <v>291</v>
      </c>
      <c r="AB101" s="164" t="s">
        <v>291</v>
      </c>
      <c r="AC101" s="166" t="s">
        <v>291</v>
      </c>
      <c r="AD101" s="153" t="s">
        <v>267</v>
      </c>
      <c r="AE101" s="162"/>
      <c r="AF101" s="162"/>
      <c r="AG101" s="134"/>
    </row>
    <row r="102" spans="1:33">
      <c r="A102" s="212" t="s">
        <v>268</v>
      </c>
      <c r="B102" s="198">
        <v>472</v>
      </c>
      <c r="C102" s="210">
        <v>0</v>
      </c>
      <c r="D102" s="210">
        <v>0</v>
      </c>
      <c r="E102" s="210">
        <v>0</v>
      </c>
      <c r="F102" s="210">
        <v>0</v>
      </c>
      <c r="G102" s="210">
        <v>0</v>
      </c>
      <c r="H102" s="210">
        <v>0</v>
      </c>
      <c r="I102" s="210">
        <v>0</v>
      </c>
      <c r="J102" s="210">
        <v>0</v>
      </c>
      <c r="K102" s="210">
        <v>40</v>
      </c>
      <c r="L102" s="210">
        <v>3.04</v>
      </c>
      <c r="M102" s="210">
        <v>7</v>
      </c>
      <c r="N102" s="211">
        <v>0.36</v>
      </c>
      <c r="O102" s="208">
        <v>0</v>
      </c>
      <c r="P102" s="207">
        <v>0</v>
      </c>
      <c r="Q102" s="207">
        <v>0</v>
      </c>
      <c r="R102" s="208">
        <v>42</v>
      </c>
      <c r="S102" s="207">
        <v>11.1</v>
      </c>
      <c r="T102" s="207">
        <v>0</v>
      </c>
      <c r="U102" s="207">
        <v>0</v>
      </c>
      <c r="V102" s="207">
        <v>0</v>
      </c>
      <c r="W102" s="208">
        <v>0</v>
      </c>
      <c r="X102" s="208">
        <v>10</v>
      </c>
      <c r="Y102" s="208">
        <v>5.95</v>
      </c>
      <c r="Z102" s="208">
        <v>0</v>
      </c>
      <c r="AA102" s="208">
        <v>0</v>
      </c>
      <c r="AB102" s="208">
        <v>373</v>
      </c>
      <c r="AC102" s="207">
        <v>0</v>
      </c>
      <c r="AD102" s="209" t="s">
        <v>269</v>
      </c>
      <c r="AE102" s="195"/>
      <c r="AF102" s="195"/>
      <c r="AG102" s="134"/>
    </row>
    <row r="103" spans="1:33">
      <c r="A103" s="212"/>
      <c r="B103" s="213"/>
      <c r="C103" s="210"/>
      <c r="D103" s="210"/>
      <c r="E103" s="210"/>
      <c r="F103" s="210"/>
      <c r="G103" s="210"/>
      <c r="H103" s="210"/>
      <c r="I103" s="210"/>
      <c r="J103" s="210"/>
      <c r="K103" s="210"/>
      <c r="L103" s="210"/>
      <c r="M103" s="210"/>
      <c r="N103" s="211"/>
      <c r="O103" s="208"/>
      <c r="P103" s="207"/>
      <c r="Q103" s="207"/>
      <c r="R103" s="208"/>
      <c r="S103" s="207"/>
      <c r="T103" s="207"/>
      <c r="U103" s="207"/>
      <c r="V103" s="207"/>
      <c r="W103" s="208"/>
      <c r="X103" s="208"/>
      <c r="Y103" s="208"/>
      <c r="Z103" s="208"/>
      <c r="AA103" s="208"/>
      <c r="AB103" s="208"/>
      <c r="AC103" s="207"/>
      <c r="AD103" s="209"/>
      <c r="AE103" s="195"/>
      <c r="AF103" s="195"/>
      <c r="AG103" s="134"/>
    </row>
    <row r="104" spans="1:33">
      <c r="A104" s="127" t="str">
        <f>VLOOKUP([1]ListOfRegions!A71,[1]ListOfRegions!A71:B145,2,0)</f>
        <v xml:space="preserve">  Ηρακλείου</v>
      </c>
      <c r="B104" s="128">
        <v>366</v>
      </c>
      <c r="C104" s="164" t="s">
        <v>291</v>
      </c>
      <c r="D104" s="164" t="s">
        <v>291</v>
      </c>
      <c r="E104" s="164" t="s">
        <v>291</v>
      </c>
      <c r="F104" s="164" t="s">
        <v>291</v>
      </c>
      <c r="G104" s="164" t="s">
        <v>291</v>
      </c>
      <c r="H104" s="164" t="s">
        <v>291</v>
      </c>
      <c r="I104" s="164" t="s">
        <v>291</v>
      </c>
      <c r="J104" s="164" t="s">
        <v>291</v>
      </c>
      <c r="K104" s="163">
        <v>24</v>
      </c>
      <c r="L104" s="163">
        <v>1.94</v>
      </c>
      <c r="M104" s="163">
        <v>7</v>
      </c>
      <c r="N104" s="165">
        <v>0.36</v>
      </c>
      <c r="O104" s="164" t="s">
        <v>291</v>
      </c>
      <c r="P104" s="164" t="s">
        <v>291</v>
      </c>
      <c r="Q104" s="166" t="s">
        <v>291</v>
      </c>
      <c r="R104" s="163">
        <v>30</v>
      </c>
      <c r="S104" s="167">
        <v>2.4</v>
      </c>
      <c r="T104" s="164" t="s">
        <v>291</v>
      </c>
      <c r="U104" s="164" t="s">
        <v>291</v>
      </c>
      <c r="V104" s="164" t="s">
        <v>291</v>
      </c>
      <c r="W104" s="164" t="s">
        <v>291</v>
      </c>
      <c r="X104" s="164" t="s">
        <v>291</v>
      </c>
      <c r="Y104" s="164" t="s">
        <v>291</v>
      </c>
      <c r="Z104" s="164" t="s">
        <v>291</v>
      </c>
      <c r="AA104" s="164" t="s">
        <v>291</v>
      </c>
      <c r="AB104" s="163">
        <v>305</v>
      </c>
      <c r="AC104" s="166" t="s">
        <v>291</v>
      </c>
      <c r="AD104" s="153" t="s">
        <v>270</v>
      </c>
      <c r="AE104" s="162"/>
      <c r="AF104" s="162"/>
      <c r="AG104" s="134"/>
    </row>
    <row r="105" spans="1:33">
      <c r="A105" s="127" t="str">
        <f>VLOOKUP([1]ListOfRegions!A72,[1]ListOfRegions!A72:B146,2,0)</f>
        <v xml:space="preserve">  Λασιθίου</v>
      </c>
      <c r="B105" s="128">
        <v>25</v>
      </c>
      <c r="C105" s="164" t="s">
        <v>291</v>
      </c>
      <c r="D105" s="164" t="s">
        <v>291</v>
      </c>
      <c r="E105" s="164" t="s">
        <v>291</v>
      </c>
      <c r="F105" s="164" t="s">
        <v>291</v>
      </c>
      <c r="G105" s="164" t="s">
        <v>291</v>
      </c>
      <c r="H105" s="164" t="s">
        <v>291</v>
      </c>
      <c r="I105" s="164" t="s">
        <v>291</v>
      </c>
      <c r="J105" s="164" t="s">
        <v>291</v>
      </c>
      <c r="K105" s="164" t="s">
        <v>291</v>
      </c>
      <c r="L105" s="164" t="s">
        <v>291</v>
      </c>
      <c r="M105" s="164" t="s">
        <v>291</v>
      </c>
      <c r="N105" s="166" t="s">
        <v>291</v>
      </c>
      <c r="O105" s="164" t="s">
        <v>291</v>
      </c>
      <c r="P105" s="164" t="s">
        <v>291</v>
      </c>
      <c r="Q105" s="166" t="s">
        <v>291</v>
      </c>
      <c r="R105" s="164" t="s">
        <v>291</v>
      </c>
      <c r="S105" s="168" t="s">
        <v>291</v>
      </c>
      <c r="T105" s="164" t="s">
        <v>291</v>
      </c>
      <c r="U105" s="164" t="s">
        <v>291</v>
      </c>
      <c r="V105" s="164" t="s">
        <v>291</v>
      </c>
      <c r="W105" s="164" t="s">
        <v>291</v>
      </c>
      <c r="X105" s="163">
        <v>10</v>
      </c>
      <c r="Y105" s="163">
        <v>5.95</v>
      </c>
      <c r="Z105" s="164" t="s">
        <v>291</v>
      </c>
      <c r="AA105" s="164" t="s">
        <v>291</v>
      </c>
      <c r="AB105" s="163">
        <v>15</v>
      </c>
      <c r="AC105" s="166" t="s">
        <v>291</v>
      </c>
      <c r="AD105" s="153" t="s">
        <v>271</v>
      </c>
      <c r="AE105" s="162"/>
      <c r="AF105" s="162"/>
      <c r="AG105" s="134"/>
    </row>
    <row r="106" spans="1:33">
      <c r="A106" s="127" t="str">
        <f>VLOOKUP([1]ListOfRegions!A73,[1]ListOfRegions!A73:B147,2,0)</f>
        <v xml:space="preserve">  Ρεθύμνης</v>
      </c>
      <c r="B106" s="128">
        <v>70</v>
      </c>
      <c r="C106" s="164" t="s">
        <v>291</v>
      </c>
      <c r="D106" s="164" t="s">
        <v>291</v>
      </c>
      <c r="E106" s="164" t="s">
        <v>291</v>
      </c>
      <c r="F106" s="164" t="s">
        <v>291</v>
      </c>
      <c r="G106" s="164" t="s">
        <v>291</v>
      </c>
      <c r="H106" s="164" t="s">
        <v>291</v>
      </c>
      <c r="I106" s="164" t="s">
        <v>291</v>
      </c>
      <c r="J106" s="164" t="s">
        <v>291</v>
      </c>
      <c r="K106" s="163">
        <v>16</v>
      </c>
      <c r="L106" s="163">
        <v>1.1000000000000001</v>
      </c>
      <c r="M106" s="164" t="s">
        <v>291</v>
      </c>
      <c r="N106" s="166" t="s">
        <v>291</v>
      </c>
      <c r="O106" s="164" t="s">
        <v>291</v>
      </c>
      <c r="P106" s="164" t="s">
        <v>291</v>
      </c>
      <c r="Q106" s="166" t="s">
        <v>291</v>
      </c>
      <c r="R106" s="163">
        <v>1</v>
      </c>
      <c r="S106" s="167">
        <v>0.2</v>
      </c>
      <c r="T106" s="164" t="s">
        <v>291</v>
      </c>
      <c r="U106" s="164" t="s">
        <v>291</v>
      </c>
      <c r="V106" s="164" t="s">
        <v>291</v>
      </c>
      <c r="W106" s="164" t="s">
        <v>291</v>
      </c>
      <c r="X106" s="164" t="s">
        <v>291</v>
      </c>
      <c r="Y106" s="164" t="s">
        <v>291</v>
      </c>
      <c r="Z106" s="164" t="s">
        <v>291</v>
      </c>
      <c r="AA106" s="164" t="s">
        <v>291</v>
      </c>
      <c r="AB106" s="163">
        <v>53</v>
      </c>
      <c r="AC106" s="166" t="s">
        <v>291</v>
      </c>
      <c r="AD106" s="153" t="s">
        <v>272</v>
      </c>
      <c r="AE106" s="162"/>
      <c r="AF106" s="162"/>
      <c r="AG106" s="134"/>
    </row>
    <row r="107" spans="1:33" ht="10.8" thickBot="1">
      <c r="A107" s="131" t="str">
        <f>VLOOKUP([1]ListOfRegions!A74,[1]ListOfRegions!A74:B148,2,0)</f>
        <v xml:space="preserve">  Χανίων</v>
      </c>
      <c r="B107" s="156">
        <v>11</v>
      </c>
      <c r="C107" s="169" t="s">
        <v>291</v>
      </c>
      <c r="D107" s="169" t="s">
        <v>291</v>
      </c>
      <c r="E107" s="169" t="s">
        <v>291</v>
      </c>
      <c r="F107" s="169" t="s">
        <v>291</v>
      </c>
      <c r="G107" s="169" t="s">
        <v>291</v>
      </c>
      <c r="H107" s="169" t="s">
        <v>291</v>
      </c>
      <c r="I107" s="169" t="s">
        <v>291</v>
      </c>
      <c r="J107" s="169" t="s">
        <v>291</v>
      </c>
      <c r="K107" s="169" t="s">
        <v>291</v>
      </c>
      <c r="L107" s="169" t="s">
        <v>291</v>
      </c>
      <c r="M107" s="169" t="s">
        <v>291</v>
      </c>
      <c r="N107" s="170" t="s">
        <v>291</v>
      </c>
      <c r="O107" s="169" t="s">
        <v>291</v>
      </c>
      <c r="P107" s="169" t="s">
        <v>291</v>
      </c>
      <c r="Q107" s="170" t="s">
        <v>291</v>
      </c>
      <c r="R107" s="171">
        <v>11</v>
      </c>
      <c r="S107" s="172">
        <v>8.5</v>
      </c>
      <c r="T107" s="169" t="s">
        <v>291</v>
      </c>
      <c r="U107" s="169" t="s">
        <v>291</v>
      </c>
      <c r="V107" s="169" t="s">
        <v>291</v>
      </c>
      <c r="W107" s="169" t="s">
        <v>291</v>
      </c>
      <c r="X107" s="169" t="s">
        <v>291</v>
      </c>
      <c r="Y107" s="169" t="s">
        <v>291</v>
      </c>
      <c r="Z107" s="169" t="s">
        <v>291</v>
      </c>
      <c r="AA107" s="169" t="s">
        <v>291</v>
      </c>
      <c r="AB107" s="169" t="s">
        <v>291</v>
      </c>
      <c r="AC107" s="170" t="s">
        <v>291</v>
      </c>
      <c r="AD107" s="154" t="s">
        <v>273</v>
      </c>
      <c r="AE107" s="132"/>
      <c r="AF107" s="132"/>
      <c r="AG107" s="134"/>
    </row>
    <row r="108" spans="1:33">
      <c r="A108" s="127"/>
      <c r="B108" s="157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43"/>
      <c r="AE108" s="130"/>
      <c r="AF108" s="130"/>
      <c r="AG108" s="134"/>
    </row>
    <row r="109" spans="1:33">
      <c r="A109" s="175" t="s">
        <v>274</v>
      </c>
      <c r="AB109" s="121" t="s">
        <v>275</v>
      </c>
      <c r="AC109" s="121"/>
      <c r="AD109" s="155"/>
      <c r="AE109" s="155"/>
      <c r="AF109" s="155"/>
    </row>
    <row r="110" spans="1:33">
      <c r="A110" s="120" t="s">
        <v>287</v>
      </c>
      <c r="AB110" s="267" t="s">
        <v>289</v>
      </c>
      <c r="AC110" s="267"/>
      <c r="AD110" s="267"/>
      <c r="AE110" s="267"/>
      <c r="AF110" s="267"/>
    </row>
    <row r="111" spans="1:33">
      <c r="A111" s="120" t="s">
        <v>288</v>
      </c>
      <c r="B111" s="133"/>
      <c r="C111" s="133"/>
      <c r="AB111" s="266" t="s">
        <v>290</v>
      </c>
      <c r="AC111" s="266"/>
      <c r="AD111" s="266"/>
      <c r="AE111" s="266"/>
      <c r="AF111" s="266"/>
    </row>
    <row r="113" spans="1:14">
      <c r="A113" s="134"/>
    </row>
    <row r="114" spans="1:14">
      <c r="A114" s="134"/>
    </row>
    <row r="115" spans="1:14">
      <c r="A115" s="134"/>
    </row>
    <row r="116" spans="1:14">
      <c r="A116" s="134"/>
    </row>
    <row r="117" spans="1:14">
      <c r="A117" s="134"/>
    </row>
    <row r="118" spans="1:14">
      <c r="A118" s="134"/>
    </row>
    <row r="119" spans="1:14">
      <c r="A119" s="134"/>
    </row>
    <row r="120" spans="1:14">
      <c r="A120" s="134"/>
    </row>
    <row r="121" spans="1:14">
      <c r="A121" s="134"/>
    </row>
    <row r="122" spans="1:14">
      <c r="A122" s="134"/>
    </row>
    <row r="123" spans="1:14">
      <c r="A123" s="135"/>
    </row>
    <row r="124" spans="1:14" s="134" customFormat="1">
      <c r="A124" s="192"/>
      <c r="B124" s="192"/>
      <c r="C124" s="192"/>
      <c r="D124" s="192"/>
      <c r="E124" s="192"/>
      <c r="F124" s="192"/>
      <c r="G124" s="193"/>
      <c r="H124" s="193"/>
      <c r="I124" s="193"/>
      <c r="J124" s="193"/>
      <c r="K124" s="193"/>
      <c r="L124" s="193"/>
      <c r="M124" s="193"/>
      <c r="N124" s="193"/>
    </row>
    <row r="125" spans="1:14" s="134" customFormat="1">
      <c r="A125" s="192"/>
      <c r="B125" s="192"/>
      <c r="C125" s="192"/>
      <c r="D125" s="192"/>
      <c r="E125" s="192"/>
      <c r="F125" s="192"/>
      <c r="G125" s="193"/>
      <c r="H125" s="193"/>
      <c r="I125" s="193"/>
      <c r="J125" s="193"/>
      <c r="K125" s="193"/>
      <c r="L125" s="193"/>
      <c r="M125" s="193"/>
      <c r="N125" s="193"/>
    </row>
    <row r="126" spans="1:14" s="134" customFormat="1">
      <c r="A126" s="192"/>
      <c r="B126" s="192"/>
      <c r="C126" s="192"/>
      <c r="D126" s="192"/>
      <c r="E126" s="192"/>
      <c r="F126" s="192"/>
      <c r="G126" s="193"/>
      <c r="H126" s="193"/>
      <c r="I126" s="193"/>
      <c r="J126" s="193"/>
      <c r="K126" s="193"/>
      <c r="L126" s="193"/>
      <c r="M126" s="193"/>
      <c r="N126" s="193"/>
    </row>
    <row r="127" spans="1:14" s="134" customFormat="1">
      <c r="A127" s="136"/>
      <c r="F127" s="203"/>
      <c r="G127" s="203"/>
      <c r="H127" s="203"/>
      <c r="I127" s="203"/>
      <c r="J127" s="203"/>
      <c r="K127" s="203"/>
      <c r="L127" s="203"/>
      <c r="M127" s="203"/>
      <c r="N127" s="203"/>
    </row>
    <row r="128" spans="1:14" s="134" customFormat="1">
      <c r="A128" s="204"/>
      <c r="B128" s="202"/>
      <c r="C128" s="205"/>
      <c r="D128" s="205"/>
      <c r="E128" s="205"/>
      <c r="F128" s="202"/>
      <c r="G128" s="202"/>
      <c r="H128" s="202"/>
      <c r="I128" s="202"/>
      <c r="J128" s="202"/>
      <c r="K128" s="202"/>
      <c r="L128" s="202"/>
      <c r="M128" s="202"/>
      <c r="N128" s="202"/>
    </row>
    <row r="129" spans="1:14" s="134" customFormat="1">
      <c r="A129" s="204"/>
      <c r="B129" s="205"/>
      <c r="C129" s="205"/>
      <c r="D129" s="205"/>
      <c r="E129" s="205"/>
      <c r="F129" s="202"/>
      <c r="G129" s="202"/>
      <c r="H129" s="202"/>
      <c r="I129" s="202"/>
      <c r="J129" s="202"/>
      <c r="K129" s="202"/>
      <c r="L129" s="202"/>
      <c r="M129" s="202"/>
      <c r="N129" s="202"/>
    </row>
    <row r="130" spans="1:14" s="134" customFormat="1">
      <c r="A130" s="204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</row>
    <row r="131" spans="1:14" s="134" customFormat="1">
      <c r="A131" s="204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202"/>
    </row>
    <row r="132" spans="1:14" s="134" customFormat="1">
      <c r="A132" s="138"/>
      <c r="N132" s="139"/>
    </row>
    <row r="133" spans="1:14" s="134" customFormat="1">
      <c r="A133" s="140"/>
      <c r="N133" s="139"/>
    </row>
    <row r="134" spans="1:14" s="134" customFormat="1">
      <c r="A134" s="199"/>
      <c r="B134" s="201"/>
      <c r="C134" s="201"/>
      <c r="D134" s="201"/>
      <c r="E134" s="201"/>
      <c r="F134" s="201"/>
      <c r="G134" s="201"/>
      <c r="H134" s="201"/>
      <c r="I134" s="141"/>
      <c r="J134" s="141"/>
      <c r="K134" s="201"/>
      <c r="L134" s="201"/>
      <c r="M134" s="201"/>
      <c r="N134" s="206"/>
    </row>
    <row r="135" spans="1:14" s="134" customFormat="1">
      <c r="A135" s="199"/>
      <c r="B135" s="201"/>
      <c r="C135" s="201"/>
      <c r="D135" s="201"/>
      <c r="E135" s="201"/>
      <c r="F135" s="201"/>
      <c r="G135" s="201"/>
      <c r="H135" s="201"/>
      <c r="I135" s="141"/>
      <c r="J135" s="141"/>
      <c r="K135" s="201"/>
      <c r="L135" s="201"/>
      <c r="M135" s="201"/>
      <c r="N135" s="206"/>
    </row>
    <row r="136" spans="1:14" s="134" customFormat="1">
      <c r="A136" s="199"/>
      <c r="B136" s="201"/>
      <c r="C136" s="201"/>
      <c r="D136" s="201"/>
      <c r="E136" s="201"/>
      <c r="F136" s="201"/>
      <c r="G136" s="201"/>
      <c r="H136" s="201"/>
      <c r="I136" s="141"/>
      <c r="J136" s="141"/>
      <c r="K136" s="201"/>
      <c r="L136" s="201"/>
      <c r="M136" s="201"/>
      <c r="N136" s="206"/>
    </row>
    <row r="137" spans="1:14" s="134" customFormat="1">
      <c r="A137" s="140"/>
      <c r="F137" s="142"/>
      <c r="G137" s="142"/>
      <c r="N137" s="143"/>
    </row>
    <row r="138" spans="1:14" s="134" customFormat="1">
      <c r="A138" s="140"/>
      <c r="F138" s="142"/>
      <c r="G138" s="142"/>
      <c r="N138" s="143"/>
    </row>
    <row r="139" spans="1:14" s="134" customFormat="1">
      <c r="A139" s="140"/>
      <c r="F139" s="142"/>
      <c r="G139" s="142"/>
      <c r="N139" s="143"/>
    </row>
    <row r="140" spans="1:14" s="134" customFormat="1">
      <c r="A140" s="140"/>
      <c r="F140" s="142"/>
      <c r="G140" s="142"/>
      <c r="N140" s="143"/>
    </row>
    <row r="141" spans="1:14" s="134" customFormat="1">
      <c r="A141" s="140"/>
      <c r="F141" s="142"/>
      <c r="G141" s="142"/>
      <c r="N141" s="143"/>
    </row>
    <row r="142" spans="1:14" s="134" customFormat="1">
      <c r="A142" s="140"/>
      <c r="F142" s="142"/>
      <c r="G142" s="142"/>
      <c r="N142" s="143"/>
    </row>
    <row r="143" spans="1:14" s="134" customFormat="1">
      <c r="A143" s="199"/>
      <c r="N143" s="200"/>
    </row>
    <row r="144" spans="1:14" s="134" customFormat="1">
      <c r="A144" s="199"/>
      <c r="N144" s="200"/>
    </row>
    <row r="145" spans="1:14" s="134" customFormat="1">
      <c r="A145" s="140"/>
      <c r="F145" s="142"/>
      <c r="G145" s="142"/>
      <c r="N145" s="143"/>
    </row>
    <row r="146" spans="1:14" s="134" customFormat="1">
      <c r="A146" s="140"/>
      <c r="F146" s="142"/>
      <c r="G146" s="142"/>
      <c r="N146" s="143"/>
    </row>
    <row r="147" spans="1:14" s="134" customFormat="1">
      <c r="A147" s="140"/>
      <c r="F147" s="142"/>
      <c r="G147" s="142"/>
      <c r="N147" s="143"/>
    </row>
    <row r="148" spans="1:14" s="134" customFormat="1">
      <c r="A148" s="140"/>
      <c r="F148" s="142"/>
      <c r="G148" s="142"/>
      <c r="N148" s="143"/>
    </row>
    <row r="149" spans="1:14" s="134" customFormat="1">
      <c r="A149" s="140"/>
      <c r="F149" s="142"/>
      <c r="G149" s="142"/>
      <c r="N149" s="143"/>
    </row>
    <row r="150" spans="1:14" s="134" customFormat="1">
      <c r="A150" s="140"/>
      <c r="F150" s="142"/>
      <c r="G150" s="142"/>
      <c r="N150" s="143"/>
    </row>
    <row r="151" spans="1:14" s="134" customFormat="1">
      <c r="A151" s="140"/>
      <c r="F151" s="142"/>
      <c r="G151" s="142"/>
      <c r="N151" s="143"/>
    </row>
    <row r="152" spans="1:14" s="134" customFormat="1">
      <c r="A152" s="140"/>
      <c r="F152" s="142"/>
      <c r="G152" s="142"/>
      <c r="N152" s="143"/>
    </row>
    <row r="153" spans="1:14" s="134" customFormat="1">
      <c r="A153" s="140"/>
      <c r="F153" s="142"/>
      <c r="G153" s="142"/>
      <c r="N153" s="143"/>
    </row>
    <row r="154" spans="1:14" s="134" customFormat="1">
      <c r="A154" s="140"/>
      <c r="F154" s="142"/>
      <c r="G154" s="142"/>
      <c r="N154" s="143"/>
    </row>
    <row r="155" spans="1:14" s="134" customFormat="1">
      <c r="A155" s="140"/>
      <c r="F155" s="142"/>
      <c r="G155" s="142"/>
      <c r="N155" s="143"/>
    </row>
    <row r="156" spans="1:14" s="134" customFormat="1">
      <c r="A156" s="194"/>
      <c r="N156" s="195"/>
    </row>
    <row r="157" spans="1:14" s="134" customFormat="1">
      <c r="A157" s="194"/>
      <c r="N157" s="195"/>
    </row>
    <row r="158" spans="1:14" s="134" customFormat="1">
      <c r="A158" s="140"/>
      <c r="F158" s="142"/>
      <c r="G158" s="142"/>
      <c r="N158" s="143"/>
    </row>
    <row r="159" spans="1:14" s="134" customFormat="1">
      <c r="A159" s="140"/>
      <c r="F159" s="142"/>
      <c r="G159" s="142"/>
      <c r="N159" s="143"/>
    </row>
    <row r="160" spans="1:14" s="134" customFormat="1">
      <c r="A160" s="140"/>
      <c r="F160" s="142"/>
      <c r="G160" s="142"/>
      <c r="N160" s="143"/>
    </row>
    <row r="161" spans="1:14" s="134" customFormat="1">
      <c r="A161" s="140"/>
      <c r="F161" s="142"/>
      <c r="G161" s="142"/>
      <c r="N161" s="143"/>
    </row>
    <row r="162" spans="1:14" s="134" customFormat="1">
      <c r="A162" s="194"/>
      <c r="N162" s="195"/>
    </row>
    <row r="163" spans="1:14" s="134" customFormat="1">
      <c r="A163" s="194"/>
      <c r="N163" s="195"/>
    </row>
    <row r="164" spans="1:14" s="134" customFormat="1">
      <c r="A164" s="140"/>
      <c r="F164" s="142"/>
      <c r="G164" s="142"/>
      <c r="N164" s="143"/>
    </row>
    <row r="165" spans="1:14" s="134" customFormat="1">
      <c r="A165" s="140"/>
      <c r="F165" s="142"/>
      <c r="G165" s="142"/>
      <c r="N165" s="143"/>
    </row>
    <row r="166" spans="1:14" s="134" customFormat="1">
      <c r="A166" s="140"/>
      <c r="F166" s="142"/>
      <c r="G166" s="142"/>
      <c r="N166" s="143"/>
    </row>
    <row r="167" spans="1:14" s="134" customFormat="1">
      <c r="A167" s="140"/>
      <c r="F167" s="142"/>
      <c r="G167" s="142"/>
      <c r="N167" s="143"/>
    </row>
    <row r="168" spans="1:14" s="134" customFormat="1">
      <c r="A168" s="140"/>
      <c r="F168" s="142"/>
      <c r="G168" s="142"/>
      <c r="N168" s="143"/>
    </row>
    <row r="169" spans="1:14" s="134" customFormat="1">
      <c r="A169" s="194"/>
      <c r="N169" s="195"/>
    </row>
    <row r="170" spans="1:14" s="134" customFormat="1">
      <c r="A170" s="194"/>
      <c r="N170" s="195"/>
    </row>
    <row r="171" spans="1:14" s="134" customFormat="1">
      <c r="A171" s="140"/>
      <c r="F171" s="142"/>
      <c r="G171" s="142"/>
      <c r="N171" s="143"/>
    </row>
    <row r="172" spans="1:14" s="134" customFormat="1">
      <c r="A172" s="140"/>
      <c r="F172" s="142"/>
      <c r="G172" s="142"/>
      <c r="N172" s="143"/>
    </row>
    <row r="173" spans="1:14" s="134" customFormat="1">
      <c r="A173" s="140"/>
      <c r="F173" s="142"/>
      <c r="G173" s="142"/>
      <c r="N173" s="143"/>
    </row>
    <row r="174" spans="1:14" s="134" customFormat="1">
      <c r="A174" s="140"/>
      <c r="F174" s="142"/>
      <c r="G174" s="142"/>
      <c r="N174" s="143"/>
    </row>
    <row r="175" spans="1:14" s="134" customFormat="1">
      <c r="A175" s="140"/>
      <c r="F175" s="142"/>
      <c r="G175" s="142"/>
      <c r="N175" s="143"/>
    </row>
    <row r="176" spans="1:14" s="134" customFormat="1">
      <c r="A176" s="194"/>
      <c r="N176" s="195"/>
    </row>
    <row r="177" spans="1:14" s="134" customFormat="1">
      <c r="A177" s="194"/>
      <c r="N177" s="195"/>
    </row>
    <row r="178" spans="1:14" s="134" customFormat="1">
      <c r="A178" s="140"/>
      <c r="F178" s="142"/>
      <c r="G178" s="142"/>
      <c r="N178" s="143"/>
    </row>
    <row r="179" spans="1:14" s="134" customFormat="1">
      <c r="A179" s="140"/>
      <c r="F179" s="142"/>
      <c r="G179" s="142"/>
      <c r="N179" s="143"/>
    </row>
    <row r="180" spans="1:14" s="134" customFormat="1">
      <c r="A180" s="140"/>
      <c r="F180" s="142"/>
      <c r="G180" s="142"/>
      <c r="N180" s="143"/>
    </row>
    <row r="181" spans="1:14" s="134" customFormat="1">
      <c r="A181" s="140"/>
      <c r="F181" s="142"/>
      <c r="G181" s="142"/>
      <c r="N181" s="143"/>
    </row>
    <row r="182" spans="1:14" s="134" customFormat="1">
      <c r="A182" s="140"/>
      <c r="F182" s="142"/>
      <c r="G182" s="142"/>
      <c r="N182" s="143"/>
    </row>
    <row r="183" spans="1:14" s="134" customFormat="1">
      <c r="A183" s="194"/>
      <c r="N183" s="195"/>
    </row>
    <row r="184" spans="1:14" s="134" customFormat="1">
      <c r="A184" s="194"/>
      <c r="N184" s="195"/>
    </row>
    <row r="185" spans="1:14" s="134" customFormat="1">
      <c r="A185" s="140"/>
      <c r="F185" s="142"/>
      <c r="G185" s="142"/>
      <c r="N185" s="143"/>
    </row>
    <row r="186" spans="1:14" s="134" customFormat="1">
      <c r="A186" s="140"/>
      <c r="F186" s="142"/>
      <c r="G186" s="142"/>
      <c r="N186" s="143"/>
    </row>
    <row r="187" spans="1:14" s="134" customFormat="1">
      <c r="A187" s="140"/>
      <c r="F187" s="142"/>
      <c r="G187" s="142"/>
      <c r="N187" s="143"/>
    </row>
    <row r="188" spans="1:14" s="134" customFormat="1">
      <c r="A188" s="194"/>
      <c r="N188" s="195"/>
    </row>
    <row r="189" spans="1:14" s="134" customFormat="1">
      <c r="A189" s="194"/>
      <c r="N189" s="195"/>
    </row>
    <row r="190" spans="1:14" s="134" customFormat="1">
      <c r="A190" s="140"/>
      <c r="F190" s="142"/>
      <c r="G190" s="142"/>
      <c r="N190" s="143"/>
    </row>
    <row r="191" spans="1:14" s="134" customFormat="1">
      <c r="A191" s="140"/>
      <c r="F191" s="142"/>
      <c r="G191" s="142"/>
      <c r="N191" s="143"/>
    </row>
    <row r="192" spans="1:14" s="134" customFormat="1">
      <c r="A192" s="140"/>
      <c r="F192" s="142"/>
      <c r="G192" s="142"/>
      <c r="N192" s="143"/>
    </row>
    <row r="193" spans="1:14" s="134" customFormat="1">
      <c r="A193" s="140"/>
      <c r="F193" s="142"/>
      <c r="G193" s="142"/>
      <c r="N193" s="143"/>
    </row>
    <row r="194" spans="1:14" s="134" customFormat="1">
      <c r="A194" s="140"/>
      <c r="F194" s="142"/>
      <c r="G194" s="142"/>
      <c r="N194" s="143"/>
    </row>
    <row r="195" spans="1:14" s="134" customFormat="1">
      <c r="A195" s="194"/>
      <c r="N195" s="195"/>
    </row>
    <row r="196" spans="1:14" s="134" customFormat="1">
      <c r="A196" s="194"/>
      <c r="N196" s="195"/>
    </row>
    <row r="197" spans="1:14" s="134" customFormat="1">
      <c r="A197" s="140"/>
      <c r="F197" s="142"/>
      <c r="G197" s="142"/>
      <c r="N197" s="143"/>
    </row>
    <row r="198" spans="1:14" s="134" customFormat="1">
      <c r="A198" s="140"/>
      <c r="F198" s="142"/>
      <c r="G198" s="142"/>
      <c r="N198" s="143"/>
    </row>
    <row r="199" spans="1:14" s="134" customFormat="1">
      <c r="A199" s="140"/>
      <c r="F199" s="142"/>
      <c r="G199" s="142"/>
      <c r="N199" s="143"/>
    </row>
    <row r="200" spans="1:14" s="134" customFormat="1">
      <c r="A200" s="140"/>
      <c r="F200" s="142"/>
      <c r="G200" s="142"/>
      <c r="N200" s="143"/>
    </row>
    <row r="201" spans="1:14" s="134" customFormat="1">
      <c r="A201" s="140"/>
      <c r="F201" s="142"/>
      <c r="G201" s="142"/>
      <c r="N201" s="143"/>
    </row>
    <row r="202" spans="1:14" s="134" customFormat="1">
      <c r="A202" s="140"/>
      <c r="F202" s="142"/>
      <c r="G202" s="142"/>
      <c r="N202" s="143"/>
    </row>
    <row r="203" spans="1:14" s="134" customFormat="1">
      <c r="A203" s="140"/>
      <c r="F203" s="142"/>
      <c r="G203" s="142"/>
      <c r="N203" s="143"/>
    </row>
    <row r="204" spans="1:14" s="134" customFormat="1">
      <c r="A204" s="140"/>
      <c r="F204" s="142"/>
      <c r="G204" s="142"/>
      <c r="N204" s="143"/>
    </row>
    <row r="205" spans="1:14" s="134" customFormat="1">
      <c r="A205" s="194"/>
      <c r="N205" s="195"/>
    </row>
    <row r="206" spans="1:14" s="134" customFormat="1">
      <c r="A206" s="194"/>
      <c r="N206" s="195"/>
    </row>
    <row r="207" spans="1:14" s="134" customFormat="1">
      <c r="A207" s="140"/>
      <c r="F207" s="142"/>
      <c r="G207" s="142"/>
      <c r="N207" s="143"/>
    </row>
    <row r="208" spans="1:14" s="134" customFormat="1">
      <c r="A208" s="140"/>
      <c r="F208" s="142"/>
      <c r="G208" s="142"/>
      <c r="N208" s="143"/>
    </row>
    <row r="209" spans="1:14" s="134" customFormat="1">
      <c r="A209" s="140"/>
      <c r="F209" s="142"/>
      <c r="G209" s="142"/>
      <c r="N209" s="143"/>
    </row>
    <row r="210" spans="1:14" s="134" customFormat="1">
      <c r="A210" s="140"/>
      <c r="F210" s="142"/>
      <c r="G210" s="142"/>
      <c r="N210" s="143"/>
    </row>
    <row r="211" spans="1:14" s="134" customFormat="1">
      <c r="A211" s="140"/>
      <c r="F211" s="142"/>
      <c r="G211" s="142"/>
      <c r="N211" s="143"/>
    </row>
    <row r="212" spans="1:14" s="134" customFormat="1">
      <c r="A212" s="194"/>
      <c r="N212" s="195"/>
    </row>
    <row r="213" spans="1:14" s="134" customFormat="1">
      <c r="A213" s="194"/>
      <c r="N213" s="195"/>
    </row>
    <row r="214" spans="1:14" s="134" customFormat="1">
      <c r="A214" s="140"/>
      <c r="F214" s="142"/>
      <c r="G214" s="142"/>
      <c r="N214" s="143"/>
    </row>
    <row r="215" spans="1:14" s="134" customFormat="1">
      <c r="A215" s="140"/>
      <c r="F215" s="142"/>
      <c r="G215" s="142"/>
      <c r="N215" s="143"/>
    </row>
    <row r="216" spans="1:14" s="134" customFormat="1">
      <c r="A216" s="140"/>
      <c r="F216" s="142"/>
      <c r="G216" s="142"/>
      <c r="N216" s="143"/>
    </row>
    <row r="217" spans="1:14" s="134" customFormat="1">
      <c r="A217" s="140"/>
      <c r="F217" s="142"/>
      <c r="G217" s="142"/>
      <c r="N217" s="143"/>
    </row>
    <row r="218" spans="1:14" s="134" customFormat="1">
      <c r="A218" s="140"/>
      <c r="F218" s="142"/>
      <c r="G218" s="142"/>
      <c r="N218" s="143"/>
    </row>
    <row r="219" spans="1:14" s="134" customFormat="1">
      <c r="A219" s="140"/>
      <c r="F219" s="142"/>
      <c r="G219" s="142"/>
      <c r="N219" s="143"/>
    </row>
    <row r="220" spans="1:14" s="134" customFormat="1">
      <c r="A220" s="140"/>
      <c r="F220" s="142"/>
      <c r="G220" s="142"/>
      <c r="N220" s="143"/>
    </row>
    <row r="221" spans="1:14" s="134" customFormat="1">
      <c r="A221" s="140"/>
      <c r="F221" s="142"/>
      <c r="G221" s="142"/>
      <c r="N221" s="143"/>
    </row>
    <row r="222" spans="1:14" s="134" customFormat="1">
      <c r="A222" s="140"/>
      <c r="F222" s="142"/>
      <c r="G222" s="142"/>
      <c r="N222" s="143"/>
    </row>
    <row r="223" spans="1:14" s="134" customFormat="1">
      <c r="A223" s="140"/>
      <c r="F223" s="142"/>
      <c r="G223" s="142"/>
      <c r="N223" s="143"/>
    </row>
    <row r="224" spans="1:14" s="134" customFormat="1">
      <c r="A224" s="140"/>
      <c r="F224" s="142"/>
      <c r="G224" s="142"/>
      <c r="N224" s="143"/>
    </row>
    <row r="225" spans="1:14" s="134" customFormat="1">
      <c r="A225" s="140"/>
      <c r="F225" s="142"/>
      <c r="G225" s="142"/>
      <c r="N225" s="143"/>
    </row>
    <row r="226" spans="1:14" s="134" customFormat="1">
      <c r="A226" s="140"/>
      <c r="F226" s="142"/>
      <c r="G226" s="142"/>
      <c r="N226" s="143"/>
    </row>
    <row r="227" spans="1:14" s="134" customFormat="1">
      <c r="A227" s="194"/>
      <c r="N227" s="195"/>
    </row>
    <row r="228" spans="1:14" s="134" customFormat="1">
      <c r="A228" s="194"/>
      <c r="N228" s="195"/>
    </row>
    <row r="229" spans="1:14" s="134" customFormat="1">
      <c r="A229" s="140"/>
      <c r="F229" s="142"/>
      <c r="G229" s="142"/>
      <c r="N229" s="143"/>
    </row>
    <row r="230" spans="1:14" s="134" customFormat="1">
      <c r="A230" s="140"/>
      <c r="F230" s="142"/>
      <c r="G230" s="142"/>
      <c r="N230" s="143"/>
    </row>
    <row r="231" spans="1:14" s="134" customFormat="1">
      <c r="A231" s="140"/>
      <c r="F231" s="142"/>
      <c r="G231" s="142"/>
      <c r="N231" s="143"/>
    </row>
    <row r="232" spans="1:14" s="134" customFormat="1">
      <c r="A232" s="140"/>
      <c r="F232" s="142"/>
      <c r="G232" s="142"/>
      <c r="N232" s="143"/>
    </row>
    <row r="233" spans="1:14" s="134" customFormat="1">
      <c r="A233" s="140"/>
    </row>
    <row r="234" spans="1:14">
      <c r="A234" s="144"/>
    </row>
  </sheetData>
  <mergeCells count="462">
    <mergeCell ref="J8:J9"/>
    <mergeCell ref="I8:I9"/>
    <mergeCell ref="AB111:AF111"/>
    <mergeCell ref="AB110:AF110"/>
    <mergeCell ref="AC80:AC81"/>
    <mergeCell ref="AB80:AB81"/>
    <mergeCell ref="AA80:AA81"/>
    <mergeCell ref="Z80:Z81"/>
    <mergeCell ref="Y80:Y81"/>
    <mergeCell ref="AC102:AC103"/>
    <mergeCell ref="AB102:AB103"/>
    <mergeCell ref="AA102:AA103"/>
    <mergeCell ref="Z102:Z103"/>
    <mergeCell ref="Y102:Y103"/>
    <mergeCell ref="AC51:AC52"/>
    <mergeCell ref="AB51:AB52"/>
    <mergeCell ref="AA51:AA52"/>
    <mergeCell ref="Z51:Z52"/>
    <mergeCell ref="Y51:Y52"/>
    <mergeCell ref="AC70:AC71"/>
    <mergeCell ref="AB70:AB71"/>
    <mergeCell ref="AA70:AA71"/>
    <mergeCell ref="AC63:AC64"/>
    <mergeCell ref="AB63:AB64"/>
    <mergeCell ref="AA63:AA64"/>
    <mergeCell ref="Z63:Z64"/>
    <mergeCell ref="Y63:Y64"/>
    <mergeCell ref="AC18:AC19"/>
    <mergeCell ref="AB18:AB19"/>
    <mergeCell ref="AA18:AA19"/>
    <mergeCell ref="Z18:Z19"/>
    <mergeCell ref="Y18:Y19"/>
    <mergeCell ref="B31:B32"/>
    <mergeCell ref="B63:B64"/>
    <mergeCell ref="X18:X19"/>
    <mergeCell ref="U18:U19"/>
    <mergeCell ref="V18:V19"/>
    <mergeCell ref="W18:W19"/>
    <mergeCell ref="I18:I19"/>
    <mergeCell ref="J18:J19"/>
    <mergeCell ref="T31:T32"/>
    <mergeCell ref="U31:U32"/>
    <mergeCell ref="V31:V32"/>
    <mergeCell ref="W31:W32"/>
    <mergeCell ref="X31:X32"/>
    <mergeCell ref="L44:L45"/>
    <mergeCell ref="M44:M45"/>
    <mergeCell ref="F37:F38"/>
    <mergeCell ref="B70:B71"/>
    <mergeCell ref="B80:B81"/>
    <mergeCell ref="AC31:AC32"/>
    <mergeCell ref="AB31:AB32"/>
    <mergeCell ref="AA31:AA32"/>
    <mergeCell ref="Z31:Z32"/>
    <mergeCell ref="Y31:Y32"/>
    <mergeCell ref="AC37:AC38"/>
    <mergeCell ref="AB37:AB38"/>
    <mergeCell ref="AA37:AA38"/>
    <mergeCell ref="Z37:Z38"/>
    <mergeCell ref="Y37:Y38"/>
    <mergeCell ref="AC44:AC45"/>
    <mergeCell ref="AB44:AB45"/>
    <mergeCell ref="AA44:AA45"/>
    <mergeCell ref="Z44:Z45"/>
    <mergeCell ref="Y44:Y45"/>
    <mergeCell ref="F31:F32"/>
    <mergeCell ref="G31:G32"/>
    <mergeCell ref="H31:H32"/>
    <mergeCell ref="K31:K32"/>
    <mergeCell ref="L31:L32"/>
    <mergeCell ref="I31:I32"/>
    <mergeCell ref="J31:J32"/>
    <mergeCell ref="A1:F1"/>
    <mergeCell ref="G1:N1"/>
    <mergeCell ref="O3:R3"/>
    <mergeCell ref="V4:W6"/>
    <mergeCell ref="AC4:AC6"/>
    <mergeCell ref="G6:H6"/>
    <mergeCell ref="I6:J6"/>
    <mergeCell ref="G4:J5"/>
    <mergeCell ref="AC3:AF3"/>
    <mergeCell ref="E8:E9"/>
    <mergeCell ref="F8:F9"/>
    <mergeCell ref="AD4:AF7"/>
    <mergeCell ref="O4:Q5"/>
    <mergeCell ref="R4:S6"/>
    <mergeCell ref="T4:U6"/>
    <mergeCell ref="A4:A7"/>
    <mergeCell ref="B4:B7"/>
    <mergeCell ref="C4:F5"/>
    <mergeCell ref="K4:L6"/>
    <mergeCell ref="M4:N6"/>
    <mergeCell ref="U8:U9"/>
    <mergeCell ref="V8:V9"/>
    <mergeCell ref="W8:W9"/>
    <mergeCell ref="X8:X9"/>
    <mergeCell ref="AD8:AF9"/>
    <mergeCell ref="S8:S9"/>
    <mergeCell ref="T8:T9"/>
    <mergeCell ref="Z4:AA6"/>
    <mergeCell ref="X4:Y6"/>
    <mergeCell ref="AB4:AB6"/>
    <mergeCell ref="Y8:Y9"/>
    <mergeCell ref="AC8:AC9"/>
    <mergeCell ref="AB8:AB9"/>
    <mergeCell ref="A10:A11"/>
    <mergeCell ref="B10:B11"/>
    <mergeCell ref="C10:C11"/>
    <mergeCell ref="D10:D11"/>
    <mergeCell ref="E10:E11"/>
    <mergeCell ref="O8:O9"/>
    <mergeCell ref="P8:P9"/>
    <mergeCell ref="Q8:Q9"/>
    <mergeCell ref="R8:R9"/>
    <mergeCell ref="G8:G9"/>
    <mergeCell ref="H8:H9"/>
    <mergeCell ref="K8:K9"/>
    <mergeCell ref="L8:L9"/>
    <mergeCell ref="M8:M9"/>
    <mergeCell ref="N8:N9"/>
    <mergeCell ref="A8:A9"/>
    <mergeCell ref="B8:B9"/>
    <mergeCell ref="N10:N11"/>
    <mergeCell ref="O10:O11"/>
    <mergeCell ref="P10:P11"/>
    <mergeCell ref="Q10:Q11"/>
    <mergeCell ref="R10:R11"/>
    <mergeCell ref="C8:C9"/>
    <mergeCell ref="D8:D9"/>
    <mergeCell ref="S10:S11"/>
    <mergeCell ref="F10:F11"/>
    <mergeCell ref="G10:G11"/>
    <mergeCell ref="H10:H11"/>
    <mergeCell ref="K10:K11"/>
    <mergeCell ref="L10:L11"/>
    <mergeCell ref="M10:M11"/>
    <mergeCell ref="I10:I11"/>
    <mergeCell ref="J10:J11"/>
    <mergeCell ref="T10:T11"/>
    <mergeCell ref="U10:U11"/>
    <mergeCell ref="V10:V11"/>
    <mergeCell ref="W10:W11"/>
    <mergeCell ref="X10:X11"/>
    <mergeCell ref="AD10:AF11"/>
    <mergeCell ref="AC10:AC11"/>
    <mergeCell ref="AB10:AB11"/>
    <mergeCell ref="AA10:AA11"/>
    <mergeCell ref="Z10:Z11"/>
    <mergeCell ref="Y10:Y11"/>
    <mergeCell ref="AD18:AF19"/>
    <mergeCell ref="A31:A32"/>
    <mergeCell ref="C31:C32"/>
    <mergeCell ref="D31:D32"/>
    <mergeCell ref="E31:E32"/>
    <mergeCell ref="O18:O19"/>
    <mergeCell ref="P18:P19"/>
    <mergeCell ref="Q18:Q19"/>
    <mergeCell ref="R18:R19"/>
    <mergeCell ref="S18:S19"/>
    <mergeCell ref="T18:T19"/>
    <mergeCell ref="G18:G19"/>
    <mergeCell ref="H18:H19"/>
    <mergeCell ref="K18:K19"/>
    <mergeCell ref="L18:L19"/>
    <mergeCell ref="M18:M19"/>
    <mergeCell ref="N18:N19"/>
    <mergeCell ref="A18:A19"/>
    <mergeCell ref="C18:C19"/>
    <mergeCell ref="D18:D19"/>
    <mergeCell ref="E18:E19"/>
    <mergeCell ref="F18:F19"/>
    <mergeCell ref="B18:B19"/>
    <mergeCell ref="M31:M32"/>
    <mergeCell ref="AD31:AF32"/>
    <mergeCell ref="N31:N32"/>
    <mergeCell ref="O31:O32"/>
    <mergeCell ref="P31:P32"/>
    <mergeCell ref="Q31:Q32"/>
    <mergeCell ref="R31:R32"/>
    <mergeCell ref="S31:S32"/>
    <mergeCell ref="X37:X38"/>
    <mergeCell ref="AD37:AF38"/>
    <mergeCell ref="S37:S38"/>
    <mergeCell ref="T37:T38"/>
    <mergeCell ref="U37:U38"/>
    <mergeCell ref="V37:V38"/>
    <mergeCell ref="W37:W38"/>
    <mergeCell ref="A44:A45"/>
    <mergeCell ref="B44:B45"/>
    <mergeCell ref="C44:C45"/>
    <mergeCell ref="D44:D45"/>
    <mergeCell ref="E44:E45"/>
    <mergeCell ref="O37:O38"/>
    <mergeCell ref="P37:P38"/>
    <mergeCell ref="Q37:Q38"/>
    <mergeCell ref="R37:R38"/>
    <mergeCell ref="G37:G38"/>
    <mergeCell ref="H37:H38"/>
    <mergeCell ref="K37:K38"/>
    <mergeCell ref="L37:L38"/>
    <mergeCell ref="M37:M38"/>
    <mergeCell ref="N37:N38"/>
    <mergeCell ref="A37:A38"/>
    <mergeCell ref="B37:B38"/>
    <mergeCell ref="C37:C38"/>
    <mergeCell ref="D37:D38"/>
    <mergeCell ref="E37:E38"/>
    <mergeCell ref="F44:F45"/>
    <mergeCell ref="G44:G45"/>
    <mergeCell ref="H44:H45"/>
    <mergeCell ref="K44:K45"/>
    <mergeCell ref="I37:I38"/>
    <mergeCell ref="J37:J38"/>
    <mergeCell ref="I44:I45"/>
    <mergeCell ref="J44:J45"/>
    <mergeCell ref="T44:T45"/>
    <mergeCell ref="U44:U45"/>
    <mergeCell ref="V44:V45"/>
    <mergeCell ref="W44:W45"/>
    <mergeCell ref="X44:X45"/>
    <mergeCell ref="AD44:AF45"/>
    <mergeCell ref="N44:N45"/>
    <mergeCell ref="O44:O45"/>
    <mergeCell ref="P44:P45"/>
    <mergeCell ref="Q44:Q45"/>
    <mergeCell ref="R44:R45"/>
    <mergeCell ref="S44:S45"/>
    <mergeCell ref="X51:X52"/>
    <mergeCell ref="AD51:AF52"/>
    <mergeCell ref="S51:S52"/>
    <mergeCell ref="T51:T52"/>
    <mergeCell ref="A58:A59"/>
    <mergeCell ref="B58:B59"/>
    <mergeCell ref="C58:C59"/>
    <mergeCell ref="D58:D59"/>
    <mergeCell ref="E58:E59"/>
    <mergeCell ref="O51:O52"/>
    <mergeCell ref="P51:P52"/>
    <mergeCell ref="Q51:Q52"/>
    <mergeCell ref="R51:R52"/>
    <mergeCell ref="G51:G52"/>
    <mergeCell ref="H51:H52"/>
    <mergeCell ref="K51:K52"/>
    <mergeCell ref="L51:L52"/>
    <mergeCell ref="M51:M52"/>
    <mergeCell ref="N51:N52"/>
    <mergeCell ref="A51:A52"/>
    <mergeCell ref="C51:C52"/>
    <mergeCell ref="D51:D52"/>
    <mergeCell ref="E51:E52"/>
    <mergeCell ref="F58:F59"/>
    <mergeCell ref="G58:G59"/>
    <mergeCell ref="H58:H59"/>
    <mergeCell ref="K58:K59"/>
    <mergeCell ref="L58:L59"/>
    <mergeCell ref="M58:M59"/>
    <mergeCell ref="U51:U52"/>
    <mergeCell ref="V51:V52"/>
    <mergeCell ref="W51:W52"/>
    <mergeCell ref="F51:F52"/>
    <mergeCell ref="I51:I52"/>
    <mergeCell ref="J51:J52"/>
    <mergeCell ref="I58:I59"/>
    <mergeCell ref="J58:J59"/>
    <mergeCell ref="T58:T59"/>
    <mergeCell ref="U58:U59"/>
    <mergeCell ref="V58:V59"/>
    <mergeCell ref="W58:W59"/>
    <mergeCell ref="X58:X59"/>
    <mergeCell ref="AD58:AF59"/>
    <mergeCell ref="N58:N59"/>
    <mergeCell ref="O58:O59"/>
    <mergeCell ref="P58:P59"/>
    <mergeCell ref="Q58:Q59"/>
    <mergeCell ref="R58:R59"/>
    <mergeCell ref="S58:S59"/>
    <mergeCell ref="AC58:AC59"/>
    <mergeCell ref="AB58:AB59"/>
    <mergeCell ref="AA58:AA59"/>
    <mergeCell ref="Z58:Z59"/>
    <mergeCell ref="Y58:Y59"/>
    <mergeCell ref="X63:X64"/>
    <mergeCell ref="AD63:AF64"/>
    <mergeCell ref="A70:A71"/>
    <mergeCell ref="C70:C71"/>
    <mergeCell ref="D70:D71"/>
    <mergeCell ref="E70:E71"/>
    <mergeCell ref="O63:O64"/>
    <mergeCell ref="P63:P64"/>
    <mergeCell ref="Q63:Q64"/>
    <mergeCell ref="R63:R64"/>
    <mergeCell ref="S63:S64"/>
    <mergeCell ref="T63:T64"/>
    <mergeCell ref="G63:G64"/>
    <mergeCell ref="H63:H64"/>
    <mergeCell ref="K63:K64"/>
    <mergeCell ref="L63:L64"/>
    <mergeCell ref="M63:M64"/>
    <mergeCell ref="N63:N64"/>
    <mergeCell ref="A63:A64"/>
    <mergeCell ref="C63:C64"/>
    <mergeCell ref="D63:D64"/>
    <mergeCell ref="E63:E64"/>
    <mergeCell ref="F63:F64"/>
    <mergeCell ref="I70:I71"/>
    <mergeCell ref="F70:F71"/>
    <mergeCell ref="G70:G71"/>
    <mergeCell ref="H70:H71"/>
    <mergeCell ref="K70:K71"/>
    <mergeCell ref="L70:L71"/>
    <mergeCell ref="M70:M71"/>
    <mergeCell ref="U63:U64"/>
    <mergeCell ref="V63:V64"/>
    <mergeCell ref="W63:W64"/>
    <mergeCell ref="J70:J71"/>
    <mergeCell ref="I63:I64"/>
    <mergeCell ref="J63:J64"/>
    <mergeCell ref="T70:T71"/>
    <mergeCell ref="U70:U71"/>
    <mergeCell ref="V70:V71"/>
    <mergeCell ref="W70:W71"/>
    <mergeCell ref="X70:X71"/>
    <mergeCell ref="AD70:AF71"/>
    <mergeCell ref="N70:N71"/>
    <mergeCell ref="O70:O71"/>
    <mergeCell ref="P70:P71"/>
    <mergeCell ref="Q70:Q71"/>
    <mergeCell ref="R70:R71"/>
    <mergeCell ref="S70:S71"/>
    <mergeCell ref="X80:X81"/>
    <mergeCell ref="AD80:AF81"/>
    <mergeCell ref="T80:T81"/>
    <mergeCell ref="Z70:Z71"/>
    <mergeCell ref="Y70:Y71"/>
    <mergeCell ref="A87:A88"/>
    <mergeCell ref="C87:C88"/>
    <mergeCell ref="D87:D88"/>
    <mergeCell ref="E87:E88"/>
    <mergeCell ref="O80:O81"/>
    <mergeCell ref="P80:P81"/>
    <mergeCell ref="Q80:Q81"/>
    <mergeCell ref="R80:R81"/>
    <mergeCell ref="S80:S81"/>
    <mergeCell ref="G80:G81"/>
    <mergeCell ref="H80:H81"/>
    <mergeCell ref="K80:K81"/>
    <mergeCell ref="L80:L81"/>
    <mergeCell ref="M80:M81"/>
    <mergeCell ref="N80:N81"/>
    <mergeCell ref="A80:A81"/>
    <mergeCell ref="C80:C81"/>
    <mergeCell ref="D80:D81"/>
    <mergeCell ref="E80:E81"/>
    <mergeCell ref="F80:F81"/>
    <mergeCell ref="B87:B88"/>
    <mergeCell ref="F87:F88"/>
    <mergeCell ref="G87:G88"/>
    <mergeCell ref="H87:H88"/>
    <mergeCell ref="K87:K88"/>
    <mergeCell ref="L87:L88"/>
    <mergeCell ref="M87:M88"/>
    <mergeCell ref="U80:U81"/>
    <mergeCell ref="V80:V81"/>
    <mergeCell ref="W80:W81"/>
    <mergeCell ref="I80:I81"/>
    <mergeCell ref="J80:J81"/>
    <mergeCell ref="I87:I88"/>
    <mergeCell ref="J87:J88"/>
    <mergeCell ref="T87:T88"/>
    <mergeCell ref="U87:U88"/>
    <mergeCell ref="V87:V88"/>
    <mergeCell ref="W87:W88"/>
    <mergeCell ref="X87:X88"/>
    <mergeCell ref="AD87:AF88"/>
    <mergeCell ref="N87:N88"/>
    <mergeCell ref="O87:O88"/>
    <mergeCell ref="P87:P88"/>
    <mergeCell ref="Q87:Q88"/>
    <mergeCell ref="R87:R88"/>
    <mergeCell ref="S87:S88"/>
    <mergeCell ref="AC87:AC88"/>
    <mergeCell ref="AB87:AB88"/>
    <mergeCell ref="AA87:AA88"/>
    <mergeCell ref="Z87:Z88"/>
    <mergeCell ref="Y87:Y88"/>
    <mergeCell ref="G102:G103"/>
    <mergeCell ref="H102:H103"/>
    <mergeCell ref="K102:K103"/>
    <mergeCell ref="L102:L103"/>
    <mergeCell ref="M102:M103"/>
    <mergeCell ref="N102:N103"/>
    <mergeCell ref="A102:A103"/>
    <mergeCell ref="C102:C103"/>
    <mergeCell ref="D102:D103"/>
    <mergeCell ref="E102:E103"/>
    <mergeCell ref="F102:F103"/>
    <mergeCell ref="B102:B103"/>
    <mergeCell ref="I102:I103"/>
    <mergeCell ref="J102:J103"/>
    <mergeCell ref="U102:U103"/>
    <mergeCell ref="V102:V103"/>
    <mergeCell ref="W102:W103"/>
    <mergeCell ref="X102:X103"/>
    <mergeCell ref="AD102:AF103"/>
    <mergeCell ref="O102:O103"/>
    <mergeCell ref="P102:P103"/>
    <mergeCell ref="Q102:Q103"/>
    <mergeCell ref="R102:R103"/>
    <mergeCell ref="S102:S103"/>
    <mergeCell ref="T102:T103"/>
    <mergeCell ref="D130:E130"/>
    <mergeCell ref="A134:A136"/>
    <mergeCell ref="B134:B136"/>
    <mergeCell ref="C134:C136"/>
    <mergeCell ref="D134:D136"/>
    <mergeCell ref="E134:E136"/>
    <mergeCell ref="A124:F126"/>
    <mergeCell ref="G124:N126"/>
    <mergeCell ref="F127:N127"/>
    <mergeCell ref="A128:A131"/>
    <mergeCell ref="B128:E129"/>
    <mergeCell ref="F128:G130"/>
    <mergeCell ref="H128:K130"/>
    <mergeCell ref="L128:M130"/>
    <mergeCell ref="N128:N131"/>
    <mergeCell ref="B130:C130"/>
    <mergeCell ref="N134:N136"/>
    <mergeCell ref="N143:N144"/>
    <mergeCell ref="A156:A157"/>
    <mergeCell ref="N156:N157"/>
    <mergeCell ref="A162:A163"/>
    <mergeCell ref="N162:N163"/>
    <mergeCell ref="F134:F136"/>
    <mergeCell ref="G134:G136"/>
    <mergeCell ref="H134:H136"/>
    <mergeCell ref="K134:K136"/>
    <mergeCell ref="L134:L136"/>
    <mergeCell ref="M134:M136"/>
    <mergeCell ref="AA8:AA9"/>
    <mergeCell ref="Z8:Z9"/>
    <mergeCell ref="O1:W1"/>
    <mergeCell ref="X1:AF1"/>
    <mergeCell ref="A212:A213"/>
    <mergeCell ref="N212:N213"/>
    <mergeCell ref="A227:A228"/>
    <mergeCell ref="N227:N228"/>
    <mergeCell ref="C6:D6"/>
    <mergeCell ref="E6:F6"/>
    <mergeCell ref="A188:A189"/>
    <mergeCell ref="N188:N189"/>
    <mergeCell ref="A195:A196"/>
    <mergeCell ref="N195:N196"/>
    <mergeCell ref="A205:A206"/>
    <mergeCell ref="N205:N206"/>
    <mergeCell ref="A169:A170"/>
    <mergeCell ref="N169:N170"/>
    <mergeCell ref="A176:A177"/>
    <mergeCell ref="N176:N177"/>
    <mergeCell ref="A183:A184"/>
    <mergeCell ref="N183:N184"/>
    <mergeCell ref="B51:B52"/>
    <mergeCell ref="A143:A144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6:O12"/>
  <sheetViews>
    <sheetView workbookViewId="0">
      <selection activeCell="F9" sqref="F9"/>
    </sheetView>
  </sheetViews>
  <sheetFormatPr defaultRowHeight="14.4"/>
  <cols>
    <col min="1" max="1" width="8.88671875" style="158"/>
    <col min="2" max="2" width="9.109375" style="158" bestFit="1" customWidth="1"/>
    <col min="3" max="5" width="8.88671875" style="158"/>
    <col min="6" max="6" width="9.109375" style="158" bestFit="1" customWidth="1"/>
    <col min="7" max="16384" width="8.88671875" style="158"/>
  </cols>
  <sheetData>
    <row r="6" spans="2:15"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</row>
    <row r="7" spans="2:15"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</row>
    <row r="10" spans="2:15">
      <c r="B10" s="159"/>
    </row>
    <row r="12" spans="2:15">
      <c r="F12" s="1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2015-05-04T11:17:29Z</dcterms:created>
  <dcterms:modified xsi:type="dcterms:W3CDTF">2016-09-02T11:23:00Z</dcterms:modified>
</cp:coreProperties>
</file>