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" windowWidth="15144" windowHeight="6000" activeTab="1"/>
  </bookViews>
  <sheets>
    <sheet name="ListOfValues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13" i="2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80"/>
  <c r="B79"/>
  <c r="B78"/>
  <c r="B77"/>
  <c r="B76"/>
  <c r="B75"/>
  <c r="B74"/>
  <c r="B73"/>
  <c r="B70"/>
  <c r="B69"/>
  <c r="B68"/>
  <c r="B67"/>
  <c r="B66"/>
  <c r="B63"/>
  <c r="B62"/>
  <c r="B61"/>
  <c r="B58"/>
  <c r="B57"/>
  <c r="B56"/>
  <c r="B55"/>
  <c r="B54"/>
  <c r="B51"/>
  <c r="B50"/>
  <c r="B49"/>
  <c r="B48"/>
  <c r="B47"/>
  <c r="B44"/>
  <c r="B43"/>
  <c r="B42"/>
  <c r="B41"/>
  <c r="B40"/>
  <c r="B37"/>
  <c r="B36"/>
  <c r="B35"/>
  <c r="B34"/>
  <c r="B31"/>
  <c r="B30"/>
  <c r="B29"/>
  <c r="B28"/>
  <c r="B27"/>
  <c r="B26"/>
  <c r="B25"/>
  <c r="B24"/>
  <c r="B23"/>
  <c r="B22"/>
  <c r="B21"/>
  <c r="B18"/>
  <c r="B17"/>
  <c r="B16"/>
  <c r="B15"/>
  <c r="B14"/>
  <c r="P103" l="1"/>
  <c r="O103"/>
  <c r="N103"/>
  <c r="M103"/>
  <c r="L103"/>
  <c r="K103"/>
  <c r="J103"/>
  <c r="I103"/>
  <c r="H103"/>
  <c r="G103"/>
  <c r="F103"/>
  <c r="E103"/>
  <c r="D103"/>
  <c r="C103"/>
  <c r="B103" s="1"/>
  <c r="P88"/>
  <c r="O88"/>
  <c r="N88"/>
  <c r="M88"/>
  <c r="L88"/>
  <c r="K88"/>
  <c r="J88"/>
  <c r="I88"/>
  <c r="H88"/>
  <c r="G88"/>
  <c r="F88"/>
  <c r="E88"/>
  <c r="D88"/>
  <c r="C88"/>
  <c r="P81"/>
  <c r="O81"/>
  <c r="N81"/>
  <c r="M81"/>
  <c r="L81"/>
  <c r="K81"/>
  <c r="J81"/>
  <c r="I81"/>
  <c r="H81"/>
  <c r="G81"/>
  <c r="F81"/>
  <c r="E81"/>
  <c r="D81"/>
  <c r="C81"/>
  <c r="P71"/>
  <c r="O71"/>
  <c r="N71"/>
  <c r="M71"/>
  <c r="L71"/>
  <c r="K71"/>
  <c r="J71"/>
  <c r="I71"/>
  <c r="H71"/>
  <c r="G71"/>
  <c r="F71"/>
  <c r="E71"/>
  <c r="D71"/>
  <c r="C71"/>
  <c r="B71" s="1"/>
  <c r="P64"/>
  <c r="O64"/>
  <c r="N64"/>
  <c r="M64"/>
  <c r="L64"/>
  <c r="K64"/>
  <c r="J64"/>
  <c r="I64"/>
  <c r="H64"/>
  <c r="G64"/>
  <c r="F64"/>
  <c r="E64"/>
  <c r="D64"/>
  <c r="C64"/>
  <c r="P59"/>
  <c r="O59"/>
  <c r="N59"/>
  <c r="M59"/>
  <c r="L59"/>
  <c r="K59"/>
  <c r="J59"/>
  <c r="I59"/>
  <c r="H59"/>
  <c r="G59"/>
  <c r="F59"/>
  <c r="E59"/>
  <c r="D59"/>
  <c r="C59"/>
  <c r="B59" s="1"/>
  <c r="P52"/>
  <c r="O52"/>
  <c r="N52"/>
  <c r="M52"/>
  <c r="L52"/>
  <c r="K52"/>
  <c r="J52"/>
  <c r="I52"/>
  <c r="H52"/>
  <c r="G52"/>
  <c r="F52"/>
  <c r="E52"/>
  <c r="D52"/>
  <c r="C52"/>
  <c r="P45"/>
  <c r="O45"/>
  <c r="N45"/>
  <c r="M45"/>
  <c r="L45"/>
  <c r="K45"/>
  <c r="J45"/>
  <c r="I45"/>
  <c r="H45"/>
  <c r="G45"/>
  <c r="F45"/>
  <c r="E45"/>
  <c r="D45"/>
  <c r="C45"/>
  <c r="P38"/>
  <c r="O38"/>
  <c r="N38"/>
  <c r="M38"/>
  <c r="L38"/>
  <c r="K38"/>
  <c r="J38"/>
  <c r="I38"/>
  <c r="H38"/>
  <c r="G38"/>
  <c r="F38"/>
  <c r="E38"/>
  <c r="D38"/>
  <c r="C38"/>
  <c r="P32"/>
  <c r="O32"/>
  <c r="N32"/>
  <c r="M32"/>
  <c r="L32"/>
  <c r="K32"/>
  <c r="J32"/>
  <c r="I32"/>
  <c r="H32"/>
  <c r="G32"/>
  <c r="F32"/>
  <c r="E32"/>
  <c r="D32"/>
  <c r="C32"/>
  <c r="B32" s="1"/>
  <c r="P19"/>
  <c r="O19"/>
  <c r="N19"/>
  <c r="M19"/>
  <c r="L19"/>
  <c r="K19"/>
  <c r="J19"/>
  <c r="I19"/>
  <c r="H19"/>
  <c r="G19"/>
  <c r="F19"/>
  <c r="E19"/>
  <c r="D19"/>
  <c r="C19"/>
  <c r="P11"/>
  <c r="P9" s="1"/>
  <c r="O11"/>
  <c r="O9" s="1"/>
  <c r="N11"/>
  <c r="M11"/>
  <c r="L11"/>
  <c r="L9" s="1"/>
  <c r="K11"/>
  <c r="K9" s="1"/>
  <c r="J11"/>
  <c r="I11"/>
  <c r="H11"/>
  <c r="G11"/>
  <c r="F11"/>
  <c r="F9" s="1"/>
  <c r="E11"/>
  <c r="E9" s="1"/>
  <c r="D11"/>
  <c r="D9" s="1"/>
  <c r="C11"/>
  <c r="B88" l="1"/>
  <c r="B81"/>
  <c r="B64"/>
  <c r="B45"/>
  <c r="B38"/>
  <c r="B19"/>
  <c r="H9"/>
  <c r="N9"/>
  <c r="J9"/>
  <c r="G9"/>
  <c r="M9"/>
  <c r="B11"/>
  <c r="C9"/>
  <c r="B52"/>
  <c r="I9"/>
  <c r="B9" l="1"/>
</calcChain>
</file>

<file path=xl/sharedStrings.xml><?xml version="1.0" encoding="utf-8"?>
<sst xmlns="http://schemas.openxmlformats.org/spreadsheetml/2006/main" count="539" uniqueCount="294">
  <si>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</si>
  <si>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</si>
  <si>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</si>
  <si>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</si>
  <si>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</si>
  <si>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</si>
  <si>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</si>
  <si>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</si>
  <si>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</si>
  <si>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</si>
  <si>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</si>
  <si>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</si>
  <si>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</si>
  <si>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</si>
  <si>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</si>
  <si>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</si>
  <si>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</si>
  <si>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</si>
  <si>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</si>
  <si>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</si>
  <si>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</si>
  <si>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</si>
  <si>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</si>
  <si>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</si>
  <si>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</si>
  <si>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</si>
  <si>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</si>
  <si>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</si>
  <si>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</si>
  <si>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</si>
  <si>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</si>
  <si>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</si>
  <si>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</si>
  <si>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</si>
  <si>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</si>
  <si>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</si>
  <si>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</si>
  <si>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</si>
  <si>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</si>
  <si>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</si>
  <si>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</si>
  <si>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</si>
  <si>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</si>
  <si>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</si>
  <si>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</si>
  <si>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</si>
  <si>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</si>
  <si>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</si>
  <si>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</si>
  <si>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</si>
  <si>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</si>
  <si>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</si>
  <si>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</si>
  <si>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</si>
  <si>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</si>
  <si>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</si>
  <si>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</si>
  <si>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</si>
  <si>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</si>
  <si>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</si>
  <si>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</si>
  <si>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</si>
  <si>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</si>
  <si>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</si>
  <si>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</si>
  <si>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</si>
  <si>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</si>
  <si>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</si>
  <si>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</si>
  <si>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</si>
  <si>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</si>
  <si>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</si>
  <si>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</si>
  <si>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</si>
  <si>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</si>
  <si>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</si>
  <si>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</si>
  <si>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</si>
  <si>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</si>
  <si>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</si>
  <si>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</si>
  <si>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</si>
  <si>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</si>
  <si>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</si>
  <si>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</si>
  <si>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</si>
  <si>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</si>
  <si>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</si>
  <si>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</si>
  <si>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</si>
  <si>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</si>
  <si>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</si>
  <si>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</si>
  <si>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</si>
  <si>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</si>
  <si>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</si>
  <si>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</si>
  <si>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</si>
  <si>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</si>
  <si>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</si>
  <si>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</si>
  <si>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</si>
  <si>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</si>
  <si>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</si>
  <si>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</si>
  <si>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</si>
  <si>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</si>
  <si>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</si>
  <si>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</si>
  <si>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</si>
  <si>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</si>
  <si>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</si>
  <si>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</si>
  <si>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</si>
  <si>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</si>
  <si>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</si>
  <si>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</si>
  <si>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</si>
  <si>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</si>
  <si>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</si>
  <si>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</si>
  <si>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</si>
  <si>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</si>
  <si>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</si>
  <si>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</si>
  <si>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</si>
  <si>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</si>
  <si>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</si>
  <si>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</si>
  <si>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</si>
  <si>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</si>
  <si>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</si>
  <si>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</si>
  <si>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</si>
  <si>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</si>
  <si>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</si>
  <si>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</si>
  <si>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</si>
  <si>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</si>
  <si>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</si>
  <si>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</si>
  <si>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</si>
  <si>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</si>
  <si>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</si>
  <si>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</si>
  <si>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</si>
  <si>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</si>
  <si>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</si>
  <si>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</si>
  <si>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</si>
  <si>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</si>
  <si>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</si>
  <si>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</si>
  <si>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</si>
  <si>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</si>
  <si>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</si>
  <si>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</si>
  <si>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</si>
  <si>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</si>
  <si>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</si>
  <si>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</si>
  <si>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</si>
  <si>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</si>
  <si>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</si>
  <si>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</si>
  <si>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</si>
  <si>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</si>
  <si>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</si>
  <si>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</si>
  <si>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</si>
  <si>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</si>
  <si>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</si>
  <si>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</si>
  <si>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</si>
  <si>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</si>
  <si>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</si>
  <si>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</si>
  <si>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</si>
  <si>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</si>
  <si>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</si>
  <si>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</si>
  <si>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</si>
  <si>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</si>
  <si>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</si>
  <si>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</si>
  <si>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</si>
  <si>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</si>
  <si>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</si>
  <si>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</si>
  <si>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</si>
  <si>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</si>
  <si>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</si>
  <si>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</si>
  <si>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</si>
  <si>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</si>
  <si>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</si>
  <si>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</si>
  <si>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</si>
  <si>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</si>
  <si>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</si>
  <si>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</si>
  <si>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</si>
  <si>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</si>
  <si>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</si>
  <si>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</si>
  <si>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</si>
  <si>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</si>
  <si>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</si>
  <si>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</si>
  <si>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</si>
  <si>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</si>
  <si>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</si>
  <si>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</si>
  <si>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</si>
  <si>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</si>
  <si>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</si>
  <si>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</si>
  <si>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</si>
  <si>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</si>
  <si>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</si>
  <si>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</si>
  <si>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</si>
  <si>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</si>
  <si>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</si>
  <si>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</si>
  <si>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</si>
  <si>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</si>
  <si>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</si>
  <si>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</si>
  <si>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</si>
  <si>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</si>
  <si>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</si>
  <si>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</si>
  <si>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</si>
  <si>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</si>
  <si>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</si>
  <si>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</si>
  <si>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</si>
  <si>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</si>
  <si>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</si>
  <si>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</si>
  <si>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</si>
  <si>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</si>
  <si>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</si>
  <si>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</si>
  <si>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</si>
  <si>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</si>
  <si>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</si>
  <si>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</si>
  <si>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</si>
  <si>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</si>
  <si>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</si>
  <si>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</si>
  <si>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</si>
  <si>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</si>
  <si>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</si>
  <si>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</si>
  <si>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</si>
  <si>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</si>
  <si>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</si>
  <si>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</si>
  <si>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</si>
  <si>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</si>
  <si>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</si>
  <si>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</si>
  <si>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</si>
  <si>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</si>
  <si>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</si>
  <si>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</si>
  <si>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</si>
  <si>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</si>
  <si>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</si>
  <si>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</si>
  <si>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1=εκτάσεις,  2=παραγωγή</t>
  </si>
  <si>
    <t>Κεντρικού Τομέα Αθηνών</t>
  </si>
  <si>
    <t>Βορείου Τομέα Αθηνών</t>
  </si>
  <si>
    <t>1=areas  2=production</t>
  </si>
  <si>
    <t>Τριφύλλια - Clovers</t>
  </si>
  <si>
    <t>Πολυετή (μηδική, κλπ.) Multiannual (alfalfa, etc)</t>
  </si>
  <si>
    <r>
      <t>Κοφτολίβαδα (Σανός)</t>
    </r>
    <r>
      <rPr>
        <vertAlign val="superscript"/>
        <sz val="8"/>
        <rFont val="Arial"/>
        <family val="2"/>
        <charset val="161"/>
      </rPr>
      <t xml:space="preserve">(1) </t>
    </r>
    <r>
      <rPr>
        <sz val="8"/>
        <rFont val="Arial"/>
        <family val="2"/>
        <charset val="161"/>
      </rPr>
      <t>Grass cut for hey</t>
    </r>
    <r>
      <rPr>
        <vertAlign val="superscript"/>
        <sz val="8"/>
        <rFont val="Arial"/>
        <family val="2"/>
        <charset val="161"/>
      </rPr>
      <t>(1)</t>
    </r>
  </si>
  <si>
    <r>
      <t>Λοιπά σανά</t>
    </r>
    <r>
      <rPr>
        <vertAlign val="superscript"/>
        <sz val="8"/>
        <rFont val="Arial"/>
        <family val="2"/>
        <charset val="161"/>
      </rPr>
      <t xml:space="preserve">(2) </t>
    </r>
    <r>
      <rPr>
        <sz val="8"/>
        <rFont val="Arial"/>
        <family val="2"/>
        <charset val="161"/>
      </rPr>
      <t>Other</t>
    </r>
    <r>
      <rPr>
        <vertAlign val="superscript"/>
        <sz val="8"/>
        <rFont val="Arial"/>
        <family val="2"/>
        <charset val="161"/>
      </rPr>
      <t>(2)</t>
    </r>
  </si>
  <si>
    <t>(1) Production refers to hey from self-grown grass or grass from fallow land</t>
  </si>
  <si>
    <t>(2) Bitter veltch, veltching, peas, lentil, etc.</t>
  </si>
  <si>
    <t>(1) Η παραγωγή αναφέρεται σε σανό αυτοφυούς χόρτου (κοφτολίβαδα -δων και χόρτου αγραναπαύσεων</t>
  </si>
  <si>
    <t>(2) Ρόβη, λαθούρι, μπιζέλια, φακή κλπ.</t>
  </si>
  <si>
    <t xml:space="preserve">    Σύνολο     Εκτάσεων  Total Area</t>
  </si>
  <si>
    <t xml:space="preserve"> Κριθάρι               Barley</t>
  </si>
  <si>
    <t>Βρώμη                     Oats</t>
  </si>
  <si>
    <t>Βίκος                  Valtch</t>
  </si>
  <si>
    <t>Ετήσια                Annual</t>
  </si>
  <si>
    <t>Περιφέρειες και Περιφερειακές Ενότητες</t>
  </si>
  <si>
    <t>—</t>
  </si>
  <si>
    <t>Πίνακας 2ε. Κτηνοτροφικά φυτά για σανό. Εκτάσεις και παραγωγή, κατά κατά Περιφέρεια και Περιφερειακή Ενότητα:  2012.</t>
  </si>
  <si>
    <t>Table 2e. Fodder plants for hey. Areas and production, by Region and Regional Unity: 2012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</si>
</sst>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indexed="8"/>
      <name val="Arial"/>
      <family val="2"/>
      <charset val="161"/>
    </font>
    <font>
      <sz val="11"/>
      <color theme="1"/>
      <name val="Arial"/>
      <family val="2"/>
      <charset val="161"/>
    </font>
    <font>
      <vertAlign val="superscript"/>
      <sz val="8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9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NumberFormat="1" applyFont="1" applyFill="1" applyBorder="1" applyAlignment="1" applyProtection="1"/>
    <xf numFmtId="49" fontId="1" fillId="2" borderId="4" xfId="0" applyNumberFormat="1" applyFont="1" applyFill="1" applyBorder="1"/>
    <xf numFmtId="49" fontId="1" fillId="2" borderId="0" xfId="0" applyNumberFormat="1" applyFont="1" applyFill="1" applyBorder="1" applyAlignment="1">
      <alignment horizontal="left"/>
    </xf>
    <xf numFmtId="0" fontId="2" fillId="2" borderId="0" xfId="0" applyNumberFormat="1" applyFont="1" applyFill="1" applyBorder="1" applyAlignment="1" applyProtection="1"/>
    <xf numFmtId="49" fontId="3" fillId="2" borderId="0" xfId="0" applyNumberFormat="1" applyFont="1" applyFill="1" applyBorder="1" applyAlignment="1">
      <alignment vertical="center" textRotation="90"/>
    </xf>
    <xf numFmtId="0" fontId="2" fillId="2" borderId="5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/>
    <xf numFmtId="49" fontId="1" fillId="4" borderId="4" xfId="0" applyNumberFormat="1" applyFont="1" applyFill="1" applyBorder="1"/>
    <xf numFmtId="49" fontId="1" fillId="4" borderId="0" xfId="0" applyNumberFormat="1" applyFont="1" applyFill="1" applyBorder="1" applyAlignment="1">
      <alignment horizontal="left"/>
    </xf>
    <xf numFmtId="0" fontId="2" fillId="4" borderId="0" xfId="0" applyNumberFormat="1" applyFont="1" applyFill="1" applyBorder="1" applyAlignment="1" applyProtection="1"/>
    <xf numFmtId="49" fontId="3" fillId="4" borderId="0" xfId="0" applyNumberFormat="1" applyFont="1" applyFill="1" applyBorder="1"/>
    <xf numFmtId="49" fontId="3" fillId="4" borderId="0" xfId="0" applyNumberFormat="1" applyFont="1" applyFill="1" applyBorder="1" applyAlignment="1">
      <alignment vertical="center" textRotation="90"/>
    </xf>
    <xf numFmtId="0" fontId="2" fillId="4" borderId="5" xfId="0" applyNumberFormat="1" applyFont="1" applyFill="1" applyBorder="1" applyAlignment="1" applyProtection="1"/>
    <xf numFmtId="49" fontId="1" fillId="4" borderId="0" xfId="0" applyNumberFormat="1" applyFont="1" applyFill="1" applyBorder="1"/>
    <xf numFmtId="49" fontId="3" fillId="4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/>
    <xf numFmtId="49" fontId="1" fillId="5" borderId="4" xfId="0" applyNumberFormat="1" applyFont="1" applyFill="1" applyBorder="1"/>
    <xf numFmtId="49" fontId="1" fillId="5" borderId="0" xfId="0" applyNumberFormat="1" applyFont="1" applyFill="1" applyBorder="1"/>
    <xf numFmtId="0" fontId="2" fillId="5" borderId="0" xfId="0" applyNumberFormat="1" applyFont="1" applyFill="1" applyBorder="1" applyAlignment="1" applyProtection="1"/>
    <xf numFmtId="49" fontId="3" fillId="5" borderId="0" xfId="0" applyNumberFormat="1" applyFont="1" applyFill="1" applyBorder="1"/>
    <xf numFmtId="49" fontId="3" fillId="6" borderId="0" xfId="0" applyNumberFormat="1" applyFont="1" applyFill="1" applyBorder="1" applyAlignment="1">
      <alignment vertical="center" textRotation="90"/>
    </xf>
    <xf numFmtId="0" fontId="2" fillId="5" borderId="5" xfId="0" applyNumberFormat="1" applyFont="1" applyFill="1" applyBorder="1" applyAlignment="1" applyProtection="1"/>
    <xf numFmtId="49" fontId="4" fillId="5" borderId="0" xfId="0" applyNumberFormat="1" applyFont="1" applyFill="1" applyBorder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NumberFormat="1" applyFont="1" applyFill="1" applyBorder="1" applyAlignment="1" applyProtection="1"/>
    <xf numFmtId="49" fontId="3" fillId="6" borderId="7" xfId="0" applyNumberFormat="1" applyFont="1" applyFill="1" applyBorder="1" applyAlignment="1">
      <alignment vertical="center" textRotation="90"/>
    </xf>
    <xf numFmtId="0" fontId="2" fillId="5" borderId="8" xfId="0" applyNumberFormat="1" applyFont="1" applyFill="1" applyBorder="1" applyAlignment="1" applyProtection="1"/>
    <xf numFmtId="49" fontId="1" fillId="7" borderId="1" xfId="0" applyNumberFormat="1" applyFont="1" applyFill="1" applyBorder="1"/>
    <xf numFmtId="49" fontId="1" fillId="7" borderId="2" xfId="0" applyNumberFormat="1" applyFont="1" applyFill="1" applyBorder="1"/>
    <xf numFmtId="0" fontId="2" fillId="7" borderId="2" xfId="0" applyNumberFormat="1" applyFont="1" applyFill="1" applyBorder="1" applyAlignment="1" applyProtection="1"/>
    <xf numFmtId="49" fontId="3" fillId="7" borderId="2" xfId="0" applyNumberFormat="1" applyFont="1" applyFill="1" applyBorder="1"/>
    <xf numFmtId="49" fontId="3" fillId="7" borderId="2" xfId="0" applyNumberFormat="1" applyFont="1" applyFill="1" applyBorder="1" applyAlignment="1">
      <alignment vertical="center" textRotation="90"/>
    </xf>
    <xf numFmtId="0" fontId="2" fillId="7" borderId="3" xfId="0" applyNumberFormat="1" applyFont="1" applyFill="1" applyBorder="1" applyAlignment="1" applyProtection="1"/>
    <xf numFmtId="49" fontId="1" fillId="7" borderId="4" xfId="0" applyNumberFormat="1" applyFont="1" applyFill="1" applyBorder="1"/>
    <xf numFmtId="49" fontId="1" fillId="7" borderId="0" xfId="0" applyNumberFormat="1" applyFont="1" applyFill="1" applyBorder="1"/>
    <xf numFmtId="0" fontId="2" fillId="7" borderId="0" xfId="0" applyNumberFormat="1" applyFont="1" applyFill="1" applyBorder="1" applyAlignment="1" applyProtection="1"/>
    <xf numFmtId="49" fontId="3" fillId="7" borderId="0" xfId="0" applyNumberFormat="1" applyFont="1" applyFill="1" applyBorder="1" applyAlignment="1">
      <alignment vertical="center" textRotation="90"/>
    </xf>
    <xf numFmtId="0" fontId="2" fillId="7" borderId="5" xfId="0" applyNumberFormat="1" applyFont="1" applyFill="1" applyBorder="1" applyAlignment="1" applyProtection="1"/>
    <xf numFmtId="49" fontId="4" fillId="7" borderId="0" xfId="0" applyNumberFormat="1" applyFont="1" applyFill="1" applyBorder="1"/>
    <xf numFmtId="49" fontId="1" fillId="8" borderId="4" xfId="0" applyNumberFormat="1" applyFont="1" applyFill="1" applyBorder="1"/>
    <xf numFmtId="49" fontId="1" fillId="8" borderId="0" xfId="0" applyNumberFormat="1" applyFont="1" applyFill="1" applyBorder="1"/>
    <xf numFmtId="0" fontId="2" fillId="8" borderId="0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3" fillId="8" borderId="0" xfId="0" applyNumberFormat="1" applyFont="1" applyFill="1" applyBorder="1" applyAlignment="1">
      <alignment vertical="center" textRotation="90"/>
    </xf>
    <xf numFmtId="0" fontId="2" fillId="8" borderId="5" xfId="0" applyNumberFormat="1" applyFont="1" applyFill="1" applyBorder="1" applyAlignment="1" applyProtection="1"/>
    <xf numFmtId="49" fontId="4" fillId="8" borderId="0" xfId="0" applyNumberFormat="1" applyFont="1" applyFill="1" applyBorder="1"/>
    <xf numFmtId="49" fontId="1" fillId="8" borderId="6" xfId="0" applyNumberFormat="1" applyFont="1" applyFill="1" applyBorder="1"/>
    <xf numFmtId="49" fontId="1" fillId="8" borderId="7" xfId="0" applyNumberFormat="1" applyFont="1" applyFill="1" applyBorder="1"/>
    <xf numFmtId="0" fontId="2" fillId="8" borderId="7" xfId="0" applyNumberFormat="1" applyFont="1" applyFill="1" applyBorder="1" applyAlignment="1" applyProtection="1"/>
    <xf numFmtId="49" fontId="3" fillId="8" borderId="7" xfId="0" applyNumberFormat="1" applyFont="1" applyFill="1" applyBorder="1" applyAlignment="1">
      <alignment vertical="center" textRotation="90"/>
    </xf>
    <xf numFmtId="0" fontId="2" fillId="8" borderId="8" xfId="0" applyNumberFormat="1" applyFont="1" applyFill="1" applyBorder="1" applyAlignment="1" applyProtection="1"/>
    <xf numFmtId="49" fontId="1" fillId="9" borderId="1" xfId="0" applyNumberFormat="1" applyFont="1" applyFill="1" applyBorder="1"/>
    <xf numFmtId="49" fontId="1" fillId="9" borderId="2" xfId="0" applyNumberFormat="1" applyFont="1" applyFill="1" applyBorder="1"/>
    <xf numFmtId="0" fontId="2" fillId="9" borderId="2" xfId="0" applyNumberFormat="1" applyFont="1" applyFill="1" applyBorder="1" applyAlignment="1" applyProtection="1"/>
    <xf numFmtId="49" fontId="3" fillId="9" borderId="2" xfId="0" applyNumberFormat="1" applyFont="1" applyFill="1" applyBorder="1"/>
    <xf numFmtId="0" fontId="5" fillId="9" borderId="2" xfId="0" applyNumberFormat="1" applyFont="1" applyFill="1" applyBorder="1" applyAlignment="1" applyProtection="1"/>
    <xf numFmtId="49" fontId="3" fillId="9" borderId="2" xfId="0" applyNumberFormat="1" applyFont="1" applyFill="1" applyBorder="1" applyAlignment="1">
      <alignment vertical="center" textRotation="90"/>
    </xf>
    <xf numFmtId="0" fontId="5" fillId="9" borderId="3" xfId="0" applyNumberFormat="1" applyFont="1" applyFill="1" applyBorder="1" applyAlignment="1" applyProtection="1"/>
    <xf numFmtId="49" fontId="1" fillId="9" borderId="4" xfId="0" applyNumberFormat="1" applyFont="1" applyFill="1" applyBorder="1"/>
    <xf numFmtId="49" fontId="1" fillId="9" borderId="0" xfId="0" applyNumberFormat="1" applyFont="1" applyFill="1" applyBorder="1"/>
    <xf numFmtId="0" fontId="2" fillId="9" borderId="0" xfId="0" applyNumberFormat="1" applyFont="1" applyFill="1" applyBorder="1" applyAlignment="1" applyProtection="1"/>
    <xf numFmtId="49" fontId="3" fillId="9" borderId="0" xfId="0" applyNumberFormat="1" applyFont="1" applyFill="1" applyBorder="1" applyAlignment="1">
      <alignment vertical="center" textRotation="90"/>
    </xf>
    <xf numFmtId="0" fontId="2" fillId="9" borderId="5" xfId="0" applyNumberFormat="1" applyFont="1" applyFill="1" applyBorder="1" applyAlignment="1" applyProtection="1"/>
    <xf numFmtId="49" fontId="4" fillId="9" borderId="0" xfId="0" applyNumberFormat="1" applyFont="1" applyFill="1" applyBorder="1"/>
    <xf numFmtId="49" fontId="1" fillId="11" borderId="4" xfId="0" applyNumberFormat="1" applyFont="1" applyFill="1" applyBorder="1"/>
    <xf numFmtId="49" fontId="1" fillId="11" borderId="0" xfId="0" applyNumberFormat="1" applyFont="1" applyFill="1" applyBorder="1"/>
    <xf numFmtId="0" fontId="2" fillId="11" borderId="0" xfId="0" applyNumberFormat="1" applyFont="1" applyFill="1" applyBorder="1" applyAlignment="1" applyProtection="1"/>
    <xf numFmtId="49" fontId="3" fillId="11" borderId="0" xfId="0" applyNumberFormat="1" applyFont="1" applyFill="1" applyBorder="1"/>
    <xf numFmtId="49" fontId="3" fillId="11" borderId="0" xfId="0" applyNumberFormat="1" applyFont="1" applyFill="1" applyBorder="1" applyAlignment="1">
      <alignment vertical="center" textRotation="90"/>
    </xf>
    <xf numFmtId="0" fontId="2" fillId="11" borderId="5" xfId="0" applyNumberFormat="1" applyFont="1" applyFill="1" applyBorder="1" applyAlignment="1" applyProtection="1"/>
    <xf numFmtId="49" fontId="4" fillId="11" borderId="0" xfId="0" applyNumberFormat="1" applyFont="1" applyFill="1" applyBorder="1"/>
    <xf numFmtId="49" fontId="1" fillId="12" borderId="4" xfId="0" applyNumberFormat="1" applyFont="1" applyFill="1" applyBorder="1"/>
    <xf numFmtId="49" fontId="1" fillId="12" borderId="0" xfId="0" applyNumberFormat="1" applyFont="1" applyFill="1" applyBorder="1"/>
    <xf numFmtId="0" fontId="2" fillId="12" borderId="0" xfId="0" applyNumberFormat="1" applyFont="1" applyFill="1" applyBorder="1" applyAlignment="1" applyProtection="1"/>
    <xf numFmtId="49" fontId="3" fillId="12" borderId="0" xfId="0" applyNumberFormat="1" applyFont="1" applyFill="1" applyBorder="1"/>
    <xf numFmtId="0" fontId="5" fillId="12" borderId="0" xfId="0" applyNumberFormat="1" applyFont="1" applyFill="1" applyBorder="1" applyAlignment="1" applyProtection="1"/>
    <xf numFmtId="49" fontId="3" fillId="12" borderId="0" xfId="0" applyNumberFormat="1" applyFont="1" applyFill="1" applyBorder="1" applyAlignment="1">
      <alignment vertical="center" textRotation="90"/>
    </xf>
    <xf numFmtId="0" fontId="2" fillId="12" borderId="5" xfId="0" applyNumberFormat="1" applyFont="1" applyFill="1" applyBorder="1" applyAlignment="1" applyProtection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NumberFormat="1" applyFont="1" applyFill="1" applyBorder="1" applyAlignment="1" applyProtection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NumberFormat="1" applyFont="1" applyFill="1" applyBorder="1" applyAlignment="1" applyProtection="1"/>
    <xf numFmtId="0" fontId="6" fillId="9" borderId="2" xfId="0" applyNumberFormat="1" applyFont="1" applyFill="1" applyBorder="1" applyAlignment="1" applyProtection="1"/>
    <xf numFmtId="0" fontId="2" fillId="9" borderId="3" xfId="0" applyNumberFormat="1" applyFont="1" applyFill="1" applyBorder="1" applyAlignment="1" applyProtection="1"/>
    <xf numFmtId="0" fontId="5" fillId="9" borderId="0" xfId="0" applyNumberFormat="1" applyFont="1" applyFill="1" applyBorder="1" applyAlignment="1" applyProtection="1"/>
    <xf numFmtId="49" fontId="1" fillId="9" borderId="6" xfId="0" applyNumberFormat="1" applyFont="1" applyFill="1" applyBorder="1"/>
    <xf numFmtId="49" fontId="1" fillId="9" borderId="7" xfId="0" applyNumberFormat="1" applyFont="1" applyFill="1" applyBorder="1"/>
    <xf numFmtId="0" fontId="2" fillId="9" borderId="7" xfId="0" applyNumberFormat="1" applyFont="1" applyFill="1" applyBorder="1" applyAlignment="1" applyProtection="1"/>
    <xf numFmtId="0" fontId="2" fillId="9" borderId="8" xfId="0" applyNumberFormat="1" applyFont="1" applyFill="1" applyBorder="1" applyAlignment="1" applyProtection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 applyBorder="1"/>
    <xf numFmtId="49" fontId="4" fillId="2" borderId="0" xfId="0" applyNumberFormat="1" applyFont="1" applyFill="1" applyBorder="1"/>
    <xf numFmtId="49" fontId="1" fillId="4" borderId="1" xfId="0" applyNumberFormat="1" applyFont="1" applyFill="1" applyBorder="1"/>
    <xf numFmtId="49" fontId="7" fillId="4" borderId="0" xfId="0" applyNumberFormat="1" applyFont="1" applyFill="1" applyBorder="1"/>
    <xf numFmtId="0" fontId="2" fillId="4" borderId="2" xfId="0" applyNumberFormat="1" applyFont="1" applyFill="1" applyBorder="1" applyAlignment="1" applyProtection="1"/>
    <xf numFmtId="49" fontId="3" fillId="4" borderId="2" xfId="0" applyNumberFormat="1" applyFont="1" applyFill="1" applyBorder="1"/>
    <xf numFmtId="49" fontId="1" fillId="4" borderId="2" xfId="0" applyNumberFormat="1" applyFont="1" applyFill="1" applyBorder="1"/>
    <xf numFmtId="0" fontId="2" fillId="4" borderId="3" xfId="0" applyNumberFormat="1" applyFont="1" applyFill="1" applyBorder="1" applyAlignment="1" applyProtection="1"/>
    <xf numFmtId="49" fontId="4" fillId="14" borderId="0" xfId="0" applyNumberFormat="1" applyFont="1" applyFill="1" applyBorder="1" applyAlignment="1">
      <alignment horizontal="left"/>
    </xf>
    <xf numFmtId="0" fontId="2" fillId="14" borderId="0" xfId="0" applyNumberFormat="1" applyFont="1" applyFill="1" applyBorder="1" applyAlignment="1" applyProtection="1">
      <alignment horizontal="left"/>
    </xf>
    <xf numFmtId="49" fontId="8" fillId="14" borderId="0" xfId="0" applyNumberFormat="1" applyFont="1" applyFill="1" applyBorder="1" applyAlignment="1">
      <alignment horizontal="left"/>
    </xf>
    <xf numFmtId="49" fontId="1" fillId="4" borderId="6" xfId="0" applyNumberFormat="1" applyFont="1" applyFill="1" applyBorder="1"/>
    <xf numFmtId="0" fontId="2" fillId="4" borderId="7" xfId="0" applyNumberFormat="1" applyFont="1" applyFill="1" applyBorder="1" applyAlignment="1" applyProtection="1"/>
    <xf numFmtId="49" fontId="1" fillId="4" borderId="7" xfId="0" applyNumberFormat="1" applyFont="1" applyFill="1" applyBorder="1"/>
    <xf numFmtId="0" fontId="2" fillId="4" borderId="8" xfId="0" applyNumberFormat="1" applyFont="1" applyFill="1" applyBorder="1" applyAlignment="1" applyProtection="1"/>
    <xf numFmtId="49" fontId="1" fillId="2" borderId="9" xfId="0" applyNumberFormat="1" applyFont="1" applyFill="1" applyBorder="1"/>
    <xf numFmtId="49" fontId="7" fillId="15" borderId="10" xfId="0" applyNumberFormat="1" applyFont="1" applyFill="1" applyBorder="1"/>
    <xf numFmtId="0" fontId="2" fillId="2" borderId="11" xfId="0" applyNumberFormat="1" applyFont="1" applyFill="1" applyBorder="1" applyAlignment="1" applyProtection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NumberFormat="1" applyFont="1" applyFill="1" applyBorder="1" applyAlignment="1" applyProtection="1"/>
    <xf numFmtId="0" fontId="11" fillId="0" borderId="0" xfId="0" applyFont="1" applyProtection="1">
      <protection locked="0"/>
    </xf>
    <xf numFmtId="0" fontId="10" fillId="0" borderId="7" xfId="0" applyNumberFormat="1" applyFont="1" applyFill="1" applyBorder="1" applyAlignment="1" applyProtection="1">
      <protection locked="0"/>
    </xf>
    <xf numFmtId="0" fontId="13" fillId="0" borderId="24" xfId="0" applyFont="1" applyBorder="1" applyAlignment="1" applyProtection="1">
      <alignment horizontal="center"/>
      <protection locked="0"/>
    </xf>
    <xf numFmtId="0" fontId="13" fillId="0" borderId="32" xfId="0" applyFont="1" applyBorder="1" applyAlignment="1" applyProtection="1">
      <alignment horizontal="center"/>
      <protection locked="0"/>
    </xf>
    <xf numFmtId="0" fontId="13" fillId="0" borderId="25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49" fontId="11" fillId="0" borderId="0" xfId="0" applyNumberFormat="1" applyFont="1" applyAlignment="1" applyProtection="1">
      <alignment horizontal="left" wrapText="1" indent="1"/>
      <protection locked="0"/>
    </xf>
    <xf numFmtId="3" fontId="11" fillId="0" borderId="4" xfId="0" applyNumberFormat="1" applyFont="1" applyBorder="1" applyAlignment="1" applyProtection="1">
      <alignment horizontal="right" vertical="center"/>
      <protection locked="0"/>
    </xf>
    <xf numFmtId="0" fontId="11" fillId="0" borderId="20" xfId="0" applyFont="1" applyBorder="1" applyAlignment="1" applyProtection="1">
      <alignment horizontal="left" indent="1"/>
      <protection locked="0"/>
    </xf>
    <xf numFmtId="0" fontId="11" fillId="0" borderId="0" xfId="0" applyFont="1" applyAlignment="1" applyProtection="1">
      <alignment horizontal="left" indent="1"/>
      <protection locked="0"/>
    </xf>
    <xf numFmtId="49" fontId="11" fillId="0" borderId="0" xfId="0" applyNumberFormat="1" applyFont="1" applyAlignment="1" applyProtection="1">
      <alignment horizontal="left" indent="2"/>
      <protection locked="0"/>
    </xf>
    <xf numFmtId="49" fontId="11" fillId="0" borderId="0" xfId="0" applyNumberFormat="1" applyFont="1" applyAlignment="1" applyProtection="1">
      <alignment horizontal="left" wrapText="1" indent="2"/>
      <protection locked="0"/>
    </xf>
    <xf numFmtId="0" fontId="14" fillId="0" borderId="0" xfId="0" applyFont="1" applyAlignment="1" applyProtection="1">
      <protection locked="0"/>
    </xf>
    <xf numFmtId="0" fontId="11" fillId="0" borderId="0" xfId="0" applyFont="1" applyBorder="1" applyAlignment="1" applyProtection="1">
      <protection locked="0"/>
    </xf>
    <xf numFmtId="49" fontId="11" fillId="0" borderId="7" xfId="0" applyNumberFormat="1" applyFont="1" applyBorder="1" applyAlignment="1" applyProtection="1">
      <alignment horizontal="left" wrapText="1" indent="1"/>
      <protection locked="0"/>
    </xf>
    <xf numFmtId="3" fontId="11" fillId="0" borderId="29" xfId="0" applyNumberFormat="1" applyFont="1" applyBorder="1" applyAlignment="1" applyProtection="1">
      <alignment horizontal="right" vertical="center"/>
      <protection locked="0"/>
    </xf>
    <xf numFmtId="0" fontId="11" fillId="0" borderId="7" xfId="0" applyFont="1" applyBorder="1" applyAlignment="1" applyProtection="1">
      <alignment horizontal="left" indent="1"/>
      <protection locked="0"/>
    </xf>
    <xf numFmtId="0" fontId="11" fillId="0" borderId="7" xfId="0" applyFont="1" applyBorder="1" applyAlignment="1" applyProtection="1">
      <protection locked="0"/>
    </xf>
    <xf numFmtId="49" fontId="11" fillId="0" borderId="0" xfId="0" applyNumberFormat="1" applyFont="1" applyAlignment="1" applyProtection="1">
      <alignment wrapText="1"/>
      <protection locked="0"/>
    </xf>
    <xf numFmtId="49" fontId="11" fillId="0" borderId="0" xfId="0" applyNumberFormat="1" applyFont="1" applyProtection="1">
      <protection locked="0"/>
    </xf>
    <xf numFmtId="0" fontId="13" fillId="0" borderId="34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protection locked="0"/>
    </xf>
    <xf numFmtId="3" fontId="10" fillId="0" borderId="28" xfId="0" applyNumberFormat="1" applyFont="1" applyFill="1" applyBorder="1" applyAlignment="1" applyProtection="1">
      <alignment horizontal="right"/>
    </xf>
    <xf numFmtId="3" fontId="10" fillId="0" borderId="21" xfId="0" applyNumberFormat="1" applyFont="1" applyFill="1" applyBorder="1" applyAlignment="1" applyProtection="1">
      <alignment horizontal="right"/>
    </xf>
    <xf numFmtId="3" fontId="10" fillId="0" borderId="21" xfId="0" quotePrefix="1" applyNumberFormat="1" applyFont="1" applyFill="1" applyBorder="1" applyAlignment="1" applyProtection="1">
      <alignment horizontal="right"/>
    </xf>
    <xf numFmtId="3" fontId="10" fillId="0" borderId="28" xfId="0" quotePrefix="1" applyNumberFormat="1" applyFont="1" applyFill="1" applyBorder="1" applyAlignment="1" applyProtection="1">
      <alignment horizontal="right"/>
    </xf>
    <xf numFmtId="3" fontId="10" fillId="0" borderId="30" xfId="0" applyNumberFormat="1" applyFont="1" applyFill="1" applyBorder="1" applyAlignment="1" applyProtection="1">
      <alignment horizontal="right"/>
    </xf>
    <xf numFmtId="3" fontId="10" fillId="0" borderId="31" xfId="0" applyNumberFormat="1" applyFont="1" applyFill="1" applyBorder="1" applyAlignment="1" applyProtection="1">
      <alignment horizontal="right"/>
    </xf>
    <xf numFmtId="49" fontId="3" fillId="13" borderId="2" xfId="0" applyNumberFormat="1" applyFont="1" applyFill="1" applyBorder="1" applyAlignment="1">
      <alignment horizontal="center" vertical="center" textRotation="90"/>
    </xf>
    <xf numFmtId="49" fontId="3" fillId="13" borderId="0" xfId="0" applyNumberFormat="1" applyFont="1" applyFill="1" applyBorder="1" applyAlignment="1">
      <alignment horizontal="center" vertical="center" textRotation="90"/>
    </xf>
    <xf numFmtId="49" fontId="3" fillId="13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Border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Border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10" borderId="2" xfId="0" applyNumberFormat="1" applyFont="1" applyFill="1" applyBorder="1" applyAlignment="1">
      <alignment horizontal="center" vertical="center" textRotation="90" wrapText="1"/>
    </xf>
    <xf numFmtId="49" fontId="3" fillId="10" borderId="0" xfId="0" applyNumberFormat="1" applyFont="1" applyFill="1" applyBorder="1" applyAlignment="1">
      <alignment horizontal="center" vertical="center" textRotation="90" wrapText="1"/>
    </xf>
    <xf numFmtId="49" fontId="3" fillId="10" borderId="7" xfId="0" applyNumberFormat="1" applyFont="1" applyFill="1" applyBorder="1" applyAlignment="1">
      <alignment horizontal="center" vertical="center" textRotation="90" wrapText="1"/>
    </xf>
    <xf numFmtId="0" fontId="10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9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18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Border="1" applyAlignment="1" applyProtection="1">
      <alignment horizontal="center" wrapText="1"/>
      <protection locked="0"/>
    </xf>
    <xf numFmtId="49" fontId="12" fillId="0" borderId="5" xfId="0" applyNumberFormat="1" applyFont="1" applyBorder="1" applyAlignment="1" applyProtection="1">
      <alignment horizontal="left" vertical="center" wrapText="1"/>
      <protection locked="0"/>
    </xf>
    <xf numFmtId="3" fontId="12" fillId="0" borderId="16" xfId="0" applyNumberFormat="1" applyFont="1" applyBorder="1" applyAlignment="1" applyProtection="1">
      <alignment horizontal="right" vertical="center"/>
    </xf>
    <xf numFmtId="3" fontId="12" fillId="0" borderId="28" xfId="0" applyNumberFormat="1" applyFont="1" applyBorder="1" applyAlignment="1" applyProtection="1">
      <alignment horizontal="right" vertical="center"/>
    </xf>
    <xf numFmtId="3" fontId="12" fillId="0" borderId="35" xfId="0" applyNumberFormat="1" applyFont="1" applyBorder="1" applyAlignment="1" applyProtection="1">
      <alignment horizontal="right" vertical="center"/>
    </xf>
    <xf numFmtId="3" fontId="12" fillId="0" borderId="20" xfId="0" applyNumberFormat="1" applyFont="1" applyBorder="1" applyAlignment="1" applyProtection="1">
      <alignment horizontal="right" vertical="center"/>
    </xf>
    <xf numFmtId="3" fontId="12" fillId="0" borderId="27" xfId="0" applyNumberFormat="1" applyFont="1" applyBorder="1" applyAlignment="1" applyProtection="1">
      <alignment horizontal="right" vertical="center"/>
    </xf>
    <xf numFmtId="49" fontId="12" fillId="0" borderId="33" xfId="0" applyNumberFormat="1" applyFont="1" applyBorder="1" applyAlignment="1" applyProtection="1">
      <alignment horizontal="left" vertical="center"/>
      <protection locked="0"/>
    </xf>
    <xf numFmtId="49" fontId="12" fillId="0" borderId="5" xfId="0" applyNumberFormat="1" applyFont="1" applyBorder="1" applyAlignment="1" applyProtection="1">
      <alignment horizontal="left" vertical="center"/>
      <protection locked="0"/>
    </xf>
    <xf numFmtId="3" fontId="12" fillId="0" borderId="36" xfId="0" applyNumberFormat="1" applyFont="1" applyBorder="1" applyAlignment="1" applyProtection="1">
      <alignment horizontal="right" vertical="center"/>
    </xf>
    <xf numFmtId="3" fontId="12" fillId="0" borderId="4" xfId="0" applyNumberFormat="1" applyFont="1" applyBorder="1" applyAlignment="1" applyProtection="1">
      <alignment horizontal="right" vertical="center"/>
    </xf>
    <xf numFmtId="49" fontId="12" fillId="0" borderId="0" xfId="0" applyNumberFormat="1" applyFont="1" applyAlignment="1" applyProtection="1">
      <alignment horizontal="left" vertical="center" wrapText="1"/>
      <protection locked="0"/>
    </xf>
    <xf numFmtId="49" fontId="12" fillId="0" borderId="5" xfId="0" applyNumberFormat="1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left" wrapText="1" indent="1"/>
      <protection locked="0"/>
    </xf>
    <xf numFmtId="0" fontId="11" fillId="0" borderId="0" xfId="0" applyFont="1" applyBorder="1" applyAlignment="1" applyProtection="1">
      <alignment horizontal="left" wrapText="1" indent="1"/>
      <protection locked="0"/>
    </xf>
    <xf numFmtId="0" fontId="12" fillId="0" borderId="20" xfId="0" applyFont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1" fillId="0" borderId="0" xfId="0" applyFont="1" applyAlignment="1" applyProtection="1">
      <alignment horizontal="left" wrapText="1" indent="1"/>
      <protection locked="0"/>
    </xf>
    <xf numFmtId="0" fontId="12" fillId="0" borderId="20" xfId="0" applyFont="1" applyBorder="1" applyAlignment="1" applyProtection="1">
      <alignment horizontal="left" vertical="center" wrapText="1"/>
      <protection locked="0"/>
    </xf>
    <xf numFmtId="0" fontId="12" fillId="0" borderId="0" xfId="0" applyFont="1" applyBorder="1" applyAlignment="1" applyProtection="1">
      <alignment horizontal="left" vertical="center" wrapText="1"/>
      <protection locked="0"/>
    </xf>
    <xf numFmtId="0" fontId="9" fillId="0" borderId="26" xfId="0" applyNumberFormat="1" applyFont="1" applyFill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vertical="center" wrapText="1"/>
      <protection locked="0"/>
    </xf>
    <xf numFmtId="0" fontId="9" fillId="0" borderId="20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20" xfId="0" applyFont="1" applyBorder="1" applyAlignment="1" applyProtection="1">
      <alignment vertical="center" wrapText="1"/>
      <protection locked="0"/>
    </xf>
    <xf numFmtId="0" fontId="12" fillId="0" borderId="0" xfId="0" applyFont="1" applyBorder="1" applyAlignment="1" applyProtection="1">
      <alignment vertical="center" wrapText="1"/>
      <protection locked="0"/>
    </xf>
    <xf numFmtId="0" fontId="9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7" xfId="0" applyNumberFormat="1" applyFont="1" applyFill="1" applyBorder="1" applyAlignment="1" applyProtection="1">
      <alignment horizontal="left"/>
      <protection locked="0"/>
    </xf>
    <xf numFmtId="0" fontId="10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5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10" fillId="0" borderId="7" xfId="0" applyNumberFormat="1" applyFont="1" applyFill="1" applyBorder="1" applyAlignment="1" applyProtection="1">
      <alignment horizontal="right"/>
      <protection locked="0"/>
    </xf>
    <xf numFmtId="0" fontId="11" fillId="0" borderId="2" xfId="0" applyFont="1" applyBorder="1" applyAlignment="1" applyProtection="1">
      <alignment horizontal="right"/>
      <protection locked="0"/>
    </xf>
    <xf numFmtId="0" fontId="10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zoomScale="80" zoomScaleNormal="80" workbookViewId="0">
      <selection activeCell="I23" sqref="I23"/>
    </sheetView>
  </sheetViews>
  <sheetFormatPr defaultRowHeight="14.4"/>
  <cols>
    <col min="2" max="2" width="20.109375" bestFit="1" customWidth="1"/>
  </cols>
  <sheetData>
    <row r="1" spans="1:13">
      <c r="A1" s="1" t="s">
        <v>0</v>
      </c>
      <c r="B1" s="2" t="s">
        <v>1</v>
      </c>
      <c r="C1" s="3"/>
      <c r="D1" s="4"/>
      <c r="E1" s="4"/>
      <c r="F1" s="4"/>
      <c r="G1" s="4"/>
      <c r="H1" s="152" t="s">
        <v>2</v>
      </c>
      <c r="I1" s="5"/>
      <c r="J1" s="3"/>
      <c r="K1" s="3"/>
      <c r="L1" s="3"/>
      <c r="M1" s="6"/>
    </row>
    <row r="2" spans="1:13">
      <c r="A2" s="7" t="s">
        <v>3</v>
      </c>
      <c r="B2" s="8" t="s">
        <v>4</v>
      </c>
      <c r="C2" s="9"/>
      <c r="D2" s="9"/>
      <c r="E2" s="9"/>
      <c r="F2" s="9"/>
      <c r="G2" s="9"/>
      <c r="H2" s="153"/>
      <c r="I2" s="10"/>
      <c r="J2" s="9"/>
      <c r="K2" s="9"/>
      <c r="L2" s="9"/>
      <c r="M2" s="11"/>
    </row>
    <row r="3" spans="1:13">
      <c r="A3" s="7" t="s">
        <v>5</v>
      </c>
      <c r="B3" s="8" t="s">
        <v>6</v>
      </c>
      <c r="C3" s="9"/>
      <c r="D3" s="155" t="s">
        <v>7</v>
      </c>
      <c r="E3" s="155"/>
      <c r="F3" s="155"/>
      <c r="G3" s="155"/>
      <c r="H3" s="153"/>
      <c r="I3" s="10"/>
      <c r="J3" s="9"/>
      <c r="K3" s="9"/>
      <c r="L3" s="9"/>
      <c r="M3" s="11"/>
    </row>
    <row r="4" spans="1:1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153"/>
      <c r="I4" s="10"/>
      <c r="J4" s="9"/>
      <c r="K4" s="9"/>
      <c r="L4" s="9"/>
      <c r="M4" s="11"/>
    </row>
    <row r="5" spans="1:13">
      <c r="A5" s="7" t="s">
        <v>11</v>
      </c>
      <c r="B5" s="8" t="s">
        <v>12</v>
      </c>
      <c r="C5" s="9"/>
      <c r="D5" s="9"/>
      <c r="E5" s="9"/>
      <c r="F5" s="9"/>
      <c r="G5" s="9"/>
      <c r="H5" s="153"/>
      <c r="I5" s="10"/>
      <c r="J5" s="9"/>
      <c r="K5" s="9"/>
      <c r="L5" s="9"/>
      <c r="M5" s="11"/>
    </row>
    <row r="6" spans="1:13">
      <c r="A6" s="7" t="s">
        <v>13</v>
      </c>
      <c r="B6" s="8" t="s">
        <v>14</v>
      </c>
      <c r="C6" s="9"/>
      <c r="D6" s="9"/>
      <c r="E6" s="9"/>
      <c r="F6" s="9"/>
      <c r="G6" s="9"/>
      <c r="H6" s="153"/>
      <c r="I6" s="10"/>
      <c r="J6" s="9"/>
      <c r="K6" s="9"/>
      <c r="L6" s="9"/>
      <c r="M6" s="11"/>
    </row>
    <row r="7" spans="1:13">
      <c r="A7" s="13" t="s">
        <v>15</v>
      </c>
      <c r="B7" s="14" t="s">
        <v>16</v>
      </c>
      <c r="C7" s="15"/>
      <c r="D7" s="16"/>
      <c r="E7" s="15"/>
      <c r="F7" s="15"/>
      <c r="G7" s="15"/>
      <c r="H7" s="153"/>
      <c r="I7" s="17"/>
      <c r="J7" s="15"/>
      <c r="K7" s="15"/>
      <c r="L7" s="15"/>
      <c r="M7" s="18"/>
    </row>
    <row r="8" spans="1:13">
      <c r="A8" s="13" t="s">
        <v>17</v>
      </c>
      <c r="B8" s="19" t="s">
        <v>18</v>
      </c>
      <c r="C8" s="15"/>
      <c r="D8" s="15"/>
      <c r="E8" s="15"/>
      <c r="F8" s="15"/>
      <c r="G8" s="15"/>
      <c r="H8" s="153"/>
      <c r="I8" s="17"/>
      <c r="J8" s="19"/>
      <c r="K8" s="20"/>
      <c r="L8" s="15"/>
      <c r="M8" s="18"/>
    </row>
    <row r="9" spans="1:13">
      <c r="A9" s="13" t="s">
        <v>19</v>
      </c>
      <c r="B9" s="19" t="s">
        <v>20</v>
      </c>
      <c r="C9" s="15"/>
      <c r="D9" s="15"/>
      <c r="E9" s="15"/>
      <c r="F9" s="15"/>
      <c r="G9" s="15"/>
      <c r="H9" s="153"/>
      <c r="I9" s="17"/>
      <c r="J9" s="15"/>
      <c r="K9" s="15"/>
      <c r="L9" s="15"/>
      <c r="M9" s="18"/>
    </row>
    <row r="10" spans="1:13">
      <c r="A10" s="13" t="s">
        <v>21</v>
      </c>
      <c r="B10" s="19" t="s">
        <v>22</v>
      </c>
      <c r="C10" s="15"/>
      <c r="D10" s="15"/>
      <c r="E10" s="15"/>
      <c r="F10" s="15"/>
      <c r="G10" s="15"/>
      <c r="H10" s="153"/>
      <c r="I10" s="17"/>
      <c r="J10" s="15"/>
      <c r="K10" s="15"/>
      <c r="L10" s="15"/>
      <c r="M10" s="18"/>
    </row>
    <row r="11" spans="1:1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153"/>
      <c r="I11" s="17"/>
      <c r="J11" s="15"/>
      <c r="K11" s="15"/>
      <c r="L11" s="15"/>
      <c r="M11" s="18"/>
    </row>
    <row r="12" spans="1:13">
      <c r="A12" s="13" t="s">
        <v>26</v>
      </c>
      <c r="B12" s="19" t="s">
        <v>27</v>
      </c>
      <c r="C12" s="15"/>
      <c r="D12" s="15"/>
      <c r="E12" s="15"/>
      <c r="F12" s="15"/>
      <c r="G12" s="15"/>
      <c r="H12" s="153"/>
      <c r="I12" s="17"/>
      <c r="J12" s="15"/>
      <c r="K12" s="15"/>
      <c r="L12" s="15"/>
      <c r="M12" s="18"/>
    </row>
    <row r="13" spans="1:13">
      <c r="A13" s="13" t="s">
        <v>28</v>
      </c>
      <c r="B13" s="19" t="s">
        <v>29</v>
      </c>
      <c r="C13" s="15"/>
      <c r="D13" s="15"/>
      <c r="E13" s="15"/>
      <c r="F13" s="15"/>
      <c r="G13" s="15"/>
      <c r="H13" s="153"/>
      <c r="I13" s="17"/>
      <c r="J13" s="15"/>
      <c r="K13" s="15"/>
      <c r="L13" s="15"/>
      <c r="M13" s="18"/>
    </row>
    <row r="14" spans="1:13">
      <c r="A14" s="13" t="s">
        <v>30</v>
      </c>
      <c r="B14" s="19" t="s">
        <v>31</v>
      </c>
      <c r="C14" s="15"/>
      <c r="D14" s="15"/>
      <c r="E14" s="15"/>
      <c r="F14" s="15"/>
      <c r="G14" s="15"/>
      <c r="H14" s="153"/>
      <c r="I14" s="17"/>
      <c r="J14" s="15"/>
      <c r="K14" s="15"/>
      <c r="L14" s="15"/>
      <c r="M14" s="18"/>
    </row>
    <row r="15" spans="1:13">
      <c r="A15" s="13" t="s">
        <v>32</v>
      </c>
      <c r="B15" s="19" t="s">
        <v>33</v>
      </c>
      <c r="C15" s="15"/>
      <c r="D15" s="15"/>
      <c r="E15" s="15"/>
      <c r="F15" s="15"/>
      <c r="G15" s="15"/>
      <c r="H15" s="153"/>
      <c r="I15" s="17"/>
      <c r="J15" s="15"/>
      <c r="K15" s="15"/>
      <c r="L15" s="15"/>
      <c r="M15" s="18"/>
    </row>
    <row r="16" spans="1:13">
      <c r="A16" s="13" t="s">
        <v>34</v>
      </c>
      <c r="B16" s="19" t="s">
        <v>35</v>
      </c>
      <c r="C16" s="15"/>
      <c r="D16" s="15"/>
      <c r="E16" s="15"/>
      <c r="F16" s="15"/>
      <c r="G16" s="15"/>
      <c r="H16" s="153"/>
      <c r="I16" s="17"/>
      <c r="J16" s="15"/>
      <c r="K16" s="15"/>
      <c r="L16" s="15"/>
      <c r="M16" s="18"/>
    </row>
    <row r="17" spans="1:13">
      <c r="A17" s="13" t="s">
        <v>36</v>
      </c>
      <c r="B17" s="19" t="s">
        <v>37</v>
      </c>
      <c r="C17" s="15"/>
      <c r="D17" s="15"/>
      <c r="E17" s="15"/>
      <c r="F17" s="15"/>
      <c r="G17" s="15"/>
      <c r="H17" s="153"/>
      <c r="I17" s="17"/>
      <c r="J17" s="15"/>
      <c r="K17" s="15"/>
      <c r="L17" s="15"/>
      <c r="M17" s="18"/>
    </row>
    <row r="18" spans="1:13">
      <c r="A18" s="22" t="s">
        <v>38</v>
      </c>
      <c r="B18" s="23" t="s">
        <v>39</v>
      </c>
      <c r="C18" s="24"/>
      <c r="D18" s="25"/>
      <c r="E18" s="24"/>
      <c r="F18" s="24"/>
      <c r="G18" s="24"/>
      <c r="H18" s="153"/>
      <c r="I18" s="26"/>
      <c r="J18" s="23"/>
      <c r="K18" s="23"/>
      <c r="L18" s="24"/>
      <c r="M18" s="27"/>
    </row>
    <row r="19" spans="1:13">
      <c r="A19" s="22" t="s">
        <v>40</v>
      </c>
      <c r="B19" s="23" t="s">
        <v>41</v>
      </c>
      <c r="C19" s="24"/>
      <c r="D19" s="24"/>
      <c r="E19" s="24"/>
      <c r="F19" s="24"/>
      <c r="G19" s="24"/>
      <c r="H19" s="153"/>
      <c r="I19" s="26"/>
      <c r="J19" s="23"/>
      <c r="K19" s="23"/>
      <c r="L19" s="24"/>
      <c r="M19" s="27"/>
    </row>
    <row r="20" spans="1:1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153"/>
      <c r="I20" s="26"/>
      <c r="J20" s="23"/>
      <c r="K20" s="23"/>
      <c r="L20" s="24"/>
      <c r="M20" s="27"/>
    </row>
    <row r="21" spans="1:13" ht="15" thickBot="1">
      <c r="A21" s="29" t="s">
        <v>45</v>
      </c>
      <c r="B21" s="30" t="s">
        <v>46</v>
      </c>
      <c r="C21" s="31"/>
      <c r="D21" s="31"/>
      <c r="E21" s="31"/>
      <c r="F21" s="31"/>
      <c r="G21" s="31"/>
      <c r="H21" s="154"/>
      <c r="I21" s="32"/>
      <c r="J21" s="30"/>
      <c r="K21" s="30"/>
      <c r="L21" s="31"/>
      <c r="M21" s="33"/>
    </row>
    <row r="22" spans="1:13">
      <c r="A22" s="34" t="s">
        <v>47</v>
      </c>
      <c r="B22" s="35" t="s">
        <v>48</v>
      </c>
      <c r="C22" s="36"/>
      <c r="D22" s="37"/>
      <c r="E22" s="36"/>
      <c r="F22" s="36"/>
      <c r="G22" s="38"/>
      <c r="H22" s="156" t="s">
        <v>49</v>
      </c>
      <c r="I22" s="36"/>
      <c r="J22" s="35"/>
      <c r="K22" s="35"/>
      <c r="L22" s="36"/>
      <c r="M22" s="39"/>
    </row>
    <row r="23" spans="1:13">
      <c r="A23" s="40" t="s">
        <v>50</v>
      </c>
      <c r="B23" s="41" t="s">
        <v>51</v>
      </c>
      <c r="C23" s="42"/>
      <c r="D23" s="42"/>
      <c r="E23" s="42"/>
      <c r="F23" s="42"/>
      <c r="G23" s="43"/>
      <c r="H23" s="157"/>
      <c r="I23" s="42"/>
      <c r="J23" s="41"/>
      <c r="K23" s="41"/>
      <c r="L23" s="42"/>
      <c r="M23" s="44"/>
    </row>
    <row r="24" spans="1:1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157"/>
      <c r="I24" s="42"/>
      <c r="J24" s="41"/>
      <c r="K24" s="41"/>
      <c r="L24" s="42"/>
      <c r="M24" s="44"/>
    </row>
    <row r="25" spans="1:13">
      <c r="A25" s="40" t="s">
        <v>55</v>
      </c>
      <c r="B25" s="41" t="s">
        <v>56</v>
      </c>
      <c r="C25" s="42"/>
      <c r="D25" s="42"/>
      <c r="E25" s="42"/>
      <c r="F25" s="42"/>
      <c r="G25" s="43"/>
      <c r="H25" s="157"/>
      <c r="I25" s="42"/>
      <c r="J25" s="41"/>
      <c r="K25" s="41"/>
      <c r="L25" s="42"/>
      <c r="M25" s="44"/>
    </row>
    <row r="26" spans="1:13">
      <c r="A26" s="40" t="s">
        <v>57</v>
      </c>
      <c r="B26" s="41" t="s">
        <v>58</v>
      </c>
      <c r="C26" s="42"/>
      <c r="D26" s="42"/>
      <c r="E26" s="42"/>
      <c r="F26" s="42"/>
      <c r="G26" s="43"/>
      <c r="H26" s="157"/>
      <c r="I26" s="42"/>
      <c r="J26" s="41"/>
      <c r="K26" s="41"/>
      <c r="L26" s="42"/>
      <c r="M26" s="44"/>
    </row>
    <row r="27" spans="1:13">
      <c r="A27" s="46" t="s">
        <v>59</v>
      </c>
      <c r="B27" s="47" t="s">
        <v>60</v>
      </c>
      <c r="C27" s="48"/>
      <c r="D27" s="49"/>
      <c r="E27" s="48"/>
      <c r="F27" s="48"/>
      <c r="G27" s="50"/>
      <c r="H27" s="157"/>
      <c r="I27" s="48"/>
      <c r="J27" s="47"/>
      <c r="K27" s="47"/>
      <c r="L27" s="48"/>
      <c r="M27" s="51"/>
    </row>
    <row r="28" spans="1:13">
      <c r="A28" s="46" t="s">
        <v>61</v>
      </c>
      <c r="B28" s="47" t="s">
        <v>62</v>
      </c>
      <c r="C28" s="48"/>
      <c r="D28" s="48"/>
      <c r="E28" s="48"/>
      <c r="F28" s="48"/>
      <c r="G28" s="50"/>
      <c r="H28" s="157"/>
      <c r="I28" s="48"/>
      <c r="J28" s="47"/>
      <c r="K28" s="47"/>
      <c r="L28" s="48"/>
      <c r="M28" s="51"/>
    </row>
    <row r="29" spans="1:1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157"/>
      <c r="I29" s="48"/>
      <c r="J29" s="47"/>
      <c r="K29" s="47"/>
      <c r="L29" s="48"/>
      <c r="M29" s="51"/>
    </row>
    <row r="30" spans="1:13">
      <c r="A30" s="46" t="s">
        <v>66</v>
      </c>
      <c r="B30" s="47" t="s">
        <v>67</v>
      </c>
      <c r="C30" s="48"/>
      <c r="D30" s="48"/>
      <c r="E30" s="48"/>
      <c r="F30" s="48"/>
      <c r="G30" s="50"/>
      <c r="H30" s="157"/>
      <c r="I30" s="48"/>
      <c r="J30" s="47"/>
      <c r="K30" s="47"/>
      <c r="L30" s="48"/>
      <c r="M30" s="51"/>
    </row>
    <row r="31" spans="1:13" ht="15" thickBot="1">
      <c r="A31" s="53" t="s">
        <v>68</v>
      </c>
      <c r="B31" s="54" t="s">
        <v>69</v>
      </c>
      <c r="C31" s="55"/>
      <c r="D31" s="55"/>
      <c r="E31" s="55"/>
      <c r="F31" s="55"/>
      <c r="G31" s="56"/>
      <c r="H31" s="158"/>
      <c r="I31" s="55"/>
      <c r="J31" s="54"/>
      <c r="K31" s="54"/>
      <c r="L31" s="55"/>
      <c r="M31" s="57"/>
    </row>
    <row r="32" spans="1:13">
      <c r="A32" s="58" t="s">
        <v>70</v>
      </c>
      <c r="B32" s="59" t="s">
        <v>71</v>
      </c>
      <c r="C32" s="60"/>
      <c r="D32" s="61"/>
      <c r="E32" s="62"/>
      <c r="F32" s="62"/>
      <c r="G32" s="63"/>
      <c r="H32" s="159" t="s">
        <v>72</v>
      </c>
      <c r="I32" s="62"/>
      <c r="J32" s="61"/>
      <c r="K32" s="61"/>
      <c r="L32" s="62"/>
      <c r="M32" s="64"/>
    </row>
    <row r="33" spans="1:13">
      <c r="A33" s="65" t="s">
        <v>73</v>
      </c>
      <c r="B33" s="66" t="s">
        <v>74</v>
      </c>
      <c r="C33" s="67"/>
      <c r="D33" s="67"/>
      <c r="E33" s="67"/>
      <c r="F33" s="67"/>
      <c r="G33" s="68"/>
      <c r="H33" s="160"/>
      <c r="I33" s="67"/>
      <c r="J33" s="66"/>
      <c r="K33" s="66"/>
      <c r="L33" s="67"/>
      <c r="M33" s="69"/>
    </row>
    <row r="34" spans="1:1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160"/>
      <c r="I34" s="67"/>
      <c r="J34" s="66"/>
      <c r="K34" s="66"/>
      <c r="L34" s="67"/>
      <c r="M34" s="69"/>
    </row>
    <row r="35" spans="1:13">
      <c r="A35" s="65" t="s">
        <v>78</v>
      </c>
      <c r="B35" s="66" t="s">
        <v>79</v>
      </c>
      <c r="C35" s="67"/>
      <c r="D35" s="67"/>
      <c r="E35" s="67"/>
      <c r="F35" s="67"/>
      <c r="G35" s="68"/>
      <c r="H35" s="160"/>
      <c r="I35" s="67"/>
      <c r="J35" s="66"/>
      <c r="K35" s="66"/>
      <c r="L35" s="67"/>
      <c r="M35" s="69"/>
    </row>
    <row r="36" spans="1:13">
      <c r="A36" s="65" t="s">
        <v>80</v>
      </c>
      <c r="B36" s="66" t="s">
        <v>81</v>
      </c>
      <c r="C36" s="67"/>
      <c r="D36" s="67"/>
      <c r="E36" s="67"/>
      <c r="F36" s="67"/>
      <c r="G36" s="68"/>
      <c r="H36" s="160"/>
      <c r="I36" s="67"/>
      <c r="J36" s="66"/>
      <c r="K36" s="66"/>
      <c r="L36" s="67"/>
      <c r="M36" s="69"/>
    </row>
    <row r="37" spans="1:13">
      <c r="A37" s="71" t="s">
        <v>82</v>
      </c>
      <c r="B37" s="72" t="s">
        <v>83</v>
      </c>
      <c r="C37" s="73"/>
      <c r="D37" s="74"/>
      <c r="E37" s="73"/>
      <c r="F37" s="73"/>
      <c r="G37" s="75"/>
      <c r="H37" s="160"/>
      <c r="I37" s="73"/>
      <c r="J37" s="72"/>
      <c r="K37" s="72"/>
      <c r="L37" s="73"/>
      <c r="M37" s="76"/>
    </row>
    <row r="38" spans="1:1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160"/>
      <c r="I38" s="73"/>
      <c r="J38" s="72"/>
      <c r="K38" s="72"/>
      <c r="L38" s="73"/>
      <c r="M38" s="76"/>
    </row>
    <row r="39" spans="1:13">
      <c r="A39" s="71" t="s">
        <v>87</v>
      </c>
      <c r="B39" s="72" t="s">
        <v>88</v>
      </c>
      <c r="C39" s="73"/>
      <c r="D39" s="73"/>
      <c r="E39" s="73"/>
      <c r="F39" s="73"/>
      <c r="G39" s="75"/>
      <c r="H39" s="160"/>
      <c r="I39" s="73"/>
      <c r="J39" s="72"/>
      <c r="K39" s="72"/>
      <c r="L39" s="73"/>
      <c r="M39" s="76"/>
    </row>
    <row r="40" spans="1:13">
      <c r="A40" s="78" t="s">
        <v>89</v>
      </c>
      <c r="B40" s="79" t="s">
        <v>90</v>
      </c>
      <c r="C40" s="80"/>
      <c r="D40" s="81"/>
      <c r="E40" s="82"/>
      <c r="F40" s="82"/>
      <c r="G40" s="83"/>
      <c r="H40" s="160"/>
      <c r="I40" s="80"/>
      <c r="J40" s="79"/>
      <c r="K40" s="79"/>
      <c r="L40" s="80"/>
      <c r="M40" s="84"/>
    </row>
    <row r="41" spans="1:13">
      <c r="A41" s="78" t="s">
        <v>91</v>
      </c>
      <c r="B41" s="79" t="s">
        <v>92</v>
      </c>
      <c r="C41" s="80"/>
      <c r="D41" s="80"/>
      <c r="E41" s="80"/>
      <c r="F41" s="80"/>
      <c r="G41" s="83"/>
      <c r="H41" s="160"/>
      <c r="I41" s="80"/>
      <c r="J41" s="79"/>
      <c r="K41" s="79"/>
      <c r="L41" s="80"/>
      <c r="M41" s="84"/>
    </row>
    <row r="42" spans="1:1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160"/>
      <c r="I42" s="80"/>
      <c r="J42" s="79"/>
      <c r="K42" s="79"/>
      <c r="L42" s="80"/>
      <c r="M42" s="84"/>
    </row>
    <row r="43" spans="1:13">
      <c r="A43" s="78" t="s">
        <v>96</v>
      </c>
      <c r="B43" s="79" t="s">
        <v>97</v>
      </c>
      <c r="C43" s="80"/>
      <c r="D43" s="80"/>
      <c r="E43" s="80"/>
      <c r="F43" s="80"/>
      <c r="G43" s="83"/>
      <c r="H43" s="160"/>
      <c r="I43" s="80"/>
      <c r="J43" s="79"/>
      <c r="K43" s="79"/>
      <c r="L43" s="80"/>
      <c r="M43" s="84"/>
    </row>
    <row r="44" spans="1:13" ht="15" thickBot="1">
      <c r="A44" s="85" t="s">
        <v>98</v>
      </c>
      <c r="B44" s="86" t="s">
        <v>99</v>
      </c>
      <c r="C44" s="87"/>
      <c r="D44" s="87"/>
      <c r="E44" s="87"/>
      <c r="F44" s="87"/>
      <c r="G44" s="88"/>
      <c r="H44" s="161"/>
      <c r="I44" s="87"/>
      <c r="J44" s="86"/>
      <c r="K44" s="86"/>
      <c r="L44" s="87"/>
      <c r="M44" s="89"/>
    </row>
    <row r="45" spans="1:13">
      <c r="A45" s="58" t="s">
        <v>100</v>
      </c>
      <c r="B45" s="59" t="s">
        <v>101</v>
      </c>
      <c r="C45" s="60"/>
      <c r="D45" s="60"/>
      <c r="E45" s="90"/>
      <c r="F45" s="60"/>
      <c r="G45" s="60"/>
      <c r="H45" s="152" t="s">
        <v>102</v>
      </c>
      <c r="I45" s="60"/>
      <c r="J45" s="59"/>
      <c r="K45" s="59"/>
      <c r="L45" s="60"/>
      <c r="M45" s="91"/>
    </row>
    <row r="46" spans="1:13">
      <c r="A46" s="65" t="s">
        <v>103</v>
      </c>
      <c r="B46" s="66" t="s">
        <v>104</v>
      </c>
      <c r="C46" s="67"/>
      <c r="D46" s="67"/>
      <c r="E46" s="67"/>
      <c r="F46" s="67"/>
      <c r="G46" s="67"/>
      <c r="H46" s="153"/>
      <c r="I46" s="67"/>
      <c r="J46" s="66"/>
      <c r="K46" s="66"/>
      <c r="L46" s="67"/>
      <c r="M46" s="69"/>
    </row>
    <row r="47" spans="1:13">
      <c r="A47" s="65" t="s">
        <v>105</v>
      </c>
      <c r="B47" s="66" t="s">
        <v>106</v>
      </c>
      <c r="C47" s="67"/>
      <c r="D47" s="67"/>
      <c r="E47" s="67"/>
      <c r="F47" s="67"/>
      <c r="G47" s="67"/>
      <c r="H47" s="153"/>
      <c r="I47" s="67"/>
      <c r="J47" s="66"/>
      <c r="K47" s="66"/>
      <c r="L47" s="67"/>
      <c r="M47" s="69"/>
    </row>
    <row r="48" spans="1:13">
      <c r="A48" s="65" t="s">
        <v>107</v>
      </c>
      <c r="B48" s="66" t="s">
        <v>108</v>
      </c>
      <c r="C48" s="67"/>
      <c r="D48" s="67"/>
      <c r="E48" s="67"/>
      <c r="F48" s="67"/>
      <c r="G48" s="67"/>
      <c r="H48" s="153"/>
      <c r="I48" s="67"/>
      <c r="J48" s="66"/>
      <c r="K48" s="66"/>
      <c r="L48" s="67"/>
      <c r="M48" s="69"/>
    </row>
    <row r="49" spans="1:1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153"/>
      <c r="I49" s="67"/>
      <c r="J49" s="66"/>
      <c r="K49" s="66"/>
      <c r="L49" s="67"/>
      <c r="M49" s="69"/>
    </row>
    <row r="50" spans="1:13">
      <c r="A50" s="65" t="s">
        <v>112</v>
      </c>
      <c r="B50" s="66" t="s">
        <v>113</v>
      </c>
      <c r="C50" s="67"/>
      <c r="D50" s="67"/>
      <c r="E50" s="67"/>
      <c r="F50" s="67"/>
      <c r="G50" s="67"/>
      <c r="H50" s="153"/>
      <c r="I50" s="67"/>
      <c r="J50" s="66"/>
      <c r="K50" s="66"/>
      <c r="L50" s="67"/>
      <c r="M50" s="69"/>
    </row>
    <row r="51" spans="1:13">
      <c r="A51" s="65" t="s">
        <v>114</v>
      </c>
      <c r="B51" s="66" t="s">
        <v>115</v>
      </c>
      <c r="C51" s="67"/>
      <c r="D51" s="67"/>
      <c r="E51" s="67"/>
      <c r="F51" s="67"/>
      <c r="G51" s="67"/>
      <c r="H51" s="153"/>
      <c r="I51" s="67"/>
      <c r="J51" s="66"/>
      <c r="K51" s="66"/>
      <c r="L51" s="67"/>
      <c r="M51" s="69"/>
    </row>
    <row r="52" spans="1:13" ht="15" thickBot="1">
      <c r="A52" s="93" t="s">
        <v>116</v>
      </c>
      <c r="B52" s="94" t="s">
        <v>117</v>
      </c>
      <c r="C52" s="95"/>
      <c r="D52" s="95"/>
      <c r="E52" s="95"/>
      <c r="F52" s="95"/>
      <c r="G52" s="95"/>
      <c r="H52" s="154"/>
      <c r="I52" s="95"/>
      <c r="J52" s="94"/>
      <c r="K52" s="94"/>
      <c r="L52" s="95"/>
      <c r="M52" s="96"/>
    </row>
    <row r="53" spans="1:13">
      <c r="A53" s="1" t="s">
        <v>118</v>
      </c>
      <c r="B53" s="97" t="s">
        <v>119</v>
      </c>
      <c r="C53" s="3"/>
      <c r="D53" s="98"/>
      <c r="E53" s="3"/>
      <c r="F53" s="3"/>
      <c r="G53" s="3"/>
      <c r="H53" s="149" t="s">
        <v>120</v>
      </c>
      <c r="I53" s="3"/>
      <c r="J53" s="97"/>
      <c r="K53" s="97"/>
      <c r="L53" s="3"/>
      <c r="M53" s="6"/>
    </row>
    <row r="54" spans="1:13">
      <c r="A54" s="7" t="s">
        <v>121</v>
      </c>
      <c r="B54" s="99" t="s">
        <v>122</v>
      </c>
      <c r="C54" s="9"/>
      <c r="D54" s="9"/>
      <c r="E54" s="9"/>
      <c r="F54" s="9"/>
      <c r="G54" s="9"/>
      <c r="H54" s="150"/>
      <c r="I54" s="9"/>
      <c r="J54" s="99"/>
      <c r="K54" s="99"/>
      <c r="L54" s="9"/>
      <c r="M54" s="11"/>
    </row>
    <row r="55" spans="1:1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150"/>
      <c r="I55" s="9"/>
      <c r="J55" s="99"/>
      <c r="K55" s="99"/>
      <c r="L55" s="9"/>
      <c r="M55" s="11"/>
    </row>
    <row r="56" spans="1:13">
      <c r="A56" s="7" t="s">
        <v>126</v>
      </c>
      <c r="B56" s="99" t="s">
        <v>127</v>
      </c>
      <c r="C56" s="9"/>
      <c r="D56" s="9"/>
      <c r="E56" s="9"/>
      <c r="F56" s="9"/>
      <c r="G56" s="9"/>
      <c r="H56" s="150"/>
      <c r="I56" s="9"/>
      <c r="J56" s="99"/>
      <c r="K56" s="99"/>
      <c r="L56" s="9"/>
      <c r="M56" s="11"/>
    </row>
    <row r="57" spans="1:13">
      <c r="A57" s="7" t="s">
        <v>128</v>
      </c>
      <c r="B57" s="99" t="s">
        <v>129</v>
      </c>
      <c r="C57" s="9"/>
      <c r="D57" s="9"/>
      <c r="E57" s="9"/>
      <c r="F57" s="9"/>
      <c r="G57" s="9"/>
      <c r="H57" s="150"/>
      <c r="I57" s="9"/>
      <c r="J57" s="99"/>
      <c r="K57" s="99"/>
      <c r="L57" s="9"/>
      <c r="M57" s="11"/>
    </row>
    <row r="58" spans="1:13">
      <c r="A58" s="46" t="s">
        <v>130</v>
      </c>
      <c r="B58" s="47" t="s">
        <v>131</v>
      </c>
      <c r="C58" s="48"/>
      <c r="D58" s="49"/>
      <c r="E58" s="48"/>
      <c r="F58" s="48"/>
      <c r="G58" s="48"/>
      <c r="H58" s="150"/>
      <c r="I58" s="48"/>
      <c r="J58" s="47"/>
      <c r="K58" s="47"/>
      <c r="L58" s="48"/>
      <c r="M58" s="51"/>
    </row>
    <row r="59" spans="1:13">
      <c r="A59" s="46" t="s">
        <v>132</v>
      </c>
      <c r="B59" s="47" t="s">
        <v>133</v>
      </c>
      <c r="C59" s="48"/>
      <c r="D59" s="48"/>
      <c r="E59" s="48"/>
      <c r="F59" s="48"/>
      <c r="G59" s="48"/>
      <c r="H59" s="150"/>
      <c r="I59" s="48"/>
      <c r="J59" s="47"/>
      <c r="K59" s="47"/>
      <c r="L59" s="48"/>
      <c r="M59" s="51"/>
    </row>
    <row r="60" spans="1:13">
      <c r="A60" s="46" t="s">
        <v>134</v>
      </c>
      <c r="B60" s="47" t="s">
        <v>135</v>
      </c>
      <c r="C60" s="48"/>
      <c r="D60" s="48"/>
      <c r="E60" s="48"/>
      <c r="F60" s="48"/>
      <c r="G60" s="48"/>
      <c r="H60" s="150"/>
      <c r="I60" s="48"/>
      <c r="J60" s="47"/>
      <c r="K60" s="47"/>
      <c r="L60" s="48"/>
      <c r="M60" s="51"/>
    </row>
    <row r="61" spans="1:13">
      <c r="A61" s="46" t="s">
        <v>136</v>
      </c>
      <c r="B61" s="47" t="s">
        <v>137</v>
      </c>
      <c r="C61" s="48"/>
      <c r="D61" s="48"/>
      <c r="E61" s="48"/>
      <c r="F61" s="48"/>
      <c r="G61" s="48"/>
      <c r="H61" s="150"/>
      <c r="I61" s="48"/>
      <c r="J61" s="47"/>
      <c r="K61" s="47"/>
      <c r="L61" s="48"/>
      <c r="M61" s="51"/>
    </row>
    <row r="62" spans="1:13">
      <c r="A62" s="46" t="s">
        <v>138</v>
      </c>
      <c r="B62" s="47" t="s">
        <v>139</v>
      </c>
      <c r="C62" s="48"/>
      <c r="D62" s="48"/>
      <c r="E62" s="48"/>
      <c r="F62" s="48"/>
      <c r="G62" s="48"/>
      <c r="H62" s="150"/>
      <c r="I62" s="48"/>
      <c r="J62" s="47"/>
      <c r="K62" s="47"/>
      <c r="L62" s="48"/>
      <c r="M62" s="51"/>
    </row>
    <row r="63" spans="1:1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150"/>
      <c r="I63" s="48"/>
      <c r="J63" s="47"/>
      <c r="K63" s="47"/>
      <c r="L63" s="48"/>
      <c r="M63" s="51"/>
    </row>
    <row r="64" spans="1:13">
      <c r="A64" s="46" t="s">
        <v>143</v>
      </c>
      <c r="B64" s="47" t="s">
        <v>144</v>
      </c>
      <c r="C64" s="48"/>
      <c r="D64" s="48"/>
      <c r="E64" s="48"/>
      <c r="F64" s="48"/>
      <c r="G64" s="48"/>
      <c r="H64" s="150"/>
      <c r="I64" s="48"/>
      <c r="J64" s="47"/>
      <c r="K64" s="47"/>
      <c r="L64" s="48"/>
      <c r="M64" s="51"/>
    </row>
    <row r="65" spans="1:13">
      <c r="A65" s="46" t="s">
        <v>145</v>
      </c>
      <c r="B65" s="47" t="s">
        <v>146</v>
      </c>
      <c r="C65" s="48"/>
      <c r="D65" s="48"/>
      <c r="E65" s="48"/>
      <c r="F65" s="48"/>
      <c r="G65" s="48"/>
      <c r="H65" s="150"/>
      <c r="I65" s="48"/>
      <c r="J65" s="47"/>
      <c r="K65" s="47"/>
      <c r="L65" s="48"/>
      <c r="M65" s="51"/>
    </row>
    <row r="66" spans="1:13">
      <c r="A66" s="46" t="s">
        <v>147</v>
      </c>
      <c r="B66" s="47" t="s">
        <v>148</v>
      </c>
      <c r="C66" s="48"/>
      <c r="D66" s="48"/>
      <c r="E66" s="48"/>
      <c r="F66" s="48"/>
      <c r="G66" s="48"/>
      <c r="H66" s="150"/>
      <c r="I66" s="48"/>
      <c r="J66" s="47"/>
      <c r="K66" s="47"/>
      <c r="L66" s="48"/>
      <c r="M66" s="51"/>
    </row>
    <row r="67" spans="1:13">
      <c r="A67" s="46" t="s">
        <v>149</v>
      </c>
      <c r="B67" s="47" t="s">
        <v>150</v>
      </c>
      <c r="C67" s="48"/>
      <c r="D67" s="48"/>
      <c r="E67" s="48"/>
      <c r="F67" s="48"/>
      <c r="G67" s="48"/>
      <c r="H67" s="150"/>
      <c r="I67" s="48"/>
      <c r="J67" s="47"/>
      <c r="K67" s="47"/>
      <c r="L67" s="48"/>
      <c r="M67" s="51"/>
    </row>
    <row r="68" spans="1:13">
      <c r="A68" s="46" t="s">
        <v>151</v>
      </c>
      <c r="B68" s="47" t="s">
        <v>152</v>
      </c>
      <c r="C68" s="48"/>
      <c r="D68" s="48"/>
      <c r="E68" s="48"/>
      <c r="F68" s="48"/>
      <c r="G68" s="48"/>
      <c r="H68" s="150"/>
      <c r="I68" s="48"/>
      <c r="J68" s="47"/>
      <c r="K68" s="47"/>
      <c r="L68" s="48"/>
      <c r="M68" s="51"/>
    </row>
    <row r="69" spans="1:13">
      <c r="A69" s="46" t="s">
        <v>153</v>
      </c>
      <c r="B69" s="47" t="s">
        <v>154</v>
      </c>
      <c r="C69" s="48"/>
      <c r="D69" s="48"/>
      <c r="E69" s="48"/>
      <c r="F69" s="48"/>
      <c r="G69" s="48"/>
      <c r="H69" s="150"/>
      <c r="I69" s="48"/>
      <c r="J69" s="47"/>
      <c r="K69" s="47"/>
      <c r="L69" s="48"/>
      <c r="M69" s="51"/>
    </row>
    <row r="70" spans="1:13" ht="15" thickBot="1">
      <c r="A70" s="53" t="s">
        <v>155</v>
      </c>
      <c r="B70" s="54" t="s">
        <v>156</v>
      </c>
      <c r="C70" s="55"/>
      <c r="D70" s="55"/>
      <c r="E70" s="55"/>
      <c r="F70" s="55"/>
      <c r="G70" s="55"/>
      <c r="H70" s="151"/>
      <c r="I70" s="55"/>
      <c r="J70" s="54"/>
      <c r="K70" s="54"/>
      <c r="L70" s="55"/>
      <c r="M70" s="57"/>
    </row>
    <row r="71" spans="1:1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1"/>
  <sheetViews>
    <sheetView showGridLines="0" tabSelected="1" zoomScale="110" zoomScaleNormal="110" workbookViewId="0">
      <selection activeCell="U10" sqref="U10"/>
    </sheetView>
  </sheetViews>
  <sheetFormatPr defaultRowHeight="10.199999999999999"/>
  <cols>
    <col min="1" max="1" width="22.5546875" style="120" customWidth="1"/>
    <col min="2" max="2" width="8.88671875" style="120" customWidth="1"/>
    <col min="3" max="5" width="7.88671875" style="120" customWidth="1"/>
    <col min="6" max="6" width="7.44140625" style="120" customWidth="1"/>
    <col min="7" max="8" width="7.6640625" style="120" customWidth="1"/>
    <col min="9" max="9" width="9.21875" style="120" customWidth="1"/>
    <col min="10" max="10" width="7.44140625" style="120" customWidth="1"/>
    <col min="11" max="12" width="7.5546875" style="120" customWidth="1"/>
    <col min="13" max="14" width="8" style="120" customWidth="1"/>
    <col min="15" max="17" width="6.44140625" style="120" customWidth="1"/>
    <col min="18" max="18" width="6.109375" style="120" customWidth="1"/>
    <col min="19" max="19" width="7.33203125" style="120" customWidth="1"/>
    <col min="20" max="20" width="6.44140625" style="120" customWidth="1"/>
    <col min="21" max="16384" width="8.88671875" style="120"/>
  </cols>
  <sheetData>
    <row r="1" spans="1:20">
      <c r="A1" s="175"/>
      <c r="B1" s="175"/>
      <c r="C1" s="175"/>
      <c r="D1" s="175"/>
      <c r="E1" s="175"/>
      <c r="F1" s="175"/>
      <c r="G1" s="175"/>
      <c r="H1" s="175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</row>
    <row r="2" spans="1:20" ht="14.4" customHeight="1">
      <c r="A2" s="199" t="s">
        <v>292</v>
      </c>
      <c r="B2" s="199"/>
      <c r="C2" s="199"/>
      <c r="D2" s="199"/>
      <c r="E2" s="199"/>
      <c r="F2" s="199"/>
      <c r="G2" s="199"/>
      <c r="H2" s="199"/>
      <c r="I2" s="202" t="s">
        <v>293</v>
      </c>
      <c r="J2" s="202"/>
      <c r="K2" s="202"/>
      <c r="L2" s="202"/>
      <c r="M2" s="202"/>
      <c r="N2" s="202"/>
      <c r="O2" s="202"/>
      <c r="P2" s="202"/>
      <c r="Q2" s="202"/>
      <c r="R2" s="202"/>
      <c r="S2" s="202"/>
    </row>
    <row r="3" spans="1:20">
      <c r="A3" s="199"/>
      <c r="B3" s="199"/>
      <c r="C3" s="199"/>
      <c r="D3" s="199"/>
      <c r="E3" s="199"/>
      <c r="F3" s="199"/>
      <c r="G3" s="199"/>
      <c r="H3" s="199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</row>
    <row r="4" spans="1:20" ht="10.8" thickBot="1">
      <c r="A4" s="203" t="s">
        <v>170</v>
      </c>
      <c r="B4" s="203"/>
      <c r="C4" s="203"/>
      <c r="D4" s="203"/>
      <c r="E4" s="203"/>
      <c r="F4" s="203"/>
      <c r="G4" s="121"/>
      <c r="H4" s="121"/>
      <c r="I4" s="121"/>
      <c r="J4" s="121"/>
      <c r="K4" s="121"/>
      <c r="L4" s="121"/>
      <c r="M4" s="210" t="s">
        <v>171</v>
      </c>
      <c r="N4" s="210"/>
      <c r="O4" s="210"/>
      <c r="P4" s="210"/>
      <c r="Q4" s="210"/>
      <c r="R4" s="210"/>
      <c r="S4" s="210"/>
    </row>
    <row r="5" spans="1:20" ht="14.4" customHeight="1">
      <c r="A5" s="166" t="s">
        <v>290</v>
      </c>
      <c r="B5" s="169" t="s">
        <v>285</v>
      </c>
      <c r="C5" s="204" t="s">
        <v>286</v>
      </c>
      <c r="D5" s="212"/>
      <c r="E5" s="213" t="s">
        <v>287</v>
      </c>
      <c r="F5" s="214"/>
      <c r="G5" s="204" t="s">
        <v>288</v>
      </c>
      <c r="H5" s="205"/>
      <c r="I5" s="164" t="s">
        <v>277</v>
      </c>
      <c r="J5" s="173"/>
      <c r="K5" s="173"/>
      <c r="L5" s="165"/>
      <c r="M5" s="164" t="s">
        <v>279</v>
      </c>
      <c r="N5" s="165"/>
      <c r="O5" s="164" t="s">
        <v>280</v>
      </c>
      <c r="P5" s="165"/>
      <c r="Q5" s="173" t="s">
        <v>172</v>
      </c>
      <c r="R5" s="173"/>
      <c r="S5" s="173"/>
    </row>
    <row r="6" spans="1:20" ht="10.199999999999999" customHeight="1">
      <c r="A6" s="167"/>
      <c r="B6" s="170"/>
      <c r="C6" s="164"/>
      <c r="D6" s="165"/>
      <c r="E6" s="215"/>
      <c r="F6" s="216"/>
      <c r="G6" s="206"/>
      <c r="H6" s="207"/>
      <c r="I6" s="162"/>
      <c r="J6" s="174"/>
      <c r="K6" s="174"/>
      <c r="L6" s="163"/>
      <c r="M6" s="164"/>
      <c r="N6" s="165"/>
      <c r="O6" s="164"/>
      <c r="P6" s="165"/>
      <c r="Q6" s="173"/>
      <c r="R6" s="173"/>
      <c r="S6" s="173"/>
    </row>
    <row r="7" spans="1:20" ht="40.799999999999997" customHeight="1">
      <c r="A7" s="167"/>
      <c r="B7" s="171"/>
      <c r="C7" s="162"/>
      <c r="D7" s="163"/>
      <c r="E7" s="217"/>
      <c r="F7" s="218"/>
      <c r="G7" s="208"/>
      <c r="H7" s="209"/>
      <c r="I7" s="162" t="s">
        <v>278</v>
      </c>
      <c r="J7" s="163"/>
      <c r="K7" s="162" t="s">
        <v>289</v>
      </c>
      <c r="L7" s="163"/>
      <c r="M7" s="162"/>
      <c r="N7" s="163"/>
      <c r="O7" s="162"/>
      <c r="P7" s="163"/>
      <c r="Q7" s="173"/>
      <c r="R7" s="173"/>
      <c r="S7" s="173"/>
    </row>
    <row r="8" spans="1:20">
      <c r="A8" s="168"/>
      <c r="B8" s="172"/>
      <c r="C8" s="141">
        <v>1</v>
      </c>
      <c r="D8" s="141">
        <v>2</v>
      </c>
      <c r="E8" s="141">
        <v>1</v>
      </c>
      <c r="F8" s="141">
        <v>2</v>
      </c>
      <c r="G8" s="122">
        <v>1</v>
      </c>
      <c r="H8" s="122">
        <v>2</v>
      </c>
      <c r="I8" s="141">
        <v>1</v>
      </c>
      <c r="J8" s="141">
        <v>2</v>
      </c>
      <c r="K8" s="122">
        <v>1</v>
      </c>
      <c r="L8" s="122">
        <v>2</v>
      </c>
      <c r="M8" s="123">
        <v>1</v>
      </c>
      <c r="N8" s="122">
        <v>2</v>
      </c>
      <c r="O8" s="122">
        <v>1</v>
      </c>
      <c r="P8" s="124">
        <v>2</v>
      </c>
      <c r="Q8" s="174"/>
      <c r="R8" s="174"/>
      <c r="S8" s="174"/>
    </row>
    <row r="9" spans="1:20" ht="11.4" customHeight="1">
      <c r="A9" s="183" t="s">
        <v>173</v>
      </c>
      <c r="B9" s="185">
        <f>SUM(B11,B19,B32,B38,B45,B52,B59,B64,B71,B81,B88,B103)</f>
        <v>2591127</v>
      </c>
      <c r="C9" s="180">
        <f>SUM(C11,C19,C32,C38,C45,C52,C59,C64,C71,C81,C88,C103)</f>
        <v>241900</v>
      </c>
      <c r="D9" s="180">
        <f t="shared" ref="D9:P9" si="0">SUM(D11,D19,D32,D38,D45,D52,D59,D64,D71,D81,D88,D103)</f>
        <v>80727.088000000003</v>
      </c>
      <c r="E9" s="180">
        <f t="shared" si="0"/>
        <v>239271</v>
      </c>
      <c r="F9" s="180">
        <f t="shared" si="0"/>
        <v>88905.974000000002</v>
      </c>
      <c r="G9" s="180">
        <f t="shared" si="0"/>
        <v>202300</v>
      </c>
      <c r="H9" s="180">
        <f t="shared" si="0"/>
        <v>79563.088000000003</v>
      </c>
      <c r="I9" s="180">
        <f t="shared" si="0"/>
        <v>1426252</v>
      </c>
      <c r="J9" s="180">
        <f t="shared" si="0"/>
        <v>1524846.7280000001</v>
      </c>
      <c r="K9" s="180">
        <f t="shared" si="0"/>
        <v>225475</v>
      </c>
      <c r="L9" s="180">
        <f t="shared" si="0"/>
        <v>190323.59099999999</v>
      </c>
      <c r="M9" s="180">
        <f t="shared" si="0"/>
        <v>214199</v>
      </c>
      <c r="N9" s="180">
        <f t="shared" si="0"/>
        <v>70015.401999999987</v>
      </c>
      <c r="O9" s="180">
        <f t="shared" si="0"/>
        <v>41730</v>
      </c>
      <c r="P9" s="182">
        <f t="shared" si="0"/>
        <v>27057.89</v>
      </c>
      <c r="Q9" s="196" t="s">
        <v>174</v>
      </c>
      <c r="R9" s="196"/>
      <c r="S9" s="196"/>
      <c r="T9" s="125"/>
    </row>
    <row r="10" spans="1:20" ht="16.2" customHeight="1">
      <c r="A10" s="184"/>
      <c r="B10" s="186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79"/>
      <c r="Q10" s="197"/>
      <c r="R10" s="197"/>
      <c r="S10" s="197"/>
      <c r="T10" s="125"/>
    </row>
    <row r="11" spans="1:20" ht="11.4" customHeight="1">
      <c r="A11" s="177" t="s">
        <v>175</v>
      </c>
      <c r="B11" s="178">
        <f>SUM(C11,E11,G11,I11,K11,M11,O11)</f>
        <v>232129</v>
      </c>
      <c r="C11" s="179">
        <f>SUM(C13:C18)</f>
        <v>7577</v>
      </c>
      <c r="D11" s="179">
        <f t="shared" ref="D11:P11" si="1">SUM(D13:D18)</f>
        <v>2678.35</v>
      </c>
      <c r="E11" s="179">
        <f t="shared" si="1"/>
        <v>5017</v>
      </c>
      <c r="F11" s="179">
        <f t="shared" si="1"/>
        <v>1341.22</v>
      </c>
      <c r="G11" s="179">
        <f t="shared" si="1"/>
        <v>9196</v>
      </c>
      <c r="H11" s="179">
        <f t="shared" si="1"/>
        <v>4706.8500000000004</v>
      </c>
      <c r="I11" s="179">
        <f t="shared" si="1"/>
        <v>181073</v>
      </c>
      <c r="J11" s="179">
        <f t="shared" si="1"/>
        <v>181410.27000000002</v>
      </c>
      <c r="K11" s="179">
        <f t="shared" si="1"/>
        <v>20539</v>
      </c>
      <c r="L11" s="179">
        <f t="shared" si="1"/>
        <v>16967.075000000001</v>
      </c>
      <c r="M11" s="179">
        <f t="shared" si="1"/>
        <v>6945</v>
      </c>
      <c r="N11" s="179">
        <f t="shared" si="1"/>
        <v>2188.6999999999998</v>
      </c>
      <c r="O11" s="179">
        <f t="shared" si="1"/>
        <v>1782</v>
      </c>
      <c r="P11" s="179">
        <f t="shared" si="1"/>
        <v>381.95</v>
      </c>
      <c r="Q11" s="198" t="s">
        <v>176</v>
      </c>
      <c r="R11" s="199"/>
      <c r="S11" s="199"/>
      <c r="T11" s="126"/>
    </row>
    <row r="12" spans="1:20" ht="15" customHeight="1">
      <c r="A12" s="177"/>
      <c r="B12" s="178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98"/>
      <c r="R12" s="199"/>
      <c r="S12" s="199"/>
      <c r="T12" s="126"/>
    </row>
    <row r="13" spans="1:20" ht="11.4" customHeight="1">
      <c r="A13" s="127" t="s">
        <v>1</v>
      </c>
      <c r="B13" s="128">
        <f>SUM(C13,E13,G13,I13,K13,M13,O13)</f>
        <v>38503</v>
      </c>
      <c r="C13" s="143">
        <v>4055</v>
      </c>
      <c r="D13" s="144">
        <v>1157.5</v>
      </c>
      <c r="E13" s="144">
        <v>4240</v>
      </c>
      <c r="F13" s="144">
        <v>876.3</v>
      </c>
      <c r="G13" s="144">
        <v>3290</v>
      </c>
      <c r="H13" s="144">
        <v>1217.3</v>
      </c>
      <c r="I13" s="144">
        <v>20884</v>
      </c>
      <c r="J13" s="144">
        <v>16361.7</v>
      </c>
      <c r="K13" s="144">
        <v>4974</v>
      </c>
      <c r="L13" s="144">
        <v>3382.9</v>
      </c>
      <c r="M13" s="144">
        <v>1060</v>
      </c>
      <c r="N13" s="144">
        <v>416.5</v>
      </c>
      <c r="O13" s="145" t="s">
        <v>291</v>
      </c>
      <c r="P13" s="145" t="s">
        <v>291</v>
      </c>
      <c r="Q13" s="129" t="s">
        <v>177</v>
      </c>
      <c r="R13" s="125"/>
      <c r="S13" s="125"/>
      <c r="T13" s="125"/>
    </row>
    <row r="14" spans="1:20">
      <c r="A14" s="127" t="s">
        <v>4</v>
      </c>
      <c r="B14" s="128">
        <f>SUM(C14,E14,G14,I14,K14,M14,O14)</f>
        <v>41368</v>
      </c>
      <c r="C14" s="143">
        <v>1045</v>
      </c>
      <c r="D14" s="144">
        <v>523.95000000000005</v>
      </c>
      <c r="E14" s="144">
        <v>250</v>
      </c>
      <c r="F14" s="144">
        <v>190</v>
      </c>
      <c r="G14" s="144">
        <v>1607</v>
      </c>
      <c r="H14" s="144">
        <v>1262</v>
      </c>
      <c r="I14" s="144">
        <v>22718</v>
      </c>
      <c r="J14" s="144">
        <v>20482.759999999998</v>
      </c>
      <c r="K14" s="144">
        <v>12048</v>
      </c>
      <c r="L14" s="144">
        <v>11409.7</v>
      </c>
      <c r="M14" s="144">
        <v>3500</v>
      </c>
      <c r="N14" s="144">
        <v>995</v>
      </c>
      <c r="O14" s="144">
        <v>200</v>
      </c>
      <c r="P14" s="144">
        <v>140</v>
      </c>
      <c r="Q14" s="129" t="s">
        <v>178</v>
      </c>
      <c r="R14" s="125"/>
      <c r="S14" s="125"/>
      <c r="T14" s="125"/>
    </row>
    <row r="15" spans="1:20">
      <c r="A15" s="127" t="s">
        <v>6</v>
      </c>
      <c r="B15" s="128">
        <f t="shared" ref="B15:B18" si="2">SUM(C15,E15,G15,I15,K15,M15,O15)</f>
        <v>112865</v>
      </c>
      <c r="C15" s="146" t="s">
        <v>291</v>
      </c>
      <c r="D15" s="145" t="s">
        <v>291</v>
      </c>
      <c r="E15" s="145" t="s">
        <v>291</v>
      </c>
      <c r="F15" s="145" t="s">
        <v>291</v>
      </c>
      <c r="G15" s="144">
        <v>1657</v>
      </c>
      <c r="H15" s="144">
        <v>715.2</v>
      </c>
      <c r="I15" s="144">
        <v>111060</v>
      </c>
      <c r="J15" s="144">
        <v>118167.86</v>
      </c>
      <c r="K15" s="144">
        <v>128</v>
      </c>
      <c r="L15" s="144">
        <v>38.4</v>
      </c>
      <c r="M15" s="145" t="s">
        <v>291</v>
      </c>
      <c r="N15" s="145" t="s">
        <v>291</v>
      </c>
      <c r="O15" s="144">
        <v>20</v>
      </c>
      <c r="P15" s="144">
        <v>7</v>
      </c>
      <c r="Q15" s="129" t="s">
        <v>179</v>
      </c>
      <c r="R15" s="125"/>
      <c r="S15" s="125"/>
      <c r="T15" s="125"/>
    </row>
    <row r="16" spans="1:20">
      <c r="A16" s="127" t="s">
        <v>9</v>
      </c>
      <c r="B16" s="128">
        <f t="shared" si="2"/>
        <v>774</v>
      </c>
      <c r="C16" s="143">
        <v>16</v>
      </c>
      <c r="D16" s="144">
        <v>9</v>
      </c>
      <c r="E16" s="144">
        <v>12</v>
      </c>
      <c r="F16" s="144">
        <v>7.2</v>
      </c>
      <c r="G16" s="144">
        <v>14</v>
      </c>
      <c r="H16" s="144">
        <v>10.5</v>
      </c>
      <c r="I16" s="144">
        <v>98</v>
      </c>
      <c r="J16" s="144">
        <v>79.45</v>
      </c>
      <c r="K16" s="145" t="s">
        <v>291</v>
      </c>
      <c r="L16" s="145" t="s">
        <v>291</v>
      </c>
      <c r="M16" s="144">
        <v>620</v>
      </c>
      <c r="N16" s="144">
        <v>242.3</v>
      </c>
      <c r="O16" s="144">
        <v>14</v>
      </c>
      <c r="P16" s="144">
        <v>9</v>
      </c>
      <c r="Q16" s="129" t="s">
        <v>180</v>
      </c>
      <c r="R16" s="125"/>
      <c r="S16" s="125"/>
      <c r="T16" s="125"/>
    </row>
    <row r="17" spans="1:20">
      <c r="A17" s="127" t="s">
        <v>12</v>
      </c>
      <c r="B17" s="128">
        <f t="shared" si="2"/>
        <v>14266</v>
      </c>
      <c r="C17" s="143">
        <v>1073</v>
      </c>
      <c r="D17" s="144">
        <v>488.45</v>
      </c>
      <c r="E17" s="144">
        <v>345</v>
      </c>
      <c r="F17" s="144">
        <v>173.72</v>
      </c>
      <c r="G17" s="144">
        <v>1243</v>
      </c>
      <c r="H17" s="144">
        <v>884.6</v>
      </c>
      <c r="I17" s="144">
        <v>9416</v>
      </c>
      <c r="J17" s="144">
        <v>8893.5</v>
      </c>
      <c r="K17" s="144">
        <v>1874</v>
      </c>
      <c r="L17" s="144">
        <v>1120.575</v>
      </c>
      <c r="M17" s="144">
        <v>65</v>
      </c>
      <c r="N17" s="144">
        <v>25.5</v>
      </c>
      <c r="O17" s="144">
        <v>250</v>
      </c>
      <c r="P17" s="144">
        <v>99</v>
      </c>
      <c r="Q17" s="129" t="s">
        <v>181</v>
      </c>
      <c r="R17" s="125"/>
      <c r="S17" s="125"/>
      <c r="T17" s="125"/>
    </row>
    <row r="18" spans="1:20">
      <c r="A18" s="127" t="s">
        <v>14</v>
      </c>
      <c r="B18" s="128">
        <f t="shared" si="2"/>
        <v>24353</v>
      </c>
      <c r="C18" s="143">
        <v>1388</v>
      </c>
      <c r="D18" s="144">
        <v>499.45</v>
      </c>
      <c r="E18" s="144">
        <v>170</v>
      </c>
      <c r="F18" s="144">
        <v>94</v>
      </c>
      <c r="G18" s="144">
        <v>1385</v>
      </c>
      <c r="H18" s="144">
        <v>617.25</v>
      </c>
      <c r="I18" s="144">
        <v>16897</v>
      </c>
      <c r="J18" s="144">
        <v>17425</v>
      </c>
      <c r="K18" s="144">
        <v>1515</v>
      </c>
      <c r="L18" s="144">
        <v>1015.5</v>
      </c>
      <c r="M18" s="144">
        <v>1700</v>
      </c>
      <c r="N18" s="144">
        <v>509.4</v>
      </c>
      <c r="O18" s="144">
        <v>1298</v>
      </c>
      <c r="P18" s="144">
        <v>126.95</v>
      </c>
      <c r="Q18" s="129" t="s">
        <v>182</v>
      </c>
      <c r="R18" s="125"/>
      <c r="S18" s="125"/>
      <c r="T18" s="125"/>
    </row>
    <row r="19" spans="1:20" ht="14.4" customHeight="1">
      <c r="A19" s="187" t="s">
        <v>183</v>
      </c>
      <c r="B19" s="178">
        <f>C19+E19+G19+I19+K19+M19+O19</f>
        <v>619033</v>
      </c>
      <c r="C19" s="179">
        <f>SUM(C21:C31)</f>
        <v>26081</v>
      </c>
      <c r="D19" s="179">
        <f t="shared" ref="D19:P19" si="3">SUM(D21:D31)</f>
        <v>9200.0210000000006</v>
      </c>
      <c r="E19" s="179">
        <f t="shared" si="3"/>
        <v>12013</v>
      </c>
      <c r="F19" s="179">
        <f t="shared" si="3"/>
        <v>4457.2</v>
      </c>
      <c r="G19" s="179">
        <f t="shared" si="3"/>
        <v>32001</v>
      </c>
      <c r="H19" s="179">
        <f t="shared" si="3"/>
        <v>11140.665999999999</v>
      </c>
      <c r="I19" s="179">
        <f t="shared" si="3"/>
        <v>461900</v>
      </c>
      <c r="J19" s="179">
        <f t="shared" si="3"/>
        <v>500965.71599999996</v>
      </c>
      <c r="K19" s="179">
        <f t="shared" si="3"/>
        <v>38703</v>
      </c>
      <c r="L19" s="179">
        <f t="shared" si="3"/>
        <v>40175</v>
      </c>
      <c r="M19" s="179">
        <f t="shared" si="3"/>
        <v>35099</v>
      </c>
      <c r="N19" s="179">
        <f t="shared" si="3"/>
        <v>10630.654999999999</v>
      </c>
      <c r="O19" s="179">
        <f t="shared" si="3"/>
        <v>13236</v>
      </c>
      <c r="P19" s="179">
        <f t="shared" si="3"/>
        <v>10262.459999999999</v>
      </c>
      <c r="Q19" s="200" t="s">
        <v>184</v>
      </c>
      <c r="R19" s="201"/>
      <c r="S19" s="201"/>
      <c r="T19" s="125"/>
    </row>
    <row r="20" spans="1:20">
      <c r="A20" s="187"/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200"/>
      <c r="R20" s="201"/>
      <c r="S20" s="201"/>
      <c r="T20" s="125"/>
    </row>
    <row r="21" spans="1:20" ht="11.4" customHeight="1">
      <c r="A21" s="127" t="s">
        <v>16</v>
      </c>
      <c r="B21" s="128">
        <f t="shared" ref="B21:B31" si="4">SUM(C21,E21,G21,I21,K21,M21,O21)</f>
        <v>107277</v>
      </c>
      <c r="C21" s="143">
        <v>8295</v>
      </c>
      <c r="D21" s="144">
        <v>2390.25</v>
      </c>
      <c r="E21" s="144">
        <v>4857</v>
      </c>
      <c r="F21" s="144">
        <v>1167.8</v>
      </c>
      <c r="G21" s="144">
        <v>10874</v>
      </c>
      <c r="H21" s="144">
        <v>2655.35</v>
      </c>
      <c r="I21" s="144">
        <v>75812</v>
      </c>
      <c r="J21" s="144">
        <v>82926.899999999994</v>
      </c>
      <c r="K21" s="144">
        <v>19</v>
      </c>
      <c r="L21" s="144">
        <v>5.9</v>
      </c>
      <c r="M21" s="144">
        <v>6970</v>
      </c>
      <c r="N21" s="144">
        <v>1334</v>
      </c>
      <c r="O21" s="144">
        <v>450</v>
      </c>
      <c r="P21" s="144">
        <v>118.6</v>
      </c>
      <c r="Q21" s="130" t="s">
        <v>185</v>
      </c>
      <c r="R21" s="125"/>
      <c r="S21" s="125"/>
      <c r="T21" s="125"/>
    </row>
    <row r="22" spans="1:20">
      <c r="A22" s="127" t="s">
        <v>18</v>
      </c>
      <c r="B22" s="128">
        <f t="shared" si="4"/>
        <v>20784</v>
      </c>
      <c r="C22" s="143">
        <v>163</v>
      </c>
      <c r="D22" s="144">
        <v>73</v>
      </c>
      <c r="E22" s="144">
        <v>68</v>
      </c>
      <c r="F22" s="144">
        <v>44</v>
      </c>
      <c r="G22" s="144">
        <v>205</v>
      </c>
      <c r="H22" s="144">
        <v>189</v>
      </c>
      <c r="I22" s="144">
        <v>13387</v>
      </c>
      <c r="J22" s="144">
        <v>17971.84</v>
      </c>
      <c r="K22" s="144">
        <v>6247</v>
      </c>
      <c r="L22" s="144">
        <v>7844.8</v>
      </c>
      <c r="M22" s="144">
        <v>700</v>
      </c>
      <c r="N22" s="144">
        <v>1500</v>
      </c>
      <c r="O22" s="144">
        <v>14</v>
      </c>
      <c r="P22" s="144">
        <v>5</v>
      </c>
      <c r="Q22" s="130" t="s">
        <v>186</v>
      </c>
      <c r="R22" s="125"/>
      <c r="S22" s="125"/>
      <c r="T22" s="125"/>
    </row>
    <row r="23" spans="1:20">
      <c r="A23" s="127" t="s">
        <v>20</v>
      </c>
      <c r="B23" s="128">
        <f t="shared" si="4"/>
        <v>72369</v>
      </c>
      <c r="C23" s="143">
        <v>8443</v>
      </c>
      <c r="D23" s="144">
        <v>2323.3310000000001</v>
      </c>
      <c r="E23" s="144">
        <v>752</v>
      </c>
      <c r="F23" s="144">
        <v>242.4</v>
      </c>
      <c r="G23" s="144">
        <v>8720</v>
      </c>
      <c r="H23" s="144">
        <v>2466.3560000000002</v>
      </c>
      <c r="I23" s="144">
        <v>36336</v>
      </c>
      <c r="J23" s="144">
        <v>38262.040999999997</v>
      </c>
      <c r="K23" s="144">
        <v>11675</v>
      </c>
      <c r="L23" s="144">
        <v>8772.7099999999991</v>
      </c>
      <c r="M23" s="145">
        <v>28</v>
      </c>
      <c r="N23" s="145">
        <v>2.8</v>
      </c>
      <c r="O23" s="144">
        <v>6415</v>
      </c>
      <c r="P23" s="144">
        <v>1795.12</v>
      </c>
      <c r="Q23" s="130" t="s">
        <v>187</v>
      </c>
      <c r="R23" s="125"/>
      <c r="S23" s="125"/>
      <c r="T23" s="125"/>
    </row>
    <row r="24" spans="1:20">
      <c r="A24" s="127" t="s">
        <v>22</v>
      </c>
      <c r="B24" s="128">
        <f t="shared" si="4"/>
        <v>66346</v>
      </c>
      <c r="C24" s="143">
        <v>455</v>
      </c>
      <c r="D24" s="144">
        <v>256.5</v>
      </c>
      <c r="E24" s="144">
        <v>440</v>
      </c>
      <c r="F24" s="144">
        <v>226</v>
      </c>
      <c r="G24" s="144">
        <v>1460</v>
      </c>
      <c r="H24" s="144">
        <v>621.5</v>
      </c>
      <c r="I24" s="144">
        <v>63541</v>
      </c>
      <c r="J24" s="144">
        <v>77177.149999999994</v>
      </c>
      <c r="K24" s="144">
        <v>420</v>
      </c>
      <c r="L24" s="144">
        <v>350</v>
      </c>
      <c r="M24" s="145" t="s">
        <v>291</v>
      </c>
      <c r="N24" s="145" t="s">
        <v>291</v>
      </c>
      <c r="O24" s="144">
        <v>30</v>
      </c>
      <c r="P24" s="144">
        <v>13.5</v>
      </c>
      <c r="Q24" s="130" t="s">
        <v>188</v>
      </c>
      <c r="R24" s="125"/>
      <c r="S24" s="125"/>
      <c r="T24" s="125"/>
    </row>
    <row r="25" spans="1:20">
      <c r="A25" s="127" t="s">
        <v>24</v>
      </c>
      <c r="B25" s="128">
        <f t="shared" si="4"/>
        <v>26426</v>
      </c>
      <c r="C25" s="143">
        <v>3663</v>
      </c>
      <c r="D25" s="144">
        <v>1873.1</v>
      </c>
      <c r="E25" s="144">
        <v>2056</v>
      </c>
      <c r="F25" s="144">
        <v>1360.15</v>
      </c>
      <c r="G25" s="144">
        <v>1987</v>
      </c>
      <c r="H25" s="144">
        <v>1034.03</v>
      </c>
      <c r="I25" s="144">
        <v>16954</v>
      </c>
      <c r="J25" s="144">
        <v>20033.555</v>
      </c>
      <c r="K25" s="144">
        <v>1210</v>
      </c>
      <c r="L25" s="144">
        <v>1460</v>
      </c>
      <c r="M25" s="145" t="s">
        <v>291</v>
      </c>
      <c r="N25" s="145" t="s">
        <v>291</v>
      </c>
      <c r="O25" s="144">
        <v>556</v>
      </c>
      <c r="P25" s="144">
        <v>768.04</v>
      </c>
      <c r="Q25" s="130" t="s">
        <v>189</v>
      </c>
      <c r="R25" s="125"/>
      <c r="S25" s="125"/>
      <c r="T25" s="125"/>
    </row>
    <row r="26" spans="1:20">
      <c r="A26" s="127" t="s">
        <v>27</v>
      </c>
      <c r="B26" s="128">
        <f t="shared" si="4"/>
        <v>90558</v>
      </c>
      <c r="C26" s="143">
        <v>356</v>
      </c>
      <c r="D26" s="144">
        <v>316.14</v>
      </c>
      <c r="E26" s="144">
        <v>227</v>
      </c>
      <c r="F26" s="144">
        <v>81</v>
      </c>
      <c r="G26" s="145">
        <v>1058</v>
      </c>
      <c r="H26" s="145">
        <v>1586.1</v>
      </c>
      <c r="I26" s="144">
        <v>82773</v>
      </c>
      <c r="J26" s="144">
        <v>104988.35</v>
      </c>
      <c r="K26" s="144">
        <v>1298</v>
      </c>
      <c r="L26" s="144">
        <v>1771.3</v>
      </c>
      <c r="M26" s="145" t="s">
        <v>291</v>
      </c>
      <c r="N26" s="145" t="s">
        <v>291</v>
      </c>
      <c r="O26" s="144">
        <v>4846</v>
      </c>
      <c r="P26" s="144">
        <v>7160.2</v>
      </c>
      <c r="Q26" s="130" t="s">
        <v>190</v>
      </c>
      <c r="R26" s="125"/>
      <c r="S26" s="125"/>
      <c r="T26" s="125"/>
    </row>
    <row r="27" spans="1:20">
      <c r="A27" s="127" t="s">
        <v>29</v>
      </c>
      <c r="B27" s="128">
        <f t="shared" si="4"/>
        <v>14853</v>
      </c>
      <c r="C27" s="143">
        <v>1601</v>
      </c>
      <c r="D27" s="144">
        <v>904.65</v>
      </c>
      <c r="E27" s="144">
        <v>2235</v>
      </c>
      <c r="F27" s="144">
        <v>929.5</v>
      </c>
      <c r="G27" s="144">
        <v>3666</v>
      </c>
      <c r="H27" s="144">
        <v>1552.9</v>
      </c>
      <c r="I27" s="144">
        <v>2840</v>
      </c>
      <c r="J27" s="144">
        <v>2061.1</v>
      </c>
      <c r="K27" s="144">
        <v>3386</v>
      </c>
      <c r="L27" s="144">
        <v>2713.8</v>
      </c>
      <c r="M27" s="144">
        <v>990</v>
      </c>
      <c r="N27" s="144">
        <v>341</v>
      </c>
      <c r="O27" s="144">
        <v>135</v>
      </c>
      <c r="P27" s="144">
        <v>38</v>
      </c>
      <c r="Q27" s="130" t="s">
        <v>191</v>
      </c>
      <c r="R27" s="125"/>
      <c r="S27" s="125"/>
      <c r="T27" s="125"/>
    </row>
    <row r="28" spans="1:20">
      <c r="A28" s="127" t="s">
        <v>31</v>
      </c>
      <c r="B28" s="128">
        <f t="shared" si="4"/>
        <v>52548</v>
      </c>
      <c r="C28" s="143">
        <v>818</v>
      </c>
      <c r="D28" s="144">
        <v>277.25</v>
      </c>
      <c r="E28" s="144">
        <v>545</v>
      </c>
      <c r="F28" s="144">
        <v>140.25</v>
      </c>
      <c r="G28" s="144">
        <v>1069</v>
      </c>
      <c r="H28" s="144">
        <v>406.04</v>
      </c>
      <c r="I28" s="144">
        <v>41227</v>
      </c>
      <c r="J28" s="144">
        <v>40502.94</v>
      </c>
      <c r="K28" s="144">
        <v>7323</v>
      </c>
      <c r="L28" s="144">
        <v>10958.09</v>
      </c>
      <c r="M28" s="144">
        <v>936</v>
      </c>
      <c r="N28" s="144">
        <v>261.32499999999999</v>
      </c>
      <c r="O28" s="144">
        <v>630</v>
      </c>
      <c r="P28" s="144">
        <v>308.60000000000002</v>
      </c>
      <c r="Q28" s="130" t="s">
        <v>192</v>
      </c>
      <c r="R28" s="125"/>
      <c r="S28" s="125"/>
      <c r="T28" s="125"/>
    </row>
    <row r="29" spans="1:20">
      <c r="A29" s="127" t="s">
        <v>33</v>
      </c>
      <c r="B29" s="128">
        <f t="shared" si="4"/>
        <v>45100</v>
      </c>
      <c r="C29" s="143">
        <v>1430</v>
      </c>
      <c r="D29" s="144">
        <v>469</v>
      </c>
      <c r="E29" s="144">
        <v>690</v>
      </c>
      <c r="F29" s="144">
        <v>222.2</v>
      </c>
      <c r="G29" s="144">
        <v>2925</v>
      </c>
      <c r="H29" s="144">
        <v>619.89</v>
      </c>
      <c r="I29" s="144">
        <v>37307</v>
      </c>
      <c r="J29" s="144">
        <v>26746.799999999999</v>
      </c>
      <c r="K29" s="144">
        <v>1390</v>
      </c>
      <c r="L29" s="144">
        <v>316</v>
      </c>
      <c r="M29" s="144">
        <v>1228</v>
      </c>
      <c r="N29" s="144">
        <v>96.8</v>
      </c>
      <c r="O29" s="144">
        <v>130</v>
      </c>
      <c r="P29" s="144">
        <v>50</v>
      </c>
      <c r="Q29" s="130" t="s">
        <v>193</v>
      </c>
      <c r="R29" s="125"/>
      <c r="S29" s="125"/>
      <c r="T29" s="125"/>
    </row>
    <row r="30" spans="1:20">
      <c r="A30" s="127" t="s">
        <v>35</v>
      </c>
      <c r="B30" s="128">
        <f t="shared" si="4"/>
        <v>32636</v>
      </c>
      <c r="C30" s="143">
        <v>557</v>
      </c>
      <c r="D30" s="144">
        <v>256.8</v>
      </c>
      <c r="E30" s="145" t="s">
        <v>291</v>
      </c>
      <c r="F30" s="145" t="s">
        <v>291</v>
      </c>
      <c r="G30" s="144">
        <v>10</v>
      </c>
      <c r="H30" s="144">
        <v>4.5</v>
      </c>
      <c r="I30" s="144">
        <v>20075</v>
      </c>
      <c r="J30" s="144">
        <v>13071.8</v>
      </c>
      <c r="K30" s="144">
        <v>5335</v>
      </c>
      <c r="L30" s="144">
        <v>5862.4</v>
      </c>
      <c r="M30" s="144">
        <v>6659</v>
      </c>
      <c r="N30" s="144">
        <v>2782.28</v>
      </c>
      <c r="O30" s="145" t="s">
        <v>291</v>
      </c>
      <c r="P30" s="145" t="s">
        <v>291</v>
      </c>
      <c r="Q30" s="130" t="s">
        <v>194</v>
      </c>
      <c r="R30" s="125"/>
      <c r="S30" s="125"/>
      <c r="T30" s="125"/>
    </row>
    <row r="31" spans="1:20">
      <c r="A31" s="127" t="s">
        <v>37</v>
      </c>
      <c r="B31" s="128">
        <f t="shared" si="4"/>
        <v>90136</v>
      </c>
      <c r="C31" s="143">
        <v>300</v>
      </c>
      <c r="D31" s="144">
        <v>60</v>
      </c>
      <c r="E31" s="144">
        <v>143</v>
      </c>
      <c r="F31" s="144">
        <v>43.9</v>
      </c>
      <c r="G31" s="145">
        <v>27</v>
      </c>
      <c r="H31" s="145">
        <v>5</v>
      </c>
      <c r="I31" s="144">
        <v>71648</v>
      </c>
      <c r="J31" s="144">
        <v>77223.240000000005</v>
      </c>
      <c r="K31" s="144">
        <v>400</v>
      </c>
      <c r="L31" s="144">
        <v>120</v>
      </c>
      <c r="M31" s="144">
        <v>17588</v>
      </c>
      <c r="N31" s="144">
        <v>4312.45</v>
      </c>
      <c r="O31" s="145">
        <v>30</v>
      </c>
      <c r="P31" s="145">
        <v>5.4</v>
      </c>
      <c r="Q31" s="130" t="s">
        <v>195</v>
      </c>
      <c r="R31" s="125"/>
      <c r="S31" s="125"/>
      <c r="T31" s="125"/>
    </row>
    <row r="32" spans="1:20" ht="12" customHeight="1">
      <c r="A32" s="187" t="s">
        <v>196</v>
      </c>
      <c r="B32" s="178">
        <f>C32+E32+G32+I32+K32+M32+O32</f>
        <v>276226</v>
      </c>
      <c r="C32" s="179">
        <f>SUM(C34:C37)</f>
        <v>1538</v>
      </c>
      <c r="D32" s="179">
        <f t="shared" ref="D32:P32" si="5">SUM(D34:D37)</f>
        <v>569.65</v>
      </c>
      <c r="E32" s="179">
        <f t="shared" si="5"/>
        <v>11902</v>
      </c>
      <c r="F32" s="179">
        <f t="shared" si="5"/>
        <v>4691.5339999999997</v>
      </c>
      <c r="G32" s="179">
        <f t="shared" si="5"/>
        <v>2508</v>
      </c>
      <c r="H32" s="179">
        <f t="shared" si="5"/>
        <v>1359.2</v>
      </c>
      <c r="I32" s="179">
        <f t="shared" si="5"/>
        <v>150822</v>
      </c>
      <c r="J32" s="179">
        <f t="shared" si="5"/>
        <v>144453.97200000001</v>
      </c>
      <c r="K32" s="179">
        <f t="shared" si="5"/>
        <v>41980</v>
      </c>
      <c r="L32" s="179">
        <f t="shared" si="5"/>
        <v>35130.004000000001</v>
      </c>
      <c r="M32" s="179">
        <f t="shared" si="5"/>
        <v>66728</v>
      </c>
      <c r="N32" s="179">
        <f t="shared" si="5"/>
        <v>23426.416999999998</v>
      </c>
      <c r="O32" s="179">
        <f t="shared" si="5"/>
        <v>748</v>
      </c>
      <c r="P32" s="179">
        <f t="shared" si="5"/>
        <v>579.09999999999991</v>
      </c>
      <c r="Q32" s="191" t="s">
        <v>197</v>
      </c>
      <c r="R32" s="192"/>
      <c r="S32" s="192"/>
      <c r="T32" s="125"/>
    </row>
    <row r="33" spans="1:20">
      <c r="A33" s="187"/>
      <c r="B33" s="178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91"/>
      <c r="R33" s="192"/>
      <c r="S33" s="192"/>
      <c r="T33" s="125"/>
    </row>
    <row r="34" spans="1:20" ht="11.4" customHeight="1">
      <c r="A34" s="127" t="s">
        <v>39</v>
      </c>
      <c r="B34" s="128">
        <f t="shared" ref="B34:B37" si="6">SUM(C34,E34,G34,I34,K34,M34,O34)</f>
        <v>117749</v>
      </c>
      <c r="C34" s="143">
        <v>500</v>
      </c>
      <c r="D34" s="144">
        <v>118</v>
      </c>
      <c r="E34" s="144">
        <v>510</v>
      </c>
      <c r="F34" s="144">
        <v>158</v>
      </c>
      <c r="G34" s="144">
        <v>557</v>
      </c>
      <c r="H34" s="144">
        <v>198.5</v>
      </c>
      <c r="I34" s="144">
        <v>49733</v>
      </c>
      <c r="J34" s="144">
        <v>39665.752</v>
      </c>
      <c r="K34" s="144">
        <v>15972</v>
      </c>
      <c r="L34" s="144">
        <v>10875.504000000001</v>
      </c>
      <c r="M34" s="144">
        <v>50145</v>
      </c>
      <c r="N34" s="144">
        <v>13930.437</v>
      </c>
      <c r="O34" s="144">
        <v>332</v>
      </c>
      <c r="P34" s="144">
        <v>241.2</v>
      </c>
      <c r="Q34" s="130" t="s">
        <v>198</v>
      </c>
      <c r="R34" s="125"/>
      <c r="S34" s="125"/>
      <c r="T34" s="125"/>
    </row>
    <row r="35" spans="1:20">
      <c r="A35" s="127" t="s">
        <v>41</v>
      </c>
      <c r="B35" s="128">
        <f t="shared" si="6"/>
        <v>62003</v>
      </c>
      <c r="C35" s="143">
        <v>448</v>
      </c>
      <c r="D35" s="144">
        <v>128.65</v>
      </c>
      <c r="E35" s="144">
        <v>4471</v>
      </c>
      <c r="F35" s="144">
        <v>1373.53</v>
      </c>
      <c r="G35" s="144">
        <v>998</v>
      </c>
      <c r="H35" s="144">
        <v>274</v>
      </c>
      <c r="I35" s="144">
        <v>38080</v>
      </c>
      <c r="J35" s="144">
        <v>56152.5</v>
      </c>
      <c r="K35" s="144">
        <v>12437</v>
      </c>
      <c r="L35" s="144">
        <v>12590.5</v>
      </c>
      <c r="M35" s="144">
        <v>5454</v>
      </c>
      <c r="N35" s="144">
        <v>3839.5</v>
      </c>
      <c r="O35" s="144">
        <v>115</v>
      </c>
      <c r="P35" s="144">
        <v>17</v>
      </c>
      <c r="Q35" s="130" t="s">
        <v>199</v>
      </c>
      <c r="R35" s="125"/>
      <c r="S35" s="125"/>
      <c r="T35" s="125"/>
    </row>
    <row r="36" spans="1:20">
      <c r="A36" s="127" t="s">
        <v>43</v>
      </c>
      <c r="B36" s="128">
        <f t="shared" si="6"/>
        <v>38924</v>
      </c>
      <c r="C36" s="143">
        <v>10</v>
      </c>
      <c r="D36" s="144">
        <v>20</v>
      </c>
      <c r="E36" s="144">
        <v>614</v>
      </c>
      <c r="F36" s="144">
        <v>152.30000000000001</v>
      </c>
      <c r="G36" s="144">
        <v>210</v>
      </c>
      <c r="H36" s="144">
        <v>91</v>
      </c>
      <c r="I36" s="144">
        <v>27835</v>
      </c>
      <c r="J36" s="144">
        <v>20869.8</v>
      </c>
      <c r="K36" s="144">
        <v>7350</v>
      </c>
      <c r="L36" s="144">
        <v>5966.5</v>
      </c>
      <c r="M36" s="144">
        <v>2904</v>
      </c>
      <c r="N36" s="144">
        <v>838.98</v>
      </c>
      <c r="O36" s="144">
        <v>1</v>
      </c>
      <c r="P36" s="144">
        <v>0.9</v>
      </c>
      <c r="Q36" s="130" t="s">
        <v>200</v>
      </c>
      <c r="R36" s="125"/>
      <c r="S36" s="125"/>
      <c r="T36" s="125"/>
    </row>
    <row r="37" spans="1:20">
      <c r="A37" s="127" t="s">
        <v>46</v>
      </c>
      <c r="B37" s="128">
        <f t="shared" si="6"/>
        <v>57550</v>
      </c>
      <c r="C37" s="143">
        <v>580</v>
      </c>
      <c r="D37" s="144">
        <v>303</v>
      </c>
      <c r="E37" s="144">
        <v>6307</v>
      </c>
      <c r="F37" s="144">
        <v>3007.7040000000002</v>
      </c>
      <c r="G37" s="144">
        <v>743</v>
      </c>
      <c r="H37" s="144">
        <v>795.7</v>
      </c>
      <c r="I37" s="144">
        <v>35174</v>
      </c>
      <c r="J37" s="144">
        <v>27765.919999999998</v>
      </c>
      <c r="K37" s="144">
        <v>6221</v>
      </c>
      <c r="L37" s="144">
        <v>5697.5</v>
      </c>
      <c r="M37" s="144">
        <v>8225</v>
      </c>
      <c r="N37" s="144">
        <v>4817.5</v>
      </c>
      <c r="O37" s="144">
        <v>300</v>
      </c>
      <c r="P37" s="144">
        <v>320</v>
      </c>
      <c r="Q37" s="130" t="s">
        <v>201</v>
      </c>
      <c r="R37" s="125"/>
      <c r="S37" s="125"/>
      <c r="T37" s="125"/>
    </row>
    <row r="38" spans="1:20" ht="12" customHeight="1">
      <c r="A38" s="187" t="s">
        <v>202</v>
      </c>
      <c r="B38" s="178">
        <f>C38+E38+G38+I38+K38+M38+O38</f>
        <v>305810</v>
      </c>
      <c r="C38" s="179">
        <f>SUM(C40:C44)</f>
        <v>10446</v>
      </c>
      <c r="D38" s="179">
        <f t="shared" ref="D38:P38" si="7">SUM(D40:D44)</f>
        <v>3813.94</v>
      </c>
      <c r="E38" s="179">
        <f t="shared" si="7"/>
        <v>17253</v>
      </c>
      <c r="F38" s="179">
        <f t="shared" si="7"/>
        <v>8147.08</v>
      </c>
      <c r="G38" s="179">
        <f t="shared" si="7"/>
        <v>38914</v>
      </c>
      <c r="H38" s="179">
        <f t="shared" si="7"/>
        <v>19098.64</v>
      </c>
      <c r="I38" s="179">
        <f t="shared" si="7"/>
        <v>200712</v>
      </c>
      <c r="J38" s="179">
        <f t="shared" si="7"/>
        <v>245049.41</v>
      </c>
      <c r="K38" s="179">
        <f t="shared" si="7"/>
        <v>18749</v>
      </c>
      <c r="L38" s="179">
        <f t="shared" si="7"/>
        <v>16444.900000000001</v>
      </c>
      <c r="M38" s="179">
        <f t="shared" si="7"/>
        <v>16333</v>
      </c>
      <c r="N38" s="179">
        <f t="shared" si="7"/>
        <v>6285.7</v>
      </c>
      <c r="O38" s="179">
        <f t="shared" si="7"/>
        <v>3403</v>
      </c>
      <c r="P38" s="179">
        <f t="shared" si="7"/>
        <v>1308.55</v>
      </c>
      <c r="Q38" s="191" t="s">
        <v>203</v>
      </c>
      <c r="R38" s="192"/>
      <c r="S38" s="192"/>
      <c r="T38" s="125"/>
    </row>
    <row r="39" spans="1:20" ht="11.4" customHeight="1">
      <c r="A39" s="187"/>
      <c r="B39" s="178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91"/>
      <c r="R39" s="192"/>
      <c r="S39" s="192"/>
      <c r="T39" s="125"/>
    </row>
    <row r="40" spans="1:20" ht="11.4" customHeight="1">
      <c r="A40" s="127" t="s">
        <v>48</v>
      </c>
      <c r="B40" s="128">
        <f t="shared" ref="B40:B44" si="8">SUM(C40,E40,G40,I40,K40,M40,O40)</f>
        <v>97857</v>
      </c>
      <c r="C40" s="143">
        <v>3362</v>
      </c>
      <c r="D40" s="144">
        <v>1197.6500000000001</v>
      </c>
      <c r="E40" s="144">
        <v>10119</v>
      </c>
      <c r="F40" s="144">
        <v>5495.7</v>
      </c>
      <c r="G40" s="144">
        <v>19274</v>
      </c>
      <c r="H40" s="144">
        <v>8827.44</v>
      </c>
      <c r="I40" s="144">
        <v>47201</v>
      </c>
      <c r="J40" s="144">
        <v>56065.1</v>
      </c>
      <c r="K40" s="144">
        <v>12737</v>
      </c>
      <c r="L40" s="144">
        <v>13196.6</v>
      </c>
      <c r="M40" s="144">
        <v>2430</v>
      </c>
      <c r="N40" s="144">
        <v>3464</v>
      </c>
      <c r="O40" s="144">
        <v>2734</v>
      </c>
      <c r="P40" s="144">
        <v>859.55</v>
      </c>
      <c r="Q40" s="130" t="s">
        <v>204</v>
      </c>
      <c r="R40" s="125"/>
      <c r="S40" s="125"/>
      <c r="T40" s="125"/>
    </row>
    <row r="41" spans="1:20">
      <c r="A41" s="127" t="s">
        <v>51</v>
      </c>
      <c r="B41" s="128">
        <f t="shared" si="8"/>
        <v>79409</v>
      </c>
      <c r="C41" s="143">
        <v>1132</v>
      </c>
      <c r="D41" s="144">
        <v>287.54000000000002</v>
      </c>
      <c r="E41" s="144">
        <v>2617</v>
      </c>
      <c r="F41" s="144">
        <v>700.3</v>
      </c>
      <c r="G41" s="144">
        <v>2421</v>
      </c>
      <c r="H41" s="144">
        <v>1838.9</v>
      </c>
      <c r="I41" s="144">
        <v>61023</v>
      </c>
      <c r="J41" s="144">
        <v>69485.149999999994</v>
      </c>
      <c r="K41" s="144">
        <v>3393</v>
      </c>
      <c r="L41" s="144">
        <v>1174.5</v>
      </c>
      <c r="M41" s="144">
        <v>8820</v>
      </c>
      <c r="N41" s="144">
        <v>1485.5</v>
      </c>
      <c r="O41" s="144">
        <v>3</v>
      </c>
      <c r="P41" s="144">
        <v>3</v>
      </c>
      <c r="Q41" s="130" t="s">
        <v>205</v>
      </c>
      <c r="R41" s="125"/>
      <c r="S41" s="125"/>
      <c r="T41" s="125"/>
    </row>
    <row r="42" spans="1:20">
      <c r="A42" s="127" t="s">
        <v>53</v>
      </c>
      <c r="B42" s="128">
        <f t="shared" si="8"/>
        <v>41114</v>
      </c>
      <c r="C42" s="143">
        <v>4720</v>
      </c>
      <c r="D42" s="144">
        <v>1717.6</v>
      </c>
      <c r="E42" s="144">
        <v>2379</v>
      </c>
      <c r="F42" s="144">
        <v>797.8</v>
      </c>
      <c r="G42" s="144">
        <v>13740</v>
      </c>
      <c r="H42" s="144">
        <v>6482.5</v>
      </c>
      <c r="I42" s="144">
        <v>19820</v>
      </c>
      <c r="J42" s="144">
        <v>28200</v>
      </c>
      <c r="K42" s="145">
        <v>120</v>
      </c>
      <c r="L42" s="145">
        <v>180</v>
      </c>
      <c r="M42" s="144">
        <v>215</v>
      </c>
      <c r="N42" s="144">
        <v>17</v>
      </c>
      <c r="O42" s="144">
        <v>120</v>
      </c>
      <c r="P42" s="144">
        <v>53</v>
      </c>
      <c r="Q42" s="130" t="s">
        <v>206</v>
      </c>
      <c r="R42" s="125"/>
      <c r="S42" s="125"/>
      <c r="T42" s="125"/>
    </row>
    <row r="43" spans="1:20">
      <c r="A43" s="127" t="s">
        <v>56</v>
      </c>
      <c r="B43" s="128">
        <f t="shared" si="8"/>
        <v>175</v>
      </c>
      <c r="C43" s="143">
        <v>29</v>
      </c>
      <c r="D43" s="144">
        <v>12.5</v>
      </c>
      <c r="E43" s="144">
        <v>35</v>
      </c>
      <c r="F43" s="144">
        <v>14.5</v>
      </c>
      <c r="G43" s="144">
        <v>64</v>
      </c>
      <c r="H43" s="144">
        <v>14.5</v>
      </c>
      <c r="I43" s="144">
        <v>47</v>
      </c>
      <c r="J43" s="144">
        <v>10</v>
      </c>
      <c r="K43" s="145" t="s">
        <v>291</v>
      </c>
      <c r="L43" s="145" t="s">
        <v>291</v>
      </c>
      <c r="M43" s="145" t="s">
        <v>291</v>
      </c>
      <c r="N43" s="145" t="s">
        <v>291</v>
      </c>
      <c r="O43" s="145" t="s">
        <v>291</v>
      </c>
      <c r="P43" s="145" t="s">
        <v>291</v>
      </c>
      <c r="Q43" s="190" t="s">
        <v>207</v>
      </c>
      <c r="R43" s="193"/>
      <c r="S43" s="193"/>
      <c r="T43" s="125"/>
    </row>
    <row r="44" spans="1:20">
      <c r="A44" s="127" t="s">
        <v>58</v>
      </c>
      <c r="B44" s="128">
        <f t="shared" si="8"/>
        <v>87255</v>
      </c>
      <c r="C44" s="143">
        <v>1203</v>
      </c>
      <c r="D44" s="144">
        <v>598.65</v>
      </c>
      <c r="E44" s="144">
        <v>2103</v>
      </c>
      <c r="F44" s="144">
        <v>1138.78</v>
      </c>
      <c r="G44" s="144">
        <v>3415</v>
      </c>
      <c r="H44" s="144">
        <v>1935.3</v>
      </c>
      <c r="I44" s="144">
        <v>72621</v>
      </c>
      <c r="J44" s="144">
        <v>91289.16</v>
      </c>
      <c r="K44" s="144">
        <v>2499</v>
      </c>
      <c r="L44" s="144">
        <v>1893.8</v>
      </c>
      <c r="M44" s="144">
        <v>4868</v>
      </c>
      <c r="N44" s="144">
        <v>1319.2</v>
      </c>
      <c r="O44" s="144">
        <v>546</v>
      </c>
      <c r="P44" s="144">
        <v>393</v>
      </c>
      <c r="Q44" s="130" t="s">
        <v>208</v>
      </c>
      <c r="R44" s="125"/>
      <c r="S44" s="125"/>
      <c r="T44" s="125"/>
    </row>
    <row r="45" spans="1:20" ht="12" customHeight="1">
      <c r="A45" s="177" t="s">
        <v>209</v>
      </c>
      <c r="B45" s="178">
        <f>C45+E45+G45+I45+K45+M45+O45</f>
        <v>284803</v>
      </c>
      <c r="C45" s="179">
        <f>SUM(C47:C51)</f>
        <v>25056</v>
      </c>
      <c r="D45" s="179">
        <f t="shared" ref="D45:P45" si="9">SUM(D47:D51)</f>
        <v>9155.91</v>
      </c>
      <c r="E45" s="179">
        <f t="shared" si="9"/>
        <v>26561</v>
      </c>
      <c r="F45" s="179">
        <f t="shared" si="9"/>
        <v>10086.200000000001</v>
      </c>
      <c r="G45" s="179">
        <f t="shared" si="9"/>
        <v>23470</v>
      </c>
      <c r="H45" s="179">
        <f t="shared" si="9"/>
        <v>9546.3250000000007</v>
      </c>
      <c r="I45" s="179">
        <f t="shared" si="9"/>
        <v>165043</v>
      </c>
      <c r="J45" s="179">
        <f t="shared" si="9"/>
        <v>194801.48</v>
      </c>
      <c r="K45" s="179">
        <f t="shared" si="9"/>
        <v>20280</v>
      </c>
      <c r="L45" s="179">
        <f t="shared" si="9"/>
        <v>17460.432000000001</v>
      </c>
      <c r="M45" s="179">
        <f t="shared" si="9"/>
        <v>14864</v>
      </c>
      <c r="N45" s="179">
        <f t="shared" si="9"/>
        <v>2154.6000000000004</v>
      </c>
      <c r="O45" s="179">
        <f t="shared" si="9"/>
        <v>9529</v>
      </c>
      <c r="P45" s="179">
        <f t="shared" si="9"/>
        <v>9591.5300000000007</v>
      </c>
      <c r="Q45" s="194" t="s">
        <v>210</v>
      </c>
      <c r="R45" s="195"/>
      <c r="S45" s="195"/>
      <c r="T45" s="125"/>
    </row>
    <row r="46" spans="1:20" ht="11.4" customHeight="1">
      <c r="A46" s="177"/>
      <c r="B46" s="178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94"/>
      <c r="R46" s="195"/>
      <c r="S46" s="195"/>
      <c r="T46" s="125"/>
    </row>
    <row r="47" spans="1:20" ht="11.4" customHeight="1">
      <c r="A47" s="127" t="s">
        <v>60</v>
      </c>
      <c r="B47" s="128">
        <f t="shared" ref="B47:B51" si="10">SUM(C47,E47,G47,I47,K47,M47,O47)</f>
        <v>94036</v>
      </c>
      <c r="C47" s="143">
        <v>5041</v>
      </c>
      <c r="D47" s="144">
        <v>2046.5</v>
      </c>
      <c r="E47" s="144">
        <v>5040</v>
      </c>
      <c r="F47" s="144">
        <v>1782.4</v>
      </c>
      <c r="G47" s="144">
        <v>8431</v>
      </c>
      <c r="H47" s="144">
        <v>4448.22</v>
      </c>
      <c r="I47" s="144">
        <v>49612</v>
      </c>
      <c r="J47" s="144">
        <v>53929.7</v>
      </c>
      <c r="K47" s="144">
        <v>18192</v>
      </c>
      <c r="L47" s="144">
        <v>16538</v>
      </c>
      <c r="M47" s="144">
        <v>2335</v>
      </c>
      <c r="N47" s="144">
        <v>607.5</v>
      </c>
      <c r="O47" s="144">
        <v>5385</v>
      </c>
      <c r="P47" s="144">
        <v>7098.05</v>
      </c>
      <c r="Q47" s="130" t="s">
        <v>211</v>
      </c>
      <c r="R47" s="125"/>
      <c r="S47" s="125"/>
      <c r="T47" s="125"/>
    </row>
    <row r="48" spans="1:20">
      <c r="A48" s="127" t="s">
        <v>62</v>
      </c>
      <c r="B48" s="128">
        <f t="shared" si="10"/>
        <v>119358</v>
      </c>
      <c r="C48" s="143">
        <v>5775</v>
      </c>
      <c r="D48" s="144">
        <v>2067</v>
      </c>
      <c r="E48" s="144">
        <v>8547</v>
      </c>
      <c r="F48" s="144">
        <v>4811.3</v>
      </c>
      <c r="G48" s="144">
        <v>5110</v>
      </c>
      <c r="H48" s="144">
        <v>2235</v>
      </c>
      <c r="I48" s="144">
        <v>99626</v>
      </c>
      <c r="J48" s="144">
        <v>129197.5</v>
      </c>
      <c r="K48" s="145" t="s">
        <v>291</v>
      </c>
      <c r="L48" s="145" t="s">
        <v>291</v>
      </c>
      <c r="M48" s="145" t="s">
        <v>291</v>
      </c>
      <c r="N48" s="145" t="s">
        <v>291</v>
      </c>
      <c r="O48" s="144">
        <v>300</v>
      </c>
      <c r="P48" s="144">
        <v>150</v>
      </c>
      <c r="Q48" s="130" t="s">
        <v>212</v>
      </c>
      <c r="R48" s="125"/>
      <c r="S48" s="125"/>
      <c r="T48" s="125"/>
    </row>
    <row r="49" spans="1:20">
      <c r="A49" s="127" t="s">
        <v>64</v>
      </c>
      <c r="B49" s="128">
        <f t="shared" si="10"/>
        <v>42570</v>
      </c>
      <c r="C49" s="143">
        <v>13402</v>
      </c>
      <c r="D49" s="144">
        <v>4762.91</v>
      </c>
      <c r="E49" s="144">
        <v>11141</v>
      </c>
      <c r="F49" s="144">
        <v>3089.73</v>
      </c>
      <c r="G49" s="144">
        <v>9124</v>
      </c>
      <c r="H49" s="144">
        <v>2656.5050000000001</v>
      </c>
      <c r="I49" s="144">
        <v>6893</v>
      </c>
      <c r="J49" s="144">
        <v>6181.18</v>
      </c>
      <c r="K49" s="144">
        <v>934</v>
      </c>
      <c r="L49" s="144">
        <v>611.79999999999995</v>
      </c>
      <c r="M49" s="144">
        <v>10</v>
      </c>
      <c r="N49" s="144">
        <v>6.2</v>
      </c>
      <c r="O49" s="144">
        <v>1066</v>
      </c>
      <c r="P49" s="144">
        <v>222.08</v>
      </c>
      <c r="Q49" s="130" t="s">
        <v>213</v>
      </c>
      <c r="R49" s="125"/>
      <c r="S49" s="125"/>
      <c r="T49" s="125"/>
    </row>
    <row r="50" spans="1:20">
      <c r="A50" s="127" t="s">
        <v>67</v>
      </c>
      <c r="B50" s="128">
        <f t="shared" si="10"/>
        <v>17090</v>
      </c>
      <c r="C50" s="143">
        <v>246</v>
      </c>
      <c r="D50" s="144">
        <v>64.7</v>
      </c>
      <c r="E50" s="144">
        <v>679</v>
      </c>
      <c r="F50" s="144">
        <v>164.15</v>
      </c>
      <c r="G50" s="144">
        <v>18</v>
      </c>
      <c r="H50" s="144">
        <v>5.4</v>
      </c>
      <c r="I50" s="144">
        <v>2703</v>
      </c>
      <c r="J50" s="144">
        <v>748</v>
      </c>
      <c r="K50" s="144">
        <v>1056</v>
      </c>
      <c r="L50" s="144">
        <v>265.95</v>
      </c>
      <c r="M50" s="144">
        <v>12388</v>
      </c>
      <c r="N50" s="144">
        <v>1490.6</v>
      </c>
      <c r="O50" s="145" t="s">
        <v>291</v>
      </c>
      <c r="P50" s="145" t="s">
        <v>291</v>
      </c>
      <c r="Q50" s="130" t="s">
        <v>214</v>
      </c>
      <c r="R50" s="125"/>
      <c r="S50" s="125"/>
      <c r="T50" s="125"/>
    </row>
    <row r="51" spans="1:20">
      <c r="A51" s="127" t="s">
        <v>69</v>
      </c>
      <c r="B51" s="128">
        <f t="shared" si="10"/>
        <v>11749</v>
      </c>
      <c r="C51" s="143">
        <v>592</v>
      </c>
      <c r="D51" s="144">
        <v>214.8</v>
      </c>
      <c r="E51" s="144">
        <v>1154</v>
      </c>
      <c r="F51" s="144">
        <v>238.62</v>
      </c>
      <c r="G51" s="144">
        <v>787</v>
      </c>
      <c r="H51" s="144">
        <v>201.2</v>
      </c>
      <c r="I51" s="144">
        <v>6209</v>
      </c>
      <c r="J51" s="144">
        <v>4745.1000000000004</v>
      </c>
      <c r="K51" s="144">
        <v>98</v>
      </c>
      <c r="L51" s="144">
        <v>44.682000000000002</v>
      </c>
      <c r="M51" s="144">
        <v>131</v>
      </c>
      <c r="N51" s="144">
        <v>50.3</v>
      </c>
      <c r="O51" s="144">
        <v>2778</v>
      </c>
      <c r="P51" s="144">
        <v>2121.4</v>
      </c>
      <c r="Q51" s="130" t="s">
        <v>215</v>
      </c>
      <c r="R51" s="125"/>
      <c r="S51" s="125"/>
      <c r="T51" s="125"/>
    </row>
    <row r="52" spans="1:20" ht="12" customHeight="1">
      <c r="A52" s="187" t="s">
        <v>216</v>
      </c>
      <c r="B52" s="178">
        <f>C52+E52+G52+I52+K52+M52+O52</f>
        <v>65404</v>
      </c>
      <c r="C52" s="179">
        <f>SUM(C54:C58)</f>
        <v>2289</v>
      </c>
      <c r="D52" s="179">
        <f t="shared" ref="D52:P52" si="11">SUM(D54:D58)</f>
        <v>555.33000000000004</v>
      </c>
      <c r="E52" s="179">
        <f t="shared" si="11"/>
        <v>9167</v>
      </c>
      <c r="F52" s="179">
        <f t="shared" si="11"/>
        <v>2560.1900000000005</v>
      </c>
      <c r="G52" s="179">
        <f t="shared" si="11"/>
        <v>2788</v>
      </c>
      <c r="H52" s="179">
        <f t="shared" si="11"/>
        <v>615.245</v>
      </c>
      <c r="I52" s="179">
        <f t="shared" si="11"/>
        <v>4948</v>
      </c>
      <c r="J52" s="179">
        <f t="shared" si="11"/>
        <v>4199.8</v>
      </c>
      <c r="K52" s="179">
        <f t="shared" si="11"/>
        <v>9067</v>
      </c>
      <c r="L52" s="179">
        <f t="shared" si="11"/>
        <v>5534.1000000000013</v>
      </c>
      <c r="M52" s="179">
        <f t="shared" si="11"/>
        <v>35288</v>
      </c>
      <c r="N52" s="179">
        <f t="shared" si="11"/>
        <v>10184.98</v>
      </c>
      <c r="O52" s="179">
        <f t="shared" si="11"/>
        <v>1857</v>
      </c>
      <c r="P52" s="179">
        <f t="shared" si="11"/>
        <v>395.18</v>
      </c>
      <c r="Q52" s="191" t="s">
        <v>217</v>
      </c>
      <c r="R52" s="192"/>
      <c r="S52" s="192"/>
      <c r="T52" s="125"/>
    </row>
    <row r="53" spans="1:20" ht="11.4" customHeight="1">
      <c r="A53" s="187"/>
      <c r="B53" s="178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91"/>
      <c r="R53" s="192"/>
      <c r="S53" s="192"/>
      <c r="T53" s="125"/>
    </row>
    <row r="54" spans="1:20" ht="11.4" customHeight="1">
      <c r="A54" s="127" t="s">
        <v>71</v>
      </c>
      <c r="B54" s="128">
        <f t="shared" ref="B54:B58" si="12">SUM(C54,E54,G54,I54,K54,M54,O54)</f>
        <v>39068</v>
      </c>
      <c r="C54" s="143">
        <v>136</v>
      </c>
      <c r="D54" s="144">
        <v>41.3</v>
      </c>
      <c r="E54" s="144">
        <v>364</v>
      </c>
      <c r="F54" s="144">
        <v>83.92</v>
      </c>
      <c r="G54" s="144">
        <v>513</v>
      </c>
      <c r="H54" s="144">
        <v>145.6</v>
      </c>
      <c r="I54" s="144">
        <v>4460</v>
      </c>
      <c r="J54" s="144">
        <v>3943.56</v>
      </c>
      <c r="K54" s="144">
        <v>7687</v>
      </c>
      <c r="L54" s="144">
        <v>4941</v>
      </c>
      <c r="M54" s="144">
        <v>25344</v>
      </c>
      <c r="N54" s="144">
        <v>7091.41</v>
      </c>
      <c r="O54" s="144">
        <v>564</v>
      </c>
      <c r="P54" s="144">
        <v>123.95</v>
      </c>
      <c r="Q54" s="130" t="s">
        <v>218</v>
      </c>
      <c r="R54" s="125"/>
      <c r="S54" s="125"/>
      <c r="T54" s="125"/>
    </row>
    <row r="55" spans="1:20">
      <c r="A55" s="127" t="s">
        <v>74</v>
      </c>
      <c r="B55" s="128">
        <f t="shared" si="12"/>
        <v>8463</v>
      </c>
      <c r="C55" s="143">
        <v>809</v>
      </c>
      <c r="D55" s="144">
        <v>248.3</v>
      </c>
      <c r="E55" s="144">
        <v>1578</v>
      </c>
      <c r="F55" s="144">
        <v>505.25</v>
      </c>
      <c r="G55" s="144">
        <v>459</v>
      </c>
      <c r="H55" s="144">
        <v>144.1</v>
      </c>
      <c r="I55" s="144">
        <v>56</v>
      </c>
      <c r="J55" s="144">
        <v>41.04</v>
      </c>
      <c r="K55" s="144">
        <v>613</v>
      </c>
      <c r="L55" s="144">
        <v>385.6</v>
      </c>
      <c r="M55" s="144">
        <v>4225</v>
      </c>
      <c r="N55" s="144">
        <v>1292.45</v>
      </c>
      <c r="O55" s="144">
        <v>723</v>
      </c>
      <c r="P55" s="144">
        <v>227.23</v>
      </c>
      <c r="Q55" s="130" t="s">
        <v>219</v>
      </c>
      <c r="R55" s="125"/>
      <c r="S55" s="125"/>
      <c r="T55" s="125"/>
    </row>
    <row r="56" spans="1:20">
      <c r="A56" s="127" t="s">
        <v>76</v>
      </c>
      <c r="B56" s="128">
        <f t="shared" si="12"/>
        <v>168</v>
      </c>
      <c r="C56" s="143">
        <v>33</v>
      </c>
      <c r="D56" s="144">
        <v>0.44</v>
      </c>
      <c r="E56" s="144">
        <v>45</v>
      </c>
      <c r="F56" s="144">
        <v>0.34</v>
      </c>
      <c r="G56" s="144">
        <v>1</v>
      </c>
      <c r="H56" s="144">
        <v>9.5000000000000001E-2</v>
      </c>
      <c r="I56" s="145" t="s">
        <v>291</v>
      </c>
      <c r="J56" s="145" t="s">
        <v>291</v>
      </c>
      <c r="K56" s="144">
        <v>5</v>
      </c>
      <c r="L56" s="144">
        <v>0.1</v>
      </c>
      <c r="M56" s="144">
        <v>84</v>
      </c>
      <c r="N56" s="144">
        <v>0.88</v>
      </c>
      <c r="O56" s="145" t="s">
        <v>291</v>
      </c>
      <c r="P56" s="145" t="s">
        <v>291</v>
      </c>
      <c r="Q56" s="130" t="s">
        <v>220</v>
      </c>
      <c r="R56" s="125"/>
      <c r="S56" s="125"/>
      <c r="T56" s="125"/>
    </row>
    <row r="57" spans="1:20">
      <c r="A57" s="127" t="s">
        <v>79</v>
      </c>
      <c r="B57" s="128">
        <f t="shared" si="12"/>
        <v>14244</v>
      </c>
      <c r="C57" s="143">
        <v>990</v>
      </c>
      <c r="D57" s="144">
        <v>151.19999999999999</v>
      </c>
      <c r="E57" s="144">
        <v>6609</v>
      </c>
      <c r="F57" s="144">
        <v>1817.92</v>
      </c>
      <c r="G57" s="144">
        <v>1572</v>
      </c>
      <c r="H57" s="144">
        <v>250.15</v>
      </c>
      <c r="I57" s="144">
        <v>185</v>
      </c>
      <c r="J57" s="144">
        <v>33.5</v>
      </c>
      <c r="K57" s="144">
        <v>495</v>
      </c>
      <c r="L57" s="144">
        <v>53.6</v>
      </c>
      <c r="M57" s="144">
        <v>3843</v>
      </c>
      <c r="N57" s="144">
        <v>1287.1400000000001</v>
      </c>
      <c r="O57" s="144">
        <v>550</v>
      </c>
      <c r="P57" s="144">
        <v>38</v>
      </c>
      <c r="Q57" s="130" t="s">
        <v>221</v>
      </c>
      <c r="R57" s="125"/>
      <c r="S57" s="125"/>
      <c r="T57" s="125"/>
    </row>
    <row r="58" spans="1:20">
      <c r="A58" s="127" t="s">
        <v>81</v>
      </c>
      <c r="B58" s="128">
        <f t="shared" si="12"/>
        <v>3461</v>
      </c>
      <c r="C58" s="143">
        <v>321</v>
      </c>
      <c r="D58" s="144">
        <v>114.09</v>
      </c>
      <c r="E58" s="144">
        <v>571</v>
      </c>
      <c r="F58" s="144">
        <v>152.76</v>
      </c>
      <c r="G58" s="144">
        <v>243</v>
      </c>
      <c r="H58" s="144">
        <v>75.3</v>
      </c>
      <c r="I58" s="144">
        <v>247</v>
      </c>
      <c r="J58" s="144">
        <v>181.7</v>
      </c>
      <c r="K58" s="144">
        <v>267</v>
      </c>
      <c r="L58" s="144">
        <v>153.80000000000001</v>
      </c>
      <c r="M58" s="144">
        <v>1792</v>
      </c>
      <c r="N58" s="144">
        <v>513.1</v>
      </c>
      <c r="O58" s="144">
        <v>20</v>
      </c>
      <c r="P58" s="144">
        <v>6</v>
      </c>
      <c r="Q58" s="130" t="s">
        <v>222</v>
      </c>
      <c r="R58" s="125"/>
      <c r="S58" s="125"/>
      <c r="T58" s="125"/>
    </row>
    <row r="59" spans="1:20" ht="12" customHeight="1">
      <c r="A59" s="188" t="s">
        <v>223</v>
      </c>
      <c r="B59" s="178">
        <f>C59+E59+G59+I59+K59+M59+O59</f>
        <v>402696</v>
      </c>
      <c r="C59" s="179">
        <f>SUM(C61:C63)</f>
        <v>26437</v>
      </c>
      <c r="D59" s="179">
        <f t="shared" ref="D59:P59" si="13">SUM(D61:D63)</f>
        <v>10472.637999999999</v>
      </c>
      <c r="E59" s="179">
        <f t="shared" si="13"/>
        <v>56154</v>
      </c>
      <c r="F59" s="179">
        <f t="shared" si="13"/>
        <v>22386.888999999999</v>
      </c>
      <c r="G59" s="179">
        <f t="shared" si="13"/>
        <v>20438</v>
      </c>
      <c r="H59" s="179">
        <f t="shared" si="13"/>
        <v>8836.1899999999987</v>
      </c>
      <c r="I59" s="179">
        <f t="shared" si="13"/>
        <v>224719</v>
      </c>
      <c r="J59" s="179">
        <f t="shared" si="13"/>
        <v>222422.535</v>
      </c>
      <c r="K59" s="179">
        <f t="shared" si="13"/>
        <v>53971</v>
      </c>
      <c r="L59" s="179">
        <f t="shared" si="13"/>
        <v>45371.41</v>
      </c>
      <c r="M59" s="179">
        <f t="shared" si="13"/>
        <v>18763</v>
      </c>
      <c r="N59" s="179">
        <f t="shared" si="13"/>
        <v>8287.3880000000008</v>
      </c>
      <c r="O59" s="179">
        <f t="shared" si="13"/>
        <v>2214</v>
      </c>
      <c r="P59" s="179">
        <f t="shared" si="13"/>
        <v>1800.1</v>
      </c>
      <c r="Q59" s="194" t="s">
        <v>224</v>
      </c>
      <c r="R59" s="195"/>
      <c r="S59" s="195"/>
      <c r="T59" s="125"/>
    </row>
    <row r="60" spans="1:20" ht="11.4" customHeight="1">
      <c r="A60" s="188"/>
      <c r="B60" s="178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94"/>
      <c r="R60" s="195"/>
      <c r="S60" s="195"/>
      <c r="T60" s="125"/>
    </row>
    <row r="61" spans="1:20" ht="12" customHeight="1">
      <c r="A61" s="127" t="s">
        <v>83</v>
      </c>
      <c r="B61" s="128">
        <f t="shared" ref="B61:B63" si="14">SUM(C61,E61,G61,I61,K61,M61,O61)</f>
        <v>68813</v>
      </c>
      <c r="C61" s="143">
        <v>11120</v>
      </c>
      <c r="D61" s="144">
        <v>3910.058</v>
      </c>
      <c r="E61" s="144">
        <v>17851</v>
      </c>
      <c r="F61" s="144">
        <v>6047.8509999999997</v>
      </c>
      <c r="G61" s="144">
        <v>9558</v>
      </c>
      <c r="H61" s="144">
        <v>4116.3</v>
      </c>
      <c r="I61" s="144">
        <v>15540</v>
      </c>
      <c r="J61" s="144">
        <v>13126.6</v>
      </c>
      <c r="K61" s="144">
        <v>6423</v>
      </c>
      <c r="L61" s="144">
        <v>4103.1000000000004</v>
      </c>
      <c r="M61" s="144">
        <v>7774</v>
      </c>
      <c r="N61" s="144">
        <v>3289.5</v>
      </c>
      <c r="O61" s="144">
        <v>547</v>
      </c>
      <c r="P61" s="144">
        <v>219.3</v>
      </c>
      <c r="Q61" s="130" t="s">
        <v>225</v>
      </c>
      <c r="R61" s="125"/>
      <c r="S61" s="125"/>
      <c r="T61" s="125"/>
    </row>
    <row r="62" spans="1:20">
      <c r="A62" s="127" t="s">
        <v>85</v>
      </c>
      <c r="B62" s="128">
        <f t="shared" si="14"/>
        <v>232389</v>
      </c>
      <c r="C62" s="143">
        <v>1033</v>
      </c>
      <c r="D62" s="144">
        <v>356.6</v>
      </c>
      <c r="E62" s="144">
        <v>5960</v>
      </c>
      <c r="F62" s="144">
        <v>2664.53</v>
      </c>
      <c r="G62" s="144">
        <v>1503</v>
      </c>
      <c r="H62" s="144">
        <v>523.99</v>
      </c>
      <c r="I62" s="144">
        <v>184981</v>
      </c>
      <c r="J62" s="144">
        <v>187149.285</v>
      </c>
      <c r="K62" s="144">
        <v>34390</v>
      </c>
      <c r="L62" s="144">
        <v>33237.160000000003</v>
      </c>
      <c r="M62" s="144">
        <v>4415</v>
      </c>
      <c r="N62" s="144">
        <v>1926.6</v>
      </c>
      <c r="O62" s="144">
        <v>107</v>
      </c>
      <c r="P62" s="144">
        <v>35.5</v>
      </c>
      <c r="Q62" s="189" t="s">
        <v>226</v>
      </c>
      <c r="R62" s="193"/>
      <c r="S62" s="193"/>
      <c r="T62" s="125"/>
    </row>
    <row r="63" spans="1:20">
      <c r="A63" s="127" t="s">
        <v>88</v>
      </c>
      <c r="B63" s="128">
        <f t="shared" si="14"/>
        <v>101494</v>
      </c>
      <c r="C63" s="143">
        <v>14284</v>
      </c>
      <c r="D63" s="144">
        <v>6205.98</v>
      </c>
      <c r="E63" s="144">
        <v>32343</v>
      </c>
      <c r="F63" s="144">
        <v>13674.508</v>
      </c>
      <c r="G63" s="144">
        <v>9377</v>
      </c>
      <c r="H63" s="144">
        <v>4195.8999999999996</v>
      </c>
      <c r="I63" s="144">
        <v>24198</v>
      </c>
      <c r="J63" s="144">
        <v>22146.65</v>
      </c>
      <c r="K63" s="144">
        <v>13158</v>
      </c>
      <c r="L63" s="144">
        <v>8031.15</v>
      </c>
      <c r="M63" s="144">
        <v>6574</v>
      </c>
      <c r="N63" s="144">
        <v>3071.288</v>
      </c>
      <c r="O63" s="144">
        <v>1560</v>
      </c>
      <c r="P63" s="144">
        <v>1545.3</v>
      </c>
      <c r="Q63" s="130" t="s">
        <v>227</v>
      </c>
      <c r="R63" s="125"/>
      <c r="S63" s="125"/>
      <c r="T63" s="125"/>
    </row>
    <row r="64" spans="1:20" ht="21.6" customHeight="1">
      <c r="A64" s="177" t="s">
        <v>228</v>
      </c>
      <c r="B64" s="178">
        <f>C64+E64+G64+I64+K64+M64+O64</f>
        <v>142530</v>
      </c>
      <c r="C64" s="179">
        <f>SUM(C66:C70)</f>
        <v>34182</v>
      </c>
      <c r="D64" s="179">
        <f t="shared" ref="D64:P64" si="15">SUM(D66:D70)</f>
        <v>11732.955</v>
      </c>
      <c r="E64" s="179">
        <f t="shared" si="15"/>
        <v>43412</v>
      </c>
      <c r="F64" s="179">
        <f t="shared" si="15"/>
        <v>14006.385000000002</v>
      </c>
      <c r="G64" s="179">
        <f t="shared" si="15"/>
        <v>21005</v>
      </c>
      <c r="H64" s="179">
        <f t="shared" si="15"/>
        <v>6975.98</v>
      </c>
      <c r="I64" s="179">
        <f t="shared" si="15"/>
        <v>19097</v>
      </c>
      <c r="J64" s="179">
        <f t="shared" si="15"/>
        <v>20303.099999999999</v>
      </c>
      <c r="K64" s="179">
        <f t="shared" si="15"/>
        <v>8734</v>
      </c>
      <c r="L64" s="179">
        <f t="shared" si="15"/>
        <v>5581.65</v>
      </c>
      <c r="M64" s="179">
        <f t="shared" si="15"/>
        <v>14609</v>
      </c>
      <c r="N64" s="179">
        <f t="shared" si="15"/>
        <v>4770.26</v>
      </c>
      <c r="O64" s="179">
        <f t="shared" si="15"/>
        <v>1491</v>
      </c>
      <c r="P64" s="179">
        <f t="shared" si="15"/>
        <v>590</v>
      </c>
      <c r="Q64" s="194" t="s">
        <v>229</v>
      </c>
      <c r="R64" s="195"/>
      <c r="S64" s="195"/>
      <c r="T64" s="125"/>
    </row>
    <row r="65" spans="1:20" ht="11.4" customHeight="1">
      <c r="A65" s="177"/>
      <c r="B65" s="178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94"/>
      <c r="R65" s="195"/>
      <c r="S65" s="195"/>
      <c r="T65" s="125"/>
    </row>
    <row r="66" spans="1:20" ht="11.4" customHeight="1">
      <c r="A66" s="127" t="s">
        <v>90</v>
      </c>
      <c r="B66" s="128">
        <f t="shared" ref="B66:B70" si="16">SUM(C66,E66,G66,I66,K66,M66,O66)</f>
        <v>39284</v>
      </c>
      <c r="C66" s="143">
        <v>12418</v>
      </c>
      <c r="D66" s="144">
        <v>4107.38</v>
      </c>
      <c r="E66" s="144">
        <v>13982</v>
      </c>
      <c r="F66" s="144">
        <v>4565.43</v>
      </c>
      <c r="G66" s="144">
        <v>6300</v>
      </c>
      <c r="H66" s="144">
        <v>2028.7</v>
      </c>
      <c r="I66" s="144">
        <v>2904</v>
      </c>
      <c r="J66" s="144">
        <v>2647.1</v>
      </c>
      <c r="K66" s="144">
        <v>1425</v>
      </c>
      <c r="L66" s="144">
        <v>937.9</v>
      </c>
      <c r="M66" s="144">
        <v>1470</v>
      </c>
      <c r="N66" s="144">
        <v>468</v>
      </c>
      <c r="O66" s="144">
        <v>785</v>
      </c>
      <c r="P66" s="144">
        <v>299.89999999999998</v>
      </c>
      <c r="Q66" s="130" t="s">
        <v>230</v>
      </c>
      <c r="R66" s="125"/>
      <c r="S66" s="125"/>
      <c r="T66" s="125"/>
    </row>
    <row r="67" spans="1:20">
      <c r="A67" s="127" t="s">
        <v>92</v>
      </c>
      <c r="B67" s="128">
        <f t="shared" si="16"/>
        <v>26830</v>
      </c>
      <c r="C67" s="143">
        <v>7680</v>
      </c>
      <c r="D67" s="144">
        <v>2641</v>
      </c>
      <c r="E67" s="144">
        <v>12138</v>
      </c>
      <c r="F67" s="144">
        <v>3198.1</v>
      </c>
      <c r="G67" s="144">
        <v>5252</v>
      </c>
      <c r="H67" s="144">
        <v>1250.7</v>
      </c>
      <c r="I67" s="144">
        <v>840</v>
      </c>
      <c r="J67" s="144">
        <v>926.3</v>
      </c>
      <c r="K67" s="144">
        <v>820</v>
      </c>
      <c r="L67" s="144">
        <v>726.6</v>
      </c>
      <c r="M67" s="144">
        <v>10</v>
      </c>
      <c r="N67" s="144">
        <v>4</v>
      </c>
      <c r="O67" s="144">
        <v>90</v>
      </c>
      <c r="P67" s="144">
        <v>22.5</v>
      </c>
      <c r="Q67" s="130" t="s">
        <v>231</v>
      </c>
      <c r="R67" s="125"/>
      <c r="S67" s="125"/>
      <c r="T67" s="125"/>
    </row>
    <row r="68" spans="1:20">
      <c r="A68" s="127" t="s">
        <v>94</v>
      </c>
      <c r="B68" s="128">
        <f t="shared" si="16"/>
        <v>14822</v>
      </c>
      <c r="C68" s="143">
        <v>3957</v>
      </c>
      <c r="D68" s="144">
        <v>1408.73</v>
      </c>
      <c r="E68" s="144">
        <v>4579</v>
      </c>
      <c r="F68" s="144">
        <v>1610.41</v>
      </c>
      <c r="G68" s="144">
        <v>3534</v>
      </c>
      <c r="H68" s="144">
        <v>1613.83</v>
      </c>
      <c r="I68" s="144">
        <v>1268</v>
      </c>
      <c r="J68" s="144">
        <v>1077.25</v>
      </c>
      <c r="K68" s="144">
        <v>1130</v>
      </c>
      <c r="L68" s="144">
        <v>828.6</v>
      </c>
      <c r="M68" s="145" t="s">
        <v>291</v>
      </c>
      <c r="N68" s="145" t="s">
        <v>291</v>
      </c>
      <c r="O68" s="144">
        <v>354</v>
      </c>
      <c r="P68" s="144">
        <v>133.25</v>
      </c>
      <c r="Q68" s="130" t="s">
        <v>232</v>
      </c>
      <c r="R68" s="125"/>
      <c r="S68" s="125"/>
      <c r="T68" s="125"/>
    </row>
    <row r="69" spans="1:20">
      <c r="A69" s="127" t="s">
        <v>97</v>
      </c>
      <c r="B69" s="128">
        <f t="shared" si="16"/>
        <v>21772</v>
      </c>
      <c r="C69" s="143">
        <v>5265</v>
      </c>
      <c r="D69" s="144">
        <v>2190.67</v>
      </c>
      <c r="E69" s="144">
        <v>5000</v>
      </c>
      <c r="F69" s="144">
        <v>2515.94</v>
      </c>
      <c r="G69" s="144">
        <v>2198</v>
      </c>
      <c r="H69" s="144">
        <v>1046.6300000000001</v>
      </c>
      <c r="I69" s="144">
        <v>6582</v>
      </c>
      <c r="J69" s="144">
        <v>6592.2</v>
      </c>
      <c r="K69" s="144">
        <v>714</v>
      </c>
      <c r="L69" s="144">
        <v>505.7</v>
      </c>
      <c r="M69" s="144">
        <v>1896</v>
      </c>
      <c r="N69" s="144">
        <v>443.6</v>
      </c>
      <c r="O69" s="144">
        <v>117</v>
      </c>
      <c r="P69" s="144">
        <v>80.2</v>
      </c>
      <c r="Q69" s="130" t="s">
        <v>233</v>
      </c>
      <c r="R69" s="125"/>
      <c r="S69" s="125"/>
      <c r="T69" s="125"/>
    </row>
    <row r="70" spans="1:20">
      <c r="A70" s="127" t="s">
        <v>99</v>
      </c>
      <c r="B70" s="128">
        <f t="shared" si="16"/>
        <v>39822</v>
      </c>
      <c r="C70" s="143">
        <v>4862</v>
      </c>
      <c r="D70" s="144">
        <v>1385.175</v>
      </c>
      <c r="E70" s="144">
        <v>7713</v>
      </c>
      <c r="F70" s="144">
        <v>2116.5050000000001</v>
      </c>
      <c r="G70" s="144">
        <v>3721</v>
      </c>
      <c r="H70" s="144">
        <v>1036.1199999999999</v>
      </c>
      <c r="I70" s="144">
        <v>7503</v>
      </c>
      <c r="J70" s="144">
        <v>9060.25</v>
      </c>
      <c r="K70" s="144">
        <v>4645</v>
      </c>
      <c r="L70" s="144">
        <v>2582.85</v>
      </c>
      <c r="M70" s="144">
        <v>11233</v>
      </c>
      <c r="N70" s="144">
        <v>3854.66</v>
      </c>
      <c r="O70" s="144">
        <v>145</v>
      </c>
      <c r="P70" s="144">
        <v>54.15</v>
      </c>
      <c r="Q70" s="130" t="s">
        <v>234</v>
      </c>
      <c r="R70" s="125"/>
      <c r="S70" s="125"/>
      <c r="T70" s="125"/>
    </row>
    <row r="71" spans="1:20" ht="12" customHeight="1">
      <c r="A71" s="187" t="s">
        <v>235</v>
      </c>
      <c r="B71" s="178">
        <f>C71+E71+G71+I71+K71+M71+O71</f>
        <v>13960</v>
      </c>
      <c r="C71" s="179">
        <f>SUM(C73:C80)</f>
        <v>6122</v>
      </c>
      <c r="D71" s="179">
        <f t="shared" ref="D71:P71" si="17">SUM(D73:D80)</f>
        <v>1931.6960000000001</v>
      </c>
      <c r="E71" s="179">
        <f t="shared" si="17"/>
        <v>3873</v>
      </c>
      <c r="F71" s="179">
        <f t="shared" si="17"/>
        <v>1658.0740000000001</v>
      </c>
      <c r="G71" s="179">
        <f t="shared" si="17"/>
        <v>2981</v>
      </c>
      <c r="H71" s="179">
        <f t="shared" si="17"/>
        <v>1025.529</v>
      </c>
      <c r="I71" s="179">
        <f t="shared" si="17"/>
        <v>126</v>
      </c>
      <c r="J71" s="179">
        <f t="shared" si="17"/>
        <v>120</v>
      </c>
      <c r="K71" s="179">
        <f t="shared" si="17"/>
        <v>453</v>
      </c>
      <c r="L71" s="179">
        <f t="shared" si="17"/>
        <v>277.23</v>
      </c>
      <c r="M71" s="179">
        <f t="shared" si="17"/>
        <v>320</v>
      </c>
      <c r="N71" s="179">
        <f t="shared" si="17"/>
        <v>96.54</v>
      </c>
      <c r="O71" s="179">
        <f t="shared" si="17"/>
        <v>85</v>
      </c>
      <c r="P71" s="179">
        <f t="shared" si="17"/>
        <v>21.5</v>
      </c>
      <c r="Q71" s="191" t="s">
        <v>236</v>
      </c>
      <c r="R71" s="192"/>
      <c r="S71" s="192"/>
      <c r="T71" s="125"/>
    </row>
    <row r="72" spans="1:20" ht="11.4" customHeight="1">
      <c r="A72" s="187"/>
      <c r="B72" s="178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91"/>
      <c r="R72" s="192"/>
      <c r="S72" s="192"/>
      <c r="T72" s="125"/>
    </row>
    <row r="73" spans="1:20" ht="11.4" customHeight="1">
      <c r="A73" s="131" t="s">
        <v>274</v>
      </c>
      <c r="B73" s="128">
        <f t="shared" ref="B73:B80" si="18">SUM(C73,E73,G73,I73,K73,M73,O73)</f>
        <v>0</v>
      </c>
      <c r="C73" s="146" t="s">
        <v>291</v>
      </c>
      <c r="D73" s="145" t="s">
        <v>291</v>
      </c>
      <c r="E73" s="145" t="s">
        <v>291</v>
      </c>
      <c r="F73" s="145" t="s">
        <v>291</v>
      </c>
      <c r="G73" s="145" t="s">
        <v>291</v>
      </c>
      <c r="H73" s="145" t="s">
        <v>291</v>
      </c>
      <c r="I73" s="145" t="s">
        <v>291</v>
      </c>
      <c r="J73" s="145" t="s">
        <v>291</v>
      </c>
      <c r="K73" s="145" t="s">
        <v>291</v>
      </c>
      <c r="L73" s="145" t="s">
        <v>291</v>
      </c>
      <c r="M73" s="145" t="s">
        <v>291</v>
      </c>
      <c r="N73" s="145" t="s">
        <v>291</v>
      </c>
      <c r="O73" s="145" t="s">
        <v>291</v>
      </c>
      <c r="P73" s="145" t="s">
        <v>291</v>
      </c>
      <c r="Q73" s="189" t="s">
        <v>237</v>
      </c>
      <c r="R73" s="190"/>
      <c r="S73" s="190"/>
      <c r="T73" s="190"/>
    </row>
    <row r="74" spans="1:20" ht="10.199999999999999" customHeight="1">
      <c r="A74" s="132" t="s">
        <v>275</v>
      </c>
      <c r="B74" s="128">
        <f t="shared" si="18"/>
        <v>0</v>
      </c>
      <c r="C74" s="146" t="s">
        <v>291</v>
      </c>
      <c r="D74" s="145" t="s">
        <v>291</v>
      </c>
      <c r="E74" s="145" t="s">
        <v>291</v>
      </c>
      <c r="F74" s="145" t="s">
        <v>291</v>
      </c>
      <c r="G74" s="145" t="s">
        <v>291</v>
      </c>
      <c r="H74" s="145" t="s">
        <v>291</v>
      </c>
      <c r="I74" s="145" t="s">
        <v>291</v>
      </c>
      <c r="J74" s="145" t="s">
        <v>291</v>
      </c>
      <c r="K74" s="145" t="s">
        <v>291</v>
      </c>
      <c r="L74" s="145" t="s">
        <v>291</v>
      </c>
      <c r="M74" s="145" t="s">
        <v>291</v>
      </c>
      <c r="N74" s="145" t="s">
        <v>291</v>
      </c>
      <c r="O74" s="145" t="s">
        <v>291</v>
      </c>
      <c r="P74" s="145" t="s">
        <v>291</v>
      </c>
      <c r="Q74" s="189" t="s">
        <v>238</v>
      </c>
      <c r="R74" s="190"/>
      <c r="S74" s="190"/>
      <c r="T74" s="190"/>
    </row>
    <row r="75" spans="1:20" ht="10.199999999999999" customHeight="1">
      <c r="A75" s="127" t="s">
        <v>106</v>
      </c>
      <c r="B75" s="128">
        <f t="shared" si="18"/>
        <v>0</v>
      </c>
      <c r="C75" s="146" t="s">
        <v>291</v>
      </c>
      <c r="D75" s="145" t="s">
        <v>291</v>
      </c>
      <c r="E75" s="145" t="s">
        <v>291</v>
      </c>
      <c r="F75" s="145" t="s">
        <v>291</v>
      </c>
      <c r="G75" s="145" t="s">
        <v>291</v>
      </c>
      <c r="H75" s="145" t="s">
        <v>291</v>
      </c>
      <c r="I75" s="145" t="s">
        <v>291</v>
      </c>
      <c r="J75" s="145" t="s">
        <v>291</v>
      </c>
      <c r="K75" s="145" t="s">
        <v>291</v>
      </c>
      <c r="L75" s="145" t="s">
        <v>291</v>
      </c>
      <c r="M75" s="145" t="s">
        <v>291</v>
      </c>
      <c r="N75" s="145" t="s">
        <v>291</v>
      </c>
      <c r="O75" s="145" t="s">
        <v>291</v>
      </c>
      <c r="P75" s="145" t="s">
        <v>291</v>
      </c>
      <c r="Q75" s="189" t="s">
        <v>239</v>
      </c>
      <c r="R75" s="190"/>
      <c r="S75" s="190"/>
      <c r="T75" s="190"/>
    </row>
    <row r="76" spans="1:20" ht="10.199999999999999" customHeight="1">
      <c r="A76" s="127" t="s">
        <v>108</v>
      </c>
      <c r="B76" s="128">
        <f t="shared" si="18"/>
        <v>0</v>
      </c>
      <c r="C76" s="146" t="s">
        <v>291</v>
      </c>
      <c r="D76" s="145" t="s">
        <v>291</v>
      </c>
      <c r="E76" s="145" t="s">
        <v>291</v>
      </c>
      <c r="F76" s="145" t="s">
        <v>291</v>
      </c>
      <c r="G76" s="145" t="s">
        <v>291</v>
      </c>
      <c r="H76" s="145" t="s">
        <v>291</v>
      </c>
      <c r="I76" s="145" t="s">
        <v>291</v>
      </c>
      <c r="J76" s="145" t="s">
        <v>291</v>
      </c>
      <c r="K76" s="145" t="s">
        <v>291</v>
      </c>
      <c r="L76" s="145" t="s">
        <v>291</v>
      </c>
      <c r="M76" s="145" t="s">
        <v>291</v>
      </c>
      <c r="N76" s="145" t="s">
        <v>291</v>
      </c>
      <c r="O76" s="145" t="s">
        <v>291</v>
      </c>
      <c r="P76" s="145" t="s">
        <v>291</v>
      </c>
      <c r="Q76" s="189" t="s">
        <v>240</v>
      </c>
      <c r="R76" s="190"/>
      <c r="S76" s="190"/>
      <c r="T76" s="190"/>
    </row>
    <row r="77" spans="1:20" ht="10.199999999999999" customHeight="1">
      <c r="A77" s="127" t="s">
        <v>110</v>
      </c>
      <c r="B77" s="128">
        <f t="shared" si="18"/>
        <v>2472</v>
      </c>
      <c r="C77" s="143">
        <v>805</v>
      </c>
      <c r="D77" s="144">
        <v>249.375</v>
      </c>
      <c r="E77" s="144">
        <v>1235</v>
      </c>
      <c r="F77" s="144">
        <v>822</v>
      </c>
      <c r="G77" s="144">
        <v>302</v>
      </c>
      <c r="H77" s="144">
        <v>127</v>
      </c>
      <c r="I77" s="145">
        <v>10</v>
      </c>
      <c r="J77" s="145">
        <v>4</v>
      </c>
      <c r="K77" s="144">
        <v>70</v>
      </c>
      <c r="L77" s="144">
        <v>40</v>
      </c>
      <c r="M77" s="144">
        <v>50</v>
      </c>
      <c r="N77" s="144">
        <v>24</v>
      </c>
      <c r="O77" s="145" t="s">
        <v>291</v>
      </c>
      <c r="P77" s="145" t="s">
        <v>291</v>
      </c>
      <c r="Q77" s="189" t="s">
        <v>241</v>
      </c>
      <c r="R77" s="190"/>
      <c r="S77" s="190"/>
      <c r="T77" s="190"/>
    </row>
    <row r="78" spans="1:20" ht="10.199999999999999" customHeight="1">
      <c r="A78" s="127" t="s">
        <v>113</v>
      </c>
      <c r="B78" s="128">
        <f t="shared" si="18"/>
        <v>7620</v>
      </c>
      <c r="C78" s="143">
        <v>4410</v>
      </c>
      <c r="D78" s="144">
        <v>1484.4</v>
      </c>
      <c r="E78" s="144">
        <v>1680</v>
      </c>
      <c r="F78" s="144">
        <v>650</v>
      </c>
      <c r="G78" s="144">
        <v>1530</v>
      </c>
      <c r="H78" s="144">
        <v>602</v>
      </c>
      <c r="I78" s="145" t="s">
        <v>291</v>
      </c>
      <c r="J78" s="145" t="s">
        <v>291</v>
      </c>
      <c r="K78" s="145" t="s">
        <v>291</v>
      </c>
      <c r="L78" s="145" t="s">
        <v>291</v>
      </c>
      <c r="M78" s="145" t="s">
        <v>291</v>
      </c>
      <c r="N78" s="145" t="s">
        <v>291</v>
      </c>
      <c r="O78" s="145" t="s">
        <v>291</v>
      </c>
      <c r="P78" s="145" t="s">
        <v>291</v>
      </c>
      <c r="Q78" s="189" t="s">
        <v>242</v>
      </c>
      <c r="R78" s="190"/>
      <c r="S78" s="190"/>
      <c r="T78" s="190"/>
    </row>
    <row r="79" spans="1:20" ht="10.199999999999999" customHeight="1">
      <c r="A79" s="127" t="s">
        <v>115</v>
      </c>
      <c r="B79" s="128">
        <f t="shared" si="18"/>
        <v>0</v>
      </c>
      <c r="C79" s="146" t="s">
        <v>291</v>
      </c>
      <c r="D79" s="145" t="s">
        <v>291</v>
      </c>
      <c r="E79" s="145" t="s">
        <v>291</v>
      </c>
      <c r="F79" s="145" t="s">
        <v>291</v>
      </c>
      <c r="G79" s="145" t="s">
        <v>291</v>
      </c>
      <c r="H79" s="145" t="s">
        <v>291</v>
      </c>
      <c r="I79" s="145" t="s">
        <v>291</v>
      </c>
      <c r="J79" s="145" t="s">
        <v>291</v>
      </c>
      <c r="K79" s="145" t="s">
        <v>291</v>
      </c>
      <c r="L79" s="145" t="s">
        <v>291</v>
      </c>
      <c r="M79" s="145" t="s">
        <v>291</v>
      </c>
      <c r="N79" s="145" t="s">
        <v>291</v>
      </c>
      <c r="O79" s="145" t="s">
        <v>291</v>
      </c>
      <c r="P79" s="145" t="s">
        <v>291</v>
      </c>
      <c r="Q79" s="189" t="s">
        <v>243</v>
      </c>
      <c r="R79" s="190"/>
      <c r="S79" s="190"/>
      <c r="T79" s="190"/>
    </row>
    <row r="80" spans="1:20" ht="10.199999999999999" customHeight="1">
      <c r="A80" s="127" t="s">
        <v>117</v>
      </c>
      <c r="B80" s="128">
        <f t="shared" si="18"/>
        <v>3868</v>
      </c>
      <c r="C80" s="143">
        <v>907</v>
      </c>
      <c r="D80" s="144">
        <v>197.92099999999999</v>
      </c>
      <c r="E80" s="144">
        <v>958</v>
      </c>
      <c r="F80" s="144">
        <v>186.07400000000001</v>
      </c>
      <c r="G80" s="144">
        <v>1149</v>
      </c>
      <c r="H80" s="144">
        <v>296.529</v>
      </c>
      <c r="I80" s="144">
        <v>116</v>
      </c>
      <c r="J80" s="144">
        <v>116</v>
      </c>
      <c r="K80" s="144">
        <v>383</v>
      </c>
      <c r="L80" s="144">
        <v>237.23</v>
      </c>
      <c r="M80" s="144">
        <v>270</v>
      </c>
      <c r="N80" s="144">
        <v>72.540000000000006</v>
      </c>
      <c r="O80" s="144">
        <v>85</v>
      </c>
      <c r="P80" s="144">
        <v>21.5</v>
      </c>
      <c r="Q80" s="189" t="s">
        <v>244</v>
      </c>
      <c r="R80" s="190"/>
      <c r="S80" s="190"/>
      <c r="T80" s="190"/>
    </row>
    <row r="81" spans="1:20" ht="12" customHeight="1">
      <c r="A81" s="187" t="s">
        <v>245</v>
      </c>
      <c r="B81" s="178">
        <f>C81+E81+G81+I81+K81+M81+O81</f>
        <v>37432</v>
      </c>
      <c r="C81" s="179">
        <f>SUM(C83:C87)</f>
        <v>6356</v>
      </c>
      <c r="D81" s="179">
        <f t="shared" ref="D81:P81" si="19">SUM(D83:D87)</f>
        <v>1718.7760000000001</v>
      </c>
      <c r="E81" s="179">
        <f t="shared" si="19"/>
        <v>5537</v>
      </c>
      <c r="F81" s="179">
        <f t="shared" si="19"/>
        <v>1617.7060000000001</v>
      </c>
      <c r="G81" s="179">
        <f t="shared" si="19"/>
        <v>9042</v>
      </c>
      <c r="H81" s="179">
        <f t="shared" si="19"/>
        <v>2155.578</v>
      </c>
      <c r="I81" s="179">
        <f t="shared" si="19"/>
        <v>8372</v>
      </c>
      <c r="J81" s="179">
        <f t="shared" si="19"/>
        <v>5277.11</v>
      </c>
      <c r="K81" s="179">
        <f t="shared" si="19"/>
        <v>4685</v>
      </c>
      <c r="L81" s="179">
        <f t="shared" si="19"/>
        <v>2492.1799999999998</v>
      </c>
      <c r="M81" s="179">
        <f t="shared" si="19"/>
        <v>2482</v>
      </c>
      <c r="N81" s="179">
        <f t="shared" si="19"/>
        <v>727.36</v>
      </c>
      <c r="O81" s="179">
        <f t="shared" si="19"/>
        <v>958</v>
      </c>
      <c r="P81" s="179">
        <f t="shared" si="19"/>
        <v>400.97</v>
      </c>
      <c r="Q81" s="194" t="s">
        <v>246</v>
      </c>
      <c r="R81" s="195"/>
      <c r="S81" s="195"/>
      <c r="T81" s="133"/>
    </row>
    <row r="82" spans="1:20" ht="11.4" customHeight="1">
      <c r="A82" s="187"/>
      <c r="B82" s="178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94"/>
      <c r="R82" s="195"/>
      <c r="S82" s="195"/>
      <c r="T82" s="133"/>
    </row>
    <row r="83" spans="1:20" ht="11.4" customHeight="1">
      <c r="A83" s="127" t="s">
        <v>119</v>
      </c>
      <c r="B83" s="128">
        <f t="shared" ref="B83:B87" si="20">SUM(C83,E83,G83,I83,K83,M83,O83)</f>
        <v>18192</v>
      </c>
      <c r="C83" s="143">
        <v>1712</v>
      </c>
      <c r="D83" s="144">
        <v>724.06</v>
      </c>
      <c r="E83" s="144">
        <v>1686</v>
      </c>
      <c r="F83" s="144">
        <v>666.47</v>
      </c>
      <c r="G83" s="144">
        <v>1639</v>
      </c>
      <c r="H83" s="144">
        <v>341.62</v>
      </c>
      <c r="I83" s="144">
        <v>7347</v>
      </c>
      <c r="J83" s="144">
        <v>4765.2</v>
      </c>
      <c r="K83" s="144">
        <v>3194</v>
      </c>
      <c r="L83" s="144">
        <v>1802.7</v>
      </c>
      <c r="M83" s="144">
        <v>2144</v>
      </c>
      <c r="N83" s="144">
        <v>661.86</v>
      </c>
      <c r="O83" s="144">
        <v>470</v>
      </c>
      <c r="P83" s="144">
        <v>283.8</v>
      </c>
      <c r="Q83" s="130" t="s">
        <v>247</v>
      </c>
      <c r="R83" s="125"/>
      <c r="S83" s="125"/>
      <c r="T83" s="125"/>
    </row>
    <row r="84" spans="1:20">
      <c r="A84" s="127" t="s">
        <v>122</v>
      </c>
      <c r="B84" s="128">
        <f t="shared" si="20"/>
        <v>4180</v>
      </c>
      <c r="C84" s="143">
        <v>845</v>
      </c>
      <c r="D84" s="144">
        <v>114.2</v>
      </c>
      <c r="E84" s="144">
        <v>977</v>
      </c>
      <c r="F84" s="144">
        <v>166.4</v>
      </c>
      <c r="G84" s="144">
        <v>1879</v>
      </c>
      <c r="H84" s="144">
        <v>534.71</v>
      </c>
      <c r="I84" s="144">
        <v>82</v>
      </c>
      <c r="J84" s="144">
        <v>34.479999999999997</v>
      </c>
      <c r="K84" s="144">
        <v>175</v>
      </c>
      <c r="L84" s="144">
        <v>73</v>
      </c>
      <c r="M84" s="144">
        <v>170</v>
      </c>
      <c r="N84" s="144">
        <v>25.5</v>
      </c>
      <c r="O84" s="144">
        <v>52</v>
      </c>
      <c r="P84" s="144">
        <v>13</v>
      </c>
      <c r="Q84" s="130" t="s">
        <v>248</v>
      </c>
      <c r="R84" s="125"/>
      <c r="S84" s="125"/>
      <c r="T84" s="125"/>
    </row>
    <row r="85" spans="1:20">
      <c r="A85" s="127" t="s">
        <v>124</v>
      </c>
      <c r="B85" s="128">
        <f t="shared" si="20"/>
        <v>9929</v>
      </c>
      <c r="C85" s="143">
        <v>2895</v>
      </c>
      <c r="D85" s="144">
        <v>553.6</v>
      </c>
      <c r="E85" s="144">
        <v>1497</v>
      </c>
      <c r="F85" s="144">
        <v>344.37599999999998</v>
      </c>
      <c r="G85" s="144">
        <v>3675</v>
      </c>
      <c r="H85" s="144">
        <v>840.7</v>
      </c>
      <c r="I85" s="144">
        <v>804</v>
      </c>
      <c r="J85" s="144">
        <v>403.33</v>
      </c>
      <c r="K85" s="144">
        <v>768</v>
      </c>
      <c r="L85" s="144">
        <v>566.38</v>
      </c>
      <c r="M85" s="145" t="s">
        <v>291</v>
      </c>
      <c r="N85" s="145" t="s">
        <v>291</v>
      </c>
      <c r="O85" s="144">
        <v>290</v>
      </c>
      <c r="P85" s="144">
        <v>84.5</v>
      </c>
      <c r="Q85" s="130" t="s">
        <v>249</v>
      </c>
      <c r="R85" s="125"/>
      <c r="S85" s="125"/>
      <c r="T85" s="125"/>
    </row>
    <row r="86" spans="1:20">
      <c r="A86" s="127" t="s">
        <v>127</v>
      </c>
      <c r="B86" s="128">
        <f t="shared" si="20"/>
        <v>2673</v>
      </c>
      <c r="C86" s="143">
        <v>139</v>
      </c>
      <c r="D86" s="144">
        <v>36.466000000000001</v>
      </c>
      <c r="E86" s="144">
        <v>592</v>
      </c>
      <c r="F86" s="144">
        <v>202.86</v>
      </c>
      <c r="G86" s="144">
        <v>1056</v>
      </c>
      <c r="H86" s="144">
        <v>164.398</v>
      </c>
      <c r="I86" s="144">
        <v>139</v>
      </c>
      <c r="J86" s="144">
        <v>74.099999999999994</v>
      </c>
      <c r="K86" s="144">
        <v>548</v>
      </c>
      <c r="L86" s="144">
        <v>50.1</v>
      </c>
      <c r="M86" s="144">
        <v>168</v>
      </c>
      <c r="N86" s="144">
        <v>40</v>
      </c>
      <c r="O86" s="144">
        <v>31</v>
      </c>
      <c r="P86" s="144">
        <v>11.72</v>
      </c>
      <c r="Q86" s="130" t="s">
        <v>250</v>
      </c>
      <c r="R86" s="125"/>
      <c r="S86" s="125"/>
      <c r="T86" s="125"/>
    </row>
    <row r="87" spans="1:20">
      <c r="A87" s="127" t="s">
        <v>129</v>
      </c>
      <c r="B87" s="128">
        <f t="shared" si="20"/>
        <v>2458</v>
      </c>
      <c r="C87" s="143">
        <v>765</v>
      </c>
      <c r="D87" s="144">
        <v>290.45</v>
      </c>
      <c r="E87" s="144">
        <v>785</v>
      </c>
      <c r="F87" s="144">
        <v>237.6</v>
      </c>
      <c r="G87" s="144">
        <v>793</v>
      </c>
      <c r="H87" s="144">
        <v>274.14999999999998</v>
      </c>
      <c r="I87" s="145" t="s">
        <v>291</v>
      </c>
      <c r="J87" s="145" t="s">
        <v>291</v>
      </c>
      <c r="K87" s="145" t="s">
        <v>291</v>
      </c>
      <c r="L87" s="145" t="s">
        <v>291</v>
      </c>
      <c r="M87" s="145" t="s">
        <v>291</v>
      </c>
      <c r="N87" s="145" t="s">
        <v>291</v>
      </c>
      <c r="O87" s="144">
        <v>115</v>
      </c>
      <c r="P87" s="144">
        <v>7.95</v>
      </c>
      <c r="Q87" s="130" t="s">
        <v>251</v>
      </c>
      <c r="R87" s="125"/>
      <c r="S87" s="125"/>
      <c r="T87" s="125"/>
    </row>
    <row r="88" spans="1:20" ht="12" customHeight="1">
      <c r="A88" s="187" t="s">
        <v>252</v>
      </c>
      <c r="B88" s="178">
        <f>C88+E88+G88+I88+K88+M88+O88</f>
        <v>130687</v>
      </c>
      <c r="C88" s="179">
        <f>SUM(C90:C102)</f>
        <v>73427</v>
      </c>
      <c r="D88" s="179">
        <f t="shared" ref="D88:P88" si="21">SUM(D90:D102)</f>
        <v>19573.852000000003</v>
      </c>
      <c r="E88" s="179">
        <f t="shared" si="21"/>
        <v>27947</v>
      </c>
      <c r="F88" s="179">
        <f t="shared" si="21"/>
        <v>10369.075999999999</v>
      </c>
      <c r="G88" s="179">
        <f t="shared" si="21"/>
        <v>17171</v>
      </c>
      <c r="H88" s="179">
        <f t="shared" si="21"/>
        <v>4899.91</v>
      </c>
      <c r="I88" s="179">
        <f t="shared" si="21"/>
        <v>5100</v>
      </c>
      <c r="J88" s="179">
        <f t="shared" si="21"/>
        <v>2526.4449999999997</v>
      </c>
      <c r="K88" s="179">
        <f t="shared" si="21"/>
        <v>2893</v>
      </c>
      <c r="L88" s="179">
        <f t="shared" si="21"/>
        <v>1729.3700000000001</v>
      </c>
      <c r="M88" s="179">
        <f t="shared" si="21"/>
        <v>1502</v>
      </c>
      <c r="N88" s="179">
        <f t="shared" si="21"/>
        <v>404.3</v>
      </c>
      <c r="O88" s="179">
        <f t="shared" si="21"/>
        <v>2647</v>
      </c>
      <c r="P88" s="179">
        <f t="shared" si="21"/>
        <v>750.05000000000007</v>
      </c>
      <c r="Q88" s="200" t="s">
        <v>253</v>
      </c>
      <c r="R88" s="201"/>
      <c r="S88" s="201"/>
      <c r="T88" s="125"/>
    </row>
    <row r="89" spans="1:20" ht="11.4" customHeight="1">
      <c r="A89" s="187"/>
      <c r="B89" s="178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200"/>
      <c r="R89" s="201"/>
      <c r="S89" s="201"/>
      <c r="T89" s="125"/>
    </row>
    <row r="90" spans="1:20" ht="11.4" customHeight="1">
      <c r="A90" s="127" t="s">
        <v>131</v>
      </c>
      <c r="B90" s="128">
        <f t="shared" ref="B90:B102" si="22">SUM(C90,E90,G90,I90,K90,M90,O90)</f>
        <v>1387</v>
      </c>
      <c r="C90" s="143">
        <v>1254</v>
      </c>
      <c r="D90" s="144">
        <v>208.8</v>
      </c>
      <c r="E90" s="144">
        <v>109</v>
      </c>
      <c r="F90" s="144">
        <v>21</v>
      </c>
      <c r="G90" s="144">
        <v>23</v>
      </c>
      <c r="H90" s="144">
        <v>9</v>
      </c>
      <c r="I90" s="144">
        <v>1</v>
      </c>
      <c r="J90" s="144">
        <v>0.3</v>
      </c>
      <c r="K90" s="145" t="s">
        <v>291</v>
      </c>
      <c r="L90" s="145" t="s">
        <v>291</v>
      </c>
      <c r="M90" s="145" t="s">
        <v>291</v>
      </c>
      <c r="N90" s="145" t="s">
        <v>291</v>
      </c>
      <c r="O90" s="145" t="s">
        <v>291</v>
      </c>
      <c r="P90" s="145" t="s">
        <v>291</v>
      </c>
      <c r="Q90" s="130" t="s">
        <v>254</v>
      </c>
      <c r="R90" s="125"/>
      <c r="S90" s="125"/>
      <c r="T90" s="125"/>
    </row>
    <row r="91" spans="1:20">
      <c r="A91" s="127" t="s">
        <v>133</v>
      </c>
      <c r="B91" s="128">
        <f t="shared" si="22"/>
        <v>5153</v>
      </c>
      <c r="C91" s="143">
        <v>1519</v>
      </c>
      <c r="D91" s="144">
        <v>462.84</v>
      </c>
      <c r="E91" s="144">
        <v>1116</v>
      </c>
      <c r="F91" s="144">
        <v>378.12</v>
      </c>
      <c r="G91" s="144">
        <v>1025</v>
      </c>
      <c r="H91" s="144">
        <v>345.65</v>
      </c>
      <c r="I91" s="144">
        <v>953</v>
      </c>
      <c r="J91" s="144">
        <v>805.3</v>
      </c>
      <c r="K91" s="144">
        <v>350</v>
      </c>
      <c r="L91" s="144">
        <v>346.57</v>
      </c>
      <c r="M91" s="144">
        <v>65</v>
      </c>
      <c r="N91" s="144">
        <v>77.8</v>
      </c>
      <c r="O91" s="144">
        <v>125</v>
      </c>
      <c r="P91" s="144">
        <v>53</v>
      </c>
      <c r="Q91" s="130" t="s">
        <v>255</v>
      </c>
      <c r="R91" s="125"/>
      <c r="S91" s="125"/>
      <c r="T91" s="125"/>
    </row>
    <row r="92" spans="1:20">
      <c r="A92" s="127" t="s">
        <v>135</v>
      </c>
      <c r="B92" s="128">
        <f t="shared" si="22"/>
        <v>5038</v>
      </c>
      <c r="C92" s="143">
        <v>4548</v>
      </c>
      <c r="D92" s="144">
        <v>790.7</v>
      </c>
      <c r="E92" s="144">
        <v>430</v>
      </c>
      <c r="F92" s="144">
        <v>41.4</v>
      </c>
      <c r="G92" s="144">
        <v>60</v>
      </c>
      <c r="H92" s="144">
        <v>87</v>
      </c>
      <c r="I92" s="145" t="s">
        <v>291</v>
      </c>
      <c r="J92" s="145" t="s">
        <v>291</v>
      </c>
      <c r="K92" s="145" t="s">
        <v>291</v>
      </c>
      <c r="L92" s="145" t="s">
        <v>291</v>
      </c>
      <c r="M92" s="145" t="s">
        <v>291</v>
      </c>
      <c r="N92" s="145" t="s">
        <v>291</v>
      </c>
      <c r="O92" s="145" t="s">
        <v>291</v>
      </c>
      <c r="P92" s="145" t="s">
        <v>291</v>
      </c>
      <c r="Q92" s="130" t="s">
        <v>256</v>
      </c>
      <c r="R92" s="125"/>
      <c r="S92" s="125"/>
      <c r="T92" s="125"/>
    </row>
    <row r="93" spans="1:20">
      <c r="A93" s="127" t="s">
        <v>137</v>
      </c>
      <c r="B93" s="128">
        <f t="shared" si="22"/>
        <v>2982</v>
      </c>
      <c r="C93" s="143">
        <v>1945</v>
      </c>
      <c r="D93" s="144">
        <v>538</v>
      </c>
      <c r="E93" s="144">
        <v>525</v>
      </c>
      <c r="F93" s="144">
        <v>118.1</v>
      </c>
      <c r="G93" s="144">
        <v>362</v>
      </c>
      <c r="H93" s="144">
        <v>61.228999999999999</v>
      </c>
      <c r="I93" s="144">
        <v>40</v>
      </c>
      <c r="J93" s="144">
        <v>16</v>
      </c>
      <c r="K93" s="145" t="s">
        <v>291</v>
      </c>
      <c r="L93" s="145" t="s">
        <v>291</v>
      </c>
      <c r="M93" s="145" t="s">
        <v>291</v>
      </c>
      <c r="N93" s="145" t="s">
        <v>291</v>
      </c>
      <c r="O93" s="144">
        <v>110</v>
      </c>
      <c r="P93" s="144">
        <v>22</v>
      </c>
      <c r="Q93" s="130" t="s">
        <v>257</v>
      </c>
      <c r="R93" s="125"/>
      <c r="S93" s="125"/>
      <c r="T93" s="125"/>
    </row>
    <row r="94" spans="1:20">
      <c r="A94" s="127" t="s">
        <v>139</v>
      </c>
      <c r="B94" s="128">
        <f t="shared" si="22"/>
        <v>169</v>
      </c>
      <c r="C94" s="143">
        <v>27</v>
      </c>
      <c r="D94" s="144">
        <v>5.65</v>
      </c>
      <c r="E94" s="144">
        <v>67</v>
      </c>
      <c r="F94" s="144">
        <v>21.3</v>
      </c>
      <c r="G94" s="144">
        <v>61</v>
      </c>
      <c r="H94" s="144">
        <v>18.7</v>
      </c>
      <c r="I94" s="144">
        <v>8</v>
      </c>
      <c r="J94" s="144">
        <v>8</v>
      </c>
      <c r="K94" s="144">
        <v>6</v>
      </c>
      <c r="L94" s="144">
        <v>6</v>
      </c>
      <c r="M94" s="145" t="s">
        <v>291</v>
      </c>
      <c r="N94" s="145" t="s">
        <v>291</v>
      </c>
      <c r="O94" s="145" t="s">
        <v>291</v>
      </c>
      <c r="P94" s="145" t="s">
        <v>291</v>
      </c>
      <c r="Q94" s="130" t="s">
        <v>258</v>
      </c>
      <c r="R94" s="125"/>
      <c r="S94" s="125"/>
      <c r="T94" s="125"/>
    </row>
    <row r="95" spans="1:20">
      <c r="A95" s="127" t="s">
        <v>141</v>
      </c>
      <c r="B95" s="128">
        <f t="shared" si="22"/>
        <v>12100</v>
      </c>
      <c r="C95" s="143">
        <v>8420</v>
      </c>
      <c r="D95" s="144">
        <v>1038</v>
      </c>
      <c r="E95" s="144">
        <v>1500</v>
      </c>
      <c r="F95" s="144">
        <v>270</v>
      </c>
      <c r="G95" s="144">
        <v>1830</v>
      </c>
      <c r="H95" s="144">
        <v>273</v>
      </c>
      <c r="I95" s="145" t="s">
        <v>291</v>
      </c>
      <c r="J95" s="145" t="s">
        <v>291</v>
      </c>
      <c r="K95" s="144">
        <v>150</v>
      </c>
      <c r="L95" s="144">
        <v>60</v>
      </c>
      <c r="M95" s="144">
        <v>200</v>
      </c>
      <c r="N95" s="144">
        <v>40</v>
      </c>
      <c r="O95" s="145" t="s">
        <v>291</v>
      </c>
      <c r="P95" s="145" t="s">
        <v>291</v>
      </c>
      <c r="Q95" s="130" t="s">
        <v>259</v>
      </c>
      <c r="R95" s="125"/>
      <c r="S95" s="125"/>
      <c r="T95" s="125"/>
    </row>
    <row r="96" spans="1:20">
      <c r="A96" s="127" t="s">
        <v>144</v>
      </c>
      <c r="B96" s="128">
        <f t="shared" si="22"/>
        <v>15890</v>
      </c>
      <c r="C96" s="143">
        <v>4360</v>
      </c>
      <c r="D96" s="144">
        <v>3094.9</v>
      </c>
      <c r="E96" s="144">
        <v>9420</v>
      </c>
      <c r="F96" s="144">
        <v>5983.85</v>
      </c>
      <c r="G96" s="144">
        <v>1060</v>
      </c>
      <c r="H96" s="144">
        <v>262.8</v>
      </c>
      <c r="I96" s="144">
        <v>450</v>
      </c>
      <c r="J96" s="144">
        <v>54</v>
      </c>
      <c r="K96" s="144">
        <v>450</v>
      </c>
      <c r="L96" s="144">
        <v>540</v>
      </c>
      <c r="M96" s="144">
        <v>150</v>
      </c>
      <c r="N96" s="144">
        <v>22.5</v>
      </c>
      <c r="O96" s="145" t="s">
        <v>291</v>
      </c>
      <c r="P96" s="145" t="s">
        <v>291</v>
      </c>
      <c r="Q96" s="130" t="s">
        <v>260</v>
      </c>
      <c r="R96" s="125"/>
      <c r="S96" s="125"/>
      <c r="T96" s="125"/>
    </row>
    <row r="97" spans="1:20">
      <c r="A97" s="127" t="s">
        <v>146</v>
      </c>
      <c r="B97" s="128">
        <f t="shared" si="22"/>
        <v>10850</v>
      </c>
      <c r="C97" s="143">
        <v>6545</v>
      </c>
      <c r="D97" s="144">
        <v>1705.15</v>
      </c>
      <c r="E97" s="144">
        <v>2719</v>
      </c>
      <c r="F97" s="144">
        <v>601.99</v>
      </c>
      <c r="G97" s="144">
        <v>1584</v>
      </c>
      <c r="H97" s="144">
        <v>306.85000000000002</v>
      </c>
      <c r="I97" s="145" t="s">
        <v>291</v>
      </c>
      <c r="J97" s="145" t="s">
        <v>291</v>
      </c>
      <c r="K97" s="145" t="s">
        <v>291</v>
      </c>
      <c r="L97" s="145" t="s">
        <v>291</v>
      </c>
      <c r="M97" s="145" t="s">
        <v>291</v>
      </c>
      <c r="N97" s="145" t="s">
        <v>291</v>
      </c>
      <c r="O97" s="144">
        <v>2</v>
      </c>
      <c r="P97" s="144">
        <v>0.4</v>
      </c>
      <c r="Q97" s="130" t="s">
        <v>261</v>
      </c>
      <c r="R97" s="125"/>
      <c r="S97" s="125"/>
      <c r="T97" s="125"/>
    </row>
    <row r="98" spans="1:20">
      <c r="A98" s="127" t="s">
        <v>148</v>
      </c>
      <c r="B98" s="128">
        <f t="shared" si="22"/>
        <v>3700</v>
      </c>
      <c r="C98" s="143">
        <v>3300</v>
      </c>
      <c r="D98" s="144">
        <v>615</v>
      </c>
      <c r="E98" s="144">
        <v>200</v>
      </c>
      <c r="F98" s="144">
        <v>42</v>
      </c>
      <c r="G98" s="144">
        <v>150</v>
      </c>
      <c r="H98" s="144">
        <v>33</v>
      </c>
      <c r="I98" s="145" t="s">
        <v>291</v>
      </c>
      <c r="J98" s="145" t="s">
        <v>291</v>
      </c>
      <c r="K98" s="145" t="s">
        <v>291</v>
      </c>
      <c r="L98" s="145" t="s">
        <v>291</v>
      </c>
      <c r="M98" s="145" t="s">
        <v>291</v>
      </c>
      <c r="N98" s="145" t="s">
        <v>291</v>
      </c>
      <c r="O98" s="144">
        <v>50</v>
      </c>
      <c r="P98" s="144">
        <v>3</v>
      </c>
      <c r="Q98" s="130" t="s">
        <v>262</v>
      </c>
      <c r="R98" s="125"/>
      <c r="S98" s="125"/>
      <c r="T98" s="125"/>
    </row>
    <row r="99" spans="1:20">
      <c r="A99" s="127" t="s">
        <v>150</v>
      </c>
      <c r="B99" s="128">
        <f t="shared" si="22"/>
        <v>39903</v>
      </c>
      <c r="C99" s="143">
        <v>26509</v>
      </c>
      <c r="D99" s="144">
        <v>7669.8</v>
      </c>
      <c r="E99" s="144">
        <v>4425</v>
      </c>
      <c r="F99" s="144">
        <v>1361.9</v>
      </c>
      <c r="G99" s="144">
        <v>2894</v>
      </c>
      <c r="H99" s="144">
        <v>1000.85</v>
      </c>
      <c r="I99" s="144">
        <v>3113</v>
      </c>
      <c r="J99" s="144">
        <v>1229.05</v>
      </c>
      <c r="K99" s="144">
        <v>1742</v>
      </c>
      <c r="L99" s="144">
        <v>675.6</v>
      </c>
      <c r="M99" s="144">
        <v>1040</v>
      </c>
      <c r="N99" s="144">
        <v>226</v>
      </c>
      <c r="O99" s="144">
        <v>180</v>
      </c>
      <c r="P99" s="144">
        <v>30.3</v>
      </c>
      <c r="Q99" s="130" t="s">
        <v>263</v>
      </c>
      <c r="R99" s="125"/>
      <c r="S99" s="125"/>
      <c r="T99" s="125"/>
    </row>
    <row r="100" spans="1:20">
      <c r="A100" s="127" t="s">
        <v>152</v>
      </c>
      <c r="B100" s="128">
        <f t="shared" si="22"/>
        <v>17379</v>
      </c>
      <c r="C100" s="143">
        <v>12240</v>
      </c>
      <c r="D100" s="144">
        <v>2831</v>
      </c>
      <c r="E100" s="144">
        <v>1020</v>
      </c>
      <c r="F100" s="144">
        <v>127</v>
      </c>
      <c r="G100" s="144">
        <v>4050</v>
      </c>
      <c r="H100" s="144">
        <v>1148.5</v>
      </c>
      <c r="I100" s="144">
        <v>60</v>
      </c>
      <c r="J100" s="144">
        <v>14</v>
      </c>
      <c r="K100" s="144">
        <v>9</v>
      </c>
      <c r="L100" s="144">
        <v>8.5</v>
      </c>
      <c r="M100" s="145" t="s">
        <v>291</v>
      </c>
      <c r="N100" s="145" t="s">
        <v>291</v>
      </c>
      <c r="O100" s="145" t="s">
        <v>291</v>
      </c>
      <c r="P100" s="145" t="s">
        <v>291</v>
      </c>
      <c r="Q100" s="130" t="s">
        <v>264</v>
      </c>
      <c r="R100" s="125"/>
      <c r="S100" s="125"/>
      <c r="T100" s="125"/>
    </row>
    <row r="101" spans="1:20">
      <c r="A101" s="127" t="s">
        <v>154</v>
      </c>
      <c r="B101" s="128">
        <f t="shared" si="22"/>
        <v>14410</v>
      </c>
      <c r="C101" s="143">
        <v>2068</v>
      </c>
      <c r="D101" s="144">
        <v>455.61200000000002</v>
      </c>
      <c r="E101" s="144">
        <v>5960</v>
      </c>
      <c r="F101" s="144">
        <v>1299.4159999999999</v>
      </c>
      <c r="G101" s="144">
        <v>3591</v>
      </c>
      <c r="H101" s="144">
        <v>1176.701</v>
      </c>
      <c r="I101" s="144">
        <v>463</v>
      </c>
      <c r="J101" s="144">
        <v>355.79500000000002</v>
      </c>
      <c r="K101" s="144">
        <v>101</v>
      </c>
      <c r="L101" s="144">
        <v>74</v>
      </c>
      <c r="M101" s="144">
        <v>47</v>
      </c>
      <c r="N101" s="144">
        <v>38</v>
      </c>
      <c r="O101" s="144">
        <v>2180</v>
      </c>
      <c r="P101" s="144">
        <v>641.35</v>
      </c>
      <c r="Q101" s="130" t="s">
        <v>265</v>
      </c>
      <c r="R101" s="125"/>
      <c r="S101" s="125"/>
      <c r="T101" s="125"/>
    </row>
    <row r="102" spans="1:20">
      <c r="A102" s="127" t="s">
        <v>156</v>
      </c>
      <c r="B102" s="128">
        <f t="shared" si="22"/>
        <v>1726</v>
      </c>
      <c r="C102" s="143">
        <v>692</v>
      </c>
      <c r="D102" s="144">
        <v>158.4</v>
      </c>
      <c r="E102" s="144">
        <v>456</v>
      </c>
      <c r="F102" s="144">
        <v>103</v>
      </c>
      <c r="G102" s="144">
        <v>481</v>
      </c>
      <c r="H102" s="144">
        <v>176.63</v>
      </c>
      <c r="I102" s="144">
        <v>12</v>
      </c>
      <c r="J102" s="144">
        <v>44</v>
      </c>
      <c r="K102" s="144">
        <v>85</v>
      </c>
      <c r="L102" s="144">
        <v>18.7</v>
      </c>
      <c r="M102" s="145" t="s">
        <v>291</v>
      </c>
      <c r="N102" s="145" t="s">
        <v>291</v>
      </c>
      <c r="O102" s="145" t="s">
        <v>291</v>
      </c>
      <c r="P102" s="145" t="s">
        <v>291</v>
      </c>
      <c r="Q102" s="130" t="s">
        <v>266</v>
      </c>
      <c r="R102" s="125"/>
      <c r="S102" s="125"/>
      <c r="T102" s="125"/>
    </row>
    <row r="103" spans="1:20" ht="12" customHeight="1">
      <c r="A103" s="187" t="s">
        <v>267</v>
      </c>
      <c r="B103" s="178">
        <f>C103+E103+G103+I103+K103+M103+O103</f>
        <v>80417</v>
      </c>
      <c r="C103" s="179">
        <f>SUM(C105:C108)</f>
        <v>22389</v>
      </c>
      <c r="D103" s="179">
        <f t="shared" ref="D103:P103" si="23">SUM(D105:D108)</f>
        <v>9323.9700000000012</v>
      </c>
      <c r="E103" s="179">
        <f t="shared" si="23"/>
        <v>20435</v>
      </c>
      <c r="F103" s="179">
        <f t="shared" si="23"/>
        <v>7584.42</v>
      </c>
      <c r="G103" s="179">
        <f t="shared" si="23"/>
        <v>22786</v>
      </c>
      <c r="H103" s="179">
        <f t="shared" si="23"/>
        <v>9202.9750000000004</v>
      </c>
      <c r="I103" s="179">
        <f t="shared" si="23"/>
        <v>4340</v>
      </c>
      <c r="J103" s="179">
        <f t="shared" si="23"/>
        <v>3316.8900000000003</v>
      </c>
      <c r="K103" s="179">
        <f t="shared" si="23"/>
        <v>5421</v>
      </c>
      <c r="L103" s="179">
        <f t="shared" si="23"/>
        <v>3160.2400000000002</v>
      </c>
      <c r="M103" s="179">
        <f t="shared" si="23"/>
        <v>1266</v>
      </c>
      <c r="N103" s="179">
        <f t="shared" si="23"/>
        <v>858.50199999999995</v>
      </c>
      <c r="O103" s="179">
        <f t="shared" si="23"/>
        <v>3780</v>
      </c>
      <c r="P103" s="179">
        <f t="shared" si="23"/>
        <v>976.5</v>
      </c>
      <c r="Q103" s="191" t="s">
        <v>268</v>
      </c>
      <c r="R103" s="192"/>
      <c r="S103" s="192"/>
      <c r="T103" s="125"/>
    </row>
    <row r="104" spans="1:20" ht="11.4" customHeight="1">
      <c r="A104" s="187"/>
      <c r="B104" s="178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91"/>
      <c r="R104" s="192"/>
      <c r="S104" s="192"/>
      <c r="T104" s="125"/>
    </row>
    <row r="105" spans="1:20" ht="11.4" customHeight="1">
      <c r="A105" s="127" t="s">
        <v>158</v>
      </c>
      <c r="B105" s="128">
        <f t="shared" ref="B105:B108" si="24">SUM(C105,E105,G105,I105,K105,M105,O105)</f>
        <v>40490</v>
      </c>
      <c r="C105" s="143">
        <v>16298</v>
      </c>
      <c r="D105" s="144">
        <v>7401.88</v>
      </c>
      <c r="E105" s="144">
        <v>7446</v>
      </c>
      <c r="F105" s="144">
        <v>3315.66</v>
      </c>
      <c r="G105" s="144">
        <v>10420</v>
      </c>
      <c r="H105" s="144">
        <v>4635.8950000000004</v>
      </c>
      <c r="I105" s="144">
        <v>1126</v>
      </c>
      <c r="J105" s="144">
        <v>759.99</v>
      </c>
      <c r="K105" s="144">
        <v>2456</v>
      </c>
      <c r="L105" s="144">
        <v>1102.46</v>
      </c>
      <c r="M105" s="144">
        <v>638</v>
      </c>
      <c r="N105" s="144">
        <v>373.4</v>
      </c>
      <c r="O105" s="144">
        <v>2106</v>
      </c>
      <c r="P105" s="144">
        <v>601.79999999999995</v>
      </c>
      <c r="Q105" s="130" t="s">
        <v>269</v>
      </c>
      <c r="R105" s="125"/>
      <c r="S105" s="125"/>
      <c r="T105" s="125"/>
    </row>
    <row r="106" spans="1:20">
      <c r="A106" s="127" t="s">
        <v>160</v>
      </c>
      <c r="B106" s="128">
        <f t="shared" si="24"/>
        <v>6591</v>
      </c>
      <c r="C106" s="143">
        <v>974</v>
      </c>
      <c r="D106" s="144">
        <v>129.96</v>
      </c>
      <c r="E106" s="144">
        <v>2070</v>
      </c>
      <c r="F106" s="144">
        <v>812.25</v>
      </c>
      <c r="G106" s="144">
        <v>2378</v>
      </c>
      <c r="H106" s="144">
        <v>985.01</v>
      </c>
      <c r="I106" s="144">
        <v>188</v>
      </c>
      <c r="J106" s="144">
        <v>75.5</v>
      </c>
      <c r="K106" s="144">
        <v>651</v>
      </c>
      <c r="L106" s="144">
        <v>243.4</v>
      </c>
      <c r="M106" s="144">
        <v>46</v>
      </c>
      <c r="N106" s="144">
        <v>13.5</v>
      </c>
      <c r="O106" s="144">
        <v>284</v>
      </c>
      <c r="P106" s="144">
        <v>130.1</v>
      </c>
      <c r="Q106" s="130" t="s">
        <v>270</v>
      </c>
      <c r="R106" s="125"/>
      <c r="S106" s="125"/>
      <c r="T106" s="125"/>
    </row>
    <row r="107" spans="1:20">
      <c r="A107" s="127" t="s">
        <v>163</v>
      </c>
      <c r="B107" s="128">
        <f t="shared" si="24"/>
        <v>20590</v>
      </c>
      <c r="C107" s="143">
        <v>3360</v>
      </c>
      <c r="D107" s="144">
        <v>1395.45</v>
      </c>
      <c r="E107" s="144">
        <v>6675</v>
      </c>
      <c r="F107" s="144">
        <v>2621.62</v>
      </c>
      <c r="G107" s="144">
        <v>7176</v>
      </c>
      <c r="H107" s="144">
        <v>2949.44</v>
      </c>
      <c r="I107" s="144">
        <v>1105</v>
      </c>
      <c r="J107" s="144">
        <v>698.5</v>
      </c>
      <c r="K107" s="144">
        <v>837</v>
      </c>
      <c r="L107" s="144">
        <v>509.2</v>
      </c>
      <c r="M107" s="144">
        <v>123</v>
      </c>
      <c r="N107" s="144">
        <v>70.7</v>
      </c>
      <c r="O107" s="144">
        <v>1314</v>
      </c>
      <c r="P107" s="144">
        <v>231.1</v>
      </c>
      <c r="Q107" s="130" t="s">
        <v>271</v>
      </c>
      <c r="R107" s="134"/>
      <c r="S107" s="134"/>
      <c r="T107" s="125"/>
    </row>
    <row r="108" spans="1:20" ht="10.8" thickBot="1">
      <c r="A108" s="135" t="s">
        <v>166</v>
      </c>
      <c r="B108" s="136">
        <f t="shared" si="24"/>
        <v>12746</v>
      </c>
      <c r="C108" s="147">
        <v>1757</v>
      </c>
      <c r="D108" s="148">
        <v>396.68</v>
      </c>
      <c r="E108" s="148">
        <v>4244</v>
      </c>
      <c r="F108" s="148">
        <v>834.89</v>
      </c>
      <c r="G108" s="148">
        <v>2812</v>
      </c>
      <c r="H108" s="148">
        <v>632.63</v>
      </c>
      <c r="I108" s="148">
        <v>1921</v>
      </c>
      <c r="J108" s="148">
        <v>1782.9</v>
      </c>
      <c r="K108" s="148">
        <v>1477</v>
      </c>
      <c r="L108" s="148">
        <v>1305.18</v>
      </c>
      <c r="M108" s="148">
        <v>459</v>
      </c>
      <c r="N108" s="144">
        <v>400.90199999999999</v>
      </c>
      <c r="O108" s="144">
        <v>76</v>
      </c>
      <c r="P108" s="144">
        <v>13.5</v>
      </c>
      <c r="Q108" s="137" t="s">
        <v>272</v>
      </c>
      <c r="R108" s="138"/>
      <c r="S108" s="138"/>
      <c r="T108" s="125"/>
    </row>
    <row r="109" spans="1:20">
      <c r="A109" s="139" t="s">
        <v>273</v>
      </c>
      <c r="L109" s="134" t="s">
        <v>276</v>
      </c>
      <c r="N109" s="142"/>
      <c r="O109" s="142"/>
      <c r="P109" s="142"/>
      <c r="Q109" s="211"/>
      <c r="R109" s="211"/>
      <c r="S109" s="211"/>
    </row>
    <row r="110" spans="1:20">
      <c r="A110" s="140" t="s">
        <v>283</v>
      </c>
      <c r="L110" s="120" t="s">
        <v>281</v>
      </c>
    </row>
    <row r="111" spans="1:20">
      <c r="A111" s="120" t="s">
        <v>284</v>
      </c>
      <c r="L111" s="120" t="s">
        <v>282</v>
      </c>
    </row>
  </sheetData>
  <mergeCells count="249">
    <mergeCell ref="M4:S4"/>
    <mergeCell ref="Q81:S82"/>
    <mergeCell ref="Q88:S89"/>
    <mergeCell ref="Q103:S104"/>
    <mergeCell ref="Q109:S109"/>
    <mergeCell ref="C5:D7"/>
    <mergeCell ref="E5:F7"/>
    <mergeCell ref="Q62:S62"/>
    <mergeCell ref="Q64:S65"/>
    <mergeCell ref="Q71:S72"/>
    <mergeCell ref="Q73:T73"/>
    <mergeCell ref="Q74:T74"/>
    <mergeCell ref="Q75:T75"/>
    <mergeCell ref="D59:D60"/>
    <mergeCell ref="E59:E60"/>
    <mergeCell ref="F59:F60"/>
    <mergeCell ref="G59:G60"/>
    <mergeCell ref="H59:H60"/>
    <mergeCell ref="G38:G39"/>
    <mergeCell ref="H38:H39"/>
    <mergeCell ref="C45:C46"/>
    <mergeCell ref="D45:D46"/>
    <mergeCell ref="E45:E46"/>
    <mergeCell ref="F45:F46"/>
    <mergeCell ref="A2:H3"/>
    <mergeCell ref="I2:S3"/>
    <mergeCell ref="A4:F4"/>
    <mergeCell ref="G5:H7"/>
    <mergeCell ref="Q5:S8"/>
    <mergeCell ref="G81:G82"/>
    <mergeCell ref="H81:H82"/>
    <mergeCell ref="C88:C89"/>
    <mergeCell ref="D88:D89"/>
    <mergeCell ref="E88:E89"/>
    <mergeCell ref="F88:F89"/>
    <mergeCell ref="G88:G89"/>
    <mergeCell ref="H88:H89"/>
    <mergeCell ref="G64:G65"/>
    <mergeCell ref="H64:H65"/>
    <mergeCell ref="C71:C72"/>
    <mergeCell ref="D71:D72"/>
    <mergeCell ref="E71:E72"/>
    <mergeCell ref="F71:F72"/>
    <mergeCell ref="G71:G72"/>
    <mergeCell ref="H71:H72"/>
    <mergeCell ref="G52:G53"/>
    <mergeCell ref="H52:H53"/>
    <mergeCell ref="C59:C60"/>
    <mergeCell ref="N32:N33"/>
    <mergeCell ref="L32:L33"/>
    <mergeCell ref="M11:M12"/>
    <mergeCell ref="N11:N12"/>
    <mergeCell ref="L11:L12"/>
    <mergeCell ref="G45:G46"/>
    <mergeCell ref="H45:H46"/>
    <mergeCell ref="G19:G20"/>
    <mergeCell ref="H19:H20"/>
    <mergeCell ref="G32:G33"/>
    <mergeCell ref="H32:H33"/>
    <mergeCell ref="N19:N20"/>
    <mergeCell ref="Q77:T77"/>
    <mergeCell ref="M71:M72"/>
    <mergeCell ref="N71:N72"/>
    <mergeCell ref="L71:L72"/>
    <mergeCell ref="M59:M60"/>
    <mergeCell ref="N59:N60"/>
    <mergeCell ref="L59:L60"/>
    <mergeCell ref="M45:M46"/>
    <mergeCell ref="N45:N46"/>
    <mergeCell ref="L45:L46"/>
    <mergeCell ref="Q78:T78"/>
    <mergeCell ref="Q79:T79"/>
    <mergeCell ref="Q80:T80"/>
    <mergeCell ref="Q76:T76"/>
    <mergeCell ref="Q38:S39"/>
    <mergeCell ref="Q43:S43"/>
    <mergeCell ref="Q45:S46"/>
    <mergeCell ref="Q52:S53"/>
    <mergeCell ref="O5:P7"/>
    <mergeCell ref="Q9:S10"/>
    <mergeCell ref="Q11:S12"/>
    <mergeCell ref="Q19:S20"/>
    <mergeCell ref="Q32:S33"/>
    <mergeCell ref="O71:O72"/>
    <mergeCell ref="P71:P72"/>
    <mergeCell ref="O59:O60"/>
    <mergeCell ref="P59:P60"/>
    <mergeCell ref="Q59:S60"/>
    <mergeCell ref="O45:O46"/>
    <mergeCell ref="P45:P46"/>
    <mergeCell ref="O32:O33"/>
    <mergeCell ref="P32:P33"/>
    <mergeCell ref="O11:O12"/>
    <mergeCell ref="P11:P12"/>
    <mergeCell ref="C103:C104"/>
    <mergeCell ref="D103:D104"/>
    <mergeCell ref="M103:M104"/>
    <mergeCell ref="N103:N104"/>
    <mergeCell ref="O103:O104"/>
    <mergeCell ref="P103:P104"/>
    <mergeCell ref="A103:A104"/>
    <mergeCell ref="B103:B104"/>
    <mergeCell ref="I103:I104"/>
    <mergeCell ref="J103:J104"/>
    <mergeCell ref="K103:K104"/>
    <mergeCell ref="L103:L104"/>
    <mergeCell ref="E103:E104"/>
    <mergeCell ref="F103:F104"/>
    <mergeCell ref="G103:G104"/>
    <mergeCell ref="H103:H104"/>
    <mergeCell ref="M88:M89"/>
    <mergeCell ref="N88:N89"/>
    <mergeCell ref="O88:O89"/>
    <mergeCell ref="P88:P89"/>
    <mergeCell ref="L88:L89"/>
    <mergeCell ref="A88:A89"/>
    <mergeCell ref="B88:B89"/>
    <mergeCell ref="I88:I89"/>
    <mergeCell ref="J88:J89"/>
    <mergeCell ref="K88:K89"/>
    <mergeCell ref="M81:M82"/>
    <mergeCell ref="N81:N82"/>
    <mergeCell ref="O81:O82"/>
    <mergeCell ref="P81:P82"/>
    <mergeCell ref="A81:A82"/>
    <mergeCell ref="B81:B82"/>
    <mergeCell ref="I81:I82"/>
    <mergeCell ref="J81:J82"/>
    <mergeCell ref="K81:K82"/>
    <mergeCell ref="L81:L82"/>
    <mergeCell ref="C81:C82"/>
    <mergeCell ref="D81:D82"/>
    <mergeCell ref="E81:E82"/>
    <mergeCell ref="F81:F82"/>
    <mergeCell ref="A71:A72"/>
    <mergeCell ref="B71:B72"/>
    <mergeCell ref="I71:I72"/>
    <mergeCell ref="J71:J72"/>
    <mergeCell ref="K71:K72"/>
    <mergeCell ref="M64:M65"/>
    <mergeCell ref="N64:N65"/>
    <mergeCell ref="O64:O65"/>
    <mergeCell ref="P64:P65"/>
    <mergeCell ref="A64:A65"/>
    <mergeCell ref="B64:B65"/>
    <mergeCell ref="I64:I65"/>
    <mergeCell ref="J64:J65"/>
    <mergeCell ref="K64:K65"/>
    <mergeCell ref="L64:L65"/>
    <mergeCell ref="C64:C65"/>
    <mergeCell ref="D64:D65"/>
    <mergeCell ref="E64:E65"/>
    <mergeCell ref="F64:F65"/>
    <mergeCell ref="A59:A60"/>
    <mergeCell ref="B59:B60"/>
    <mergeCell ref="I59:I60"/>
    <mergeCell ref="J59:J60"/>
    <mergeCell ref="K59:K60"/>
    <mergeCell ref="M52:M53"/>
    <mergeCell ref="N52:N53"/>
    <mergeCell ref="O52:O53"/>
    <mergeCell ref="P52:P53"/>
    <mergeCell ref="A52:A53"/>
    <mergeCell ref="B52:B53"/>
    <mergeCell ref="I52:I53"/>
    <mergeCell ref="J52:J53"/>
    <mergeCell ref="K52:K53"/>
    <mergeCell ref="L52:L53"/>
    <mergeCell ref="C52:C53"/>
    <mergeCell ref="D52:D53"/>
    <mergeCell ref="E52:E53"/>
    <mergeCell ref="F52:F53"/>
    <mergeCell ref="A45:A46"/>
    <mergeCell ref="B45:B46"/>
    <mergeCell ref="I45:I46"/>
    <mergeCell ref="J45:J46"/>
    <mergeCell ref="K45:K46"/>
    <mergeCell ref="M38:M39"/>
    <mergeCell ref="N38:N39"/>
    <mergeCell ref="O38:O39"/>
    <mergeCell ref="P38:P39"/>
    <mergeCell ref="A38:A39"/>
    <mergeCell ref="B38:B39"/>
    <mergeCell ref="I38:I39"/>
    <mergeCell ref="J38:J39"/>
    <mergeCell ref="K38:K39"/>
    <mergeCell ref="L38:L39"/>
    <mergeCell ref="C38:C39"/>
    <mergeCell ref="D38:D39"/>
    <mergeCell ref="E38:E39"/>
    <mergeCell ref="F38:F39"/>
    <mergeCell ref="O19:O20"/>
    <mergeCell ref="P19:P20"/>
    <mergeCell ref="A19:A20"/>
    <mergeCell ref="B19:B20"/>
    <mergeCell ref="I19:I20"/>
    <mergeCell ref="J19:J20"/>
    <mergeCell ref="K19:K20"/>
    <mergeCell ref="L19:L20"/>
    <mergeCell ref="C19:C20"/>
    <mergeCell ref="D19:D20"/>
    <mergeCell ref="E19:E20"/>
    <mergeCell ref="F19:F20"/>
    <mergeCell ref="D9:D10"/>
    <mergeCell ref="E9:E10"/>
    <mergeCell ref="F9:F10"/>
    <mergeCell ref="A32:A33"/>
    <mergeCell ref="B32:B33"/>
    <mergeCell ref="I32:I33"/>
    <mergeCell ref="J32:J33"/>
    <mergeCell ref="K32:K33"/>
    <mergeCell ref="M19:M20"/>
    <mergeCell ref="G9:G10"/>
    <mergeCell ref="H9:H10"/>
    <mergeCell ref="C11:C12"/>
    <mergeCell ref="D11:D12"/>
    <mergeCell ref="E11:E12"/>
    <mergeCell ref="F11:F12"/>
    <mergeCell ref="G11:G12"/>
    <mergeCell ref="H11:H12"/>
    <mergeCell ref="M32:M33"/>
    <mergeCell ref="C32:C33"/>
    <mergeCell ref="D32:D33"/>
    <mergeCell ref="E32:E33"/>
    <mergeCell ref="F32:F33"/>
    <mergeCell ref="I7:J7"/>
    <mergeCell ref="K7:L7"/>
    <mergeCell ref="M5:N7"/>
    <mergeCell ref="A5:A8"/>
    <mergeCell ref="B5:B8"/>
    <mergeCell ref="I5:L6"/>
    <mergeCell ref="A1:H1"/>
    <mergeCell ref="I1:S1"/>
    <mergeCell ref="A11:A12"/>
    <mergeCell ref="B11:B12"/>
    <mergeCell ref="I11:I12"/>
    <mergeCell ref="J11:J12"/>
    <mergeCell ref="K11:K12"/>
    <mergeCell ref="M9:M10"/>
    <mergeCell ref="N9:N10"/>
    <mergeCell ref="O9:O10"/>
    <mergeCell ref="P9:P10"/>
    <mergeCell ref="A9:A10"/>
    <mergeCell ref="B9:B10"/>
    <mergeCell ref="I9:I10"/>
    <mergeCell ref="J9:J10"/>
    <mergeCell ref="K9:K10"/>
    <mergeCell ref="L9:L10"/>
    <mergeCell ref="C9:C10"/>
  </mergeCells>
  <pageMargins left="0.7" right="0.7" top="0.75" bottom="0.75" header="0.3" footer="0.3"/>
  <pageSetup paperSize="9" orientation="portrait" horizontalDpi="200" verticalDpi="200" r:id="rId1"/>
  <ignoredErrors>
    <ignoredError sqref="C19:C20 C32:C33 C38:C39 C45:C46 C52:C53 C59:C60 C64:C65 C71:C72 C81:C82 C88:C89 B12 B10 B11 B14:B108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8" sqref="C8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ListOfValues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2015-05-06T10:25:36Z</cp:lastPrinted>
  <dcterms:created xsi:type="dcterms:W3CDTF">2015-05-05T09:33:52Z</dcterms:created>
  <dcterms:modified xsi:type="dcterms:W3CDTF">2016-09-02T07:47:13Z</dcterms:modified>
</cp:coreProperties>
</file>