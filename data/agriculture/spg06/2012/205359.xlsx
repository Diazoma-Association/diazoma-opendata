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52" windowWidth="14856" windowHeight="5760" activeTab="1"/>
  </bookViews>
  <sheets>
    <sheet name="ListOfRegions" sheetId="2" r:id="rId1"/>
    <sheet name="ΠΙΝΑΚΑΣ 2(στ)" sheetId="1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0" i="1"/>
  <c r="B107"/>
  <c r="B106"/>
  <c r="B105"/>
  <c r="B104"/>
  <c r="H102"/>
  <c r="G102"/>
  <c r="F102"/>
  <c r="E102"/>
  <c r="D102"/>
  <c r="C102"/>
  <c r="B102" s="1"/>
  <c r="B101"/>
  <c r="B100"/>
  <c r="B99"/>
  <c r="B98"/>
  <c r="B97"/>
  <c r="B96"/>
  <c r="B95"/>
  <c r="B94"/>
  <c r="B93"/>
  <c r="B92"/>
  <c r="B91"/>
  <c r="B90"/>
  <c r="B89"/>
  <c r="H87"/>
  <c r="G87"/>
  <c r="F87"/>
  <c r="E87"/>
  <c r="D87"/>
  <c r="C87"/>
  <c r="B87" s="1"/>
  <c r="B86"/>
  <c r="B85"/>
  <c r="B84"/>
  <c r="B83"/>
  <c r="B82"/>
  <c r="H80"/>
  <c r="G80"/>
  <c r="F80"/>
  <c r="E80"/>
  <c r="D80"/>
  <c r="C80"/>
  <c r="B80" s="1"/>
  <c r="B79"/>
  <c r="B78"/>
  <c r="B77"/>
  <c r="B76"/>
  <c r="B75"/>
  <c r="B74"/>
  <c r="B73"/>
  <c r="B72"/>
  <c r="H70"/>
  <c r="G70"/>
  <c r="F70"/>
  <c r="E70"/>
  <c r="D70"/>
  <c r="C70"/>
  <c r="B70" s="1"/>
  <c r="B69"/>
  <c r="B68"/>
  <c r="B67"/>
  <c r="B66"/>
  <c r="B65"/>
  <c r="H63"/>
  <c r="G63"/>
  <c r="F63"/>
  <c r="E63"/>
  <c r="D63"/>
  <c r="C63"/>
  <c r="B63" s="1"/>
  <c r="B62"/>
  <c r="B61"/>
  <c r="B60"/>
  <c r="H58"/>
  <c r="G58"/>
  <c r="F58"/>
  <c r="E58"/>
  <c r="D58"/>
  <c r="C58"/>
  <c r="B58" s="1"/>
  <c r="B57"/>
  <c r="B56"/>
  <c r="B55"/>
  <c r="B54"/>
  <c r="B53"/>
  <c r="H51"/>
  <c r="G51"/>
  <c r="F51"/>
  <c r="E51"/>
  <c r="D51"/>
  <c r="C51"/>
  <c r="B51" s="1"/>
  <c r="B50"/>
  <c r="B49"/>
  <c r="B48"/>
  <c r="B47"/>
  <c r="B46"/>
  <c r="H44"/>
  <c r="H8" s="1"/>
  <c r="G44"/>
  <c r="F44"/>
  <c r="E44"/>
  <c r="D44"/>
  <c r="C44"/>
  <c r="B44" s="1"/>
  <c r="B43"/>
  <c r="B42"/>
  <c r="B41"/>
  <c r="B40"/>
  <c r="B39"/>
  <c r="H37"/>
  <c r="G37"/>
  <c r="F37"/>
  <c r="E37"/>
  <c r="D37"/>
  <c r="C37"/>
  <c r="B37" s="1"/>
  <c r="B36"/>
  <c r="B35"/>
  <c r="B34"/>
  <c r="B33"/>
  <c r="H31"/>
  <c r="G31"/>
  <c r="F31"/>
  <c r="E31"/>
  <c r="D31"/>
  <c r="C31"/>
  <c r="B31" s="1"/>
  <c r="B30"/>
  <c r="B29"/>
  <c r="B28"/>
  <c r="B27"/>
  <c r="B26"/>
  <c r="B25"/>
  <c r="B24"/>
  <c r="B23"/>
  <c r="B22"/>
  <c r="B21"/>
  <c r="H18"/>
  <c r="G18"/>
  <c r="F18"/>
  <c r="E18"/>
  <c r="D18"/>
  <c r="C18"/>
  <c r="B18" s="1"/>
  <c r="B17"/>
  <c r="B16"/>
  <c r="B15"/>
  <c r="B14"/>
  <c r="B13"/>
  <c r="B12"/>
  <c r="H10"/>
  <c r="G10"/>
  <c r="G8" s="1"/>
  <c r="F10"/>
  <c r="E10"/>
  <c r="E8" s="1"/>
  <c r="D10"/>
  <c r="C10"/>
  <c r="C8" s="1"/>
  <c r="D8" l="1"/>
  <c r="F8"/>
  <c r="B10"/>
  <c r="B8" s="1"/>
</calcChain>
</file>

<file path=xl/sharedStrings.xml><?xml version="1.0" encoding="utf-8"?>
<sst xmlns="http://schemas.openxmlformats.org/spreadsheetml/2006/main" count="598" uniqueCount="291">
  <si>
    <t>Εκτάσεις σε στρέμματα, παραγωγή σε τόνους</t>
  </si>
  <si>
    <t>Περιφέρειες και Περιφερειακές Ενότητες</t>
  </si>
  <si>
    <t xml:space="preserve">    Σύνολο     Εκτάσεων  Total Area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</si>
  <si>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</si>
  <si>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</si>
  <si>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</si>
  <si>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</si>
  <si>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</si>
  <si>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</si>
  <si>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</si>
  <si>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</si>
  <si>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</si>
  <si>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</si>
  <si>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</si>
  <si>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</si>
  <si>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</si>
  <si>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</si>
  <si>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</si>
  <si>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</si>
  <si>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</si>
  <si>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</si>
  <si>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</si>
  <si>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</si>
  <si>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</si>
  <si>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</si>
  <si>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</si>
  <si>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</si>
  <si>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</si>
  <si>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</si>
  <si>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</si>
  <si>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</si>
  <si>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</si>
  <si>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</si>
  <si>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</si>
  <si>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</si>
  <si>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</si>
  <si>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</si>
  <si>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</si>
  <si>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</si>
  <si>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</si>
  <si>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</si>
  <si>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</si>
  <si>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</si>
  <si>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</si>
  <si>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</si>
  <si>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</si>
  <si>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</si>
  <si>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</si>
  <si>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</si>
  <si>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</si>
  <si>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</si>
  <si>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</si>
  <si>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</si>
  <si>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</si>
  <si>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</si>
  <si>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</si>
  <si>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</si>
  <si>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</si>
  <si>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</si>
  <si>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</si>
  <si>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</si>
  <si>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</si>
  <si>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</si>
  <si>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</si>
  <si>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</si>
  <si>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</si>
  <si>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</si>
  <si>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</si>
  <si>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</si>
  <si>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</si>
  <si>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</si>
  <si>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</si>
  <si>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</si>
  <si>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</si>
  <si>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</si>
  <si>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</si>
  <si>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</si>
  <si>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</si>
  <si>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</si>
  <si>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</si>
  <si>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</si>
  <si>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</si>
  <si>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</si>
  <si>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</si>
  <si>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</si>
  <si>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</si>
  <si>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</si>
  <si>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</si>
  <si>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</si>
  <si>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</si>
  <si>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1=εκτάσεις,  2=παραγωγή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</si>
  <si>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</si>
  <si>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</si>
  <si>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</si>
  <si>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</si>
  <si>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</si>
  <si>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</si>
  <si>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</si>
  <si>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</si>
  <si>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</si>
  <si>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</si>
  <si>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</si>
  <si>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</si>
  <si>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</si>
  <si>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</si>
  <si>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</si>
  <si>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</si>
  <si>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</si>
  <si>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</si>
  <si>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</si>
  <si>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</si>
  <si>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</si>
  <si>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</si>
  <si>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</si>
  <si>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</si>
  <si>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</si>
  <si>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</si>
  <si>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</si>
  <si>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</si>
  <si>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</si>
  <si>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</si>
  <si>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</si>
  <si>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</si>
  <si>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</si>
  <si>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</si>
  <si>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</si>
  <si>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</si>
  <si>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</si>
  <si>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</si>
  <si>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</si>
  <si>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</si>
  <si>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</si>
  <si>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</si>
  <si>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</si>
  <si>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</si>
  <si>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</si>
  <si>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</si>
  <si>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</si>
  <si>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</si>
  <si>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</si>
  <si>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</si>
  <si>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</si>
  <si>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</si>
  <si>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</si>
  <si>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</si>
  <si>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</si>
  <si>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</si>
  <si>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</si>
  <si>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</si>
  <si>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</si>
  <si>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</si>
  <si>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</si>
  <si>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</si>
  <si>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</si>
  <si>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</si>
  <si>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</si>
  <si>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</si>
  <si>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</si>
  <si>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</si>
  <si>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</si>
  <si>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</si>
  <si>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</si>
  <si>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</si>
  <si>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</si>
  <si>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</si>
  <si>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</si>
  <si>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</si>
  <si>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</si>
  <si>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</si>
  <si>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</si>
  <si>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</si>
  <si>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</si>
  <si>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</si>
  <si>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</si>
  <si>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</si>
  <si>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</si>
  <si>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</si>
  <si>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</si>
  <si>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</si>
  <si>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</si>
  <si>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</si>
  <si>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</si>
  <si>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</si>
  <si>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</si>
  <si>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</si>
  <si>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Αραβόσιτος χλωρός Maize</t>
  </si>
  <si>
    <t>Σόργο            Sorghum</t>
  </si>
  <si>
    <t>Τεύτλα κτηνοτροφικά Mangolds</t>
  </si>
  <si>
    <t>Areas in stremmas, production in tons</t>
  </si>
  <si>
    <t>1=areas  2=production</t>
  </si>
  <si>
    <t>01</t>
  </si>
  <si>
    <t>ΑΠΟΚΕΝΤΡΩΜΕΝΗ ΔΙΟΙΚΗΣΗ ΜΑΚΕΔΟΝΙΑΣ - ΘΡΑΚΗΣ</t>
  </si>
  <si>
    <t>02</t>
  </si>
  <si>
    <t>03</t>
  </si>
  <si>
    <t>ΠΕΡΙΦΕΡΕΙΑ ΑΝΑΤΟΛΙΚΗΣ ΜΑΚΕΔΟΝΙΑΣ</t>
  </si>
  <si>
    <t>04</t>
  </si>
  <si>
    <t>ΚΑΙ ΘΡΑΚΗΣ</t>
  </si>
  <si>
    <t>05</t>
  </si>
  <si>
    <t>06</t>
  </si>
  <si>
    <t>07</t>
  </si>
  <si>
    <t>08</t>
  </si>
  <si>
    <t>09</t>
  </si>
  <si>
    <t>10</t>
  </si>
  <si>
    <t>11</t>
  </si>
  <si>
    <t>ΠΕΡΙΦΕΡΕΙΑ ΚΕΝΤΡΙΚΗΣ ΜΑΚΕΔΟΝΙΑΣ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</si>
  <si>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</si>
  <si>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</si>
  <si>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</si>
  <si>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</si>
  <si>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</si>
  <si>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</si>
  <si>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</si>
  <si>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</si>
  <si>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</si>
  <si>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ΠΕΡΙΦΕΡΕΙΑ ΗΠΕΙΡΟΥ</t>
  </si>
  <si>
    <t>21</t>
  </si>
  <si>
    <t>22</t>
  </si>
  <si>
    <t>ΑΠΟΚΕΝΤΡΩΜΕΝΗ ΔΙΟΙΚΗΣΗ ΘΕΣΣΑΛΙΑΣ - ΣΤΕΡΕΑΣ ΕΛΛΑΔΑΣ</t>
  </si>
  <si>
    <t>23</t>
  </si>
  <si>
    <t>24</t>
  </si>
  <si>
    <t>ΠΕΡΙΦΕΡΕΙΑ ΘΕΣΣΑΛΙΑΣ</t>
  </si>
  <si>
    <t>25</t>
  </si>
  <si>
    <t>26</t>
  </si>
  <si>
    <t>27</t>
  </si>
  <si>
    <t>28</t>
  </si>
  <si>
    <t>29</t>
  </si>
  <si>
    <t>ΠΕΡΙΦΕΡΕΙΑ ΣΤΕΡΕΑΣ ΕΛΛΑΔΑΣ</t>
  </si>
  <si>
    <t>30</t>
  </si>
  <si>
    <t>31</t>
  </si>
  <si>
    <t>32</t>
  </si>
  <si>
    <t>ΑΠΟΚΕΝΤΡΩΜΕΝΗ ΔΙΟΙΚΗΣΗ ΠΕΛΟΠΟΝΝΗΣΟΥ, ΔΥΤΙΚΗΣ ΕΛΛΑΔΑΣ ΚΑΙ ΙΟΝΙΟΥ</t>
  </si>
  <si>
    <t>33</t>
  </si>
  <si>
    <t>34</t>
  </si>
  <si>
    <t>ΠΕΡΙΦΕΡΕΙΑ ΙΟΝΙΩΝ ΝΗΣΩΝ</t>
  </si>
  <si>
    <t>35</t>
  </si>
  <si>
    <t>36</t>
  </si>
  <si>
    <t>37</t>
  </si>
  <si>
    <t>38</t>
  </si>
  <si>
    <t>ΠΕΡΙΦΕΡΕΙΑ ΔΥΤΙΚΗΣ ΕΛΛΑΔΑΣ</t>
  </si>
  <si>
    <t>39</t>
  </si>
  <si>
    <t>40</t>
  </si>
  <si>
    <t>41</t>
  </si>
  <si>
    <t>42</t>
  </si>
  <si>
    <t>ΠΕΡΙΦΕΡΕΙΑ ΠΕΛΟΠΟΝΝΗΣΟΥ</t>
  </si>
  <si>
    <t>43</t>
  </si>
  <si>
    <t>44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</si>
  <si>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</si>
  <si>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</si>
  <si>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</si>
  <si>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</si>
  <si>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</si>
  <si>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</si>
  <si>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>48</t>
  </si>
  <si>
    <t>49</t>
  </si>
  <si>
    <t>ΠΕΡΙΦΕΡΕΙΑ ΑΤΤΙΚΗΣ</t>
  </si>
  <si>
    <t>50</t>
  </si>
  <si>
    <t>51</t>
  </si>
  <si>
    <t>52</t>
  </si>
  <si>
    <t>53</t>
  </si>
  <si>
    <t>ΑΠΟΚΕΝΤΡΩΜΕΝΗ ΔΙΟΙΚΗΣΗ ΑΙΓΑΙΟΥ</t>
  </si>
  <si>
    <t>54</t>
  </si>
  <si>
    <t>55</t>
  </si>
  <si>
    <t>ΠΕΡΙΦΕΡΕΙΑ ΒΟΡΕΙΟΥ ΑΙΓΑΙΟΥ</t>
  </si>
  <si>
    <t>56</t>
  </si>
  <si>
    <t>57</t>
  </si>
  <si>
    <t>58</t>
  </si>
  <si>
    <t>59</t>
  </si>
  <si>
    <t>60</t>
  </si>
  <si>
    <t>61</t>
  </si>
  <si>
    <t>62</t>
  </si>
  <si>
    <t>63</t>
  </si>
  <si>
    <t>ΠΕΡΙΦΕΡΕΙΑ ΝΟΤΙΟΥ ΑΙΓΑΙΟΥ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</si>
  <si>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</si>
  <si>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</si>
  <si>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</si>
  <si>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</si>
  <si>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</si>
  <si>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</si>
  <si>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</si>
  <si>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</si>
  <si>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</si>
  <si>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ΑΠΟΚΕΝΤΡΩΜΕΝΗ ΔΙΟΙΚΗΣΗ ΚΡΗΤΗΣ</t>
  </si>
  <si>
    <t>73</t>
  </si>
  <si>
    <t>ΠΕΡΙΦΕΡΕΙΑ ΚΡΗΤΗΣ</t>
  </si>
  <si>
    <t>74</t>
  </si>
  <si>
    <t>99</t>
  </si>
  <si>
    <t xml:space="preserve">  Αγίου Όρους</t>
  </si>
  <si>
    <t>ΑΓΙΟ ΟΡΟΣ (ΑΥΤΟΔΙΟΙΚΗΤΟ)</t>
  </si>
  <si>
    <t>—</t>
  </si>
  <si>
    <t>Πίνακας 2στ. Κτηνοτροφικά φυτά για χλωρό χόρτο και ριζώματα. Εκτάσεις και παραγωγή, κατά Περιφέρεια και Περιφερειακή Ενότητα:  2012.</t>
  </si>
  <si>
    <t>Table 2f. Fodder plants for grass. Areas and production, by Region and Regional Unity: 2012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</si>
</sst>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61"/>
      <scheme val="minor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theme="1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9">
    <xf numFmtId="0" fontId="0" fillId="0" borderId="0" xfId="0"/>
    <xf numFmtId="0" fontId="2" fillId="0" borderId="1" xfId="0" applyNumberFormat="1" applyFont="1" applyFill="1" applyBorder="1" applyAlignment="1" applyProtection="1">
      <protection locked="0"/>
    </xf>
    <xf numFmtId="0" fontId="4" fillId="0" borderId="16" xfId="0" applyFont="1" applyBorder="1" applyAlignment="1" applyProtection="1">
      <alignment horizont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left" wrapText="1" indent="1"/>
      <protection locked="0"/>
    </xf>
    <xf numFmtId="3" fontId="3" fillId="0" borderId="10" xfId="0" applyNumberFormat="1" applyFont="1" applyBorder="1" applyAlignment="1" applyProtection="1">
      <alignment horizontal="right" vertical="center"/>
      <protection locked="0"/>
    </xf>
    <xf numFmtId="3" fontId="2" fillId="0" borderId="21" xfId="0" applyNumberFormat="1" applyFont="1" applyFill="1" applyBorder="1" applyAlignment="1" applyProtection="1">
      <alignment horizontal="right"/>
    </xf>
    <xf numFmtId="3" fontId="2" fillId="0" borderId="9" xfId="0" applyNumberFormat="1" applyFont="1" applyFill="1" applyBorder="1" applyAlignment="1" applyProtection="1">
      <alignment horizontal="right"/>
    </xf>
    <xf numFmtId="3" fontId="2" fillId="0" borderId="21" xfId="0" quotePrefix="1" applyNumberFormat="1" applyFont="1" applyFill="1" applyBorder="1" applyAlignment="1" applyProtection="1">
      <alignment horizontal="right"/>
    </xf>
    <xf numFmtId="3" fontId="2" fillId="0" borderId="9" xfId="0" quotePrefix="1" applyNumberFormat="1" applyFont="1" applyFill="1" applyBorder="1" applyAlignment="1" applyProtection="1">
      <alignment horizontal="right"/>
    </xf>
    <xf numFmtId="49" fontId="3" fillId="0" borderId="1" xfId="0" applyNumberFormat="1" applyFont="1" applyBorder="1" applyAlignment="1" applyProtection="1">
      <alignment horizontal="left" wrapText="1" indent="1"/>
      <protection locked="0"/>
    </xf>
    <xf numFmtId="3" fontId="3" fillId="0" borderId="22" xfId="0" applyNumberFormat="1" applyFont="1" applyBorder="1" applyAlignment="1" applyProtection="1">
      <alignment horizontal="right" vertical="center"/>
      <protection locked="0"/>
    </xf>
    <xf numFmtId="3" fontId="2" fillId="0" borderId="23" xfId="0" applyNumberFormat="1" applyFont="1" applyFill="1" applyBorder="1" applyAlignment="1" applyProtection="1">
      <alignment horizontal="right"/>
    </xf>
    <xf numFmtId="3" fontId="2" fillId="0" borderId="24" xfId="0" applyNumberFormat="1" applyFont="1" applyFill="1" applyBorder="1" applyAlignment="1" applyProtection="1">
      <alignment horizontal="right"/>
    </xf>
    <xf numFmtId="0" fontId="3" fillId="0" borderId="0" xfId="0" applyFont="1" applyProtection="1"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Alignment="1" applyProtection="1">
      <protection locked="0"/>
    </xf>
    <xf numFmtId="0" fontId="3" fillId="0" borderId="0" xfId="0" applyFont="1" applyAlignment="1" applyProtection="1">
      <alignment horizontal="left" indent="1"/>
      <protection locked="0"/>
    </xf>
    <xf numFmtId="0" fontId="6" fillId="0" borderId="0" xfId="0" applyFont="1" applyAlignment="1" applyProtection="1">
      <protection locked="0"/>
    </xf>
    <xf numFmtId="0" fontId="3" fillId="0" borderId="0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 indent="1"/>
      <protection locked="0"/>
    </xf>
    <xf numFmtId="0" fontId="3" fillId="0" borderId="1" xfId="0" applyFont="1" applyBorder="1" applyAlignment="1" applyProtection="1">
      <protection locked="0"/>
    </xf>
    <xf numFmtId="49" fontId="7" fillId="0" borderId="0" xfId="0" applyNumberFormat="1" applyFont="1" applyBorder="1" applyAlignment="1" applyProtection="1">
      <alignment horizontal="left" vertical="center" wrapText="1" indent="2"/>
      <protection locked="0"/>
    </xf>
    <xf numFmtId="0" fontId="5" fillId="0" borderId="0" xfId="0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wrapText="1"/>
      <protection locked="0"/>
    </xf>
    <xf numFmtId="0" fontId="3" fillId="0" borderId="0" xfId="0" applyFont="1" applyBorder="1" applyAlignment="1" applyProtection="1">
      <alignment wrapText="1"/>
      <protection locked="0"/>
    </xf>
    <xf numFmtId="0" fontId="2" fillId="0" borderId="0" xfId="0" applyNumberFormat="1" applyFont="1" applyFill="1" applyBorder="1" applyAlignment="1" applyProtection="1">
      <alignment vertical="center" wrapText="1"/>
      <protection locked="0"/>
    </xf>
    <xf numFmtId="0" fontId="3" fillId="0" borderId="0" xfId="0" applyFont="1" applyBorder="1" applyAlignment="1" applyProtection="1">
      <alignment horizontal="left" indent="1"/>
      <protection locked="0"/>
    </xf>
    <xf numFmtId="0" fontId="2" fillId="0" borderId="0" xfId="0" applyNumberFormat="1" applyFont="1" applyFill="1" applyBorder="1" applyAlignment="1" applyProtection="1">
      <protection locked="0"/>
    </xf>
    <xf numFmtId="0" fontId="3" fillId="0" borderId="0" xfId="0" applyFont="1" applyBorder="1" applyAlignment="1" applyProtection="1">
      <alignment vertical="center"/>
      <protection locked="0"/>
    </xf>
    <xf numFmtId="3" fontId="2" fillId="0" borderId="24" xfId="0" quotePrefix="1" applyNumberFormat="1" applyFont="1" applyFill="1" applyBorder="1" applyAlignment="1" applyProtection="1">
      <alignment horizontal="right"/>
    </xf>
    <xf numFmtId="49" fontId="8" fillId="2" borderId="27" xfId="0" applyNumberFormat="1" applyFont="1" applyFill="1" applyBorder="1"/>
    <xf numFmtId="49" fontId="8" fillId="2" borderId="26" xfId="0" applyNumberFormat="1" applyFont="1" applyFill="1" applyBorder="1" applyAlignment="1">
      <alignment horizontal="left"/>
    </xf>
    <xf numFmtId="0" fontId="9" fillId="2" borderId="26" xfId="0" applyNumberFormat="1" applyFont="1" applyFill="1" applyBorder="1" applyAlignment="1" applyProtection="1"/>
    <xf numFmtId="49" fontId="10" fillId="2" borderId="0" xfId="0" applyNumberFormat="1" applyFont="1" applyFill="1" applyBorder="1" applyAlignment="1">
      <alignment horizontal="centerContinuous" vertical="center" wrapText="1"/>
    </xf>
    <xf numFmtId="49" fontId="10" fillId="2" borderId="26" xfId="0" applyNumberFormat="1" applyFont="1" applyFill="1" applyBorder="1" applyAlignment="1">
      <alignment vertical="center" textRotation="90"/>
    </xf>
    <xf numFmtId="0" fontId="9" fillId="2" borderId="2" xfId="0" applyNumberFormat="1" applyFont="1" applyFill="1" applyBorder="1" applyAlignment="1" applyProtection="1"/>
    <xf numFmtId="49" fontId="8" fillId="2" borderId="10" xfId="0" applyNumberFormat="1" applyFont="1" applyFill="1" applyBorder="1"/>
    <xf numFmtId="49" fontId="8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 applyProtection="1"/>
    <xf numFmtId="49" fontId="10" fillId="2" borderId="0" xfId="0" applyNumberFormat="1" applyFont="1" applyFill="1" applyBorder="1" applyAlignment="1">
      <alignment vertical="center" textRotation="90"/>
    </xf>
    <xf numFmtId="0" fontId="9" fillId="2" borderId="6" xfId="0" applyNumberFormat="1" applyFont="1" applyFill="1" applyBorder="1" applyAlignment="1" applyProtection="1"/>
    <xf numFmtId="0" fontId="12" fillId="2" borderId="0" xfId="0" applyNumberFormat="1" applyFont="1" applyFill="1" applyBorder="1" applyAlignment="1" applyProtection="1"/>
    <xf numFmtId="49" fontId="8" fillId="4" borderId="10" xfId="0" applyNumberFormat="1" applyFont="1" applyFill="1" applyBorder="1"/>
    <xf numFmtId="49" fontId="8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 applyProtection="1"/>
    <xf numFmtId="49" fontId="10" fillId="4" borderId="0" xfId="0" applyNumberFormat="1" applyFont="1" applyFill="1" applyBorder="1"/>
    <xf numFmtId="49" fontId="10" fillId="4" borderId="0" xfId="0" applyNumberFormat="1" applyFont="1" applyFill="1" applyBorder="1" applyAlignment="1">
      <alignment vertical="center" textRotation="90"/>
    </xf>
    <xf numFmtId="0" fontId="9" fillId="4" borderId="6" xfId="0" applyNumberFormat="1" applyFont="1" applyFill="1" applyBorder="1" applyAlignment="1" applyProtection="1"/>
    <xf numFmtId="49" fontId="8" fillId="4" borderId="0" xfId="0" applyNumberFormat="1" applyFont="1" applyFill="1" applyBorder="1"/>
    <xf numFmtId="49" fontId="10" fillId="4" borderId="0" xfId="0" applyNumberFormat="1" applyFont="1" applyFill="1" applyBorder="1" applyAlignment="1">
      <alignment horizontal="left"/>
    </xf>
    <xf numFmtId="49" fontId="11" fillId="4" borderId="0" xfId="0" applyNumberFormat="1" applyFont="1" applyFill="1" applyBorder="1"/>
    <xf numFmtId="49" fontId="8" fillId="5" borderId="10" xfId="0" applyNumberFormat="1" applyFont="1" applyFill="1" applyBorder="1"/>
    <xf numFmtId="49" fontId="8" fillId="5" borderId="0" xfId="0" applyNumberFormat="1" applyFont="1" applyFill="1" applyBorder="1"/>
    <xf numFmtId="0" fontId="9" fillId="5" borderId="0" xfId="0" applyNumberFormat="1" applyFont="1" applyFill="1" applyBorder="1" applyAlignment="1" applyProtection="1"/>
    <xf numFmtId="49" fontId="10" fillId="5" borderId="0" xfId="0" applyNumberFormat="1" applyFont="1" applyFill="1" applyBorder="1"/>
    <xf numFmtId="49" fontId="10" fillId="6" borderId="0" xfId="0" applyNumberFormat="1" applyFont="1" applyFill="1" applyBorder="1" applyAlignment="1">
      <alignment vertical="center" textRotation="90"/>
    </xf>
    <xf numFmtId="0" fontId="9" fillId="5" borderId="6" xfId="0" applyNumberFormat="1" applyFont="1" applyFill="1" applyBorder="1" applyAlignment="1" applyProtection="1"/>
    <xf numFmtId="49" fontId="11" fillId="5" borderId="0" xfId="0" applyNumberFormat="1" applyFont="1" applyFill="1" applyBorder="1"/>
    <xf numFmtId="49" fontId="8" fillId="5" borderId="28" xfId="0" applyNumberFormat="1" applyFont="1" applyFill="1" applyBorder="1"/>
    <xf numFmtId="49" fontId="8" fillId="5" borderId="1" xfId="0" applyNumberFormat="1" applyFont="1" applyFill="1" applyBorder="1"/>
    <xf numFmtId="0" fontId="9" fillId="5" borderId="1" xfId="0" applyNumberFormat="1" applyFont="1" applyFill="1" applyBorder="1" applyAlignment="1" applyProtection="1"/>
    <xf numFmtId="49" fontId="10" fillId="6" borderId="1" xfId="0" applyNumberFormat="1" applyFont="1" applyFill="1" applyBorder="1" applyAlignment="1">
      <alignment vertical="center" textRotation="90"/>
    </xf>
    <xf numFmtId="0" fontId="9" fillId="5" borderId="29" xfId="0" applyNumberFormat="1" applyFont="1" applyFill="1" applyBorder="1" applyAlignment="1" applyProtection="1"/>
    <xf numFmtId="49" fontId="8" fillId="7" borderId="27" xfId="0" applyNumberFormat="1" applyFont="1" applyFill="1" applyBorder="1"/>
    <xf numFmtId="49" fontId="8" fillId="7" borderId="26" xfId="0" applyNumberFormat="1" applyFont="1" applyFill="1" applyBorder="1"/>
    <xf numFmtId="0" fontId="9" fillId="7" borderId="26" xfId="0" applyNumberFormat="1" applyFont="1" applyFill="1" applyBorder="1" applyAlignment="1" applyProtection="1"/>
    <xf numFmtId="49" fontId="10" fillId="7" borderId="26" xfId="0" applyNumberFormat="1" applyFont="1" applyFill="1" applyBorder="1"/>
    <xf numFmtId="49" fontId="10" fillId="7" borderId="26" xfId="0" applyNumberFormat="1" applyFont="1" applyFill="1" applyBorder="1" applyAlignment="1">
      <alignment vertical="center" textRotation="90"/>
    </xf>
    <xf numFmtId="0" fontId="9" fillId="7" borderId="2" xfId="0" applyNumberFormat="1" applyFont="1" applyFill="1" applyBorder="1" applyAlignment="1" applyProtection="1"/>
    <xf numFmtId="49" fontId="8" fillId="7" borderId="10" xfId="0" applyNumberFormat="1" applyFont="1" applyFill="1" applyBorder="1"/>
    <xf numFmtId="49" fontId="8" fillId="7" borderId="0" xfId="0" applyNumberFormat="1" applyFont="1" applyFill="1" applyBorder="1"/>
    <xf numFmtId="0" fontId="9" fillId="7" borderId="0" xfId="0" applyNumberFormat="1" applyFont="1" applyFill="1" applyBorder="1" applyAlignment="1" applyProtection="1"/>
    <xf numFmtId="49" fontId="10" fillId="7" borderId="0" xfId="0" applyNumberFormat="1" applyFont="1" applyFill="1" applyBorder="1" applyAlignment="1">
      <alignment vertical="center" textRotation="90"/>
    </xf>
    <xf numFmtId="0" fontId="9" fillId="7" borderId="6" xfId="0" applyNumberFormat="1" applyFont="1" applyFill="1" applyBorder="1" applyAlignment="1" applyProtection="1"/>
    <xf numFmtId="49" fontId="11" fillId="7" borderId="0" xfId="0" applyNumberFormat="1" applyFont="1" applyFill="1" applyBorder="1"/>
    <xf numFmtId="49" fontId="8" fillId="8" borderId="10" xfId="0" applyNumberFormat="1" applyFont="1" applyFill="1" applyBorder="1"/>
    <xf numFmtId="49" fontId="8" fillId="8" borderId="0" xfId="0" applyNumberFormat="1" applyFont="1" applyFill="1" applyBorder="1"/>
    <xf numFmtId="0" fontId="9" fillId="8" borderId="0" xfId="0" applyNumberFormat="1" applyFont="1" applyFill="1" applyBorder="1" applyAlignment="1" applyProtection="1"/>
    <xf numFmtId="49" fontId="10" fillId="8" borderId="0" xfId="0" applyNumberFormat="1" applyFont="1" applyFill="1" applyBorder="1"/>
    <xf numFmtId="49" fontId="10" fillId="8" borderId="0" xfId="0" applyNumberFormat="1" applyFont="1" applyFill="1" applyBorder="1" applyAlignment="1">
      <alignment vertical="center" textRotation="90"/>
    </xf>
    <xf numFmtId="0" fontId="9" fillId="8" borderId="6" xfId="0" applyNumberFormat="1" applyFont="1" applyFill="1" applyBorder="1" applyAlignment="1" applyProtection="1"/>
    <xf numFmtId="49" fontId="11" fillId="8" borderId="0" xfId="0" applyNumberFormat="1" applyFont="1" applyFill="1" applyBorder="1"/>
    <xf numFmtId="49" fontId="8" fillId="8" borderId="28" xfId="0" applyNumberFormat="1" applyFont="1" applyFill="1" applyBorder="1"/>
    <xf numFmtId="49" fontId="8" fillId="8" borderId="1" xfId="0" applyNumberFormat="1" applyFont="1" applyFill="1" applyBorder="1"/>
    <xf numFmtId="0" fontId="9" fillId="8" borderId="1" xfId="0" applyNumberFormat="1" applyFont="1" applyFill="1" applyBorder="1" applyAlignment="1" applyProtection="1"/>
    <xf numFmtId="49" fontId="10" fillId="8" borderId="1" xfId="0" applyNumberFormat="1" applyFont="1" applyFill="1" applyBorder="1" applyAlignment="1">
      <alignment vertical="center" textRotation="90"/>
    </xf>
    <xf numFmtId="0" fontId="9" fillId="8" borderId="29" xfId="0" applyNumberFormat="1" applyFont="1" applyFill="1" applyBorder="1" applyAlignment="1" applyProtection="1"/>
    <xf numFmtId="49" fontId="8" fillId="9" borderId="27" xfId="0" applyNumberFormat="1" applyFont="1" applyFill="1" applyBorder="1"/>
    <xf numFmtId="49" fontId="8" fillId="9" borderId="26" xfId="0" applyNumberFormat="1" applyFont="1" applyFill="1" applyBorder="1"/>
    <xf numFmtId="0" fontId="9" fillId="9" borderId="26" xfId="0" applyNumberFormat="1" applyFont="1" applyFill="1" applyBorder="1" applyAlignment="1" applyProtection="1"/>
    <xf numFmtId="49" fontId="10" fillId="9" borderId="26" xfId="0" applyNumberFormat="1" applyFont="1" applyFill="1" applyBorder="1"/>
    <xf numFmtId="0" fontId="12" fillId="9" borderId="26" xfId="0" applyNumberFormat="1" applyFont="1" applyFill="1" applyBorder="1" applyAlignment="1" applyProtection="1"/>
    <xf numFmtId="49" fontId="10" fillId="9" borderId="26" xfId="0" applyNumberFormat="1" applyFont="1" applyFill="1" applyBorder="1" applyAlignment="1">
      <alignment vertical="center" textRotation="90"/>
    </xf>
    <xf numFmtId="0" fontId="12" fillId="9" borderId="2" xfId="0" applyNumberFormat="1" applyFont="1" applyFill="1" applyBorder="1" applyAlignment="1" applyProtection="1"/>
    <xf numFmtId="49" fontId="8" fillId="9" borderId="10" xfId="0" applyNumberFormat="1" applyFont="1" applyFill="1" applyBorder="1"/>
    <xf numFmtId="49" fontId="8" fillId="9" borderId="0" xfId="0" applyNumberFormat="1" applyFont="1" applyFill="1" applyBorder="1"/>
    <xf numFmtId="0" fontId="9" fillId="9" borderId="0" xfId="0" applyNumberFormat="1" applyFont="1" applyFill="1" applyBorder="1" applyAlignment="1" applyProtection="1"/>
    <xf numFmtId="49" fontId="10" fillId="9" borderId="0" xfId="0" applyNumberFormat="1" applyFont="1" applyFill="1" applyBorder="1" applyAlignment="1">
      <alignment vertical="center" textRotation="90"/>
    </xf>
    <xf numFmtId="0" fontId="9" fillId="9" borderId="6" xfId="0" applyNumberFormat="1" applyFont="1" applyFill="1" applyBorder="1" applyAlignment="1" applyProtection="1"/>
    <xf numFmtId="49" fontId="11" fillId="9" borderId="0" xfId="0" applyNumberFormat="1" applyFont="1" applyFill="1" applyBorder="1"/>
    <xf numFmtId="49" fontId="8" fillId="11" borderId="10" xfId="0" applyNumberFormat="1" applyFont="1" applyFill="1" applyBorder="1"/>
    <xf numFmtId="49" fontId="8" fillId="11" borderId="0" xfId="0" applyNumberFormat="1" applyFont="1" applyFill="1" applyBorder="1"/>
    <xf numFmtId="0" fontId="9" fillId="11" borderId="0" xfId="0" applyNumberFormat="1" applyFont="1" applyFill="1" applyBorder="1" applyAlignment="1" applyProtection="1"/>
    <xf numFmtId="49" fontId="10" fillId="11" borderId="0" xfId="0" applyNumberFormat="1" applyFont="1" applyFill="1" applyBorder="1"/>
    <xf numFmtId="49" fontId="10" fillId="11" borderId="0" xfId="0" applyNumberFormat="1" applyFont="1" applyFill="1" applyBorder="1" applyAlignment="1">
      <alignment vertical="center" textRotation="90"/>
    </xf>
    <xf numFmtId="0" fontId="9" fillId="11" borderId="6" xfId="0" applyNumberFormat="1" applyFont="1" applyFill="1" applyBorder="1" applyAlignment="1" applyProtection="1"/>
    <xf numFmtId="49" fontId="11" fillId="11" borderId="0" xfId="0" applyNumberFormat="1" applyFont="1" applyFill="1" applyBorder="1"/>
    <xf numFmtId="49" fontId="8" fillId="12" borderId="10" xfId="0" applyNumberFormat="1" applyFont="1" applyFill="1" applyBorder="1"/>
    <xf numFmtId="49" fontId="8" fillId="12" borderId="0" xfId="0" applyNumberFormat="1" applyFont="1" applyFill="1" applyBorder="1"/>
    <xf numFmtId="0" fontId="9" fillId="12" borderId="0" xfId="0" applyNumberFormat="1" applyFont="1" applyFill="1" applyBorder="1" applyAlignment="1" applyProtection="1"/>
    <xf numFmtId="49" fontId="10" fillId="12" borderId="0" xfId="0" applyNumberFormat="1" applyFont="1" applyFill="1" applyBorder="1"/>
    <xf numFmtId="0" fontId="12" fillId="12" borderId="0" xfId="0" applyNumberFormat="1" applyFont="1" applyFill="1" applyBorder="1" applyAlignment="1" applyProtection="1"/>
    <xf numFmtId="49" fontId="10" fillId="12" borderId="0" xfId="0" applyNumberFormat="1" applyFont="1" applyFill="1" applyBorder="1" applyAlignment="1">
      <alignment vertical="center" textRotation="90"/>
    </xf>
    <xf numFmtId="0" fontId="9" fillId="12" borderId="6" xfId="0" applyNumberFormat="1" applyFont="1" applyFill="1" applyBorder="1" applyAlignment="1" applyProtection="1"/>
    <xf numFmtId="49" fontId="8" fillId="12" borderId="28" xfId="0" applyNumberFormat="1" applyFont="1" applyFill="1" applyBorder="1"/>
    <xf numFmtId="49" fontId="8" fillId="12" borderId="1" xfId="0" applyNumberFormat="1" applyFont="1" applyFill="1" applyBorder="1"/>
    <xf numFmtId="0" fontId="9" fillId="12" borderId="1" xfId="0" applyNumberFormat="1" applyFont="1" applyFill="1" applyBorder="1" applyAlignment="1" applyProtection="1"/>
    <xf numFmtId="49" fontId="10" fillId="12" borderId="1" xfId="0" applyNumberFormat="1" applyFont="1" applyFill="1" applyBorder="1" applyAlignment="1">
      <alignment vertical="center" textRotation="90"/>
    </xf>
    <xf numFmtId="0" fontId="9" fillId="12" borderId="29" xfId="0" applyNumberFormat="1" applyFont="1" applyFill="1" applyBorder="1" applyAlignment="1" applyProtection="1"/>
    <xf numFmtId="0" fontId="13" fillId="9" borderId="26" xfId="0" applyNumberFormat="1" applyFont="1" applyFill="1" applyBorder="1" applyAlignment="1" applyProtection="1"/>
    <xf numFmtId="0" fontId="9" fillId="9" borderId="2" xfId="0" applyNumberFormat="1" applyFont="1" applyFill="1" applyBorder="1" applyAlignment="1" applyProtection="1"/>
    <xf numFmtId="0" fontId="12" fillId="9" borderId="0" xfId="0" applyNumberFormat="1" applyFont="1" applyFill="1" applyBorder="1" applyAlignment="1" applyProtection="1"/>
    <xf numFmtId="49" fontId="8" fillId="9" borderId="28" xfId="0" applyNumberFormat="1" applyFont="1" applyFill="1" applyBorder="1"/>
    <xf numFmtId="49" fontId="8" fillId="9" borderId="1" xfId="0" applyNumberFormat="1" applyFont="1" applyFill="1" applyBorder="1"/>
    <xf numFmtId="0" fontId="9" fillId="9" borderId="1" xfId="0" applyNumberFormat="1" applyFont="1" applyFill="1" applyBorder="1" applyAlignment="1" applyProtection="1"/>
    <xf numFmtId="0" fontId="9" fillId="9" borderId="29" xfId="0" applyNumberFormat="1" applyFont="1" applyFill="1" applyBorder="1" applyAlignment="1" applyProtection="1"/>
    <xf numFmtId="49" fontId="8" fillId="2" borderId="26" xfId="0" applyNumberFormat="1" applyFont="1" applyFill="1" applyBorder="1"/>
    <xf numFmtId="49" fontId="10" fillId="2" borderId="26" xfId="0" applyNumberFormat="1" applyFont="1" applyFill="1" applyBorder="1"/>
    <xf numFmtId="49" fontId="8" fillId="2" borderId="0" xfId="0" applyNumberFormat="1" applyFont="1" applyFill="1" applyBorder="1"/>
    <xf numFmtId="49" fontId="11" fillId="2" borderId="0" xfId="0" applyNumberFormat="1" applyFont="1" applyFill="1" applyBorder="1"/>
    <xf numFmtId="49" fontId="8" fillId="4" borderId="27" xfId="0" applyNumberFormat="1" applyFont="1" applyFill="1" applyBorder="1"/>
    <xf numFmtId="49" fontId="14" fillId="4" borderId="0" xfId="0" applyNumberFormat="1" applyFont="1" applyFill="1" applyBorder="1"/>
    <xf numFmtId="0" fontId="9" fillId="4" borderId="26" xfId="0" applyNumberFormat="1" applyFont="1" applyFill="1" applyBorder="1" applyAlignment="1" applyProtection="1"/>
    <xf numFmtId="49" fontId="10" fillId="4" borderId="26" xfId="0" applyNumberFormat="1" applyFont="1" applyFill="1" applyBorder="1"/>
    <xf numFmtId="49" fontId="8" fillId="4" borderId="26" xfId="0" applyNumberFormat="1" applyFont="1" applyFill="1" applyBorder="1"/>
    <xf numFmtId="0" fontId="9" fillId="4" borderId="2" xfId="0" applyNumberFormat="1" applyFont="1" applyFill="1" applyBorder="1" applyAlignment="1" applyProtection="1"/>
    <xf numFmtId="49" fontId="11" fillId="14" borderId="0" xfId="0" applyNumberFormat="1" applyFont="1" applyFill="1" applyBorder="1" applyAlignment="1">
      <alignment horizontal="left"/>
    </xf>
    <xf numFmtId="0" fontId="9" fillId="14" borderId="0" xfId="0" applyNumberFormat="1" applyFont="1" applyFill="1" applyBorder="1" applyAlignment="1" applyProtection="1">
      <alignment horizontal="left"/>
    </xf>
    <xf numFmtId="49" fontId="15" fillId="14" borderId="0" xfId="0" applyNumberFormat="1" applyFont="1" applyFill="1" applyBorder="1" applyAlignment="1">
      <alignment horizontal="left"/>
    </xf>
    <xf numFmtId="49" fontId="8" fillId="4" borderId="28" xfId="0" applyNumberFormat="1" applyFont="1" applyFill="1" applyBorder="1"/>
    <xf numFmtId="0" fontId="9" fillId="4" borderId="1" xfId="0" applyNumberFormat="1" applyFont="1" applyFill="1" applyBorder="1" applyAlignment="1" applyProtection="1"/>
    <xf numFmtId="49" fontId="8" fillId="4" borderId="1" xfId="0" applyNumberFormat="1" applyFont="1" applyFill="1" applyBorder="1"/>
    <xf numFmtId="0" fontId="9" fillId="4" borderId="29" xfId="0" applyNumberFormat="1" applyFont="1" applyFill="1" applyBorder="1" applyAlignment="1" applyProtection="1"/>
    <xf numFmtId="49" fontId="8" fillId="2" borderId="30" xfId="0" applyNumberFormat="1" applyFont="1" applyFill="1" applyBorder="1"/>
    <xf numFmtId="49" fontId="14" fillId="15" borderId="31" xfId="0" applyNumberFormat="1" applyFont="1" applyFill="1" applyBorder="1"/>
    <xf numFmtId="0" fontId="9" fillId="2" borderId="32" xfId="0" applyNumberFormat="1" applyFont="1" applyFill="1" applyBorder="1" applyAlignment="1" applyProtection="1"/>
    <xf numFmtId="49" fontId="11" fillId="2" borderId="32" xfId="0" applyNumberFormat="1" applyFont="1" applyFill="1" applyBorder="1"/>
    <xf numFmtId="49" fontId="8" fillId="2" borderId="32" xfId="0" applyNumberFormat="1" applyFont="1" applyFill="1" applyBorder="1"/>
    <xf numFmtId="0" fontId="9" fillId="2" borderId="33" xfId="0" applyNumberFormat="1" applyFont="1" applyFill="1" applyBorder="1" applyAlignment="1" applyProtection="1"/>
    <xf numFmtId="0" fontId="4" fillId="0" borderId="34" xfId="0" applyFont="1" applyBorder="1" applyAlignment="1" applyProtection="1">
      <alignment horizontal="center"/>
      <protection locked="0"/>
    </xf>
    <xf numFmtId="3" fontId="2" fillId="0" borderId="6" xfId="0" quotePrefix="1" applyNumberFormat="1" applyFont="1" applyFill="1" applyBorder="1" applyAlignment="1" applyProtection="1">
      <alignment horizontal="right"/>
    </xf>
    <xf numFmtId="3" fontId="2" fillId="0" borderId="6" xfId="0" applyNumberFormat="1" applyFont="1" applyFill="1" applyBorder="1" applyAlignment="1" applyProtection="1">
      <alignment horizontal="right"/>
    </xf>
    <xf numFmtId="3" fontId="2" fillId="0" borderId="29" xfId="0" quotePrefix="1" applyNumberFormat="1" applyFont="1" applyFill="1" applyBorder="1" applyAlignment="1" applyProtection="1">
      <alignment horizontal="right"/>
    </xf>
    <xf numFmtId="49" fontId="10" fillId="13" borderId="26" xfId="0" applyNumberFormat="1" applyFont="1" applyFill="1" applyBorder="1" applyAlignment="1">
      <alignment horizontal="center" vertical="center" textRotation="90"/>
    </xf>
    <xf numFmtId="49" fontId="10" fillId="13" borderId="0" xfId="0" applyNumberFormat="1" applyFont="1" applyFill="1" applyBorder="1" applyAlignment="1">
      <alignment horizontal="center" vertical="center" textRotation="90"/>
    </xf>
    <xf numFmtId="49" fontId="10" fillId="13" borderId="1" xfId="0" applyNumberFormat="1" applyFont="1" applyFill="1" applyBorder="1" applyAlignment="1">
      <alignment horizontal="center" vertical="center" textRotation="90"/>
    </xf>
    <xf numFmtId="49" fontId="10" fillId="3" borderId="26" xfId="0" applyNumberFormat="1" applyFont="1" applyFill="1" applyBorder="1" applyAlignment="1">
      <alignment horizontal="center" vertical="center" textRotation="90" wrapText="1"/>
    </xf>
    <xf numFmtId="49" fontId="10" fillId="3" borderId="0" xfId="0" applyNumberFormat="1" applyFont="1" applyFill="1" applyBorder="1" applyAlignment="1">
      <alignment horizontal="center" vertical="center" textRotation="90" wrapText="1"/>
    </xf>
    <xf numFmtId="49" fontId="10" fillId="3" borderId="1" xfId="0" applyNumberFormat="1" applyFont="1" applyFill="1" applyBorder="1" applyAlignment="1">
      <alignment horizontal="center" vertical="center" textRotation="90" wrapText="1"/>
    </xf>
    <xf numFmtId="49" fontId="11" fillId="2" borderId="0" xfId="0" applyNumberFormat="1" applyFont="1" applyFill="1" applyBorder="1" applyAlignment="1">
      <alignment horizontal="left" vertical="center" wrapText="1"/>
    </xf>
    <xf numFmtId="49" fontId="10" fillId="2" borderId="26" xfId="0" applyNumberFormat="1" applyFont="1" applyFill="1" applyBorder="1" applyAlignment="1">
      <alignment horizontal="center" vertical="center" textRotation="90" wrapText="1"/>
    </xf>
    <xf numFmtId="49" fontId="10" fillId="2" borderId="0" xfId="0" applyNumberFormat="1" applyFont="1" applyFill="1" applyBorder="1" applyAlignment="1">
      <alignment horizontal="center" vertical="center" textRotation="90" wrapText="1"/>
    </xf>
    <xf numFmtId="49" fontId="10" fillId="2" borderId="1" xfId="0" applyNumberFormat="1" applyFont="1" applyFill="1" applyBorder="1" applyAlignment="1">
      <alignment horizontal="center" vertical="center" textRotation="90" wrapText="1"/>
    </xf>
    <xf numFmtId="49" fontId="10" fillId="10" borderId="26" xfId="0" applyNumberFormat="1" applyFont="1" applyFill="1" applyBorder="1" applyAlignment="1">
      <alignment horizontal="center" vertical="center" textRotation="90" wrapText="1"/>
    </xf>
    <xf numFmtId="49" fontId="10" fillId="10" borderId="0" xfId="0" applyNumberFormat="1" applyFont="1" applyFill="1" applyBorder="1" applyAlignment="1">
      <alignment horizontal="center" vertical="center" textRotation="90" wrapText="1"/>
    </xf>
    <xf numFmtId="49" fontId="10" fillId="10" borderId="1" xfId="0" applyNumberFormat="1" applyFont="1" applyFill="1" applyBorder="1" applyAlignment="1">
      <alignment horizontal="center" vertical="center" textRotation="90" wrapText="1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7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2" xfId="0" applyBorder="1"/>
    <xf numFmtId="0" fontId="0" fillId="0" borderId="8" xfId="0" applyBorder="1"/>
    <xf numFmtId="0" fontId="0" fillId="0" borderId="6" xfId="0" applyBorder="1"/>
    <xf numFmtId="0" fontId="0" fillId="0" borderId="13" xfId="0" applyBorder="1"/>
    <xf numFmtId="0" fontId="0" fillId="0" borderId="14" xfId="0" applyBorder="1"/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wrapText="1"/>
      <protection locked="0"/>
    </xf>
    <xf numFmtId="3" fontId="5" fillId="0" borderId="20" xfId="0" applyNumberFormat="1" applyFont="1" applyBorder="1" applyAlignment="1" applyProtection="1">
      <alignment horizontal="right" vertical="center"/>
    </xf>
    <xf numFmtId="3" fontId="5" fillId="0" borderId="8" xfId="0" applyNumberFormat="1" applyFont="1" applyBorder="1" applyAlignment="1" applyProtection="1">
      <alignment horizontal="right" vertical="center"/>
    </xf>
    <xf numFmtId="3" fontId="5" fillId="0" borderId="35" xfId="0" applyNumberFormat="1" applyFont="1" applyBorder="1" applyAlignment="1" applyProtection="1">
      <alignment horizontal="right" vertical="center"/>
    </xf>
    <xf numFmtId="3" fontId="5" fillId="0" borderId="36" xfId="0" applyNumberFormat="1" applyFont="1" applyBorder="1" applyAlignment="1" applyProtection="1">
      <alignment horizontal="right" vertical="center"/>
    </xf>
    <xf numFmtId="0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1" xfId="0" applyNumberFormat="1" applyFont="1" applyFill="1" applyBorder="1" applyAlignment="1" applyProtection="1">
      <alignment horizontal="center"/>
      <protection locked="0"/>
    </xf>
    <xf numFmtId="0" fontId="2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3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6" xfId="0" applyNumberFormat="1" applyFont="1" applyBorder="1" applyAlignment="1" applyProtection="1">
      <alignment horizontal="left" vertical="center" wrapText="1"/>
      <protection locked="0"/>
    </xf>
    <xf numFmtId="3" fontId="5" fillId="0" borderId="7" xfId="0" applyNumberFormat="1" applyFont="1" applyBorder="1" applyAlignment="1" applyProtection="1">
      <alignment horizontal="right" vertical="center"/>
    </xf>
    <xf numFmtId="3" fontId="5" fillId="0" borderId="21" xfId="0" applyNumberFormat="1" applyFont="1" applyBorder="1" applyAlignment="1" applyProtection="1">
      <alignment horizontal="right" vertical="center"/>
    </xf>
    <xf numFmtId="49" fontId="5" fillId="0" borderId="18" xfId="0" applyNumberFormat="1" applyFont="1" applyBorder="1" applyAlignment="1" applyProtection="1">
      <alignment horizontal="left" vertical="center"/>
      <protection locked="0"/>
    </xf>
    <xf numFmtId="49" fontId="5" fillId="0" borderId="6" xfId="0" applyNumberFormat="1" applyFont="1" applyBorder="1" applyAlignment="1" applyProtection="1">
      <alignment horizontal="left" vertical="center"/>
      <protection locked="0"/>
    </xf>
    <xf numFmtId="3" fontId="5" fillId="0" borderId="19" xfId="0" applyNumberFormat="1" applyFont="1" applyBorder="1" applyAlignment="1" applyProtection="1">
      <alignment horizontal="right" vertical="center"/>
    </xf>
    <xf numFmtId="3" fontId="5" fillId="0" borderId="10" xfId="0" applyNumberFormat="1" applyFont="1" applyBorder="1" applyAlignment="1" applyProtection="1">
      <alignment horizontal="right" vertical="center"/>
    </xf>
    <xf numFmtId="49" fontId="5" fillId="0" borderId="0" xfId="0" applyNumberFormat="1" applyFont="1" applyAlignment="1" applyProtection="1">
      <alignment horizontal="left" vertical="center" wrapText="1"/>
      <protection locked="0"/>
    </xf>
    <xf numFmtId="49" fontId="5" fillId="0" borderId="6" xfId="0" applyNumberFormat="1" applyFont="1" applyBorder="1" applyAlignment="1" applyProtection="1">
      <alignment horizontal="center" vertical="center" wrapText="1"/>
      <protection locked="0"/>
    </xf>
    <xf numFmtId="49" fontId="3" fillId="0" borderId="26" xfId="0" applyNumberFormat="1" applyFont="1" applyBorder="1" applyAlignment="1" applyProtection="1">
      <alignment horizontal="left" wrapText="1"/>
      <protection locked="0"/>
    </xf>
    <xf numFmtId="0" fontId="3" fillId="0" borderId="26" xfId="0" applyFont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left" wrapText="1" indent="1"/>
      <protection locked="0"/>
    </xf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showGridLines="0" workbookViewId="0">
      <selection activeCell="D17" sqref="D17"/>
    </sheetView>
  </sheetViews>
  <sheetFormatPr defaultRowHeight="14.4"/>
  <sheetData>
    <row r="1" spans="1:13">
      <c r="A1" s="32" t="s">
        <v>190</v>
      </c>
      <c r="B1" s="33" t="s">
        <v>5</v>
      </c>
      <c r="C1" s="34"/>
      <c r="D1" s="35"/>
      <c r="E1" s="35"/>
      <c r="F1" s="35"/>
      <c r="G1" s="35"/>
      <c r="H1" s="158" t="s">
        <v>191</v>
      </c>
      <c r="I1" s="36"/>
      <c r="J1" s="34"/>
      <c r="K1" s="34"/>
      <c r="L1" s="34"/>
      <c r="M1" s="37"/>
    </row>
    <row r="2" spans="1:13">
      <c r="A2" s="38" t="s">
        <v>192</v>
      </c>
      <c r="B2" s="39" t="s">
        <v>6</v>
      </c>
      <c r="C2" s="40"/>
      <c r="D2" s="40"/>
      <c r="E2" s="40"/>
      <c r="F2" s="40"/>
      <c r="G2" s="40"/>
      <c r="H2" s="159"/>
      <c r="I2" s="41"/>
      <c r="J2" s="40"/>
      <c r="K2" s="40"/>
      <c r="L2" s="40"/>
      <c r="M2" s="42"/>
    </row>
    <row r="3" spans="1:13">
      <c r="A3" s="38" t="s">
        <v>193</v>
      </c>
      <c r="B3" s="39" t="s">
        <v>7</v>
      </c>
      <c r="C3" s="40"/>
      <c r="D3" s="161" t="s">
        <v>194</v>
      </c>
      <c r="E3" s="161"/>
      <c r="F3" s="161"/>
      <c r="G3" s="161"/>
      <c r="H3" s="159"/>
      <c r="I3" s="41"/>
      <c r="J3" s="40"/>
      <c r="K3" s="40"/>
      <c r="L3" s="40"/>
      <c r="M3" s="42"/>
    </row>
    <row r="4" spans="1:13">
      <c r="A4" s="38" t="s">
        <v>195</v>
      </c>
      <c r="B4" s="39" t="s">
        <v>8</v>
      </c>
      <c r="C4" s="40"/>
      <c r="D4" s="43" t="s">
        <v>196</v>
      </c>
      <c r="E4" s="40"/>
      <c r="F4" s="40"/>
      <c r="G4" s="40"/>
      <c r="H4" s="159"/>
      <c r="I4" s="41"/>
      <c r="J4" s="40"/>
      <c r="K4" s="40"/>
      <c r="L4" s="40"/>
      <c r="M4" s="42"/>
    </row>
    <row r="5" spans="1:13">
      <c r="A5" s="38" t="s">
        <v>197</v>
      </c>
      <c r="B5" s="39" t="s">
        <v>9</v>
      </c>
      <c r="C5" s="40"/>
      <c r="D5" s="40"/>
      <c r="E5" s="40"/>
      <c r="F5" s="40"/>
      <c r="G5" s="40"/>
      <c r="H5" s="159"/>
      <c r="I5" s="41"/>
      <c r="J5" s="40"/>
      <c r="K5" s="40"/>
      <c r="L5" s="40"/>
      <c r="M5" s="42"/>
    </row>
    <row r="6" spans="1:13">
      <c r="A6" s="38" t="s">
        <v>198</v>
      </c>
      <c r="B6" s="39" t="s">
        <v>10</v>
      </c>
      <c r="C6" s="40"/>
      <c r="D6" s="40"/>
      <c r="E6" s="40"/>
      <c r="F6" s="40"/>
      <c r="G6" s="40"/>
      <c r="H6" s="159"/>
      <c r="I6" s="41"/>
      <c r="J6" s="40"/>
      <c r="K6" s="40"/>
      <c r="L6" s="40"/>
      <c r="M6" s="42"/>
    </row>
    <row r="7" spans="1:13">
      <c r="A7" s="44" t="s">
        <v>199</v>
      </c>
      <c r="B7" s="45" t="s">
        <v>12</v>
      </c>
      <c r="C7" s="46"/>
      <c r="D7" s="47"/>
      <c r="E7" s="46"/>
      <c r="F7" s="46"/>
      <c r="G7" s="46"/>
      <c r="H7" s="159"/>
      <c r="I7" s="48"/>
      <c r="J7" s="46"/>
      <c r="K7" s="46"/>
      <c r="L7" s="46"/>
      <c r="M7" s="49"/>
    </row>
    <row r="8" spans="1:13">
      <c r="A8" s="44" t="s">
        <v>200</v>
      </c>
      <c r="B8" s="50" t="s">
        <v>13</v>
      </c>
      <c r="C8" s="46"/>
      <c r="D8" s="46"/>
      <c r="E8" s="46"/>
      <c r="F8" s="46"/>
      <c r="G8" s="46"/>
      <c r="H8" s="159"/>
      <c r="I8" s="48"/>
      <c r="J8" s="50"/>
      <c r="K8" s="51"/>
      <c r="L8" s="46"/>
      <c r="M8" s="49"/>
    </row>
    <row r="9" spans="1:13">
      <c r="A9" s="44" t="s">
        <v>201</v>
      </c>
      <c r="B9" s="50" t="s">
        <v>14</v>
      </c>
      <c r="C9" s="46"/>
      <c r="D9" s="46"/>
      <c r="E9" s="46"/>
      <c r="F9" s="46"/>
      <c r="G9" s="46"/>
      <c r="H9" s="159"/>
      <c r="I9" s="48"/>
      <c r="J9" s="46"/>
      <c r="K9" s="46"/>
      <c r="L9" s="46"/>
      <c r="M9" s="49"/>
    </row>
    <row r="10" spans="1:13">
      <c r="A10" s="44" t="s">
        <v>202</v>
      </c>
      <c r="B10" s="50" t="s">
        <v>15</v>
      </c>
      <c r="C10" s="46"/>
      <c r="D10" s="46"/>
      <c r="E10" s="46"/>
      <c r="F10" s="46"/>
      <c r="G10" s="46"/>
      <c r="H10" s="159"/>
      <c r="I10" s="48"/>
      <c r="J10" s="46"/>
      <c r="K10" s="46"/>
      <c r="L10" s="46"/>
      <c r="M10" s="49"/>
    </row>
    <row r="11" spans="1:13">
      <c r="A11" s="44" t="s">
        <v>203</v>
      </c>
      <c r="B11" s="50" t="s">
        <v>16</v>
      </c>
      <c r="C11" s="46"/>
      <c r="D11" s="52" t="s">
        <v>204</v>
      </c>
      <c r="E11" s="46"/>
      <c r="F11" s="46"/>
      <c r="G11" s="46"/>
      <c r="H11" s="159"/>
      <c r="I11" s="48"/>
      <c r="J11" s="46"/>
      <c r="K11" s="46"/>
      <c r="L11" s="46"/>
      <c r="M11" s="49"/>
    </row>
    <row r="12" spans="1:13">
      <c r="A12" s="44" t="s">
        <v>205</v>
      </c>
      <c r="B12" s="50" t="s">
        <v>17</v>
      </c>
      <c r="C12" s="46"/>
      <c r="D12" s="46"/>
      <c r="E12" s="46"/>
      <c r="F12" s="46"/>
      <c r="G12" s="46"/>
      <c r="H12" s="159"/>
      <c r="I12" s="48"/>
      <c r="J12" s="46"/>
      <c r="K12" s="46"/>
      <c r="L12" s="46"/>
      <c r="M12" s="49"/>
    </row>
    <row r="13" spans="1:13">
      <c r="A13" s="44" t="s">
        <v>206</v>
      </c>
      <c r="B13" s="50" t="s">
        <v>18</v>
      </c>
      <c r="C13" s="46"/>
      <c r="D13" s="46"/>
      <c r="E13" s="46"/>
      <c r="F13" s="46"/>
      <c r="G13" s="46"/>
      <c r="H13" s="159"/>
      <c r="I13" s="48"/>
      <c r="J13" s="46"/>
      <c r="K13" s="46"/>
      <c r="L13" s="46"/>
      <c r="M13" s="49"/>
    </row>
    <row r="14" spans="1:13">
      <c r="A14" s="44" t="s">
        <v>207</v>
      </c>
      <c r="B14" s="50" t="s">
        <v>19</v>
      </c>
      <c r="C14" s="46"/>
      <c r="D14" s="46"/>
      <c r="E14" s="46"/>
      <c r="F14" s="46"/>
      <c r="G14" s="46"/>
      <c r="H14" s="159"/>
      <c r="I14" s="48"/>
      <c r="J14" s="46"/>
      <c r="K14" s="46"/>
      <c r="L14" s="46"/>
      <c r="M14" s="49"/>
    </row>
    <row r="15" spans="1:13">
      <c r="A15" s="44" t="s">
        <v>208</v>
      </c>
      <c r="B15" s="50" t="s">
        <v>20</v>
      </c>
      <c r="C15" s="46"/>
      <c r="D15" s="46"/>
      <c r="E15" s="46"/>
      <c r="F15" s="46"/>
      <c r="G15" s="46"/>
      <c r="H15" s="159"/>
      <c r="I15" s="48"/>
      <c r="J15" s="46"/>
      <c r="K15" s="46"/>
      <c r="L15" s="46"/>
      <c r="M15" s="49"/>
    </row>
    <row r="16" spans="1:13">
      <c r="A16" s="44" t="s">
        <v>209</v>
      </c>
      <c r="B16" s="50" t="s">
        <v>21</v>
      </c>
      <c r="C16" s="46"/>
      <c r="D16" s="46"/>
      <c r="E16" s="46"/>
      <c r="F16" s="46"/>
      <c r="G16" s="46"/>
      <c r="H16" s="159"/>
      <c r="I16" s="48"/>
      <c r="J16" s="46"/>
      <c r="K16" s="46"/>
      <c r="L16" s="46"/>
      <c r="M16" s="49"/>
    </row>
    <row r="17" spans="1:13">
      <c r="A17" s="44" t="s">
        <v>210</v>
      </c>
      <c r="B17" s="50" t="s">
        <v>22</v>
      </c>
      <c r="C17" s="46"/>
      <c r="D17" s="46"/>
      <c r="E17" s="46"/>
      <c r="F17" s="46"/>
      <c r="G17" s="46"/>
      <c r="H17" s="159"/>
      <c r="I17" s="48"/>
      <c r="J17" s="46"/>
      <c r="K17" s="46"/>
      <c r="L17" s="46"/>
      <c r="M17" s="49"/>
    </row>
    <row r="18" spans="1:13">
      <c r="A18" s="53" t="s">
        <v>211</v>
      </c>
      <c r="B18" s="54" t="s">
        <v>24</v>
      </c>
      <c r="C18" s="55"/>
      <c r="D18" s="56"/>
      <c r="E18" s="55"/>
      <c r="F18" s="55"/>
      <c r="G18" s="55"/>
      <c r="H18" s="159"/>
      <c r="I18" s="57"/>
      <c r="J18" s="54"/>
      <c r="K18" s="54"/>
      <c r="L18" s="55"/>
      <c r="M18" s="58"/>
    </row>
    <row r="19" spans="1:13">
      <c r="A19" s="53" t="s">
        <v>212</v>
      </c>
      <c r="B19" s="54" t="s">
        <v>25</v>
      </c>
      <c r="C19" s="55"/>
      <c r="D19" s="55"/>
      <c r="E19" s="55"/>
      <c r="F19" s="55"/>
      <c r="G19" s="55"/>
      <c r="H19" s="159"/>
      <c r="I19" s="57"/>
      <c r="J19" s="54"/>
      <c r="K19" s="54"/>
      <c r="L19" s="55"/>
      <c r="M19" s="58"/>
    </row>
    <row r="20" spans="1:13">
      <c r="A20" s="53" t="s">
        <v>213</v>
      </c>
      <c r="B20" s="54" t="s">
        <v>26</v>
      </c>
      <c r="C20" s="55"/>
      <c r="D20" s="59" t="s">
        <v>214</v>
      </c>
      <c r="E20" s="55"/>
      <c r="F20" s="55"/>
      <c r="G20" s="55"/>
      <c r="H20" s="159"/>
      <c r="I20" s="57"/>
      <c r="J20" s="54"/>
      <c r="K20" s="54"/>
      <c r="L20" s="55"/>
      <c r="M20" s="58"/>
    </row>
    <row r="21" spans="1:13" ht="15" thickBot="1">
      <c r="A21" s="60" t="s">
        <v>215</v>
      </c>
      <c r="B21" s="61" t="s">
        <v>27</v>
      </c>
      <c r="C21" s="62"/>
      <c r="D21" s="62"/>
      <c r="E21" s="62"/>
      <c r="F21" s="62"/>
      <c r="G21" s="62"/>
      <c r="H21" s="160"/>
      <c r="I21" s="63"/>
      <c r="J21" s="61"/>
      <c r="K21" s="61"/>
      <c r="L21" s="62"/>
      <c r="M21" s="64"/>
    </row>
    <row r="22" spans="1:13">
      <c r="A22" s="65" t="s">
        <v>216</v>
      </c>
      <c r="B22" s="66" t="s">
        <v>29</v>
      </c>
      <c r="C22" s="67"/>
      <c r="D22" s="68"/>
      <c r="E22" s="67"/>
      <c r="F22" s="67"/>
      <c r="G22" s="69"/>
      <c r="H22" s="162" t="s">
        <v>217</v>
      </c>
      <c r="I22" s="67"/>
      <c r="J22" s="66"/>
      <c r="K22" s="66"/>
      <c r="L22" s="67"/>
      <c r="M22" s="70"/>
    </row>
    <row r="23" spans="1:13">
      <c r="A23" s="71" t="s">
        <v>218</v>
      </c>
      <c r="B23" s="72" t="s">
        <v>30</v>
      </c>
      <c r="C23" s="73"/>
      <c r="D23" s="73"/>
      <c r="E23" s="73"/>
      <c r="F23" s="73"/>
      <c r="G23" s="74"/>
      <c r="H23" s="163"/>
      <c r="I23" s="73"/>
      <c r="J23" s="72"/>
      <c r="K23" s="72"/>
      <c r="L23" s="73"/>
      <c r="M23" s="75"/>
    </row>
    <row r="24" spans="1:13">
      <c r="A24" s="71" t="s">
        <v>219</v>
      </c>
      <c r="B24" s="72" t="s">
        <v>31</v>
      </c>
      <c r="C24" s="73"/>
      <c r="D24" s="76" t="s">
        <v>220</v>
      </c>
      <c r="E24" s="73"/>
      <c r="F24" s="73"/>
      <c r="G24" s="74"/>
      <c r="H24" s="163"/>
      <c r="I24" s="73"/>
      <c r="J24" s="72"/>
      <c r="K24" s="72"/>
      <c r="L24" s="73"/>
      <c r="M24" s="75"/>
    </row>
    <row r="25" spans="1:13">
      <c r="A25" s="71" t="s">
        <v>221</v>
      </c>
      <c r="B25" s="72" t="s">
        <v>32</v>
      </c>
      <c r="C25" s="73"/>
      <c r="D25" s="73"/>
      <c r="E25" s="73"/>
      <c r="F25" s="73"/>
      <c r="G25" s="74"/>
      <c r="H25" s="163"/>
      <c r="I25" s="73"/>
      <c r="J25" s="72"/>
      <c r="K25" s="72"/>
      <c r="L25" s="73"/>
      <c r="M25" s="75"/>
    </row>
    <row r="26" spans="1:13">
      <c r="A26" s="71" t="s">
        <v>222</v>
      </c>
      <c r="B26" s="72" t="s">
        <v>33</v>
      </c>
      <c r="C26" s="73"/>
      <c r="D26" s="73"/>
      <c r="E26" s="73"/>
      <c r="F26" s="73"/>
      <c r="G26" s="74"/>
      <c r="H26" s="163"/>
      <c r="I26" s="73"/>
      <c r="J26" s="72"/>
      <c r="K26" s="72"/>
      <c r="L26" s="73"/>
      <c r="M26" s="75"/>
    </row>
    <row r="27" spans="1:13">
      <c r="A27" s="77" t="s">
        <v>223</v>
      </c>
      <c r="B27" s="78" t="s">
        <v>35</v>
      </c>
      <c r="C27" s="79"/>
      <c r="D27" s="80"/>
      <c r="E27" s="79"/>
      <c r="F27" s="79"/>
      <c r="G27" s="81"/>
      <c r="H27" s="163"/>
      <c r="I27" s="79"/>
      <c r="J27" s="78"/>
      <c r="K27" s="78"/>
      <c r="L27" s="79"/>
      <c r="M27" s="82"/>
    </row>
    <row r="28" spans="1:13">
      <c r="A28" s="77" t="s">
        <v>224</v>
      </c>
      <c r="B28" s="78" t="s">
        <v>36</v>
      </c>
      <c r="C28" s="79"/>
      <c r="D28" s="79"/>
      <c r="E28" s="79"/>
      <c r="F28" s="79"/>
      <c r="G28" s="81"/>
      <c r="H28" s="163"/>
      <c r="I28" s="79"/>
      <c r="J28" s="78"/>
      <c r="K28" s="78"/>
      <c r="L28" s="79"/>
      <c r="M28" s="82"/>
    </row>
    <row r="29" spans="1:13">
      <c r="A29" s="77" t="s">
        <v>225</v>
      </c>
      <c r="B29" s="78" t="s">
        <v>37</v>
      </c>
      <c r="C29" s="79"/>
      <c r="D29" s="83" t="s">
        <v>226</v>
      </c>
      <c r="E29" s="79"/>
      <c r="F29" s="79"/>
      <c r="G29" s="81"/>
      <c r="H29" s="163"/>
      <c r="I29" s="79"/>
      <c r="J29" s="78"/>
      <c r="K29" s="78"/>
      <c r="L29" s="79"/>
      <c r="M29" s="82"/>
    </row>
    <row r="30" spans="1:13">
      <c r="A30" s="77" t="s">
        <v>227</v>
      </c>
      <c r="B30" s="78" t="s">
        <v>38</v>
      </c>
      <c r="C30" s="79"/>
      <c r="D30" s="79"/>
      <c r="E30" s="79"/>
      <c r="F30" s="79"/>
      <c r="G30" s="81"/>
      <c r="H30" s="163"/>
      <c r="I30" s="79"/>
      <c r="J30" s="78"/>
      <c r="K30" s="78"/>
      <c r="L30" s="79"/>
      <c r="M30" s="82"/>
    </row>
    <row r="31" spans="1:13" ht="15" thickBot="1">
      <c r="A31" s="84" t="s">
        <v>228</v>
      </c>
      <c r="B31" s="85" t="s">
        <v>39</v>
      </c>
      <c r="C31" s="86"/>
      <c r="D31" s="86"/>
      <c r="E31" s="86"/>
      <c r="F31" s="86"/>
      <c r="G31" s="87"/>
      <c r="H31" s="164"/>
      <c r="I31" s="86"/>
      <c r="J31" s="85"/>
      <c r="K31" s="85"/>
      <c r="L31" s="86"/>
      <c r="M31" s="88"/>
    </row>
    <row r="32" spans="1:13">
      <c r="A32" s="89" t="s">
        <v>229</v>
      </c>
      <c r="B32" s="90" t="s">
        <v>41</v>
      </c>
      <c r="C32" s="91"/>
      <c r="D32" s="92"/>
      <c r="E32" s="93"/>
      <c r="F32" s="93"/>
      <c r="G32" s="94"/>
      <c r="H32" s="165" t="s">
        <v>230</v>
      </c>
      <c r="I32" s="93"/>
      <c r="J32" s="92"/>
      <c r="K32" s="92"/>
      <c r="L32" s="93"/>
      <c r="M32" s="95"/>
    </row>
    <row r="33" spans="1:13">
      <c r="A33" s="96" t="s">
        <v>231</v>
      </c>
      <c r="B33" s="97" t="s">
        <v>42</v>
      </c>
      <c r="C33" s="98"/>
      <c r="D33" s="98"/>
      <c r="E33" s="98"/>
      <c r="F33" s="98"/>
      <c r="G33" s="99"/>
      <c r="H33" s="166"/>
      <c r="I33" s="98"/>
      <c r="J33" s="97"/>
      <c r="K33" s="97"/>
      <c r="L33" s="98"/>
      <c r="M33" s="100"/>
    </row>
    <row r="34" spans="1:13">
      <c r="A34" s="96" t="s">
        <v>232</v>
      </c>
      <c r="B34" s="97" t="s">
        <v>43</v>
      </c>
      <c r="C34" s="98"/>
      <c r="D34" s="101" t="s">
        <v>233</v>
      </c>
      <c r="E34" s="98"/>
      <c r="F34" s="98"/>
      <c r="G34" s="99"/>
      <c r="H34" s="166"/>
      <c r="I34" s="98"/>
      <c r="J34" s="97"/>
      <c r="K34" s="97"/>
      <c r="L34" s="98"/>
      <c r="M34" s="100"/>
    </row>
    <row r="35" spans="1:13">
      <c r="A35" s="96" t="s">
        <v>234</v>
      </c>
      <c r="B35" s="97" t="s">
        <v>44</v>
      </c>
      <c r="C35" s="98"/>
      <c r="D35" s="98"/>
      <c r="E35" s="98"/>
      <c r="F35" s="98"/>
      <c r="G35" s="99"/>
      <c r="H35" s="166"/>
      <c r="I35" s="98"/>
      <c r="J35" s="97"/>
      <c r="K35" s="97"/>
      <c r="L35" s="98"/>
      <c r="M35" s="100"/>
    </row>
    <row r="36" spans="1:13">
      <c r="A36" s="96" t="s">
        <v>235</v>
      </c>
      <c r="B36" s="97" t="s">
        <v>45</v>
      </c>
      <c r="C36" s="98"/>
      <c r="D36" s="98"/>
      <c r="E36" s="98"/>
      <c r="F36" s="98"/>
      <c r="G36" s="99"/>
      <c r="H36" s="166"/>
      <c r="I36" s="98"/>
      <c r="J36" s="97"/>
      <c r="K36" s="97"/>
      <c r="L36" s="98"/>
      <c r="M36" s="100"/>
    </row>
    <row r="37" spans="1:13">
      <c r="A37" s="102" t="s">
        <v>236</v>
      </c>
      <c r="B37" s="103" t="s">
        <v>47</v>
      </c>
      <c r="C37" s="104"/>
      <c r="D37" s="105"/>
      <c r="E37" s="104"/>
      <c r="F37" s="104"/>
      <c r="G37" s="106"/>
      <c r="H37" s="166"/>
      <c r="I37" s="104"/>
      <c r="J37" s="103"/>
      <c r="K37" s="103"/>
      <c r="L37" s="104"/>
      <c r="M37" s="107"/>
    </row>
    <row r="38" spans="1:13">
      <c r="A38" s="102" t="s">
        <v>237</v>
      </c>
      <c r="B38" s="103" t="s">
        <v>48</v>
      </c>
      <c r="C38" s="104"/>
      <c r="D38" s="108" t="s">
        <v>238</v>
      </c>
      <c r="E38" s="104"/>
      <c r="F38" s="104"/>
      <c r="G38" s="106"/>
      <c r="H38" s="166"/>
      <c r="I38" s="104"/>
      <c r="J38" s="103"/>
      <c r="K38" s="103"/>
      <c r="L38" s="104"/>
      <c r="M38" s="107"/>
    </row>
    <row r="39" spans="1:13">
      <c r="A39" s="102" t="s">
        <v>239</v>
      </c>
      <c r="B39" s="103" t="s">
        <v>49</v>
      </c>
      <c r="C39" s="104"/>
      <c r="D39" s="104"/>
      <c r="E39" s="104"/>
      <c r="F39" s="104"/>
      <c r="G39" s="106"/>
      <c r="H39" s="166"/>
      <c r="I39" s="104"/>
      <c r="J39" s="103"/>
      <c r="K39" s="103"/>
      <c r="L39" s="104"/>
      <c r="M39" s="107"/>
    </row>
    <row r="40" spans="1:13">
      <c r="A40" s="109" t="s">
        <v>240</v>
      </c>
      <c r="B40" s="110" t="s">
        <v>51</v>
      </c>
      <c r="C40" s="111"/>
      <c r="D40" s="112"/>
      <c r="E40" s="113"/>
      <c r="F40" s="113"/>
      <c r="G40" s="114"/>
      <c r="H40" s="166"/>
      <c r="I40" s="111"/>
      <c r="J40" s="110"/>
      <c r="K40" s="110"/>
      <c r="L40" s="111"/>
      <c r="M40" s="115"/>
    </row>
    <row r="41" spans="1:13">
      <c r="A41" s="109" t="s">
        <v>241</v>
      </c>
      <c r="B41" s="110" t="s">
        <v>52</v>
      </c>
      <c r="C41" s="111"/>
      <c r="D41" s="111"/>
      <c r="E41" s="111"/>
      <c r="F41" s="111"/>
      <c r="G41" s="114"/>
      <c r="H41" s="166"/>
      <c r="I41" s="111"/>
      <c r="J41" s="110"/>
      <c r="K41" s="110"/>
      <c r="L41" s="111"/>
      <c r="M41" s="115"/>
    </row>
    <row r="42" spans="1:13">
      <c r="A42" s="109" t="s">
        <v>242</v>
      </c>
      <c r="B42" s="110" t="s">
        <v>53</v>
      </c>
      <c r="C42" s="111"/>
      <c r="D42" s="112" t="s">
        <v>243</v>
      </c>
      <c r="E42" s="111"/>
      <c r="F42" s="111"/>
      <c r="G42" s="114"/>
      <c r="H42" s="166"/>
      <c r="I42" s="111"/>
      <c r="J42" s="110"/>
      <c r="K42" s="110"/>
      <c r="L42" s="111"/>
      <c r="M42" s="115"/>
    </row>
    <row r="43" spans="1:13">
      <c r="A43" s="109" t="s">
        <v>244</v>
      </c>
      <c r="B43" s="110" t="s">
        <v>54</v>
      </c>
      <c r="C43" s="111"/>
      <c r="D43" s="111"/>
      <c r="E43" s="111"/>
      <c r="F43" s="111"/>
      <c r="G43" s="114"/>
      <c r="H43" s="166"/>
      <c r="I43" s="111"/>
      <c r="J43" s="110"/>
      <c r="K43" s="110"/>
      <c r="L43" s="111"/>
      <c r="M43" s="115"/>
    </row>
    <row r="44" spans="1:13" ht="15" thickBot="1">
      <c r="A44" s="116" t="s">
        <v>245</v>
      </c>
      <c r="B44" s="117" t="s">
        <v>55</v>
      </c>
      <c r="C44" s="118"/>
      <c r="D44" s="118"/>
      <c r="E44" s="118"/>
      <c r="F44" s="118"/>
      <c r="G44" s="119"/>
      <c r="H44" s="167"/>
      <c r="I44" s="118"/>
      <c r="J44" s="117"/>
      <c r="K44" s="117"/>
      <c r="L44" s="118"/>
      <c r="M44" s="120"/>
    </row>
    <row r="45" spans="1:13">
      <c r="A45" s="89" t="s">
        <v>246</v>
      </c>
      <c r="B45" s="90" t="s">
        <v>247</v>
      </c>
      <c r="C45" s="91"/>
      <c r="D45" s="91"/>
      <c r="E45" s="121"/>
      <c r="F45" s="91"/>
      <c r="G45" s="91"/>
      <c r="H45" s="158" t="s">
        <v>248</v>
      </c>
      <c r="I45" s="91"/>
      <c r="J45" s="90"/>
      <c r="K45" s="90"/>
      <c r="L45" s="91"/>
      <c r="M45" s="122"/>
    </row>
    <row r="46" spans="1:13">
      <c r="A46" s="96" t="s">
        <v>249</v>
      </c>
      <c r="B46" s="97" t="s">
        <v>250</v>
      </c>
      <c r="C46" s="98"/>
      <c r="D46" s="98"/>
      <c r="E46" s="98"/>
      <c r="F46" s="98"/>
      <c r="G46" s="98"/>
      <c r="H46" s="159"/>
      <c r="I46" s="98"/>
      <c r="J46" s="97"/>
      <c r="K46" s="97"/>
      <c r="L46" s="98"/>
      <c r="M46" s="100"/>
    </row>
    <row r="47" spans="1:13">
      <c r="A47" s="96" t="s">
        <v>251</v>
      </c>
      <c r="B47" s="97" t="s">
        <v>59</v>
      </c>
      <c r="C47" s="98"/>
      <c r="D47" s="98"/>
      <c r="E47" s="98"/>
      <c r="F47" s="98"/>
      <c r="G47" s="98"/>
      <c r="H47" s="159"/>
      <c r="I47" s="98"/>
      <c r="J47" s="97"/>
      <c r="K47" s="97"/>
      <c r="L47" s="98"/>
      <c r="M47" s="100"/>
    </row>
    <row r="48" spans="1:13">
      <c r="A48" s="96" t="s">
        <v>252</v>
      </c>
      <c r="B48" s="97" t="s">
        <v>60</v>
      </c>
      <c r="C48" s="98"/>
      <c r="D48" s="98"/>
      <c r="E48" s="98"/>
      <c r="F48" s="98"/>
      <c r="G48" s="98"/>
      <c r="H48" s="159"/>
      <c r="I48" s="98"/>
      <c r="J48" s="97"/>
      <c r="K48" s="97"/>
      <c r="L48" s="98"/>
      <c r="M48" s="100"/>
    </row>
    <row r="49" spans="1:13">
      <c r="A49" s="96" t="s">
        <v>253</v>
      </c>
      <c r="B49" s="97" t="s">
        <v>61</v>
      </c>
      <c r="C49" s="98"/>
      <c r="D49" s="98"/>
      <c r="E49" s="123" t="s">
        <v>254</v>
      </c>
      <c r="F49" s="98"/>
      <c r="G49" s="98"/>
      <c r="H49" s="159"/>
      <c r="I49" s="98"/>
      <c r="J49" s="97"/>
      <c r="K49" s="97"/>
      <c r="L49" s="98"/>
      <c r="M49" s="100"/>
    </row>
    <row r="50" spans="1:13">
      <c r="A50" s="96" t="s">
        <v>255</v>
      </c>
      <c r="B50" s="97" t="s">
        <v>62</v>
      </c>
      <c r="C50" s="98"/>
      <c r="D50" s="98"/>
      <c r="E50" s="98"/>
      <c r="F50" s="98"/>
      <c r="G50" s="98"/>
      <c r="H50" s="159"/>
      <c r="I50" s="98"/>
      <c r="J50" s="97"/>
      <c r="K50" s="97"/>
      <c r="L50" s="98"/>
      <c r="M50" s="100"/>
    </row>
    <row r="51" spans="1:13">
      <c r="A51" s="96" t="s">
        <v>256</v>
      </c>
      <c r="B51" s="97" t="s">
        <v>63</v>
      </c>
      <c r="C51" s="98"/>
      <c r="D51" s="98"/>
      <c r="E51" s="98"/>
      <c r="F51" s="98"/>
      <c r="G51" s="98"/>
      <c r="H51" s="159"/>
      <c r="I51" s="98"/>
      <c r="J51" s="97"/>
      <c r="K51" s="97"/>
      <c r="L51" s="98"/>
      <c r="M51" s="100"/>
    </row>
    <row r="52" spans="1:13" ht="15" thickBot="1">
      <c r="A52" s="124" t="s">
        <v>257</v>
      </c>
      <c r="B52" s="125" t="s">
        <v>64</v>
      </c>
      <c r="C52" s="126"/>
      <c r="D52" s="126"/>
      <c r="E52" s="126"/>
      <c r="F52" s="126"/>
      <c r="G52" s="126"/>
      <c r="H52" s="160"/>
      <c r="I52" s="126"/>
      <c r="J52" s="125"/>
      <c r="K52" s="125"/>
      <c r="L52" s="126"/>
      <c r="M52" s="127"/>
    </row>
    <row r="53" spans="1:13">
      <c r="A53" s="32" t="s">
        <v>258</v>
      </c>
      <c r="B53" s="128" t="s">
        <v>66</v>
      </c>
      <c r="C53" s="34"/>
      <c r="D53" s="129"/>
      <c r="E53" s="34"/>
      <c r="F53" s="34"/>
      <c r="G53" s="34"/>
      <c r="H53" s="155" t="s">
        <v>259</v>
      </c>
      <c r="I53" s="34"/>
      <c r="J53" s="128"/>
      <c r="K53" s="128"/>
      <c r="L53" s="34"/>
      <c r="M53" s="37"/>
    </row>
    <row r="54" spans="1:13">
      <c r="A54" s="38" t="s">
        <v>260</v>
      </c>
      <c r="B54" s="130" t="s">
        <v>67</v>
      </c>
      <c r="C54" s="40"/>
      <c r="D54" s="40"/>
      <c r="E54" s="40"/>
      <c r="F54" s="40"/>
      <c r="G54" s="40"/>
      <c r="H54" s="156"/>
      <c r="I54" s="40"/>
      <c r="J54" s="130"/>
      <c r="K54" s="130"/>
      <c r="L54" s="40"/>
      <c r="M54" s="42"/>
    </row>
    <row r="55" spans="1:13">
      <c r="A55" s="38" t="s">
        <v>261</v>
      </c>
      <c r="B55" s="130" t="s">
        <v>68</v>
      </c>
      <c r="C55" s="40"/>
      <c r="D55" s="131" t="s">
        <v>262</v>
      </c>
      <c r="E55" s="40"/>
      <c r="F55" s="40"/>
      <c r="G55" s="40"/>
      <c r="H55" s="156"/>
      <c r="I55" s="40"/>
      <c r="J55" s="130"/>
      <c r="K55" s="130"/>
      <c r="L55" s="40"/>
      <c r="M55" s="42"/>
    </row>
    <row r="56" spans="1:13">
      <c r="A56" s="38" t="s">
        <v>263</v>
      </c>
      <c r="B56" s="130" t="s">
        <v>69</v>
      </c>
      <c r="C56" s="40"/>
      <c r="D56" s="40"/>
      <c r="E56" s="40"/>
      <c r="F56" s="40"/>
      <c r="G56" s="40"/>
      <c r="H56" s="156"/>
      <c r="I56" s="40"/>
      <c r="J56" s="130"/>
      <c r="K56" s="130"/>
      <c r="L56" s="40"/>
      <c r="M56" s="42"/>
    </row>
    <row r="57" spans="1:13">
      <c r="A57" s="38" t="s">
        <v>264</v>
      </c>
      <c r="B57" s="130" t="s">
        <v>70</v>
      </c>
      <c r="C57" s="40"/>
      <c r="D57" s="40"/>
      <c r="E57" s="40"/>
      <c r="F57" s="40"/>
      <c r="G57" s="40"/>
      <c r="H57" s="156"/>
      <c r="I57" s="40"/>
      <c r="J57" s="130"/>
      <c r="K57" s="130"/>
      <c r="L57" s="40"/>
      <c r="M57" s="42"/>
    </row>
    <row r="58" spans="1:13">
      <c r="A58" s="77" t="s">
        <v>265</v>
      </c>
      <c r="B58" s="78" t="s">
        <v>72</v>
      </c>
      <c r="C58" s="79"/>
      <c r="D58" s="80"/>
      <c r="E58" s="79"/>
      <c r="F58" s="79"/>
      <c r="G58" s="79"/>
      <c r="H58" s="156"/>
      <c r="I58" s="79"/>
      <c r="J58" s="78"/>
      <c r="K58" s="78"/>
      <c r="L58" s="79"/>
      <c r="M58" s="82"/>
    </row>
    <row r="59" spans="1:13">
      <c r="A59" s="77" t="s">
        <v>266</v>
      </c>
      <c r="B59" s="78" t="s">
        <v>73</v>
      </c>
      <c r="C59" s="79"/>
      <c r="D59" s="79"/>
      <c r="E59" s="79"/>
      <c r="F59" s="79"/>
      <c r="G59" s="79"/>
      <c r="H59" s="156"/>
      <c r="I59" s="79"/>
      <c r="J59" s="78"/>
      <c r="K59" s="78"/>
      <c r="L59" s="79"/>
      <c r="M59" s="82"/>
    </row>
    <row r="60" spans="1:13">
      <c r="A60" s="77" t="s">
        <v>267</v>
      </c>
      <c r="B60" s="78" t="s">
        <v>74</v>
      </c>
      <c r="C60" s="79"/>
      <c r="D60" s="79"/>
      <c r="E60" s="79"/>
      <c r="F60" s="79"/>
      <c r="G60" s="79"/>
      <c r="H60" s="156"/>
      <c r="I60" s="79"/>
      <c r="J60" s="78"/>
      <c r="K60" s="78"/>
      <c r="L60" s="79"/>
      <c r="M60" s="82"/>
    </row>
    <row r="61" spans="1:13">
      <c r="A61" s="77" t="s">
        <v>268</v>
      </c>
      <c r="B61" s="78" t="s">
        <v>75</v>
      </c>
      <c r="C61" s="79"/>
      <c r="D61" s="79"/>
      <c r="E61" s="79"/>
      <c r="F61" s="79"/>
      <c r="G61" s="79"/>
      <c r="H61" s="156"/>
      <c r="I61" s="79"/>
      <c r="J61" s="78"/>
      <c r="K61" s="78"/>
      <c r="L61" s="79"/>
      <c r="M61" s="82"/>
    </row>
    <row r="62" spans="1:13">
      <c r="A62" s="77" t="s">
        <v>269</v>
      </c>
      <c r="B62" s="78" t="s">
        <v>76</v>
      </c>
      <c r="C62" s="79"/>
      <c r="D62" s="79"/>
      <c r="E62" s="79"/>
      <c r="F62" s="79"/>
      <c r="G62" s="79"/>
      <c r="H62" s="156"/>
      <c r="I62" s="79"/>
      <c r="J62" s="78"/>
      <c r="K62" s="78"/>
      <c r="L62" s="79"/>
      <c r="M62" s="82"/>
    </row>
    <row r="63" spans="1:13">
      <c r="A63" s="77" t="s">
        <v>270</v>
      </c>
      <c r="B63" s="78" t="s">
        <v>77</v>
      </c>
      <c r="C63" s="79"/>
      <c r="D63" s="83" t="s">
        <v>271</v>
      </c>
      <c r="E63" s="79"/>
      <c r="F63" s="79"/>
      <c r="G63" s="79"/>
      <c r="H63" s="156"/>
      <c r="I63" s="79"/>
      <c r="J63" s="78"/>
      <c r="K63" s="78"/>
      <c r="L63" s="79"/>
      <c r="M63" s="82"/>
    </row>
    <row r="64" spans="1:13">
      <c r="A64" s="77" t="s">
        <v>272</v>
      </c>
      <c r="B64" s="78" t="s">
        <v>78</v>
      </c>
      <c r="C64" s="79"/>
      <c r="D64" s="79"/>
      <c r="E64" s="79"/>
      <c r="F64" s="79"/>
      <c r="G64" s="79"/>
      <c r="H64" s="156"/>
      <c r="I64" s="79"/>
      <c r="J64" s="78"/>
      <c r="K64" s="78"/>
      <c r="L64" s="79"/>
      <c r="M64" s="82"/>
    </row>
    <row r="65" spans="1:13">
      <c r="A65" s="77" t="s">
        <v>273</v>
      </c>
      <c r="B65" s="78" t="s">
        <v>79</v>
      </c>
      <c r="C65" s="79"/>
      <c r="D65" s="79"/>
      <c r="E65" s="79"/>
      <c r="F65" s="79"/>
      <c r="G65" s="79"/>
      <c r="H65" s="156"/>
      <c r="I65" s="79"/>
      <c r="J65" s="78"/>
      <c r="K65" s="78"/>
      <c r="L65" s="79"/>
      <c r="M65" s="82"/>
    </row>
    <row r="66" spans="1:13">
      <c r="A66" s="77" t="s">
        <v>274</v>
      </c>
      <c r="B66" s="78" t="s">
        <v>80</v>
      </c>
      <c r="C66" s="79"/>
      <c r="D66" s="79"/>
      <c r="E66" s="79"/>
      <c r="F66" s="79"/>
      <c r="G66" s="79"/>
      <c r="H66" s="156"/>
      <c r="I66" s="79"/>
      <c r="J66" s="78"/>
      <c r="K66" s="78"/>
      <c r="L66" s="79"/>
      <c r="M66" s="82"/>
    </row>
    <row r="67" spans="1:13">
      <c r="A67" s="77" t="s">
        <v>275</v>
      </c>
      <c r="B67" s="78" t="s">
        <v>81</v>
      </c>
      <c r="C67" s="79"/>
      <c r="D67" s="79"/>
      <c r="E67" s="79"/>
      <c r="F67" s="79"/>
      <c r="G67" s="79"/>
      <c r="H67" s="156"/>
      <c r="I67" s="79"/>
      <c r="J67" s="78"/>
      <c r="K67" s="78"/>
      <c r="L67" s="79"/>
      <c r="M67" s="82"/>
    </row>
    <row r="68" spans="1:13">
      <c r="A68" s="77" t="s">
        <v>276</v>
      </c>
      <c r="B68" s="78" t="s">
        <v>82</v>
      </c>
      <c r="C68" s="79"/>
      <c r="D68" s="79"/>
      <c r="E68" s="79"/>
      <c r="F68" s="79"/>
      <c r="G68" s="79"/>
      <c r="H68" s="156"/>
      <c r="I68" s="79"/>
      <c r="J68" s="78"/>
      <c r="K68" s="78"/>
      <c r="L68" s="79"/>
      <c r="M68" s="82"/>
    </row>
    <row r="69" spans="1:13">
      <c r="A69" s="77" t="s">
        <v>277</v>
      </c>
      <c r="B69" s="78" t="s">
        <v>83</v>
      </c>
      <c r="C69" s="79"/>
      <c r="D69" s="79"/>
      <c r="E69" s="79"/>
      <c r="F69" s="79"/>
      <c r="G69" s="79"/>
      <c r="H69" s="156"/>
      <c r="I69" s="79"/>
      <c r="J69" s="78"/>
      <c r="K69" s="78"/>
      <c r="L69" s="79"/>
      <c r="M69" s="82"/>
    </row>
    <row r="70" spans="1:13" ht="15" thickBot="1">
      <c r="A70" s="84" t="s">
        <v>278</v>
      </c>
      <c r="B70" s="85" t="s">
        <v>84</v>
      </c>
      <c r="C70" s="86"/>
      <c r="D70" s="86"/>
      <c r="E70" s="86"/>
      <c r="F70" s="86"/>
      <c r="G70" s="86"/>
      <c r="H70" s="157"/>
      <c r="I70" s="86"/>
      <c r="J70" s="85"/>
      <c r="K70" s="85"/>
      <c r="L70" s="86"/>
      <c r="M70" s="88"/>
    </row>
    <row r="71" spans="1:13">
      <c r="A71" s="132" t="s">
        <v>279</v>
      </c>
      <c r="B71" s="133" t="s">
        <v>86</v>
      </c>
      <c r="C71" s="134"/>
      <c r="D71" s="135"/>
      <c r="E71" s="134"/>
      <c r="F71" s="134"/>
      <c r="G71" s="46"/>
      <c r="H71" s="134"/>
      <c r="I71" s="134"/>
      <c r="J71" s="136"/>
      <c r="K71" s="136"/>
      <c r="L71" s="134"/>
      <c r="M71" s="137"/>
    </row>
    <row r="72" spans="1:13">
      <c r="A72" s="44" t="s">
        <v>280</v>
      </c>
      <c r="B72" s="133" t="s">
        <v>87</v>
      </c>
      <c r="C72" s="46"/>
      <c r="D72" s="46"/>
      <c r="E72" s="46"/>
      <c r="F72" s="46"/>
      <c r="G72" s="46"/>
      <c r="H72" s="138" t="s">
        <v>281</v>
      </c>
      <c r="I72" s="139"/>
      <c r="J72" s="140"/>
      <c r="K72" s="140"/>
      <c r="L72" s="46"/>
      <c r="M72" s="49"/>
    </row>
    <row r="73" spans="1:13">
      <c r="A73" s="44" t="s">
        <v>282</v>
      </c>
      <c r="B73" s="133" t="s">
        <v>88</v>
      </c>
      <c r="C73" s="46"/>
      <c r="D73" s="52" t="s">
        <v>283</v>
      </c>
      <c r="E73" s="46"/>
      <c r="F73" s="51"/>
      <c r="G73" s="46"/>
      <c r="H73" s="46"/>
      <c r="I73" s="46"/>
      <c r="J73" s="50"/>
      <c r="K73" s="50"/>
      <c r="L73" s="46"/>
      <c r="M73" s="49"/>
    </row>
    <row r="74" spans="1:13" ht="15" thickBot="1">
      <c r="A74" s="141" t="s">
        <v>284</v>
      </c>
      <c r="B74" s="133" t="s">
        <v>89</v>
      </c>
      <c r="C74" s="142"/>
      <c r="D74" s="142"/>
      <c r="E74" s="142"/>
      <c r="F74" s="142"/>
      <c r="G74" s="142"/>
      <c r="H74" s="142"/>
      <c r="I74" s="142"/>
      <c r="J74" s="143"/>
      <c r="K74" s="143"/>
      <c r="L74" s="142"/>
      <c r="M74" s="144"/>
    </row>
    <row r="75" spans="1:13" ht="15" thickBot="1">
      <c r="A75" s="145" t="s">
        <v>285</v>
      </c>
      <c r="B75" s="146" t="s">
        <v>286</v>
      </c>
      <c r="C75" s="147"/>
      <c r="D75" s="148" t="s">
        <v>287</v>
      </c>
      <c r="E75" s="147"/>
      <c r="F75" s="147"/>
      <c r="G75" s="147"/>
      <c r="H75" s="147"/>
      <c r="I75" s="147"/>
      <c r="J75" s="149"/>
      <c r="K75" s="149"/>
      <c r="L75" s="147"/>
      <c r="M75" s="150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8"/>
  <sheetViews>
    <sheetView showGridLines="0" tabSelected="1" zoomScale="120" zoomScaleNormal="120" workbookViewId="0">
      <selection activeCell="L6" sqref="L6"/>
    </sheetView>
  </sheetViews>
  <sheetFormatPr defaultRowHeight="14.4"/>
  <cols>
    <col min="1" max="1" width="14.6640625" customWidth="1"/>
    <col min="3" max="8" width="7.44140625" customWidth="1"/>
    <col min="9" max="9" width="8" customWidth="1"/>
    <col min="10" max="10" width="6.21875" customWidth="1"/>
    <col min="11" max="11" width="6.109375" customWidth="1"/>
    <col min="12" max="12" width="7.44140625" customWidth="1"/>
  </cols>
  <sheetData>
    <row r="1" spans="1:12" ht="22.8" customHeight="1">
      <c r="A1" s="192" t="s">
        <v>289</v>
      </c>
      <c r="B1" s="192"/>
      <c r="C1" s="192"/>
      <c r="D1" s="192"/>
      <c r="E1" s="192"/>
      <c r="F1" s="192"/>
      <c r="G1" s="192"/>
      <c r="H1" s="192"/>
      <c r="I1" s="192"/>
      <c r="J1" s="192"/>
    </row>
    <row r="2" spans="1:12" ht="14.4" customHeight="1">
      <c r="A2" s="193" t="s">
        <v>290</v>
      </c>
      <c r="B2" s="193"/>
      <c r="C2" s="193"/>
      <c r="D2" s="193"/>
      <c r="E2" s="193"/>
      <c r="F2" s="193"/>
      <c r="G2" s="193"/>
      <c r="H2" s="193"/>
      <c r="I2" s="193"/>
      <c r="J2" s="193"/>
    </row>
    <row r="3" spans="1:12" ht="15" thickBot="1">
      <c r="A3" s="199" t="s">
        <v>0</v>
      </c>
      <c r="B3" s="199"/>
      <c r="C3" s="199"/>
      <c r="D3" s="1"/>
      <c r="E3" s="1"/>
      <c r="F3" s="198" t="s">
        <v>188</v>
      </c>
      <c r="G3" s="198"/>
      <c r="H3" s="198"/>
      <c r="I3" s="198"/>
      <c r="J3" s="198"/>
      <c r="K3" s="29"/>
      <c r="L3" s="29"/>
    </row>
    <row r="4" spans="1:12" ht="14.4" customHeight="1">
      <c r="A4" s="168" t="s">
        <v>1</v>
      </c>
      <c r="B4" s="171" t="s">
        <v>2</v>
      </c>
      <c r="C4" s="175" t="s">
        <v>185</v>
      </c>
      <c r="D4" s="176"/>
      <c r="E4" s="181" t="s">
        <v>186</v>
      </c>
      <c r="F4" s="182"/>
      <c r="G4" s="175" t="s">
        <v>187</v>
      </c>
      <c r="H4" s="187"/>
      <c r="I4" s="200" t="s">
        <v>91</v>
      </c>
      <c r="J4" s="200"/>
      <c r="K4" s="27"/>
      <c r="L4" s="14"/>
    </row>
    <row r="5" spans="1:12">
      <c r="A5" s="169"/>
      <c r="B5" s="172"/>
      <c r="C5" s="177"/>
      <c r="D5" s="178"/>
      <c r="E5" s="183"/>
      <c r="F5" s="184"/>
      <c r="G5" s="188"/>
      <c r="H5" s="189"/>
      <c r="I5" s="201"/>
      <c r="J5" s="201"/>
      <c r="K5" s="27"/>
      <c r="L5" s="14"/>
    </row>
    <row r="6" spans="1:12">
      <c r="A6" s="169"/>
      <c r="B6" s="173"/>
      <c r="C6" s="179"/>
      <c r="D6" s="180"/>
      <c r="E6" s="185"/>
      <c r="F6" s="186"/>
      <c r="G6" s="190"/>
      <c r="H6" s="191"/>
      <c r="I6" s="201"/>
      <c r="J6" s="201"/>
      <c r="K6" s="27"/>
      <c r="L6" s="14"/>
    </row>
    <row r="7" spans="1:12">
      <c r="A7" s="170"/>
      <c r="B7" s="174"/>
      <c r="C7" s="2">
        <v>1</v>
      </c>
      <c r="D7" s="2">
        <v>2</v>
      </c>
      <c r="E7" s="2">
        <v>1</v>
      </c>
      <c r="F7" s="2">
        <v>2</v>
      </c>
      <c r="G7" s="3">
        <v>1</v>
      </c>
      <c r="H7" s="151">
        <v>2</v>
      </c>
      <c r="I7" s="202"/>
      <c r="J7" s="202"/>
      <c r="K7" s="27"/>
      <c r="L7" s="14"/>
    </row>
    <row r="8" spans="1:12" ht="14.4" customHeight="1">
      <c r="A8" s="207" t="s">
        <v>3</v>
      </c>
      <c r="B8" s="209">
        <f>SUM(B10,B18,B31,B37,B44,B51,B58,B63,B70,B80,B87,B102)</f>
        <v>135836</v>
      </c>
      <c r="C8" s="194">
        <f>SUM(C10,C18,C31,C37,C44,C51,C58,C63,C70,C80,C87,C102)</f>
        <v>124265</v>
      </c>
      <c r="D8" s="194">
        <f t="shared" ref="D8:H8" si="0">SUM(D10,D18,D31,D37,D44,D51,D58,D63,D70,D80,D87,D102)</f>
        <v>433136.68999999994</v>
      </c>
      <c r="E8" s="194">
        <f t="shared" si="0"/>
        <v>11562</v>
      </c>
      <c r="F8" s="194">
        <f>SUM(F10,F18,F31,F37,F44,F51,F58,F63,F70,F80,F87,F102)</f>
        <v>9379.6450000000004</v>
      </c>
      <c r="G8" s="194">
        <f t="shared" si="0"/>
        <v>9</v>
      </c>
      <c r="H8" s="196">
        <f t="shared" si="0"/>
        <v>5.5</v>
      </c>
      <c r="I8" s="203" t="s">
        <v>92</v>
      </c>
      <c r="J8" s="203"/>
      <c r="K8" s="15"/>
      <c r="L8" s="16"/>
    </row>
    <row r="9" spans="1:12">
      <c r="A9" s="208"/>
      <c r="B9" s="210"/>
      <c r="C9" s="195"/>
      <c r="D9" s="195"/>
      <c r="E9" s="195"/>
      <c r="F9" s="195"/>
      <c r="G9" s="195"/>
      <c r="H9" s="197"/>
      <c r="I9" s="192"/>
      <c r="J9" s="192"/>
      <c r="K9" s="15"/>
      <c r="L9" s="16"/>
    </row>
    <row r="10" spans="1:12" ht="14.4" customHeight="1">
      <c r="A10" s="204" t="s">
        <v>4</v>
      </c>
      <c r="B10" s="205">
        <f>SUM(C10,E10,G10)</f>
        <v>22142</v>
      </c>
      <c r="C10" s="206">
        <f>SUM(C12:C17)</f>
        <v>21493</v>
      </c>
      <c r="D10" s="206">
        <f t="shared" ref="D10:H10" si="1">SUM(D12:D17)</f>
        <v>64494.101000000002</v>
      </c>
      <c r="E10" s="206">
        <f t="shared" si="1"/>
        <v>649</v>
      </c>
      <c r="F10" s="206">
        <f t="shared" si="1"/>
        <v>496.6</v>
      </c>
      <c r="G10" s="206">
        <f t="shared" si="1"/>
        <v>0</v>
      </c>
      <c r="H10" s="197">
        <f t="shared" si="1"/>
        <v>0</v>
      </c>
      <c r="I10" s="218" t="s">
        <v>93</v>
      </c>
      <c r="J10" s="218"/>
      <c r="K10" s="15"/>
      <c r="L10" s="15"/>
    </row>
    <row r="11" spans="1:12" ht="31.8" customHeight="1">
      <c r="A11" s="204"/>
      <c r="B11" s="205"/>
      <c r="C11" s="206"/>
      <c r="D11" s="206"/>
      <c r="E11" s="206"/>
      <c r="F11" s="206"/>
      <c r="G11" s="206"/>
      <c r="H11" s="197"/>
      <c r="I11" s="218"/>
      <c r="J11" s="218"/>
      <c r="K11" s="15"/>
      <c r="L11" s="15"/>
    </row>
    <row r="12" spans="1:12" ht="12.6" customHeight="1">
      <c r="A12" s="4" t="s">
        <v>5</v>
      </c>
      <c r="B12" s="5">
        <f>SUM(C12,E12,G12,I12,K12,M12,O12)</f>
        <v>1011</v>
      </c>
      <c r="C12" s="6">
        <v>1011</v>
      </c>
      <c r="D12" s="7">
        <v>4560.6000000000004</v>
      </c>
      <c r="E12" s="9" t="s">
        <v>288</v>
      </c>
      <c r="F12" s="9" t="s">
        <v>288</v>
      </c>
      <c r="G12" s="9" t="s">
        <v>288</v>
      </c>
      <c r="H12" s="152" t="s">
        <v>288</v>
      </c>
      <c r="I12" s="28" t="s">
        <v>94</v>
      </c>
      <c r="J12" s="16"/>
      <c r="K12" s="16"/>
      <c r="L12" s="16"/>
    </row>
    <row r="13" spans="1:12" ht="12.6" customHeight="1">
      <c r="A13" s="4" t="s">
        <v>6</v>
      </c>
      <c r="B13" s="5">
        <f>SUM(C13,E13,G13,I13,K13,M13,O13)</f>
        <v>1677</v>
      </c>
      <c r="C13" s="6">
        <v>1170</v>
      </c>
      <c r="D13" s="7">
        <v>1798</v>
      </c>
      <c r="E13" s="7">
        <v>507</v>
      </c>
      <c r="F13" s="7">
        <v>379</v>
      </c>
      <c r="G13" s="9" t="s">
        <v>288</v>
      </c>
      <c r="H13" s="152" t="s">
        <v>288</v>
      </c>
      <c r="I13" s="28" t="s">
        <v>95</v>
      </c>
      <c r="J13" s="16"/>
      <c r="K13" s="16"/>
      <c r="L13" s="16"/>
    </row>
    <row r="14" spans="1:12" ht="12.6" customHeight="1">
      <c r="A14" s="4" t="s">
        <v>7</v>
      </c>
      <c r="B14" s="5">
        <f t="shared" ref="B14:B17" si="2">SUM(C14,E14,G14,I14,K14,M14,O14)</f>
        <v>1395</v>
      </c>
      <c r="C14" s="6">
        <v>1395</v>
      </c>
      <c r="D14" s="7">
        <v>7329.0010000000002</v>
      </c>
      <c r="E14" s="9" t="s">
        <v>288</v>
      </c>
      <c r="F14" s="9" t="s">
        <v>288</v>
      </c>
      <c r="G14" s="9" t="s">
        <v>288</v>
      </c>
      <c r="H14" s="152" t="s">
        <v>288</v>
      </c>
      <c r="I14" s="28" t="s">
        <v>96</v>
      </c>
      <c r="J14" s="16"/>
      <c r="K14" s="16"/>
      <c r="L14" s="16"/>
    </row>
    <row r="15" spans="1:12" ht="12.6" customHeight="1">
      <c r="A15" s="4" t="s">
        <v>8</v>
      </c>
      <c r="B15" s="5">
        <f t="shared" si="2"/>
        <v>2</v>
      </c>
      <c r="C15" s="6">
        <v>2</v>
      </c>
      <c r="D15" s="7">
        <v>3</v>
      </c>
      <c r="E15" s="9" t="s">
        <v>288</v>
      </c>
      <c r="F15" s="9" t="s">
        <v>288</v>
      </c>
      <c r="G15" s="9" t="s">
        <v>288</v>
      </c>
      <c r="H15" s="152" t="s">
        <v>288</v>
      </c>
      <c r="I15" s="28" t="s">
        <v>97</v>
      </c>
      <c r="J15" s="16"/>
      <c r="K15" s="16"/>
      <c r="L15" s="16"/>
    </row>
    <row r="16" spans="1:12" ht="12.6" customHeight="1">
      <c r="A16" s="4" t="s">
        <v>9</v>
      </c>
      <c r="B16" s="5">
        <f t="shared" si="2"/>
        <v>597</v>
      </c>
      <c r="C16" s="6">
        <v>475</v>
      </c>
      <c r="D16" s="7">
        <v>495.5</v>
      </c>
      <c r="E16" s="7">
        <v>122</v>
      </c>
      <c r="F16" s="7">
        <v>103.6</v>
      </c>
      <c r="G16" s="9" t="s">
        <v>288</v>
      </c>
      <c r="H16" s="152" t="s">
        <v>288</v>
      </c>
      <c r="I16" s="28" t="s">
        <v>98</v>
      </c>
      <c r="J16" s="16"/>
      <c r="K16" s="16"/>
      <c r="L16" s="16"/>
    </row>
    <row r="17" spans="1:12" ht="12.6" customHeight="1">
      <c r="A17" s="4" t="s">
        <v>10</v>
      </c>
      <c r="B17" s="5">
        <f t="shared" si="2"/>
        <v>17460</v>
      </c>
      <c r="C17" s="6">
        <v>17440</v>
      </c>
      <c r="D17" s="7">
        <v>50308</v>
      </c>
      <c r="E17" s="9">
        <v>20</v>
      </c>
      <c r="F17" s="9">
        <v>14</v>
      </c>
      <c r="G17" s="9" t="s">
        <v>288</v>
      </c>
      <c r="H17" s="152" t="s">
        <v>288</v>
      </c>
      <c r="I17" s="28" t="s">
        <v>99</v>
      </c>
      <c r="J17" s="16"/>
      <c r="K17" s="16"/>
      <c r="L17" s="16"/>
    </row>
    <row r="18" spans="1:12" ht="12.6" customHeight="1">
      <c r="A18" s="211" t="s">
        <v>11</v>
      </c>
      <c r="B18" s="205">
        <f>SUM(C18,E18,G18)</f>
        <v>54983</v>
      </c>
      <c r="C18" s="206">
        <f>SUM(C20:C30)</f>
        <v>54390</v>
      </c>
      <c r="D18" s="206">
        <f t="shared" ref="D18:H18" si="3">SUM(D20:D30)</f>
        <v>269434.5</v>
      </c>
      <c r="E18" s="206">
        <f t="shared" si="3"/>
        <v>586</v>
      </c>
      <c r="F18" s="206">
        <f t="shared" si="3"/>
        <v>771</v>
      </c>
      <c r="G18" s="206">
        <f t="shared" si="3"/>
        <v>7</v>
      </c>
      <c r="H18" s="197">
        <f t="shared" si="3"/>
        <v>3.5</v>
      </c>
      <c r="I18" s="215" t="s">
        <v>100</v>
      </c>
      <c r="J18" s="215"/>
      <c r="K18" s="23"/>
      <c r="L18" s="16"/>
    </row>
    <row r="19" spans="1:12" ht="28.2" customHeight="1">
      <c r="A19" s="211"/>
      <c r="B19" s="205"/>
      <c r="C19" s="206"/>
      <c r="D19" s="206"/>
      <c r="E19" s="206"/>
      <c r="F19" s="206"/>
      <c r="G19" s="206"/>
      <c r="H19" s="197"/>
      <c r="I19" s="215"/>
      <c r="J19" s="215"/>
      <c r="K19" s="23"/>
      <c r="L19" s="16"/>
    </row>
    <row r="20" spans="1:12" ht="12.6" customHeight="1">
      <c r="A20" s="4" t="s">
        <v>12</v>
      </c>
      <c r="B20" s="5">
        <f>SUM(C20,E20,G20)</f>
        <v>39279</v>
      </c>
      <c r="C20" s="6">
        <v>39179</v>
      </c>
      <c r="D20" s="7">
        <v>220262</v>
      </c>
      <c r="E20" s="9">
        <v>100</v>
      </c>
      <c r="F20" s="9">
        <v>20</v>
      </c>
      <c r="G20" s="9" t="s">
        <v>288</v>
      </c>
      <c r="H20" s="152" t="s">
        <v>288</v>
      </c>
      <c r="I20" s="17" t="s">
        <v>101</v>
      </c>
      <c r="J20" s="16"/>
      <c r="K20" s="16"/>
      <c r="L20" s="16"/>
    </row>
    <row r="21" spans="1:12" ht="12.6" customHeight="1">
      <c r="A21" s="4" t="s">
        <v>13</v>
      </c>
      <c r="B21" s="5">
        <f t="shared" ref="B21:B30" si="4">SUM(C21,E21,G21,I21,K21,M21,O21)</f>
        <v>1936</v>
      </c>
      <c r="C21" s="6">
        <v>1880</v>
      </c>
      <c r="D21" s="7">
        <v>6483</v>
      </c>
      <c r="E21" s="7">
        <v>56</v>
      </c>
      <c r="F21" s="7">
        <v>221</v>
      </c>
      <c r="G21" s="9" t="s">
        <v>288</v>
      </c>
      <c r="H21" s="152" t="s">
        <v>288</v>
      </c>
      <c r="I21" s="17" t="s">
        <v>102</v>
      </c>
      <c r="J21" s="16"/>
      <c r="K21" s="16"/>
      <c r="L21" s="16"/>
    </row>
    <row r="22" spans="1:12" ht="12.6" customHeight="1">
      <c r="A22" s="4" t="s">
        <v>14</v>
      </c>
      <c r="B22" s="5">
        <f t="shared" si="4"/>
        <v>410</v>
      </c>
      <c r="C22" s="6">
        <v>313</v>
      </c>
      <c r="D22" s="7">
        <v>771.9</v>
      </c>
      <c r="E22" s="9">
        <v>90</v>
      </c>
      <c r="F22" s="9">
        <v>29</v>
      </c>
      <c r="G22" s="7">
        <v>7</v>
      </c>
      <c r="H22" s="153">
        <v>3.5</v>
      </c>
      <c r="I22" s="17" t="s">
        <v>103</v>
      </c>
      <c r="J22" s="16"/>
      <c r="K22" s="16"/>
      <c r="L22" s="16"/>
    </row>
    <row r="23" spans="1:12" ht="12.6" customHeight="1">
      <c r="A23" s="4" t="s">
        <v>15</v>
      </c>
      <c r="B23" s="5">
        <f t="shared" si="4"/>
        <v>5847</v>
      </c>
      <c r="C23" s="6">
        <v>5627</v>
      </c>
      <c r="D23" s="7">
        <v>17394.8</v>
      </c>
      <c r="E23" s="7">
        <v>220</v>
      </c>
      <c r="F23" s="7">
        <v>373</v>
      </c>
      <c r="G23" s="9" t="s">
        <v>288</v>
      </c>
      <c r="H23" s="152" t="s">
        <v>288</v>
      </c>
      <c r="I23" s="17" t="s">
        <v>104</v>
      </c>
      <c r="J23" s="16"/>
      <c r="K23" s="16"/>
      <c r="L23" s="16"/>
    </row>
    <row r="24" spans="1:12" ht="12.6" customHeight="1">
      <c r="A24" s="4" t="s">
        <v>16</v>
      </c>
      <c r="B24" s="5">
        <f t="shared" si="4"/>
        <v>421</v>
      </c>
      <c r="C24" s="6">
        <v>351</v>
      </c>
      <c r="D24" s="7">
        <v>889.5</v>
      </c>
      <c r="E24" s="7">
        <v>70</v>
      </c>
      <c r="F24" s="7">
        <v>28</v>
      </c>
      <c r="G24" s="9" t="s">
        <v>288</v>
      </c>
      <c r="H24" s="152" t="s">
        <v>288</v>
      </c>
      <c r="I24" s="17" t="s">
        <v>105</v>
      </c>
      <c r="J24" s="16"/>
      <c r="K24" s="16"/>
      <c r="L24" s="16"/>
    </row>
    <row r="25" spans="1:12" ht="12.6" customHeight="1">
      <c r="A25" s="4" t="s">
        <v>17</v>
      </c>
      <c r="B25" s="5">
        <f t="shared" si="4"/>
        <v>1749</v>
      </c>
      <c r="C25" s="6">
        <v>1749</v>
      </c>
      <c r="D25" s="7">
        <v>2680.5</v>
      </c>
      <c r="E25" s="9" t="s">
        <v>288</v>
      </c>
      <c r="F25" s="9" t="s">
        <v>288</v>
      </c>
      <c r="G25" s="9" t="s">
        <v>288</v>
      </c>
      <c r="H25" s="152" t="s">
        <v>288</v>
      </c>
      <c r="I25" s="17" t="s">
        <v>106</v>
      </c>
      <c r="J25" s="16"/>
      <c r="K25" s="16"/>
      <c r="L25" s="16"/>
    </row>
    <row r="26" spans="1:12" ht="12.6" customHeight="1">
      <c r="A26" s="4" t="s">
        <v>18</v>
      </c>
      <c r="B26" s="5">
        <f t="shared" si="4"/>
        <v>470</v>
      </c>
      <c r="C26" s="6">
        <v>470</v>
      </c>
      <c r="D26" s="7">
        <v>468.5</v>
      </c>
      <c r="E26" s="9" t="s">
        <v>288</v>
      </c>
      <c r="F26" s="9" t="s">
        <v>288</v>
      </c>
      <c r="G26" s="9" t="s">
        <v>288</v>
      </c>
      <c r="H26" s="152" t="s">
        <v>288</v>
      </c>
      <c r="I26" s="17" t="s">
        <v>107</v>
      </c>
      <c r="J26" s="16"/>
      <c r="K26" s="16"/>
      <c r="L26" s="16"/>
    </row>
    <row r="27" spans="1:12" ht="12.6" customHeight="1">
      <c r="A27" s="4" t="s">
        <v>19</v>
      </c>
      <c r="B27" s="5">
        <f t="shared" si="4"/>
        <v>1000</v>
      </c>
      <c r="C27" s="6">
        <v>1000</v>
      </c>
      <c r="D27" s="7">
        <v>3705.7</v>
      </c>
      <c r="E27" s="9" t="s">
        <v>288</v>
      </c>
      <c r="F27" s="9" t="s">
        <v>288</v>
      </c>
      <c r="G27" s="9" t="s">
        <v>288</v>
      </c>
      <c r="H27" s="152" t="s">
        <v>288</v>
      </c>
      <c r="I27" s="17" t="s">
        <v>108</v>
      </c>
      <c r="J27" s="16"/>
      <c r="K27" s="16"/>
      <c r="L27" s="16"/>
    </row>
    <row r="28" spans="1:12" ht="12.6" customHeight="1">
      <c r="A28" s="4" t="s">
        <v>20</v>
      </c>
      <c r="B28" s="5">
        <f t="shared" si="4"/>
        <v>1270</v>
      </c>
      <c r="C28" s="6">
        <v>1220</v>
      </c>
      <c r="D28" s="7">
        <v>5919.6</v>
      </c>
      <c r="E28" s="7">
        <v>50</v>
      </c>
      <c r="F28" s="7">
        <v>100</v>
      </c>
      <c r="G28" s="9" t="s">
        <v>288</v>
      </c>
      <c r="H28" s="152" t="s">
        <v>288</v>
      </c>
      <c r="I28" s="17" t="s">
        <v>109</v>
      </c>
      <c r="J28" s="16"/>
      <c r="K28" s="16"/>
      <c r="L28" s="16"/>
    </row>
    <row r="29" spans="1:12" ht="12.6" customHeight="1">
      <c r="A29" s="4" t="s">
        <v>21</v>
      </c>
      <c r="B29" s="5">
        <f t="shared" si="4"/>
        <v>120</v>
      </c>
      <c r="C29" s="6">
        <v>120</v>
      </c>
      <c r="D29" s="7">
        <v>165</v>
      </c>
      <c r="E29" s="9" t="s">
        <v>288</v>
      </c>
      <c r="F29" s="9" t="s">
        <v>288</v>
      </c>
      <c r="G29" s="9" t="s">
        <v>288</v>
      </c>
      <c r="H29" s="152" t="s">
        <v>288</v>
      </c>
      <c r="I29" s="17" t="s">
        <v>110</v>
      </c>
      <c r="J29" s="16"/>
      <c r="K29" s="16"/>
      <c r="L29" s="16"/>
    </row>
    <row r="30" spans="1:12" ht="12.6" customHeight="1">
      <c r="A30" s="4" t="s">
        <v>22</v>
      </c>
      <c r="B30" s="5">
        <f t="shared" si="4"/>
        <v>2481</v>
      </c>
      <c r="C30" s="6">
        <v>2481</v>
      </c>
      <c r="D30" s="7">
        <v>10694</v>
      </c>
      <c r="E30" s="9" t="s">
        <v>288</v>
      </c>
      <c r="F30" s="9" t="s">
        <v>288</v>
      </c>
      <c r="G30" s="9" t="s">
        <v>288</v>
      </c>
      <c r="H30" s="152" t="s">
        <v>288</v>
      </c>
      <c r="I30" s="17" t="s">
        <v>111</v>
      </c>
      <c r="J30" s="16"/>
      <c r="K30" s="16"/>
      <c r="L30" s="16"/>
    </row>
    <row r="31" spans="1:12" ht="12.6" customHeight="1">
      <c r="A31" s="211" t="s">
        <v>23</v>
      </c>
      <c r="B31" s="205">
        <f>SUM(C31,E31,G31)</f>
        <v>9228</v>
      </c>
      <c r="C31" s="206">
        <f>SUM(C33:C36)</f>
        <v>8485</v>
      </c>
      <c r="D31" s="206">
        <f t="shared" ref="D31:H31" si="5">SUM(D33:D36)</f>
        <v>4556.5439999999999</v>
      </c>
      <c r="E31" s="206">
        <f t="shared" si="5"/>
        <v>743</v>
      </c>
      <c r="F31" s="206">
        <f t="shared" si="5"/>
        <v>827.7</v>
      </c>
      <c r="G31" s="206">
        <f t="shared" si="5"/>
        <v>0</v>
      </c>
      <c r="H31" s="197">
        <f t="shared" si="5"/>
        <v>0</v>
      </c>
      <c r="I31" s="215" t="s">
        <v>112</v>
      </c>
      <c r="J31" s="215"/>
      <c r="K31" s="24"/>
      <c r="L31" s="16"/>
    </row>
    <row r="32" spans="1:12" ht="12.6" customHeight="1">
      <c r="A32" s="211"/>
      <c r="B32" s="205"/>
      <c r="C32" s="206"/>
      <c r="D32" s="206"/>
      <c r="E32" s="206"/>
      <c r="F32" s="206"/>
      <c r="G32" s="206"/>
      <c r="H32" s="197"/>
      <c r="I32" s="215"/>
      <c r="J32" s="215"/>
      <c r="K32" s="24"/>
      <c r="L32" s="16"/>
    </row>
    <row r="33" spans="1:12" ht="12.6" customHeight="1">
      <c r="A33" s="4" t="s">
        <v>24</v>
      </c>
      <c r="B33" s="5">
        <f t="shared" ref="B33:B36" si="6">SUM(C33,E33,G33,I33,K33,M33,O33)</f>
        <v>6761</v>
      </c>
      <c r="C33" s="6">
        <v>6501</v>
      </c>
      <c r="D33" s="7">
        <v>2886.0439999999999</v>
      </c>
      <c r="E33" s="7">
        <v>260</v>
      </c>
      <c r="F33" s="7">
        <v>517.5</v>
      </c>
      <c r="G33" s="9" t="s">
        <v>288</v>
      </c>
      <c r="H33" s="152" t="s">
        <v>288</v>
      </c>
      <c r="I33" s="17" t="s">
        <v>113</v>
      </c>
      <c r="J33" s="16"/>
      <c r="K33" s="16"/>
      <c r="L33" s="16"/>
    </row>
    <row r="34" spans="1:12" ht="12.6" customHeight="1">
      <c r="A34" s="4" t="s">
        <v>25</v>
      </c>
      <c r="B34" s="5">
        <f t="shared" si="6"/>
        <v>408</v>
      </c>
      <c r="C34" s="6">
        <v>235</v>
      </c>
      <c r="D34" s="7">
        <v>188.5</v>
      </c>
      <c r="E34" s="7">
        <v>173</v>
      </c>
      <c r="F34" s="7">
        <v>84.2</v>
      </c>
      <c r="G34" s="9" t="s">
        <v>288</v>
      </c>
      <c r="H34" s="152" t="s">
        <v>288</v>
      </c>
      <c r="I34" s="17" t="s">
        <v>114</v>
      </c>
      <c r="J34" s="16"/>
      <c r="K34" s="16"/>
      <c r="L34" s="16"/>
    </row>
    <row r="35" spans="1:12" ht="12.6" customHeight="1">
      <c r="A35" s="4" t="s">
        <v>26</v>
      </c>
      <c r="B35" s="5">
        <f t="shared" si="6"/>
        <v>385</v>
      </c>
      <c r="C35" s="6">
        <v>155</v>
      </c>
      <c r="D35" s="7">
        <v>273</v>
      </c>
      <c r="E35" s="7">
        <v>230</v>
      </c>
      <c r="F35" s="7">
        <v>152</v>
      </c>
      <c r="G35" s="9" t="s">
        <v>288</v>
      </c>
      <c r="H35" s="152" t="s">
        <v>288</v>
      </c>
      <c r="I35" s="17" t="s">
        <v>115</v>
      </c>
      <c r="J35" s="16"/>
      <c r="K35" s="16"/>
      <c r="L35" s="16"/>
    </row>
    <row r="36" spans="1:12" ht="12.6" customHeight="1">
      <c r="A36" s="4" t="s">
        <v>27</v>
      </c>
      <c r="B36" s="5">
        <f t="shared" si="6"/>
        <v>1674</v>
      </c>
      <c r="C36" s="6">
        <v>1594</v>
      </c>
      <c r="D36" s="7">
        <v>1209</v>
      </c>
      <c r="E36" s="7">
        <v>80</v>
      </c>
      <c r="F36" s="7">
        <v>74</v>
      </c>
      <c r="G36" s="9" t="s">
        <v>288</v>
      </c>
      <c r="H36" s="152" t="s">
        <v>288</v>
      </c>
      <c r="I36" s="17" t="s">
        <v>116</v>
      </c>
      <c r="J36" s="16"/>
      <c r="K36" s="16"/>
      <c r="L36" s="16"/>
    </row>
    <row r="37" spans="1:12" ht="12.6" customHeight="1">
      <c r="A37" s="211" t="s">
        <v>28</v>
      </c>
      <c r="B37" s="205">
        <f>SUM(C37,E37,G37)</f>
        <v>12703</v>
      </c>
      <c r="C37" s="206">
        <f>SUM(C39:C43)</f>
        <v>12145</v>
      </c>
      <c r="D37" s="206">
        <f t="shared" ref="D37:H37" si="7">SUM(D39:D43)</f>
        <v>63825.8</v>
      </c>
      <c r="E37" s="206">
        <f t="shared" si="7"/>
        <v>558</v>
      </c>
      <c r="F37" s="206">
        <f t="shared" si="7"/>
        <v>1303.6500000000001</v>
      </c>
      <c r="G37" s="206">
        <f t="shared" si="7"/>
        <v>0</v>
      </c>
      <c r="H37" s="197">
        <f t="shared" si="7"/>
        <v>0</v>
      </c>
      <c r="I37" s="215" t="s">
        <v>117</v>
      </c>
      <c r="J37" s="215"/>
      <c r="K37" s="24"/>
      <c r="L37" s="16"/>
    </row>
    <row r="38" spans="1:12" ht="12.6" customHeight="1">
      <c r="A38" s="211"/>
      <c r="B38" s="205"/>
      <c r="C38" s="206"/>
      <c r="D38" s="206"/>
      <c r="E38" s="206"/>
      <c r="F38" s="206"/>
      <c r="G38" s="206"/>
      <c r="H38" s="197"/>
      <c r="I38" s="215"/>
      <c r="J38" s="215"/>
      <c r="K38" s="24"/>
      <c r="L38" s="16"/>
    </row>
    <row r="39" spans="1:12" ht="12.6" customHeight="1">
      <c r="A39" s="4" t="s">
        <v>29</v>
      </c>
      <c r="B39" s="5">
        <f t="shared" ref="B39:B43" si="8">SUM(C39,E39,G39,I39,K39,M39,O39)</f>
        <v>6909</v>
      </c>
      <c r="C39" s="6">
        <v>6351</v>
      </c>
      <c r="D39" s="7">
        <v>33043.9</v>
      </c>
      <c r="E39" s="7">
        <v>558</v>
      </c>
      <c r="F39" s="7">
        <v>1303.6500000000001</v>
      </c>
      <c r="G39" s="9" t="s">
        <v>288</v>
      </c>
      <c r="H39" s="152" t="s">
        <v>288</v>
      </c>
      <c r="I39" s="17" t="s">
        <v>118</v>
      </c>
      <c r="J39" s="16"/>
      <c r="K39" s="16"/>
      <c r="L39" s="16"/>
    </row>
    <row r="40" spans="1:12" ht="12.6" customHeight="1">
      <c r="A40" s="4" t="s">
        <v>30</v>
      </c>
      <c r="B40" s="5">
        <f t="shared" si="8"/>
        <v>193</v>
      </c>
      <c r="C40" s="6">
        <v>193</v>
      </c>
      <c r="D40" s="7">
        <v>1194</v>
      </c>
      <c r="E40" s="9" t="s">
        <v>288</v>
      </c>
      <c r="F40" s="9" t="s">
        <v>288</v>
      </c>
      <c r="G40" s="9" t="s">
        <v>288</v>
      </c>
      <c r="H40" s="152" t="s">
        <v>288</v>
      </c>
      <c r="I40" s="17" t="s">
        <v>119</v>
      </c>
      <c r="J40" s="16"/>
      <c r="K40" s="16"/>
      <c r="L40" s="16"/>
    </row>
    <row r="41" spans="1:12" ht="12.6" customHeight="1">
      <c r="A41" s="4" t="s">
        <v>31</v>
      </c>
      <c r="B41" s="5">
        <f t="shared" si="8"/>
        <v>575</v>
      </c>
      <c r="C41" s="6">
        <v>575</v>
      </c>
      <c r="D41" s="7">
        <v>2371.4</v>
      </c>
      <c r="E41" s="9" t="s">
        <v>288</v>
      </c>
      <c r="F41" s="9" t="s">
        <v>288</v>
      </c>
      <c r="G41" s="9" t="s">
        <v>288</v>
      </c>
      <c r="H41" s="152" t="s">
        <v>288</v>
      </c>
      <c r="I41" s="17" t="s">
        <v>120</v>
      </c>
      <c r="J41" s="16"/>
      <c r="K41" s="16"/>
      <c r="L41" s="16"/>
    </row>
    <row r="42" spans="1:12" ht="12.6" customHeight="1">
      <c r="A42" s="4" t="s">
        <v>32</v>
      </c>
      <c r="B42" s="5">
        <f t="shared" si="8"/>
        <v>0</v>
      </c>
      <c r="C42" s="8" t="s">
        <v>288</v>
      </c>
      <c r="D42" s="9" t="s">
        <v>288</v>
      </c>
      <c r="E42" s="9" t="s">
        <v>288</v>
      </c>
      <c r="F42" s="9" t="s">
        <v>288</v>
      </c>
      <c r="G42" s="9" t="s">
        <v>288</v>
      </c>
      <c r="H42" s="152" t="s">
        <v>288</v>
      </c>
      <c r="I42" s="26" t="s">
        <v>121</v>
      </c>
      <c r="J42" s="25"/>
      <c r="K42" s="25"/>
      <c r="L42" s="16"/>
    </row>
    <row r="43" spans="1:12" ht="12.6" customHeight="1">
      <c r="A43" s="4" t="s">
        <v>33</v>
      </c>
      <c r="B43" s="5">
        <f t="shared" si="8"/>
        <v>5026</v>
      </c>
      <c r="C43" s="6">
        <v>5026</v>
      </c>
      <c r="D43" s="7">
        <v>27216.5</v>
      </c>
      <c r="E43" s="9" t="s">
        <v>288</v>
      </c>
      <c r="F43" s="9" t="s">
        <v>288</v>
      </c>
      <c r="G43" s="9" t="s">
        <v>288</v>
      </c>
      <c r="H43" s="152" t="s">
        <v>288</v>
      </c>
      <c r="I43" s="17" t="s">
        <v>122</v>
      </c>
      <c r="J43" s="16"/>
      <c r="K43" s="16"/>
      <c r="L43" s="16"/>
    </row>
    <row r="44" spans="1:12" ht="12.6" customHeight="1">
      <c r="A44" s="204" t="s">
        <v>34</v>
      </c>
      <c r="B44" s="205">
        <f>SUM(C44,E44,G44)</f>
        <v>5534</v>
      </c>
      <c r="C44" s="206">
        <f>SUM(C46:C50)</f>
        <v>4630</v>
      </c>
      <c r="D44" s="206">
        <f t="shared" ref="D44:H44" si="9">SUM(D46:D50)</f>
        <v>15844.75</v>
      </c>
      <c r="E44" s="206">
        <f t="shared" si="9"/>
        <v>904</v>
      </c>
      <c r="F44" s="206">
        <f t="shared" si="9"/>
        <v>764.65</v>
      </c>
      <c r="G44" s="206">
        <f t="shared" si="9"/>
        <v>0</v>
      </c>
      <c r="H44" s="197">
        <f t="shared" si="9"/>
        <v>0</v>
      </c>
      <c r="I44" s="215" t="s">
        <v>123</v>
      </c>
      <c r="J44" s="215"/>
      <c r="K44" s="23"/>
      <c r="L44" s="16"/>
    </row>
    <row r="45" spans="1:12" ht="14.4" customHeight="1">
      <c r="A45" s="204"/>
      <c r="B45" s="205"/>
      <c r="C45" s="206"/>
      <c r="D45" s="206"/>
      <c r="E45" s="206"/>
      <c r="F45" s="206"/>
      <c r="G45" s="206"/>
      <c r="H45" s="197"/>
      <c r="I45" s="215"/>
      <c r="J45" s="215"/>
      <c r="K45" s="23"/>
      <c r="L45" s="16"/>
    </row>
    <row r="46" spans="1:12" ht="12.6" customHeight="1">
      <c r="A46" s="4" t="s">
        <v>35</v>
      </c>
      <c r="B46" s="5">
        <f t="shared" ref="B46:B50" si="10">SUM(C46,E46,G46,I46,K46,M46,O46)</f>
        <v>2218</v>
      </c>
      <c r="C46" s="6">
        <v>1908</v>
      </c>
      <c r="D46" s="7">
        <v>5439.6</v>
      </c>
      <c r="E46" s="7">
        <v>310</v>
      </c>
      <c r="F46" s="7">
        <v>123.8</v>
      </c>
      <c r="G46" s="9" t="s">
        <v>288</v>
      </c>
      <c r="H46" s="152" t="s">
        <v>288</v>
      </c>
      <c r="I46" s="17" t="s">
        <v>124</v>
      </c>
      <c r="J46" s="16"/>
      <c r="K46" s="16"/>
      <c r="L46" s="16"/>
    </row>
    <row r="47" spans="1:12" ht="12.6" customHeight="1">
      <c r="A47" s="4" t="s">
        <v>36</v>
      </c>
      <c r="B47" s="5">
        <f t="shared" si="10"/>
        <v>2236</v>
      </c>
      <c r="C47" s="6">
        <v>1736</v>
      </c>
      <c r="D47" s="7">
        <v>9860</v>
      </c>
      <c r="E47" s="7">
        <v>500</v>
      </c>
      <c r="F47" s="7">
        <v>600</v>
      </c>
      <c r="G47" s="9" t="s">
        <v>288</v>
      </c>
      <c r="H47" s="152" t="s">
        <v>288</v>
      </c>
      <c r="I47" s="17" t="s">
        <v>125</v>
      </c>
      <c r="J47" s="16"/>
      <c r="K47" s="16"/>
      <c r="L47" s="16"/>
    </row>
    <row r="48" spans="1:12" ht="12.6" customHeight="1">
      <c r="A48" s="4" t="s">
        <v>37</v>
      </c>
      <c r="B48" s="5">
        <f t="shared" si="10"/>
        <v>1050</v>
      </c>
      <c r="C48" s="6">
        <v>956</v>
      </c>
      <c r="D48" s="7">
        <v>539.15</v>
      </c>
      <c r="E48" s="7">
        <v>94</v>
      </c>
      <c r="F48" s="7">
        <v>40.85</v>
      </c>
      <c r="G48" s="9" t="s">
        <v>288</v>
      </c>
      <c r="H48" s="152" t="s">
        <v>288</v>
      </c>
      <c r="I48" s="17" t="s">
        <v>126</v>
      </c>
      <c r="J48" s="16"/>
      <c r="K48" s="16"/>
      <c r="L48" s="16"/>
    </row>
    <row r="49" spans="1:12" ht="12.6" customHeight="1">
      <c r="A49" s="4" t="s">
        <v>38</v>
      </c>
      <c r="B49" s="5">
        <f t="shared" si="10"/>
        <v>0</v>
      </c>
      <c r="C49" s="8" t="s">
        <v>288</v>
      </c>
      <c r="D49" s="9" t="s">
        <v>288</v>
      </c>
      <c r="E49" s="9" t="s">
        <v>288</v>
      </c>
      <c r="F49" s="9" t="s">
        <v>288</v>
      </c>
      <c r="G49" s="9" t="s">
        <v>288</v>
      </c>
      <c r="H49" s="152" t="s">
        <v>288</v>
      </c>
      <c r="I49" s="17" t="s">
        <v>127</v>
      </c>
      <c r="J49" s="16"/>
      <c r="K49" s="16"/>
      <c r="L49" s="16"/>
    </row>
    <row r="50" spans="1:12" ht="12.6" customHeight="1">
      <c r="A50" s="4" t="s">
        <v>39</v>
      </c>
      <c r="B50" s="5">
        <f t="shared" si="10"/>
        <v>30</v>
      </c>
      <c r="C50" s="6">
        <v>30</v>
      </c>
      <c r="D50" s="7">
        <v>6</v>
      </c>
      <c r="E50" s="9" t="s">
        <v>288</v>
      </c>
      <c r="F50" s="9" t="s">
        <v>288</v>
      </c>
      <c r="G50" s="9" t="s">
        <v>288</v>
      </c>
      <c r="H50" s="152" t="s">
        <v>288</v>
      </c>
      <c r="I50" s="17" t="s">
        <v>128</v>
      </c>
      <c r="J50" s="16"/>
      <c r="K50" s="16"/>
      <c r="L50" s="16"/>
    </row>
    <row r="51" spans="1:12" ht="12.6" customHeight="1">
      <c r="A51" s="211" t="s">
        <v>40</v>
      </c>
      <c r="B51" s="205">
        <f>SUM(C51,E51,G51)</f>
        <v>4293</v>
      </c>
      <c r="C51" s="206">
        <f>SUM(C53:C57)</f>
        <v>4112</v>
      </c>
      <c r="D51" s="206">
        <f t="shared" ref="D51:H51" si="11">SUM(D53:D57)</f>
        <v>2129.1899999999996</v>
      </c>
      <c r="E51" s="206">
        <f t="shared" si="11"/>
        <v>181</v>
      </c>
      <c r="F51" s="206">
        <f t="shared" si="11"/>
        <v>186.5</v>
      </c>
      <c r="G51" s="206">
        <f t="shared" si="11"/>
        <v>0</v>
      </c>
      <c r="H51" s="197">
        <f t="shared" si="11"/>
        <v>0</v>
      </c>
      <c r="I51" s="215" t="s">
        <v>129</v>
      </c>
      <c r="J51" s="215"/>
      <c r="K51" s="24"/>
      <c r="L51" s="16"/>
    </row>
    <row r="52" spans="1:12" ht="12.6" customHeight="1">
      <c r="A52" s="211"/>
      <c r="B52" s="205"/>
      <c r="C52" s="206"/>
      <c r="D52" s="206"/>
      <c r="E52" s="206"/>
      <c r="F52" s="206"/>
      <c r="G52" s="206"/>
      <c r="H52" s="197"/>
      <c r="I52" s="215"/>
      <c r="J52" s="215"/>
      <c r="K52" s="24"/>
      <c r="L52" s="16"/>
    </row>
    <row r="53" spans="1:12" ht="12.6" customHeight="1">
      <c r="A53" s="4" t="s">
        <v>41</v>
      </c>
      <c r="B53" s="5">
        <f t="shared" ref="B53:B57" si="12">SUM(C53,E53,G53,I53,K53,M53,O53)</f>
        <v>3720</v>
      </c>
      <c r="C53" s="6">
        <v>3652</v>
      </c>
      <c r="D53" s="7">
        <v>1882.09</v>
      </c>
      <c r="E53" s="7">
        <v>68</v>
      </c>
      <c r="F53" s="7">
        <v>128</v>
      </c>
      <c r="G53" s="9" t="s">
        <v>288</v>
      </c>
      <c r="H53" s="152" t="s">
        <v>288</v>
      </c>
      <c r="I53" s="17" t="s">
        <v>130</v>
      </c>
      <c r="J53" s="16"/>
      <c r="K53" s="16"/>
      <c r="L53" s="16"/>
    </row>
    <row r="54" spans="1:12" ht="12.6" customHeight="1">
      <c r="A54" s="4" t="s">
        <v>42</v>
      </c>
      <c r="B54" s="5">
        <f t="shared" si="12"/>
        <v>345</v>
      </c>
      <c r="C54" s="6">
        <v>235</v>
      </c>
      <c r="D54" s="7">
        <v>147.1</v>
      </c>
      <c r="E54" s="7">
        <v>110</v>
      </c>
      <c r="F54" s="7">
        <v>52</v>
      </c>
      <c r="G54" s="9" t="s">
        <v>288</v>
      </c>
      <c r="H54" s="152" t="s">
        <v>288</v>
      </c>
      <c r="I54" s="17" t="s">
        <v>131</v>
      </c>
      <c r="J54" s="16"/>
      <c r="K54" s="16"/>
      <c r="L54" s="16"/>
    </row>
    <row r="55" spans="1:12" ht="12.6" customHeight="1">
      <c r="A55" s="4" t="s">
        <v>43</v>
      </c>
      <c r="B55" s="5">
        <f t="shared" si="12"/>
        <v>0</v>
      </c>
      <c r="C55" s="8" t="s">
        <v>288</v>
      </c>
      <c r="D55" s="9" t="s">
        <v>288</v>
      </c>
      <c r="E55" s="9" t="s">
        <v>288</v>
      </c>
      <c r="F55" s="9" t="s">
        <v>288</v>
      </c>
      <c r="G55" s="9" t="s">
        <v>288</v>
      </c>
      <c r="H55" s="152" t="s">
        <v>288</v>
      </c>
      <c r="I55" s="17" t="s">
        <v>132</v>
      </c>
      <c r="J55" s="16"/>
      <c r="K55" s="16"/>
      <c r="L55" s="16"/>
    </row>
    <row r="56" spans="1:12" ht="12.6" customHeight="1">
      <c r="A56" s="4" t="s">
        <v>44</v>
      </c>
      <c r="B56" s="5">
        <f t="shared" si="12"/>
        <v>103</v>
      </c>
      <c r="C56" s="6">
        <v>100</v>
      </c>
      <c r="D56" s="7">
        <v>25</v>
      </c>
      <c r="E56" s="7">
        <v>3</v>
      </c>
      <c r="F56" s="7">
        <v>6.5</v>
      </c>
      <c r="G56" s="9" t="s">
        <v>288</v>
      </c>
      <c r="H56" s="152" t="s">
        <v>288</v>
      </c>
      <c r="I56" s="17" t="s">
        <v>133</v>
      </c>
      <c r="J56" s="16"/>
      <c r="K56" s="16"/>
      <c r="L56" s="16"/>
    </row>
    <row r="57" spans="1:12" ht="12.6" customHeight="1">
      <c r="A57" s="4" t="s">
        <v>45</v>
      </c>
      <c r="B57" s="5">
        <f t="shared" si="12"/>
        <v>125</v>
      </c>
      <c r="C57" s="6">
        <v>125</v>
      </c>
      <c r="D57" s="7">
        <v>75</v>
      </c>
      <c r="E57" s="9" t="s">
        <v>288</v>
      </c>
      <c r="F57" s="9" t="s">
        <v>288</v>
      </c>
      <c r="G57" s="9" t="s">
        <v>288</v>
      </c>
      <c r="H57" s="152" t="s">
        <v>288</v>
      </c>
      <c r="I57" s="17" t="s">
        <v>134</v>
      </c>
      <c r="J57" s="16"/>
      <c r="K57" s="16"/>
      <c r="L57" s="16"/>
    </row>
    <row r="58" spans="1:12" ht="12.6" customHeight="1">
      <c r="A58" s="212" t="s">
        <v>46</v>
      </c>
      <c r="B58" s="205">
        <f>SUM(C58,E58,G58)</f>
        <v>6474</v>
      </c>
      <c r="C58" s="206">
        <f>SUM(C60:C62)</f>
        <v>4379</v>
      </c>
      <c r="D58" s="206">
        <f t="shared" ref="D58:H58" si="13">SUM(D60:D62)</f>
        <v>3245.2</v>
      </c>
      <c r="E58" s="206">
        <f t="shared" si="13"/>
        <v>2095</v>
      </c>
      <c r="F58" s="206">
        <f t="shared" si="13"/>
        <v>1533.6</v>
      </c>
      <c r="G58" s="206">
        <f t="shared" si="13"/>
        <v>0</v>
      </c>
      <c r="H58" s="197">
        <f t="shared" si="13"/>
        <v>0</v>
      </c>
      <c r="I58" s="215" t="s">
        <v>135</v>
      </c>
      <c r="J58" s="215"/>
      <c r="K58" s="23"/>
      <c r="L58" s="16"/>
    </row>
    <row r="59" spans="1:12" ht="12.6" customHeight="1">
      <c r="A59" s="212"/>
      <c r="B59" s="205"/>
      <c r="C59" s="206"/>
      <c r="D59" s="206"/>
      <c r="E59" s="206"/>
      <c r="F59" s="206"/>
      <c r="G59" s="206"/>
      <c r="H59" s="197"/>
      <c r="I59" s="215"/>
      <c r="J59" s="215"/>
      <c r="K59" s="23"/>
      <c r="L59" s="16"/>
    </row>
    <row r="60" spans="1:12" ht="12.6" customHeight="1">
      <c r="A60" s="4" t="s">
        <v>47</v>
      </c>
      <c r="B60" s="5">
        <f t="shared" ref="B60:B62" si="14">SUM(C60,E60,G60,I60,K60,M60,O60)</f>
        <v>1955</v>
      </c>
      <c r="C60" s="6">
        <v>1765</v>
      </c>
      <c r="D60" s="7">
        <v>1307.7</v>
      </c>
      <c r="E60" s="7">
        <v>190</v>
      </c>
      <c r="F60" s="7">
        <v>154</v>
      </c>
      <c r="G60" s="9" t="s">
        <v>288</v>
      </c>
      <c r="H60" s="152" t="s">
        <v>288</v>
      </c>
      <c r="I60" s="28" t="s">
        <v>136</v>
      </c>
      <c r="J60" s="28"/>
      <c r="K60" s="19"/>
      <c r="L60" s="16"/>
    </row>
    <row r="61" spans="1:12" ht="12.6" customHeight="1">
      <c r="A61" s="4" t="s">
        <v>48</v>
      </c>
      <c r="B61" s="5">
        <f t="shared" si="14"/>
        <v>363</v>
      </c>
      <c r="C61" s="6">
        <v>188</v>
      </c>
      <c r="D61" s="7">
        <v>610.79999999999995</v>
      </c>
      <c r="E61" s="7">
        <v>175</v>
      </c>
      <c r="F61" s="7">
        <v>58</v>
      </c>
      <c r="G61" s="9" t="s">
        <v>288</v>
      </c>
      <c r="H61" s="152" t="s">
        <v>288</v>
      </c>
      <c r="I61" s="217" t="s">
        <v>137</v>
      </c>
      <c r="J61" s="217"/>
      <c r="K61" s="217"/>
      <c r="L61" s="16"/>
    </row>
    <row r="62" spans="1:12" ht="12.6" customHeight="1">
      <c r="A62" s="4" t="s">
        <v>49</v>
      </c>
      <c r="B62" s="5">
        <f t="shared" si="14"/>
        <v>4156</v>
      </c>
      <c r="C62" s="6">
        <v>2426</v>
      </c>
      <c r="D62" s="7">
        <v>1326.7</v>
      </c>
      <c r="E62" s="7">
        <v>1730</v>
      </c>
      <c r="F62" s="7">
        <v>1321.6</v>
      </c>
      <c r="G62" s="9" t="s">
        <v>288</v>
      </c>
      <c r="H62" s="152" t="s">
        <v>288</v>
      </c>
      <c r="I62" s="28" t="s">
        <v>138</v>
      </c>
      <c r="J62" s="19"/>
      <c r="K62" s="19"/>
      <c r="L62" s="16"/>
    </row>
    <row r="63" spans="1:12" ht="12.6" customHeight="1">
      <c r="A63" s="204" t="s">
        <v>50</v>
      </c>
      <c r="B63" s="205">
        <f>SUM(C63,E63,G63)</f>
        <v>7613</v>
      </c>
      <c r="C63" s="206">
        <f>SUM(C65:C69)</f>
        <v>7259</v>
      </c>
      <c r="D63" s="206">
        <f t="shared" ref="D63:H63" si="15">SUM(D65:D69)</f>
        <v>4540.7199999999993</v>
      </c>
      <c r="E63" s="206">
        <f t="shared" si="15"/>
        <v>354</v>
      </c>
      <c r="F63" s="206">
        <f t="shared" si="15"/>
        <v>534.45000000000005</v>
      </c>
      <c r="G63" s="206">
        <f t="shared" si="15"/>
        <v>0</v>
      </c>
      <c r="H63" s="197">
        <f t="shared" si="15"/>
        <v>0</v>
      </c>
      <c r="I63" s="215" t="s">
        <v>139</v>
      </c>
      <c r="J63" s="215"/>
      <c r="K63" s="23"/>
      <c r="L63" s="16"/>
    </row>
    <row r="64" spans="1:12" ht="12.6" customHeight="1">
      <c r="A64" s="204"/>
      <c r="B64" s="205"/>
      <c r="C64" s="206"/>
      <c r="D64" s="206"/>
      <c r="E64" s="206"/>
      <c r="F64" s="206"/>
      <c r="G64" s="206"/>
      <c r="H64" s="197"/>
      <c r="I64" s="215"/>
      <c r="J64" s="215"/>
      <c r="K64" s="23"/>
      <c r="L64" s="16"/>
    </row>
    <row r="65" spans="1:12" ht="12.6" customHeight="1">
      <c r="A65" s="4" t="s">
        <v>51</v>
      </c>
      <c r="B65" s="5">
        <f t="shared" ref="B65:B69" si="16">SUM(C65,E65,G65,I65,K65,M65,O65)</f>
        <v>3671</v>
      </c>
      <c r="C65" s="6">
        <v>3651</v>
      </c>
      <c r="D65" s="7">
        <v>1105.72</v>
      </c>
      <c r="E65" s="7">
        <v>20</v>
      </c>
      <c r="F65" s="7">
        <v>10</v>
      </c>
      <c r="G65" s="9" t="s">
        <v>288</v>
      </c>
      <c r="H65" s="152" t="s">
        <v>288</v>
      </c>
      <c r="I65" s="17" t="s">
        <v>140</v>
      </c>
      <c r="J65" s="16"/>
      <c r="K65" s="16"/>
      <c r="L65" s="16"/>
    </row>
    <row r="66" spans="1:12" ht="12.6" customHeight="1">
      <c r="A66" s="4" t="s">
        <v>52</v>
      </c>
      <c r="B66" s="5">
        <f t="shared" si="16"/>
        <v>1615</v>
      </c>
      <c r="C66" s="6">
        <v>1515</v>
      </c>
      <c r="D66" s="7">
        <v>1930.1</v>
      </c>
      <c r="E66" s="7">
        <v>100</v>
      </c>
      <c r="F66" s="7">
        <v>122</v>
      </c>
      <c r="G66" s="9" t="s">
        <v>288</v>
      </c>
      <c r="H66" s="152" t="s">
        <v>288</v>
      </c>
      <c r="I66" s="17" t="s">
        <v>141</v>
      </c>
      <c r="J66" s="16"/>
      <c r="K66" s="16"/>
      <c r="L66" s="16"/>
    </row>
    <row r="67" spans="1:12" ht="12.6" customHeight="1">
      <c r="A67" s="4" t="s">
        <v>53</v>
      </c>
      <c r="B67" s="5">
        <f t="shared" si="16"/>
        <v>210</v>
      </c>
      <c r="C67" s="6">
        <v>210</v>
      </c>
      <c r="D67" s="7">
        <v>199</v>
      </c>
      <c r="E67" s="9" t="s">
        <v>288</v>
      </c>
      <c r="F67" s="9" t="s">
        <v>288</v>
      </c>
      <c r="G67" s="9" t="s">
        <v>288</v>
      </c>
      <c r="H67" s="152" t="s">
        <v>288</v>
      </c>
      <c r="I67" s="17" t="s">
        <v>142</v>
      </c>
      <c r="J67" s="16"/>
      <c r="K67" s="16"/>
      <c r="L67" s="16"/>
    </row>
    <row r="68" spans="1:12" ht="12.6" customHeight="1">
      <c r="A68" s="4" t="s">
        <v>54</v>
      </c>
      <c r="B68" s="5">
        <f t="shared" si="16"/>
        <v>975</v>
      </c>
      <c r="C68" s="6">
        <v>845</v>
      </c>
      <c r="D68" s="7">
        <v>899.4</v>
      </c>
      <c r="E68" s="7">
        <v>130</v>
      </c>
      <c r="F68" s="7">
        <v>311.5</v>
      </c>
      <c r="G68" s="9" t="s">
        <v>288</v>
      </c>
      <c r="H68" s="152" t="s">
        <v>288</v>
      </c>
      <c r="I68" s="17" t="s">
        <v>143</v>
      </c>
      <c r="J68" s="16"/>
      <c r="K68" s="16"/>
      <c r="L68" s="16"/>
    </row>
    <row r="69" spans="1:12" ht="12.6" customHeight="1">
      <c r="A69" s="4" t="s">
        <v>55</v>
      </c>
      <c r="B69" s="5">
        <f t="shared" si="16"/>
        <v>1142</v>
      </c>
      <c r="C69" s="6">
        <v>1038</v>
      </c>
      <c r="D69" s="7">
        <v>406.5</v>
      </c>
      <c r="E69" s="7">
        <v>104</v>
      </c>
      <c r="F69" s="7">
        <v>90.95</v>
      </c>
      <c r="G69" s="9" t="s">
        <v>288</v>
      </c>
      <c r="H69" s="152" t="s">
        <v>288</v>
      </c>
      <c r="I69" s="17" t="s">
        <v>144</v>
      </c>
      <c r="J69" s="16"/>
      <c r="K69" s="16"/>
      <c r="L69" s="16"/>
    </row>
    <row r="70" spans="1:12" ht="12.6" customHeight="1">
      <c r="A70" s="211" t="s">
        <v>56</v>
      </c>
      <c r="B70" s="205">
        <f>SUM(C70,E70,G70)</f>
        <v>112</v>
      </c>
      <c r="C70" s="206">
        <f>SUM(C72:C79)</f>
        <v>102</v>
      </c>
      <c r="D70" s="206">
        <f t="shared" ref="D70:H70" si="17">SUM(D72:D79)</f>
        <v>80.8</v>
      </c>
      <c r="E70" s="206">
        <f t="shared" si="17"/>
        <v>10</v>
      </c>
      <c r="F70" s="206">
        <f t="shared" si="17"/>
        <v>10</v>
      </c>
      <c r="G70" s="206">
        <f t="shared" si="17"/>
        <v>0</v>
      </c>
      <c r="H70" s="197">
        <f t="shared" si="17"/>
        <v>0</v>
      </c>
      <c r="I70" s="216" t="s">
        <v>145</v>
      </c>
      <c r="J70" s="216"/>
      <c r="K70" s="24"/>
      <c r="L70" s="16"/>
    </row>
    <row r="71" spans="1:12" ht="12.6" customHeight="1">
      <c r="A71" s="211"/>
      <c r="B71" s="205"/>
      <c r="C71" s="206"/>
      <c r="D71" s="206"/>
      <c r="E71" s="206"/>
      <c r="F71" s="206"/>
      <c r="G71" s="206"/>
      <c r="H71" s="197"/>
      <c r="I71" s="216"/>
      <c r="J71" s="216"/>
      <c r="K71" s="24"/>
      <c r="L71" s="16"/>
    </row>
    <row r="72" spans="1:12" ht="12.6" customHeight="1">
      <c r="A72" s="22" t="s">
        <v>57</v>
      </c>
      <c r="B72" s="5">
        <f t="shared" ref="B72:B79" si="18">SUM(C72,E72,G72,I72,K72,M72,O72)</f>
        <v>0</v>
      </c>
      <c r="C72" s="8" t="s">
        <v>288</v>
      </c>
      <c r="D72" s="9" t="s">
        <v>288</v>
      </c>
      <c r="E72" s="9" t="s">
        <v>288</v>
      </c>
      <c r="F72" s="9" t="s">
        <v>288</v>
      </c>
      <c r="G72" s="9" t="s">
        <v>288</v>
      </c>
      <c r="H72" s="152" t="s">
        <v>288</v>
      </c>
      <c r="I72" s="217" t="s">
        <v>146</v>
      </c>
      <c r="J72" s="217"/>
      <c r="K72" s="26"/>
      <c r="L72" s="26"/>
    </row>
    <row r="73" spans="1:12" ht="12.6" customHeight="1">
      <c r="A73" s="22" t="s">
        <v>58</v>
      </c>
      <c r="B73" s="5">
        <f t="shared" si="18"/>
        <v>0</v>
      </c>
      <c r="C73" s="8" t="s">
        <v>288</v>
      </c>
      <c r="D73" s="9" t="s">
        <v>288</v>
      </c>
      <c r="E73" s="9" t="s">
        <v>288</v>
      </c>
      <c r="F73" s="9" t="s">
        <v>288</v>
      </c>
      <c r="G73" s="9" t="s">
        <v>288</v>
      </c>
      <c r="H73" s="152" t="s">
        <v>288</v>
      </c>
      <c r="I73" s="217" t="s">
        <v>147</v>
      </c>
      <c r="J73" s="217"/>
      <c r="K73" s="26"/>
      <c r="L73" s="26"/>
    </row>
    <row r="74" spans="1:12" ht="12.6" customHeight="1">
      <c r="A74" s="22" t="s">
        <v>179</v>
      </c>
      <c r="B74" s="5">
        <f t="shared" si="18"/>
        <v>0</v>
      </c>
      <c r="C74" s="8" t="s">
        <v>288</v>
      </c>
      <c r="D74" s="9" t="s">
        <v>288</v>
      </c>
      <c r="E74" s="9" t="s">
        <v>288</v>
      </c>
      <c r="F74" s="9" t="s">
        <v>288</v>
      </c>
      <c r="G74" s="9" t="s">
        <v>288</v>
      </c>
      <c r="H74" s="152" t="s">
        <v>288</v>
      </c>
      <c r="I74" s="217" t="s">
        <v>148</v>
      </c>
      <c r="J74" s="217"/>
      <c r="K74" s="26"/>
      <c r="L74" s="26"/>
    </row>
    <row r="75" spans="1:12" ht="12.6" customHeight="1">
      <c r="A75" s="22" t="s">
        <v>180</v>
      </c>
      <c r="B75" s="5">
        <f t="shared" si="18"/>
        <v>0</v>
      </c>
      <c r="C75" s="8" t="s">
        <v>288</v>
      </c>
      <c r="D75" s="9" t="s">
        <v>288</v>
      </c>
      <c r="E75" s="9" t="s">
        <v>288</v>
      </c>
      <c r="F75" s="9" t="s">
        <v>288</v>
      </c>
      <c r="G75" s="9" t="s">
        <v>288</v>
      </c>
      <c r="H75" s="152" t="s">
        <v>288</v>
      </c>
      <c r="I75" s="217" t="s">
        <v>149</v>
      </c>
      <c r="J75" s="217"/>
      <c r="K75" s="26"/>
      <c r="L75" s="26"/>
    </row>
    <row r="76" spans="1:12" ht="12.6" customHeight="1">
      <c r="A76" s="22" t="s">
        <v>181</v>
      </c>
      <c r="B76" s="5">
        <f t="shared" si="18"/>
        <v>102</v>
      </c>
      <c r="C76" s="6">
        <v>102</v>
      </c>
      <c r="D76" s="7">
        <v>80.8</v>
      </c>
      <c r="E76" s="9" t="s">
        <v>288</v>
      </c>
      <c r="F76" s="9" t="s">
        <v>288</v>
      </c>
      <c r="G76" s="9" t="s">
        <v>288</v>
      </c>
      <c r="H76" s="152" t="s">
        <v>288</v>
      </c>
      <c r="I76" s="217" t="s">
        <v>150</v>
      </c>
      <c r="J76" s="217"/>
      <c r="K76" s="26"/>
      <c r="L76" s="26"/>
    </row>
    <row r="77" spans="1:12" ht="12.6" customHeight="1">
      <c r="A77" s="22" t="s">
        <v>182</v>
      </c>
      <c r="B77" s="5">
        <f t="shared" si="18"/>
        <v>0</v>
      </c>
      <c r="C77" s="8" t="s">
        <v>288</v>
      </c>
      <c r="D77" s="9" t="s">
        <v>288</v>
      </c>
      <c r="E77" s="9" t="s">
        <v>288</v>
      </c>
      <c r="F77" s="9" t="s">
        <v>288</v>
      </c>
      <c r="G77" s="9" t="s">
        <v>288</v>
      </c>
      <c r="H77" s="152" t="s">
        <v>288</v>
      </c>
      <c r="I77" s="217" t="s">
        <v>151</v>
      </c>
      <c r="J77" s="217"/>
      <c r="K77" s="26"/>
      <c r="L77" s="26"/>
    </row>
    <row r="78" spans="1:12" ht="12.6" customHeight="1">
      <c r="A78" s="22" t="s">
        <v>183</v>
      </c>
      <c r="B78" s="5">
        <f t="shared" si="18"/>
        <v>0</v>
      </c>
      <c r="C78" s="8" t="s">
        <v>288</v>
      </c>
      <c r="D78" s="9" t="s">
        <v>288</v>
      </c>
      <c r="E78" s="9" t="s">
        <v>288</v>
      </c>
      <c r="F78" s="9" t="s">
        <v>288</v>
      </c>
      <c r="G78" s="9" t="s">
        <v>288</v>
      </c>
      <c r="H78" s="152" t="s">
        <v>288</v>
      </c>
      <c r="I78" s="217" t="s">
        <v>152</v>
      </c>
      <c r="J78" s="217"/>
      <c r="K78" s="26"/>
      <c r="L78" s="26"/>
    </row>
    <row r="79" spans="1:12" ht="12.6" customHeight="1">
      <c r="A79" s="22" t="s">
        <v>184</v>
      </c>
      <c r="B79" s="5">
        <f t="shared" si="18"/>
        <v>10</v>
      </c>
      <c r="C79" s="8" t="s">
        <v>288</v>
      </c>
      <c r="D79" s="9" t="s">
        <v>288</v>
      </c>
      <c r="E79" s="7">
        <v>10</v>
      </c>
      <c r="F79" s="7">
        <v>10</v>
      </c>
      <c r="G79" s="9" t="s">
        <v>288</v>
      </c>
      <c r="H79" s="152" t="s">
        <v>288</v>
      </c>
      <c r="I79" s="217" t="s">
        <v>153</v>
      </c>
      <c r="J79" s="217"/>
      <c r="K79" s="26"/>
      <c r="L79" s="26"/>
    </row>
    <row r="80" spans="1:12" ht="12.6" customHeight="1">
      <c r="A80" s="211" t="s">
        <v>65</v>
      </c>
      <c r="B80" s="205">
        <f>SUM(C80,E80,G80)</f>
        <v>785</v>
      </c>
      <c r="C80" s="206">
        <f>SUM(C82:C86)</f>
        <v>680</v>
      </c>
      <c r="D80" s="206">
        <f t="shared" ref="D80:H80" si="19">SUM(D82:D86)</f>
        <v>437.87</v>
      </c>
      <c r="E80" s="206">
        <f t="shared" si="19"/>
        <v>105</v>
      </c>
      <c r="F80" s="206">
        <f t="shared" si="19"/>
        <v>66.7</v>
      </c>
      <c r="G80" s="206">
        <f t="shared" si="19"/>
        <v>0</v>
      </c>
      <c r="H80" s="197">
        <f t="shared" si="19"/>
        <v>0</v>
      </c>
      <c r="I80" s="215" t="s">
        <v>154</v>
      </c>
      <c r="J80" s="215"/>
      <c r="K80" s="23"/>
      <c r="L80" s="18"/>
    </row>
    <row r="81" spans="1:12" ht="12.6" customHeight="1">
      <c r="A81" s="211"/>
      <c r="B81" s="205"/>
      <c r="C81" s="206"/>
      <c r="D81" s="206"/>
      <c r="E81" s="206"/>
      <c r="F81" s="206"/>
      <c r="G81" s="206"/>
      <c r="H81" s="197"/>
      <c r="I81" s="215"/>
      <c r="J81" s="215"/>
      <c r="K81" s="23"/>
      <c r="L81" s="18"/>
    </row>
    <row r="82" spans="1:12" ht="12.6" customHeight="1">
      <c r="A82" s="4" t="s">
        <v>66</v>
      </c>
      <c r="B82" s="5">
        <f t="shared" ref="B82:B86" si="20">SUM(C82,E82,G82,I82,K82,M82,O82)</f>
        <v>673</v>
      </c>
      <c r="C82" s="6">
        <v>602</v>
      </c>
      <c r="D82" s="7">
        <v>351.77</v>
      </c>
      <c r="E82" s="7">
        <v>71</v>
      </c>
      <c r="F82" s="7">
        <v>27.2</v>
      </c>
      <c r="G82" s="9" t="s">
        <v>288</v>
      </c>
      <c r="H82" s="152" t="s">
        <v>288</v>
      </c>
      <c r="I82" s="17" t="s">
        <v>155</v>
      </c>
      <c r="J82" s="16"/>
      <c r="K82" s="16"/>
      <c r="L82" s="16"/>
    </row>
    <row r="83" spans="1:12" ht="12.6" customHeight="1">
      <c r="A83" s="4" t="s">
        <v>67</v>
      </c>
      <c r="B83" s="5">
        <f t="shared" si="20"/>
        <v>0</v>
      </c>
      <c r="C83" s="8" t="s">
        <v>288</v>
      </c>
      <c r="D83" s="9" t="s">
        <v>288</v>
      </c>
      <c r="E83" s="9" t="s">
        <v>288</v>
      </c>
      <c r="F83" s="9" t="s">
        <v>288</v>
      </c>
      <c r="G83" s="9" t="s">
        <v>288</v>
      </c>
      <c r="H83" s="152" t="s">
        <v>288</v>
      </c>
      <c r="I83" s="17" t="s">
        <v>156</v>
      </c>
      <c r="J83" s="16"/>
      <c r="K83" s="16"/>
      <c r="L83" s="16"/>
    </row>
    <row r="84" spans="1:12" ht="12.6" customHeight="1">
      <c r="A84" s="4" t="s">
        <v>68</v>
      </c>
      <c r="B84" s="5">
        <f t="shared" si="20"/>
        <v>12</v>
      </c>
      <c r="C84" s="8" t="s">
        <v>288</v>
      </c>
      <c r="D84" s="9" t="s">
        <v>288</v>
      </c>
      <c r="E84" s="7">
        <v>12</v>
      </c>
      <c r="F84" s="7">
        <v>36</v>
      </c>
      <c r="G84" s="9" t="s">
        <v>288</v>
      </c>
      <c r="H84" s="152" t="s">
        <v>288</v>
      </c>
      <c r="I84" s="17" t="s">
        <v>157</v>
      </c>
      <c r="J84" s="16"/>
      <c r="K84" s="16"/>
      <c r="L84" s="16"/>
    </row>
    <row r="85" spans="1:12" ht="12.6" customHeight="1">
      <c r="A85" s="4" t="s">
        <v>69</v>
      </c>
      <c r="B85" s="5">
        <f t="shared" si="20"/>
        <v>80</v>
      </c>
      <c r="C85" s="6">
        <v>78</v>
      </c>
      <c r="D85" s="7">
        <v>86.1</v>
      </c>
      <c r="E85" s="7">
        <v>2</v>
      </c>
      <c r="F85" s="7">
        <v>1</v>
      </c>
      <c r="G85" s="9" t="s">
        <v>288</v>
      </c>
      <c r="H85" s="152" t="s">
        <v>288</v>
      </c>
      <c r="I85" s="17" t="s">
        <v>158</v>
      </c>
      <c r="J85" s="16"/>
      <c r="K85" s="16"/>
      <c r="L85" s="16"/>
    </row>
    <row r="86" spans="1:12" ht="12.6" customHeight="1">
      <c r="A86" s="4" t="s">
        <v>70</v>
      </c>
      <c r="B86" s="5">
        <f t="shared" si="20"/>
        <v>20</v>
      </c>
      <c r="C86" s="8" t="s">
        <v>288</v>
      </c>
      <c r="D86" s="9" t="s">
        <v>288</v>
      </c>
      <c r="E86" s="7">
        <v>20</v>
      </c>
      <c r="F86" s="7">
        <v>2.5</v>
      </c>
      <c r="G86" s="9" t="s">
        <v>288</v>
      </c>
      <c r="H86" s="152" t="s">
        <v>288</v>
      </c>
      <c r="I86" s="17" t="s">
        <v>159</v>
      </c>
      <c r="J86" s="16"/>
      <c r="K86" s="16"/>
      <c r="L86" s="16"/>
    </row>
    <row r="87" spans="1:12" ht="12.6" customHeight="1">
      <c r="A87" s="211" t="s">
        <v>71</v>
      </c>
      <c r="B87" s="205">
        <f>SUM(C87,E87,G87)</f>
        <v>6252</v>
      </c>
      <c r="C87" s="206">
        <f>SUM(C89:C101)</f>
        <v>3698</v>
      </c>
      <c r="D87" s="206">
        <f t="shared" ref="D87:H87" si="21">SUM(D89:D101)</f>
        <v>2345.35</v>
      </c>
      <c r="E87" s="206">
        <f t="shared" si="21"/>
        <v>2554</v>
      </c>
      <c r="F87" s="206">
        <f t="shared" si="21"/>
        <v>914.15</v>
      </c>
      <c r="G87" s="206">
        <f t="shared" si="21"/>
        <v>0</v>
      </c>
      <c r="H87" s="197">
        <f t="shared" si="21"/>
        <v>0</v>
      </c>
      <c r="I87" s="215" t="s">
        <v>160</v>
      </c>
      <c r="J87" s="215"/>
      <c r="K87" s="23"/>
      <c r="L87" s="16"/>
    </row>
    <row r="88" spans="1:12" ht="12.6" customHeight="1">
      <c r="A88" s="211"/>
      <c r="B88" s="205"/>
      <c r="C88" s="206"/>
      <c r="D88" s="206"/>
      <c r="E88" s="206"/>
      <c r="F88" s="206"/>
      <c r="G88" s="206"/>
      <c r="H88" s="197"/>
      <c r="I88" s="215"/>
      <c r="J88" s="215"/>
      <c r="K88" s="23"/>
      <c r="L88" s="16"/>
    </row>
    <row r="89" spans="1:12" ht="12.6" customHeight="1">
      <c r="A89" s="4" t="s">
        <v>72</v>
      </c>
      <c r="B89" s="5">
        <f t="shared" ref="B89:B101" si="22">SUM(C89,E89,G89,I89,K89,M89,O89)</f>
        <v>18</v>
      </c>
      <c r="C89" s="8" t="s">
        <v>288</v>
      </c>
      <c r="D89" s="9" t="s">
        <v>288</v>
      </c>
      <c r="E89" s="7">
        <v>18</v>
      </c>
      <c r="F89" s="7">
        <v>4.5999999999999996</v>
      </c>
      <c r="G89" s="9" t="s">
        <v>288</v>
      </c>
      <c r="H89" s="152" t="s">
        <v>288</v>
      </c>
      <c r="I89" s="17" t="s">
        <v>161</v>
      </c>
      <c r="J89" s="16"/>
      <c r="K89" s="16"/>
      <c r="L89" s="16"/>
    </row>
    <row r="90" spans="1:12" ht="12.6" customHeight="1">
      <c r="A90" s="4" t="s">
        <v>73</v>
      </c>
      <c r="B90" s="5">
        <f t="shared" si="22"/>
        <v>434</v>
      </c>
      <c r="C90" s="6">
        <v>379</v>
      </c>
      <c r="D90" s="7">
        <v>435.6</v>
      </c>
      <c r="E90" s="7">
        <v>55</v>
      </c>
      <c r="F90" s="7">
        <v>43</v>
      </c>
      <c r="G90" s="9" t="s">
        <v>288</v>
      </c>
      <c r="H90" s="152" t="s">
        <v>288</v>
      </c>
      <c r="I90" s="17" t="s">
        <v>162</v>
      </c>
      <c r="J90" s="16"/>
      <c r="K90" s="16"/>
      <c r="L90" s="16"/>
    </row>
    <row r="91" spans="1:12" ht="12.6" customHeight="1">
      <c r="A91" s="4" t="s">
        <v>74</v>
      </c>
      <c r="B91" s="5">
        <f t="shared" si="22"/>
        <v>0</v>
      </c>
      <c r="C91" s="8" t="s">
        <v>288</v>
      </c>
      <c r="D91" s="9" t="s">
        <v>288</v>
      </c>
      <c r="E91" s="9" t="s">
        <v>288</v>
      </c>
      <c r="F91" s="9" t="s">
        <v>288</v>
      </c>
      <c r="G91" s="9" t="s">
        <v>288</v>
      </c>
      <c r="H91" s="152" t="s">
        <v>288</v>
      </c>
      <c r="I91" s="17" t="s">
        <v>163</v>
      </c>
      <c r="J91" s="16"/>
      <c r="K91" s="16"/>
      <c r="L91" s="16"/>
    </row>
    <row r="92" spans="1:12" ht="12.6" customHeight="1">
      <c r="A92" s="4" t="s">
        <v>75</v>
      </c>
      <c r="B92" s="5">
        <f t="shared" si="22"/>
        <v>35</v>
      </c>
      <c r="C92" s="6">
        <v>5</v>
      </c>
      <c r="D92" s="7">
        <v>2.4</v>
      </c>
      <c r="E92" s="7">
        <v>30</v>
      </c>
      <c r="F92" s="7">
        <v>6</v>
      </c>
      <c r="G92" s="9" t="s">
        <v>288</v>
      </c>
      <c r="H92" s="152" t="s">
        <v>288</v>
      </c>
      <c r="I92" s="17" t="s">
        <v>164</v>
      </c>
      <c r="J92" s="16"/>
      <c r="K92" s="16"/>
      <c r="L92" s="16"/>
    </row>
    <row r="93" spans="1:12" ht="12.6" customHeight="1">
      <c r="A93" s="4" t="s">
        <v>76</v>
      </c>
      <c r="B93" s="5">
        <f t="shared" si="22"/>
        <v>0</v>
      </c>
      <c r="C93" s="8" t="s">
        <v>288</v>
      </c>
      <c r="D93" s="9" t="s">
        <v>288</v>
      </c>
      <c r="E93" s="9" t="s">
        <v>288</v>
      </c>
      <c r="F93" s="9" t="s">
        <v>288</v>
      </c>
      <c r="G93" s="9" t="s">
        <v>288</v>
      </c>
      <c r="H93" s="152" t="s">
        <v>288</v>
      </c>
      <c r="I93" s="17" t="s">
        <v>165</v>
      </c>
      <c r="J93" s="16"/>
      <c r="K93" s="16"/>
      <c r="L93" s="16"/>
    </row>
    <row r="94" spans="1:12" ht="12.6" customHeight="1">
      <c r="A94" s="4" t="s">
        <v>77</v>
      </c>
      <c r="B94" s="5">
        <f t="shared" si="22"/>
        <v>130</v>
      </c>
      <c r="C94" s="6">
        <v>130</v>
      </c>
      <c r="D94" s="7">
        <v>83</v>
      </c>
      <c r="E94" s="9" t="s">
        <v>288</v>
      </c>
      <c r="F94" s="9" t="s">
        <v>288</v>
      </c>
      <c r="G94" s="9" t="s">
        <v>288</v>
      </c>
      <c r="H94" s="152" t="s">
        <v>288</v>
      </c>
      <c r="I94" s="17" t="s">
        <v>166</v>
      </c>
      <c r="J94" s="16"/>
      <c r="K94" s="16"/>
      <c r="L94" s="16"/>
    </row>
    <row r="95" spans="1:12" ht="12.6" customHeight="1">
      <c r="A95" s="4" t="s">
        <v>78</v>
      </c>
      <c r="B95" s="5">
        <f t="shared" si="22"/>
        <v>250</v>
      </c>
      <c r="C95" s="6">
        <v>250</v>
      </c>
      <c r="D95" s="7">
        <v>420</v>
      </c>
      <c r="E95" s="9" t="s">
        <v>288</v>
      </c>
      <c r="F95" s="9" t="s">
        <v>288</v>
      </c>
      <c r="G95" s="9" t="s">
        <v>288</v>
      </c>
      <c r="H95" s="152" t="s">
        <v>288</v>
      </c>
      <c r="I95" s="17" t="s">
        <v>167</v>
      </c>
      <c r="J95" s="16"/>
      <c r="K95" s="16"/>
      <c r="L95" s="16"/>
    </row>
    <row r="96" spans="1:12" ht="12.6" customHeight="1">
      <c r="A96" s="4" t="s">
        <v>79</v>
      </c>
      <c r="B96" s="5">
        <f t="shared" si="22"/>
        <v>210</v>
      </c>
      <c r="C96" s="8" t="s">
        <v>288</v>
      </c>
      <c r="D96" s="9" t="s">
        <v>288</v>
      </c>
      <c r="E96" s="7">
        <v>210</v>
      </c>
      <c r="F96" s="7">
        <v>37.799999999999997</v>
      </c>
      <c r="G96" s="9" t="s">
        <v>288</v>
      </c>
      <c r="H96" s="152" t="s">
        <v>288</v>
      </c>
      <c r="I96" s="17" t="s">
        <v>168</v>
      </c>
      <c r="J96" s="16"/>
      <c r="K96" s="16"/>
      <c r="L96" s="16"/>
    </row>
    <row r="97" spans="1:12" ht="12.6" customHeight="1">
      <c r="A97" s="4" t="s">
        <v>80</v>
      </c>
      <c r="B97" s="5">
        <f t="shared" si="22"/>
        <v>0</v>
      </c>
      <c r="C97" s="8" t="s">
        <v>288</v>
      </c>
      <c r="D97" s="9" t="s">
        <v>288</v>
      </c>
      <c r="E97" s="9" t="s">
        <v>288</v>
      </c>
      <c r="F97" s="9" t="s">
        <v>288</v>
      </c>
      <c r="G97" s="9" t="s">
        <v>288</v>
      </c>
      <c r="H97" s="152" t="s">
        <v>288</v>
      </c>
      <c r="I97" s="17" t="s">
        <v>169</v>
      </c>
      <c r="J97" s="16"/>
      <c r="K97" s="16"/>
      <c r="L97" s="16"/>
    </row>
    <row r="98" spans="1:12" ht="12.6" customHeight="1">
      <c r="A98" s="4" t="s">
        <v>81</v>
      </c>
      <c r="B98" s="5">
        <f t="shared" si="22"/>
        <v>4849</v>
      </c>
      <c r="C98" s="6">
        <v>2654</v>
      </c>
      <c r="D98" s="7">
        <v>1040.95</v>
      </c>
      <c r="E98" s="7">
        <v>2195</v>
      </c>
      <c r="F98" s="7">
        <v>762.6</v>
      </c>
      <c r="G98" s="9" t="s">
        <v>288</v>
      </c>
      <c r="H98" s="152" t="s">
        <v>288</v>
      </c>
      <c r="I98" s="17" t="s">
        <v>170</v>
      </c>
      <c r="J98" s="16"/>
      <c r="K98" s="16"/>
      <c r="L98" s="16"/>
    </row>
    <row r="99" spans="1:12" ht="12.6" customHeight="1">
      <c r="A99" s="4" t="s">
        <v>82</v>
      </c>
      <c r="B99" s="5">
        <f t="shared" si="22"/>
        <v>24</v>
      </c>
      <c r="C99" s="6">
        <v>23</v>
      </c>
      <c r="D99" s="7">
        <v>19.5</v>
      </c>
      <c r="E99" s="7">
        <v>1</v>
      </c>
      <c r="F99" s="7">
        <v>0.35</v>
      </c>
      <c r="G99" s="9" t="s">
        <v>288</v>
      </c>
      <c r="H99" s="152" t="s">
        <v>288</v>
      </c>
      <c r="I99" s="17" t="s">
        <v>171</v>
      </c>
      <c r="J99" s="16"/>
      <c r="K99" s="16"/>
      <c r="L99" s="16"/>
    </row>
    <row r="100" spans="1:12" ht="12.6" customHeight="1">
      <c r="A100" s="4" t="s">
        <v>83</v>
      </c>
      <c r="B100" s="5">
        <f t="shared" si="22"/>
        <v>295</v>
      </c>
      <c r="C100" s="6">
        <v>250</v>
      </c>
      <c r="D100" s="7">
        <v>334</v>
      </c>
      <c r="E100" s="7">
        <v>45</v>
      </c>
      <c r="F100" s="7">
        <v>59.8</v>
      </c>
      <c r="G100" s="9" t="s">
        <v>288</v>
      </c>
      <c r="H100" s="152" t="s">
        <v>288</v>
      </c>
      <c r="I100" s="17" t="s">
        <v>172</v>
      </c>
      <c r="J100" s="16"/>
      <c r="K100" s="16"/>
      <c r="L100" s="16"/>
    </row>
    <row r="101" spans="1:12" ht="12.6" customHeight="1">
      <c r="A101" s="4" t="s">
        <v>84</v>
      </c>
      <c r="B101" s="5">
        <f t="shared" si="22"/>
        <v>7</v>
      </c>
      <c r="C101" s="6">
        <v>7</v>
      </c>
      <c r="D101" s="7">
        <v>9.9</v>
      </c>
      <c r="E101" s="9" t="s">
        <v>288</v>
      </c>
      <c r="F101" s="9" t="s">
        <v>288</v>
      </c>
      <c r="G101" s="9" t="s">
        <v>288</v>
      </c>
      <c r="H101" s="152" t="s">
        <v>288</v>
      </c>
      <c r="I101" s="17" t="s">
        <v>173</v>
      </c>
      <c r="J101" s="16"/>
      <c r="K101" s="16"/>
      <c r="L101" s="16"/>
    </row>
    <row r="102" spans="1:12" ht="12.6" customHeight="1">
      <c r="A102" s="211" t="s">
        <v>85</v>
      </c>
      <c r="B102" s="205">
        <f>SUM(C102,E102,G102)</f>
        <v>5717</v>
      </c>
      <c r="C102" s="206">
        <f>SUM(C104:C107)</f>
        <v>2892</v>
      </c>
      <c r="D102" s="206">
        <f t="shared" ref="D102:H102" si="23">SUM(D104:D107)</f>
        <v>2201.8649999999998</v>
      </c>
      <c r="E102" s="206">
        <f t="shared" si="23"/>
        <v>2823</v>
      </c>
      <c r="F102" s="206">
        <f t="shared" si="23"/>
        <v>1970.645</v>
      </c>
      <c r="G102" s="206">
        <f t="shared" si="23"/>
        <v>2</v>
      </c>
      <c r="H102" s="197">
        <f t="shared" si="23"/>
        <v>2</v>
      </c>
      <c r="I102" s="216" t="s">
        <v>174</v>
      </c>
      <c r="J102" s="216"/>
      <c r="K102" s="24"/>
      <c r="L102" s="16"/>
    </row>
    <row r="103" spans="1:12" ht="12.6" customHeight="1">
      <c r="A103" s="211"/>
      <c r="B103" s="205"/>
      <c r="C103" s="206"/>
      <c r="D103" s="206"/>
      <c r="E103" s="206"/>
      <c r="F103" s="206"/>
      <c r="G103" s="206"/>
      <c r="H103" s="197"/>
      <c r="I103" s="216"/>
      <c r="J103" s="216"/>
      <c r="K103" s="24"/>
      <c r="L103" s="16"/>
    </row>
    <row r="104" spans="1:12" ht="12.6" customHeight="1">
      <c r="A104" s="4" t="s">
        <v>86</v>
      </c>
      <c r="B104" s="5">
        <f t="shared" ref="B104:B107" si="24">SUM(C104,E104,G104,I104,K104,M104,O104)</f>
        <v>2031</v>
      </c>
      <c r="C104" s="6">
        <v>817</v>
      </c>
      <c r="D104" s="7">
        <v>728</v>
      </c>
      <c r="E104" s="7">
        <v>1214</v>
      </c>
      <c r="F104" s="7">
        <v>1077.2</v>
      </c>
      <c r="G104" s="9" t="s">
        <v>288</v>
      </c>
      <c r="H104" s="152" t="s">
        <v>288</v>
      </c>
      <c r="I104" s="17" t="s">
        <v>175</v>
      </c>
      <c r="J104" s="16"/>
      <c r="K104" s="16"/>
      <c r="L104" s="16"/>
    </row>
    <row r="105" spans="1:12" ht="12.6" customHeight="1">
      <c r="A105" s="4" t="s">
        <v>87</v>
      </c>
      <c r="B105" s="5">
        <f t="shared" si="24"/>
        <v>871</v>
      </c>
      <c r="C105" s="6">
        <v>322</v>
      </c>
      <c r="D105" s="7">
        <v>114.845</v>
      </c>
      <c r="E105" s="7">
        <v>549</v>
      </c>
      <c r="F105" s="7">
        <v>121.94499999999999</v>
      </c>
      <c r="G105" s="9" t="s">
        <v>288</v>
      </c>
      <c r="H105" s="152" t="s">
        <v>288</v>
      </c>
      <c r="I105" s="17" t="s">
        <v>176</v>
      </c>
      <c r="J105" s="16"/>
      <c r="K105" s="16"/>
      <c r="L105" s="16"/>
    </row>
    <row r="106" spans="1:12" ht="12.6" customHeight="1">
      <c r="A106" s="4" t="s">
        <v>88</v>
      </c>
      <c r="B106" s="5">
        <f t="shared" si="24"/>
        <v>1600</v>
      </c>
      <c r="C106" s="6">
        <v>895</v>
      </c>
      <c r="D106" s="7">
        <v>501.86</v>
      </c>
      <c r="E106" s="7">
        <v>703</v>
      </c>
      <c r="F106" s="7">
        <v>441.1</v>
      </c>
      <c r="G106" s="7">
        <v>2</v>
      </c>
      <c r="H106" s="153">
        <v>2</v>
      </c>
      <c r="I106" s="17" t="s">
        <v>177</v>
      </c>
      <c r="J106" s="19"/>
      <c r="K106" s="19"/>
      <c r="L106" s="16"/>
    </row>
    <row r="107" spans="1:12" ht="12.6" customHeight="1" thickBot="1">
      <c r="A107" s="10" t="s">
        <v>89</v>
      </c>
      <c r="B107" s="11">
        <f t="shared" si="24"/>
        <v>1215</v>
      </c>
      <c r="C107" s="12">
        <v>858</v>
      </c>
      <c r="D107" s="13">
        <v>857.16</v>
      </c>
      <c r="E107" s="13">
        <v>357</v>
      </c>
      <c r="F107" s="13">
        <v>330.4</v>
      </c>
      <c r="G107" s="31" t="s">
        <v>288</v>
      </c>
      <c r="H107" s="154" t="s">
        <v>288</v>
      </c>
      <c r="I107" s="20" t="s">
        <v>178</v>
      </c>
      <c r="J107" s="21"/>
      <c r="K107" s="19"/>
      <c r="L107" s="16"/>
    </row>
    <row r="108" spans="1:12">
      <c r="A108" s="213" t="s">
        <v>90</v>
      </c>
      <c r="B108" s="213"/>
      <c r="C108" s="14"/>
      <c r="D108" s="14"/>
      <c r="E108" s="14"/>
      <c r="F108" s="14"/>
      <c r="G108" s="14"/>
      <c r="H108" s="214" t="s">
        <v>189</v>
      </c>
      <c r="I108" s="214"/>
      <c r="J108" s="214"/>
      <c r="K108" s="30"/>
    </row>
  </sheetData>
  <mergeCells count="138">
    <mergeCell ref="I10:J11"/>
    <mergeCell ref="I18:J19"/>
    <mergeCell ref="I31:J32"/>
    <mergeCell ref="I37:J38"/>
    <mergeCell ref="I80:J81"/>
    <mergeCell ref="I87:J88"/>
    <mergeCell ref="I102:J103"/>
    <mergeCell ref="I72:J72"/>
    <mergeCell ref="I61:K61"/>
    <mergeCell ref="I44:J45"/>
    <mergeCell ref="I51:J52"/>
    <mergeCell ref="I58:J59"/>
    <mergeCell ref="A108:B108"/>
    <mergeCell ref="H108:J108"/>
    <mergeCell ref="I63:J64"/>
    <mergeCell ref="I70:J71"/>
    <mergeCell ref="I79:J79"/>
    <mergeCell ref="I78:J78"/>
    <mergeCell ref="I77:J77"/>
    <mergeCell ref="I76:J76"/>
    <mergeCell ref="I75:J75"/>
    <mergeCell ref="I74:J74"/>
    <mergeCell ref="I73:J73"/>
    <mergeCell ref="G102:G103"/>
    <mergeCell ref="H102:H103"/>
    <mergeCell ref="A102:A103"/>
    <mergeCell ref="B102:B103"/>
    <mergeCell ref="C102:C103"/>
    <mergeCell ref="D102:D103"/>
    <mergeCell ref="E102:E103"/>
    <mergeCell ref="F102:F103"/>
    <mergeCell ref="G80:G81"/>
    <mergeCell ref="H80:H81"/>
    <mergeCell ref="A87:A88"/>
    <mergeCell ref="B87:B88"/>
    <mergeCell ref="C87:C88"/>
    <mergeCell ref="D87:D88"/>
    <mergeCell ref="E87:E88"/>
    <mergeCell ref="F87:F88"/>
    <mergeCell ref="G87:G88"/>
    <mergeCell ref="H87:H88"/>
    <mergeCell ref="A80:A81"/>
    <mergeCell ref="B80:B81"/>
    <mergeCell ref="C80:C81"/>
    <mergeCell ref="D80:D81"/>
    <mergeCell ref="E80:E81"/>
    <mergeCell ref="F80:F81"/>
    <mergeCell ref="G63:G64"/>
    <mergeCell ref="H63:H64"/>
    <mergeCell ref="A70:A71"/>
    <mergeCell ref="B70:B71"/>
    <mergeCell ref="C70:C71"/>
    <mergeCell ref="D70:D71"/>
    <mergeCell ref="E70:E71"/>
    <mergeCell ref="F70:F71"/>
    <mergeCell ref="G70:G71"/>
    <mergeCell ref="H70:H71"/>
    <mergeCell ref="A63:A64"/>
    <mergeCell ref="B63:B64"/>
    <mergeCell ref="C63:C64"/>
    <mergeCell ref="D63:D64"/>
    <mergeCell ref="E63:E64"/>
    <mergeCell ref="F63:F64"/>
    <mergeCell ref="G51:G52"/>
    <mergeCell ref="H51:H52"/>
    <mergeCell ref="A58:A59"/>
    <mergeCell ref="B58:B59"/>
    <mergeCell ref="C58:C59"/>
    <mergeCell ref="D58:D59"/>
    <mergeCell ref="E58:E59"/>
    <mergeCell ref="F58:F59"/>
    <mergeCell ref="G58:G59"/>
    <mergeCell ref="H58:H59"/>
    <mergeCell ref="A51:A52"/>
    <mergeCell ref="B51:B52"/>
    <mergeCell ref="C51:C52"/>
    <mergeCell ref="D51:D52"/>
    <mergeCell ref="E51:E52"/>
    <mergeCell ref="F51:F52"/>
    <mergeCell ref="G37:G38"/>
    <mergeCell ref="H37:H38"/>
    <mergeCell ref="A44:A45"/>
    <mergeCell ref="B44:B45"/>
    <mergeCell ref="C44:C45"/>
    <mergeCell ref="D44:D45"/>
    <mergeCell ref="E44:E45"/>
    <mergeCell ref="F44:F45"/>
    <mergeCell ref="G44:G45"/>
    <mergeCell ref="H44:H45"/>
    <mergeCell ref="A37:A38"/>
    <mergeCell ref="B37:B38"/>
    <mergeCell ref="C37:C38"/>
    <mergeCell ref="D37:D38"/>
    <mergeCell ref="E37:E38"/>
    <mergeCell ref="F37:F38"/>
    <mergeCell ref="G18:G19"/>
    <mergeCell ref="H18:H19"/>
    <mergeCell ref="A31:A32"/>
    <mergeCell ref="B31:B32"/>
    <mergeCell ref="C31:C32"/>
    <mergeCell ref="D31:D32"/>
    <mergeCell ref="E31:E32"/>
    <mergeCell ref="F31:F32"/>
    <mergeCell ref="G31:G32"/>
    <mergeCell ref="H31:H32"/>
    <mergeCell ref="A18:A19"/>
    <mergeCell ref="B18:B19"/>
    <mergeCell ref="C18:C19"/>
    <mergeCell ref="D18:D19"/>
    <mergeCell ref="E18:E19"/>
    <mergeCell ref="F18:F19"/>
    <mergeCell ref="A10:A11"/>
    <mergeCell ref="B10:B11"/>
    <mergeCell ref="C10:C11"/>
    <mergeCell ref="D10:D11"/>
    <mergeCell ref="E10:E11"/>
    <mergeCell ref="F10:F11"/>
    <mergeCell ref="G10:G11"/>
    <mergeCell ref="H10:H11"/>
    <mergeCell ref="A8:A9"/>
    <mergeCell ref="B8:B9"/>
    <mergeCell ref="C8:C9"/>
    <mergeCell ref="D8:D9"/>
    <mergeCell ref="E8:E9"/>
    <mergeCell ref="F8:F9"/>
    <mergeCell ref="A4:A7"/>
    <mergeCell ref="B4:B7"/>
    <mergeCell ref="C4:D6"/>
    <mergeCell ref="E4:F6"/>
    <mergeCell ref="G4:H6"/>
    <mergeCell ref="A1:J1"/>
    <mergeCell ref="A2:J2"/>
    <mergeCell ref="G8:G9"/>
    <mergeCell ref="H8:H9"/>
    <mergeCell ref="F3:J3"/>
    <mergeCell ref="A3:C3"/>
    <mergeCell ref="I4:J7"/>
    <mergeCell ref="I8:J9"/>
  </mergeCells>
  <pageMargins left="0.7" right="0.7" top="0.75" bottom="0.75" header="0.3" footer="0.3"/>
  <pageSetup paperSize="9" orientation="portrait" horizontalDpi="200" verticalDpi="200" r:id="rId1"/>
  <ignoredErrors>
    <ignoredError sqref="B12:B107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ListOfRegions</vt:lpstr>
      <vt:lpstr>ΠΙΝΑΚΑΣ 2(στ)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2015-05-06T11:12:50Z</cp:lastPrinted>
  <dcterms:created xsi:type="dcterms:W3CDTF">2015-05-06T11:02:52Z</dcterms:created>
  <dcterms:modified xsi:type="dcterms:W3CDTF">2016-09-02T07:47:25Z</dcterms:modified>
</cp:coreProperties>
</file>