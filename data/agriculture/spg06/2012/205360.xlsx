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firstSheet="1" activeTab="1"/>
  </bookViews>
  <sheets>
    <sheet name="ListOfValues" sheetId="2" state="hidden" r:id="rId1"/>
    <sheet name="ΠΙΝΑΚΑΣ 2(ζ)" sheetId="1" r:id="rId2"/>
  </sheets>
  <calcPr calcId="124519"/>
</workbook>
</file>

<file path=xl/calcChain.xml><?xml version="1.0" encoding="utf-8"?>
<calcChain xmlns="http://schemas.openxmlformats.org/spreadsheetml/2006/main">
  <c r="C10" i="1"/>
  <c r="D10"/>
  <c r="E10"/>
  <c r="F10"/>
  <c r="G10"/>
  <c r="B107"/>
  <c r="B106"/>
  <c r="B105"/>
  <c r="B104"/>
  <c r="B101"/>
  <c r="B100"/>
  <c r="B99"/>
  <c r="B98"/>
  <c r="B97"/>
  <c r="B96"/>
  <c r="B95"/>
  <c r="B94"/>
  <c r="B93"/>
  <c r="B92"/>
  <c r="B91"/>
  <c r="B90"/>
  <c r="B89"/>
  <c r="B86"/>
  <c r="B85"/>
  <c r="B84"/>
  <c r="B83"/>
  <c r="B82"/>
  <c r="B79"/>
  <c r="B78"/>
  <c r="B77"/>
  <c r="B76"/>
  <c r="B75"/>
  <c r="B74"/>
  <c r="B73"/>
  <c r="B72"/>
  <c r="B69"/>
  <c r="B68"/>
  <c r="B67"/>
  <c r="B66"/>
  <c r="B65"/>
  <c r="B62"/>
  <c r="B61"/>
  <c r="B60"/>
  <c r="B57"/>
  <c r="B56"/>
  <c r="B55"/>
  <c r="B54"/>
  <c r="B53"/>
  <c r="B50"/>
  <c r="B49"/>
  <c r="B48"/>
  <c r="B47"/>
  <c r="B46"/>
  <c r="B43"/>
  <c r="B42"/>
  <c r="B41"/>
  <c r="B40"/>
  <c r="B39"/>
  <c r="B36"/>
  <c r="B35"/>
  <c r="B34"/>
  <c r="B33"/>
  <c r="B30"/>
  <c r="B29"/>
  <c r="B28"/>
  <c r="B27"/>
  <c r="B26"/>
  <c r="B25"/>
  <c r="B24"/>
  <c r="B23"/>
  <c r="B22"/>
  <c r="B21"/>
  <c r="B20"/>
  <c r="B13"/>
  <c r="B14"/>
  <c r="B15"/>
  <c r="B16"/>
  <c r="B17"/>
  <c r="B12"/>
  <c r="G102"/>
  <c r="F102"/>
  <c r="E102"/>
  <c r="D102"/>
  <c r="C102"/>
  <c r="G87"/>
  <c r="F87"/>
  <c r="E87"/>
  <c r="D87"/>
  <c r="C87"/>
  <c r="G80"/>
  <c r="F80"/>
  <c r="E80"/>
  <c r="D80"/>
  <c r="C80"/>
  <c r="G70"/>
  <c r="F70"/>
  <c r="E70"/>
  <c r="D70"/>
  <c r="C70"/>
  <c r="G63"/>
  <c r="F63"/>
  <c r="E63"/>
  <c r="D63"/>
  <c r="C63"/>
  <c r="G58"/>
  <c r="F58"/>
  <c r="E58"/>
  <c r="D58"/>
  <c r="C58"/>
  <c r="B58" s="1"/>
  <c r="G51"/>
  <c r="F51"/>
  <c r="E51"/>
  <c r="D51"/>
  <c r="C51"/>
  <c r="G44"/>
  <c r="F44"/>
  <c r="E44"/>
  <c r="D44"/>
  <c r="C44"/>
  <c r="G37"/>
  <c r="F37"/>
  <c r="E37"/>
  <c r="D37"/>
  <c r="C37"/>
  <c r="G31"/>
  <c r="F31"/>
  <c r="E31"/>
  <c r="D31"/>
  <c r="C31"/>
  <c r="G18"/>
  <c r="F18"/>
  <c r="E18"/>
  <c r="D18"/>
  <c r="C18"/>
  <c r="B18" l="1"/>
  <c r="B31"/>
  <c r="B8" s="1"/>
  <c r="B37"/>
  <c r="B44"/>
  <c r="B51"/>
  <c r="B63"/>
  <c r="B70"/>
  <c r="B80"/>
  <c r="B87"/>
  <c r="B102"/>
  <c r="B10"/>
  <c r="F8"/>
  <c r="G8"/>
  <c r="E8"/>
  <c r="D8"/>
  <c r="C8"/>
</calcChain>
</file>

<file path=xl/sharedStrings.xml><?xml version="1.0" encoding="utf-8"?>
<sst xmlns="http://schemas.openxmlformats.org/spreadsheetml/2006/main" count="487" uniqueCount="294">
  <si>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</si>
  <si>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</si>
  <si>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</si>
  <si>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</si>
  <si>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</si>
  <si>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</si>
  <si>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</si>
  <si>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</si>
  <si>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</si>
  <si>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</si>
  <si>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</si>
  <si>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</si>
  <si>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</si>
  <si>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</si>
  <si>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</si>
  <si>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</si>
  <si>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</si>
  <si>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</si>
  <si>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</si>
  <si>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</si>
  <si>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</si>
  <si>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</si>
  <si>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</si>
  <si>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</si>
  <si>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</si>
  <si>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</si>
  <si>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</si>
  <si>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</si>
  <si>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</si>
  <si>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</si>
  <si>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</si>
  <si>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</si>
  <si>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</si>
  <si>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</si>
  <si>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</si>
  <si>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</si>
  <si>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</si>
  <si>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</si>
  <si>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</si>
  <si>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</si>
  <si>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</si>
  <si>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</si>
  <si>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</si>
  <si>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</si>
  <si>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</si>
  <si>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</si>
  <si>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</si>
  <si>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</si>
  <si>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</si>
  <si>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</si>
  <si>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</si>
  <si>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</si>
  <si>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</si>
  <si>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</si>
  <si>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</si>
  <si>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</si>
  <si>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</si>
  <si>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</si>
  <si>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</si>
  <si>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</si>
  <si>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</si>
  <si>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</si>
  <si>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</si>
  <si>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</si>
  <si>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</si>
  <si>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</si>
  <si>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</si>
  <si>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</si>
  <si>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</si>
  <si>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</si>
  <si>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</si>
  <si>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</si>
  <si>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</si>
  <si>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</si>
  <si>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</si>
  <si>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</si>
  <si>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</si>
  <si>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</si>
  <si>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</si>
  <si>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</si>
  <si>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</si>
  <si>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</si>
  <si>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</si>
  <si>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</si>
  <si>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</si>
  <si>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</si>
  <si>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</si>
  <si>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</si>
  <si>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</si>
  <si>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</si>
  <si>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</si>
  <si>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</si>
  <si>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</si>
  <si>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</si>
  <si>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</si>
  <si>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</si>
  <si>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</si>
  <si>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</si>
  <si>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</si>
  <si>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</si>
  <si>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</si>
  <si>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</si>
  <si>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</si>
  <si>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</si>
  <si>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</si>
  <si>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</si>
  <si>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</si>
  <si>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</si>
  <si>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</si>
  <si>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</si>
  <si>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</si>
  <si>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</si>
  <si>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</si>
  <si>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</si>
  <si>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</si>
  <si>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</si>
  <si>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</si>
  <si>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</si>
  <si>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</si>
  <si>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</si>
  <si>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</si>
  <si>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</si>
  <si>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</si>
  <si>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</si>
  <si>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</si>
  <si>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</si>
  <si>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</si>
  <si>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</si>
  <si>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</si>
  <si>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</si>
  <si>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</si>
  <si>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</si>
  <si>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</si>
  <si>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</si>
  <si>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</si>
  <si>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</si>
  <si>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</si>
  <si>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</si>
  <si>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</si>
  <si>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</si>
  <si>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</si>
  <si>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</si>
  <si>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</si>
  <si>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</si>
  <si>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</si>
  <si>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</si>
  <si>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</si>
  <si>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</si>
  <si>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</si>
  <si>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</si>
  <si>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</si>
  <si>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</si>
  <si>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</si>
  <si>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</si>
  <si>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</si>
  <si>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</si>
  <si>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</si>
  <si>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</si>
  <si>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</si>
  <si>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</si>
  <si>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</si>
  <si>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</si>
  <si>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</si>
  <si>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</si>
  <si>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</si>
  <si>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</si>
  <si>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</si>
  <si>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</si>
  <si>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Κριθάρι Barley</t>
  </si>
  <si>
    <t xml:space="preserve"> Βρώμη    Oats</t>
  </si>
  <si>
    <t>Λαθούρι Veltching (Lathyrus)</t>
  </si>
  <si>
    <t>Τεχνητοί λειμώνες Cultivated meadows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</si>
  <si>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</si>
  <si>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</si>
  <si>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</si>
  <si>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</si>
  <si>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</si>
  <si>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</si>
  <si>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</si>
  <si>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</si>
  <si>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</si>
  <si>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</si>
  <si>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</si>
  <si>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</si>
  <si>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</si>
  <si>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</si>
  <si>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</si>
  <si>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</si>
  <si>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</si>
  <si>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</si>
  <si>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</si>
  <si>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</si>
  <si>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</si>
  <si>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</si>
  <si>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</si>
  <si>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</si>
  <si>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</si>
  <si>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</si>
  <si>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</si>
  <si>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</si>
  <si>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</si>
  <si>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</si>
  <si>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</si>
  <si>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</si>
  <si>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</si>
  <si>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</si>
  <si>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</si>
  <si>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</si>
  <si>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</si>
  <si>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</si>
  <si>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</si>
  <si>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</si>
  <si>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</si>
  <si>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</si>
  <si>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</si>
  <si>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</si>
  <si>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</si>
  <si>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</si>
  <si>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</si>
  <si>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</si>
  <si>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</si>
  <si>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</si>
  <si>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</si>
  <si>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</si>
  <si>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</si>
  <si>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</si>
  <si>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</si>
  <si>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</si>
  <si>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</si>
  <si>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</si>
  <si>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</si>
  <si>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</si>
  <si>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</si>
  <si>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</si>
  <si>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</si>
  <si>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</si>
  <si>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</si>
  <si>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</si>
  <si>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</si>
  <si>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</si>
  <si>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</si>
  <si>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</si>
  <si>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</si>
  <si>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</si>
  <si>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</si>
  <si>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</si>
  <si>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</si>
  <si>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</si>
  <si>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</si>
  <si>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</si>
  <si>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</si>
  <si>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</si>
  <si>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</si>
  <si>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</si>
  <si>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</si>
  <si>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</si>
  <si>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</si>
  <si>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</si>
  <si>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</si>
  <si>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</si>
  <si>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</si>
  <si>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</si>
  <si>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</si>
  <si>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</si>
  <si>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</si>
  <si>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</si>
  <si>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</si>
  <si>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</si>
  <si>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</si>
  <si>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</si>
  <si>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</si>
  <si>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 xml:space="preserve"> Σύνολο     Total</t>
  </si>
  <si>
    <t>Περιφέρειες και Περιφερειακές Ενότητες</t>
  </si>
  <si>
    <t>Areas in stremmas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</si>
  <si>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</si>
  <si>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</si>
  <si>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</si>
  <si>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</si>
  <si>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</si>
  <si>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</si>
  <si>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</si>
  <si>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</si>
  <si>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</si>
  <si>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</si>
  <si>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</si>
  <si>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</si>
  <si>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</si>
  <si>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</si>
  <si>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</si>
  <si>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Βίκος Veltch</t>
  </si>
  <si>
    <t>1=εκτάσεις,  2=παραγωγή</t>
  </si>
  <si>
    <t>1=areas  2=production</t>
  </si>
  <si>
    <t xml:space="preserve">Πίνακας 2ζ. Κτηνοτροφικά φυτά για γρασίδια. Εκτάσεις κατά Περιφέρεια και Περιφερειακή Ενότητα:  2012.                                        </t>
  </si>
  <si>
    <t>Table 2g. Fodder plants for grazing. Areas by Region and Regional Unity: 2012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</si>
</sst>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0" fontId="0" fillId="0" borderId="0" xfId="0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3" fontId="2" fillId="0" borderId="7" xfId="0" applyNumberFormat="1" applyFont="1" applyBorder="1" applyAlignment="1" applyProtection="1">
      <alignment horizontal="right" vertical="center"/>
      <protection locked="0"/>
    </xf>
    <xf numFmtId="49" fontId="2" fillId="0" borderId="0" xfId="0" applyNumberFormat="1" applyFont="1" applyAlignment="1" applyProtection="1">
      <alignment horizontal="left" vertical="center" wrapText="1" indent="2"/>
      <protection locked="0"/>
    </xf>
    <xf numFmtId="0" fontId="2" fillId="0" borderId="0" xfId="0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horizontal="left" vertical="center" wrapText="1" indent="1"/>
      <protection locked="0"/>
    </xf>
    <xf numFmtId="3" fontId="2" fillId="0" borderId="16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6" fillId="2" borderId="18" xfId="0" applyNumberFormat="1" applyFont="1" applyFill="1" applyBorder="1"/>
    <xf numFmtId="49" fontId="6" fillId="2" borderId="20" xfId="0" applyNumberFormat="1" applyFont="1" applyFill="1" applyBorder="1" applyAlignment="1">
      <alignment horizontal="left"/>
    </xf>
    <xf numFmtId="0" fontId="7" fillId="2" borderId="2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horizontal="centerContinuous" vertical="center" wrapText="1"/>
    </xf>
    <xf numFmtId="49" fontId="8" fillId="2" borderId="20" xfId="0" applyNumberFormat="1" applyFont="1" applyFill="1" applyBorder="1" applyAlignment="1">
      <alignment vertical="center" textRotation="90"/>
    </xf>
    <xf numFmtId="0" fontId="7" fillId="2" borderId="2" xfId="0" applyNumberFormat="1" applyFont="1" applyFill="1" applyBorder="1" applyAlignment="1" applyProtection="1"/>
    <xf numFmtId="49" fontId="6" fillId="2" borderId="7" xfId="0" applyNumberFormat="1" applyFont="1" applyFill="1" applyBorder="1"/>
    <xf numFmtId="49" fontId="6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vertical="center" textRotation="90"/>
    </xf>
    <xf numFmtId="0" fontId="7" fillId="2" borderId="4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/>
    <xf numFmtId="49" fontId="6" fillId="4" borderId="7" xfId="0" applyNumberFormat="1" applyFont="1" applyFill="1" applyBorder="1"/>
    <xf numFmtId="49" fontId="6" fillId="4" borderId="0" xfId="0" applyNumberFormat="1" applyFont="1" applyFill="1" applyBorder="1" applyAlignment="1">
      <alignment horizontal="left"/>
    </xf>
    <xf numFmtId="0" fontId="7" fillId="4" borderId="0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8" fillId="4" borderId="0" xfId="0" applyNumberFormat="1" applyFont="1" applyFill="1" applyBorder="1" applyAlignment="1">
      <alignment vertical="center" textRotation="90"/>
    </xf>
    <xf numFmtId="0" fontId="7" fillId="4" borderId="4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8" fillId="4" borderId="0" xfId="0" applyNumberFormat="1" applyFont="1" applyFill="1" applyBorder="1" applyAlignment="1">
      <alignment horizontal="left"/>
    </xf>
    <xf numFmtId="49" fontId="9" fillId="4" borderId="0" xfId="0" applyNumberFormat="1" applyFont="1" applyFill="1" applyBorder="1"/>
    <xf numFmtId="49" fontId="6" fillId="5" borderId="7" xfId="0" applyNumberFormat="1" applyFont="1" applyFill="1" applyBorder="1"/>
    <xf numFmtId="49" fontId="6" fillId="5" borderId="0" xfId="0" applyNumberFormat="1" applyFont="1" applyFill="1" applyBorder="1"/>
    <xf numFmtId="0" fontId="7" fillId="5" borderId="0" xfId="0" applyNumberFormat="1" applyFont="1" applyFill="1" applyBorder="1" applyAlignment="1" applyProtection="1"/>
    <xf numFmtId="49" fontId="8" fillId="5" borderId="0" xfId="0" applyNumberFormat="1" applyFont="1" applyFill="1" applyBorder="1"/>
    <xf numFmtId="49" fontId="8" fillId="6" borderId="0" xfId="0" applyNumberFormat="1" applyFont="1" applyFill="1" applyBorder="1" applyAlignment="1">
      <alignment vertical="center" textRotation="90"/>
    </xf>
    <xf numFmtId="0" fontId="7" fillId="5" borderId="4" xfId="0" applyNumberFormat="1" applyFont="1" applyFill="1" applyBorder="1" applyAlignment="1" applyProtection="1"/>
    <xf numFmtId="49" fontId="9" fillId="5" borderId="0" xfId="0" applyNumberFormat="1" applyFont="1" applyFill="1" applyBorder="1"/>
    <xf numFmtId="49" fontId="6" fillId="5" borderId="22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NumberFormat="1" applyFont="1" applyFill="1" applyBorder="1" applyAlignment="1" applyProtection="1"/>
    <xf numFmtId="49" fontId="8" fillId="6" borderId="1" xfId="0" applyNumberFormat="1" applyFont="1" applyFill="1" applyBorder="1" applyAlignment="1">
      <alignment vertical="center" textRotation="90"/>
    </xf>
    <xf numFmtId="0" fontId="7" fillId="5" borderId="23" xfId="0" applyNumberFormat="1" applyFont="1" applyFill="1" applyBorder="1" applyAlignment="1" applyProtection="1"/>
    <xf numFmtId="49" fontId="6" fillId="7" borderId="18" xfId="0" applyNumberFormat="1" applyFont="1" applyFill="1" applyBorder="1"/>
    <xf numFmtId="49" fontId="6" fillId="7" borderId="20" xfId="0" applyNumberFormat="1" applyFont="1" applyFill="1" applyBorder="1"/>
    <xf numFmtId="0" fontId="7" fillId="7" borderId="20" xfId="0" applyNumberFormat="1" applyFont="1" applyFill="1" applyBorder="1" applyAlignment="1" applyProtection="1"/>
    <xf numFmtId="49" fontId="8" fillId="7" borderId="20" xfId="0" applyNumberFormat="1" applyFont="1" applyFill="1" applyBorder="1"/>
    <xf numFmtId="49" fontId="8" fillId="7" borderId="20" xfId="0" applyNumberFormat="1" applyFont="1" applyFill="1" applyBorder="1" applyAlignment="1">
      <alignment vertical="center" textRotation="90"/>
    </xf>
    <xf numFmtId="0" fontId="7" fillId="7" borderId="2" xfId="0" applyNumberFormat="1" applyFont="1" applyFill="1" applyBorder="1" applyAlignment="1" applyProtection="1"/>
    <xf numFmtId="49" fontId="6" fillId="7" borderId="7" xfId="0" applyNumberFormat="1" applyFont="1" applyFill="1" applyBorder="1"/>
    <xf numFmtId="49" fontId="6" fillId="7" borderId="0" xfId="0" applyNumberFormat="1" applyFont="1" applyFill="1" applyBorder="1"/>
    <xf numFmtId="0" fontId="7" fillId="7" borderId="0" xfId="0" applyNumberFormat="1" applyFont="1" applyFill="1" applyBorder="1" applyAlignment="1" applyProtection="1"/>
    <xf numFmtId="49" fontId="8" fillId="7" borderId="0" xfId="0" applyNumberFormat="1" applyFont="1" applyFill="1" applyBorder="1" applyAlignment="1">
      <alignment vertical="center" textRotation="90"/>
    </xf>
    <xf numFmtId="0" fontId="7" fillId="7" borderId="4" xfId="0" applyNumberFormat="1" applyFont="1" applyFill="1" applyBorder="1" applyAlignment="1" applyProtection="1"/>
    <xf numFmtId="49" fontId="9" fillId="7" borderId="0" xfId="0" applyNumberFormat="1" applyFont="1" applyFill="1" applyBorder="1"/>
    <xf numFmtId="49" fontId="6" fillId="8" borderId="7" xfId="0" applyNumberFormat="1" applyFont="1" applyFill="1" applyBorder="1"/>
    <xf numFmtId="49" fontId="6" fillId="8" borderId="0" xfId="0" applyNumberFormat="1" applyFont="1" applyFill="1" applyBorder="1"/>
    <xf numFmtId="0" fontId="7" fillId="8" borderId="0" xfId="0" applyNumberFormat="1" applyFont="1" applyFill="1" applyBorder="1" applyAlignment="1" applyProtection="1"/>
    <xf numFmtId="49" fontId="8" fillId="8" borderId="0" xfId="0" applyNumberFormat="1" applyFont="1" applyFill="1" applyBorder="1"/>
    <xf numFmtId="49" fontId="8" fillId="8" borderId="0" xfId="0" applyNumberFormat="1" applyFont="1" applyFill="1" applyBorder="1" applyAlignment="1">
      <alignment vertical="center" textRotation="90"/>
    </xf>
    <xf numFmtId="0" fontId="7" fillId="8" borderId="4" xfId="0" applyNumberFormat="1" applyFont="1" applyFill="1" applyBorder="1" applyAlignment="1" applyProtection="1"/>
    <xf numFmtId="49" fontId="9" fillId="8" borderId="0" xfId="0" applyNumberFormat="1" applyFont="1" applyFill="1" applyBorder="1"/>
    <xf numFmtId="49" fontId="6" fillId="8" borderId="22" xfId="0" applyNumberFormat="1" applyFont="1" applyFill="1" applyBorder="1"/>
    <xf numFmtId="49" fontId="6" fillId="8" borderId="1" xfId="0" applyNumberFormat="1" applyFont="1" applyFill="1" applyBorder="1"/>
    <xf numFmtId="0" fontId="7" fillId="8" borderId="1" xfId="0" applyNumberFormat="1" applyFont="1" applyFill="1" applyBorder="1" applyAlignment="1" applyProtection="1"/>
    <xf numFmtId="49" fontId="8" fillId="8" borderId="1" xfId="0" applyNumberFormat="1" applyFont="1" applyFill="1" applyBorder="1" applyAlignment="1">
      <alignment vertical="center" textRotation="90"/>
    </xf>
    <xf numFmtId="0" fontId="7" fillId="8" borderId="23" xfId="0" applyNumberFormat="1" applyFont="1" applyFill="1" applyBorder="1" applyAlignment="1" applyProtection="1"/>
    <xf numFmtId="49" fontId="6" fillId="9" borderId="18" xfId="0" applyNumberFormat="1" applyFont="1" applyFill="1" applyBorder="1"/>
    <xf numFmtId="49" fontId="6" fillId="9" borderId="20" xfId="0" applyNumberFormat="1" applyFont="1" applyFill="1" applyBorder="1"/>
    <xf numFmtId="0" fontId="7" fillId="9" borderId="20" xfId="0" applyNumberFormat="1" applyFont="1" applyFill="1" applyBorder="1" applyAlignment="1" applyProtection="1"/>
    <xf numFmtId="49" fontId="8" fillId="9" borderId="20" xfId="0" applyNumberFormat="1" applyFont="1" applyFill="1" applyBorder="1"/>
    <xf numFmtId="0" fontId="10" fillId="9" borderId="20" xfId="0" applyNumberFormat="1" applyFont="1" applyFill="1" applyBorder="1" applyAlignment="1" applyProtection="1"/>
    <xf numFmtId="49" fontId="8" fillId="9" borderId="20" xfId="0" applyNumberFormat="1" applyFont="1" applyFill="1" applyBorder="1" applyAlignment="1">
      <alignment vertical="center" textRotation="90"/>
    </xf>
    <xf numFmtId="0" fontId="10" fillId="9" borderId="2" xfId="0" applyNumberFormat="1" applyFont="1" applyFill="1" applyBorder="1" applyAlignment="1" applyProtection="1"/>
    <xf numFmtId="49" fontId="6" fillId="9" borderId="7" xfId="0" applyNumberFormat="1" applyFont="1" applyFill="1" applyBorder="1"/>
    <xf numFmtId="49" fontId="6" fillId="9" borderId="0" xfId="0" applyNumberFormat="1" applyFont="1" applyFill="1" applyBorder="1"/>
    <xf numFmtId="0" fontId="7" fillId="9" borderId="0" xfId="0" applyNumberFormat="1" applyFont="1" applyFill="1" applyBorder="1" applyAlignment="1" applyProtection="1"/>
    <xf numFmtId="49" fontId="8" fillId="9" borderId="0" xfId="0" applyNumberFormat="1" applyFont="1" applyFill="1" applyBorder="1" applyAlignment="1">
      <alignment vertical="center" textRotation="90"/>
    </xf>
    <xf numFmtId="0" fontId="7" fillId="9" borderId="4" xfId="0" applyNumberFormat="1" applyFont="1" applyFill="1" applyBorder="1" applyAlignment="1" applyProtection="1"/>
    <xf numFmtId="49" fontId="9" fillId="9" borderId="0" xfId="0" applyNumberFormat="1" applyFont="1" applyFill="1" applyBorder="1"/>
    <xf numFmtId="49" fontId="6" fillId="11" borderId="7" xfId="0" applyNumberFormat="1" applyFont="1" applyFill="1" applyBorder="1"/>
    <xf numFmtId="49" fontId="6" fillId="11" borderId="0" xfId="0" applyNumberFormat="1" applyFont="1" applyFill="1" applyBorder="1"/>
    <xf numFmtId="0" fontId="7" fillId="11" borderId="0" xfId="0" applyNumberFormat="1" applyFont="1" applyFill="1" applyBorder="1" applyAlignment="1" applyProtection="1"/>
    <xf numFmtId="49" fontId="8" fillId="11" borderId="0" xfId="0" applyNumberFormat="1" applyFont="1" applyFill="1" applyBorder="1"/>
    <xf numFmtId="49" fontId="8" fillId="11" borderId="0" xfId="0" applyNumberFormat="1" applyFont="1" applyFill="1" applyBorder="1" applyAlignment="1">
      <alignment vertical="center" textRotation="90"/>
    </xf>
    <xf numFmtId="0" fontId="7" fillId="11" borderId="4" xfId="0" applyNumberFormat="1" applyFont="1" applyFill="1" applyBorder="1" applyAlignment="1" applyProtection="1"/>
    <xf numFmtId="49" fontId="9" fillId="11" borderId="0" xfId="0" applyNumberFormat="1" applyFont="1" applyFill="1" applyBorder="1"/>
    <xf numFmtId="49" fontId="6" fillId="12" borderId="7" xfId="0" applyNumberFormat="1" applyFont="1" applyFill="1" applyBorder="1"/>
    <xf numFmtId="49" fontId="6" fillId="12" borderId="0" xfId="0" applyNumberFormat="1" applyFont="1" applyFill="1" applyBorder="1"/>
    <xf numFmtId="0" fontId="7" fillId="12" borderId="0" xfId="0" applyNumberFormat="1" applyFont="1" applyFill="1" applyBorder="1" applyAlignment="1" applyProtection="1"/>
    <xf numFmtId="49" fontId="8" fillId="12" borderId="0" xfId="0" applyNumberFormat="1" applyFont="1" applyFill="1" applyBorder="1"/>
    <xf numFmtId="0" fontId="10" fillId="12" borderId="0" xfId="0" applyNumberFormat="1" applyFont="1" applyFill="1" applyBorder="1" applyAlignment="1" applyProtection="1"/>
    <xf numFmtId="49" fontId="8" fillId="12" borderId="0" xfId="0" applyNumberFormat="1" applyFont="1" applyFill="1" applyBorder="1" applyAlignment="1">
      <alignment vertical="center" textRotation="90"/>
    </xf>
    <xf numFmtId="0" fontId="7" fillId="12" borderId="4" xfId="0" applyNumberFormat="1" applyFont="1" applyFill="1" applyBorder="1" applyAlignment="1" applyProtection="1"/>
    <xf numFmtId="49" fontId="6" fillId="12" borderId="22" xfId="0" applyNumberFormat="1" applyFont="1" applyFill="1" applyBorder="1"/>
    <xf numFmtId="49" fontId="6" fillId="12" borderId="1" xfId="0" applyNumberFormat="1" applyFont="1" applyFill="1" applyBorder="1"/>
    <xf numFmtId="0" fontId="7" fillId="12" borderId="1" xfId="0" applyNumberFormat="1" applyFont="1" applyFill="1" applyBorder="1" applyAlignment="1" applyProtection="1"/>
    <xf numFmtId="49" fontId="8" fillId="12" borderId="1" xfId="0" applyNumberFormat="1" applyFont="1" applyFill="1" applyBorder="1" applyAlignment="1">
      <alignment vertical="center" textRotation="90"/>
    </xf>
    <xf numFmtId="0" fontId="7" fillId="12" borderId="23" xfId="0" applyNumberFormat="1" applyFont="1" applyFill="1" applyBorder="1" applyAlignment="1" applyProtection="1"/>
    <xf numFmtId="0" fontId="11" fillId="9" borderId="20" xfId="0" applyNumberFormat="1" applyFont="1" applyFill="1" applyBorder="1" applyAlignment="1" applyProtection="1"/>
    <xf numFmtId="0" fontId="7" fillId="9" borderId="2" xfId="0" applyNumberFormat="1" applyFont="1" applyFill="1" applyBorder="1" applyAlignment="1" applyProtection="1"/>
    <xf numFmtId="0" fontId="10" fillId="9" borderId="0" xfId="0" applyNumberFormat="1" applyFont="1" applyFill="1" applyBorder="1" applyAlignment="1" applyProtection="1"/>
    <xf numFmtId="49" fontId="6" fillId="9" borderId="22" xfId="0" applyNumberFormat="1" applyFont="1" applyFill="1" applyBorder="1"/>
    <xf numFmtId="49" fontId="6" fillId="9" borderId="1" xfId="0" applyNumberFormat="1" applyFont="1" applyFill="1" applyBorder="1"/>
    <xf numFmtId="0" fontId="7" fillId="9" borderId="1" xfId="0" applyNumberFormat="1" applyFont="1" applyFill="1" applyBorder="1" applyAlignment="1" applyProtection="1"/>
    <xf numFmtId="0" fontId="7" fillId="9" borderId="23" xfId="0" applyNumberFormat="1" applyFont="1" applyFill="1" applyBorder="1" applyAlignment="1" applyProtection="1"/>
    <xf numFmtId="49" fontId="6" fillId="2" borderId="20" xfId="0" applyNumberFormat="1" applyFont="1" applyFill="1" applyBorder="1"/>
    <xf numFmtId="49" fontId="8" fillId="2" borderId="20" xfId="0" applyNumberFormat="1" applyFont="1" applyFill="1" applyBorder="1"/>
    <xf numFmtId="49" fontId="6" fillId="2" borderId="0" xfId="0" applyNumberFormat="1" applyFont="1" applyFill="1" applyBorder="1"/>
    <xf numFmtId="49" fontId="9" fillId="2" borderId="0" xfId="0" applyNumberFormat="1" applyFont="1" applyFill="1" applyBorder="1"/>
    <xf numFmtId="49" fontId="6" fillId="4" borderId="18" xfId="0" applyNumberFormat="1" applyFont="1" applyFill="1" applyBorder="1"/>
    <xf numFmtId="49" fontId="12" fillId="4" borderId="0" xfId="0" applyNumberFormat="1" applyFont="1" applyFill="1" applyBorder="1"/>
    <xf numFmtId="0" fontId="7" fillId="4" borderId="20" xfId="0" applyNumberFormat="1" applyFont="1" applyFill="1" applyBorder="1" applyAlignment="1" applyProtection="1"/>
    <xf numFmtId="49" fontId="8" fillId="4" borderId="20" xfId="0" applyNumberFormat="1" applyFont="1" applyFill="1" applyBorder="1"/>
    <xf numFmtId="49" fontId="6" fillId="4" borderId="20" xfId="0" applyNumberFormat="1" applyFont="1" applyFill="1" applyBorder="1"/>
    <xf numFmtId="0" fontId="7" fillId="4" borderId="2" xfId="0" applyNumberFormat="1" applyFont="1" applyFill="1" applyBorder="1" applyAlignment="1" applyProtection="1"/>
    <xf numFmtId="49" fontId="9" fillId="14" borderId="0" xfId="0" applyNumberFormat="1" applyFont="1" applyFill="1" applyBorder="1" applyAlignment="1">
      <alignment horizontal="left"/>
    </xf>
    <xf numFmtId="0" fontId="7" fillId="14" borderId="0" xfId="0" applyNumberFormat="1" applyFont="1" applyFill="1" applyBorder="1" applyAlignment="1" applyProtection="1">
      <alignment horizontal="left"/>
    </xf>
    <xf numFmtId="49" fontId="13" fillId="14" borderId="0" xfId="0" applyNumberFormat="1" applyFont="1" applyFill="1" applyBorder="1" applyAlignment="1">
      <alignment horizontal="left"/>
    </xf>
    <xf numFmtId="49" fontId="6" fillId="4" borderId="22" xfId="0" applyNumberFormat="1" applyFont="1" applyFill="1" applyBorder="1"/>
    <xf numFmtId="0" fontId="7" fillId="4" borderId="1" xfId="0" applyNumberFormat="1" applyFont="1" applyFill="1" applyBorder="1" applyAlignment="1" applyProtection="1"/>
    <xf numFmtId="49" fontId="6" fillId="4" borderId="1" xfId="0" applyNumberFormat="1" applyFont="1" applyFill="1" applyBorder="1"/>
    <xf numFmtId="0" fontId="7" fillId="4" borderId="23" xfId="0" applyNumberFormat="1" applyFont="1" applyFill="1" applyBorder="1" applyAlignment="1" applyProtection="1"/>
    <xf numFmtId="49" fontId="6" fillId="2" borderId="24" xfId="0" applyNumberFormat="1" applyFont="1" applyFill="1" applyBorder="1"/>
    <xf numFmtId="49" fontId="12" fillId="15" borderId="25" xfId="0" applyNumberFormat="1" applyFont="1" applyFill="1" applyBorder="1"/>
    <xf numFmtId="0" fontId="7" fillId="2" borderId="26" xfId="0" applyNumberFormat="1" applyFont="1" applyFill="1" applyBorder="1" applyAlignment="1" applyProtection="1"/>
    <xf numFmtId="49" fontId="9" fillId="2" borderId="26" xfId="0" applyNumberFormat="1" applyFont="1" applyFill="1" applyBorder="1"/>
    <xf numFmtId="49" fontId="6" fillId="2" borderId="26" xfId="0" applyNumberFormat="1" applyFont="1" applyFill="1" applyBorder="1"/>
    <xf numFmtId="0" fontId="7" fillId="2" borderId="27" xfId="0" applyNumberFormat="1" applyFont="1" applyFill="1" applyBorder="1" applyAlignment="1" applyProtection="1"/>
    <xf numFmtId="3" fontId="3" fillId="0" borderId="15" xfId="0" applyNumberFormat="1" applyFont="1" applyFill="1" applyBorder="1" applyAlignment="1" applyProtection="1">
      <alignment horizontal="right"/>
    </xf>
    <xf numFmtId="3" fontId="14" fillId="0" borderId="15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/>
    </xf>
    <xf numFmtId="3" fontId="3" fillId="0" borderId="6" xfId="0" applyNumberFormat="1" applyFont="1" applyFill="1" applyBorder="1" applyAlignment="1" applyProtection="1">
      <alignment horizontal="right"/>
    </xf>
    <xf numFmtId="3" fontId="3" fillId="0" borderId="28" xfId="0" applyNumberFormat="1" applyFont="1" applyFill="1" applyBorder="1" applyAlignment="1" applyProtection="1">
      <alignment horizontal="right"/>
    </xf>
    <xf numFmtId="0" fontId="2" fillId="0" borderId="7" xfId="0" applyFont="1" applyBorder="1" applyAlignment="1" applyProtection="1">
      <alignment horizontal="left" vertical="center" indent="1"/>
      <protection locked="0"/>
    </xf>
    <xf numFmtId="0" fontId="2" fillId="0" borderId="0" xfId="0" applyFont="1" applyBorder="1" applyAlignment="1" applyProtection="1">
      <alignment horizontal="left" vertical="center" indent="1"/>
      <protection locked="0"/>
    </xf>
    <xf numFmtId="0" fontId="2" fillId="0" borderId="22" xfId="0" applyFont="1" applyBorder="1" applyAlignment="1" applyProtection="1">
      <alignment horizontal="left" vertical="center" indent="1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0" xfId="0" applyBorder="1" applyAlignment="1">
      <alignment vertical="center"/>
    </xf>
    <xf numFmtId="0" fontId="4" fillId="0" borderId="0" xfId="0" applyFont="1" applyBorder="1" applyAlignment="1" applyProtection="1">
      <alignment vertical="center" wrapText="1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protection locked="0"/>
    </xf>
    <xf numFmtId="0" fontId="2" fillId="0" borderId="7" xfId="0" applyFont="1" applyBorder="1" applyAlignment="1" applyProtection="1">
      <alignment horizontal="left" vertical="center" wrapText="1" indent="2"/>
      <protection locked="0"/>
    </xf>
    <xf numFmtId="3" fontId="3" fillId="0" borderId="15" xfId="0" quotePrefix="1" applyNumberFormat="1" applyFont="1" applyFill="1" applyBorder="1" applyAlignment="1" applyProtection="1">
      <alignment horizontal="right"/>
    </xf>
    <xf numFmtId="3" fontId="14" fillId="0" borderId="15" xfId="0" quotePrefix="1" applyNumberFormat="1" applyFont="1" applyFill="1" applyBorder="1" applyAlignment="1" applyProtection="1">
      <alignment horizontal="right" vertical="center"/>
    </xf>
    <xf numFmtId="3" fontId="14" fillId="0" borderId="6" xfId="0" quotePrefix="1" applyNumberFormat="1" applyFont="1" applyFill="1" applyBorder="1" applyAlignment="1" applyProtection="1">
      <alignment horizontal="right" vertical="center"/>
    </xf>
    <xf numFmtId="3" fontId="3" fillId="0" borderId="6" xfId="0" quotePrefix="1" applyNumberFormat="1" applyFont="1" applyFill="1" applyBorder="1" applyAlignment="1" applyProtection="1">
      <alignment horizontal="right"/>
    </xf>
    <xf numFmtId="49" fontId="8" fillId="13" borderId="20" xfId="0" applyNumberFormat="1" applyFont="1" applyFill="1" applyBorder="1" applyAlignment="1">
      <alignment horizontal="center" vertical="center" textRotation="90"/>
    </xf>
    <xf numFmtId="49" fontId="8" fillId="13" borderId="0" xfId="0" applyNumberFormat="1" applyFont="1" applyFill="1" applyBorder="1" applyAlignment="1">
      <alignment horizontal="center" vertical="center" textRotation="90"/>
    </xf>
    <xf numFmtId="49" fontId="8" fillId="13" borderId="1" xfId="0" applyNumberFormat="1" applyFont="1" applyFill="1" applyBorder="1" applyAlignment="1">
      <alignment horizontal="center" vertical="center" textRotation="90"/>
    </xf>
    <xf numFmtId="49" fontId="8" fillId="3" borderId="20" xfId="0" applyNumberFormat="1" applyFont="1" applyFill="1" applyBorder="1" applyAlignment="1">
      <alignment horizontal="center" vertical="center" textRotation="90" wrapText="1"/>
    </xf>
    <xf numFmtId="49" fontId="8" fillId="3" borderId="0" xfId="0" applyNumberFormat="1" applyFont="1" applyFill="1" applyBorder="1" applyAlignment="1">
      <alignment horizontal="center" vertical="center" textRotation="90" wrapText="1"/>
    </xf>
    <xf numFmtId="49" fontId="8" fillId="3" borderId="1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Border="1" applyAlignment="1">
      <alignment horizontal="left" vertical="center" wrapText="1"/>
    </xf>
    <xf numFmtId="49" fontId="8" fillId="2" borderId="20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Border="1" applyAlignment="1">
      <alignment horizontal="center" vertical="center" textRotation="90" wrapText="1"/>
    </xf>
    <xf numFmtId="49" fontId="8" fillId="2" borderId="1" xfId="0" applyNumberFormat="1" applyFont="1" applyFill="1" applyBorder="1" applyAlignment="1">
      <alignment horizontal="center" vertical="center" textRotation="90" wrapText="1"/>
    </xf>
    <xf numFmtId="49" fontId="8" fillId="10" borderId="20" xfId="0" applyNumberFormat="1" applyFont="1" applyFill="1" applyBorder="1" applyAlignment="1">
      <alignment horizontal="center" vertical="center" textRotation="90" wrapText="1"/>
    </xf>
    <xf numFmtId="49" fontId="8" fillId="10" borderId="0" xfId="0" applyNumberFormat="1" applyFont="1" applyFill="1" applyBorder="1" applyAlignment="1">
      <alignment horizontal="center" vertical="center" textRotation="90" wrapText="1"/>
    </xf>
    <xf numFmtId="49" fontId="8" fillId="10" borderId="1" xfId="0" applyNumberFormat="1" applyFont="1" applyFill="1" applyBorder="1" applyAlignment="1">
      <alignment horizontal="center" vertical="center" textRotation="90" wrapText="1"/>
    </xf>
    <xf numFmtId="0" fontId="1" fillId="0" borderId="0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 wrapText="1" indent="2"/>
      <protection locked="0"/>
    </xf>
    <xf numFmtId="0" fontId="2" fillId="0" borderId="0" xfId="0" applyFont="1" applyBorder="1" applyAlignment="1" applyProtection="1">
      <alignment horizontal="left" vertical="center" wrapText="1" indent="2"/>
      <protection locked="0"/>
    </xf>
    <xf numFmtId="0" fontId="2" fillId="0" borderId="7" xfId="0" applyFont="1" applyBorder="1" applyAlignment="1" applyProtection="1">
      <alignment horizontal="left" vertical="center" wrapText="1" indent="1"/>
      <protection locked="0"/>
    </xf>
    <xf numFmtId="0" fontId="2" fillId="0" borderId="0" xfId="0" applyFont="1" applyBorder="1" applyAlignment="1" applyProtection="1">
      <alignment horizontal="left" vertical="center" wrapText="1" indent="1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4" fillId="0" borderId="6" xfId="0" applyNumberFormat="1" applyFont="1" applyBorder="1" applyAlignment="1" applyProtection="1">
      <alignment horizontal="right" vertical="center"/>
    </xf>
    <xf numFmtId="49" fontId="4" fillId="0" borderId="0" xfId="0" applyNumberFormat="1" applyFont="1" applyAlignment="1" applyProtection="1">
      <alignment horizontal="left" vertical="center" wrapText="1"/>
      <protection locked="0"/>
    </xf>
    <xf numFmtId="3" fontId="4" fillId="0" borderId="5" xfId="0" applyNumberFormat="1" applyFont="1" applyBorder="1" applyAlignment="1" applyProtection="1">
      <alignment horizontal="right" vertical="center"/>
    </xf>
    <xf numFmtId="3" fontId="4" fillId="0" borderId="15" xfId="0" applyNumberFormat="1" applyFont="1" applyBorder="1" applyAlignment="1" applyProtection="1">
      <alignment horizontal="right" vertical="center"/>
    </xf>
    <xf numFmtId="3" fontId="4" fillId="0" borderId="30" xfId="0" applyNumberFormat="1" applyFont="1" applyBorder="1" applyAlignment="1" applyProtection="1">
      <alignment horizontal="right" vertical="center"/>
    </xf>
    <xf numFmtId="49" fontId="4" fillId="0" borderId="4" xfId="0" applyNumberFormat="1" applyFont="1" applyBorder="1" applyAlignment="1" applyProtection="1">
      <alignment horizontal="left" vertical="center" wrapText="1"/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4" fillId="0" borderId="31" xfId="0" applyNumberFormat="1" applyFont="1" applyBorder="1" applyAlignment="1" applyProtection="1">
      <alignment horizontal="right" vertical="center"/>
    </xf>
    <xf numFmtId="49" fontId="2" fillId="0" borderId="20" xfId="0" applyNumberFormat="1" applyFont="1" applyBorder="1" applyAlignment="1" applyProtection="1">
      <alignment horizontal="left" wrapText="1"/>
      <protection locked="0"/>
    </xf>
    <xf numFmtId="0" fontId="2" fillId="0" borderId="20" xfId="0" applyFont="1" applyBorder="1" applyAlignment="1" applyProtection="1">
      <alignment horizontal="right" vertical="center"/>
      <protection locked="0"/>
    </xf>
    <xf numFmtId="49" fontId="4" fillId="0" borderId="12" xfId="0" applyNumberFormat="1" applyFont="1" applyBorder="1" applyAlignment="1" applyProtection="1">
      <alignment horizontal="left" vertical="center"/>
      <protection locked="0"/>
    </xf>
    <xf numFmtId="49" fontId="4" fillId="0" borderId="4" xfId="0" applyNumberFormat="1" applyFont="1" applyBorder="1" applyAlignment="1" applyProtection="1">
      <alignment horizontal="left" vertical="center"/>
      <protection locked="0"/>
    </xf>
    <xf numFmtId="3" fontId="4" fillId="0" borderId="29" xfId="0" applyNumberFormat="1" applyFont="1" applyBorder="1" applyAlignment="1" applyProtection="1">
      <alignment horizontal="right" vertical="center"/>
    </xf>
    <xf numFmtId="3" fontId="4" fillId="0" borderId="7" xfId="0" applyNumberFormat="1" applyFont="1" applyBorder="1" applyAlignment="1" applyProtection="1">
      <alignment horizontal="right" vertical="center"/>
    </xf>
    <xf numFmtId="3" fontId="4" fillId="0" borderId="13" xfId="0" applyNumberFormat="1" applyFont="1" applyBorder="1" applyAlignment="1" applyProtection="1">
      <alignment horizontal="right" vertical="center"/>
    </xf>
    <xf numFmtId="3" fontId="4" fillId="0" borderId="32" xfId="0" applyNumberFormat="1" applyFont="1" applyBorder="1" applyAlignment="1" applyProtection="1">
      <alignment horizontal="right" vertical="center"/>
    </xf>
    <xf numFmtId="3" fontId="4" fillId="0" borderId="12" xfId="0" applyNumberFormat="1" applyFont="1" applyBorder="1" applyAlignment="1" applyProtection="1">
      <alignment horizontal="right" vertical="center"/>
    </xf>
    <xf numFmtId="3" fontId="4" fillId="0" borderId="4" xfId="0" applyNumberFormat="1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topLeftCell="A31" workbookViewId="0">
      <selection activeCell="A31" sqref="A1:XFD1048576"/>
    </sheetView>
  </sheetViews>
  <sheetFormatPr defaultRowHeight="14.4"/>
  <cols>
    <col min="2" max="2" width="20.109375" bestFit="1" customWidth="1"/>
  </cols>
  <sheetData>
    <row r="1" spans="1:13">
      <c r="A1" s="15" t="s">
        <v>172</v>
      </c>
      <c r="B1" s="16" t="s">
        <v>5</v>
      </c>
      <c r="C1" s="17"/>
      <c r="D1" s="18"/>
      <c r="E1" s="18"/>
      <c r="F1" s="18"/>
      <c r="G1" s="18"/>
      <c r="H1" s="157" t="s">
        <v>173</v>
      </c>
      <c r="I1" s="19"/>
      <c r="J1" s="17"/>
      <c r="K1" s="17"/>
      <c r="L1" s="17"/>
      <c r="M1" s="20"/>
    </row>
    <row r="2" spans="1:13">
      <c r="A2" s="21" t="s">
        <v>174</v>
      </c>
      <c r="B2" s="22" t="s">
        <v>7</v>
      </c>
      <c r="C2" s="23"/>
      <c r="D2" s="23"/>
      <c r="E2" s="23"/>
      <c r="F2" s="23"/>
      <c r="G2" s="23"/>
      <c r="H2" s="158"/>
      <c r="I2" s="24"/>
      <c r="J2" s="23"/>
      <c r="K2" s="23"/>
      <c r="L2" s="23"/>
      <c r="M2" s="25"/>
    </row>
    <row r="3" spans="1:13">
      <c r="A3" s="21" t="s">
        <v>175</v>
      </c>
      <c r="B3" s="22" t="s">
        <v>9</v>
      </c>
      <c r="C3" s="23"/>
      <c r="D3" s="160" t="s">
        <v>176</v>
      </c>
      <c r="E3" s="160"/>
      <c r="F3" s="160"/>
      <c r="G3" s="160"/>
      <c r="H3" s="158"/>
      <c r="I3" s="24"/>
      <c r="J3" s="23"/>
      <c r="K3" s="23"/>
      <c r="L3" s="23"/>
      <c r="M3" s="25"/>
    </row>
    <row r="4" spans="1:13">
      <c r="A4" s="21" t="s">
        <v>177</v>
      </c>
      <c r="B4" s="22" t="s">
        <v>11</v>
      </c>
      <c r="C4" s="23"/>
      <c r="D4" s="26" t="s">
        <v>178</v>
      </c>
      <c r="E4" s="23"/>
      <c r="F4" s="23"/>
      <c r="G4" s="23"/>
      <c r="H4" s="158"/>
      <c r="I4" s="24"/>
      <c r="J4" s="23"/>
      <c r="K4" s="23"/>
      <c r="L4" s="23"/>
      <c r="M4" s="25"/>
    </row>
    <row r="5" spans="1:13">
      <c r="A5" s="21" t="s">
        <v>179</v>
      </c>
      <c r="B5" s="22" t="s">
        <v>13</v>
      </c>
      <c r="C5" s="23"/>
      <c r="D5" s="23"/>
      <c r="E5" s="23"/>
      <c r="F5" s="23"/>
      <c r="G5" s="23"/>
      <c r="H5" s="158"/>
      <c r="I5" s="24"/>
      <c r="J5" s="23"/>
      <c r="K5" s="23"/>
      <c r="L5" s="23"/>
      <c r="M5" s="25"/>
    </row>
    <row r="6" spans="1:13">
      <c r="A6" s="21" t="s">
        <v>180</v>
      </c>
      <c r="B6" s="22" t="s">
        <v>15</v>
      </c>
      <c r="C6" s="23"/>
      <c r="D6" s="23"/>
      <c r="E6" s="23"/>
      <c r="F6" s="23"/>
      <c r="G6" s="23"/>
      <c r="H6" s="158"/>
      <c r="I6" s="24"/>
      <c r="J6" s="23"/>
      <c r="K6" s="23"/>
      <c r="L6" s="23"/>
      <c r="M6" s="25"/>
    </row>
    <row r="7" spans="1:13">
      <c r="A7" s="27" t="s">
        <v>181</v>
      </c>
      <c r="B7" s="28" t="s">
        <v>19</v>
      </c>
      <c r="C7" s="29"/>
      <c r="D7" s="30"/>
      <c r="E7" s="29"/>
      <c r="F7" s="29"/>
      <c r="G7" s="29"/>
      <c r="H7" s="158"/>
      <c r="I7" s="31"/>
      <c r="J7" s="29"/>
      <c r="K7" s="29"/>
      <c r="L7" s="29"/>
      <c r="M7" s="32"/>
    </row>
    <row r="8" spans="1:13">
      <c r="A8" s="27" t="s">
        <v>182</v>
      </c>
      <c r="B8" s="33" t="s">
        <v>21</v>
      </c>
      <c r="C8" s="29"/>
      <c r="D8" s="29"/>
      <c r="E8" s="29"/>
      <c r="F8" s="29"/>
      <c r="G8" s="29"/>
      <c r="H8" s="158"/>
      <c r="I8" s="31"/>
      <c r="J8" s="33"/>
      <c r="K8" s="34"/>
      <c r="L8" s="29"/>
      <c r="M8" s="32"/>
    </row>
    <row r="9" spans="1:13">
      <c r="A9" s="27" t="s">
        <v>183</v>
      </c>
      <c r="B9" s="33" t="s">
        <v>23</v>
      </c>
      <c r="C9" s="29"/>
      <c r="D9" s="29"/>
      <c r="E9" s="29"/>
      <c r="F9" s="29"/>
      <c r="G9" s="29"/>
      <c r="H9" s="158"/>
      <c r="I9" s="31"/>
      <c r="J9" s="29"/>
      <c r="K9" s="29"/>
      <c r="L9" s="29"/>
      <c r="M9" s="32"/>
    </row>
    <row r="10" spans="1:13">
      <c r="A10" s="27" t="s">
        <v>184</v>
      </c>
      <c r="B10" s="33" t="s">
        <v>25</v>
      </c>
      <c r="C10" s="29"/>
      <c r="D10" s="29"/>
      <c r="E10" s="29"/>
      <c r="F10" s="29"/>
      <c r="G10" s="29"/>
      <c r="H10" s="158"/>
      <c r="I10" s="31"/>
      <c r="J10" s="29"/>
      <c r="K10" s="29"/>
      <c r="L10" s="29"/>
      <c r="M10" s="32"/>
    </row>
    <row r="11" spans="1:13">
      <c r="A11" s="27" t="s">
        <v>185</v>
      </c>
      <c r="B11" s="33" t="s">
        <v>27</v>
      </c>
      <c r="C11" s="29"/>
      <c r="D11" s="35" t="s">
        <v>186</v>
      </c>
      <c r="E11" s="29"/>
      <c r="F11" s="29"/>
      <c r="G11" s="29"/>
      <c r="H11" s="158"/>
      <c r="I11" s="31"/>
      <c r="J11" s="29"/>
      <c r="K11" s="29"/>
      <c r="L11" s="29"/>
      <c r="M11" s="32"/>
    </row>
    <row r="12" spans="1:13">
      <c r="A12" s="27" t="s">
        <v>187</v>
      </c>
      <c r="B12" s="33" t="s">
        <v>29</v>
      </c>
      <c r="C12" s="29"/>
      <c r="D12" s="29"/>
      <c r="E12" s="29"/>
      <c r="F12" s="29"/>
      <c r="G12" s="29"/>
      <c r="H12" s="158"/>
      <c r="I12" s="31"/>
      <c r="J12" s="29"/>
      <c r="K12" s="29"/>
      <c r="L12" s="29"/>
      <c r="M12" s="32"/>
    </row>
    <row r="13" spans="1:13">
      <c r="A13" s="27" t="s">
        <v>188</v>
      </c>
      <c r="B13" s="33" t="s">
        <v>31</v>
      </c>
      <c r="C13" s="29"/>
      <c r="D13" s="29"/>
      <c r="E13" s="29"/>
      <c r="F13" s="29"/>
      <c r="G13" s="29"/>
      <c r="H13" s="158"/>
      <c r="I13" s="31"/>
      <c r="J13" s="29"/>
      <c r="K13" s="29"/>
      <c r="L13" s="29"/>
      <c r="M13" s="32"/>
    </row>
    <row r="14" spans="1:13">
      <c r="A14" s="27" t="s">
        <v>189</v>
      </c>
      <c r="B14" s="33" t="s">
        <v>33</v>
      </c>
      <c r="C14" s="29"/>
      <c r="D14" s="29"/>
      <c r="E14" s="29"/>
      <c r="F14" s="29"/>
      <c r="G14" s="29"/>
      <c r="H14" s="158"/>
      <c r="I14" s="31"/>
      <c r="J14" s="29"/>
      <c r="K14" s="29"/>
      <c r="L14" s="29"/>
      <c r="M14" s="32"/>
    </row>
    <row r="15" spans="1:13">
      <c r="A15" s="27" t="s">
        <v>190</v>
      </c>
      <c r="B15" s="33" t="s">
        <v>35</v>
      </c>
      <c r="C15" s="29"/>
      <c r="D15" s="29"/>
      <c r="E15" s="29"/>
      <c r="F15" s="29"/>
      <c r="G15" s="29"/>
      <c r="H15" s="158"/>
      <c r="I15" s="31"/>
      <c r="J15" s="29"/>
      <c r="K15" s="29"/>
      <c r="L15" s="29"/>
      <c r="M15" s="32"/>
    </row>
    <row r="16" spans="1:13">
      <c r="A16" s="27" t="s">
        <v>191</v>
      </c>
      <c r="B16" s="33" t="s">
        <v>37</v>
      </c>
      <c r="C16" s="29"/>
      <c r="D16" s="29"/>
      <c r="E16" s="29"/>
      <c r="F16" s="29"/>
      <c r="G16" s="29"/>
      <c r="H16" s="158"/>
      <c r="I16" s="31"/>
      <c r="J16" s="29"/>
      <c r="K16" s="29"/>
      <c r="L16" s="29"/>
      <c r="M16" s="32"/>
    </row>
    <row r="17" spans="1:13">
      <c r="A17" s="27" t="s">
        <v>192</v>
      </c>
      <c r="B17" s="33" t="s">
        <v>39</v>
      </c>
      <c r="C17" s="29"/>
      <c r="D17" s="29"/>
      <c r="E17" s="29"/>
      <c r="F17" s="29"/>
      <c r="G17" s="29"/>
      <c r="H17" s="158"/>
      <c r="I17" s="31"/>
      <c r="J17" s="29"/>
      <c r="K17" s="29"/>
      <c r="L17" s="29"/>
      <c r="M17" s="32"/>
    </row>
    <row r="18" spans="1:13">
      <c r="A18" s="36" t="s">
        <v>193</v>
      </c>
      <c r="B18" s="37" t="s">
        <v>43</v>
      </c>
      <c r="C18" s="38"/>
      <c r="D18" s="39"/>
      <c r="E18" s="38"/>
      <c r="F18" s="38"/>
      <c r="G18" s="38"/>
      <c r="H18" s="158"/>
      <c r="I18" s="40"/>
      <c r="J18" s="37"/>
      <c r="K18" s="37"/>
      <c r="L18" s="38"/>
      <c r="M18" s="41"/>
    </row>
    <row r="19" spans="1:13">
      <c r="A19" s="36" t="s">
        <v>194</v>
      </c>
      <c r="B19" s="37" t="s">
        <v>45</v>
      </c>
      <c r="C19" s="38"/>
      <c r="D19" s="38"/>
      <c r="E19" s="38"/>
      <c r="F19" s="38"/>
      <c r="G19" s="38"/>
      <c r="H19" s="158"/>
      <c r="I19" s="40"/>
      <c r="J19" s="37"/>
      <c r="K19" s="37"/>
      <c r="L19" s="38"/>
      <c r="M19" s="41"/>
    </row>
    <row r="20" spans="1:13">
      <c r="A20" s="36" t="s">
        <v>195</v>
      </c>
      <c r="B20" s="37" t="s">
        <v>47</v>
      </c>
      <c r="C20" s="38"/>
      <c r="D20" s="42" t="s">
        <v>196</v>
      </c>
      <c r="E20" s="38"/>
      <c r="F20" s="38"/>
      <c r="G20" s="38"/>
      <c r="H20" s="158"/>
      <c r="I20" s="40"/>
      <c r="J20" s="37"/>
      <c r="K20" s="37"/>
      <c r="L20" s="38"/>
      <c r="M20" s="41"/>
    </row>
    <row r="21" spans="1:13" ht="15" thickBot="1">
      <c r="A21" s="43" t="s">
        <v>197</v>
      </c>
      <c r="B21" s="44" t="s">
        <v>49</v>
      </c>
      <c r="C21" s="45"/>
      <c r="D21" s="45"/>
      <c r="E21" s="45"/>
      <c r="F21" s="45"/>
      <c r="G21" s="45"/>
      <c r="H21" s="159"/>
      <c r="I21" s="46"/>
      <c r="J21" s="44"/>
      <c r="K21" s="44"/>
      <c r="L21" s="45"/>
      <c r="M21" s="47"/>
    </row>
    <row r="22" spans="1:13">
      <c r="A22" s="48" t="s">
        <v>198</v>
      </c>
      <c r="B22" s="49" t="s">
        <v>53</v>
      </c>
      <c r="C22" s="50"/>
      <c r="D22" s="51"/>
      <c r="E22" s="50"/>
      <c r="F22" s="50"/>
      <c r="G22" s="52"/>
      <c r="H22" s="161" t="s">
        <v>199</v>
      </c>
      <c r="I22" s="50"/>
      <c r="J22" s="49"/>
      <c r="K22" s="49"/>
      <c r="L22" s="50"/>
      <c r="M22" s="53"/>
    </row>
    <row r="23" spans="1:13">
      <c r="A23" s="54" t="s">
        <v>200</v>
      </c>
      <c r="B23" s="55" t="s">
        <v>55</v>
      </c>
      <c r="C23" s="56"/>
      <c r="D23" s="56"/>
      <c r="E23" s="56"/>
      <c r="F23" s="56"/>
      <c r="G23" s="57"/>
      <c r="H23" s="162"/>
      <c r="I23" s="56"/>
      <c r="J23" s="55"/>
      <c r="K23" s="55"/>
      <c r="L23" s="56"/>
      <c r="M23" s="58"/>
    </row>
    <row r="24" spans="1:13">
      <c r="A24" s="54" t="s">
        <v>201</v>
      </c>
      <c r="B24" s="55" t="s">
        <v>57</v>
      </c>
      <c r="C24" s="56"/>
      <c r="D24" s="59" t="s">
        <v>202</v>
      </c>
      <c r="E24" s="56"/>
      <c r="F24" s="56"/>
      <c r="G24" s="57"/>
      <c r="H24" s="162"/>
      <c r="I24" s="56"/>
      <c r="J24" s="55"/>
      <c r="K24" s="55"/>
      <c r="L24" s="56"/>
      <c r="M24" s="58"/>
    </row>
    <row r="25" spans="1:13">
      <c r="A25" s="54" t="s">
        <v>203</v>
      </c>
      <c r="B25" s="55" t="s">
        <v>59</v>
      </c>
      <c r="C25" s="56"/>
      <c r="D25" s="56"/>
      <c r="E25" s="56"/>
      <c r="F25" s="56"/>
      <c r="G25" s="57"/>
      <c r="H25" s="162"/>
      <c r="I25" s="56"/>
      <c r="J25" s="55"/>
      <c r="K25" s="55"/>
      <c r="L25" s="56"/>
      <c r="M25" s="58"/>
    </row>
    <row r="26" spans="1:13">
      <c r="A26" s="54" t="s">
        <v>204</v>
      </c>
      <c r="B26" s="55" t="s">
        <v>61</v>
      </c>
      <c r="C26" s="56"/>
      <c r="D26" s="56"/>
      <c r="E26" s="56"/>
      <c r="F26" s="56"/>
      <c r="G26" s="57"/>
      <c r="H26" s="162"/>
      <c r="I26" s="56"/>
      <c r="J26" s="55"/>
      <c r="K26" s="55"/>
      <c r="L26" s="56"/>
      <c r="M26" s="58"/>
    </row>
    <row r="27" spans="1:13">
      <c r="A27" s="60" t="s">
        <v>205</v>
      </c>
      <c r="B27" s="61" t="s">
        <v>65</v>
      </c>
      <c r="C27" s="62"/>
      <c r="D27" s="63"/>
      <c r="E27" s="62"/>
      <c r="F27" s="62"/>
      <c r="G27" s="64"/>
      <c r="H27" s="162"/>
      <c r="I27" s="62"/>
      <c r="J27" s="61"/>
      <c r="K27" s="61"/>
      <c r="L27" s="62"/>
      <c r="M27" s="65"/>
    </row>
    <row r="28" spans="1:13">
      <c r="A28" s="60" t="s">
        <v>206</v>
      </c>
      <c r="B28" s="61" t="s">
        <v>67</v>
      </c>
      <c r="C28" s="62"/>
      <c r="D28" s="62"/>
      <c r="E28" s="62"/>
      <c r="F28" s="62"/>
      <c r="G28" s="64"/>
      <c r="H28" s="162"/>
      <c r="I28" s="62"/>
      <c r="J28" s="61"/>
      <c r="K28" s="61"/>
      <c r="L28" s="62"/>
      <c r="M28" s="65"/>
    </row>
    <row r="29" spans="1:13">
      <c r="A29" s="60" t="s">
        <v>207</v>
      </c>
      <c r="B29" s="61" t="s">
        <v>69</v>
      </c>
      <c r="C29" s="62"/>
      <c r="D29" s="66" t="s">
        <v>208</v>
      </c>
      <c r="E29" s="62"/>
      <c r="F29" s="62"/>
      <c r="G29" s="64"/>
      <c r="H29" s="162"/>
      <c r="I29" s="62"/>
      <c r="J29" s="61"/>
      <c r="K29" s="61"/>
      <c r="L29" s="62"/>
      <c r="M29" s="65"/>
    </row>
    <row r="30" spans="1:13">
      <c r="A30" s="60" t="s">
        <v>209</v>
      </c>
      <c r="B30" s="61" t="s">
        <v>71</v>
      </c>
      <c r="C30" s="62"/>
      <c r="D30" s="62"/>
      <c r="E30" s="62"/>
      <c r="F30" s="62"/>
      <c r="G30" s="64"/>
      <c r="H30" s="162"/>
      <c r="I30" s="62"/>
      <c r="J30" s="61"/>
      <c r="K30" s="61"/>
      <c r="L30" s="62"/>
      <c r="M30" s="65"/>
    </row>
    <row r="31" spans="1:13" ht="15" thickBot="1">
      <c r="A31" s="67" t="s">
        <v>210</v>
      </c>
      <c r="B31" s="68" t="s">
        <v>73</v>
      </c>
      <c r="C31" s="69"/>
      <c r="D31" s="69"/>
      <c r="E31" s="69"/>
      <c r="F31" s="69"/>
      <c r="G31" s="70"/>
      <c r="H31" s="163"/>
      <c r="I31" s="69"/>
      <c r="J31" s="68"/>
      <c r="K31" s="68"/>
      <c r="L31" s="69"/>
      <c r="M31" s="71"/>
    </row>
    <row r="32" spans="1:13">
      <c r="A32" s="72" t="s">
        <v>211</v>
      </c>
      <c r="B32" s="73" t="s">
        <v>77</v>
      </c>
      <c r="C32" s="74"/>
      <c r="D32" s="75"/>
      <c r="E32" s="76"/>
      <c r="F32" s="76"/>
      <c r="G32" s="77"/>
      <c r="H32" s="164" t="s">
        <v>212</v>
      </c>
      <c r="I32" s="76"/>
      <c r="J32" s="75"/>
      <c r="K32" s="75"/>
      <c r="L32" s="76"/>
      <c r="M32" s="78"/>
    </row>
    <row r="33" spans="1:13">
      <c r="A33" s="79" t="s">
        <v>213</v>
      </c>
      <c r="B33" s="80" t="s">
        <v>79</v>
      </c>
      <c r="C33" s="81"/>
      <c r="D33" s="81"/>
      <c r="E33" s="81"/>
      <c r="F33" s="81"/>
      <c r="G33" s="82"/>
      <c r="H33" s="165"/>
      <c r="I33" s="81"/>
      <c r="J33" s="80"/>
      <c r="K33" s="80"/>
      <c r="L33" s="81"/>
      <c r="M33" s="83"/>
    </row>
    <row r="34" spans="1:13">
      <c r="A34" s="79" t="s">
        <v>214</v>
      </c>
      <c r="B34" s="80" t="s">
        <v>81</v>
      </c>
      <c r="C34" s="81"/>
      <c r="D34" s="84" t="s">
        <v>215</v>
      </c>
      <c r="E34" s="81"/>
      <c r="F34" s="81"/>
      <c r="G34" s="82"/>
      <c r="H34" s="165"/>
      <c r="I34" s="81"/>
      <c r="J34" s="80"/>
      <c r="K34" s="80"/>
      <c r="L34" s="81"/>
      <c r="M34" s="83"/>
    </row>
    <row r="35" spans="1:13">
      <c r="A35" s="79" t="s">
        <v>216</v>
      </c>
      <c r="B35" s="80" t="s">
        <v>83</v>
      </c>
      <c r="C35" s="81"/>
      <c r="D35" s="81"/>
      <c r="E35" s="81"/>
      <c r="F35" s="81"/>
      <c r="G35" s="82"/>
      <c r="H35" s="165"/>
      <c r="I35" s="81"/>
      <c r="J35" s="80"/>
      <c r="K35" s="80"/>
      <c r="L35" s="81"/>
      <c r="M35" s="83"/>
    </row>
    <row r="36" spans="1:13">
      <c r="A36" s="79" t="s">
        <v>217</v>
      </c>
      <c r="B36" s="80" t="s">
        <v>85</v>
      </c>
      <c r="C36" s="81"/>
      <c r="D36" s="81"/>
      <c r="E36" s="81"/>
      <c r="F36" s="81"/>
      <c r="G36" s="82"/>
      <c r="H36" s="165"/>
      <c r="I36" s="81"/>
      <c r="J36" s="80"/>
      <c r="K36" s="80"/>
      <c r="L36" s="81"/>
      <c r="M36" s="83"/>
    </row>
    <row r="37" spans="1:13">
      <c r="A37" s="85" t="s">
        <v>218</v>
      </c>
      <c r="B37" s="86" t="s">
        <v>89</v>
      </c>
      <c r="C37" s="87"/>
      <c r="D37" s="88"/>
      <c r="E37" s="87"/>
      <c r="F37" s="87"/>
      <c r="G37" s="89"/>
      <c r="H37" s="165"/>
      <c r="I37" s="87"/>
      <c r="J37" s="86"/>
      <c r="K37" s="86"/>
      <c r="L37" s="87"/>
      <c r="M37" s="90"/>
    </row>
    <row r="38" spans="1:13">
      <c r="A38" s="85" t="s">
        <v>219</v>
      </c>
      <c r="B38" s="86" t="s">
        <v>91</v>
      </c>
      <c r="C38" s="87"/>
      <c r="D38" s="91" t="s">
        <v>220</v>
      </c>
      <c r="E38" s="87"/>
      <c r="F38" s="87"/>
      <c r="G38" s="89"/>
      <c r="H38" s="165"/>
      <c r="I38" s="87"/>
      <c r="J38" s="86"/>
      <c r="K38" s="86"/>
      <c r="L38" s="87"/>
      <c r="M38" s="90"/>
    </row>
    <row r="39" spans="1:13">
      <c r="A39" s="85" t="s">
        <v>221</v>
      </c>
      <c r="B39" s="86" t="s">
        <v>93</v>
      </c>
      <c r="C39" s="87"/>
      <c r="D39" s="87"/>
      <c r="E39" s="87"/>
      <c r="F39" s="87"/>
      <c r="G39" s="89"/>
      <c r="H39" s="165"/>
      <c r="I39" s="87"/>
      <c r="J39" s="86"/>
      <c r="K39" s="86"/>
      <c r="L39" s="87"/>
      <c r="M39" s="90"/>
    </row>
    <row r="40" spans="1:13">
      <c r="A40" s="92" t="s">
        <v>222</v>
      </c>
      <c r="B40" s="93" t="s">
        <v>97</v>
      </c>
      <c r="C40" s="94"/>
      <c r="D40" s="95"/>
      <c r="E40" s="96"/>
      <c r="F40" s="96"/>
      <c r="G40" s="97"/>
      <c r="H40" s="165"/>
      <c r="I40" s="94"/>
      <c r="J40" s="93"/>
      <c r="K40" s="93"/>
      <c r="L40" s="94"/>
      <c r="M40" s="98"/>
    </row>
    <row r="41" spans="1:13">
      <c r="A41" s="92" t="s">
        <v>223</v>
      </c>
      <c r="B41" s="93" t="s">
        <v>99</v>
      </c>
      <c r="C41" s="94"/>
      <c r="D41" s="94"/>
      <c r="E41" s="94"/>
      <c r="F41" s="94"/>
      <c r="G41" s="97"/>
      <c r="H41" s="165"/>
      <c r="I41" s="94"/>
      <c r="J41" s="93"/>
      <c r="K41" s="93"/>
      <c r="L41" s="94"/>
      <c r="M41" s="98"/>
    </row>
    <row r="42" spans="1:13">
      <c r="A42" s="92" t="s">
        <v>224</v>
      </c>
      <c r="B42" s="93" t="s">
        <v>101</v>
      </c>
      <c r="C42" s="94"/>
      <c r="D42" s="95" t="s">
        <v>225</v>
      </c>
      <c r="E42" s="94"/>
      <c r="F42" s="94"/>
      <c r="G42" s="97"/>
      <c r="H42" s="165"/>
      <c r="I42" s="94"/>
      <c r="J42" s="93"/>
      <c r="K42" s="93"/>
      <c r="L42" s="94"/>
      <c r="M42" s="98"/>
    </row>
    <row r="43" spans="1:13">
      <c r="A43" s="92" t="s">
        <v>226</v>
      </c>
      <c r="B43" s="93" t="s">
        <v>103</v>
      </c>
      <c r="C43" s="94"/>
      <c r="D43" s="94"/>
      <c r="E43" s="94"/>
      <c r="F43" s="94"/>
      <c r="G43" s="97"/>
      <c r="H43" s="165"/>
      <c r="I43" s="94"/>
      <c r="J43" s="93"/>
      <c r="K43" s="93"/>
      <c r="L43" s="94"/>
      <c r="M43" s="98"/>
    </row>
    <row r="44" spans="1:13" ht="15" thickBot="1">
      <c r="A44" s="99" t="s">
        <v>227</v>
      </c>
      <c r="B44" s="100" t="s">
        <v>105</v>
      </c>
      <c r="C44" s="101"/>
      <c r="D44" s="101"/>
      <c r="E44" s="101"/>
      <c r="F44" s="101"/>
      <c r="G44" s="102"/>
      <c r="H44" s="166"/>
      <c r="I44" s="101"/>
      <c r="J44" s="100"/>
      <c r="K44" s="100"/>
      <c r="L44" s="101"/>
      <c r="M44" s="103"/>
    </row>
    <row r="45" spans="1:13">
      <c r="A45" s="72" t="s">
        <v>228</v>
      </c>
      <c r="B45" s="73" t="s">
        <v>229</v>
      </c>
      <c r="C45" s="74"/>
      <c r="D45" s="74"/>
      <c r="E45" s="104"/>
      <c r="F45" s="74"/>
      <c r="G45" s="74"/>
      <c r="H45" s="157" t="s">
        <v>230</v>
      </c>
      <c r="I45" s="74"/>
      <c r="J45" s="73"/>
      <c r="K45" s="73"/>
      <c r="L45" s="74"/>
      <c r="M45" s="105"/>
    </row>
    <row r="46" spans="1:13">
      <c r="A46" s="79" t="s">
        <v>231</v>
      </c>
      <c r="B46" s="80" t="s">
        <v>232</v>
      </c>
      <c r="C46" s="81"/>
      <c r="D46" s="81"/>
      <c r="E46" s="81"/>
      <c r="F46" s="81"/>
      <c r="G46" s="81"/>
      <c r="H46" s="158"/>
      <c r="I46" s="81"/>
      <c r="J46" s="80"/>
      <c r="K46" s="80"/>
      <c r="L46" s="81"/>
      <c r="M46" s="83"/>
    </row>
    <row r="47" spans="1:13">
      <c r="A47" s="79" t="s">
        <v>233</v>
      </c>
      <c r="B47" s="80" t="s">
        <v>111</v>
      </c>
      <c r="C47" s="81"/>
      <c r="D47" s="81"/>
      <c r="E47" s="81"/>
      <c r="F47" s="81"/>
      <c r="G47" s="81"/>
      <c r="H47" s="158"/>
      <c r="I47" s="81"/>
      <c r="J47" s="80"/>
      <c r="K47" s="80"/>
      <c r="L47" s="81"/>
      <c r="M47" s="83"/>
    </row>
    <row r="48" spans="1:13">
      <c r="A48" s="79" t="s">
        <v>234</v>
      </c>
      <c r="B48" s="80" t="s">
        <v>112</v>
      </c>
      <c r="C48" s="81"/>
      <c r="D48" s="81"/>
      <c r="E48" s="81"/>
      <c r="F48" s="81"/>
      <c r="G48" s="81"/>
      <c r="H48" s="158"/>
      <c r="I48" s="81"/>
      <c r="J48" s="80"/>
      <c r="K48" s="80"/>
      <c r="L48" s="81"/>
      <c r="M48" s="83"/>
    </row>
    <row r="49" spans="1:13">
      <c r="A49" s="79" t="s">
        <v>235</v>
      </c>
      <c r="B49" s="80" t="s">
        <v>113</v>
      </c>
      <c r="C49" s="81"/>
      <c r="D49" s="81"/>
      <c r="E49" s="106" t="s">
        <v>236</v>
      </c>
      <c r="F49" s="81"/>
      <c r="G49" s="81"/>
      <c r="H49" s="158"/>
      <c r="I49" s="81"/>
      <c r="J49" s="80"/>
      <c r="K49" s="80"/>
      <c r="L49" s="81"/>
      <c r="M49" s="83"/>
    </row>
    <row r="50" spans="1:13">
      <c r="A50" s="79" t="s">
        <v>237</v>
      </c>
      <c r="B50" s="80" t="s">
        <v>114</v>
      </c>
      <c r="C50" s="81"/>
      <c r="D50" s="81"/>
      <c r="E50" s="81"/>
      <c r="F50" s="81"/>
      <c r="G50" s="81"/>
      <c r="H50" s="158"/>
      <c r="I50" s="81"/>
      <c r="J50" s="80"/>
      <c r="K50" s="80"/>
      <c r="L50" s="81"/>
      <c r="M50" s="83"/>
    </row>
    <row r="51" spans="1:13">
      <c r="A51" s="79" t="s">
        <v>238</v>
      </c>
      <c r="B51" s="80" t="s">
        <v>115</v>
      </c>
      <c r="C51" s="81"/>
      <c r="D51" s="81"/>
      <c r="E51" s="81"/>
      <c r="F51" s="81"/>
      <c r="G51" s="81"/>
      <c r="H51" s="158"/>
      <c r="I51" s="81"/>
      <c r="J51" s="80"/>
      <c r="K51" s="80"/>
      <c r="L51" s="81"/>
      <c r="M51" s="83"/>
    </row>
    <row r="52" spans="1:13" ht="15" thickBot="1">
      <c r="A52" s="107" t="s">
        <v>239</v>
      </c>
      <c r="B52" s="108" t="s">
        <v>116</v>
      </c>
      <c r="C52" s="109"/>
      <c r="D52" s="109"/>
      <c r="E52" s="109"/>
      <c r="F52" s="109"/>
      <c r="G52" s="109"/>
      <c r="H52" s="159"/>
      <c r="I52" s="109"/>
      <c r="J52" s="108"/>
      <c r="K52" s="108"/>
      <c r="L52" s="109"/>
      <c r="M52" s="110"/>
    </row>
    <row r="53" spans="1:13">
      <c r="A53" s="15" t="s">
        <v>240</v>
      </c>
      <c r="B53" s="111" t="s">
        <v>119</v>
      </c>
      <c r="C53" s="17"/>
      <c r="D53" s="112"/>
      <c r="E53" s="17"/>
      <c r="F53" s="17"/>
      <c r="G53" s="17"/>
      <c r="H53" s="154" t="s">
        <v>241</v>
      </c>
      <c r="I53" s="17"/>
      <c r="J53" s="111"/>
      <c r="K53" s="111"/>
      <c r="L53" s="17"/>
      <c r="M53" s="20"/>
    </row>
    <row r="54" spans="1:13">
      <c r="A54" s="21" t="s">
        <v>242</v>
      </c>
      <c r="B54" s="113" t="s">
        <v>121</v>
      </c>
      <c r="C54" s="23"/>
      <c r="D54" s="23"/>
      <c r="E54" s="23"/>
      <c r="F54" s="23"/>
      <c r="G54" s="23"/>
      <c r="H54" s="155"/>
      <c r="I54" s="23"/>
      <c r="J54" s="113"/>
      <c r="K54" s="113"/>
      <c r="L54" s="23"/>
      <c r="M54" s="25"/>
    </row>
    <row r="55" spans="1:13">
      <c r="A55" s="21" t="s">
        <v>243</v>
      </c>
      <c r="B55" s="113" t="s">
        <v>123</v>
      </c>
      <c r="C55" s="23"/>
      <c r="D55" s="114" t="s">
        <v>244</v>
      </c>
      <c r="E55" s="23"/>
      <c r="F55" s="23"/>
      <c r="G55" s="23"/>
      <c r="H55" s="155"/>
      <c r="I55" s="23"/>
      <c r="J55" s="113"/>
      <c r="K55" s="113"/>
      <c r="L55" s="23"/>
      <c r="M55" s="25"/>
    </row>
    <row r="56" spans="1:13">
      <c r="A56" s="21" t="s">
        <v>245</v>
      </c>
      <c r="B56" s="113" t="s">
        <v>125</v>
      </c>
      <c r="C56" s="23"/>
      <c r="D56" s="23"/>
      <c r="E56" s="23"/>
      <c r="F56" s="23"/>
      <c r="G56" s="23"/>
      <c r="H56" s="155"/>
      <c r="I56" s="23"/>
      <c r="J56" s="113"/>
      <c r="K56" s="113"/>
      <c r="L56" s="23"/>
      <c r="M56" s="25"/>
    </row>
    <row r="57" spans="1:13">
      <c r="A57" s="21" t="s">
        <v>246</v>
      </c>
      <c r="B57" s="113" t="s">
        <v>127</v>
      </c>
      <c r="C57" s="23"/>
      <c r="D57" s="23"/>
      <c r="E57" s="23"/>
      <c r="F57" s="23"/>
      <c r="G57" s="23"/>
      <c r="H57" s="155"/>
      <c r="I57" s="23"/>
      <c r="J57" s="113"/>
      <c r="K57" s="113"/>
      <c r="L57" s="23"/>
      <c r="M57" s="25"/>
    </row>
    <row r="58" spans="1:13">
      <c r="A58" s="60" t="s">
        <v>247</v>
      </c>
      <c r="B58" s="61" t="s">
        <v>131</v>
      </c>
      <c r="C58" s="62"/>
      <c r="D58" s="63"/>
      <c r="E58" s="62"/>
      <c r="F58" s="62"/>
      <c r="G58" s="62"/>
      <c r="H58" s="155"/>
      <c r="I58" s="62"/>
      <c r="J58" s="61"/>
      <c r="K58" s="61"/>
      <c r="L58" s="62"/>
      <c r="M58" s="65"/>
    </row>
    <row r="59" spans="1:13">
      <c r="A59" s="60" t="s">
        <v>248</v>
      </c>
      <c r="B59" s="61" t="s">
        <v>133</v>
      </c>
      <c r="C59" s="62"/>
      <c r="D59" s="62"/>
      <c r="E59" s="62"/>
      <c r="F59" s="62"/>
      <c r="G59" s="62"/>
      <c r="H59" s="155"/>
      <c r="I59" s="62"/>
      <c r="J59" s="61"/>
      <c r="K59" s="61"/>
      <c r="L59" s="62"/>
      <c r="M59" s="65"/>
    </row>
    <row r="60" spans="1:13">
      <c r="A60" s="60" t="s">
        <v>249</v>
      </c>
      <c r="B60" s="61" t="s">
        <v>135</v>
      </c>
      <c r="C60" s="62"/>
      <c r="D60" s="62"/>
      <c r="E60" s="62"/>
      <c r="F60" s="62"/>
      <c r="G60" s="62"/>
      <c r="H60" s="155"/>
      <c r="I60" s="62"/>
      <c r="J60" s="61"/>
      <c r="K60" s="61"/>
      <c r="L60" s="62"/>
      <c r="M60" s="65"/>
    </row>
    <row r="61" spans="1:13">
      <c r="A61" s="60" t="s">
        <v>250</v>
      </c>
      <c r="B61" s="61" t="s">
        <v>137</v>
      </c>
      <c r="C61" s="62"/>
      <c r="D61" s="62"/>
      <c r="E61" s="62"/>
      <c r="F61" s="62"/>
      <c r="G61" s="62"/>
      <c r="H61" s="155"/>
      <c r="I61" s="62"/>
      <c r="J61" s="61"/>
      <c r="K61" s="61"/>
      <c r="L61" s="62"/>
      <c r="M61" s="65"/>
    </row>
    <row r="62" spans="1:13">
      <c r="A62" s="60" t="s">
        <v>251</v>
      </c>
      <c r="B62" s="61" t="s">
        <v>139</v>
      </c>
      <c r="C62" s="62"/>
      <c r="D62" s="62"/>
      <c r="E62" s="62"/>
      <c r="F62" s="62"/>
      <c r="G62" s="62"/>
      <c r="H62" s="155"/>
      <c r="I62" s="62"/>
      <c r="J62" s="61"/>
      <c r="K62" s="61"/>
      <c r="L62" s="62"/>
      <c r="M62" s="65"/>
    </row>
    <row r="63" spans="1:13">
      <c r="A63" s="60" t="s">
        <v>252</v>
      </c>
      <c r="B63" s="61" t="s">
        <v>141</v>
      </c>
      <c r="C63" s="62"/>
      <c r="D63" s="66" t="s">
        <v>253</v>
      </c>
      <c r="E63" s="62"/>
      <c r="F63" s="62"/>
      <c r="G63" s="62"/>
      <c r="H63" s="155"/>
      <c r="I63" s="62"/>
      <c r="J63" s="61"/>
      <c r="K63" s="61"/>
      <c r="L63" s="62"/>
      <c r="M63" s="65"/>
    </row>
    <row r="64" spans="1:13">
      <c r="A64" s="60" t="s">
        <v>254</v>
      </c>
      <c r="B64" s="61" t="s">
        <v>143</v>
      </c>
      <c r="C64" s="62"/>
      <c r="D64" s="62"/>
      <c r="E64" s="62"/>
      <c r="F64" s="62"/>
      <c r="G64" s="62"/>
      <c r="H64" s="155"/>
      <c r="I64" s="62"/>
      <c r="J64" s="61"/>
      <c r="K64" s="61"/>
      <c r="L64" s="62"/>
      <c r="M64" s="65"/>
    </row>
    <row r="65" spans="1:13">
      <c r="A65" s="60" t="s">
        <v>255</v>
      </c>
      <c r="B65" s="61" t="s">
        <v>145</v>
      </c>
      <c r="C65" s="62"/>
      <c r="D65" s="62"/>
      <c r="E65" s="62"/>
      <c r="F65" s="62"/>
      <c r="G65" s="62"/>
      <c r="H65" s="155"/>
      <c r="I65" s="62"/>
      <c r="J65" s="61"/>
      <c r="K65" s="61"/>
      <c r="L65" s="62"/>
      <c r="M65" s="65"/>
    </row>
    <row r="66" spans="1:13">
      <c r="A66" s="60" t="s">
        <v>256</v>
      </c>
      <c r="B66" s="61" t="s">
        <v>147</v>
      </c>
      <c r="C66" s="62"/>
      <c r="D66" s="62"/>
      <c r="E66" s="62"/>
      <c r="F66" s="62"/>
      <c r="G66" s="62"/>
      <c r="H66" s="155"/>
      <c r="I66" s="62"/>
      <c r="J66" s="61"/>
      <c r="K66" s="61"/>
      <c r="L66" s="62"/>
      <c r="M66" s="65"/>
    </row>
    <row r="67" spans="1:13">
      <c r="A67" s="60" t="s">
        <v>257</v>
      </c>
      <c r="B67" s="61" t="s">
        <v>149</v>
      </c>
      <c r="C67" s="62"/>
      <c r="D67" s="62"/>
      <c r="E67" s="62"/>
      <c r="F67" s="62"/>
      <c r="G67" s="62"/>
      <c r="H67" s="155"/>
      <c r="I67" s="62"/>
      <c r="J67" s="61"/>
      <c r="K67" s="61"/>
      <c r="L67" s="62"/>
      <c r="M67" s="65"/>
    </row>
    <row r="68" spans="1:13">
      <c r="A68" s="60" t="s">
        <v>258</v>
      </c>
      <c r="B68" s="61" t="s">
        <v>151</v>
      </c>
      <c r="C68" s="62"/>
      <c r="D68" s="62"/>
      <c r="E68" s="62"/>
      <c r="F68" s="62"/>
      <c r="G68" s="62"/>
      <c r="H68" s="155"/>
      <c r="I68" s="62"/>
      <c r="J68" s="61"/>
      <c r="K68" s="61"/>
      <c r="L68" s="62"/>
      <c r="M68" s="65"/>
    </row>
    <row r="69" spans="1:13">
      <c r="A69" s="60" t="s">
        <v>259</v>
      </c>
      <c r="B69" s="61" t="s">
        <v>153</v>
      </c>
      <c r="C69" s="62"/>
      <c r="D69" s="62"/>
      <c r="E69" s="62"/>
      <c r="F69" s="62"/>
      <c r="G69" s="62"/>
      <c r="H69" s="155"/>
      <c r="I69" s="62"/>
      <c r="J69" s="61"/>
      <c r="K69" s="61"/>
      <c r="L69" s="62"/>
      <c r="M69" s="65"/>
    </row>
    <row r="70" spans="1:13" ht="15" thickBot="1">
      <c r="A70" s="67" t="s">
        <v>260</v>
      </c>
      <c r="B70" s="68" t="s">
        <v>155</v>
      </c>
      <c r="C70" s="69"/>
      <c r="D70" s="69"/>
      <c r="E70" s="69"/>
      <c r="F70" s="69"/>
      <c r="G70" s="69"/>
      <c r="H70" s="156"/>
      <c r="I70" s="69"/>
      <c r="J70" s="68"/>
      <c r="K70" s="68"/>
      <c r="L70" s="69"/>
      <c r="M70" s="71"/>
    </row>
    <row r="71" spans="1:13">
      <c r="A71" s="115" t="s">
        <v>261</v>
      </c>
      <c r="B71" s="116" t="s">
        <v>159</v>
      </c>
      <c r="C71" s="117"/>
      <c r="D71" s="118"/>
      <c r="E71" s="117"/>
      <c r="F71" s="117"/>
      <c r="G71" s="29"/>
      <c r="H71" s="117"/>
      <c r="I71" s="117"/>
      <c r="J71" s="119"/>
      <c r="K71" s="119"/>
      <c r="L71" s="117"/>
      <c r="M71" s="120"/>
    </row>
    <row r="72" spans="1:13">
      <c r="A72" s="27" t="s">
        <v>262</v>
      </c>
      <c r="B72" s="116" t="s">
        <v>161</v>
      </c>
      <c r="C72" s="29"/>
      <c r="D72" s="29"/>
      <c r="E72" s="29"/>
      <c r="F72" s="29"/>
      <c r="G72" s="29"/>
      <c r="H72" s="121" t="s">
        <v>263</v>
      </c>
      <c r="I72" s="122"/>
      <c r="J72" s="123"/>
      <c r="K72" s="123"/>
      <c r="L72" s="29"/>
      <c r="M72" s="32"/>
    </row>
    <row r="73" spans="1:13">
      <c r="A73" s="27" t="s">
        <v>264</v>
      </c>
      <c r="B73" s="116" t="s">
        <v>163</v>
      </c>
      <c r="C73" s="29"/>
      <c r="D73" s="35" t="s">
        <v>265</v>
      </c>
      <c r="E73" s="29"/>
      <c r="F73" s="34"/>
      <c r="G73" s="29"/>
      <c r="H73" s="29"/>
      <c r="I73" s="29"/>
      <c r="J73" s="33"/>
      <c r="K73" s="33"/>
      <c r="L73" s="29"/>
      <c r="M73" s="32"/>
    </row>
    <row r="74" spans="1:13" ht="15" thickBot="1">
      <c r="A74" s="124" t="s">
        <v>266</v>
      </c>
      <c r="B74" s="116" t="s">
        <v>165</v>
      </c>
      <c r="C74" s="125"/>
      <c r="D74" s="125"/>
      <c r="E74" s="125"/>
      <c r="F74" s="125"/>
      <c r="G74" s="125"/>
      <c r="H74" s="125"/>
      <c r="I74" s="125"/>
      <c r="J74" s="126"/>
      <c r="K74" s="126"/>
      <c r="L74" s="125"/>
      <c r="M74" s="127"/>
    </row>
    <row r="75" spans="1:13" ht="15" thickBot="1">
      <c r="A75" s="128" t="s">
        <v>267</v>
      </c>
      <c r="B75" s="129" t="s">
        <v>268</v>
      </c>
      <c r="C75" s="130"/>
      <c r="D75" s="131" t="s">
        <v>269</v>
      </c>
      <c r="E75" s="130"/>
      <c r="F75" s="130"/>
      <c r="G75" s="130"/>
      <c r="H75" s="130"/>
      <c r="I75" s="130"/>
      <c r="J75" s="132"/>
      <c r="K75" s="132"/>
      <c r="L75" s="130"/>
      <c r="M75" s="133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8"/>
  <sheetViews>
    <sheetView showGridLines="0" tabSelected="1" zoomScale="120" zoomScaleNormal="120" workbookViewId="0">
      <selection activeCell="A2" sqref="A2:I2"/>
    </sheetView>
  </sheetViews>
  <sheetFormatPr defaultRowHeight="14.4"/>
  <cols>
    <col min="1" max="1" width="21.5546875" customWidth="1"/>
    <col min="2" max="2" width="7.6640625" customWidth="1"/>
    <col min="3" max="4" width="9.33203125" customWidth="1"/>
    <col min="5" max="5" width="7.88671875" customWidth="1"/>
    <col min="6" max="7" width="9.33203125" customWidth="1"/>
    <col min="8" max="8" width="19" customWidth="1"/>
    <col min="9" max="9" width="9.5546875" customWidth="1"/>
    <col min="10" max="10" width="9.33203125" customWidth="1"/>
  </cols>
  <sheetData>
    <row r="1" spans="1:19" s="1" customFormat="1" ht="19.2" customHeight="1">
      <c r="A1" s="167" t="s">
        <v>292</v>
      </c>
      <c r="B1" s="167"/>
      <c r="C1" s="167"/>
      <c r="D1" s="167"/>
      <c r="E1" s="167"/>
      <c r="F1" s="167"/>
      <c r="G1" s="167"/>
      <c r="H1" s="167"/>
      <c r="I1" s="167"/>
      <c r="J1" s="2"/>
      <c r="K1" s="2"/>
      <c r="L1" s="2"/>
      <c r="M1" s="2"/>
      <c r="N1" s="2"/>
      <c r="O1" s="2"/>
      <c r="P1" s="2"/>
      <c r="Q1" s="2"/>
      <c r="R1" s="2"/>
    </row>
    <row r="2" spans="1:19" s="1" customFormat="1" ht="18.600000000000001" customHeight="1">
      <c r="A2" s="168" t="s">
        <v>293</v>
      </c>
      <c r="B2" s="168"/>
      <c r="C2" s="168"/>
      <c r="D2" s="168"/>
      <c r="E2" s="168"/>
      <c r="F2" s="168"/>
      <c r="G2" s="168"/>
      <c r="H2" s="168"/>
      <c r="I2" s="168"/>
      <c r="J2" s="2"/>
      <c r="K2" s="2"/>
      <c r="L2" s="2"/>
      <c r="M2" s="2"/>
      <c r="N2" s="2"/>
      <c r="O2" s="2"/>
      <c r="P2" s="2"/>
      <c r="Q2" s="2"/>
      <c r="R2" s="2"/>
    </row>
    <row r="3" spans="1:19" s="1" customFormat="1" ht="11.4" customHeight="1" thickBot="1">
      <c r="A3" s="207" t="s">
        <v>274</v>
      </c>
      <c r="B3" s="207"/>
      <c r="C3" s="207"/>
      <c r="D3" s="207"/>
      <c r="E3" s="207"/>
      <c r="F3" s="207"/>
      <c r="G3" s="3"/>
      <c r="H3" s="3" t="s">
        <v>273</v>
      </c>
      <c r="I3" s="3"/>
      <c r="J3" s="4"/>
      <c r="K3" s="4"/>
      <c r="L3" s="4"/>
      <c r="M3" s="5"/>
      <c r="N3" s="5"/>
      <c r="O3" s="5"/>
      <c r="P3" s="4"/>
      <c r="Q3" s="4"/>
      <c r="R3" s="4"/>
      <c r="S3" s="5"/>
    </row>
    <row r="4" spans="1:19" ht="14.4" customHeight="1">
      <c r="A4" s="208" t="s">
        <v>272</v>
      </c>
      <c r="B4" s="181" t="s">
        <v>271</v>
      </c>
      <c r="C4" s="191" t="s">
        <v>167</v>
      </c>
      <c r="D4" s="180"/>
      <c r="E4" s="180"/>
      <c r="F4" s="180"/>
      <c r="G4" s="199" t="s">
        <v>171</v>
      </c>
      <c r="H4" s="179" t="s">
        <v>0</v>
      </c>
      <c r="I4" s="180"/>
      <c r="J4" s="14"/>
      <c r="K4" s="5"/>
      <c r="L4" s="143"/>
    </row>
    <row r="5" spans="1:19">
      <c r="A5" s="208"/>
      <c r="B5" s="181"/>
      <c r="C5" s="192"/>
      <c r="D5" s="184"/>
      <c r="E5" s="184"/>
      <c r="F5" s="184"/>
      <c r="G5" s="200"/>
      <c r="H5" s="181"/>
      <c r="I5" s="182"/>
      <c r="J5" s="14"/>
      <c r="K5" s="5"/>
      <c r="L5" s="143"/>
    </row>
    <row r="6" spans="1:19">
      <c r="A6" s="208"/>
      <c r="B6" s="181"/>
      <c r="C6" s="197" t="s">
        <v>168</v>
      </c>
      <c r="D6" s="197" t="s">
        <v>169</v>
      </c>
      <c r="E6" s="195" t="s">
        <v>289</v>
      </c>
      <c r="F6" s="193" t="s">
        <v>170</v>
      </c>
      <c r="G6" s="200"/>
      <c r="H6" s="181"/>
      <c r="I6" s="182"/>
      <c r="J6" s="14"/>
      <c r="K6" s="5"/>
      <c r="L6" s="143"/>
    </row>
    <row r="7" spans="1:19" ht="21" customHeight="1">
      <c r="A7" s="209"/>
      <c r="B7" s="183"/>
      <c r="C7" s="198"/>
      <c r="D7" s="198"/>
      <c r="E7" s="196"/>
      <c r="F7" s="194"/>
      <c r="G7" s="194"/>
      <c r="H7" s="183"/>
      <c r="I7" s="184"/>
      <c r="J7" s="14"/>
      <c r="K7" s="5"/>
      <c r="L7" s="143"/>
    </row>
    <row r="8" spans="1:19" s="6" customFormat="1" ht="10.8" customHeight="1">
      <c r="A8" s="213" t="s">
        <v>1</v>
      </c>
      <c r="B8" s="215">
        <f>SUM(B10,B18,B31,B37,B44,B51,B58,B63,B70,B80,B87,B102)</f>
        <v>760561</v>
      </c>
      <c r="C8" s="217">
        <f t="shared" ref="C8:G8" si="0">SUM(C10,C18,C31,C37,C44,C51,C58,C63,C70,C80,C87,C102)</f>
        <v>272050</v>
      </c>
      <c r="D8" s="218">
        <f t="shared" si="0"/>
        <v>320282</v>
      </c>
      <c r="E8" s="218">
        <f t="shared" si="0"/>
        <v>110070</v>
      </c>
      <c r="F8" s="218">
        <f t="shared" si="0"/>
        <v>8890</v>
      </c>
      <c r="G8" s="219">
        <f t="shared" si="0"/>
        <v>49269</v>
      </c>
      <c r="H8" s="185" t="s">
        <v>2</v>
      </c>
      <c r="I8" s="186"/>
      <c r="J8" s="2"/>
      <c r="K8" s="10"/>
      <c r="L8" s="144"/>
    </row>
    <row r="9" spans="1:19" s="6" customFormat="1" ht="11.4" customHeight="1">
      <c r="A9" s="214"/>
      <c r="B9" s="216"/>
      <c r="C9" s="204"/>
      <c r="D9" s="210"/>
      <c r="E9" s="210"/>
      <c r="F9" s="210"/>
      <c r="G9" s="220"/>
      <c r="H9" s="187"/>
      <c r="I9" s="188"/>
      <c r="J9" s="2"/>
      <c r="K9" s="10"/>
      <c r="L9" s="144"/>
    </row>
    <row r="10" spans="1:19" s="6" customFormat="1" ht="9" customHeight="1">
      <c r="A10" s="206" t="s">
        <v>3</v>
      </c>
      <c r="B10" s="203">
        <f>SUM(C10:G11)</f>
        <v>17787</v>
      </c>
      <c r="C10" s="204">
        <f>SUM(C12:C17)</f>
        <v>10035</v>
      </c>
      <c r="D10" s="204">
        <f t="shared" ref="D10:G10" si="1">SUM(D12:D17)</f>
        <v>522</v>
      </c>
      <c r="E10" s="210">
        <f t="shared" si="1"/>
        <v>2020</v>
      </c>
      <c r="F10" s="204">
        <f t="shared" si="1"/>
        <v>75</v>
      </c>
      <c r="G10" s="205">
        <f t="shared" si="1"/>
        <v>5135</v>
      </c>
      <c r="H10" s="189" t="s">
        <v>4</v>
      </c>
      <c r="I10" s="190"/>
      <c r="J10" s="2"/>
      <c r="K10" s="2"/>
      <c r="L10" s="144"/>
    </row>
    <row r="11" spans="1:19" s="6" customFormat="1" ht="39" customHeight="1">
      <c r="A11" s="206"/>
      <c r="B11" s="203"/>
      <c r="C11" s="204"/>
      <c r="D11" s="204"/>
      <c r="E11" s="210"/>
      <c r="F11" s="204"/>
      <c r="G11" s="205"/>
      <c r="H11" s="189"/>
      <c r="I11" s="190"/>
      <c r="J11" s="2"/>
      <c r="K11" s="2"/>
      <c r="L11" s="144"/>
    </row>
    <row r="12" spans="1:19" s="6" customFormat="1" ht="12.6" customHeight="1">
      <c r="A12" s="7" t="s">
        <v>5</v>
      </c>
      <c r="B12" s="8">
        <f>SUM(C12:G12)</f>
        <v>4032</v>
      </c>
      <c r="C12" s="134">
        <v>2017</v>
      </c>
      <c r="D12" s="134">
        <v>150</v>
      </c>
      <c r="E12" s="134">
        <v>1305</v>
      </c>
      <c r="F12" s="150" t="s">
        <v>270</v>
      </c>
      <c r="G12" s="137">
        <v>560</v>
      </c>
      <c r="H12" s="139" t="s">
        <v>6</v>
      </c>
      <c r="I12" s="140"/>
      <c r="J12" s="10"/>
      <c r="K12" s="10"/>
      <c r="L12" s="144"/>
    </row>
    <row r="13" spans="1:19" s="6" customFormat="1" ht="12.6" customHeight="1">
      <c r="A13" s="7" t="s">
        <v>7</v>
      </c>
      <c r="B13" s="8">
        <f t="shared" ref="B13:B17" si="2">SUM(C13:G13)</f>
        <v>2400</v>
      </c>
      <c r="C13" s="134">
        <v>2060</v>
      </c>
      <c r="D13" s="134">
        <v>195</v>
      </c>
      <c r="E13" s="151" t="s">
        <v>270</v>
      </c>
      <c r="F13" s="134">
        <v>75</v>
      </c>
      <c r="G13" s="137">
        <v>70</v>
      </c>
      <c r="H13" s="139" t="s">
        <v>8</v>
      </c>
      <c r="I13" s="140"/>
      <c r="J13" s="10"/>
      <c r="K13" s="10"/>
      <c r="L13" s="144"/>
    </row>
    <row r="14" spans="1:19" s="6" customFormat="1" ht="12.6" customHeight="1">
      <c r="A14" s="7" t="s">
        <v>9</v>
      </c>
      <c r="B14" s="8">
        <f t="shared" si="2"/>
        <v>7941</v>
      </c>
      <c r="C14" s="134">
        <v>3366</v>
      </c>
      <c r="D14" s="151" t="s">
        <v>270</v>
      </c>
      <c r="E14" s="134">
        <v>70</v>
      </c>
      <c r="F14" s="150" t="s">
        <v>270</v>
      </c>
      <c r="G14" s="137">
        <v>4505</v>
      </c>
      <c r="H14" s="139" t="s">
        <v>10</v>
      </c>
      <c r="I14" s="140"/>
      <c r="J14" s="10"/>
      <c r="K14" s="10"/>
      <c r="L14" s="144"/>
    </row>
    <row r="15" spans="1:19" s="6" customFormat="1" ht="12.6" customHeight="1">
      <c r="A15" s="7" t="s">
        <v>11</v>
      </c>
      <c r="B15" s="8">
        <f t="shared" si="2"/>
        <v>0</v>
      </c>
      <c r="C15" s="151" t="s">
        <v>270</v>
      </c>
      <c r="D15" s="151" t="s">
        <v>270</v>
      </c>
      <c r="E15" s="151" t="s">
        <v>270</v>
      </c>
      <c r="F15" s="151" t="s">
        <v>270</v>
      </c>
      <c r="G15" s="152" t="s">
        <v>270</v>
      </c>
      <c r="H15" s="139" t="s">
        <v>12</v>
      </c>
      <c r="I15" s="140"/>
      <c r="J15" s="10"/>
      <c r="K15" s="10"/>
      <c r="L15" s="144"/>
    </row>
    <row r="16" spans="1:19" s="6" customFormat="1" ht="12.6" customHeight="1">
      <c r="A16" s="7" t="s">
        <v>13</v>
      </c>
      <c r="B16" s="8">
        <f t="shared" si="2"/>
        <v>620</v>
      </c>
      <c r="C16" s="134">
        <v>248</v>
      </c>
      <c r="D16" s="134">
        <v>177</v>
      </c>
      <c r="E16" s="134">
        <v>195</v>
      </c>
      <c r="F16" s="151" t="s">
        <v>270</v>
      </c>
      <c r="G16" s="152" t="s">
        <v>270</v>
      </c>
      <c r="H16" s="139" t="s">
        <v>14</v>
      </c>
      <c r="I16" s="140"/>
      <c r="J16" s="10"/>
      <c r="K16" s="10"/>
      <c r="L16" s="144"/>
    </row>
    <row r="17" spans="1:12" s="6" customFormat="1" ht="12.6" customHeight="1">
      <c r="A17" s="7" t="s">
        <v>15</v>
      </c>
      <c r="B17" s="8">
        <f t="shared" si="2"/>
        <v>2794</v>
      </c>
      <c r="C17" s="134">
        <v>2344</v>
      </c>
      <c r="D17" s="151" t="s">
        <v>270</v>
      </c>
      <c r="E17" s="134">
        <v>450</v>
      </c>
      <c r="F17" s="151" t="s">
        <v>270</v>
      </c>
      <c r="G17" s="152" t="s">
        <v>270</v>
      </c>
      <c r="H17" s="139" t="s">
        <v>16</v>
      </c>
      <c r="I17" s="140"/>
      <c r="J17" s="10"/>
      <c r="K17" s="10"/>
      <c r="L17" s="144"/>
    </row>
    <row r="18" spans="1:12" s="6" customFormat="1" ht="19.2" customHeight="1">
      <c r="A18" s="202" t="s">
        <v>17</v>
      </c>
      <c r="B18" s="203">
        <f>SUM(C18:G19)</f>
        <v>63126</v>
      </c>
      <c r="C18" s="204">
        <f>SUM(C20:C30)</f>
        <v>26851</v>
      </c>
      <c r="D18" s="204">
        <f t="shared" ref="D18:G18" si="3">SUM(D20:D30)</f>
        <v>16903</v>
      </c>
      <c r="E18" s="204">
        <f t="shared" si="3"/>
        <v>14368</v>
      </c>
      <c r="F18" s="204">
        <f t="shared" si="3"/>
        <v>280</v>
      </c>
      <c r="G18" s="201">
        <f t="shared" si="3"/>
        <v>4724</v>
      </c>
      <c r="H18" s="169" t="s">
        <v>18</v>
      </c>
      <c r="I18" s="170"/>
      <c r="J18" s="145"/>
      <c r="K18" s="10"/>
      <c r="L18" s="144"/>
    </row>
    <row r="19" spans="1:12" s="6" customFormat="1" ht="18.600000000000001" customHeight="1">
      <c r="A19" s="202"/>
      <c r="B19" s="203"/>
      <c r="C19" s="204"/>
      <c r="D19" s="204"/>
      <c r="E19" s="204"/>
      <c r="F19" s="204"/>
      <c r="G19" s="201"/>
      <c r="H19" s="169"/>
      <c r="I19" s="170"/>
      <c r="J19" s="145"/>
      <c r="K19" s="10"/>
      <c r="L19" s="144"/>
    </row>
    <row r="20" spans="1:12" s="6" customFormat="1" ht="12.6" customHeight="1">
      <c r="A20" s="7" t="s">
        <v>19</v>
      </c>
      <c r="B20" s="8">
        <f t="shared" ref="B20:B30" si="4">SUM(C20:G20)</f>
        <v>26322</v>
      </c>
      <c r="C20" s="134">
        <v>9110</v>
      </c>
      <c r="D20" s="134">
        <v>8092</v>
      </c>
      <c r="E20" s="134">
        <v>7970</v>
      </c>
      <c r="F20" s="150" t="s">
        <v>270</v>
      </c>
      <c r="G20" s="137">
        <v>1150</v>
      </c>
      <c r="H20" s="139" t="s">
        <v>20</v>
      </c>
      <c r="I20" s="140"/>
      <c r="J20" s="10"/>
      <c r="K20" s="10"/>
      <c r="L20" s="144"/>
    </row>
    <row r="21" spans="1:12" s="6" customFormat="1" ht="12.6" customHeight="1">
      <c r="A21" s="7" t="s">
        <v>21</v>
      </c>
      <c r="B21" s="8">
        <f t="shared" si="4"/>
        <v>60</v>
      </c>
      <c r="C21" s="134">
        <v>50</v>
      </c>
      <c r="D21" s="151" t="s">
        <v>270</v>
      </c>
      <c r="E21" s="135">
        <v>10</v>
      </c>
      <c r="F21" s="151" t="s">
        <v>270</v>
      </c>
      <c r="G21" s="152" t="s">
        <v>270</v>
      </c>
      <c r="H21" s="139" t="s">
        <v>22</v>
      </c>
      <c r="I21" s="140"/>
      <c r="J21" s="10"/>
      <c r="K21" s="10"/>
      <c r="L21" s="144"/>
    </row>
    <row r="22" spans="1:12" s="6" customFormat="1" ht="12.6" customHeight="1">
      <c r="A22" s="7" t="s">
        <v>23</v>
      </c>
      <c r="B22" s="8">
        <f t="shared" si="4"/>
        <v>160</v>
      </c>
      <c r="C22" s="135">
        <v>60</v>
      </c>
      <c r="D22" s="151" t="s">
        <v>270</v>
      </c>
      <c r="E22" s="134">
        <v>50</v>
      </c>
      <c r="F22" s="134">
        <v>50</v>
      </c>
      <c r="G22" s="152" t="s">
        <v>270</v>
      </c>
      <c r="H22" s="139" t="s">
        <v>24</v>
      </c>
      <c r="I22" s="140"/>
      <c r="J22" s="10"/>
      <c r="K22" s="10"/>
      <c r="L22" s="144"/>
    </row>
    <row r="23" spans="1:12" s="6" customFormat="1" ht="12.6" customHeight="1">
      <c r="A23" s="7" t="s">
        <v>25</v>
      </c>
      <c r="B23" s="8">
        <f t="shared" si="4"/>
        <v>700</v>
      </c>
      <c r="C23" s="150" t="s">
        <v>270</v>
      </c>
      <c r="D23" s="151" t="s">
        <v>270</v>
      </c>
      <c r="E23" s="151" t="s">
        <v>270</v>
      </c>
      <c r="F23" s="151" t="s">
        <v>270</v>
      </c>
      <c r="G23" s="137">
        <v>700</v>
      </c>
      <c r="H23" s="139" t="s">
        <v>26</v>
      </c>
      <c r="I23" s="140"/>
      <c r="J23" s="10"/>
      <c r="K23" s="10"/>
      <c r="L23" s="144"/>
    </row>
    <row r="24" spans="1:12" s="6" customFormat="1" ht="12.6" customHeight="1">
      <c r="A24" s="7" t="s">
        <v>27</v>
      </c>
      <c r="B24" s="8">
        <f t="shared" si="4"/>
        <v>10870</v>
      </c>
      <c r="C24" s="134">
        <v>5709</v>
      </c>
      <c r="D24" s="134">
        <v>3132</v>
      </c>
      <c r="E24" s="134">
        <v>1795</v>
      </c>
      <c r="F24" s="135">
        <v>150</v>
      </c>
      <c r="G24" s="137">
        <v>84</v>
      </c>
      <c r="H24" s="139" t="s">
        <v>28</v>
      </c>
      <c r="I24" s="140"/>
      <c r="J24" s="10"/>
      <c r="K24" s="10"/>
      <c r="L24" s="144"/>
    </row>
    <row r="25" spans="1:12" s="6" customFormat="1" ht="12.6" customHeight="1">
      <c r="A25" s="7" t="s">
        <v>29</v>
      </c>
      <c r="B25" s="8">
        <f t="shared" si="4"/>
        <v>363</v>
      </c>
      <c r="C25" s="134">
        <v>363</v>
      </c>
      <c r="D25" s="150" t="s">
        <v>270</v>
      </c>
      <c r="E25" s="150" t="s">
        <v>270</v>
      </c>
      <c r="F25" s="151" t="s">
        <v>270</v>
      </c>
      <c r="G25" s="152" t="s">
        <v>270</v>
      </c>
      <c r="H25" s="139" t="s">
        <v>30</v>
      </c>
      <c r="I25" s="140"/>
      <c r="J25" s="10"/>
      <c r="K25" s="10"/>
      <c r="L25" s="144"/>
    </row>
    <row r="26" spans="1:12" s="6" customFormat="1" ht="12.6" customHeight="1">
      <c r="A26" s="7" t="s">
        <v>31</v>
      </c>
      <c r="B26" s="8">
        <f t="shared" si="4"/>
        <v>12155</v>
      </c>
      <c r="C26" s="134">
        <v>4876</v>
      </c>
      <c r="D26" s="134">
        <v>2244</v>
      </c>
      <c r="E26" s="134">
        <v>3835</v>
      </c>
      <c r="F26" s="151" t="s">
        <v>270</v>
      </c>
      <c r="G26" s="137">
        <v>1200</v>
      </c>
      <c r="H26" s="139" t="s">
        <v>32</v>
      </c>
      <c r="I26" s="140"/>
      <c r="J26" s="10"/>
      <c r="K26" s="10"/>
      <c r="L26" s="144"/>
    </row>
    <row r="27" spans="1:12" s="6" customFormat="1" ht="12.6" customHeight="1">
      <c r="A27" s="7" t="s">
        <v>33</v>
      </c>
      <c r="B27" s="8">
        <f t="shared" si="4"/>
        <v>4264</v>
      </c>
      <c r="C27" s="134">
        <v>2471</v>
      </c>
      <c r="D27" s="134">
        <v>1085</v>
      </c>
      <c r="E27" s="134">
        <v>438</v>
      </c>
      <c r="F27" s="134">
        <v>30</v>
      </c>
      <c r="G27" s="137">
        <v>240</v>
      </c>
      <c r="H27" s="139" t="s">
        <v>34</v>
      </c>
      <c r="I27" s="140"/>
      <c r="J27" s="10"/>
      <c r="K27" s="10"/>
      <c r="L27" s="144"/>
    </row>
    <row r="28" spans="1:12" s="6" customFormat="1" ht="12.6" customHeight="1">
      <c r="A28" s="7" t="s">
        <v>35</v>
      </c>
      <c r="B28" s="8">
        <f t="shared" si="4"/>
        <v>6982</v>
      </c>
      <c r="C28" s="134">
        <v>3062</v>
      </c>
      <c r="D28" s="134">
        <v>2350</v>
      </c>
      <c r="E28" s="134">
        <v>220</v>
      </c>
      <c r="F28" s="151" t="s">
        <v>270</v>
      </c>
      <c r="G28" s="137">
        <v>1350</v>
      </c>
      <c r="H28" s="139" t="s">
        <v>36</v>
      </c>
      <c r="I28" s="140"/>
      <c r="J28" s="10"/>
      <c r="K28" s="10"/>
      <c r="L28" s="144"/>
    </row>
    <row r="29" spans="1:12" s="6" customFormat="1" ht="12.6" customHeight="1">
      <c r="A29" s="7" t="s">
        <v>37</v>
      </c>
      <c r="B29" s="8">
        <f t="shared" si="4"/>
        <v>1250</v>
      </c>
      <c r="C29" s="134">
        <v>1150</v>
      </c>
      <c r="D29" s="150" t="s">
        <v>270</v>
      </c>
      <c r="E29" s="135">
        <v>50</v>
      </c>
      <c r="F29" s="135">
        <v>50</v>
      </c>
      <c r="G29" s="152" t="s">
        <v>270</v>
      </c>
      <c r="H29" s="139" t="s">
        <v>38</v>
      </c>
      <c r="I29" s="140"/>
      <c r="J29" s="10"/>
      <c r="K29" s="10"/>
      <c r="L29" s="144"/>
    </row>
    <row r="30" spans="1:12" s="6" customFormat="1" ht="12.6" customHeight="1">
      <c r="A30" s="7" t="s">
        <v>39</v>
      </c>
      <c r="B30" s="8">
        <f t="shared" si="4"/>
        <v>0</v>
      </c>
      <c r="C30" s="151" t="s">
        <v>270</v>
      </c>
      <c r="D30" s="151" t="s">
        <v>270</v>
      </c>
      <c r="E30" s="151" t="s">
        <v>270</v>
      </c>
      <c r="F30" s="151" t="s">
        <v>270</v>
      </c>
      <c r="G30" s="153" t="s">
        <v>270</v>
      </c>
      <c r="H30" s="139" t="s">
        <v>40</v>
      </c>
      <c r="I30" s="140"/>
      <c r="J30" s="10"/>
      <c r="K30" s="10"/>
      <c r="L30" s="144"/>
    </row>
    <row r="31" spans="1:12" s="6" customFormat="1" ht="12.6" customHeight="1">
      <c r="A31" s="202" t="s">
        <v>41</v>
      </c>
      <c r="B31" s="203">
        <f>SUM(C31:G32)</f>
        <v>41652</v>
      </c>
      <c r="C31" s="204">
        <f>SUM(C33:C36)</f>
        <v>6591</v>
      </c>
      <c r="D31" s="204">
        <f t="shared" ref="D31:G31" si="5">SUM(D33:D36)</f>
        <v>20879</v>
      </c>
      <c r="E31" s="204">
        <f t="shared" si="5"/>
        <v>2306</v>
      </c>
      <c r="F31" s="204">
        <f t="shared" si="5"/>
        <v>67</v>
      </c>
      <c r="G31" s="201">
        <f t="shared" si="5"/>
        <v>11809</v>
      </c>
      <c r="H31" s="171" t="s">
        <v>42</v>
      </c>
      <c r="I31" s="172"/>
      <c r="J31" s="146"/>
      <c r="K31" s="10"/>
      <c r="L31" s="144"/>
    </row>
    <row r="32" spans="1:12" s="6" customFormat="1" ht="12.6" customHeight="1">
      <c r="A32" s="202"/>
      <c r="B32" s="203"/>
      <c r="C32" s="204"/>
      <c r="D32" s="204"/>
      <c r="E32" s="204"/>
      <c r="F32" s="204"/>
      <c r="G32" s="201"/>
      <c r="H32" s="171"/>
      <c r="I32" s="172"/>
      <c r="J32" s="146"/>
      <c r="K32" s="10"/>
      <c r="L32" s="144"/>
    </row>
    <row r="33" spans="1:12" s="6" customFormat="1" ht="12.6" customHeight="1">
      <c r="A33" s="7" t="s">
        <v>43</v>
      </c>
      <c r="B33" s="8">
        <f t="shared" ref="B33:B36" si="6">SUM(C33:G33)</f>
        <v>9293</v>
      </c>
      <c r="C33" s="134">
        <v>1596</v>
      </c>
      <c r="D33" s="134">
        <v>1973</v>
      </c>
      <c r="E33" s="134">
        <v>326</v>
      </c>
      <c r="F33" s="134">
        <v>17</v>
      </c>
      <c r="G33" s="137">
        <v>5381</v>
      </c>
      <c r="H33" s="139" t="s">
        <v>44</v>
      </c>
      <c r="I33" s="10"/>
      <c r="J33" s="10"/>
      <c r="K33" s="10"/>
      <c r="L33" s="144"/>
    </row>
    <row r="34" spans="1:12" s="6" customFormat="1" ht="12.6" customHeight="1">
      <c r="A34" s="7" t="s">
        <v>45</v>
      </c>
      <c r="B34" s="8">
        <f t="shared" si="6"/>
        <v>12684</v>
      </c>
      <c r="C34" s="134">
        <v>1546</v>
      </c>
      <c r="D34" s="134">
        <v>7119</v>
      </c>
      <c r="E34" s="134">
        <v>719</v>
      </c>
      <c r="F34" s="134">
        <v>50</v>
      </c>
      <c r="G34" s="137">
        <v>3250</v>
      </c>
      <c r="H34" s="139" t="s">
        <v>46</v>
      </c>
      <c r="I34" s="10"/>
      <c r="J34" s="10"/>
      <c r="K34" s="10"/>
      <c r="L34" s="144"/>
    </row>
    <row r="35" spans="1:12" s="6" customFormat="1" ht="12.6" customHeight="1">
      <c r="A35" s="7" t="s">
        <v>47</v>
      </c>
      <c r="B35" s="8">
        <f t="shared" si="6"/>
        <v>3985</v>
      </c>
      <c r="C35" s="134">
        <v>517</v>
      </c>
      <c r="D35" s="134">
        <v>2070</v>
      </c>
      <c r="E35" s="134">
        <v>645</v>
      </c>
      <c r="F35" s="151" t="s">
        <v>270</v>
      </c>
      <c r="G35" s="137">
        <v>753</v>
      </c>
      <c r="H35" s="139" t="s">
        <v>48</v>
      </c>
      <c r="I35" s="10"/>
      <c r="J35" s="10"/>
      <c r="K35" s="10"/>
      <c r="L35" s="144"/>
    </row>
    <row r="36" spans="1:12" s="6" customFormat="1" ht="12.6" customHeight="1">
      <c r="A36" s="7" t="s">
        <v>49</v>
      </c>
      <c r="B36" s="8">
        <f t="shared" si="6"/>
        <v>15690</v>
      </c>
      <c r="C36" s="134">
        <v>2932</v>
      </c>
      <c r="D36" s="134">
        <v>9717</v>
      </c>
      <c r="E36" s="134">
        <v>616</v>
      </c>
      <c r="F36" s="151" t="s">
        <v>270</v>
      </c>
      <c r="G36" s="137">
        <v>2425</v>
      </c>
      <c r="H36" s="139" t="s">
        <v>50</v>
      </c>
      <c r="I36" s="10"/>
      <c r="J36" s="10"/>
      <c r="K36" s="10"/>
      <c r="L36" s="144"/>
    </row>
    <row r="37" spans="1:12" s="6" customFormat="1" ht="12.6" customHeight="1">
      <c r="A37" s="202" t="s">
        <v>51</v>
      </c>
      <c r="B37" s="203">
        <f>SUM(C37:G38)</f>
        <v>45394</v>
      </c>
      <c r="C37" s="204">
        <f>SUM(C39:C43)</f>
        <v>21539</v>
      </c>
      <c r="D37" s="204">
        <f t="shared" ref="D37:G37" si="7">SUM(D39:D43)</f>
        <v>8025</v>
      </c>
      <c r="E37" s="204">
        <f t="shared" si="7"/>
        <v>5598</v>
      </c>
      <c r="F37" s="204">
        <f t="shared" si="7"/>
        <v>0</v>
      </c>
      <c r="G37" s="201">
        <f t="shared" si="7"/>
        <v>10232</v>
      </c>
      <c r="H37" s="169" t="s">
        <v>52</v>
      </c>
      <c r="I37" s="170"/>
      <c r="J37" s="146"/>
      <c r="K37" s="10"/>
      <c r="L37" s="144"/>
    </row>
    <row r="38" spans="1:12" s="6" customFormat="1" ht="12.6" customHeight="1">
      <c r="A38" s="202"/>
      <c r="B38" s="203"/>
      <c r="C38" s="204"/>
      <c r="D38" s="204"/>
      <c r="E38" s="204"/>
      <c r="F38" s="204"/>
      <c r="G38" s="201"/>
      <c r="H38" s="169"/>
      <c r="I38" s="170"/>
      <c r="J38" s="146"/>
      <c r="K38" s="10"/>
      <c r="L38" s="144"/>
    </row>
    <row r="39" spans="1:12" s="6" customFormat="1" ht="12.6" customHeight="1">
      <c r="A39" s="7" t="s">
        <v>53</v>
      </c>
      <c r="B39" s="8">
        <f t="shared" ref="B39:B43" si="8">SUM(C39:G39)</f>
        <v>25936</v>
      </c>
      <c r="C39" s="134">
        <v>13046</v>
      </c>
      <c r="D39" s="134">
        <v>5481</v>
      </c>
      <c r="E39" s="134">
        <v>2098</v>
      </c>
      <c r="F39" s="151" t="s">
        <v>270</v>
      </c>
      <c r="G39" s="137">
        <v>5311</v>
      </c>
      <c r="H39" s="139" t="s">
        <v>54</v>
      </c>
      <c r="I39" s="140"/>
      <c r="J39" s="140"/>
      <c r="K39" s="10"/>
      <c r="L39" s="144"/>
    </row>
    <row r="40" spans="1:12" s="6" customFormat="1" ht="12.6" customHeight="1">
      <c r="A40" s="7" t="s">
        <v>55</v>
      </c>
      <c r="B40" s="8">
        <f t="shared" si="8"/>
        <v>5407</v>
      </c>
      <c r="C40" s="134">
        <v>1175</v>
      </c>
      <c r="D40" s="134">
        <v>1620</v>
      </c>
      <c r="E40" s="134">
        <v>445</v>
      </c>
      <c r="F40" s="151" t="s">
        <v>270</v>
      </c>
      <c r="G40" s="137">
        <v>2167</v>
      </c>
      <c r="H40" s="139" t="s">
        <v>56</v>
      </c>
      <c r="I40" s="140"/>
      <c r="J40" s="140"/>
      <c r="K40" s="10"/>
      <c r="L40" s="144"/>
    </row>
    <row r="41" spans="1:12" s="6" customFormat="1" ht="12.6" customHeight="1">
      <c r="A41" s="7" t="s">
        <v>57</v>
      </c>
      <c r="B41" s="8">
        <f t="shared" si="8"/>
        <v>6163</v>
      </c>
      <c r="C41" s="134">
        <v>5680</v>
      </c>
      <c r="D41" s="134">
        <v>100</v>
      </c>
      <c r="E41" s="134">
        <v>100</v>
      </c>
      <c r="F41" s="151" t="s">
        <v>270</v>
      </c>
      <c r="G41" s="137">
        <v>283</v>
      </c>
      <c r="H41" s="139" t="s">
        <v>58</v>
      </c>
      <c r="I41" s="140"/>
      <c r="J41" s="140"/>
      <c r="K41" s="10"/>
      <c r="L41" s="144"/>
    </row>
    <row r="42" spans="1:12" s="6" customFormat="1" ht="12.6" customHeight="1">
      <c r="A42" s="7" t="s">
        <v>59</v>
      </c>
      <c r="B42" s="8">
        <f t="shared" si="8"/>
        <v>0</v>
      </c>
      <c r="C42" s="151" t="s">
        <v>270</v>
      </c>
      <c r="D42" s="151" t="s">
        <v>270</v>
      </c>
      <c r="E42" s="151" t="s">
        <v>270</v>
      </c>
      <c r="F42" s="151" t="s">
        <v>270</v>
      </c>
      <c r="G42" s="153" t="s">
        <v>270</v>
      </c>
      <c r="H42" s="177" t="s">
        <v>60</v>
      </c>
      <c r="I42" s="178"/>
      <c r="J42" s="140"/>
      <c r="K42" s="10"/>
      <c r="L42" s="144"/>
    </row>
    <row r="43" spans="1:12" s="6" customFormat="1" ht="13.2" customHeight="1">
      <c r="A43" s="7" t="s">
        <v>61</v>
      </c>
      <c r="B43" s="8">
        <f t="shared" si="8"/>
        <v>7888</v>
      </c>
      <c r="C43" s="134">
        <v>1638</v>
      </c>
      <c r="D43" s="134">
        <v>824</v>
      </c>
      <c r="E43" s="134">
        <v>2955</v>
      </c>
      <c r="F43" s="151" t="s">
        <v>270</v>
      </c>
      <c r="G43" s="137">
        <v>2471</v>
      </c>
      <c r="H43" s="139" t="s">
        <v>62</v>
      </c>
      <c r="I43" s="140"/>
      <c r="J43" s="140"/>
      <c r="K43" s="10"/>
      <c r="L43" s="144"/>
    </row>
    <row r="44" spans="1:12" s="6" customFormat="1" ht="22.8" customHeight="1">
      <c r="A44" s="206" t="s">
        <v>63</v>
      </c>
      <c r="B44" s="203">
        <f>SUM(C44:G45)</f>
        <v>53465</v>
      </c>
      <c r="C44" s="204">
        <f>SUM(C46:C50)</f>
        <v>22579</v>
      </c>
      <c r="D44" s="204">
        <f t="shared" ref="D44:G44" si="9">SUM(D46:D50)</f>
        <v>15281</v>
      </c>
      <c r="E44" s="204">
        <f t="shared" si="9"/>
        <v>11694</v>
      </c>
      <c r="F44" s="204">
        <f t="shared" si="9"/>
        <v>695</v>
      </c>
      <c r="G44" s="201">
        <f t="shared" si="9"/>
        <v>3216</v>
      </c>
      <c r="H44" s="169" t="s">
        <v>64</v>
      </c>
      <c r="I44" s="170"/>
      <c r="J44" s="145"/>
      <c r="K44" s="10"/>
      <c r="L44" s="144"/>
    </row>
    <row r="45" spans="1:12" s="6" customFormat="1" ht="20.399999999999999" customHeight="1">
      <c r="A45" s="206"/>
      <c r="B45" s="203"/>
      <c r="C45" s="204"/>
      <c r="D45" s="204"/>
      <c r="E45" s="204"/>
      <c r="F45" s="204"/>
      <c r="G45" s="201"/>
      <c r="H45" s="169"/>
      <c r="I45" s="170"/>
      <c r="J45" s="145"/>
      <c r="K45" s="10"/>
      <c r="L45" s="144"/>
    </row>
    <row r="46" spans="1:12" s="6" customFormat="1" ht="12.6" customHeight="1">
      <c r="A46" s="7" t="s">
        <v>65</v>
      </c>
      <c r="B46" s="8">
        <f t="shared" ref="B46:B50" si="10">SUM(C46:G46)</f>
        <v>11678</v>
      </c>
      <c r="C46" s="134">
        <v>4258</v>
      </c>
      <c r="D46" s="134">
        <v>3524</v>
      </c>
      <c r="E46" s="134">
        <v>3220</v>
      </c>
      <c r="F46" s="151" t="s">
        <v>270</v>
      </c>
      <c r="G46" s="137">
        <v>676</v>
      </c>
      <c r="H46" s="139" t="s">
        <v>66</v>
      </c>
      <c r="I46" s="10"/>
      <c r="J46" s="10"/>
      <c r="K46" s="10"/>
      <c r="L46" s="144"/>
    </row>
    <row r="47" spans="1:12" s="6" customFormat="1" ht="12.6" customHeight="1">
      <c r="A47" s="7" t="s">
        <v>67</v>
      </c>
      <c r="B47" s="8">
        <f t="shared" si="10"/>
        <v>15662</v>
      </c>
      <c r="C47" s="134">
        <v>7032</v>
      </c>
      <c r="D47" s="134">
        <v>4030</v>
      </c>
      <c r="E47" s="134">
        <v>2960</v>
      </c>
      <c r="F47" s="151" t="s">
        <v>270</v>
      </c>
      <c r="G47" s="137">
        <v>1640</v>
      </c>
      <c r="H47" s="139" t="s">
        <v>68</v>
      </c>
      <c r="I47" s="10"/>
      <c r="J47" s="10"/>
      <c r="K47" s="10"/>
      <c r="L47" s="144"/>
    </row>
    <row r="48" spans="1:12" s="6" customFormat="1" ht="12.6" customHeight="1">
      <c r="A48" s="7" t="s">
        <v>69</v>
      </c>
      <c r="B48" s="8">
        <f t="shared" si="10"/>
        <v>21604</v>
      </c>
      <c r="C48" s="134">
        <v>9695</v>
      </c>
      <c r="D48" s="134">
        <v>5912</v>
      </c>
      <c r="E48" s="134">
        <v>4622</v>
      </c>
      <c r="F48" s="134">
        <v>525</v>
      </c>
      <c r="G48" s="137">
        <v>850</v>
      </c>
      <c r="H48" s="139" t="s">
        <v>70</v>
      </c>
      <c r="I48" s="10"/>
      <c r="J48" s="10"/>
      <c r="K48" s="10"/>
      <c r="L48" s="144"/>
    </row>
    <row r="49" spans="1:12" s="6" customFormat="1" ht="12.6" customHeight="1">
      <c r="A49" s="7" t="s">
        <v>71</v>
      </c>
      <c r="B49" s="8">
        <f t="shared" si="10"/>
        <v>1441</v>
      </c>
      <c r="C49" s="134">
        <v>502</v>
      </c>
      <c r="D49" s="134">
        <v>797</v>
      </c>
      <c r="E49" s="134">
        <v>142</v>
      </c>
      <c r="F49" s="151" t="s">
        <v>270</v>
      </c>
      <c r="G49" s="152" t="s">
        <v>270</v>
      </c>
      <c r="H49" s="139" t="s">
        <v>72</v>
      </c>
      <c r="I49" s="10"/>
      <c r="J49" s="10"/>
      <c r="K49" s="10"/>
      <c r="L49" s="144"/>
    </row>
    <row r="50" spans="1:12" s="6" customFormat="1" ht="10.8" customHeight="1">
      <c r="A50" s="7" t="s">
        <v>73</v>
      </c>
      <c r="B50" s="8">
        <f t="shared" si="10"/>
        <v>3080</v>
      </c>
      <c r="C50" s="134">
        <v>1092</v>
      </c>
      <c r="D50" s="134">
        <v>1018</v>
      </c>
      <c r="E50" s="134">
        <v>750</v>
      </c>
      <c r="F50" s="134">
        <v>170</v>
      </c>
      <c r="G50" s="137">
        <v>50</v>
      </c>
      <c r="H50" s="139" t="s">
        <v>74</v>
      </c>
      <c r="I50" s="10"/>
      <c r="J50" s="10"/>
      <c r="K50" s="10"/>
      <c r="L50" s="144"/>
    </row>
    <row r="51" spans="1:12" s="6" customFormat="1" ht="12.6" customHeight="1">
      <c r="A51" s="202" t="s">
        <v>75</v>
      </c>
      <c r="B51" s="203">
        <f>SUM(C51:G52)</f>
        <v>18366</v>
      </c>
      <c r="C51" s="204">
        <f>SUM(C53:C57)</f>
        <v>1941</v>
      </c>
      <c r="D51" s="204">
        <f t="shared" ref="D51:G51" si="11">SUM(D53:D57)</f>
        <v>14102</v>
      </c>
      <c r="E51" s="204">
        <f t="shared" si="11"/>
        <v>1609</v>
      </c>
      <c r="F51" s="204">
        <f t="shared" si="11"/>
        <v>264</v>
      </c>
      <c r="G51" s="201">
        <f t="shared" si="11"/>
        <v>450</v>
      </c>
      <c r="H51" s="169" t="s">
        <v>76</v>
      </c>
      <c r="I51" s="170"/>
      <c r="J51" s="146"/>
      <c r="K51" s="10"/>
      <c r="L51" s="144"/>
    </row>
    <row r="52" spans="1:12" s="6" customFormat="1" ht="10.8" customHeight="1">
      <c r="A52" s="202"/>
      <c r="B52" s="203"/>
      <c r="C52" s="204"/>
      <c r="D52" s="204"/>
      <c r="E52" s="204"/>
      <c r="F52" s="204"/>
      <c r="G52" s="201"/>
      <c r="H52" s="169"/>
      <c r="I52" s="170"/>
      <c r="J52" s="146"/>
      <c r="K52" s="10"/>
      <c r="L52" s="144"/>
    </row>
    <row r="53" spans="1:12" s="6" customFormat="1" ht="12.6" customHeight="1">
      <c r="A53" s="7" t="s">
        <v>77</v>
      </c>
      <c r="B53" s="8">
        <f t="shared" ref="B53:B57" si="12">SUM(C53:G53)</f>
        <v>878</v>
      </c>
      <c r="C53" s="134">
        <v>84</v>
      </c>
      <c r="D53" s="134">
        <v>83</v>
      </c>
      <c r="E53" s="134">
        <v>36</v>
      </c>
      <c r="F53" s="134">
        <v>225</v>
      </c>
      <c r="G53" s="137">
        <v>450</v>
      </c>
      <c r="H53" s="139" t="s">
        <v>78</v>
      </c>
      <c r="I53" s="140"/>
      <c r="J53" s="10"/>
      <c r="K53" s="10"/>
      <c r="L53" s="144"/>
    </row>
    <row r="54" spans="1:12" s="6" customFormat="1" ht="12.6" customHeight="1">
      <c r="A54" s="7" t="s">
        <v>79</v>
      </c>
      <c r="B54" s="8">
        <f t="shared" si="12"/>
        <v>397</v>
      </c>
      <c r="C54" s="134">
        <v>109</v>
      </c>
      <c r="D54" s="134">
        <v>222</v>
      </c>
      <c r="E54" s="134">
        <v>32</v>
      </c>
      <c r="F54" s="134">
        <v>34</v>
      </c>
      <c r="G54" s="152" t="s">
        <v>270</v>
      </c>
      <c r="H54" s="139" t="s">
        <v>80</v>
      </c>
      <c r="I54" s="140"/>
      <c r="J54" s="10"/>
      <c r="K54" s="10"/>
      <c r="L54" s="144"/>
    </row>
    <row r="55" spans="1:12" s="6" customFormat="1" ht="12.6" customHeight="1">
      <c r="A55" s="7" t="s">
        <v>81</v>
      </c>
      <c r="B55" s="8">
        <f t="shared" si="12"/>
        <v>55</v>
      </c>
      <c r="C55" s="134">
        <v>25</v>
      </c>
      <c r="D55" s="134">
        <v>20</v>
      </c>
      <c r="E55" s="134">
        <v>10</v>
      </c>
      <c r="F55" s="151" t="s">
        <v>270</v>
      </c>
      <c r="G55" s="152" t="s">
        <v>270</v>
      </c>
      <c r="H55" s="139" t="s">
        <v>82</v>
      </c>
      <c r="I55" s="140"/>
      <c r="J55" s="10"/>
      <c r="K55" s="10"/>
      <c r="L55" s="144"/>
    </row>
    <row r="56" spans="1:12" s="6" customFormat="1" ht="12.6" customHeight="1">
      <c r="A56" s="7" t="s">
        <v>83</v>
      </c>
      <c r="B56" s="8">
        <f t="shared" si="12"/>
        <v>16494</v>
      </c>
      <c r="C56" s="134">
        <v>1547</v>
      </c>
      <c r="D56" s="134">
        <v>13448</v>
      </c>
      <c r="E56" s="134">
        <v>1499</v>
      </c>
      <c r="F56" s="150" t="s">
        <v>270</v>
      </c>
      <c r="G56" s="152" t="s">
        <v>270</v>
      </c>
      <c r="H56" s="139" t="s">
        <v>84</v>
      </c>
      <c r="I56" s="140"/>
      <c r="J56" s="10"/>
      <c r="K56" s="10"/>
      <c r="L56" s="144"/>
    </row>
    <row r="57" spans="1:12" s="6" customFormat="1" ht="12.6" customHeight="1">
      <c r="A57" s="7" t="s">
        <v>85</v>
      </c>
      <c r="B57" s="8">
        <f t="shared" si="12"/>
        <v>542</v>
      </c>
      <c r="C57" s="134">
        <v>176</v>
      </c>
      <c r="D57" s="134">
        <v>329</v>
      </c>
      <c r="E57" s="134">
        <v>32</v>
      </c>
      <c r="F57" s="135">
        <v>5</v>
      </c>
      <c r="G57" s="152" t="s">
        <v>270</v>
      </c>
      <c r="H57" s="139" t="s">
        <v>86</v>
      </c>
      <c r="I57" s="140"/>
      <c r="J57" s="10"/>
      <c r="K57" s="10"/>
      <c r="L57" s="144"/>
    </row>
    <row r="58" spans="1:12" s="6" customFormat="1" ht="9.6" customHeight="1">
      <c r="A58" s="206" t="s">
        <v>87</v>
      </c>
      <c r="B58" s="203">
        <f>SUM(C58:G59)</f>
        <v>253018</v>
      </c>
      <c r="C58" s="204">
        <f>SUM(C60:C62)</f>
        <v>68954</v>
      </c>
      <c r="D58" s="204">
        <f t="shared" ref="D58:G58" si="13">SUM(D60:D62)</f>
        <v>140488</v>
      </c>
      <c r="E58" s="204">
        <f t="shared" si="13"/>
        <v>31461</v>
      </c>
      <c r="F58" s="204">
        <f t="shared" si="13"/>
        <v>4014</v>
      </c>
      <c r="G58" s="201">
        <f t="shared" si="13"/>
        <v>8101</v>
      </c>
      <c r="H58" s="169" t="s">
        <v>88</v>
      </c>
      <c r="I58" s="170"/>
      <c r="J58" s="145"/>
      <c r="K58" s="10"/>
      <c r="L58" s="144"/>
    </row>
    <row r="59" spans="1:12" s="6" customFormat="1" ht="22.8" customHeight="1">
      <c r="A59" s="206"/>
      <c r="B59" s="203"/>
      <c r="C59" s="204"/>
      <c r="D59" s="204"/>
      <c r="E59" s="204"/>
      <c r="F59" s="204"/>
      <c r="G59" s="201"/>
      <c r="H59" s="169"/>
      <c r="I59" s="170"/>
      <c r="J59" s="145"/>
      <c r="K59" s="10"/>
      <c r="L59" s="144"/>
    </row>
    <row r="60" spans="1:12" s="6" customFormat="1" ht="12.6" customHeight="1">
      <c r="A60" s="7" t="s">
        <v>89</v>
      </c>
      <c r="B60" s="8">
        <f t="shared" ref="B60:B62" si="14">SUM(C60:G60)</f>
        <v>71589</v>
      </c>
      <c r="C60" s="134">
        <v>25083</v>
      </c>
      <c r="D60" s="134">
        <v>32431</v>
      </c>
      <c r="E60" s="134">
        <v>11154</v>
      </c>
      <c r="F60" s="134">
        <v>1823</v>
      </c>
      <c r="G60" s="137">
        <v>1098</v>
      </c>
      <c r="H60" s="139" t="s">
        <v>90</v>
      </c>
      <c r="I60" s="140"/>
      <c r="J60" s="140"/>
      <c r="K60" s="10"/>
      <c r="L60" s="144"/>
    </row>
    <row r="61" spans="1:12" s="6" customFormat="1" ht="12.6" customHeight="1">
      <c r="A61" s="7" t="s">
        <v>91</v>
      </c>
      <c r="B61" s="8">
        <f t="shared" si="14"/>
        <v>112872</v>
      </c>
      <c r="C61" s="134">
        <v>23640</v>
      </c>
      <c r="D61" s="134">
        <v>71384</v>
      </c>
      <c r="E61" s="134">
        <v>11827</v>
      </c>
      <c r="F61" s="134">
        <v>1113</v>
      </c>
      <c r="G61" s="137">
        <v>4908</v>
      </c>
      <c r="H61" s="175" t="s">
        <v>92</v>
      </c>
      <c r="I61" s="176"/>
      <c r="J61" s="147"/>
      <c r="K61" s="10"/>
      <c r="L61" s="144"/>
    </row>
    <row r="62" spans="1:12" s="6" customFormat="1" ht="12.6" customHeight="1">
      <c r="A62" s="7" t="s">
        <v>93</v>
      </c>
      <c r="B62" s="8">
        <f t="shared" si="14"/>
        <v>68557</v>
      </c>
      <c r="C62" s="134">
        <v>20231</v>
      </c>
      <c r="D62" s="134">
        <v>36673</v>
      </c>
      <c r="E62" s="134">
        <v>8480</v>
      </c>
      <c r="F62" s="134">
        <v>1078</v>
      </c>
      <c r="G62" s="137">
        <v>2095</v>
      </c>
      <c r="H62" s="139" t="s">
        <v>94</v>
      </c>
      <c r="I62" s="140"/>
      <c r="J62" s="140"/>
      <c r="K62" s="10"/>
      <c r="L62" s="144"/>
    </row>
    <row r="63" spans="1:12" s="6" customFormat="1" ht="12.6" customHeight="1">
      <c r="A63" s="206" t="s">
        <v>95</v>
      </c>
      <c r="B63" s="203">
        <f>SUM(C63:G64)</f>
        <v>161897</v>
      </c>
      <c r="C63" s="204">
        <f>SUM(C65:C69)</f>
        <v>57140</v>
      </c>
      <c r="D63" s="204">
        <f t="shared" ref="D63:G63" si="15">SUM(D65:D69)</f>
        <v>69167</v>
      </c>
      <c r="E63" s="204">
        <f t="shared" si="15"/>
        <v>28562</v>
      </c>
      <c r="F63" s="204">
        <f t="shared" si="15"/>
        <v>2250</v>
      </c>
      <c r="G63" s="201">
        <f t="shared" si="15"/>
        <v>4778</v>
      </c>
      <c r="H63" s="169" t="s">
        <v>96</v>
      </c>
      <c r="I63" s="170"/>
      <c r="J63" s="145"/>
      <c r="K63" s="10"/>
      <c r="L63" s="144"/>
    </row>
    <row r="64" spans="1:12" s="6" customFormat="1" ht="12.6" customHeight="1">
      <c r="A64" s="206"/>
      <c r="B64" s="203"/>
      <c r="C64" s="204"/>
      <c r="D64" s="204"/>
      <c r="E64" s="204"/>
      <c r="F64" s="204"/>
      <c r="G64" s="201"/>
      <c r="H64" s="169"/>
      <c r="I64" s="170"/>
      <c r="J64" s="145"/>
      <c r="K64" s="10"/>
      <c r="L64" s="144"/>
    </row>
    <row r="65" spans="1:12" s="6" customFormat="1" ht="12.6" customHeight="1">
      <c r="A65" s="7" t="s">
        <v>97</v>
      </c>
      <c r="B65" s="8">
        <f t="shared" ref="B65:B69" si="16">SUM(C65:G65)</f>
        <v>21217</v>
      </c>
      <c r="C65" s="134">
        <v>8845</v>
      </c>
      <c r="D65" s="134">
        <v>7902</v>
      </c>
      <c r="E65" s="134">
        <v>3132</v>
      </c>
      <c r="F65" s="134">
        <v>228</v>
      </c>
      <c r="G65" s="137">
        <v>1110</v>
      </c>
      <c r="H65" s="139" t="s">
        <v>98</v>
      </c>
      <c r="I65" s="10"/>
      <c r="J65" s="10"/>
      <c r="K65" s="10"/>
      <c r="L65" s="144"/>
    </row>
    <row r="66" spans="1:12" s="6" customFormat="1" ht="12.6" customHeight="1">
      <c r="A66" s="7" t="s">
        <v>99</v>
      </c>
      <c r="B66" s="8">
        <f t="shared" si="16"/>
        <v>102001</v>
      </c>
      <c r="C66" s="134">
        <v>34820</v>
      </c>
      <c r="D66" s="134">
        <v>45780</v>
      </c>
      <c r="E66" s="134">
        <v>19853</v>
      </c>
      <c r="F66" s="134">
        <v>1518</v>
      </c>
      <c r="G66" s="137">
        <v>30</v>
      </c>
      <c r="H66" s="139" t="s">
        <v>100</v>
      </c>
      <c r="I66" s="10"/>
      <c r="J66" s="10"/>
      <c r="K66" s="10"/>
      <c r="L66" s="144"/>
    </row>
    <row r="67" spans="1:12" s="6" customFormat="1" ht="12.6" customHeight="1">
      <c r="A67" s="7" t="s">
        <v>101</v>
      </c>
      <c r="B67" s="8">
        <f t="shared" si="16"/>
        <v>5738</v>
      </c>
      <c r="C67" s="134">
        <v>2579</v>
      </c>
      <c r="D67" s="134">
        <v>1975</v>
      </c>
      <c r="E67" s="134">
        <v>974</v>
      </c>
      <c r="F67" s="134">
        <v>210</v>
      </c>
      <c r="G67" s="153" t="s">
        <v>270</v>
      </c>
      <c r="H67" s="139" t="s">
        <v>102</v>
      </c>
      <c r="I67" s="10"/>
      <c r="J67" s="10"/>
      <c r="K67" s="10"/>
      <c r="L67" s="144"/>
    </row>
    <row r="68" spans="1:12" s="6" customFormat="1" ht="12.6" customHeight="1">
      <c r="A68" s="7" t="s">
        <v>103</v>
      </c>
      <c r="B68" s="8">
        <f t="shared" si="16"/>
        <v>13260</v>
      </c>
      <c r="C68" s="134">
        <v>5678</v>
      </c>
      <c r="D68" s="134">
        <v>4621</v>
      </c>
      <c r="E68" s="134">
        <v>2538</v>
      </c>
      <c r="F68" s="134">
        <v>113</v>
      </c>
      <c r="G68" s="137">
        <v>310</v>
      </c>
      <c r="H68" s="139" t="s">
        <v>104</v>
      </c>
      <c r="I68" s="10"/>
      <c r="J68" s="10"/>
      <c r="K68" s="10"/>
      <c r="L68" s="144"/>
    </row>
    <row r="69" spans="1:12" s="6" customFormat="1" ht="12.6" customHeight="1">
      <c r="A69" s="7" t="s">
        <v>105</v>
      </c>
      <c r="B69" s="8">
        <f t="shared" si="16"/>
        <v>19681</v>
      </c>
      <c r="C69" s="134">
        <v>5218</v>
      </c>
      <c r="D69" s="134">
        <v>8889</v>
      </c>
      <c r="E69" s="134">
        <v>2065</v>
      </c>
      <c r="F69" s="134">
        <v>181</v>
      </c>
      <c r="G69" s="137">
        <v>3328</v>
      </c>
      <c r="H69" s="139" t="s">
        <v>106</v>
      </c>
      <c r="I69" s="10"/>
      <c r="J69" s="10"/>
      <c r="K69" s="10"/>
      <c r="L69" s="144"/>
    </row>
    <row r="70" spans="1:12" s="6" customFormat="1" ht="12.6" customHeight="1">
      <c r="A70" s="202" t="s">
        <v>107</v>
      </c>
      <c r="B70" s="203">
        <f>SUM(C70:G71)</f>
        <v>5345</v>
      </c>
      <c r="C70" s="204">
        <f>SUM(C72:C79)</f>
        <v>2370</v>
      </c>
      <c r="D70" s="204">
        <f t="shared" ref="D70:G70" si="17">SUM(D72:D79)</f>
        <v>1280</v>
      </c>
      <c r="E70" s="204">
        <f t="shared" si="17"/>
        <v>1485</v>
      </c>
      <c r="F70" s="204">
        <f t="shared" si="17"/>
        <v>15</v>
      </c>
      <c r="G70" s="201">
        <f t="shared" si="17"/>
        <v>195</v>
      </c>
      <c r="H70" s="171" t="s">
        <v>108</v>
      </c>
      <c r="I70" s="172"/>
      <c r="J70" s="146"/>
      <c r="K70" s="10"/>
      <c r="L70" s="144"/>
    </row>
    <row r="71" spans="1:12" s="6" customFormat="1" ht="12.6" customHeight="1">
      <c r="A71" s="202"/>
      <c r="B71" s="203"/>
      <c r="C71" s="204"/>
      <c r="D71" s="204"/>
      <c r="E71" s="204"/>
      <c r="F71" s="204"/>
      <c r="G71" s="201"/>
      <c r="H71" s="171"/>
      <c r="I71" s="172"/>
      <c r="J71" s="146"/>
      <c r="K71" s="10"/>
      <c r="L71" s="144"/>
    </row>
    <row r="72" spans="1:12" s="6" customFormat="1" ht="10.8" customHeight="1">
      <c r="A72" s="9" t="s">
        <v>109</v>
      </c>
      <c r="B72" s="8">
        <f t="shared" ref="B72:B79" si="18">SUM(C72:G72)</f>
        <v>0</v>
      </c>
      <c r="C72" s="151" t="s">
        <v>270</v>
      </c>
      <c r="D72" s="151" t="s">
        <v>270</v>
      </c>
      <c r="E72" s="151" t="s">
        <v>270</v>
      </c>
      <c r="F72" s="151" t="s">
        <v>270</v>
      </c>
      <c r="G72" s="152" t="s">
        <v>270</v>
      </c>
      <c r="H72" s="149" t="s">
        <v>281</v>
      </c>
      <c r="I72" s="147"/>
      <c r="J72" s="147"/>
      <c r="K72" s="147"/>
      <c r="L72" s="144"/>
    </row>
    <row r="73" spans="1:12" s="6" customFormat="1" ht="12" customHeight="1">
      <c r="A73" s="9" t="s">
        <v>110</v>
      </c>
      <c r="B73" s="8">
        <f t="shared" si="18"/>
        <v>0</v>
      </c>
      <c r="C73" s="151" t="s">
        <v>270</v>
      </c>
      <c r="D73" s="151" t="s">
        <v>270</v>
      </c>
      <c r="E73" s="151" t="s">
        <v>270</v>
      </c>
      <c r="F73" s="151" t="s">
        <v>270</v>
      </c>
      <c r="G73" s="152" t="s">
        <v>270</v>
      </c>
      <c r="H73" s="149" t="s">
        <v>282</v>
      </c>
      <c r="I73" s="147"/>
      <c r="J73" s="147"/>
      <c r="K73" s="147"/>
      <c r="L73" s="144"/>
    </row>
    <row r="74" spans="1:12" s="6" customFormat="1" ht="10.199999999999999" customHeight="1">
      <c r="A74" s="9" t="s">
        <v>275</v>
      </c>
      <c r="B74" s="8">
        <f t="shared" si="18"/>
        <v>0</v>
      </c>
      <c r="C74" s="151" t="s">
        <v>270</v>
      </c>
      <c r="D74" s="151" t="s">
        <v>270</v>
      </c>
      <c r="E74" s="151" t="s">
        <v>270</v>
      </c>
      <c r="F74" s="151" t="s">
        <v>270</v>
      </c>
      <c r="G74" s="152" t="s">
        <v>270</v>
      </c>
      <c r="H74" s="149" t="s">
        <v>283</v>
      </c>
      <c r="I74" s="147"/>
      <c r="J74" s="147"/>
      <c r="K74" s="147"/>
      <c r="L74" s="144"/>
    </row>
    <row r="75" spans="1:12" s="6" customFormat="1" ht="12" customHeight="1">
      <c r="A75" s="9" t="s">
        <v>276</v>
      </c>
      <c r="B75" s="8">
        <f t="shared" si="18"/>
        <v>0</v>
      </c>
      <c r="C75" s="151" t="s">
        <v>270</v>
      </c>
      <c r="D75" s="151" t="s">
        <v>270</v>
      </c>
      <c r="E75" s="151" t="s">
        <v>270</v>
      </c>
      <c r="F75" s="151" t="s">
        <v>270</v>
      </c>
      <c r="G75" s="152" t="s">
        <v>270</v>
      </c>
      <c r="H75" s="149" t="s">
        <v>284</v>
      </c>
      <c r="I75" s="147"/>
      <c r="J75" s="147"/>
      <c r="K75" s="147"/>
      <c r="L75" s="144"/>
    </row>
    <row r="76" spans="1:12" s="6" customFormat="1" ht="12.6" customHeight="1">
      <c r="A76" s="9" t="s">
        <v>277</v>
      </c>
      <c r="B76" s="8">
        <f t="shared" si="18"/>
        <v>787</v>
      </c>
      <c r="C76" s="134">
        <v>370</v>
      </c>
      <c r="D76" s="134">
        <v>257</v>
      </c>
      <c r="E76" s="134">
        <v>130</v>
      </c>
      <c r="F76" s="150" t="s">
        <v>270</v>
      </c>
      <c r="G76" s="137">
        <v>30</v>
      </c>
      <c r="H76" s="149" t="s">
        <v>285</v>
      </c>
      <c r="I76" s="147"/>
      <c r="J76" s="147"/>
      <c r="K76" s="147"/>
      <c r="L76" s="144"/>
    </row>
    <row r="77" spans="1:12" s="6" customFormat="1" ht="12.6" customHeight="1">
      <c r="A77" s="9" t="s">
        <v>278</v>
      </c>
      <c r="B77" s="8">
        <f t="shared" si="18"/>
        <v>2755</v>
      </c>
      <c r="C77" s="134">
        <v>1190</v>
      </c>
      <c r="D77" s="134">
        <v>585</v>
      </c>
      <c r="E77" s="134">
        <v>980</v>
      </c>
      <c r="F77" s="151" t="s">
        <v>270</v>
      </c>
      <c r="G77" s="152" t="s">
        <v>270</v>
      </c>
      <c r="H77" s="149" t="s">
        <v>286</v>
      </c>
      <c r="I77" s="147"/>
      <c r="J77" s="147"/>
      <c r="K77" s="147"/>
      <c r="L77" s="144"/>
    </row>
    <row r="78" spans="1:12" s="6" customFormat="1" ht="12.6" customHeight="1">
      <c r="A78" s="9" t="s">
        <v>279</v>
      </c>
      <c r="B78" s="8">
        <f t="shared" si="18"/>
        <v>0</v>
      </c>
      <c r="C78" s="151" t="s">
        <v>270</v>
      </c>
      <c r="D78" s="151" t="s">
        <v>270</v>
      </c>
      <c r="E78" s="151" t="s">
        <v>270</v>
      </c>
      <c r="F78" s="151" t="s">
        <v>270</v>
      </c>
      <c r="G78" s="152" t="s">
        <v>270</v>
      </c>
      <c r="H78" s="173" t="s">
        <v>287</v>
      </c>
      <c r="I78" s="174"/>
      <c r="J78" s="147"/>
      <c r="K78" s="147"/>
      <c r="L78" s="144"/>
    </row>
    <row r="79" spans="1:12" s="6" customFormat="1" ht="12.6" customHeight="1">
      <c r="A79" s="9" t="s">
        <v>280</v>
      </c>
      <c r="B79" s="8">
        <f t="shared" si="18"/>
        <v>1803</v>
      </c>
      <c r="C79" s="134">
        <v>810</v>
      </c>
      <c r="D79" s="134">
        <v>438</v>
      </c>
      <c r="E79" s="134">
        <v>375</v>
      </c>
      <c r="F79" s="134">
        <v>15</v>
      </c>
      <c r="G79" s="137">
        <v>165</v>
      </c>
      <c r="H79" s="173" t="s">
        <v>288</v>
      </c>
      <c r="I79" s="174"/>
      <c r="J79" s="147"/>
      <c r="K79" s="147"/>
      <c r="L79" s="144"/>
    </row>
    <row r="80" spans="1:12" s="6" customFormat="1" ht="12.6" customHeight="1">
      <c r="A80" s="202" t="s">
        <v>117</v>
      </c>
      <c r="B80" s="203">
        <f>SUM(C80:G81)</f>
        <v>5869</v>
      </c>
      <c r="C80" s="204">
        <f>SUM(C82:C86)</f>
        <v>3286</v>
      </c>
      <c r="D80" s="204">
        <f t="shared" ref="D80:G80" si="19">SUM(D82:D86)</f>
        <v>1808</v>
      </c>
      <c r="E80" s="204">
        <f t="shared" si="19"/>
        <v>630</v>
      </c>
      <c r="F80" s="204">
        <f t="shared" si="19"/>
        <v>78</v>
      </c>
      <c r="G80" s="201">
        <f t="shared" si="19"/>
        <v>67</v>
      </c>
      <c r="H80" s="169" t="s">
        <v>118</v>
      </c>
      <c r="I80" s="170"/>
      <c r="J80" s="145"/>
      <c r="K80" s="142"/>
      <c r="L80" s="144"/>
    </row>
    <row r="81" spans="1:12" s="6" customFormat="1" ht="12.6" customHeight="1">
      <c r="A81" s="202"/>
      <c r="B81" s="203"/>
      <c r="C81" s="204"/>
      <c r="D81" s="204"/>
      <c r="E81" s="204"/>
      <c r="F81" s="204"/>
      <c r="G81" s="201"/>
      <c r="H81" s="169"/>
      <c r="I81" s="170"/>
      <c r="J81" s="145"/>
      <c r="K81" s="142"/>
      <c r="L81" s="144"/>
    </row>
    <row r="82" spans="1:12" s="6" customFormat="1" ht="12.6" customHeight="1">
      <c r="A82" s="7" t="s">
        <v>119</v>
      </c>
      <c r="B82" s="8">
        <f t="shared" ref="B82:B86" si="20">SUM(C82:G82)</f>
        <v>1566</v>
      </c>
      <c r="C82" s="134">
        <v>823</v>
      </c>
      <c r="D82" s="134">
        <v>393</v>
      </c>
      <c r="E82" s="134">
        <v>233</v>
      </c>
      <c r="F82" s="134">
        <v>50</v>
      </c>
      <c r="G82" s="137">
        <v>67</v>
      </c>
      <c r="H82" s="139" t="s">
        <v>120</v>
      </c>
      <c r="I82" s="10"/>
      <c r="J82" s="10"/>
      <c r="K82" s="10"/>
      <c r="L82" s="144"/>
    </row>
    <row r="83" spans="1:12" s="6" customFormat="1" ht="12.6" customHeight="1">
      <c r="A83" s="7" t="s">
        <v>121</v>
      </c>
      <c r="B83" s="8">
        <f t="shared" si="20"/>
        <v>0</v>
      </c>
      <c r="C83" s="151" t="s">
        <v>270</v>
      </c>
      <c r="D83" s="151" t="s">
        <v>270</v>
      </c>
      <c r="E83" s="151" t="s">
        <v>270</v>
      </c>
      <c r="F83" s="151" t="s">
        <v>270</v>
      </c>
      <c r="G83" s="152" t="s">
        <v>270</v>
      </c>
      <c r="H83" s="139" t="s">
        <v>122</v>
      </c>
      <c r="I83" s="10"/>
      <c r="J83" s="10"/>
      <c r="K83" s="10"/>
      <c r="L83" s="144"/>
    </row>
    <row r="84" spans="1:12" s="6" customFormat="1" ht="12.6" customHeight="1">
      <c r="A84" s="7" t="s">
        <v>123</v>
      </c>
      <c r="B84" s="8">
        <f t="shared" si="20"/>
        <v>3283</v>
      </c>
      <c r="C84" s="134">
        <v>2062</v>
      </c>
      <c r="D84" s="134">
        <v>1104</v>
      </c>
      <c r="E84" s="134">
        <v>117</v>
      </c>
      <c r="F84" s="151" t="s">
        <v>270</v>
      </c>
      <c r="G84" s="152" t="s">
        <v>270</v>
      </c>
      <c r="H84" s="139" t="s">
        <v>124</v>
      </c>
      <c r="I84" s="10"/>
      <c r="J84" s="10"/>
      <c r="K84" s="10"/>
      <c r="L84" s="144"/>
    </row>
    <row r="85" spans="1:12" s="6" customFormat="1" ht="12.6" customHeight="1">
      <c r="A85" s="7" t="s">
        <v>125</v>
      </c>
      <c r="B85" s="8">
        <f t="shared" si="20"/>
        <v>193</v>
      </c>
      <c r="C85" s="134">
        <v>68</v>
      </c>
      <c r="D85" s="134">
        <v>58</v>
      </c>
      <c r="E85" s="134">
        <v>44</v>
      </c>
      <c r="F85" s="134">
        <v>23</v>
      </c>
      <c r="G85" s="152" t="s">
        <v>270</v>
      </c>
      <c r="H85" s="139" t="s">
        <v>126</v>
      </c>
      <c r="I85" s="10"/>
      <c r="J85" s="10"/>
      <c r="K85" s="10"/>
      <c r="L85" s="144"/>
    </row>
    <row r="86" spans="1:12" s="6" customFormat="1" ht="12.6" customHeight="1">
      <c r="A86" s="7" t="s">
        <v>127</v>
      </c>
      <c r="B86" s="8">
        <f t="shared" si="20"/>
        <v>827</v>
      </c>
      <c r="C86" s="134">
        <v>333</v>
      </c>
      <c r="D86" s="134">
        <v>253</v>
      </c>
      <c r="E86" s="134">
        <v>236</v>
      </c>
      <c r="F86" s="134">
        <v>5</v>
      </c>
      <c r="G86" s="152" t="s">
        <v>270</v>
      </c>
      <c r="H86" s="139" t="s">
        <v>128</v>
      </c>
      <c r="I86" s="10"/>
      <c r="J86" s="10"/>
      <c r="K86" s="10"/>
      <c r="L86" s="144"/>
    </row>
    <row r="87" spans="1:12" s="6" customFormat="1" ht="12.6" customHeight="1">
      <c r="A87" s="202" t="s">
        <v>129</v>
      </c>
      <c r="B87" s="203">
        <f>SUM(C87:G88)</f>
        <v>36115</v>
      </c>
      <c r="C87" s="204">
        <f>SUM(C89:C101)</f>
        <v>25410</v>
      </c>
      <c r="D87" s="204">
        <f t="shared" ref="D87:G87" si="21">SUM(D89:D101)</f>
        <v>7850</v>
      </c>
      <c r="E87" s="204">
        <f t="shared" si="21"/>
        <v>2368</v>
      </c>
      <c r="F87" s="204">
        <f t="shared" si="21"/>
        <v>150</v>
      </c>
      <c r="G87" s="201">
        <f t="shared" si="21"/>
        <v>337</v>
      </c>
      <c r="H87" s="169" t="s">
        <v>130</v>
      </c>
      <c r="I87" s="170"/>
      <c r="J87" s="145"/>
      <c r="K87" s="10"/>
      <c r="L87" s="144"/>
    </row>
    <row r="88" spans="1:12" s="6" customFormat="1" ht="12.6" customHeight="1">
      <c r="A88" s="202"/>
      <c r="B88" s="203"/>
      <c r="C88" s="204"/>
      <c r="D88" s="204"/>
      <c r="E88" s="204"/>
      <c r="F88" s="204"/>
      <c r="G88" s="201"/>
      <c r="H88" s="169"/>
      <c r="I88" s="170"/>
      <c r="J88" s="145"/>
      <c r="K88" s="10"/>
      <c r="L88" s="144"/>
    </row>
    <row r="89" spans="1:12" s="6" customFormat="1" ht="12.6" customHeight="1">
      <c r="A89" s="7" t="s">
        <v>131</v>
      </c>
      <c r="B89" s="8">
        <f t="shared" ref="B89:B101" si="22">SUM(C89:G89)</f>
        <v>1145</v>
      </c>
      <c r="C89" s="134">
        <v>1133</v>
      </c>
      <c r="D89" s="134">
        <v>12</v>
      </c>
      <c r="E89" s="151" t="s">
        <v>270</v>
      </c>
      <c r="F89" s="151" t="s">
        <v>270</v>
      </c>
      <c r="G89" s="152" t="s">
        <v>270</v>
      </c>
      <c r="H89" s="139" t="s">
        <v>132</v>
      </c>
      <c r="I89" s="10"/>
      <c r="J89" s="10"/>
      <c r="K89" s="10"/>
      <c r="L89" s="144"/>
    </row>
    <row r="90" spans="1:12" s="6" customFormat="1" ht="12.6" customHeight="1">
      <c r="A90" s="7" t="s">
        <v>133</v>
      </c>
      <c r="B90" s="8">
        <f t="shared" si="22"/>
        <v>2177</v>
      </c>
      <c r="C90" s="134">
        <v>901</v>
      </c>
      <c r="D90" s="134">
        <v>593</v>
      </c>
      <c r="E90" s="134">
        <v>486</v>
      </c>
      <c r="F90" s="134">
        <v>120</v>
      </c>
      <c r="G90" s="137">
        <v>77</v>
      </c>
      <c r="H90" s="139" t="s">
        <v>134</v>
      </c>
      <c r="I90" s="10"/>
      <c r="J90" s="10"/>
      <c r="K90" s="10"/>
      <c r="L90" s="144"/>
    </row>
    <row r="91" spans="1:12" s="6" customFormat="1" ht="12.6" customHeight="1">
      <c r="A91" s="7" t="s">
        <v>135</v>
      </c>
      <c r="B91" s="8">
        <f t="shared" si="22"/>
        <v>700</v>
      </c>
      <c r="C91" s="134">
        <v>700</v>
      </c>
      <c r="D91" s="151" t="s">
        <v>270</v>
      </c>
      <c r="E91" s="151" t="s">
        <v>270</v>
      </c>
      <c r="F91" s="151" t="s">
        <v>270</v>
      </c>
      <c r="G91" s="152" t="s">
        <v>270</v>
      </c>
      <c r="H91" s="139" t="s">
        <v>136</v>
      </c>
      <c r="I91" s="10"/>
      <c r="J91" s="10"/>
      <c r="K91" s="10"/>
      <c r="L91" s="144"/>
    </row>
    <row r="92" spans="1:12" s="6" customFormat="1" ht="12.6" customHeight="1">
      <c r="A92" s="7" t="s">
        <v>137</v>
      </c>
      <c r="B92" s="8">
        <f t="shared" si="22"/>
        <v>450</v>
      </c>
      <c r="C92" s="134">
        <v>200</v>
      </c>
      <c r="D92" s="134">
        <v>200</v>
      </c>
      <c r="E92" s="151" t="s">
        <v>270</v>
      </c>
      <c r="F92" s="151" t="s">
        <v>270</v>
      </c>
      <c r="G92" s="137">
        <v>50</v>
      </c>
      <c r="H92" s="139" t="s">
        <v>138</v>
      </c>
      <c r="I92" s="10"/>
      <c r="J92" s="10"/>
      <c r="K92" s="10"/>
      <c r="L92" s="144"/>
    </row>
    <row r="93" spans="1:12" s="6" customFormat="1" ht="12.6" customHeight="1">
      <c r="A93" s="7" t="s">
        <v>139</v>
      </c>
      <c r="B93" s="8">
        <f t="shared" si="22"/>
        <v>0</v>
      </c>
      <c r="C93" s="151" t="s">
        <v>270</v>
      </c>
      <c r="D93" s="151" t="s">
        <v>270</v>
      </c>
      <c r="E93" s="151" t="s">
        <v>270</v>
      </c>
      <c r="F93" s="151" t="s">
        <v>270</v>
      </c>
      <c r="G93" s="153" t="s">
        <v>270</v>
      </c>
      <c r="H93" s="139" t="s">
        <v>140</v>
      </c>
      <c r="I93" s="10"/>
      <c r="J93" s="10"/>
      <c r="K93" s="10"/>
      <c r="L93" s="144"/>
    </row>
    <row r="94" spans="1:12" s="6" customFormat="1" ht="12.6" customHeight="1">
      <c r="A94" s="7" t="s">
        <v>141</v>
      </c>
      <c r="B94" s="8">
        <f t="shared" si="22"/>
        <v>4020</v>
      </c>
      <c r="C94" s="134">
        <v>3390</v>
      </c>
      <c r="D94" s="134">
        <v>380</v>
      </c>
      <c r="E94" s="134">
        <v>100</v>
      </c>
      <c r="F94" s="151" t="s">
        <v>270</v>
      </c>
      <c r="G94" s="137">
        <v>150</v>
      </c>
      <c r="H94" s="139" t="s">
        <v>142</v>
      </c>
      <c r="I94" s="10"/>
      <c r="J94" s="10"/>
      <c r="K94" s="10"/>
      <c r="L94" s="144"/>
    </row>
    <row r="95" spans="1:12" s="6" customFormat="1" ht="12.6" customHeight="1">
      <c r="A95" s="7" t="s">
        <v>143</v>
      </c>
      <c r="B95" s="8">
        <f t="shared" si="22"/>
        <v>4410</v>
      </c>
      <c r="C95" s="134">
        <v>2750</v>
      </c>
      <c r="D95" s="134">
        <v>1660</v>
      </c>
      <c r="E95" s="151" t="s">
        <v>270</v>
      </c>
      <c r="F95" s="151" t="s">
        <v>270</v>
      </c>
      <c r="G95" s="152" t="s">
        <v>270</v>
      </c>
      <c r="H95" s="139" t="s">
        <v>144</v>
      </c>
      <c r="I95" s="10"/>
      <c r="J95" s="10"/>
      <c r="K95" s="10"/>
      <c r="L95" s="144"/>
    </row>
    <row r="96" spans="1:12" s="6" customFormat="1" ht="12.6" customHeight="1">
      <c r="A96" s="7" t="s">
        <v>145</v>
      </c>
      <c r="B96" s="8">
        <f t="shared" si="22"/>
        <v>4098</v>
      </c>
      <c r="C96" s="134">
        <v>2745</v>
      </c>
      <c r="D96" s="134">
        <v>1348</v>
      </c>
      <c r="E96" s="134">
        <v>5</v>
      </c>
      <c r="F96" s="151" t="s">
        <v>270</v>
      </c>
      <c r="G96" s="152" t="s">
        <v>270</v>
      </c>
      <c r="H96" s="139" t="s">
        <v>146</v>
      </c>
      <c r="I96" s="10"/>
      <c r="J96" s="10"/>
      <c r="K96" s="10"/>
      <c r="L96" s="144"/>
    </row>
    <row r="97" spans="1:15" s="6" customFormat="1" ht="12.6" customHeight="1">
      <c r="A97" s="7" t="s">
        <v>147</v>
      </c>
      <c r="B97" s="8">
        <f t="shared" si="22"/>
        <v>620</v>
      </c>
      <c r="C97" s="134">
        <v>370</v>
      </c>
      <c r="D97" s="134">
        <v>250</v>
      </c>
      <c r="E97" s="151" t="s">
        <v>270</v>
      </c>
      <c r="F97" s="151" t="s">
        <v>270</v>
      </c>
      <c r="G97" s="152" t="s">
        <v>270</v>
      </c>
      <c r="H97" s="139" t="s">
        <v>148</v>
      </c>
      <c r="I97" s="10"/>
      <c r="J97" s="10"/>
      <c r="K97" s="10"/>
      <c r="L97" s="144"/>
    </row>
    <row r="98" spans="1:15" s="6" customFormat="1" ht="12.6" customHeight="1">
      <c r="A98" s="7" t="s">
        <v>149</v>
      </c>
      <c r="B98" s="8">
        <f t="shared" si="22"/>
        <v>13643</v>
      </c>
      <c r="C98" s="134">
        <v>9138</v>
      </c>
      <c r="D98" s="134">
        <v>3210</v>
      </c>
      <c r="E98" s="134">
        <v>1215</v>
      </c>
      <c r="F98" s="134">
        <v>30</v>
      </c>
      <c r="G98" s="137">
        <v>50</v>
      </c>
      <c r="H98" s="139" t="s">
        <v>150</v>
      </c>
      <c r="I98" s="10"/>
      <c r="J98" s="10"/>
      <c r="K98" s="10"/>
      <c r="L98" s="144"/>
    </row>
    <row r="99" spans="1:15" s="6" customFormat="1" ht="12.6" customHeight="1">
      <c r="A99" s="7" t="s">
        <v>151</v>
      </c>
      <c r="B99" s="8">
        <f t="shared" si="22"/>
        <v>4090</v>
      </c>
      <c r="C99" s="134">
        <v>3780</v>
      </c>
      <c r="D99" s="134">
        <v>100</v>
      </c>
      <c r="E99" s="134">
        <v>210</v>
      </c>
      <c r="F99" s="151" t="s">
        <v>270</v>
      </c>
      <c r="G99" s="152" t="s">
        <v>270</v>
      </c>
      <c r="H99" s="139" t="s">
        <v>152</v>
      </c>
      <c r="I99" s="10"/>
      <c r="J99" s="10"/>
      <c r="K99" s="10"/>
      <c r="L99" s="144"/>
    </row>
    <row r="100" spans="1:15" s="6" customFormat="1" ht="12.6" customHeight="1">
      <c r="A100" s="7" t="s">
        <v>153</v>
      </c>
      <c r="B100" s="8">
        <f t="shared" si="22"/>
        <v>10</v>
      </c>
      <c r="C100" s="151" t="s">
        <v>270</v>
      </c>
      <c r="D100" s="151" t="s">
        <v>270</v>
      </c>
      <c r="E100" s="151" t="s">
        <v>270</v>
      </c>
      <c r="F100" s="151" t="s">
        <v>270</v>
      </c>
      <c r="G100" s="137">
        <v>10</v>
      </c>
      <c r="H100" s="139" t="s">
        <v>154</v>
      </c>
      <c r="I100" s="10"/>
      <c r="J100" s="10"/>
      <c r="K100" s="10"/>
      <c r="L100" s="144"/>
    </row>
    <row r="101" spans="1:15" s="6" customFormat="1" ht="12.6" customHeight="1">
      <c r="A101" s="7" t="s">
        <v>155</v>
      </c>
      <c r="B101" s="8">
        <f t="shared" si="22"/>
        <v>752</v>
      </c>
      <c r="C101" s="134">
        <v>303</v>
      </c>
      <c r="D101" s="134">
        <v>97</v>
      </c>
      <c r="E101" s="134">
        <v>352</v>
      </c>
      <c r="F101" s="151" t="s">
        <v>270</v>
      </c>
      <c r="G101" s="152" t="s">
        <v>270</v>
      </c>
      <c r="H101" s="139" t="s">
        <v>156</v>
      </c>
      <c r="I101" s="10"/>
      <c r="J101" s="10"/>
      <c r="K101" s="10"/>
      <c r="L101" s="144"/>
    </row>
    <row r="102" spans="1:15" s="6" customFormat="1" ht="12.6" customHeight="1">
      <c r="A102" s="202" t="s">
        <v>157</v>
      </c>
      <c r="B102" s="203">
        <f>SUM(C102:G103)</f>
        <v>58527</v>
      </c>
      <c r="C102" s="204">
        <f>SUM(C104:C107)</f>
        <v>25354</v>
      </c>
      <c r="D102" s="204">
        <f t="shared" ref="D102:G102" si="23">SUM(D104:D107)</f>
        <v>23977</v>
      </c>
      <c r="E102" s="204">
        <f t="shared" si="23"/>
        <v>7969</v>
      </c>
      <c r="F102" s="204">
        <f t="shared" si="23"/>
        <v>1002</v>
      </c>
      <c r="G102" s="201">
        <f t="shared" si="23"/>
        <v>225</v>
      </c>
      <c r="H102" s="171" t="s">
        <v>158</v>
      </c>
      <c r="I102" s="172"/>
      <c r="J102" s="146"/>
      <c r="K102" s="10"/>
      <c r="L102" s="144"/>
    </row>
    <row r="103" spans="1:15" s="6" customFormat="1" ht="12.6" customHeight="1">
      <c r="A103" s="202"/>
      <c r="B103" s="203"/>
      <c r="C103" s="204"/>
      <c r="D103" s="204"/>
      <c r="E103" s="204"/>
      <c r="F103" s="204"/>
      <c r="G103" s="201"/>
      <c r="H103" s="171"/>
      <c r="I103" s="172"/>
      <c r="J103" s="146"/>
      <c r="K103" s="10"/>
      <c r="L103" s="144"/>
    </row>
    <row r="104" spans="1:15" s="6" customFormat="1" ht="12.6" customHeight="1">
      <c r="A104" s="7" t="s">
        <v>159</v>
      </c>
      <c r="B104" s="8">
        <f t="shared" ref="B104:B107" si="24">SUM(C104:G104)</f>
        <v>23756</v>
      </c>
      <c r="C104" s="134">
        <v>14988</v>
      </c>
      <c r="D104" s="134">
        <v>5158</v>
      </c>
      <c r="E104" s="134">
        <v>3368</v>
      </c>
      <c r="F104" s="134">
        <v>135</v>
      </c>
      <c r="G104" s="137">
        <v>107</v>
      </c>
      <c r="H104" s="139" t="s">
        <v>160</v>
      </c>
      <c r="I104" s="10"/>
      <c r="J104" s="10"/>
      <c r="K104" s="10"/>
      <c r="L104" s="144"/>
    </row>
    <row r="105" spans="1:15" s="6" customFormat="1" ht="12.6" customHeight="1">
      <c r="A105" s="7" t="s">
        <v>161</v>
      </c>
      <c r="B105" s="8">
        <f t="shared" si="24"/>
        <v>5574</v>
      </c>
      <c r="C105" s="134">
        <v>3458</v>
      </c>
      <c r="D105" s="134">
        <v>1196</v>
      </c>
      <c r="E105" s="134">
        <v>865</v>
      </c>
      <c r="F105" s="134">
        <v>55</v>
      </c>
      <c r="G105" s="152" t="s">
        <v>270</v>
      </c>
      <c r="H105" s="139" t="s">
        <v>162</v>
      </c>
      <c r="I105" s="10"/>
      <c r="J105" s="10"/>
      <c r="K105" s="10"/>
      <c r="L105" s="144"/>
    </row>
    <row r="106" spans="1:15" s="6" customFormat="1" ht="12.6" customHeight="1">
      <c r="A106" s="7" t="s">
        <v>163</v>
      </c>
      <c r="B106" s="8">
        <f t="shared" si="24"/>
        <v>20938</v>
      </c>
      <c r="C106" s="134">
        <v>5295</v>
      </c>
      <c r="D106" s="134">
        <v>11871</v>
      </c>
      <c r="E106" s="134">
        <v>2911</v>
      </c>
      <c r="F106" s="134">
        <v>761</v>
      </c>
      <c r="G106" s="137">
        <v>100</v>
      </c>
      <c r="H106" s="139" t="s">
        <v>164</v>
      </c>
      <c r="I106" s="10"/>
      <c r="J106" s="10"/>
      <c r="K106" s="10"/>
      <c r="L106" s="144"/>
    </row>
    <row r="107" spans="1:15" s="6" customFormat="1" ht="12.6" customHeight="1" thickBot="1">
      <c r="A107" s="11" t="s">
        <v>165</v>
      </c>
      <c r="B107" s="12">
        <f t="shared" si="24"/>
        <v>8259</v>
      </c>
      <c r="C107" s="136">
        <v>1613</v>
      </c>
      <c r="D107" s="136">
        <v>5752</v>
      </c>
      <c r="E107" s="136">
        <v>825</v>
      </c>
      <c r="F107" s="136">
        <v>51</v>
      </c>
      <c r="G107" s="138">
        <v>18</v>
      </c>
      <c r="H107" s="141" t="s">
        <v>166</v>
      </c>
      <c r="I107" s="13"/>
      <c r="J107" s="10"/>
      <c r="K107" s="10"/>
      <c r="L107" s="144"/>
      <c r="N107" s="144"/>
      <c r="O107" s="144"/>
    </row>
    <row r="108" spans="1:15" s="1" customFormat="1" ht="10.199999999999999">
      <c r="A108" s="211" t="s">
        <v>290</v>
      </c>
      <c r="B108" s="211"/>
      <c r="G108" s="212" t="s">
        <v>291</v>
      </c>
      <c r="H108" s="212"/>
      <c r="I108" s="212"/>
      <c r="J108" s="10"/>
      <c r="L108" s="148"/>
      <c r="N108" s="148"/>
      <c r="O108" s="148"/>
    </row>
  </sheetData>
  <mergeCells count="122">
    <mergeCell ref="A108:B108"/>
    <mergeCell ref="G108:I108"/>
    <mergeCell ref="A8:A9"/>
    <mergeCell ref="B8:B9"/>
    <mergeCell ref="C8:C9"/>
    <mergeCell ref="D8:D9"/>
    <mergeCell ref="E8:E9"/>
    <mergeCell ref="F8:F9"/>
    <mergeCell ref="G8:G9"/>
    <mergeCell ref="A44:A45"/>
    <mergeCell ref="B44:B45"/>
    <mergeCell ref="C44:C45"/>
    <mergeCell ref="D44:D45"/>
    <mergeCell ref="E44:E45"/>
    <mergeCell ref="F44:F45"/>
    <mergeCell ref="G44:G45"/>
    <mergeCell ref="A37:A38"/>
    <mergeCell ref="B37:B38"/>
    <mergeCell ref="C37:C38"/>
    <mergeCell ref="D37:D38"/>
    <mergeCell ref="E37:E38"/>
    <mergeCell ref="F37:F38"/>
    <mergeCell ref="G37:G38"/>
    <mergeCell ref="G51:G52"/>
    <mergeCell ref="A51:A52"/>
    <mergeCell ref="B51:B52"/>
    <mergeCell ref="C51:C52"/>
    <mergeCell ref="D51:D52"/>
    <mergeCell ref="E51:E52"/>
    <mergeCell ref="F51:F52"/>
    <mergeCell ref="A3:F3"/>
    <mergeCell ref="A4:A7"/>
    <mergeCell ref="B4:B7"/>
    <mergeCell ref="D18:D19"/>
    <mergeCell ref="E18:E19"/>
    <mergeCell ref="F18:F19"/>
    <mergeCell ref="A10:A11"/>
    <mergeCell ref="B10:B11"/>
    <mergeCell ref="C10:C11"/>
    <mergeCell ref="D10:D11"/>
    <mergeCell ref="E10:E11"/>
    <mergeCell ref="F10:F11"/>
    <mergeCell ref="G63:G64"/>
    <mergeCell ref="A70:A71"/>
    <mergeCell ref="B70:B71"/>
    <mergeCell ref="C70:C71"/>
    <mergeCell ref="D70:D71"/>
    <mergeCell ref="E70:E71"/>
    <mergeCell ref="F70:F71"/>
    <mergeCell ref="G70:G71"/>
    <mergeCell ref="G58:G59"/>
    <mergeCell ref="A63:A64"/>
    <mergeCell ref="B63:B64"/>
    <mergeCell ref="C63:C64"/>
    <mergeCell ref="D63:D64"/>
    <mergeCell ref="E63:E64"/>
    <mergeCell ref="F63:F64"/>
    <mergeCell ref="A58:A59"/>
    <mergeCell ref="B58:B59"/>
    <mergeCell ref="C58:C59"/>
    <mergeCell ref="D58:D59"/>
    <mergeCell ref="E58:E59"/>
    <mergeCell ref="F58:F59"/>
    <mergeCell ref="A102:A103"/>
    <mergeCell ref="B102:B103"/>
    <mergeCell ref="C102:C103"/>
    <mergeCell ref="D102:D103"/>
    <mergeCell ref="E102:E103"/>
    <mergeCell ref="F102:F103"/>
    <mergeCell ref="G102:G103"/>
    <mergeCell ref="G80:G81"/>
    <mergeCell ref="A87:A88"/>
    <mergeCell ref="B87:B88"/>
    <mergeCell ref="C87:C88"/>
    <mergeCell ref="D87:D88"/>
    <mergeCell ref="E87:E88"/>
    <mergeCell ref="F87:F88"/>
    <mergeCell ref="G87:G88"/>
    <mergeCell ref="A80:A81"/>
    <mergeCell ref="B80:B81"/>
    <mergeCell ref="C80:C81"/>
    <mergeCell ref="D80:D81"/>
    <mergeCell ref="E80:E81"/>
    <mergeCell ref="F80:F81"/>
    <mergeCell ref="C6:C7"/>
    <mergeCell ref="G4:G7"/>
    <mergeCell ref="G18:G19"/>
    <mergeCell ref="A31:A32"/>
    <mergeCell ref="B31:B32"/>
    <mergeCell ref="C31:C32"/>
    <mergeCell ref="D31:D32"/>
    <mergeCell ref="E31:E32"/>
    <mergeCell ref="F31:F32"/>
    <mergeCell ref="G31:G32"/>
    <mergeCell ref="G10:G11"/>
    <mergeCell ref="A18:A19"/>
    <mergeCell ref="B18:B19"/>
    <mergeCell ref="C18:C19"/>
    <mergeCell ref="A1:I1"/>
    <mergeCell ref="A2:I2"/>
    <mergeCell ref="H37:I38"/>
    <mergeCell ref="H44:I45"/>
    <mergeCell ref="H51:I52"/>
    <mergeCell ref="H58:I59"/>
    <mergeCell ref="H102:I103"/>
    <mergeCell ref="H87:I88"/>
    <mergeCell ref="H80:I81"/>
    <mergeCell ref="H79:I79"/>
    <mergeCell ref="H78:I78"/>
    <mergeCell ref="H61:I61"/>
    <mergeCell ref="H70:I71"/>
    <mergeCell ref="H42:I42"/>
    <mergeCell ref="H63:I64"/>
    <mergeCell ref="H4:I7"/>
    <mergeCell ref="H8:I9"/>
    <mergeCell ref="H10:I11"/>
    <mergeCell ref="H18:I19"/>
    <mergeCell ref="H31:I32"/>
    <mergeCell ref="C4:F5"/>
    <mergeCell ref="F6:F7"/>
    <mergeCell ref="E6:E7"/>
    <mergeCell ref="D6:D7"/>
  </mergeCells>
  <pageMargins left="0.7" right="0.7" top="0.75" bottom="0.75" header="0.3" footer="0.3"/>
  <pageSetup paperSize="9" orientation="portrait" horizontalDpi="200" verticalDpi="200" r:id="rId1"/>
  <ignoredErrors>
    <ignoredError sqref="B12:B17 B20:B30 B33:B36 B39:B43 B46:B50 B53:B57 B60:B62 B65:B69 B72:B79 B82:B86 B89:B101 B104:B10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2016-09-02T07:49:25Z</dcterms:modified>
</cp:coreProperties>
</file>