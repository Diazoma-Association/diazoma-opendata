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5144" windowHeight="5208" tabRatio="886" firstSheet="1" activeTab="1"/>
  </bookViews>
  <sheets>
    <sheet name="Sheet1" sheetId="5" state="hidden" r:id="rId1"/>
    <sheet name="ΠΙΝΑΚΑΣ 3α ΣΥΝΟΛΙΚΟΣ" sheetId="1" r:id="rId2"/>
  </sheets>
  <calcPr calcId="124519"/>
</workbook>
</file>

<file path=xl/calcChain.xml><?xml version="1.0" encoding="utf-8"?>
<calcChain xmlns="http://schemas.openxmlformats.org/spreadsheetml/2006/main">
  <c r="B8" i="1"/>
  <c r="B106"/>
  <c r="AX102"/>
  <c r="B104"/>
  <c r="B100"/>
  <c r="B98"/>
  <c r="B97"/>
  <c r="B96"/>
  <c r="B95"/>
  <c r="B90"/>
  <c r="B86"/>
  <c r="B84"/>
  <c r="B82"/>
  <c r="B75"/>
  <c r="B74"/>
  <c r="B73"/>
  <c r="B69"/>
  <c r="B68"/>
  <c r="B67"/>
  <c r="B66"/>
  <c r="B65"/>
  <c r="B62"/>
  <c r="B61"/>
  <c r="B60"/>
  <c r="B57"/>
  <c r="B56"/>
  <c r="B55"/>
  <c r="B54"/>
  <c r="B53"/>
  <c r="B50"/>
  <c r="B49"/>
  <c r="B48"/>
  <c r="B47"/>
  <c r="B46"/>
  <c r="B43"/>
  <c r="B42"/>
  <c r="B41"/>
  <c r="B40"/>
  <c r="B39"/>
  <c r="B36"/>
  <c r="B35"/>
  <c r="B34"/>
  <c r="B33"/>
  <c r="B30"/>
  <c r="B29"/>
  <c r="B28"/>
  <c r="B27"/>
  <c r="B26"/>
  <c r="B25"/>
  <c r="B24"/>
  <c r="B23"/>
  <c r="B22"/>
  <c r="B21"/>
  <c r="B20"/>
  <c r="B17"/>
  <c r="B16"/>
  <c r="B15"/>
  <c r="B14"/>
  <c r="B13"/>
  <c r="B12"/>
  <c r="B79"/>
  <c r="B83"/>
  <c r="B85"/>
  <c r="B89"/>
  <c r="B91"/>
  <c r="B92"/>
  <c r="B93"/>
  <c r="B99"/>
  <c r="B101"/>
  <c r="B105"/>
  <c r="B107"/>
  <c r="B77"/>
  <c r="B76"/>
  <c r="B72"/>
  <c r="B78"/>
  <c r="B94"/>
  <c r="S18"/>
  <c r="T18"/>
  <c r="S102"/>
  <c r="T102"/>
  <c r="U102"/>
  <c r="V102"/>
  <c r="W102"/>
  <c r="X102"/>
  <c r="Y102"/>
  <c r="Z102"/>
  <c r="AA102"/>
  <c r="AB102"/>
  <c r="AC102"/>
  <c r="AD102"/>
  <c r="AE102"/>
  <c r="AF102"/>
  <c r="AG102"/>
  <c r="AH102"/>
  <c r="AI102"/>
  <c r="AJ102"/>
  <c r="AK102"/>
  <c r="AL102"/>
  <c r="AM102"/>
  <c r="AN102"/>
  <c r="AO102"/>
  <c r="AP102"/>
  <c r="AQ102"/>
  <c r="AR102"/>
  <c r="AS102"/>
  <c r="AT102"/>
  <c r="AU102"/>
  <c r="AV102"/>
  <c r="S87"/>
  <c r="T87"/>
  <c r="U87"/>
  <c r="V87"/>
  <c r="W87"/>
  <c r="X87"/>
  <c r="Y87"/>
  <c r="Z87"/>
  <c r="AA87"/>
  <c r="AB87"/>
  <c r="AC87"/>
  <c r="AD87"/>
  <c r="AE87"/>
  <c r="AF87"/>
  <c r="AG87"/>
  <c r="AH87"/>
  <c r="AI87"/>
  <c r="AJ87"/>
  <c r="AK87"/>
  <c r="AL87"/>
  <c r="AM87"/>
  <c r="AN87"/>
  <c r="AO87"/>
  <c r="AP87"/>
  <c r="AQ87"/>
  <c r="AR87"/>
  <c r="AS87"/>
  <c r="AT87"/>
  <c r="AU87"/>
  <c r="AV87"/>
  <c r="AX87"/>
  <c r="S80"/>
  <c r="T80"/>
  <c r="U80"/>
  <c r="V80"/>
  <c r="W80"/>
  <c r="X80"/>
  <c r="Y80"/>
  <c r="Z80"/>
  <c r="AA80"/>
  <c r="AB80"/>
  <c r="AC80"/>
  <c r="AD80"/>
  <c r="AE80"/>
  <c r="AF80"/>
  <c r="AG80"/>
  <c r="AH80"/>
  <c r="AI80"/>
  <c r="AJ80"/>
  <c r="AK80"/>
  <c r="AL80"/>
  <c r="AM80"/>
  <c r="AN80"/>
  <c r="AO80"/>
  <c r="AP80"/>
  <c r="AQ80"/>
  <c r="AR80"/>
  <c r="AS80"/>
  <c r="AT80"/>
  <c r="AU80"/>
  <c r="AV80"/>
  <c r="S70"/>
  <c r="T70"/>
  <c r="U70"/>
  <c r="V70"/>
  <c r="W70"/>
  <c r="X70"/>
  <c r="Y70"/>
  <c r="Z70"/>
  <c r="AA70"/>
  <c r="AB70"/>
  <c r="AC70"/>
  <c r="AD70"/>
  <c r="AE70"/>
  <c r="AF70"/>
  <c r="AG70"/>
  <c r="AH70"/>
  <c r="AI70"/>
  <c r="AJ70"/>
  <c r="AK70"/>
  <c r="AL70"/>
  <c r="AM70"/>
  <c r="AN70"/>
  <c r="AO70"/>
  <c r="AP70"/>
  <c r="AQ70"/>
  <c r="AR70"/>
  <c r="AS70"/>
  <c r="AT70"/>
  <c r="AU70"/>
  <c r="AV70"/>
  <c r="AW70"/>
  <c r="AX70"/>
  <c r="S63"/>
  <c r="T63"/>
  <c r="U63"/>
  <c r="V63"/>
  <c r="W63"/>
  <c r="X63"/>
  <c r="Y63"/>
  <c r="Z63"/>
  <c r="AA63"/>
  <c r="AB63"/>
  <c r="AC63"/>
  <c r="AD63"/>
  <c r="AE63"/>
  <c r="AF63"/>
  <c r="AG63"/>
  <c r="AH63"/>
  <c r="AI63"/>
  <c r="AJ63"/>
  <c r="AK63"/>
  <c r="AL63"/>
  <c r="AM63"/>
  <c r="AN63"/>
  <c r="AO63"/>
  <c r="AP63"/>
  <c r="AQ63"/>
  <c r="AR63"/>
  <c r="AS63"/>
  <c r="AT63"/>
  <c r="AU63"/>
  <c r="AV63"/>
  <c r="AW63"/>
  <c r="AX63"/>
  <c r="S58"/>
  <c r="T58"/>
  <c r="U58"/>
  <c r="V58"/>
  <c r="W58"/>
  <c r="X58"/>
  <c r="Y58"/>
  <c r="Z58"/>
  <c r="AA58"/>
  <c r="AB58"/>
  <c r="AC58"/>
  <c r="AD58"/>
  <c r="AE58"/>
  <c r="AF58"/>
  <c r="AG58"/>
  <c r="AH58"/>
  <c r="AI58"/>
  <c r="AJ58"/>
  <c r="AK58"/>
  <c r="AL58"/>
  <c r="AM58"/>
  <c r="AN58"/>
  <c r="AO58"/>
  <c r="AP58"/>
  <c r="AQ58"/>
  <c r="AR58"/>
  <c r="AS58"/>
  <c r="AT58"/>
  <c r="AU58"/>
  <c r="AV58"/>
  <c r="AW58"/>
  <c r="AX58"/>
  <c r="S51"/>
  <c r="T51"/>
  <c r="U51"/>
  <c r="V51"/>
  <c r="W51"/>
  <c r="X51"/>
  <c r="Y51"/>
  <c r="Z51"/>
  <c r="AA51"/>
  <c r="AB51"/>
  <c r="AC51"/>
  <c r="AD51"/>
  <c r="AE51"/>
  <c r="AF51"/>
  <c r="AG51"/>
  <c r="AH51"/>
  <c r="AI51"/>
  <c r="AJ51"/>
  <c r="AK51"/>
  <c r="AL51"/>
  <c r="AM51"/>
  <c r="AN51"/>
  <c r="AO51"/>
  <c r="AP51"/>
  <c r="AQ51"/>
  <c r="AR51"/>
  <c r="AS51"/>
  <c r="AT51"/>
  <c r="AU51"/>
  <c r="AV51"/>
  <c r="AW51"/>
  <c r="AX51"/>
  <c r="S44"/>
  <c r="T44"/>
  <c r="U44"/>
  <c r="V44"/>
  <c r="W44"/>
  <c r="X44"/>
  <c r="Y44"/>
  <c r="Z44"/>
  <c r="AA44"/>
  <c r="AB44"/>
  <c r="AC44"/>
  <c r="AD44"/>
  <c r="AE44"/>
  <c r="AF44"/>
  <c r="AG44"/>
  <c r="AH44"/>
  <c r="AI44"/>
  <c r="AJ44"/>
  <c r="AK44"/>
  <c r="AL44"/>
  <c r="AM44"/>
  <c r="AN44"/>
  <c r="AO44"/>
  <c r="AP44"/>
  <c r="AQ44"/>
  <c r="AR44"/>
  <c r="AS44"/>
  <c r="AT44"/>
  <c r="AU44"/>
  <c r="AV44"/>
  <c r="AW44"/>
  <c r="AX44"/>
  <c r="S37"/>
  <c r="S8"/>
  <c r="T37"/>
  <c r="U37"/>
  <c r="V37"/>
  <c r="W37"/>
  <c r="X37"/>
  <c r="Y37"/>
  <c r="Z37"/>
  <c r="AA37"/>
  <c r="AB37"/>
  <c r="AC37"/>
  <c r="AD37"/>
  <c r="AE37"/>
  <c r="AF37"/>
  <c r="AG37"/>
  <c r="AH37"/>
  <c r="AI37"/>
  <c r="AJ37"/>
  <c r="AK37"/>
  <c r="AL37"/>
  <c r="AM37"/>
  <c r="AN37"/>
  <c r="AO37"/>
  <c r="AP37"/>
  <c r="AQ37"/>
  <c r="AR37"/>
  <c r="AS37"/>
  <c r="AT37"/>
  <c r="AU37"/>
  <c r="AV37"/>
  <c r="AW37"/>
  <c r="AX37"/>
  <c r="Y31"/>
  <c r="Z31"/>
  <c r="AA31"/>
  <c r="AB31"/>
  <c r="AC31"/>
  <c r="AD31"/>
  <c r="AE31"/>
  <c r="AF31"/>
  <c r="AG31"/>
  <c r="AH31"/>
  <c r="AI31"/>
  <c r="AJ31"/>
  <c r="AK31"/>
  <c r="AL31"/>
  <c r="AM31"/>
  <c r="AN31"/>
  <c r="AO31"/>
  <c r="AP31"/>
  <c r="AQ31"/>
  <c r="AR31"/>
  <c r="AS31"/>
  <c r="AT31"/>
  <c r="AU31"/>
  <c r="AV31"/>
  <c r="AW31"/>
  <c r="AX31"/>
  <c r="S31"/>
  <c r="T31"/>
  <c r="U31"/>
  <c r="V31"/>
  <c r="W31"/>
  <c r="X31"/>
  <c r="U18"/>
  <c r="V18"/>
  <c r="W18"/>
  <c r="X18"/>
  <c r="Y18"/>
  <c r="Z18"/>
  <c r="AA18"/>
  <c r="AB18"/>
  <c r="AB8"/>
  <c r="AC18"/>
  <c r="AD18"/>
  <c r="AE18"/>
  <c r="AF18"/>
  <c r="AG18"/>
  <c r="AH18"/>
  <c r="AI18"/>
  <c r="AJ18"/>
  <c r="AK18"/>
  <c r="AL18"/>
  <c r="AM18"/>
  <c r="AN18"/>
  <c r="AO18"/>
  <c r="AP18"/>
  <c r="AQ18"/>
  <c r="AR18"/>
  <c r="AS18"/>
  <c r="AT18"/>
  <c r="AU18"/>
  <c r="AV18"/>
  <c r="AW18"/>
  <c r="AX18"/>
  <c r="S10"/>
  <c r="T10"/>
  <c r="U10"/>
  <c r="U8"/>
  <c r="V10"/>
  <c r="V8"/>
  <c r="W10"/>
  <c r="W8"/>
  <c r="X10"/>
  <c r="X8"/>
  <c r="Y10"/>
  <c r="Y8"/>
  <c r="Z10"/>
  <c r="Z8"/>
  <c r="AA10"/>
  <c r="AB10"/>
  <c r="AC10"/>
  <c r="AD10"/>
  <c r="AD8"/>
  <c r="AE10"/>
  <c r="AF10"/>
  <c r="AF8"/>
  <c r="AG10"/>
  <c r="AH10"/>
  <c r="AH8"/>
  <c r="AI10"/>
  <c r="AJ10"/>
  <c r="AJ8"/>
  <c r="AK10"/>
  <c r="AL10"/>
  <c r="AL8"/>
  <c r="AM10"/>
  <c r="AN10"/>
  <c r="AN8"/>
  <c r="AO10"/>
  <c r="AP10"/>
  <c r="AP8"/>
  <c r="AQ10"/>
  <c r="AQ8"/>
  <c r="AR10"/>
  <c r="AR8"/>
  <c r="AS10"/>
  <c r="AT10"/>
  <c r="AU10"/>
  <c r="AV10"/>
  <c r="AV8"/>
  <c r="AW10"/>
  <c r="AX10"/>
  <c r="R102"/>
  <c r="Q102"/>
  <c r="P102"/>
  <c r="O102"/>
  <c r="N102"/>
  <c r="M102"/>
  <c r="L102"/>
  <c r="K102"/>
  <c r="J102"/>
  <c r="I102"/>
  <c r="H102"/>
  <c r="G102"/>
  <c r="F102"/>
  <c r="E102"/>
  <c r="D102"/>
  <c r="C102"/>
  <c r="R87"/>
  <c r="Q87"/>
  <c r="P87"/>
  <c r="O87"/>
  <c r="N87"/>
  <c r="M87"/>
  <c r="L87"/>
  <c r="K87"/>
  <c r="J87"/>
  <c r="I87"/>
  <c r="H87"/>
  <c r="G87"/>
  <c r="F87"/>
  <c r="E87"/>
  <c r="D87"/>
  <c r="C87"/>
  <c r="R80"/>
  <c r="Q80"/>
  <c r="P80"/>
  <c r="O80"/>
  <c r="N80"/>
  <c r="M80"/>
  <c r="L80"/>
  <c r="K80"/>
  <c r="J80"/>
  <c r="I80"/>
  <c r="H80"/>
  <c r="G80"/>
  <c r="F80"/>
  <c r="E80"/>
  <c r="D80"/>
  <c r="C80"/>
  <c r="R70"/>
  <c r="Q70"/>
  <c r="P70"/>
  <c r="O70"/>
  <c r="N70"/>
  <c r="M70"/>
  <c r="L70"/>
  <c r="K70"/>
  <c r="J70"/>
  <c r="I70"/>
  <c r="H70"/>
  <c r="G70"/>
  <c r="F70"/>
  <c r="E70"/>
  <c r="D70"/>
  <c r="C70"/>
  <c r="B70"/>
  <c r="R63"/>
  <c r="Q63"/>
  <c r="P63"/>
  <c r="O63"/>
  <c r="N63"/>
  <c r="M63"/>
  <c r="L63"/>
  <c r="K63"/>
  <c r="J63"/>
  <c r="I63"/>
  <c r="H63"/>
  <c r="G63"/>
  <c r="F63"/>
  <c r="E63"/>
  <c r="D63"/>
  <c r="C63"/>
  <c r="B63"/>
  <c r="R58"/>
  <c r="Q58"/>
  <c r="P58"/>
  <c r="O58"/>
  <c r="N58"/>
  <c r="M58"/>
  <c r="L58"/>
  <c r="K58"/>
  <c r="J58"/>
  <c r="I58"/>
  <c r="H58"/>
  <c r="G58"/>
  <c r="F58"/>
  <c r="E58"/>
  <c r="D58"/>
  <c r="C58"/>
  <c r="B58"/>
  <c r="R51"/>
  <c r="Q51"/>
  <c r="P51"/>
  <c r="O51"/>
  <c r="N51"/>
  <c r="M51"/>
  <c r="L51"/>
  <c r="K51"/>
  <c r="J51"/>
  <c r="I51"/>
  <c r="H51"/>
  <c r="G51"/>
  <c r="F51"/>
  <c r="E51"/>
  <c r="D51"/>
  <c r="C51"/>
  <c r="R44"/>
  <c r="Q44"/>
  <c r="P44"/>
  <c r="O44"/>
  <c r="N44"/>
  <c r="M44"/>
  <c r="L44"/>
  <c r="K44"/>
  <c r="J44"/>
  <c r="I44"/>
  <c r="H44"/>
  <c r="G44"/>
  <c r="F44"/>
  <c r="E44"/>
  <c r="D44"/>
  <c r="C44"/>
  <c r="B44"/>
  <c r="R37"/>
  <c r="Q37"/>
  <c r="P37"/>
  <c r="O37"/>
  <c r="N37"/>
  <c r="M37"/>
  <c r="L37"/>
  <c r="K37"/>
  <c r="J37"/>
  <c r="I37"/>
  <c r="H37"/>
  <c r="G37"/>
  <c r="F37"/>
  <c r="E37"/>
  <c r="D37"/>
  <c r="C37"/>
  <c r="B37"/>
  <c r="R31"/>
  <c r="Q31"/>
  <c r="P31"/>
  <c r="O31"/>
  <c r="N31"/>
  <c r="M31"/>
  <c r="L31"/>
  <c r="K31"/>
  <c r="J31"/>
  <c r="I31"/>
  <c r="H31"/>
  <c r="G31"/>
  <c r="F31"/>
  <c r="E31"/>
  <c r="D31"/>
  <c r="C31"/>
  <c r="R18"/>
  <c r="Q18"/>
  <c r="P18"/>
  <c r="O18"/>
  <c r="N18"/>
  <c r="M18"/>
  <c r="L18"/>
  <c r="K18"/>
  <c r="J18"/>
  <c r="I18"/>
  <c r="H18"/>
  <c r="G18"/>
  <c r="F18"/>
  <c r="E18"/>
  <c r="D18"/>
  <c r="C18"/>
  <c r="R10"/>
  <c r="Q10"/>
  <c r="P10"/>
  <c r="O10"/>
  <c r="N10"/>
  <c r="M10"/>
  <c r="L10"/>
  <c r="K10"/>
  <c r="J10"/>
  <c r="I10"/>
  <c r="H10"/>
  <c r="H8"/>
  <c r="G10"/>
  <c r="F10"/>
  <c r="E10"/>
  <c r="D10"/>
  <c r="D8"/>
  <c r="C10"/>
  <c r="B10"/>
  <c r="B18"/>
  <c r="B51"/>
  <c r="AA8"/>
  <c r="AT8"/>
  <c r="B31"/>
  <c r="AU8"/>
  <c r="AS8"/>
  <c r="AX80"/>
  <c r="AO8"/>
  <c r="AM8"/>
  <c r="AK8"/>
  <c r="AI8"/>
  <c r="AG8"/>
  <c r="AE8"/>
  <c r="AC8"/>
  <c r="AW87"/>
  <c r="B87"/>
  <c r="AX8"/>
  <c r="T8"/>
  <c r="AW102"/>
  <c r="B102"/>
  <c r="AW80"/>
  <c r="C8"/>
  <c r="E8"/>
  <c r="G8"/>
  <c r="I8"/>
  <c r="K8"/>
  <c r="M8"/>
  <c r="O8"/>
  <c r="Q8"/>
  <c r="F8"/>
  <c r="J8"/>
  <c r="L8"/>
  <c r="N8"/>
  <c r="P8"/>
  <c r="R8"/>
  <c r="AW8"/>
  <c r="B80"/>
</calcChain>
</file>

<file path=xl/sharedStrings.xml><?xml version="1.0" encoding="utf-8"?>
<sst xmlns="http://schemas.openxmlformats.org/spreadsheetml/2006/main" count="999" uniqueCount="313">
  <si>
    <t>Εκτάσεις σε στρέμματα, παραγωγή σε τόνους</t>
  </si>
  <si>
    <t>Areas in stremmas, production in tons</t>
  </si>
  <si>
    <t xml:space="preserve">Περιφέρειες και Περιφερειακές Ενότητες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</si>
  <si>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</si>
  <si>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</si>
  <si>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</si>
  <si>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</si>
  <si>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</si>
  <si>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</si>
  <si>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</si>
  <si>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</si>
  <si>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</si>
  <si>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</si>
  <si>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</si>
  <si>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</si>
  <si>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</si>
  <si>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</si>
  <si>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</si>
  <si>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</si>
  <si>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</si>
  <si>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</si>
  <si>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</si>
  <si>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</si>
  <si>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</si>
  <si>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</si>
  <si>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</si>
  <si>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</si>
  <si>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</si>
  <si>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</si>
  <si>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</si>
  <si>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</si>
  <si>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</si>
  <si>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</si>
  <si>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</si>
  <si>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</si>
  <si>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</si>
  <si>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</si>
  <si>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</si>
  <si>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</si>
  <si>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</si>
  <si>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</si>
  <si>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</si>
  <si>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</si>
  <si>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</si>
  <si>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</si>
  <si>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</si>
  <si>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</si>
  <si>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</si>
  <si>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</si>
  <si>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</si>
  <si>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</si>
  <si>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</si>
  <si>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</si>
  <si>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</si>
  <si>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</si>
  <si>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</si>
  <si>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</si>
  <si>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</si>
  <si>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</si>
  <si>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</si>
  <si>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</si>
  <si>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</si>
  <si>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</si>
  <si>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</si>
  <si>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</si>
  <si>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</si>
  <si>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</si>
  <si>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</si>
  <si>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</si>
  <si>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</si>
  <si>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</si>
  <si>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</si>
  <si>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</si>
  <si>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</si>
  <si>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</si>
  <si>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</si>
  <si>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</si>
  <si>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</si>
  <si>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</si>
  <si>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</si>
  <si>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</si>
  <si>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</si>
  <si>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</si>
  <si>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</si>
  <si>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</si>
  <si>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</si>
  <si>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</si>
  <si>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</si>
  <si>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</si>
  <si>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</si>
  <si>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</si>
  <si>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</si>
  <si>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</si>
  <si>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</si>
  <si>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</si>
  <si>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</si>
  <si>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</si>
  <si>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</si>
  <si>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</si>
  <si>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</si>
  <si>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</si>
  <si>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</si>
  <si>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</si>
  <si>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</si>
  <si>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</si>
  <si>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Τομάτες - Tomatoes</t>
  </si>
  <si>
    <t>Βιομηχανικές      Industrial</t>
  </si>
  <si>
    <t>Επιτραπέζιες - Table</t>
  </si>
  <si>
    <t>θερμοκηπίου           grown in greenhouses</t>
  </si>
  <si>
    <t>Φασολάκια            Beans, green</t>
  </si>
  <si>
    <t>Λάχανα           Cabbages</t>
  </si>
  <si>
    <t>Κουνουπίδια Cauliflowers</t>
  </si>
  <si>
    <t>Κολοκυθάκια        Squashes</t>
  </si>
  <si>
    <t>Κρεμμύδια, ξερά        Onions, dry</t>
  </si>
  <si>
    <t>Σύνολο Εκτάσεων Total Area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</si>
  <si>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</si>
  <si>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</si>
  <si>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</si>
  <si>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</si>
  <si>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</si>
  <si>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</si>
  <si>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</si>
  <si>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</si>
  <si>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</si>
  <si>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</si>
  <si>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</si>
  <si>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</si>
  <si>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</si>
  <si>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</si>
  <si>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</si>
  <si>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</si>
  <si>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</si>
  <si>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</si>
  <si>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</si>
  <si>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</si>
  <si>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</si>
  <si>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</si>
  <si>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</si>
  <si>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</si>
  <si>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</si>
  <si>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</si>
  <si>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</si>
  <si>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</si>
  <si>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</si>
  <si>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</si>
  <si>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</si>
  <si>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</si>
  <si>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</si>
  <si>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</si>
  <si>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</si>
  <si>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</si>
  <si>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</si>
  <si>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</si>
  <si>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</si>
  <si>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</si>
  <si>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</si>
  <si>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</si>
  <si>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</si>
  <si>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</si>
  <si>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</si>
  <si>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</si>
  <si>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</si>
  <si>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</si>
  <si>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</si>
  <si>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</si>
  <si>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</si>
  <si>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</si>
  <si>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</si>
  <si>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</si>
  <si>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</si>
  <si>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</si>
  <si>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</si>
  <si>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</si>
  <si>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</si>
  <si>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</si>
  <si>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</si>
  <si>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</si>
  <si>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</si>
  <si>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</si>
  <si>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</si>
  <si>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</si>
  <si>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υπαίθρου                        grown in the open</t>
  </si>
  <si>
    <t xml:space="preserve">Σκόρδα, ξερά              Onions,dry   </t>
  </si>
  <si>
    <t>Ραδίκια και αντίδια         Chicories and endives</t>
  </si>
  <si>
    <t>Μπάμιες - Okras</t>
  </si>
  <si>
    <t>ποτιστικές                   irrigated</t>
  </si>
  <si>
    <t>Μαρούλια                       Lettuce</t>
  </si>
  <si>
    <t>Αγγούρια υπαίθρου Cucumbers, grown in the open</t>
  </si>
  <si>
    <t>Αγγούρια θερμοκηπίου Cucumbers, grown in greenhouses</t>
  </si>
  <si>
    <t>Μελιτζάνες υπαίθρου Eggplants grown in the open</t>
  </si>
  <si>
    <t>Μελιτζάνες θερμοκηπίου Eggplants grown in greenhouses</t>
  </si>
  <si>
    <t>Φράουλες            Strawberries</t>
  </si>
  <si>
    <t>Αγκινάρες                 Artichokes</t>
  </si>
  <si>
    <t>Σπανάκι                        Spinach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</si>
  <si>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</si>
  <si>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</si>
  <si>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</si>
  <si>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</si>
  <si>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</si>
  <si>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</si>
  <si>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</si>
  <si>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</si>
  <si>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Αρακάς                              Peas</t>
  </si>
  <si>
    <t>ξερικές                                  non - irrigated</t>
  </si>
  <si>
    <t>Πράσα                              Leeks</t>
  </si>
  <si>
    <t>Σπαράγγια               Asparagus</t>
  </si>
  <si>
    <t>Λοιπά λαχανικά                Other</t>
  </si>
  <si>
    <t>3. Λαχανικά και κηπευτική γη</t>
  </si>
  <si>
    <t>3. Vegetables and garden area</t>
  </si>
  <si>
    <r>
      <rPr>
        <b/>
        <sz val="8"/>
        <rFont val="Arial"/>
        <family val="2"/>
        <charset val="161"/>
      </rPr>
      <t>Πίνακας 3α.</t>
    </r>
    <r>
      <rPr>
        <sz val="8"/>
        <rFont val="Arial"/>
        <family val="2"/>
        <charset val="161"/>
      </rPr>
      <t xml:space="preserve"> Συνέχεια</t>
    </r>
  </si>
  <si>
    <r>
      <rPr>
        <b/>
        <sz val="8"/>
        <rFont val="Arial"/>
        <family val="2"/>
        <charset val="161"/>
      </rPr>
      <t>Table 3a</t>
    </r>
    <r>
      <rPr>
        <sz val="8"/>
        <rFont val="Arial"/>
        <family val="2"/>
        <charset val="161"/>
      </rPr>
      <t>. Continued</t>
    </r>
  </si>
  <si>
    <t>01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</si>
  <si>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</si>
  <si>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</si>
  <si>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</si>
  <si>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</si>
  <si>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</si>
  <si>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</si>
  <si>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</si>
  <si>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</si>
  <si>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</si>
  <si>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</si>
  <si>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</si>
  <si>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</si>
  <si>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</si>
  <si>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</si>
  <si>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</si>
  <si>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</si>
  <si>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</si>
  <si>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</si>
  <si>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</si>
  <si>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</si>
  <si>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</si>
  <si>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</si>
  <si>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</si>
  <si>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</si>
  <si>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</si>
  <si>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</si>
  <si>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</si>
  <si>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</si>
  <si>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</si>
  <si>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</si>
  <si>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</si>
  <si>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</si>
  <si>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</si>
  <si>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</si>
  <si>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</si>
  <si>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</si>
  <si>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</si>
  <si>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</si>
  <si>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</si>
  <si>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</si>
  <si>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</si>
  <si>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</si>
  <si>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</si>
  <si>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</si>
  <si>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</si>
  <si>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</si>
  <si>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</si>
  <si>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</si>
  <si>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</si>
  <si>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</si>
  <si>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</si>
  <si>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</si>
  <si>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</si>
  <si>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</si>
  <si>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</si>
  <si>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</si>
  <si>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</si>
  <si>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</si>
  <si>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</si>
  <si>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</si>
  <si>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</si>
  <si>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</si>
  <si>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</si>
  <si>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</si>
  <si>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</si>
  <si>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</si>
  <si>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</si>
  <si>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</si>
  <si>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</si>
  <si>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</si>
  <si>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</si>
  <si>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</si>
  <si>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</si>
  <si>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</si>
  <si>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</si>
  <si>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</si>
  <si>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</si>
  <si>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</si>
  <si>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</si>
  <si>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</si>
  <si>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</si>
  <si>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</si>
  <si>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</si>
  <si>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</si>
  <si>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</si>
  <si>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</si>
  <si>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</si>
  <si>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</si>
  <si>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</si>
  <si>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</si>
  <si>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</si>
  <si>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</si>
  <si>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</si>
  <si>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</si>
  <si>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</si>
  <si>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</si>
  <si>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</si>
  <si>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1=Areas 2=production</t>
  </si>
  <si>
    <t>3α. Λαχανικά. Εκτάσεις και παραωγή κατά Περιφέρεια και Περιφερειακή Ενότητα: 2012</t>
  </si>
  <si>
    <t>—</t>
  </si>
  <si>
    <t>Table 3a. Vegetables. Areas and production by Region and Regional Unity: 2012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</si>
</sst>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b/>
      <sz val="11"/>
      <color theme="1"/>
      <name val="Arial"/>
      <family val="2"/>
      <charset val="161"/>
    </font>
  </fonts>
  <fills count="12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8">
    <xf numFmtId="0" fontId="0" fillId="0" borderId="0" xfId="0"/>
    <xf numFmtId="49" fontId="14" fillId="0" borderId="0" xfId="0" applyNumberFormat="1" applyFont="1" applyBorder="1" applyAlignment="1" applyProtection="1">
      <alignment horizontal="left" vertical="center" wrapText="1" indent="2"/>
      <protection locked="0"/>
    </xf>
    <xf numFmtId="49" fontId="6" fillId="2" borderId="1" xfId="0" applyNumberFormat="1" applyFont="1" applyFill="1" applyBorder="1"/>
    <xf numFmtId="49" fontId="6" fillId="2" borderId="2" xfId="0" applyNumberFormat="1" applyFont="1" applyFill="1" applyBorder="1" applyAlignment="1">
      <alignment horizontal="left"/>
    </xf>
    <xf numFmtId="0" fontId="7" fillId="2" borderId="2" xfId="0" applyNumberFormat="1" applyFont="1" applyFill="1" applyBorder="1" applyAlignment="1" applyProtection="1"/>
    <xf numFmtId="49" fontId="8" fillId="2" borderId="0" xfId="0" applyNumberFormat="1" applyFont="1" applyFill="1" applyBorder="1" applyAlignment="1">
      <alignment horizontal="centerContinuous" vertical="center" wrapText="1"/>
    </xf>
    <xf numFmtId="49" fontId="8" fillId="2" borderId="2" xfId="0" applyNumberFormat="1" applyFont="1" applyFill="1" applyBorder="1" applyAlignment="1">
      <alignment vertical="center" textRotation="90"/>
    </xf>
    <xf numFmtId="0" fontId="7" fillId="2" borderId="3" xfId="0" applyNumberFormat="1" applyFont="1" applyFill="1" applyBorder="1" applyAlignment="1" applyProtection="1"/>
    <xf numFmtId="49" fontId="6" fillId="2" borderId="4" xfId="0" applyNumberFormat="1" applyFont="1" applyFill="1" applyBorder="1"/>
    <xf numFmtId="49" fontId="6" fillId="2" borderId="0" xfId="0" applyNumberFormat="1" applyFont="1" applyFill="1" applyBorder="1" applyAlignment="1">
      <alignment horizontal="left"/>
    </xf>
    <xf numFmtId="0" fontId="7" fillId="2" borderId="0" xfId="0" applyNumberFormat="1" applyFont="1" applyFill="1" applyBorder="1" applyAlignment="1" applyProtection="1"/>
    <xf numFmtId="49" fontId="8" fillId="2" borderId="0" xfId="0" applyNumberFormat="1" applyFont="1" applyFill="1" applyBorder="1" applyAlignment="1">
      <alignment vertical="center" textRotation="90"/>
    </xf>
    <xf numFmtId="0" fontId="7" fillId="2" borderId="5" xfId="0" applyNumberFormat="1" applyFont="1" applyFill="1" applyBorder="1" applyAlignment="1" applyProtection="1"/>
    <xf numFmtId="0" fontId="10" fillId="2" borderId="0" xfId="0" applyNumberFormat="1" applyFont="1" applyFill="1" applyBorder="1" applyAlignment="1" applyProtection="1"/>
    <xf numFmtId="49" fontId="6" fillId="6" borderId="4" xfId="0" applyNumberFormat="1" applyFont="1" applyFill="1" applyBorder="1"/>
    <xf numFmtId="49" fontId="6" fillId="6" borderId="0" xfId="0" applyNumberFormat="1" applyFont="1" applyFill="1" applyBorder="1" applyAlignment="1">
      <alignment horizontal="left"/>
    </xf>
    <xf numFmtId="0" fontId="7" fillId="6" borderId="0" xfId="0" applyNumberFormat="1" applyFont="1" applyFill="1" applyBorder="1" applyAlignment="1" applyProtection="1"/>
    <xf numFmtId="49" fontId="8" fillId="6" borderId="0" xfId="0" applyNumberFormat="1" applyFont="1" applyFill="1" applyBorder="1"/>
    <xf numFmtId="49" fontId="8" fillId="6" borderId="0" xfId="0" applyNumberFormat="1" applyFont="1" applyFill="1" applyBorder="1" applyAlignment="1">
      <alignment vertical="center" textRotation="90"/>
    </xf>
    <xf numFmtId="0" fontId="7" fillId="6" borderId="5" xfId="0" applyNumberFormat="1" applyFont="1" applyFill="1" applyBorder="1" applyAlignment="1" applyProtection="1"/>
    <xf numFmtId="49" fontId="6" fillId="6" borderId="0" xfId="0" applyNumberFormat="1" applyFont="1" applyFill="1" applyBorder="1"/>
    <xf numFmtId="49" fontId="8" fillId="6" borderId="0" xfId="0" applyNumberFormat="1" applyFont="1" applyFill="1" applyBorder="1" applyAlignment="1">
      <alignment horizontal="left"/>
    </xf>
    <xf numFmtId="49" fontId="9" fillId="6" borderId="0" xfId="0" applyNumberFormat="1" applyFont="1" applyFill="1" applyBorder="1"/>
    <xf numFmtId="49" fontId="6" fillId="3" borderId="4" xfId="0" applyNumberFormat="1" applyFont="1" applyFill="1" applyBorder="1"/>
    <xf numFmtId="49" fontId="6" fillId="3" borderId="0" xfId="0" applyNumberFormat="1" applyFont="1" applyFill="1" applyBorder="1"/>
    <xf numFmtId="0" fontId="7" fillId="3" borderId="0" xfId="0" applyNumberFormat="1" applyFont="1" applyFill="1" applyBorder="1" applyAlignment="1" applyProtection="1"/>
    <xf numFmtId="49" fontId="8" fillId="3" borderId="0" xfId="0" applyNumberFormat="1" applyFont="1" applyFill="1" applyBorder="1"/>
    <xf numFmtId="49" fontId="8" fillId="7" borderId="0" xfId="0" applyNumberFormat="1" applyFont="1" applyFill="1" applyBorder="1" applyAlignment="1">
      <alignment vertical="center" textRotation="90"/>
    </xf>
    <xf numFmtId="0" fontId="7" fillId="3" borderId="5" xfId="0" applyNumberFormat="1" applyFont="1" applyFill="1" applyBorder="1" applyAlignment="1" applyProtection="1"/>
    <xf numFmtId="49" fontId="9" fillId="3" borderId="0" xfId="0" applyNumberFormat="1" applyFont="1" applyFill="1" applyBorder="1"/>
    <xf numFmtId="49" fontId="6" fillId="3" borderId="6" xfId="0" applyNumberFormat="1" applyFont="1" applyFill="1" applyBorder="1"/>
    <xf numFmtId="49" fontId="6" fillId="3" borderId="7" xfId="0" applyNumberFormat="1" applyFont="1" applyFill="1" applyBorder="1"/>
    <xf numFmtId="0" fontId="7" fillId="3" borderId="7" xfId="0" applyNumberFormat="1" applyFont="1" applyFill="1" applyBorder="1" applyAlignment="1" applyProtection="1"/>
    <xf numFmtId="49" fontId="8" fillId="7" borderId="7" xfId="0" applyNumberFormat="1" applyFont="1" applyFill="1" applyBorder="1" applyAlignment="1">
      <alignment vertical="center" textRotation="90"/>
    </xf>
    <xf numFmtId="0" fontId="7" fillId="3" borderId="8" xfId="0" applyNumberFormat="1" applyFont="1" applyFill="1" applyBorder="1" applyAlignment="1" applyProtection="1"/>
    <xf numFmtId="49" fontId="6" fillId="8" borderId="1" xfId="0" applyNumberFormat="1" applyFont="1" applyFill="1" applyBorder="1"/>
    <xf numFmtId="49" fontId="6" fillId="8" borderId="2" xfId="0" applyNumberFormat="1" applyFont="1" applyFill="1" applyBorder="1"/>
    <xf numFmtId="0" fontId="7" fillId="8" borderId="2" xfId="0" applyNumberFormat="1" applyFont="1" applyFill="1" applyBorder="1" applyAlignment="1" applyProtection="1"/>
    <xf numFmtId="49" fontId="8" fillId="8" borderId="2" xfId="0" applyNumberFormat="1" applyFont="1" applyFill="1" applyBorder="1"/>
    <xf numFmtId="49" fontId="8" fillId="8" borderId="2" xfId="0" applyNumberFormat="1" applyFont="1" applyFill="1" applyBorder="1" applyAlignment="1">
      <alignment vertical="center" textRotation="90"/>
    </xf>
    <xf numFmtId="0" fontId="7" fillId="8" borderId="3" xfId="0" applyNumberFormat="1" applyFont="1" applyFill="1" applyBorder="1" applyAlignment="1" applyProtection="1"/>
    <xf numFmtId="49" fontId="6" fillId="8" borderId="4" xfId="0" applyNumberFormat="1" applyFont="1" applyFill="1" applyBorder="1"/>
    <xf numFmtId="49" fontId="6" fillId="8" borderId="0" xfId="0" applyNumberFormat="1" applyFont="1" applyFill="1" applyBorder="1"/>
    <xf numFmtId="0" fontId="7" fillId="8" borderId="0" xfId="0" applyNumberFormat="1" applyFont="1" applyFill="1" applyBorder="1" applyAlignment="1" applyProtection="1"/>
    <xf numFmtId="49" fontId="8" fillId="8" borderId="0" xfId="0" applyNumberFormat="1" applyFont="1" applyFill="1" applyBorder="1" applyAlignment="1">
      <alignment vertical="center" textRotation="90"/>
    </xf>
    <xf numFmtId="0" fontId="7" fillId="8" borderId="5" xfId="0" applyNumberFormat="1" applyFont="1" applyFill="1" applyBorder="1" applyAlignment="1" applyProtection="1"/>
    <xf numFmtId="49" fontId="9" fillId="8" borderId="0" xfId="0" applyNumberFormat="1" applyFont="1" applyFill="1" applyBorder="1"/>
    <xf numFmtId="49" fontId="6" fillId="4" borderId="4" xfId="0" applyNumberFormat="1" applyFont="1" applyFill="1" applyBorder="1"/>
    <xf numFmtId="49" fontId="6" fillId="4" borderId="0" xfId="0" applyNumberFormat="1" applyFont="1" applyFill="1" applyBorder="1"/>
    <xf numFmtId="0" fontId="7" fillId="4" borderId="0" xfId="0" applyNumberFormat="1" applyFont="1" applyFill="1" applyBorder="1" applyAlignment="1" applyProtection="1"/>
    <xf numFmtId="49" fontId="8" fillId="4" borderId="0" xfId="0" applyNumberFormat="1" applyFont="1" applyFill="1" applyBorder="1"/>
    <xf numFmtId="49" fontId="8" fillId="4" borderId="0" xfId="0" applyNumberFormat="1" applyFont="1" applyFill="1" applyBorder="1" applyAlignment="1">
      <alignment vertical="center" textRotation="90"/>
    </xf>
    <xf numFmtId="0" fontId="7" fillId="4" borderId="5" xfId="0" applyNumberFormat="1" applyFont="1" applyFill="1" applyBorder="1" applyAlignment="1" applyProtection="1"/>
    <xf numFmtId="49" fontId="9" fillId="4" borderId="0" xfId="0" applyNumberFormat="1" applyFont="1" applyFill="1" applyBorder="1"/>
    <xf numFmtId="49" fontId="6" fillId="4" borderId="6" xfId="0" applyNumberFormat="1" applyFont="1" applyFill="1" applyBorder="1"/>
    <xf numFmtId="49" fontId="6" fillId="4" borderId="7" xfId="0" applyNumberFormat="1" applyFont="1" applyFill="1" applyBorder="1"/>
    <xf numFmtId="0" fontId="7" fillId="4" borderId="7" xfId="0" applyNumberFormat="1" applyFont="1" applyFill="1" applyBorder="1" applyAlignment="1" applyProtection="1"/>
    <xf numFmtId="49" fontId="8" fillId="4" borderId="7" xfId="0" applyNumberFormat="1" applyFont="1" applyFill="1" applyBorder="1" applyAlignment="1">
      <alignment vertical="center" textRotation="90"/>
    </xf>
    <xf numFmtId="0" fontId="7" fillId="4" borderId="8" xfId="0" applyNumberFormat="1" applyFont="1" applyFill="1" applyBorder="1" applyAlignment="1" applyProtection="1"/>
    <xf numFmtId="49" fontId="6" fillId="5" borderId="1" xfId="0" applyNumberFormat="1" applyFont="1" applyFill="1" applyBorder="1"/>
    <xf numFmtId="49" fontId="6" fillId="5" borderId="2" xfId="0" applyNumberFormat="1" applyFont="1" applyFill="1" applyBorder="1"/>
    <xf numFmtId="0" fontId="7" fillId="5" borderId="2" xfId="0" applyNumberFormat="1" applyFont="1" applyFill="1" applyBorder="1" applyAlignment="1" applyProtection="1"/>
    <xf numFmtId="49" fontId="8" fillId="5" borderId="2" xfId="0" applyNumberFormat="1" applyFont="1" applyFill="1" applyBorder="1"/>
    <xf numFmtId="0" fontId="10" fillId="5" borderId="2" xfId="0" applyNumberFormat="1" applyFont="1" applyFill="1" applyBorder="1" applyAlignment="1" applyProtection="1"/>
    <xf numFmtId="49" fontId="8" fillId="5" borderId="2" xfId="0" applyNumberFormat="1" applyFont="1" applyFill="1" applyBorder="1" applyAlignment="1">
      <alignment vertical="center" textRotation="90"/>
    </xf>
    <xf numFmtId="0" fontId="10" fillId="5" borderId="3" xfId="0" applyNumberFormat="1" applyFont="1" applyFill="1" applyBorder="1" applyAlignment="1" applyProtection="1"/>
    <xf numFmtId="49" fontId="6" fillId="5" borderId="4" xfId="0" applyNumberFormat="1" applyFont="1" applyFill="1" applyBorder="1"/>
    <xf numFmtId="49" fontId="6" fillId="5" borderId="0" xfId="0" applyNumberFormat="1" applyFont="1" applyFill="1" applyBorder="1"/>
    <xf numFmtId="0" fontId="7" fillId="5" borderId="0" xfId="0" applyNumberFormat="1" applyFont="1" applyFill="1" applyBorder="1" applyAlignment="1" applyProtection="1"/>
    <xf numFmtId="49" fontId="8" fillId="5" borderId="0" xfId="0" applyNumberFormat="1" applyFont="1" applyFill="1" applyBorder="1" applyAlignment="1">
      <alignment vertical="center" textRotation="90"/>
    </xf>
    <xf numFmtId="0" fontId="7" fillId="5" borderId="5" xfId="0" applyNumberFormat="1" applyFont="1" applyFill="1" applyBorder="1" applyAlignment="1" applyProtection="1"/>
    <xf numFmtId="49" fontId="9" fillId="5" borderId="0" xfId="0" applyNumberFormat="1" applyFont="1" applyFill="1" applyBorder="1"/>
    <xf numFmtId="49" fontId="6" fillId="9" borderId="4" xfId="0" applyNumberFormat="1" applyFont="1" applyFill="1" applyBorder="1"/>
    <xf numFmtId="49" fontId="6" fillId="9" borderId="0" xfId="0" applyNumberFormat="1" applyFont="1" applyFill="1" applyBorder="1"/>
    <xf numFmtId="0" fontId="7" fillId="9" borderId="0" xfId="0" applyNumberFormat="1" applyFont="1" applyFill="1" applyBorder="1" applyAlignment="1" applyProtection="1"/>
    <xf numFmtId="49" fontId="8" fillId="9" borderId="0" xfId="0" applyNumberFormat="1" applyFont="1" applyFill="1" applyBorder="1"/>
    <xf numFmtId="49" fontId="8" fillId="9" borderId="0" xfId="0" applyNumberFormat="1" applyFont="1" applyFill="1" applyBorder="1" applyAlignment="1">
      <alignment vertical="center" textRotation="90"/>
    </xf>
    <xf numFmtId="0" fontId="7" fillId="9" borderId="5" xfId="0" applyNumberFormat="1" applyFont="1" applyFill="1" applyBorder="1" applyAlignment="1" applyProtection="1"/>
    <xf numFmtId="49" fontId="9" fillId="9" borderId="0" xfId="0" applyNumberFormat="1" applyFont="1" applyFill="1" applyBorder="1"/>
    <xf numFmtId="49" fontId="6" fillId="10" borderId="4" xfId="0" applyNumberFormat="1" applyFont="1" applyFill="1" applyBorder="1"/>
    <xf numFmtId="49" fontId="6" fillId="10" borderId="0" xfId="0" applyNumberFormat="1" applyFont="1" applyFill="1" applyBorder="1"/>
    <xf numFmtId="0" fontId="7" fillId="10" borderId="0" xfId="0" applyNumberFormat="1" applyFont="1" applyFill="1" applyBorder="1" applyAlignment="1" applyProtection="1"/>
    <xf numFmtId="49" fontId="8" fillId="10" borderId="0" xfId="0" applyNumberFormat="1" applyFont="1" applyFill="1" applyBorder="1"/>
    <xf numFmtId="0" fontId="10" fillId="10" borderId="0" xfId="0" applyNumberFormat="1" applyFont="1" applyFill="1" applyBorder="1" applyAlignment="1" applyProtection="1"/>
    <xf numFmtId="49" fontId="8" fillId="10" borderId="0" xfId="0" applyNumberFormat="1" applyFont="1" applyFill="1" applyBorder="1" applyAlignment="1">
      <alignment vertical="center" textRotation="90"/>
    </xf>
    <xf numFmtId="0" fontId="7" fillId="10" borderId="5" xfId="0" applyNumberFormat="1" applyFont="1" applyFill="1" applyBorder="1" applyAlignment="1" applyProtection="1"/>
    <xf numFmtId="49" fontId="6" fillId="10" borderId="6" xfId="0" applyNumberFormat="1" applyFont="1" applyFill="1" applyBorder="1"/>
    <xf numFmtId="49" fontId="6" fillId="10" borderId="7" xfId="0" applyNumberFormat="1" applyFont="1" applyFill="1" applyBorder="1"/>
    <xf numFmtId="0" fontId="7" fillId="10" borderId="7" xfId="0" applyNumberFormat="1" applyFont="1" applyFill="1" applyBorder="1" applyAlignment="1" applyProtection="1"/>
    <xf numFmtId="49" fontId="8" fillId="10" borderId="7" xfId="0" applyNumberFormat="1" applyFont="1" applyFill="1" applyBorder="1" applyAlignment="1">
      <alignment vertical="center" textRotation="90"/>
    </xf>
    <xf numFmtId="0" fontId="7" fillId="10" borderId="8" xfId="0" applyNumberFormat="1" applyFont="1" applyFill="1" applyBorder="1" applyAlignment="1" applyProtection="1"/>
    <xf numFmtId="0" fontId="11" fillId="5" borderId="2" xfId="0" applyNumberFormat="1" applyFont="1" applyFill="1" applyBorder="1" applyAlignment="1" applyProtection="1"/>
    <xf numFmtId="0" fontId="7" fillId="5" borderId="3" xfId="0" applyNumberFormat="1" applyFont="1" applyFill="1" applyBorder="1" applyAlignment="1" applyProtection="1"/>
    <xf numFmtId="0" fontId="10" fillId="5" borderId="0" xfId="0" applyNumberFormat="1" applyFont="1" applyFill="1" applyBorder="1" applyAlignment="1" applyProtection="1"/>
    <xf numFmtId="49" fontId="6" fillId="5" borderId="6" xfId="0" applyNumberFormat="1" applyFont="1" applyFill="1" applyBorder="1"/>
    <xf numFmtId="49" fontId="6" fillId="5" borderId="7" xfId="0" applyNumberFormat="1" applyFont="1" applyFill="1" applyBorder="1"/>
    <xf numFmtId="0" fontId="7" fillId="5" borderId="7" xfId="0" applyNumberFormat="1" applyFont="1" applyFill="1" applyBorder="1" applyAlignment="1" applyProtection="1"/>
    <xf numFmtId="0" fontId="7" fillId="5" borderId="8" xfId="0" applyNumberFormat="1" applyFont="1" applyFill="1" applyBorder="1" applyAlignment="1" applyProtection="1"/>
    <xf numFmtId="49" fontId="6" fillId="2" borderId="2" xfId="0" applyNumberFormat="1" applyFont="1" applyFill="1" applyBorder="1"/>
    <xf numFmtId="49" fontId="8" fillId="2" borderId="2" xfId="0" applyNumberFormat="1" applyFont="1" applyFill="1" applyBorder="1"/>
    <xf numFmtId="49" fontId="6" fillId="2" borderId="0" xfId="0" applyNumberFormat="1" applyFont="1" applyFill="1" applyBorder="1"/>
    <xf numFmtId="49" fontId="9" fillId="2" borderId="0" xfId="0" applyNumberFormat="1" applyFont="1" applyFill="1" applyBorder="1"/>
    <xf numFmtId="49" fontId="6" fillId="6" borderId="1" xfId="0" applyNumberFormat="1" applyFont="1" applyFill="1" applyBorder="1"/>
    <xf numFmtId="49" fontId="12" fillId="6" borderId="0" xfId="0" applyNumberFormat="1" applyFont="1" applyFill="1" applyBorder="1"/>
    <xf numFmtId="0" fontId="7" fillId="6" borderId="2" xfId="0" applyNumberFormat="1" applyFont="1" applyFill="1" applyBorder="1" applyAlignment="1" applyProtection="1"/>
    <xf numFmtId="49" fontId="8" fillId="6" borderId="2" xfId="0" applyNumberFormat="1" applyFont="1" applyFill="1" applyBorder="1"/>
    <xf numFmtId="49" fontId="6" fillId="6" borderId="2" xfId="0" applyNumberFormat="1" applyFont="1" applyFill="1" applyBorder="1"/>
    <xf numFmtId="0" fontId="7" fillId="6" borderId="3" xfId="0" applyNumberFormat="1" applyFont="1" applyFill="1" applyBorder="1" applyAlignment="1" applyProtection="1"/>
    <xf numFmtId="49" fontId="6" fillId="6" borderId="6" xfId="0" applyNumberFormat="1" applyFont="1" applyFill="1" applyBorder="1"/>
    <xf numFmtId="0" fontId="7" fillId="6" borderId="7" xfId="0" applyNumberFormat="1" applyFont="1" applyFill="1" applyBorder="1" applyAlignment="1" applyProtection="1"/>
    <xf numFmtId="49" fontId="6" fillId="6" borderId="7" xfId="0" applyNumberFormat="1" applyFont="1" applyFill="1" applyBorder="1"/>
    <xf numFmtId="0" fontId="7" fillId="6" borderId="8" xfId="0" applyNumberFormat="1" applyFont="1" applyFill="1" applyBorder="1" applyAlignment="1" applyProtection="1"/>
    <xf numFmtId="49" fontId="6" fillId="2" borderId="9" xfId="0" applyNumberFormat="1" applyFont="1" applyFill="1" applyBorder="1"/>
    <xf numFmtId="49" fontId="12" fillId="11" borderId="10" xfId="0" applyNumberFormat="1" applyFont="1" applyFill="1" applyBorder="1"/>
    <xf numFmtId="0" fontId="7" fillId="2" borderId="11" xfId="0" applyNumberFormat="1" applyFont="1" applyFill="1" applyBorder="1" applyAlignment="1" applyProtection="1"/>
    <xf numFmtId="49" fontId="9" fillId="2" borderId="11" xfId="0" applyNumberFormat="1" applyFont="1" applyFill="1" applyBorder="1"/>
    <xf numFmtId="49" fontId="6" fillId="2" borderId="11" xfId="0" applyNumberFormat="1" applyFont="1" applyFill="1" applyBorder="1"/>
    <xf numFmtId="0" fontId="7" fillId="2" borderId="12" xfId="0" applyNumberFormat="1" applyFont="1" applyFill="1" applyBorder="1" applyAlignment="1" applyProtection="1"/>
    <xf numFmtId="0" fontId="7" fillId="6" borderId="0" xfId="0" applyNumberFormat="1" applyFont="1" applyFill="1" applyBorder="1" applyAlignment="1" applyProtection="1">
      <alignment horizontal="left"/>
    </xf>
    <xf numFmtId="49" fontId="13" fillId="6" borderId="0" xfId="0" applyNumberFormat="1" applyFont="1" applyFill="1" applyBorder="1" applyAlignment="1">
      <alignment horizontal="left"/>
    </xf>
    <xf numFmtId="3" fontId="2" fillId="0" borderId="13" xfId="0" applyNumberFormat="1" applyFont="1" applyFill="1" applyBorder="1" applyAlignment="1" applyProtection="1">
      <alignment horizontal="right" vertical="center" wrapText="1"/>
    </xf>
    <xf numFmtId="3" fontId="2" fillId="0" borderId="14" xfId="0" applyNumberFormat="1" applyFont="1" applyFill="1" applyBorder="1" applyAlignment="1" applyProtection="1">
      <alignment horizontal="right" vertical="center" wrapText="1"/>
    </xf>
    <xf numFmtId="0" fontId="2" fillId="0" borderId="0" xfId="0" applyNumberFormat="1" applyFont="1" applyFill="1" applyBorder="1" applyAlignment="1" applyProtection="1">
      <alignment vertical="center"/>
      <protection locked="0"/>
    </xf>
    <xf numFmtId="0" fontId="15" fillId="0" borderId="0" xfId="0" applyFont="1" applyBorder="1" applyAlignment="1" applyProtection="1">
      <alignment vertical="center"/>
      <protection locked="0"/>
    </xf>
    <xf numFmtId="0" fontId="15" fillId="0" borderId="0" xfId="0" applyFont="1" applyProtection="1">
      <protection locked="0"/>
    </xf>
    <xf numFmtId="0" fontId="2" fillId="0" borderId="7" xfId="0" applyNumberFormat="1" applyFont="1" applyFill="1" applyBorder="1" applyAlignment="1" applyProtection="1">
      <alignment horizontal="left"/>
      <protection locked="0"/>
    </xf>
    <xf numFmtId="0" fontId="15" fillId="0" borderId="7" xfId="0" applyFont="1" applyBorder="1" applyProtection="1">
      <protection locked="0"/>
    </xf>
    <xf numFmtId="0" fontId="2" fillId="0" borderId="7" xfId="0" applyNumberFormat="1" applyFont="1" applyFill="1" applyBorder="1" applyAlignment="1" applyProtection="1">
      <protection locked="0"/>
    </xf>
    <xf numFmtId="0" fontId="2" fillId="0" borderId="7" xfId="0" applyFont="1" applyFill="1" applyBorder="1" applyAlignment="1" applyProtection="1">
      <protection locked="0"/>
    </xf>
    <xf numFmtId="0" fontId="2" fillId="0" borderId="7" xfId="0" applyFont="1" applyFill="1" applyBorder="1" applyAlignment="1" applyProtection="1">
      <alignment horizontal="left"/>
      <protection locked="0"/>
    </xf>
    <xf numFmtId="0" fontId="2" fillId="0" borderId="0" xfId="0" applyNumberFormat="1" applyFont="1" applyFill="1" applyBorder="1" applyAlignment="1" applyProtection="1">
      <protection locked="0"/>
    </xf>
    <xf numFmtId="0" fontId="15" fillId="0" borderId="0" xfId="0" applyFont="1" applyBorder="1" applyProtection="1"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center"/>
      <protection locked="0"/>
    </xf>
    <xf numFmtId="0" fontId="3" fillId="0" borderId="17" xfId="0" applyFont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alignment horizontal="center"/>
      <protection locked="0"/>
    </xf>
    <xf numFmtId="0" fontId="3" fillId="0" borderId="19" xfId="0" applyFont="1" applyBorder="1" applyAlignment="1" applyProtection="1">
      <alignment horizontal="center"/>
      <protection locked="0"/>
    </xf>
    <xf numFmtId="0" fontId="15" fillId="0" borderId="0" xfId="0" applyFont="1" applyBorder="1" applyAlignment="1" applyProtection="1">
      <alignment horizontal="center"/>
      <protection locked="0"/>
    </xf>
    <xf numFmtId="49" fontId="2" fillId="0" borderId="0" xfId="0" applyNumberFormat="1" applyFont="1" applyFill="1" applyBorder="1" applyAlignment="1" applyProtection="1">
      <alignment horizontal="left" wrapText="1" indent="2"/>
      <protection locked="0"/>
    </xf>
    <xf numFmtId="3" fontId="2" fillId="0" borderId="20" xfId="0" applyNumberFormat="1" applyFont="1" applyFill="1" applyBorder="1" applyAlignment="1" applyProtection="1">
      <alignment horizontal="right"/>
      <protection locked="0"/>
    </xf>
    <xf numFmtId="3" fontId="2" fillId="0" borderId="0" xfId="0" applyNumberFormat="1" applyFont="1" applyFill="1" applyBorder="1" applyAlignment="1" applyProtection="1">
      <alignment horizontal="right"/>
      <protection locked="0"/>
    </xf>
    <xf numFmtId="3" fontId="2" fillId="0" borderId="21" xfId="0" applyNumberFormat="1" applyFont="1" applyFill="1" applyBorder="1" applyAlignment="1" applyProtection="1">
      <alignment horizontal="right"/>
      <protection locked="0"/>
    </xf>
    <xf numFmtId="3" fontId="2" fillId="0" borderId="22" xfId="0" applyNumberFormat="1" applyFont="1" applyFill="1" applyBorder="1" applyAlignment="1" applyProtection="1">
      <alignment horizontal="right"/>
      <protection locked="0"/>
    </xf>
    <xf numFmtId="3" fontId="2" fillId="0" borderId="20" xfId="0" quotePrefix="1" applyNumberFormat="1" applyFont="1" applyFill="1" applyBorder="1" applyAlignment="1" applyProtection="1">
      <alignment horizontal="right"/>
      <protection locked="0"/>
    </xf>
    <xf numFmtId="3" fontId="2" fillId="0" borderId="21" xfId="0" quotePrefix="1" applyNumberFormat="1" applyFont="1" applyFill="1" applyBorder="1" applyAlignment="1" applyProtection="1">
      <alignment horizontal="right"/>
      <protection locked="0"/>
    </xf>
    <xf numFmtId="3" fontId="5" fillId="0" borderId="22" xfId="0" applyNumberFormat="1" applyFont="1" applyFill="1" applyBorder="1" applyAlignment="1" applyProtection="1">
      <alignment horizontal="right"/>
      <protection locked="0"/>
    </xf>
    <xf numFmtId="3" fontId="5" fillId="0" borderId="0" xfId="0" applyNumberFormat="1" applyFont="1" applyFill="1" applyBorder="1" applyAlignment="1" applyProtection="1">
      <alignment horizontal="right"/>
      <protection locked="0"/>
    </xf>
    <xf numFmtId="0" fontId="15" fillId="0" borderId="4" xfId="0" applyFont="1" applyBorder="1" applyAlignment="1" applyProtection="1">
      <alignment horizontal="left" indent="2"/>
      <protection locked="0"/>
    </xf>
    <xf numFmtId="0" fontId="15" fillId="0" borderId="0" xfId="0" applyFont="1" applyBorder="1" applyAlignment="1" applyProtection="1">
      <alignment horizontal="left"/>
      <protection locked="0"/>
    </xf>
    <xf numFmtId="3" fontId="5" fillId="0" borderId="22" xfId="0" quotePrefix="1" applyNumberFormat="1" applyFont="1" applyFill="1" applyBorder="1" applyAlignment="1" applyProtection="1">
      <alignment horizontal="right"/>
      <protection locked="0"/>
    </xf>
    <xf numFmtId="3" fontId="5" fillId="0" borderId="0" xfId="0" quotePrefix="1" applyNumberFormat="1" applyFont="1" applyFill="1" applyBorder="1" applyAlignment="1" applyProtection="1">
      <alignment horizontal="right"/>
      <protection locked="0"/>
    </xf>
    <xf numFmtId="3" fontId="2" fillId="0" borderId="22" xfId="0" quotePrefix="1" applyNumberFormat="1" applyFont="1" applyFill="1" applyBorder="1" applyAlignment="1" applyProtection="1">
      <alignment horizontal="right"/>
      <protection locked="0"/>
    </xf>
    <xf numFmtId="3" fontId="2" fillId="0" borderId="0" xfId="0" quotePrefix="1" applyNumberFormat="1" applyFont="1" applyFill="1" applyBorder="1" applyAlignment="1" applyProtection="1">
      <alignment horizontal="right"/>
      <protection locked="0"/>
    </xf>
    <xf numFmtId="3" fontId="2" fillId="0" borderId="23" xfId="0" applyNumberFormat="1" applyFont="1" applyFill="1" applyBorder="1" applyAlignment="1" applyProtection="1">
      <alignment horizontal="right"/>
      <protection locked="0"/>
    </xf>
    <xf numFmtId="49" fontId="2" fillId="0" borderId="7" xfId="0" applyNumberFormat="1" applyFont="1" applyFill="1" applyBorder="1" applyAlignment="1" applyProtection="1">
      <alignment horizontal="left" wrapText="1" indent="2"/>
      <protection locked="0"/>
    </xf>
    <xf numFmtId="3" fontId="2" fillId="0" borderId="24" xfId="0" quotePrefix="1" applyNumberFormat="1" applyFont="1" applyFill="1" applyBorder="1" applyAlignment="1" applyProtection="1">
      <alignment horizontal="right"/>
      <protection locked="0"/>
    </xf>
    <xf numFmtId="3" fontId="2" fillId="0" borderId="25" xfId="0" quotePrefix="1" applyNumberFormat="1" applyFont="1" applyFill="1" applyBorder="1" applyAlignment="1" applyProtection="1">
      <alignment horizontal="right"/>
      <protection locked="0"/>
    </xf>
    <xf numFmtId="3" fontId="2" fillId="0" borderId="25" xfId="0" applyNumberFormat="1" applyFont="1" applyFill="1" applyBorder="1" applyAlignment="1" applyProtection="1">
      <alignment horizontal="right"/>
      <protection locked="0"/>
    </xf>
    <xf numFmtId="3" fontId="2" fillId="0" borderId="24" xfId="0" applyNumberFormat="1" applyFont="1" applyFill="1" applyBorder="1" applyAlignment="1" applyProtection="1">
      <alignment horizontal="right"/>
      <protection locked="0"/>
    </xf>
    <xf numFmtId="3" fontId="2" fillId="0" borderId="26" xfId="0" applyNumberFormat="1" applyFont="1" applyFill="1" applyBorder="1" applyAlignment="1" applyProtection="1">
      <alignment horizontal="right"/>
      <protection locked="0"/>
    </xf>
    <xf numFmtId="3" fontId="2" fillId="0" borderId="26" xfId="0" quotePrefix="1" applyNumberFormat="1" applyFont="1" applyFill="1" applyBorder="1" applyAlignment="1" applyProtection="1">
      <alignment horizontal="right"/>
      <protection locked="0"/>
    </xf>
    <xf numFmtId="3" fontId="2" fillId="0" borderId="27" xfId="0" applyNumberFormat="1" applyFont="1" applyFill="1" applyBorder="1" applyAlignment="1" applyProtection="1">
      <alignment horizontal="right"/>
      <protection locked="0"/>
    </xf>
    <xf numFmtId="0" fontId="15" fillId="0" borderId="6" xfId="0" applyFont="1" applyBorder="1" applyAlignment="1" applyProtection="1">
      <alignment horizontal="left" indent="2"/>
      <protection locked="0"/>
    </xf>
    <xf numFmtId="0" fontId="15" fillId="0" borderId="7" xfId="0" applyFont="1" applyBorder="1" applyAlignment="1" applyProtection="1">
      <alignment horizontal="left"/>
      <protection locked="0"/>
    </xf>
    <xf numFmtId="49" fontId="2" fillId="0" borderId="0" xfId="0" applyNumberFormat="1" applyFont="1" applyFill="1" applyBorder="1" applyAlignment="1" applyProtection="1">
      <alignment vertical="center"/>
      <protection locked="0"/>
    </xf>
    <xf numFmtId="3" fontId="2" fillId="0" borderId="0" xfId="0" applyNumberFormat="1" applyFont="1" applyFill="1" applyBorder="1" applyAlignment="1" applyProtection="1">
      <alignment vertical="center" wrapText="1"/>
      <protection locked="0"/>
    </xf>
    <xf numFmtId="3" fontId="5" fillId="0" borderId="0" xfId="0" applyNumberFormat="1" applyFont="1" applyFill="1" applyBorder="1" applyAlignment="1" applyProtection="1">
      <protection locked="0"/>
    </xf>
    <xf numFmtId="0" fontId="15" fillId="0" borderId="0" xfId="0" applyFont="1" applyAlignment="1" applyProtection="1">
      <alignment horizontal="right" vertical="center"/>
      <protection locked="0"/>
    </xf>
    <xf numFmtId="0" fontId="2" fillId="0" borderId="0" xfId="0" applyNumberFormat="1" applyFont="1" applyFill="1" applyBorder="1" applyAlignment="1" applyProtection="1">
      <alignment horizontal="left" indent="2"/>
      <protection locked="0"/>
    </xf>
    <xf numFmtId="0" fontId="2" fillId="0" borderId="0" xfId="0" applyFont="1" applyFill="1" applyBorder="1" applyAlignment="1" applyProtection="1">
      <alignment horizontal="left" indent="2"/>
      <protection locked="0"/>
    </xf>
    <xf numFmtId="0" fontId="3" fillId="0" borderId="0" xfId="0" applyFont="1" applyBorder="1" applyAlignment="1" applyProtection="1">
      <alignment horizontal="center"/>
      <protection locked="0"/>
    </xf>
    <xf numFmtId="49" fontId="1" fillId="0" borderId="0" xfId="0" applyNumberFormat="1" applyFont="1" applyFill="1" applyBorder="1" applyAlignment="1" applyProtection="1">
      <alignment horizontal="left" indent="2"/>
      <protection locked="0"/>
    </xf>
    <xf numFmtId="49" fontId="15" fillId="0" borderId="0" xfId="0" applyNumberFormat="1" applyFont="1" applyBorder="1" applyProtection="1">
      <protection locked="0"/>
    </xf>
    <xf numFmtId="0" fontId="16" fillId="0" borderId="0" xfId="0" applyFont="1" applyBorder="1" applyAlignment="1" applyProtection="1">
      <alignment horizontal="right" vertical="center"/>
      <protection locked="0"/>
    </xf>
    <xf numFmtId="0" fontId="5" fillId="0" borderId="0" xfId="0" applyNumberFormat="1" applyFont="1" applyFill="1" applyBorder="1" applyAlignment="1" applyProtection="1">
      <protection locked="0"/>
    </xf>
    <xf numFmtId="0" fontId="15" fillId="0" borderId="0" xfId="0" applyFont="1" applyBorder="1" applyAlignment="1" applyProtection="1">
      <alignment horizontal="left" indent="2"/>
      <protection locked="0"/>
    </xf>
    <xf numFmtId="49" fontId="15" fillId="0" borderId="0" xfId="0" applyNumberFormat="1" applyFont="1" applyProtection="1">
      <protection locked="0"/>
    </xf>
    <xf numFmtId="49" fontId="9" fillId="2" borderId="0" xfId="0" applyNumberFormat="1" applyFont="1" applyFill="1" applyBorder="1" applyAlignment="1">
      <alignment horizontal="left" vertical="center" wrapText="1"/>
    </xf>
    <xf numFmtId="49" fontId="16" fillId="0" borderId="0" xfId="0" applyNumberFormat="1" applyFont="1" applyBorder="1" applyAlignment="1" applyProtection="1">
      <alignment horizontal="left" vertical="center"/>
      <protection locked="0"/>
    </xf>
    <xf numFmtId="0" fontId="16" fillId="0" borderId="0" xfId="0" applyFont="1" applyBorder="1" applyAlignment="1" applyProtection="1">
      <alignment horizontal="left" vertical="center"/>
      <protection locked="0"/>
    </xf>
    <xf numFmtId="0" fontId="15" fillId="0" borderId="31" xfId="0" applyFont="1" applyBorder="1" applyAlignment="1" applyProtection="1">
      <alignment horizontal="center" vertical="center" wrapText="1"/>
      <protection locked="0"/>
    </xf>
    <xf numFmtId="0" fontId="15" fillId="0" borderId="32" xfId="0" applyFont="1" applyBorder="1" applyAlignment="1" applyProtection="1">
      <alignment horizontal="center" vertical="center" wrapText="1"/>
      <protection locked="0"/>
    </xf>
    <xf numFmtId="0" fontId="15" fillId="0" borderId="21" xfId="0" applyFont="1" applyBorder="1" applyAlignment="1" applyProtection="1">
      <alignment horizontal="center" vertical="center" wrapText="1"/>
      <protection locked="0"/>
    </xf>
    <xf numFmtId="0" fontId="15" fillId="0" borderId="20" xfId="0" applyFont="1" applyBorder="1" applyAlignment="1" applyProtection="1">
      <alignment horizontal="center" vertical="center" wrapText="1"/>
      <protection locked="0"/>
    </xf>
    <xf numFmtId="0" fontId="15" fillId="0" borderId="30" xfId="0" applyFont="1" applyBorder="1" applyAlignment="1" applyProtection="1">
      <alignment horizontal="center" vertical="center" wrapText="1"/>
      <protection locked="0"/>
    </xf>
    <xf numFmtId="0" fontId="15" fillId="0" borderId="17" xfId="0" applyFont="1" applyBorder="1" applyAlignment="1" applyProtection="1">
      <alignment horizontal="center" vertical="center" wrapText="1"/>
      <protection locked="0"/>
    </xf>
    <xf numFmtId="0" fontId="15" fillId="0" borderId="36" xfId="0" applyFont="1" applyBorder="1" applyAlignment="1" applyProtection="1">
      <alignment horizontal="center" vertical="center"/>
      <protection locked="0"/>
    </xf>
    <xf numFmtId="0" fontId="15" fillId="0" borderId="41" xfId="0" applyFont="1" applyBorder="1" applyAlignment="1" applyProtection="1">
      <alignment horizontal="center" vertical="center"/>
      <protection locked="0"/>
    </xf>
    <xf numFmtId="0" fontId="15" fillId="0" borderId="18" xfId="0" applyFont="1" applyBorder="1" applyAlignment="1" applyProtection="1">
      <alignment horizontal="center" vertical="center"/>
      <protection locked="0"/>
    </xf>
    <xf numFmtId="0" fontId="2" fillId="0" borderId="4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16" fillId="0" borderId="0" xfId="0" applyNumberFormat="1" applyFont="1" applyBorder="1" applyAlignment="1" applyProtection="1">
      <alignment horizontal="left" vertical="center" wrapText="1"/>
      <protection locked="0"/>
    </xf>
    <xf numFmtId="0" fontId="16" fillId="0" borderId="0" xfId="0" applyFont="1" applyBorder="1" applyAlignment="1" applyProtection="1">
      <alignment horizontal="left" vertical="center" wrapText="1"/>
      <protection locked="0"/>
    </xf>
    <xf numFmtId="0" fontId="16" fillId="0" borderId="0" xfId="0" applyFont="1" applyBorder="1" applyAlignment="1" applyProtection="1">
      <alignment horizontal="right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Fill="1" applyBorder="1" applyAlignment="1" applyProtection="1">
      <alignment vertical="center" wrapText="1"/>
      <protection locked="0"/>
    </xf>
    <xf numFmtId="3" fontId="1" fillId="0" borderId="22" xfId="0" applyNumberFormat="1" applyFont="1" applyFill="1" applyBorder="1" applyAlignment="1" applyProtection="1">
      <alignment horizontal="right" vertical="center"/>
    </xf>
    <xf numFmtId="0" fontId="15" fillId="0" borderId="0" xfId="0" applyFont="1" applyAlignment="1" applyProtection="1">
      <alignment horizontal="left"/>
      <protection locked="0"/>
    </xf>
    <xf numFmtId="0" fontId="2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right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5" fillId="0" borderId="0" xfId="0" applyFont="1" applyBorder="1" applyAlignment="1" applyProtection="1">
      <alignment horizontal="left"/>
      <protection locked="0"/>
    </xf>
    <xf numFmtId="3" fontId="1" fillId="0" borderId="21" xfId="0" applyNumberFormat="1" applyFont="1" applyFill="1" applyBorder="1" applyAlignment="1" applyProtection="1">
      <alignment horizontal="right" vertical="center"/>
    </xf>
    <xf numFmtId="3" fontId="16" fillId="0" borderId="22" xfId="0" applyNumberFormat="1" applyFont="1" applyBorder="1" applyAlignment="1" applyProtection="1">
      <alignment horizontal="right" vertical="center"/>
    </xf>
    <xf numFmtId="3" fontId="16" fillId="0" borderId="21" xfId="0" applyNumberFormat="1" applyFont="1" applyBorder="1" applyAlignment="1" applyProtection="1">
      <alignment horizontal="right" vertical="center"/>
    </xf>
    <xf numFmtId="49" fontId="1" fillId="0" borderId="0" xfId="0" applyNumberFormat="1" applyFont="1" applyFill="1" applyBorder="1" applyAlignment="1" applyProtection="1">
      <alignment horizontal="left" vertical="center" wrapText="1"/>
      <protection locked="0"/>
    </xf>
    <xf numFmtId="3" fontId="1" fillId="0" borderId="13" xfId="0" applyNumberFormat="1" applyFont="1" applyFill="1" applyBorder="1" applyAlignment="1" applyProtection="1">
      <alignment horizontal="right" vertical="center" wrapText="1"/>
    </xf>
    <xf numFmtId="0" fontId="1" fillId="0" borderId="13" xfId="0" applyNumberFormat="1" applyFont="1" applyFill="1" applyBorder="1" applyAlignment="1" applyProtection="1">
      <alignment horizontal="right" vertical="center" wrapText="1"/>
    </xf>
    <xf numFmtId="0" fontId="16" fillId="0" borderId="4" xfId="0" applyFont="1" applyBorder="1" applyAlignment="1" applyProtection="1">
      <alignment horizontal="left" vertical="center" wrapText="1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1" fillId="0" borderId="4" xfId="0" applyNumberFormat="1" applyFont="1" applyFill="1" applyBorder="1" applyAlignment="1" applyProtection="1">
      <alignment horizontal="left" vertical="center" wrapText="1"/>
      <protection locked="0"/>
    </xf>
    <xf numFmtId="3" fontId="4" fillId="0" borderId="22" xfId="0" applyNumberFormat="1" applyFont="1" applyBorder="1" applyAlignment="1" applyProtection="1">
      <alignment horizontal="right" vertical="center"/>
    </xf>
    <xf numFmtId="3" fontId="4" fillId="0" borderId="21" xfId="0" applyNumberFormat="1" applyFont="1" applyBorder="1" applyAlignment="1" applyProtection="1">
      <alignment horizontal="right" vertical="center"/>
    </xf>
    <xf numFmtId="49" fontId="1" fillId="0" borderId="5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28" xfId="0" applyNumberFormat="1" applyFont="1" applyFill="1" applyBorder="1" applyAlignment="1" applyProtection="1">
      <alignment horizontal="right" vertical="center" wrapText="1"/>
    </xf>
    <xf numFmtId="3" fontId="1" fillId="0" borderId="20" xfId="0" applyNumberFormat="1" applyFont="1" applyFill="1" applyBorder="1" applyAlignment="1" applyProtection="1">
      <alignment horizontal="right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30" xfId="0" applyBorder="1" applyProtection="1">
      <protection locked="0"/>
    </xf>
    <xf numFmtId="0" fontId="0" fillId="0" borderId="17" xfId="0" applyBorder="1" applyProtection="1">
      <protection locked="0"/>
    </xf>
    <xf numFmtId="0" fontId="2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2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39" xfId="0" applyNumberFormat="1" applyFont="1" applyFill="1" applyBorder="1" applyAlignment="1" applyProtection="1">
      <alignment horizontal="left" vertical="center" wrapText="1" indent="1"/>
      <protection locked="0"/>
    </xf>
    <xf numFmtId="49" fontId="1" fillId="0" borderId="0" xfId="0" applyNumberFormat="1" applyFont="1" applyFill="1" applyBorder="1" applyAlignment="1" applyProtection="1">
      <alignment horizontal="left" vertical="center" wrapText="1" indent="1"/>
      <protection locked="0"/>
    </xf>
    <xf numFmtId="3" fontId="1" fillId="0" borderId="4" xfId="0" applyNumberFormat="1" applyFont="1" applyFill="1" applyBorder="1" applyAlignment="1" applyProtection="1">
      <alignment horizontal="right" vertical="center" wrapText="1"/>
    </xf>
    <xf numFmtId="0" fontId="1" fillId="0" borderId="4" xfId="0" applyNumberFormat="1" applyFont="1" applyFill="1" applyBorder="1" applyAlignment="1" applyProtection="1">
      <alignment horizontal="right" vertical="center" wrapText="1"/>
    </xf>
    <xf numFmtId="3" fontId="1" fillId="0" borderId="40" xfId="0" applyNumberFormat="1" applyFont="1" applyFill="1" applyBorder="1" applyAlignment="1" applyProtection="1">
      <alignment horizontal="right" vertical="center" wrapText="1"/>
    </xf>
    <xf numFmtId="3" fontId="1" fillId="0" borderId="22" xfId="0" applyNumberFormat="1" applyFont="1" applyFill="1" applyBorder="1" applyAlignment="1" applyProtection="1">
      <alignment horizontal="right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8" xfId="0" applyBorder="1" applyProtection="1">
      <protection locked="0"/>
    </xf>
    <xf numFmtId="0" fontId="2" fillId="0" borderId="7" xfId="0" applyNumberFormat="1" applyFont="1" applyFill="1" applyBorder="1" applyAlignment="1" applyProtection="1">
      <alignment horizontal="left"/>
      <protection locked="0"/>
    </xf>
    <xf numFmtId="0" fontId="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7" xfId="0" applyNumberFormat="1" applyFont="1" applyFill="1" applyBorder="1" applyAlignment="1" applyProtection="1">
      <alignment horizontal="center"/>
      <protection locked="0"/>
    </xf>
    <xf numFmtId="0" fontId="17" fillId="0" borderId="0" xfId="0" applyFont="1" applyAlignment="1" applyProtection="1">
      <alignment horizontal="center" vertical="top"/>
      <protection locked="0"/>
    </xf>
    <xf numFmtId="0" fontId="2" fillId="0" borderId="7" xfId="0" applyNumberFormat="1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5"/>
  <sheetViews>
    <sheetView workbookViewId="0">
      <selection sqref="A1:IV65536"/>
    </sheetView>
  </sheetViews>
  <sheetFormatPr defaultRowHeight="14.4"/>
  <sheetData>
    <row r="1" spans="1:12" ht="14.4" customHeight="1">
      <c r="A1" s="2" t="s">
        <v>211</v>
      </c>
      <c r="B1" s="3" t="s">
        <v>115</v>
      </c>
      <c r="C1" s="4"/>
      <c r="D1" s="5"/>
      <c r="E1" s="5"/>
      <c r="F1" s="5"/>
      <c r="G1" s="5"/>
      <c r="H1" s="6"/>
      <c r="I1" s="4"/>
      <c r="J1" s="4"/>
      <c r="K1" s="4"/>
      <c r="L1" s="7"/>
    </row>
    <row r="2" spans="1:12">
      <c r="A2" s="8" t="s">
        <v>212</v>
      </c>
      <c r="B2" s="9" t="s">
        <v>116</v>
      </c>
      <c r="C2" s="10"/>
      <c r="D2" s="10"/>
      <c r="E2" s="10"/>
      <c r="F2" s="10"/>
      <c r="G2" s="10"/>
      <c r="H2" s="11"/>
      <c r="I2" s="10"/>
      <c r="J2" s="10"/>
      <c r="K2" s="10"/>
      <c r="L2" s="12"/>
    </row>
    <row r="3" spans="1:12" ht="14.4" customHeight="1">
      <c r="A3" s="8" t="s">
        <v>213</v>
      </c>
      <c r="B3" s="9" t="s">
        <v>117</v>
      </c>
      <c r="C3" s="10"/>
      <c r="D3" s="178" t="s">
        <v>214</v>
      </c>
      <c r="E3" s="178"/>
      <c r="F3" s="178"/>
      <c r="G3" s="178"/>
      <c r="H3" s="11"/>
      <c r="I3" s="10"/>
      <c r="J3" s="10"/>
      <c r="K3" s="10"/>
      <c r="L3" s="12"/>
    </row>
    <row r="4" spans="1:12">
      <c r="A4" s="8" t="s">
        <v>215</v>
      </c>
      <c r="B4" s="9" t="s">
        <v>118</v>
      </c>
      <c r="C4" s="10"/>
      <c r="D4" s="13" t="s">
        <v>216</v>
      </c>
      <c r="E4" s="10"/>
      <c r="F4" s="10"/>
      <c r="G4" s="10"/>
      <c r="H4" s="11"/>
      <c r="I4" s="10"/>
      <c r="J4" s="10"/>
      <c r="K4" s="10"/>
      <c r="L4" s="12"/>
    </row>
    <row r="5" spans="1:12">
      <c r="A5" s="8" t="s">
        <v>217</v>
      </c>
      <c r="B5" s="9" t="s">
        <v>119</v>
      </c>
      <c r="C5" s="10"/>
      <c r="D5" s="10"/>
      <c r="E5" s="10"/>
      <c r="F5" s="10"/>
      <c r="G5" s="10"/>
      <c r="H5" s="11"/>
      <c r="I5" s="10"/>
      <c r="J5" s="10"/>
      <c r="K5" s="10"/>
      <c r="L5" s="12"/>
    </row>
    <row r="6" spans="1:12">
      <c r="A6" s="8" t="s">
        <v>218</v>
      </c>
      <c r="B6" s="9" t="s">
        <v>120</v>
      </c>
      <c r="C6" s="10"/>
      <c r="D6" s="10"/>
      <c r="E6" s="10"/>
      <c r="F6" s="10"/>
      <c r="G6" s="10"/>
      <c r="H6" s="11"/>
      <c r="I6" s="10"/>
      <c r="J6" s="10"/>
      <c r="K6" s="10"/>
      <c r="L6" s="12"/>
    </row>
    <row r="7" spans="1:12">
      <c r="A7" s="14" t="s">
        <v>219</v>
      </c>
      <c r="B7" s="15" t="s">
        <v>121</v>
      </c>
      <c r="C7" s="16"/>
      <c r="D7" s="17"/>
      <c r="E7" s="16"/>
      <c r="F7" s="16"/>
      <c r="G7" s="16"/>
      <c r="H7" s="18"/>
      <c r="I7" s="16"/>
      <c r="J7" s="16"/>
      <c r="K7" s="16"/>
      <c r="L7" s="19"/>
    </row>
    <row r="8" spans="1:12">
      <c r="A8" s="14" t="s">
        <v>220</v>
      </c>
      <c r="B8" s="20" t="s">
        <v>122</v>
      </c>
      <c r="C8" s="16"/>
      <c r="D8" s="16"/>
      <c r="E8" s="16"/>
      <c r="F8" s="16"/>
      <c r="G8" s="16"/>
      <c r="H8" s="18"/>
      <c r="I8" s="20"/>
      <c r="J8" s="21"/>
      <c r="K8" s="16"/>
      <c r="L8" s="19"/>
    </row>
    <row r="9" spans="1:12">
      <c r="A9" s="14" t="s">
        <v>221</v>
      </c>
      <c r="B9" s="20" t="s">
        <v>123</v>
      </c>
      <c r="C9" s="16"/>
      <c r="D9" s="16"/>
      <c r="E9" s="16"/>
      <c r="F9" s="16"/>
      <c r="G9" s="16"/>
      <c r="H9" s="18"/>
      <c r="I9" s="16"/>
      <c r="J9" s="16"/>
      <c r="K9" s="16"/>
      <c r="L9" s="19"/>
    </row>
    <row r="10" spans="1:12">
      <c r="A10" s="14" t="s">
        <v>222</v>
      </c>
      <c r="B10" s="20" t="s">
        <v>124</v>
      </c>
      <c r="C10" s="16"/>
      <c r="D10" s="16"/>
      <c r="E10" s="16"/>
      <c r="F10" s="16"/>
      <c r="G10" s="16"/>
      <c r="H10" s="18"/>
      <c r="I10" s="16"/>
      <c r="J10" s="16"/>
      <c r="K10" s="16"/>
      <c r="L10" s="19"/>
    </row>
    <row r="11" spans="1:12">
      <c r="A11" s="14" t="s">
        <v>223</v>
      </c>
      <c r="B11" s="20" t="s">
        <v>125</v>
      </c>
      <c r="C11" s="16"/>
      <c r="D11" s="22" t="s">
        <v>224</v>
      </c>
      <c r="E11" s="16"/>
      <c r="F11" s="16"/>
      <c r="G11" s="16"/>
      <c r="H11" s="18"/>
      <c r="I11" s="16"/>
      <c r="J11" s="16"/>
      <c r="K11" s="16"/>
      <c r="L11" s="19"/>
    </row>
    <row r="12" spans="1:12">
      <c r="A12" s="14" t="s">
        <v>225</v>
      </c>
      <c r="B12" s="20" t="s">
        <v>126</v>
      </c>
      <c r="C12" s="16"/>
      <c r="D12" s="16"/>
      <c r="E12" s="16"/>
      <c r="F12" s="16"/>
      <c r="G12" s="16"/>
      <c r="H12" s="18"/>
      <c r="I12" s="16"/>
      <c r="J12" s="16"/>
      <c r="K12" s="16"/>
      <c r="L12" s="19"/>
    </row>
    <row r="13" spans="1:12">
      <c r="A13" s="14" t="s">
        <v>226</v>
      </c>
      <c r="B13" s="20" t="s">
        <v>127</v>
      </c>
      <c r="C13" s="16"/>
      <c r="D13" s="16"/>
      <c r="E13" s="16"/>
      <c r="F13" s="16"/>
      <c r="G13" s="16"/>
      <c r="H13" s="18"/>
      <c r="I13" s="16"/>
      <c r="J13" s="16"/>
      <c r="K13" s="16"/>
      <c r="L13" s="19"/>
    </row>
    <row r="14" spans="1:12">
      <c r="A14" s="14" t="s">
        <v>227</v>
      </c>
      <c r="B14" s="20" t="s">
        <v>128</v>
      </c>
      <c r="C14" s="16"/>
      <c r="D14" s="16"/>
      <c r="E14" s="16"/>
      <c r="F14" s="16"/>
      <c r="G14" s="16"/>
      <c r="H14" s="18"/>
      <c r="I14" s="16"/>
      <c r="J14" s="16"/>
      <c r="K14" s="16"/>
      <c r="L14" s="19"/>
    </row>
    <row r="15" spans="1:12">
      <c r="A15" s="14" t="s">
        <v>228</v>
      </c>
      <c r="B15" s="20" t="s">
        <v>129</v>
      </c>
      <c r="C15" s="16"/>
      <c r="D15" s="16"/>
      <c r="E15" s="16"/>
      <c r="F15" s="16"/>
      <c r="G15" s="16"/>
      <c r="H15" s="18"/>
      <c r="I15" s="16"/>
      <c r="J15" s="16"/>
      <c r="K15" s="16"/>
      <c r="L15" s="19"/>
    </row>
    <row r="16" spans="1:12">
      <c r="A16" s="14" t="s">
        <v>229</v>
      </c>
      <c r="B16" s="20" t="s">
        <v>130</v>
      </c>
      <c r="C16" s="16"/>
      <c r="D16" s="16"/>
      <c r="E16" s="16"/>
      <c r="F16" s="16"/>
      <c r="G16" s="16"/>
      <c r="H16" s="18"/>
      <c r="I16" s="16"/>
      <c r="J16" s="16"/>
      <c r="K16" s="16"/>
      <c r="L16" s="19"/>
    </row>
    <row r="17" spans="1:12">
      <c r="A17" s="14" t="s">
        <v>230</v>
      </c>
      <c r="B17" s="20" t="s">
        <v>131</v>
      </c>
      <c r="C17" s="16"/>
      <c r="D17" s="16"/>
      <c r="E17" s="16"/>
      <c r="F17" s="16"/>
      <c r="G17" s="16"/>
      <c r="H17" s="18"/>
      <c r="I17" s="16"/>
      <c r="J17" s="16"/>
      <c r="K17" s="16"/>
      <c r="L17" s="19"/>
    </row>
    <row r="18" spans="1:12">
      <c r="A18" s="23" t="s">
        <v>231</v>
      </c>
      <c r="B18" s="24" t="s">
        <v>132</v>
      </c>
      <c r="C18" s="25"/>
      <c r="D18" s="26"/>
      <c r="E18" s="25"/>
      <c r="F18" s="25"/>
      <c r="G18" s="25"/>
      <c r="H18" s="27"/>
      <c r="I18" s="24"/>
      <c r="J18" s="24"/>
      <c r="K18" s="25"/>
      <c r="L18" s="28"/>
    </row>
    <row r="19" spans="1:12">
      <c r="A19" s="23" t="s">
        <v>232</v>
      </c>
      <c r="B19" s="24" t="s">
        <v>133</v>
      </c>
      <c r="C19" s="25"/>
      <c r="D19" s="25"/>
      <c r="E19" s="25"/>
      <c r="F19" s="25"/>
      <c r="G19" s="25"/>
      <c r="H19" s="27"/>
      <c r="I19" s="24"/>
      <c r="J19" s="24"/>
      <c r="K19" s="25"/>
      <c r="L19" s="28"/>
    </row>
    <row r="20" spans="1:12">
      <c r="A20" s="23" t="s">
        <v>233</v>
      </c>
      <c r="B20" s="24" t="s">
        <v>134</v>
      </c>
      <c r="C20" s="25"/>
      <c r="D20" s="29" t="s">
        <v>234</v>
      </c>
      <c r="E20" s="25"/>
      <c r="F20" s="25"/>
      <c r="G20" s="25"/>
      <c r="H20" s="27"/>
      <c r="I20" s="24"/>
      <c r="J20" s="24"/>
      <c r="K20" s="25"/>
      <c r="L20" s="28"/>
    </row>
    <row r="21" spans="1:12" ht="15" thickBot="1">
      <c r="A21" s="30" t="s">
        <v>235</v>
      </c>
      <c r="B21" s="31" t="s">
        <v>135</v>
      </c>
      <c r="C21" s="32"/>
      <c r="D21" s="32"/>
      <c r="E21" s="32"/>
      <c r="F21" s="32"/>
      <c r="G21" s="32"/>
      <c r="H21" s="33"/>
      <c r="I21" s="31"/>
      <c r="J21" s="31"/>
      <c r="K21" s="32"/>
      <c r="L21" s="34"/>
    </row>
    <row r="22" spans="1:12" ht="14.4" customHeight="1">
      <c r="A22" s="35" t="s">
        <v>236</v>
      </c>
      <c r="B22" s="36" t="s">
        <v>136</v>
      </c>
      <c r="C22" s="37"/>
      <c r="D22" s="38"/>
      <c r="E22" s="37"/>
      <c r="F22" s="37"/>
      <c r="G22" s="39"/>
      <c r="H22" s="37"/>
      <c r="I22" s="36"/>
      <c r="J22" s="36"/>
      <c r="K22" s="37"/>
      <c r="L22" s="40"/>
    </row>
    <row r="23" spans="1:12">
      <c r="A23" s="41" t="s">
        <v>237</v>
      </c>
      <c r="B23" s="42" t="s">
        <v>137</v>
      </c>
      <c r="C23" s="43"/>
      <c r="D23" s="43"/>
      <c r="E23" s="43"/>
      <c r="F23" s="43"/>
      <c r="G23" s="44"/>
      <c r="H23" s="43"/>
      <c r="I23" s="42"/>
      <c r="J23" s="42"/>
      <c r="K23" s="43"/>
      <c r="L23" s="45"/>
    </row>
    <row r="24" spans="1:12">
      <c r="A24" s="41" t="s">
        <v>238</v>
      </c>
      <c r="B24" s="42" t="s">
        <v>138</v>
      </c>
      <c r="C24" s="43"/>
      <c r="D24" s="46" t="s">
        <v>239</v>
      </c>
      <c r="E24" s="43"/>
      <c r="F24" s="43"/>
      <c r="G24" s="44"/>
      <c r="H24" s="43"/>
      <c r="I24" s="42"/>
      <c r="J24" s="42"/>
      <c r="K24" s="43"/>
      <c r="L24" s="45"/>
    </row>
    <row r="25" spans="1:12">
      <c r="A25" s="41" t="s">
        <v>240</v>
      </c>
      <c r="B25" s="42" t="s">
        <v>139</v>
      </c>
      <c r="C25" s="43"/>
      <c r="D25" s="43"/>
      <c r="E25" s="43"/>
      <c r="F25" s="43"/>
      <c r="G25" s="44"/>
      <c r="H25" s="43"/>
      <c r="I25" s="42"/>
      <c r="J25" s="42"/>
      <c r="K25" s="43"/>
      <c r="L25" s="45"/>
    </row>
    <row r="26" spans="1:12">
      <c r="A26" s="41" t="s">
        <v>241</v>
      </c>
      <c r="B26" s="42" t="s">
        <v>140</v>
      </c>
      <c r="C26" s="43"/>
      <c r="D26" s="43"/>
      <c r="E26" s="43"/>
      <c r="F26" s="43"/>
      <c r="G26" s="44"/>
      <c r="H26" s="43"/>
      <c r="I26" s="42"/>
      <c r="J26" s="42"/>
      <c r="K26" s="43"/>
      <c r="L26" s="45"/>
    </row>
    <row r="27" spans="1:12">
      <c r="A27" s="47" t="s">
        <v>242</v>
      </c>
      <c r="B27" s="48" t="s">
        <v>141</v>
      </c>
      <c r="C27" s="49"/>
      <c r="D27" s="50"/>
      <c r="E27" s="49"/>
      <c r="F27" s="49"/>
      <c r="G27" s="51"/>
      <c r="H27" s="49"/>
      <c r="I27" s="48"/>
      <c r="J27" s="48"/>
      <c r="K27" s="49"/>
      <c r="L27" s="52"/>
    </row>
    <row r="28" spans="1:12">
      <c r="A28" s="47" t="s">
        <v>243</v>
      </c>
      <c r="B28" s="48" t="s">
        <v>142</v>
      </c>
      <c r="C28" s="49"/>
      <c r="D28" s="49"/>
      <c r="E28" s="49"/>
      <c r="F28" s="49"/>
      <c r="G28" s="51"/>
      <c r="H28" s="49"/>
      <c r="I28" s="48"/>
      <c r="J28" s="48"/>
      <c r="K28" s="49"/>
      <c r="L28" s="52"/>
    </row>
    <row r="29" spans="1:12">
      <c r="A29" s="47" t="s">
        <v>244</v>
      </c>
      <c r="B29" s="48" t="s">
        <v>143</v>
      </c>
      <c r="C29" s="49"/>
      <c r="D29" s="53" t="s">
        <v>245</v>
      </c>
      <c r="E29" s="49"/>
      <c r="F29" s="49"/>
      <c r="G29" s="51"/>
      <c r="H29" s="49"/>
      <c r="I29" s="48"/>
      <c r="J29" s="48"/>
      <c r="K29" s="49"/>
      <c r="L29" s="52"/>
    </row>
    <row r="30" spans="1:12">
      <c r="A30" s="47" t="s">
        <v>246</v>
      </c>
      <c r="B30" s="48" t="s">
        <v>144</v>
      </c>
      <c r="C30" s="49"/>
      <c r="D30" s="49"/>
      <c r="E30" s="49"/>
      <c r="F30" s="49"/>
      <c r="G30" s="51"/>
      <c r="H30" s="49"/>
      <c r="I30" s="48"/>
      <c r="J30" s="48"/>
      <c r="K30" s="49"/>
      <c r="L30" s="52"/>
    </row>
    <row r="31" spans="1:12" ht="15" thickBot="1">
      <c r="A31" s="54" t="s">
        <v>247</v>
      </c>
      <c r="B31" s="55" t="s">
        <v>145</v>
      </c>
      <c r="C31" s="56"/>
      <c r="D31" s="56"/>
      <c r="E31" s="56"/>
      <c r="F31" s="56"/>
      <c r="G31" s="57"/>
      <c r="H31" s="56"/>
      <c r="I31" s="55"/>
      <c r="J31" s="55"/>
      <c r="K31" s="56"/>
      <c r="L31" s="58"/>
    </row>
    <row r="32" spans="1:12" ht="14.4" customHeight="1">
      <c r="A32" s="59" t="s">
        <v>248</v>
      </c>
      <c r="B32" s="60" t="s">
        <v>146</v>
      </c>
      <c r="C32" s="61"/>
      <c r="D32" s="62"/>
      <c r="E32" s="63"/>
      <c r="F32" s="63"/>
      <c r="G32" s="64"/>
      <c r="H32" s="63"/>
      <c r="I32" s="62"/>
      <c r="J32" s="62"/>
      <c r="K32" s="63"/>
      <c r="L32" s="65"/>
    </row>
    <row r="33" spans="1:12">
      <c r="A33" s="66" t="s">
        <v>249</v>
      </c>
      <c r="B33" s="67" t="s">
        <v>147</v>
      </c>
      <c r="C33" s="68"/>
      <c r="D33" s="68"/>
      <c r="E33" s="68"/>
      <c r="F33" s="68"/>
      <c r="G33" s="69"/>
      <c r="H33" s="68"/>
      <c r="I33" s="67"/>
      <c r="J33" s="67"/>
      <c r="K33" s="68"/>
      <c r="L33" s="70"/>
    </row>
    <row r="34" spans="1:12">
      <c r="A34" s="66" t="s">
        <v>250</v>
      </c>
      <c r="B34" s="67" t="s">
        <v>148</v>
      </c>
      <c r="C34" s="68"/>
      <c r="D34" s="71" t="s">
        <v>251</v>
      </c>
      <c r="E34" s="68"/>
      <c r="F34" s="68"/>
      <c r="G34" s="69"/>
      <c r="H34" s="68"/>
      <c r="I34" s="67"/>
      <c r="J34" s="67"/>
      <c r="K34" s="68"/>
      <c r="L34" s="70"/>
    </row>
    <row r="35" spans="1:12">
      <c r="A35" s="66" t="s">
        <v>252</v>
      </c>
      <c r="B35" s="67" t="s">
        <v>149</v>
      </c>
      <c r="C35" s="68"/>
      <c r="D35" s="68"/>
      <c r="E35" s="68"/>
      <c r="F35" s="68"/>
      <c r="G35" s="69"/>
      <c r="H35" s="68"/>
      <c r="I35" s="67"/>
      <c r="J35" s="67"/>
      <c r="K35" s="68"/>
      <c r="L35" s="70"/>
    </row>
    <row r="36" spans="1:12">
      <c r="A36" s="66" t="s">
        <v>253</v>
      </c>
      <c r="B36" s="67" t="s">
        <v>150</v>
      </c>
      <c r="C36" s="68"/>
      <c r="D36" s="68"/>
      <c r="E36" s="68"/>
      <c r="F36" s="68"/>
      <c r="G36" s="69"/>
      <c r="H36" s="68"/>
      <c r="I36" s="67"/>
      <c r="J36" s="67"/>
      <c r="K36" s="68"/>
      <c r="L36" s="70"/>
    </row>
    <row r="37" spans="1:12">
      <c r="A37" s="72" t="s">
        <v>254</v>
      </c>
      <c r="B37" s="73" t="s">
        <v>151</v>
      </c>
      <c r="C37" s="74"/>
      <c r="D37" s="75"/>
      <c r="E37" s="74"/>
      <c r="F37" s="74"/>
      <c r="G37" s="76"/>
      <c r="H37" s="74"/>
      <c r="I37" s="73"/>
      <c r="J37" s="73"/>
      <c r="K37" s="74"/>
      <c r="L37" s="77"/>
    </row>
    <row r="38" spans="1:12">
      <c r="A38" s="72" t="s">
        <v>255</v>
      </c>
      <c r="B38" s="73" t="s">
        <v>152</v>
      </c>
      <c r="C38" s="74"/>
      <c r="D38" s="78" t="s">
        <v>256</v>
      </c>
      <c r="E38" s="74"/>
      <c r="F38" s="74"/>
      <c r="G38" s="76"/>
      <c r="H38" s="74"/>
      <c r="I38" s="73"/>
      <c r="J38" s="73"/>
      <c r="K38" s="74"/>
      <c r="L38" s="77"/>
    </row>
    <row r="39" spans="1:12">
      <c r="A39" s="72" t="s">
        <v>257</v>
      </c>
      <c r="B39" s="73" t="s">
        <v>153</v>
      </c>
      <c r="C39" s="74"/>
      <c r="D39" s="74"/>
      <c r="E39" s="74"/>
      <c r="F39" s="74"/>
      <c r="G39" s="76"/>
      <c r="H39" s="74"/>
      <c r="I39" s="73"/>
      <c r="J39" s="73"/>
      <c r="K39" s="74"/>
      <c r="L39" s="77"/>
    </row>
    <row r="40" spans="1:12">
      <c r="A40" s="79" t="s">
        <v>258</v>
      </c>
      <c r="B40" s="80" t="s">
        <v>154</v>
      </c>
      <c r="C40" s="81"/>
      <c r="D40" s="82"/>
      <c r="E40" s="83"/>
      <c r="F40" s="83"/>
      <c r="G40" s="84"/>
      <c r="H40" s="81"/>
      <c r="I40" s="80"/>
      <c r="J40" s="80"/>
      <c r="K40" s="81"/>
      <c r="L40" s="85"/>
    </row>
    <row r="41" spans="1:12">
      <c r="A41" s="79" t="s">
        <v>259</v>
      </c>
      <c r="B41" s="80" t="s">
        <v>155</v>
      </c>
      <c r="C41" s="81"/>
      <c r="D41" s="81"/>
      <c r="E41" s="81"/>
      <c r="F41" s="81"/>
      <c r="G41" s="84"/>
      <c r="H41" s="81"/>
      <c r="I41" s="80"/>
      <c r="J41" s="80"/>
      <c r="K41" s="81"/>
      <c r="L41" s="85"/>
    </row>
    <row r="42" spans="1:12">
      <c r="A42" s="79" t="s">
        <v>260</v>
      </c>
      <c r="B42" s="80" t="s">
        <v>156</v>
      </c>
      <c r="C42" s="81"/>
      <c r="D42" s="82" t="s">
        <v>261</v>
      </c>
      <c r="E42" s="81"/>
      <c r="F42" s="81"/>
      <c r="G42" s="84"/>
      <c r="H42" s="81"/>
      <c r="I42" s="80"/>
      <c r="J42" s="80"/>
      <c r="K42" s="81"/>
      <c r="L42" s="85"/>
    </row>
    <row r="43" spans="1:12">
      <c r="A43" s="79" t="s">
        <v>262</v>
      </c>
      <c r="B43" s="80" t="s">
        <v>157</v>
      </c>
      <c r="C43" s="81"/>
      <c r="D43" s="81"/>
      <c r="E43" s="81"/>
      <c r="F43" s="81"/>
      <c r="G43" s="84"/>
      <c r="H43" s="81"/>
      <c r="I43" s="80"/>
      <c r="J43" s="80"/>
      <c r="K43" s="81"/>
      <c r="L43" s="85"/>
    </row>
    <row r="44" spans="1:12" ht="15" thickBot="1">
      <c r="A44" s="86" t="s">
        <v>263</v>
      </c>
      <c r="B44" s="87" t="s">
        <v>158</v>
      </c>
      <c r="C44" s="88"/>
      <c r="D44" s="88"/>
      <c r="E44" s="88"/>
      <c r="F44" s="88"/>
      <c r="G44" s="89"/>
      <c r="H44" s="88"/>
      <c r="I44" s="87"/>
      <c r="J44" s="87"/>
      <c r="K44" s="88"/>
      <c r="L44" s="90"/>
    </row>
    <row r="45" spans="1:12" ht="14.4" customHeight="1">
      <c r="A45" s="59" t="s">
        <v>264</v>
      </c>
      <c r="B45" s="60" t="s">
        <v>265</v>
      </c>
      <c r="C45" s="61"/>
      <c r="D45" s="61"/>
      <c r="E45" s="91"/>
      <c r="F45" s="61"/>
      <c r="G45" s="61"/>
      <c r="H45" s="61"/>
      <c r="I45" s="60"/>
      <c r="J45" s="60"/>
      <c r="K45" s="61"/>
      <c r="L45" s="92"/>
    </row>
    <row r="46" spans="1:12">
      <c r="A46" s="66" t="s">
        <v>266</v>
      </c>
      <c r="B46" s="67" t="s">
        <v>267</v>
      </c>
      <c r="C46" s="68"/>
      <c r="D46" s="68"/>
      <c r="E46" s="68"/>
      <c r="F46" s="68"/>
      <c r="G46" s="68"/>
      <c r="H46" s="68"/>
      <c r="I46" s="67"/>
      <c r="J46" s="67"/>
      <c r="K46" s="68"/>
      <c r="L46" s="70"/>
    </row>
    <row r="47" spans="1:12">
      <c r="A47" s="66" t="s">
        <v>268</v>
      </c>
      <c r="B47" s="67" t="s">
        <v>269</v>
      </c>
      <c r="C47" s="68"/>
      <c r="D47" s="68"/>
      <c r="E47" s="68"/>
      <c r="F47" s="68"/>
      <c r="G47" s="68"/>
      <c r="H47" s="68"/>
      <c r="I47" s="67"/>
      <c r="J47" s="67"/>
      <c r="K47" s="68"/>
      <c r="L47" s="70"/>
    </row>
    <row r="48" spans="1:12">
      <c r="A48" s="66" t="s">
        <v>270</v>
      </c>
      <c r="B48" s="67" t="s">
        <v>271</v>
      </c>
      <c r="C48" s="68"/>
      <c r="D48" s="68"/>
      <c r="E48" s="68"/>
      <c r="F48" s="68"/>
      <c r="G48" s="68"/>
      <c r="H48" s="68"/>
      <c r="I48" s="67"/>
      <c r="J48" s="67"/>
      <c r="K48" s="68"/>
      <c r="L48" s="70"/>
    </row>
    <row r="49" spans="1:12">
      <c r="A49" s="66" t="s">
        <v>272</v>
      </c>
      <c r="B49" s="67" t="s">
        <v>273</v>
      </c>
      <c r="C49" s="68"/>
      <c r="D49" s="68"/>
      <c r="E49" s="93" t="s">
        <v>274</v>
      </c>
      <c r="F49" s="68"/>
      <c r="G49" s="68"/>
      <c r="H49" s="68"/>
      <c r="I49" s="67"/>
      <c r="J49" s="67"/>
      <c r="K49" s="68"/>
      <c r="L49" s="70"/>
    </row>
    <row r="50" spans="1:12">
      <c r="A50" s="66" t="s">
        <v>275</v>
      </c>
      <c r="B50" s="67" t="s">
        <v>276</v>
      </c>
      <c r="C50" s="68"/>
      <c r="D50" s="68"/>
      <c r="E50" s="68"/>
      <c r="F50" s="68"/>
      <c r="G50" s="68"/>
      <c r="H50" s="68"/>
      <c r="I50" s="67"/>
      <c r="J50" s="67"/>
      <c r="K50" s="68"/>
      <c r="L50" s="70"/>
    </row>
    <row r="51" spans="1:12">
      <c r="A51" s="66" t="s">
        <v>277</v>
      </c>
      <c r="B51" s="67" t="s">
        <v>278</v>
      </c>
      <c r="C51" s="68"/>
      <c r="D51" s="68"/>
      <c r="E51" s="68"/>
      <c r="F51" s="68"/>
      <c r="G51" s="68"/>
      <c r="H51" s="68"/>
      <c r="I51" s="67"/>
      <c r="J51" s="67"/>
      <c r="K51" s="68"/>
      <c r="L51" s="70"/>
    </row>
    <row r="52" spans="1:12" ht="15" thickBot="1">
      <c r="A52" s="94" t="s">
        <v>279</v>
      </c>
      <c r="B52" s="95" t="s">
        <v>280</v>
      </c>
      <c r="C52" s="96"/>
      <c r="D52" s="96"/>
      <c r="E52" s="96"/>
      <c r="F52" s="96"/>
      <c r="G52" s="96"/>
      <c r="H52" s="96"/>
      <c r="I52" s="95"/>
      <c r="J52" s="95"/>
      <c r="K52" s="96"/>
      <c r="L52" s="97"/>
    </row>
    <row r="53" spans="1:12" ht="14.4" customHeight="1">
      <c r="A53" s="2" t="s">
        <v>281</v>
      </c>
      <c r="B53" s="98" t="s">
        <v>159</v>
      </c>
      <c r="C53" s="4"/>
      <c r="D53" s="99"/>
      <c r="E53" s="4"/>
      <c r="F53" s="4"/>
      <c r="G53" s="4"/>
      <c r="H53" s="4"/>
      <c r="I53" s="98"/>
      <c r="J53" s="98"/>
      <c r="K53" s="4"/>
      <c r="L53" s="7"/>
    </row>
    <row r="54" spans="1:12">
      <c r="A54" s="8" t="s">
        <v>282</v>
      </c>
      <c r="B54" s="100" t="s">
        <v>160</v>
      </c>
      <c r="C54" s="10"/>
      <c r="D54" s="10"/>
      <c r="E54" s="10"/>
      <c r="F54" s="10"/>
      <c r="G54" s="10"/>
      <c r="H54" s="10"/>
      <c r="I54" s="100"/>
      <c r="J54" s="100"/>
      <c r="K54" s="10"/>
      <c r="L54" s="12"/>
    </row>
    <row r="55" spans="1:12">
      <c r="A55" s="8" t="s">
        <v>283</v>
      </c>
      <c r="B55" s="100" t="s">
        <v>161</v>
      </c>
      <c r="C55" s="10"/>
      <c r="D55" s="101" t="s">
        <v>284</v>
      </c>
      <c r="E55" s="10"/>
      <c r="F55" s="10"/>
      <c r="G55" s="10"/>
      <c r="H55" s="10"/>
      <c r="I55" s="100"/>
      <c r="J55" s="100"/>
      <c r="K55" s="10"/>
      <c r="L55" s="12"/>
    </row>
    <row r="56" spans="1:12">
      <c r="A56" s="8" t="s">
        <v>285</v>
      </c>
      <c r="B56" s="100" t="s">
        <v>162</v>
      </c>
      <c r="C56" s="10"/>
      <c r="D56" s="10"/>
      <c r="E56" s="10"/>
      <c r="F56" s="10"/>
      <c r="G56" s="10"/>
      <c r="H56" s="10"/>
      <c r="I56" s="100"/>
      <c r="J56" s="100"/>
      <c r="K56" s="10"/>
      <c r="L56" s="12"/>
    </row>
    <row r="57" spans="1:12">
      <c r="A57" s="8" t="s">
        <v>286</v>
      </c>
      <c r="B57" s="100" t="s">
        <v>163</v>
      </c>
      <c r="C57" s="10"/>
      <c r="D57" s="10"/>
      <c r="E57" s="10"/>
      <c r="F57" s="10"/>
      <c r="G57" s="10"/>
      <c r="H57" s="10"/>
      <c r="I57" s="100"/>
      <c r="J57" s="100"/>
      <c r="K57" s="10"/>
      <c r="L57" s="12"/>
    </row>
    <row r="58" spans="1:12">
      <c r="A58" s="47" t="s">
        <v>287</v>
      </c>
      <c r="B58" s="48" t="s">
        <v>164</v>
      </c>
      <c r="C58" s="49"/>
      <c r="D58" s="50"/>
      <c r="E58" s="49"/>
      <c r="F58" s="49"/>
      <c r="G58" s="49"/>
      <c r="H58" s="49"/>
      <c r="I58" s="48"/>
      <c r="J58" s="48"/>
      <c r="K58" s="49"/>
      <c r="L58" s="52"/>
    </row>
    <row r="59" spans="1:12">
      <c r="A59" s="47" t="s">
        <v>288</v>
      </c>
      <c r="B59" s="48" t="s">
        <v>165</v>
      </c>
      <c r="C59" s="49"/>
      <c r="D59" s="49"/>
      <c r="E59" s="49"/>
      <c r="F59" s="49"/>
      <c r="G59" s="49"/>
      <c r="H59" s="49"/>
      <c r="I59" s="48"/>
      <c r="J59" s="48"/>
      <c r="K59" s="49"/>
      <c r="L59" s="52"/>
    </row>
    <row r="60" spans="1:12">
      <c r="A60" s="47" t="s">
        <v>289</v>
      </c>
      <c r="B60" s="48" t="s">
        <v>166</v>
      </c>
      <c r="C60" s="49"/>
      <c r="D60" s="49"/>
      <c r="E60" s="49"/>
      <c r="F60" s="49"/>
      <c r="G60" s="49"/>
      <c r="H60" s="49"/>
      <c r="I60" s="48"/>
      <c r="J60" s="48"/>
      <c r="K60" s="49"/>
      <c r="L60" s="52"/>
    </row>
    <row r="61" spans="1:12">
      <c r="A61" s="47" t="s">
        <v>290</v>
      </c>
      <c r="B61" s="48" t="s">
        <v>167</v>
      </c>
      <c r="C61" s="49"/>
      <c r="D61" s="49"/>
      <c r="E61" s="49"/>
      <c r="F61" s="49"/>
      <c r="G61" s="49"/>
      <c r="H61" s="49"/>
      <c r="I61" s="48"/>
      <c r="J61" s="48"/>
      <c r="K61" s="49"/>
      <c r="L61" s="52"/>
    </row>
    <row r="62" spans="1:12">
      <c r="A62" s="47" t="s">
        <v>291</v>
      </c>
      <c r="B62" s="48" t="s">
        <v>168</v>
      </c>
      <c r="C62" s="49"/>
      <c r="D62" s="49"/>
      <c r="E62" s="49"/>
      <c r="F62" s="49"/>
      <c r="G62" s="49"/>
      <c r="H62" s="49"/>
      <c r="I62" s="48"/>
      <c r="J62" s="48"/>
      <c r="K62" s="49"/>
      <c r="L62" s="52"/>
    </row>
    <row r="63" spans="1:12">
      <c r="A63" s="47" t="s">
        <v>292</v>
      </c>
      <c r="B63" s="48" t="s">
        <v>169</v>
      </c>
      <c r="C63" s="49"/>
      <c r="D63" s="53" t="s">
        <v>293</v>
      </c>
      <c r="E63" s="49"/>
      <c r="F63" s="49"/>
      <c r="G63" s="49"/>
      <c r="H63" s="49"/>
      <c r="I63" s="48"/>
      <c r="J63" s="48"/>
      <c r="K63" s="49"/>
      <c r="L63" s="52"/>
    </row>
    <row r="64" spans="1:12">
      <c r="A64" s="47" t="s">
        <v>294</v>
      </c>
      <c r="B64" s="48" t="s">
        <v>170</v>
      </c>
      <c r="C64" s="49"/>
      <c r="D64" s="49"/>
      <c r="E64" s="49"/>
      <c r="F64" s="49"/>
      <c r="G64" s="49"/>
      <c r="H64" s="49"/>
      <c r="I64" s="48"/>
      <c r="J64" s="48"/>
      <c r="K64" s="49"/>
      <c r="L64" s="52"/>
    </row>
    <row r="65" spans="1:12">
      <c r="A65" s="47" t="s">
        <v>295</v>
      </c>
      <c r="B65" s="48" t="s">
        <v>171</v>
      </c>
      <c r="C65" s="49"/>
      <c r="D65" s="49"/>
      <c r="E65" s="49"/>
      <c r="F65" s="49"/>
      <c r="G65" s="49"/>
      <c r="H65" s="49"/>
      <c r="I65" s="48"/>
      <c r="J65" s="48"/>
      <c r="K65" s="49"/>
      <c r="L65" s="52"/>
    </row>
    <row r="66" spans="1:12">
      <c r="A66" s="47" t="s">
        <v>296</v>
      </c>
      <c r="B66" s="48" t="s">
        <v>172</v>
      </c>
      <c r="C66" s="49"/>
      <c r="D66" s="49"/>
      <c r="E66" s="49"/>
      <c r="F66" s="49"/>
      <c r="G66" s="49"/>
      <c r="H66" s="49"/>
      <c r="I66" s="48"/>
      <c r="J66" s="48"/>
      <c r="K66" s="49"/>
      <c r="L66" s="52"/>
    </row>
    <row r="67" spans="1:12">
      <c r="A67" s="47" t="s">
        <v>297</v>
      </c>
      <c r="B67" s="48" t="s">
        <v>173</v>
      </c>
      <c r="C67" s="49"/>
      <c r="D67" s="49"/>
      <c r="E67" s="49"/>
      <c r="F67" s="49"/>
      <c r="G67" s="49"/>
      <c r="H67" s="49"/>
      <c r="I67" s="48"/>
      <c r="J67" s="48"/>
      <c r="K67" s="49"/>
      <c r="L67" s="52"/>
    </row>
    <row r="68" spans="1:12">
      <c r="A68" s="47" t="s">
        <v>298</v>
      </c>
      <c r="B68" s="48" t="s">
        <v>174</v>
      </c>
      <c r="C68" s="49"/>
      <c r="D68" s="49"/>
      <c r="E68" s="49"/>
      <c r="F68" s="49"/>
      <c r="G68" s="49"/>
      <c r="H68" s="49"/>
      <c r="I68" s="48"/>
      <c r="J68" s="48"/>
      <c r="K68" s="49"/>
      <c r="L68" s="52"/>
    </row>
    <row r="69" spans="1:12">
      <c r="A69" s="47" t="s">
        <v>299</v>
      </c>
      <c r="B69" s="48" t="s">
        <v>175</v>
      </c>
      <c r="C69" s="49"/>
      <c r="D69" s="49"/>
      <c r="E69" s="49"/>
      <c r="F69" s="49"/>
      <c r="G69" s="49"/>
      <c r="H69" s="49"/>
      <c r="I69" s="48"/>
      <c r="J69" s="48"/>
      <c r="K69" s="49"/>
      <c r="L69" s="52"/>
    </row>
    <row r="70" spans="1:12" ht="15" thickBot="1">
      <c r="A70" s="54" t="s">
        <v>300</v>
      </c>
      <c r="B70" s="55" t="s">
        <v>176</v>
      </c>
      <c r="C70" s="56"/>
      <c r="D70" s="56"/>
      <c r="E70" s="56"/>
      <c r="F70" s="56"/>
      <c r="G70" s="56"/>
      <c r="H70" s="56"/>
      <c r="I70" s="55"/>
      <c r="J70" s="55"/>
      <c r="K70" s="56"/>
      <c r="L70" s="58"/>
    </row>
    <row r="71" spans="1:12">
      <c r="A71" s="102" t="s">
        <v>301</v>
      </c>
      <c r="B71" s="103" t="s">
        <v>177</v>
      </c>
      <c r="C71" s="104"/>
      <c r="D71" s="105"/>
      <c r="E71" s="104"/>
      <c r="F71" s="104"/>
      <c r="G71" s="16"/>
      <c r="H71" s="104"/>
      <c r="I71" s="106"/>
      <c r="J71" s="106"/>
      <c r="K71" s="104"/>
      <c r="L71" s="107"/>
    </row>
    <row r="72" spans="1:12">
      <c r="A72" s="14" t="s">
        <v>302</v>
      </c>
      <c r="B72" s="103" t="s">
        <v>178</v>
      </c>
      <c r="C72" s="16"/>
      <c r="D72" s="16"/>
      <c r="E72" s="16"/>
      <c r="F72" s="16"/>
      <c r="G72" s="16"/>
      <c r="H72" s="118"/>
      <c r="I72" s="119"/>
      <c r="J72" s="119"/>
      <c r="K72" s="16"/>
      <c r="L72" s="19"/>
    </row>
    <row r="73" spans="1:12">
      <c r="A73" s="14" t="s">
        <v>303</v>
      </c>
      <c r="B73" s="103" t="s">
        <v>179</v>
      </c>
      <c r="C73" s="16"/>
      <c r="D73" s="22" t="s">
        <v>304</v>
      </c>
      <c r="E73" s="16"/>
      <c r="F73" s="21"/>
      <c r="G73" s="16"/>
      <c r="H73" s="16"/>
      <c r="I73" s="20"/>
      <c r="J73" s="20"/>
      <c r="K73" s="16"/>
      <c r="L73" s="19"/>
    </row>
    <row r="74" spans="1:12" ht="15" thickBot="1">
      <c r="A74" s="108" t="s">
        <v>305</v>
      </c>
      <c r="B74" s="103" t="s">
        <v>180</v>
      </c>
      <c r="C74" s="109"/>
      <c r="D74" s="109"/>
      <c r="E74" s="109"/>
      <c r="F74" s="109"/>
      <c r="G74" s="109"/>
      <c r="H74" s="109"/>
      <c r="I74" s="110"/>
      <c r="J74" s="110"/>
      <c r="K74" s="109"/>
      <c r="L74" s="111"/>
    </row>
    <row r="75" spans="1:12" ht="15" thickBot="1">
      <c r="A75" s="112" t="s">
        <v>306</v>
      </c>
      <c r="B75" s="113" t="s">
        <v>307</v>
      </c>
      <c r="C75" s="114"/>
      <c r="D75" s="115" t="s">
        <v>308</v>
      </c>
      <c r="E75" s="114"/>
      <c r="F75" s="114"/>
      <c r="G75" s="114"/>
      <c r="H75" s="114"/>
      <c r="I75" s="116"/>
      <c r="J75" s="116"/>
      <c r="K75" s="114"/>
      <c r="L75" s="117"/>
    </row>
  </sheetData>
  <mergeCells count="1">
    <mergeCell ref="D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234"/>
  <sheetViews>
    <sheetView showGridLines="0" tabSelected="1" zoomScale="110" zoomScaleNormal="110" workbookViewId="0">
      <selection activeCell="O17" sqref="O17"/>
    </sheetView>
  </sheetViews>
  <sheetFormatPr defaultRowHeight="10.199999999999999"/>
  <cols>
    <col min="1" max="1" width="18.5546875" style="124" customWidth="1"/>
    <col min="2" max="2" width="10.109375" style="124" customWidth="1"/>
    <col min="3" max="3" width="8.21875" style="124" customWidth="1"/>
    <col min="4" max="4" width="8.88671875" style="124" customWidth="1"/>
    <col min="5" max="6" width="9.77734375" style="124" customWidth="1"/>
    <col min="7" max="14" width="8.21875" style="124" customWidth="1"/>
    <col min="15" max="17" width="9.33203125" style="124" customWidth="1"/>
    <col min="18" max="18" width="7.77734375" style="124" customWidth="1"/>
    <col min="19" max="48" width="8.109375" style="124" customWidth="1"/>
    <col min="49" max="50" width="6.88671875" style="124" customWidth="1"/>
    <col min="51" max="51" width="9.6640625" style="124" customWidth="1"/>
    <col min="52" max="52" width="7.109375" style="124" customWidth="1"/>
    <col min="53" max="53" width="11.33203125" style="124" customWidth="1"/>
    <col min="54" max="54" width="10.109375" style="124" customWidth="1"/>
    <col min="55" max="16384" width="8.88671875" style="124"/>
  </cols>
  <sheetData>
    <row r="1" spans="1:54" ht="16.8" customHeight="1">
      <c r="A1" s="256" t="s">
        <v>207</v>
      </c>
      <c r="B1" s="256"/>
      <c r="C1" s="256"/>
      <c r="D1" s="256"/>
      <c r="E1" s="256"/>
      <c r="F1" s="256"/>
      <c r="G1" s="256"/>
      <c r="H1" s="256"/>
      <c r="I1" s="256"/>
      <c r="J1" s="256"/>
      <c r="K1" s="256" t="s">
        <v>208</v>
      </c>
      <c r="L1" s="256"/>
      <c r="M1" s="256"/>
      <c r="N1" s="256"/>
      <c r="O1" s="256"/>
      <c r="P1" s="256"/>
      <c r="Q1" s="256"/>
      <c r="R1" s="256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3"/>
      <c r="AZ1" s="123"/>
      <c r="BA1" s="123"/>
      <c r="BB1" s="123"/>
    </row>
    <row r="2" spans="1:54" ht="10.199999999999999" customHeight="1">
      <c r="A2" s="222" t="s">
        <v>310</v>
      </c>
      <c r="B2" s="222"/>
      <c r="C2" s="222"/>
      <c r="D2" s="222"/>
      <c r="E2" s="222"/>
      <c r="F2" s="222"/>
      <c r="G2" s="222"/>
      <c r="H2" s="222"/>
      <c r="I2" s="222"/>
      <c r="J2" s="222"/>
      <c r="K2" s="222" t="s">
        <v>312</v>
      </c>
      <c r="L2" s="222"/>
      <c r="M2" s="222"/>
      <c r="N2" s="222"/>
      <c r="O2" s="222"/>
      <c r="P2" s="222"/>
      <c r="Q2" s="222"/>
      <c r="R2" s="222"/>
      <c r="S2" s="202" t="s">
        <v>209</v>
      </c>
      <c r="T2" s="202"/>
      <c r="U2" s="202"/>
      <c r="V2" s="202"/>
      <c r="W2" s="202"/>
      <c r="X2" s="202"/>
      <c r="Y2" s="202"/>
      <c r="Z2" s="202"/>
      <c r="AA2" s="202" t="s">
        <v>210</v>
      </c>
      <c r="AB2" s="202"/>
      <c r="AC2" s="202"/>
      <c r="AD2" s="202"/>
      <c r="AE2" s="202"/>
      <c r="AF2" s="202"/>
      <c r="AG2" s="202"/>
      <c r="AH2" s="202"/>
      <c r="AI2" s="202"/>
      <c r="AJ2" s="202"/>
      <c r="AK2" s="202" t="s">
        <v>209</v>
      </c>
      <c r="AL2" s="202"/>
      <c r="AM2" s="202"/>
      <c r="AN2" s="202"/>
      <c r="AO2" s="202"/>
      <c r="AP2" s="202"/>
      <c r="AQ2" s="202"/>
      <c r="AR2" s="202"/>
      <c r="AS2" s="202" t="s">
        <v>210</v>
      </c>
      <c r="AT2" s="202"/>
      <c r="AU2" s="202"/>
      <c r="AV2" s="202"/>
      <c r="AW2" s="202"/>
      <c r="AX2" s="202"/>
      <c r="AY2" s="123"/>
      <c r="AZ2" s="123"/>
      <c r="BA2" s="123"/>
      <c r="BB2" s="123"/>
    </row>
    <row r="3" spans="1:54" ht="15" customHeight="1" thickBot="1">
      <c r="A3" s="125" t="s">
        <v>0</v>
      </c>
      <c r="B3" s="125"/>
      <c r="C3" s="125"/>
      <c r="D3" s="125"/>
      <c r="E3" s="125"/>
      <c r="F3" s="125"/>
      <c r="K3" s="126"/>
      <c r="L3" s="127"/>
      <c r="M3" s="127"/>
      <c r="N3" s="127"/>
      <c r="O3" s="127"/>
      <c r="P3" s="257" t="s">
        <v>1</v>
      </c>
      <c r="Q3" s="257"/>
      <c r="R3" s="257"/>
      <c r="S3" s="128" t="s">
        <v>0</v>
      </c>
      <c r="T3" s="128"/>
      <c r="U3" s="128"/>
      <c r="V3" s="128"/>
      <c r="W3" s="129"/>
      <c r="Y3" s="127"/>
      <c r="Z3" s="127"/>
      <c r="AA3" s="128"/>
      <c r="AB3" s="127"/>
      <c r="AC3" s="126"/>
      <c r="AD3" s="128"/>
      <c r="AE3" s="128"/>
      <c r="AF3" s="128"/>
      <c r="AG3" s="129"/>
      <c r="AH3" s="255" t="s">
        <v>1</v>
      </c>
      <c r="AI3" s="255"/>
      <c r="AJ3" s="255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X3" s="129"/>
      <c r="AY3" s="252" t="s">
        <v>1</v>
      </c>
      <c r="AZ3" s="252"/>
      <c r="BA3" s="252"/>
      <c r="BB3" s="130"/>
    </row>
    <row r="4" spans="1:54" ht="16.8" customHeight="1">
      <c r="A4" s="223" t="s">
        <v>2</v>
      </c>
      <c r="B4" s="226" t="s">
        <v>114</v>
      </c>
      <c r="C4" s="190" t="s">
        <v>105</v>
      </c>
      <c r="D4" s="191"/>
      <c r="E4" s="191"/>
      <c r="F4" s="191"/>
      <c r="G4" s="191"/>
      <c r="H4" s="192"/>
      <c r="I4" s="181" t="s">
        <v>109</v>
      </c>
      <c r="J4" s="182"/>
      <c r="K4" s="229" t="s">
        <v>110</v>
      </c>
      <c r="L4" s="230"/>
      <c r="M4" s="229" t="s">
        <v>111</v>
      </c>
      <c r="N4" s="234"/>
      <c r="O4" s="237" t="s">
        <v>112</v>
      </c>
      <c r="P4" s="246"/>
      <c r="Q4" s="237" t="s">
        <v>113</v>
      </c>
      <c r="R4" s="238"/>
      <c r="S4" s="237" t="s">
        <v>182</v>
      </c>
      <c r="T4" s="238"/>
      <c r="U4" s="237" t="s">
        <v>192</v>
      </c>
      <c r="V4" s="238"/>
      <c r="W4" s="237" t="s">
        <v>183</v>
      </c>
      <c r="X4" s="238"/>
      <c r="Y4" s="237" t="s">
        <v>193</v>
      </c>
      <c r="Z4" s="238"/>
      <c r="AA4" s="237" t="s">
        <v>202</v>
      </c>
      <c r="AB4" s="246"/>
      <c r="AC4" s="235" t="s">
        <v>184</v>
      </c>
      <c r="AD4" s="249"/>
      <c r="AE4" s="249"/>
      <c r="AF4" s="236"/>
      <c r="AG4" s="237" t="s">
        <v>204</v>
      </c>
      <c r="AH4" s="238"/>
      <c r="AI4" s="237" t="s">
        <v>186</v>
      </c>
      <c r="AJ4" s="238"/>
      <c r="AK4" s="237" t="s">
        <v>187</v>
      </c>
      <c r="AL4" s="238"/>
      <c r="AM4" s="237" t="s">
        <v>188</v>
      </c>
      <c r="AN4" s="238"/>
      <c r="AO4" s="237" t="s">
        <v>189</v>
      </c>
      <c r="AP4" s="238"/>
      <c r="AQ4" s="237" t="s">
        <v>190</v>
      </c>
      <c r="AR4" s="238"/>
      <c r="AS4" s="237" t="s">
        <v>205</v>
      </c>
      <c r="AT4" s="238"/>
      <c r="AU4" s="237" t="s">
        <v>191</v>
      </c>
      <c r="AV4" s="238"/>
      <c r="AW4" s="237" t="s">
        <v>206</v>
      </c>
      <c r="AX4" s="223"/>
      <c r="AY4" s="245" t="s">
        <v>3</v>
      </c>
      <c r="AZ4" s="246"/>
      <c r="BA4" s="246"/>
      <c r="BB4" s="131"/>
    </row>
    <row r="5" spans="1:54" ht="15" customHeight="1">
      <c r="A5" s="224"/>
      <c r="B5" s="227"/>
      <c r="C5" s="253" t="s">
        <v>106</v>
      </c>
      <c r="D5" s="254"/>
      <c r="E5" s="187" t="s">
        <v>107</v>
      </c>
      <c r="F5" s="188"/>
      <c r="G5" s="188"/>
      <c r="H5" s="189"/>
      <c r="I5" s="183"/>
      <c r="J5" s="184"/>
      <c r="K5" s="231"/>
      <c r="L5" s="230"/>
      <c r="M5" s="229"/>
      <c r="N5" s="234"/>
      <c r="O5" s="229"/>
      <c r="P5" s="197"/>
      <c r="Q5" s="229"/>
      <c r="R5" s="234"/>
      <c r="S5" s="229"/>
      <c r="T5" s="234"/>
      <c r="U5" s="229"/>
      <c r="V5" s="234"/>
      <c r="W5" s="229"/>
      <c r="X5" s="234"/>
      <c r="Y5" s="229"/>
      <c r="Z5" s="234"/>
      <c r="AA5" s="229"/>
      <c r="AB5" s="197"/>
      <c r="AC5" s="253" t="s">
        <v>185</v>
      </c>
      <c r="AD5" s="254"/>
      <c r="AE5" s="253" t="s">
        <v>203</v>
      </c>
      <c r="AF5" s="254"/>
      <c r="AG5" s="229"/>
      <c r="AH5" s="234"/>
      <c r="AI5" s="229"/>
      <c r="AJ5" s="234"/>
      <c r="AK5" s="229"/>
      <c r="AL5" s="234"/>
      <c r="AM5" s="229"/>
      <c r="AN5" s="234"/>
      <c r="AO5" s="229"/>
      <c r="AP5" s="234"/>
      <c r="AQ5" s="229"/>
      <c r="AR5" s="234"/>
      <c r="AS5" s="229"/>
      <c r="AT5" s="234"/>
      <c r="AU5" s="229"/>
      <c r="AV5" s="234"/>
      <c r="AW5" s="229"/>
      <c r="AX5" s="224"/>
      <c r="AY5" s="247"/>
      <c r="AZ5" s="197"/>
      <c r="BA5" s="197"/>
      <c r="BB5" s="131"/>
    </row>
    <row r="6" spans="1:54" s="131" customFormat="1" ht="36.6" customHeight="1">
      <c r="A6" s="224"/>
      <c r="B6" s="227"/>
      <c r="C6" s="235"/>
      <c r="D6" s="236"/>
      <c r="E6" s="250" t="s">
        <v>181</v>
      </c>
      <c r="F6" s="251"/>
      <c r="G6" s="250" t="s">
        <v>108</v>
      </c>
      <c r="H6" s="251"/>
      <c r="I6" s="185"/>
      <c r="J6" s="186"/>
      <c r="K6" s="232"/>
      <c r="L6" s="233"/>
      <c r="M6" s="235"/>
      <c r="N6" s="236"/>
      <c r="O6" s="235"/>
      <c r="P6" s="249"/>
      <c r="Q6" s="235"/>
      <c r="R6" s="236"/>
      <c r="S6" s="235"/>
      <c r="T6" s="236"/>
      <c r="U6" s="235"/>
      <c r="V6" s="236"/>
      <c r="W6" s="235"/>
      <c r="X6" s="236"/>
      <c r="Y6" s="235"/>
      <c r="Z6" s="236"/>
      <c r="AA6" s="235"/>
      <c r="AB6" s="249"/>
      <c r="AC6" s="235"/>
      <c r="AD6" s="236"/>
      <c r="AE6" s="235"/>
      <c r="AF6" s="236"/>
      <c r="AG6" s="235"/>
      <c r="AH6" s="236"/>
      <c r="AI6" s="235"/>
      <c r="AJ6" s="236"/>
      <c r="AK6" s="235"/>
      <c r="AL6" s="236"/>
      <c r="AM6" s="235"/>
      <c r="AN6" s="236"/>
      <c r="AO6" s="235"/>
      <c r="AP6" s="236"/>
      <c r="AQ6" s="235"/>
      <c r="AR6" s="236"/>
      <c r="AS6" s="235"/>
      <c r="AT6" s="236"/>
      <c r="AU6" s="235"/>
      <c r="AV6" s="236"/>
      <c r="AW6" s="235"/>
      <c r="AX6" s="225"/>
      <c r="AY6" s="247"/>
      <c r="AZ6" s="197"/>
      <c r="BA6" s="197"/>
    </row>
    <row r="7" spans="1:54" s="138" customFormat="1">
      <c r="A7" s="225"/>
      <c r="B7" s="228"/>
      <c r="C7" s="133">
        <v>1</v>
      </c>
      <c r="D7" s="133">
        <v>2</v>
      </c>
      <c r="E7" s="133">
        <v>1</v>
      </c>
      <c r="F7" s="133">
        <v>2</v>
      </c>
      <c r="G7" s="133">
        <v>1</v>
      </c>
      <c r="H7" s="133">
        <v>2</v>
      </c>
      <c r="I7" s="134">
        <v>1</v>
      </c>
      <c r="J7" s="134">
        <v>2</v>
      </c>
      <c r="K7" s="133">
        <v>1</v>
      </c>
      <c r="L7" s="133">
        <v>2</v>
      </c>
      <c r="M7" s="133">
        <v>1</v>
      </c>
      <c r="N7" s="133">
        <v>2</v>
      </c>
      <c r="O7" s="135">
        <v>1</v>
      </c>
      <c r="P7" s="134">
        <v>2</v>
      </c>
      <c r="Q7" s="135">
        <v>1</v>
      </c>
      <c r="R7" s="134">
        <v>2</v>
      </c>
      <c r="S7" s="133">
        <v>1</v>
      </c>
      <c r="T7" s="133">
        <v>2</v>
      </c>
      <c r="U7" s="133">
        <v>1</v>
      </c>
      <c r="V7" s="133">
        <v>2</v>
      </c>
      <c r="W7" s="133">
        <v>1</v>
      </c>
      <c r="X7" s="133">
        <v>2</v>
      </c>
      <c r="Y7" s="133">
        <v>1</v>
      </c>
      <c r="Z7" s="133">
        <v>2</v>
      </c>
      <c r="AA7" s="133">
        <v>1</v>
      </c>
      <c r="AB7" s="133">
        <v>2</v>
      </c>
      <c r="AC7" s="134">
        <v>1</v>
      </c>
      <c r="AD7" s="134">
        <v>2</v>
      </c>
      <c r="AE7" s="135">
        <v>1</v>
      </c>
      <c r="AF7" s="134">
        <v>2</v>
      </c>
      <c r="AG7" s="136">
        <v>1</v>
      </c>
      <c r="AH7" s="133">
        <v>2</v>
      </c>
      <c r="AI7" s="133">
        <v>1</v>
      </c>
      <c r="AJ7" s="133">
        <v>2</v>
      </c>
      <c r="AK7" s="133">
        <v>1</v>
      </c>
      <c r="AL7" s="133">
        <v>2</v>
      </c>
      <c r="AM7" s="133">
        <v>1</v>
      </c>
      <c r="AN7" s="133">
        <v>2</v>
      </c>
      <c r="AO7" s="133">
        <v>1</v>
      </c>
      <c r="AP7" s="133">
        <v>2</v>
      </c>
      <c r="AQ7" s="133">
        <v>1</v>
      </c>
      <c r="AR7" s="133">
        <v>2</v>
      </c>
      <c r="AS7" s="133">
        <v>1</v>
      </c>
      <c r="AT7" s="133">
        <v>2</v>
      </c>
      <c r="AU7" s="136">
        <v>1</v>
      </c>
      <c r="AV7" s="133">
        <v>2</v>
      </c>
      <c r="AW7" s="136">
        <v>1</v>
      </c>
      <c r="AX7" s="137">
        <v>2</v>
      </c>
      <c r="AY7" s="248"/>
      <c r="AZ7" s="249"/>
      <c r="BA7" s="249"/>
    </row>
    <row r="8" spans="1:54" ht="11.4" customHeight="1">
      <c r="A8" s="239" t="s">
        <v>4</v>
      </c>
      <c r="B8" s="241">
        <f>SUM(B10,B18,B31,B37,B44,B51,B58,B63,B70,B80,B87,B102)</f>
        <v>904137</v>
      </c>
      <c r="C8" s="243">
        <f>SUM(C10,C18,C31,C37,C44,C51,C58,C63,C70,C80,C87,C102)</f>
        <v>101283</v>
      </c>
      <c r="D8" s="219">
        <f>SUM(D10,D18,D31,D37,D44,D51,D58,D63,D70,D80,D87,D102)</f>
        <v>617037.60499999998</v>
      </c>
      <c r="E8" s="219">
        <f>SUM(E10,E18,E31,E37,E44,E51,E58,E63,E70,E80,E87,E102)</f>
        <v>140820</v>
      </c>
      <c r="F8" s="219">
        <f>SUM(F10,F18,F31,F37,F44,F51,F58,F63,F70,F80,F87,F102)</f>
        <v>396432.74900000001</v>
      </c>
      <c r="G8" s="219">
        <f t="shared" ref="G8:P8" si="0">SUM(G10,G18,G31,G37,G44,G51,G58,G63,G70,G80,G87,G102)</f>
        <v>32895</v>
      </c>
      <c r="H8" s="219">
        <f t="shared" si="0"/>
        <v>220797.47100000002</v>
      </c>
      <c r="I8" s="219">
        <f t="shared" si="0"/>
        <v>72107</v>
      </c>
      <c r="J8" s="219">
        <f t="shared" si="0"/>
        <v>66280.896999999997</v>
      </c>
      <c r="K8" s="219">
        <f t="shared" si="0"/>
        <v>72670</v>
      </c>
      <c r="L8" s="219">
        <f t="shared" si="0"/>
        <v>149855.60000000003</v>
      </c>
      <c r="M8" s="219">
        <f t="shared" si="0"/>
        <v>42168</v>
      </c>
      <c r="N8" s="219">
        <f t="shared" si="0"/>
        <v>74848.248999999996</v>
      </c>
      <c r="O8" s="219">
        <f t="shared" si="0"/>
        <v>45158</v>
      </c>
      <c r="P8" s="219">
        <f t="shared" si="0"/>
        <v>80882.364000000001</v>
      </c>
      <c r="Q8" s="219">
        <f t="shared" ref="Q8:Z8" si="1">SUM(Q10,Q18,Q31,Q37,Q44,Q51,Q58,Q63,Q70,Q80,Q87,Q102)</f>
        <v>67219</v>
      </c>
      <c r="R8" s="219">
        <f t="shared" si="1"/>
        <v>192477.12800000003</v>
      </c>
      <c r="S8" s="219">
        <f t="shared" si="1"/>
        <v>13560</v>
      </c>
      <c r="T8" s="219">
        <f t="shared" si="1"/>
        <v>8522.726999999999</v>
      </c>
      <c r="U8" s="219">
        <f t="shared" si="1"/>
        <v>21620</v>
      </c>
      <c r="V8" s="219">
        <f t="shared" si="1"/>
        <v>21554.228000000003</v>
      </c>
      <c r="W8" s="219">
        <f t="shared" si="1"/>
        <v>21581</v>
      </c>
      <c r="X8" s="219">
        <f t="shared" si="1"/>
        <v>31309.95</v>
      </c>
      <c r="Y8" s="219">
        <f t="shared" si="1"/>
        <v>41761</v>
      </c>
      <c r="Z8" s="219">
        <f t="shared" si="1"/>
        <v>44576.607999999993</v>
      </c>
      <c r="AA8" s="219">
        <f t="shared" ref="AA8:AI8" si="2">SUM(AA10,AA18,AA31,AA37,AA44,AA51,AA58,AA63,AA70,AA80,AA87,AA102)</f>
        <v>22681</v>
      </c>
      <c r="AB8" s="219">
        <f t="shared" si="2"/>
        <v>15077.929</v>
      </c>
      <c r="AC8" s="219">
        <f t="shared" si="2"/>
        <v>19732</v>
      </c>
      <c r="AD8" s="219">
        <f t="shared" si="2"/>
        <v>14390.436999999998</v>
      </c>
      <c r="AE8" s="219">
        <f t="shared" si="2"/>
        <v>1444</v>
      </c>
      <c r="AF8" s="219">
        <f t="shared" si="2"/>
        <v>680.81599999999992</v>
      </c>
      <c r="AG8" s="219">
        <f t="shared" si="2"/>
        <v>21147</v>
      </c>
      <c r="AH8" s="219">
        <f t="shared" si="2"/>
        <v>43669.856999999982</v>
      </c>
      <c r="AI8" s="219">
        <f t="shared" si="2"/>
        <v>56112</v>
      </c>
      <c r="AJ8" s="219">
        <f>SUM(AJ10,AJ18,AJ31,AJ37,AJ44,AJ51,AJ58,AJ63,AJ70,AJ80,AJ87,AJ102)</f>
        <v>80056.113999999987</v>
      </c>
      <c r="AK8" s="219">
        <f>SUM(AK10,AK18,AK31,AK37,AK44,AK51,AK58,AK63,AK70,AK80,AK87,AK102)</f>
        <v>13693</v>
      </c>
      <c r="AL8" s="219">
        <f>SUM(AL10,AL18,AL31,AL37,AL44,AL51,AL58,AL63,AL70,AL80,AL87,AL102)</f>
        <v>24072.834999999999</v>
      </c>
      <c r="AM8" s="219">
        <f>SUM(AM10,AM18,AM31,AM37,AM44,AM51,AM58,AM63,AM70,AM80,AM87,AM102)</f>
        <v>15436</v>
      </c>
      <c r="AN8" s="219">
        <f t="shared" ref="AN8:AX8" si="3">SUM(AN10,AN18,AN31,AN37,AN44,AN51,AN58,AN63,AN70,AN80,AN87,AN102)</f>
        <v>142738.704</v>
      </c>
      <c r="AO8" s="219">
        <f t="shared" si="3"/>
        <v>27691</v>
      </c>
      <c r="AP8" s="219">
        <f t="shared" si="3"/>
        <v>51406.044999999998</v>
      </c>
      <c r="AQ8" s="219">
        <f t="shared" si="3"/>
        <v>4165</v>
      </c>
      <c r="AR8" s="219">
        <f t="shared" si="3"/>
        <v>15728.96</v>
      </c>
      <c r="AS8" s="219">
        <f t="shared" si="3"/>
        <v>32902</v>
      </c>
      <c r="AT8" s="219">
        <f t="shared" si="3"/>
        <v>15795.509999999998</v>
      </c>
      <c r="AU8" s="219">
        <f t="shared" si="3"/>
        <v>2898</v>
      </c>
      <c r="AV8" s="219">
        <f t="shared" si="3"/>
        <v>7320.746000000001</v>
      </c>
      <c r="AW8" s="219">
        <f t="shared" si="3"/>
        <v>13394</v>
      </c>
      <c r="AX8" s="219">
        <f t="shared" si="3"/>
        <v>12412.468999999997</v>
      </c>
      <c r="AY8" s="221" t="s">
        <v>5</v>
      </c>
      <c r="AZ8" s="222"/>
      <c r="BA8" s="222"/>
      <c r="BB8" s="131"/>
    </row>
    <row r="9" spans="1:54">
      <c r="A9" s="240"/>
      <c r="B9" s="242"/>
      <c r="C9" s="244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  <c r="AD9" s="220"/>
      <c r="AE9" s="220"/>
      <c r="AF9" s="220"/>
      <c r="AG9" s="220"/>
      <c r="AH9" s="220"/>
      <c r="AI9" s="220"/>
      <c r="AJ9" s="220"/>
      <c r="AK9" s="220"/>
      <c r="AL9" s="220"/>
      <c r="AM9" s="220"/>
      <c r="AN9" s="220"/>
      <c r="AO9" s="220"/>
      <c r="AP9" s="220"/>
      <c r="AQ9" s="220"/>
      <c r="AR9" s="220"/>
      <c r="AS9" s="220"/>
      <c r="AT9" s="220"/>
      <c r="AU9" s="220"/>
      <c r="AV9" s="220"/>
      <c r="AW9" s="220"/>
      <c r="AX9" s="220"/>
      <c r="AY9" s="221"/>
      <c r="AZ9" s="222"/>
      <c r="BA9" s="222"/>
      <c r="BB9" s="131"/>
    </row>
    <row r="10" spans="1:54" ht="14.4" customHeight="1">
      <c r="A10" s="218" t="s">
        <v>6</v>
      </c>
      <c r="B10" s="211">
        <f>SUM(C10,E10,G10,I10,K10,M10,O10,Q10,S10,U10,W10,Y10,AA10,AC10,AE10,AG10,AI10,AK10,AM10,AO10,AQ10,AS10,AU10,AW10)</f>
        <v>68977</v>
      </c>
      <c r="C10" s="216">
        <f t="shared" ref="C10:R10" si="4">SUM(C12:C17)</f>
        <v>3326</v>
      </c>
      <c r="D10" s="216">
        <f t="shared" si="4"/>
        <v>15132.025</v>
      </c>
      <c r="E10" s="216">
        <f t="shared" si="4"/>
        <v>9658</v>
      </c>
      <c r="F10" s="216">
        <f t="shared" si="4"/>
        <v>27011.774000000001</v>
      </c>
      <c r="G10" s="216">
        <f t="shared" si="4"/>
        <v>670</v>
      </c>
      <c r="H10" s="216">
        <f t="shared" si="4"/>
        <v>3668.5000000000005</v>
      </c>
      <c r="I10" s="216">
        <f t="shared" si="4"/>
        <v>5766</v>
      </c>
      <c r="J10" s="216">
        <f t="shared" si="4"/>
        <v>4645.9799999999996</v>
      </c>
      <c r="K10" s="216">
        <f t="shared" si="4"/>
        <v>3754</v>
      </c>
      <c r="L10" s="216">
        <f t="shared" si="4"/>
        <v>8517.7200000000012</v>
      </c>
      <c r="M10" s="216">
        <f t="shared" si="4"/>
        <v>1563</v>
      </c>
      <c r="N10" s="217">
        <f t="shared" si="4"/>
        <v>2941.4</v>
      </c>
      <c r="O10" s="216">
        <f t="shared" si="4"/>
        <v>1275</v>
      </c>
      <c r="P10" s="216">
        <f t="shared" si="4"/>
        <v>2003.83</v>
      </c>
      <c r="Q10" s="216">
        <f t="shared" si="4"/>
        <v>5076</v>
      </c>
      <c r="R10" s="217">
        <f t="shared" si="4"/>
        <v>7889.8949999999995</v>
      </c>
      <c r="S10" s="217">
        <f t="shared" ref="S10:AX10" si="5">SUM(S12:S17)</f>
        <v>3866</v>
      </c>
      <c r="T10" s="217">
        <f t="shared" si="5"/>
        <v>2115.87</v>
      </c>
      <c r="U10" s="217">
        <f t="shared" si="5"/>
        <v>10</v>
      </c>
      <c r="V10" s="217">
        <f t="shared" si="5"/>
        <v>10</v>
      </c>
      <c r="W10" s="217">
        <f t="shared" si="5"/>
        <v>818</v>
      </c>
      <c r="X10" s="217">
        <f t="shared" si="5"/>
        <v>739.64999999999986</v>
      </c>
      <c r="Y10" s="217">
        <f t="shared" si="5"/>
        <v>1463</v>
      </c>
      <c r="Z10" s="217">
        <f t="shared" si="5"/>
        <v>1173.23</v>
      </c>
      <c r="AA10" s="217">
        <f t="shared" si="5"/>
        <v>3906</v>
      </c>
      <c r="AB10" s="217">
        <f t="shared" si="5"/>
        <v>2540.37</v>
      </c>
      <c r="AC10" s="216">
        <f t="shared" si="5"/>
        <v>2651</v>
      </c>
      <c r="AD10" s="217">
        <f t="shared" si="5"/>
        <v>1577.2199999999998</v>
      </c>
      <c r="AE10" s="217">
        <f t="shared" si="5"/>
        <v>354</v>
      </c>
      <c r="AF10" s="217">
        <f t="shared" si="5"/>
        <v>143</v>
      </c>
      <c r="AG10" s="217">
        <f t="shared" si="5"/>
        <v>1687</v>
      </c>
      <c r="AH10" s="217">
        <f t="shared" si="5"/>
        <v>3176.1499999999996</v>
      </c>
      <c r="AI10" s="217">
        <f t="shared" si="5"/>
        <v>1810</v>
      </c>
      <c r="AJ10" s="217">
        <f t="shared" si="5"/>
        <v>2037.6399999999999</v>
      </c>
      <c r="AK10" s="217">
        <f t="shared" si="5"/>
        <v>572</v>
      </c>
      <c r="AL10" s="217">
        <f t="shared" si="5"/>
        <v>1055.3499999999999</v>
      </c>
      <c r="AM10" s="217">
        <f t="shared" si="5"/>
        <v>196</v>
      </c>
      <c r="AN10" s="217">
        <f t="shared" si="5"/>
        <v>1114.5999999999999</v>
      </c>
      <c r="AO10" s="217">
        <f t="shared" si="5"/>
        <v>2043</v>
      </c>
      <c r="AP10" s="217">
        <f t="shared" si="5"/>
        <v>3045.98</v>
      </c>
      <c r="AQ10" s="217">
        <f t="shared" si="5"/>
        <v>93</v>
      </c>
      <c r="AR10" s="217">
        <f t="shared" si="5"/>
        <v>224.5</v>
      </c>
      <c r="AS10" s="217">
        <f t="shared" si="5"/>
        <v>18236</v>
      </c>
      <c r="AT10" s="217">
        <f t="shared" si="5"/>
        <v>10590.24</v>
      </c>
      <c r="AU10" s="217">
        <f t="shared" si="5"/>
        <v>12</v>
      </c>
      <c r="AV10" s="217">
        <f t="shared" si="5"/>
        <v>22.4</v>
      </c>
      <c r="AW10" s="217">
        <f t="shared" si="5"/>
        <v>172</v>
      </c>
      <c r="AX10" s="217">
        <f t="shared" si="5"/>
        <v>62.14</v>
      </c>
      <c r="AY10" s="215" t="s">
        <v>7</v>
      </c>
      <c r="AZ10" s="193"/>
      <c r="BA10" s="193"/>
      <c r="BB10" s="131"/>
    </row>
    <row r="11" spans="1:54" ht="12" customHeight="1">
      <c r="A11" s="218"/>
      <c r="B11" s="212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7"/>
      <c r="O11" s="216"/>
      <c r="P11" s="216"/>
      <c r="Q11" s="216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6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  <c r="AQ11" s="217"/>
      <c r="AR11" s="217"/>
      <c r="AS11" s="217"/>
      <c r="AT11" s="217"/>
      <c r="AU11" s="217"/>
      <c r="AV11" s="217"/>
      <c r="AW11" s="217"/>
      <c r="AX11" s="217"/>
      <c r="AY11" s="215"/>
      <c r="AZ11" s="193"/>
      <c r="BA11" s="193"/>
      <c r="BB11" s="131"/>
    </row>
    <row r="12" spans="1:54">
      <c r="A12" s="139" t="s">
        <v>115</v>
      </c>
      <c r="B12" s="120">
        <f t="shared" ref="B12:B18" si="6">SUM(C12,E12,G12,I12,K12,M12,O12,Q12,S12,U12,W12,Y12,AA12,AC12,AE12,AG12,AI12,AK12,AM12,AO12,AQ12,AS12,AU12,AW12)</f>
        <v>9556</v>
      </c>
      <c r="C12" s="140">
        <v>575</v>
      </c>
      <c r="D12" s="140">
        <v>2619.3000000000002</v>
      </c>
      <c r="E12" s="140">
        <v>1604</v>
      </c>
      <c r="F12" s="140">
        <v>5387.4</v>
      </c>
      <c r="G12" s="140">
        <v>79</v>
      </c>
      <c r="H12" s="140">
        <v>607.20000000000005</v>
      </c>
      <c r="I12" s="140">
        <v>443</v>
      </c>
      <c r="J12" s="141">
        <v>377.95</v>
      </c>
      <c r="K12" s="142">
        <v>543</v>
      </c>
      <c r="L12" s="142">
        <v>1083.5999999999999</v>
      </c>
      <c r="M12" s="142">
        <v>267</v>
      </c>
      <c r="N12" s="142">
        <v>526.4</v>
      </c>
      <c r="O12" s="142">
        <v>212</v>
      </c>
      <c r="P12" s="142">
        <v>287.39999999999998</v>
      </c>
      <c r="Q12" s="142">
        <v>979</v>
      </c>
      <c r="R12" s="143">
        <v>1061.5</v>
      </c>
      <c r="S12" s="140">
        <v>151</v>
      </c>
      <c r="T12" s="140">
        <v>81.599999999999994</v>
      </c>
      <c r="U12" s="144" t="s">
        <v>311</v>
      </c>
      <c r="V12" s="144" t="s">
        <v>311</v>
      </c>
      <c r="W12" s="142">
        <v>100</v>
      </c>
      <c r="X12" s="142">
        <v>89.5</v>
      </c>
      <c r="Y12" s="142">
        <v>319</v>
      </c>
      <c r="Z12" s="142">
        <v>276.3</v>
      </c>
      <c r="AA12" s="142">
        <v>34</v>
      </c>
      <c r="AB12" s="143">
        <v>13.62</v>
      </c>
      <c r="AC12" s="141">
        <v>2138</v>
      </c>
      <c r="AD12" s="142">
        <v>1288</v>
      </c>
      <c r="AE12" s="142">
        <v>316</v>
      </c>
      <c r="AF12" s="142">
        <v>127.3</v>
      </c>
      <c r="AG12" s="142">
        <v>326</v>
      </c>
      <c r="AH12" s="142">
        <v>807</v>
      </c>
      <c r="AI12" s="142">
        <v>234</v>
      </c>
      <c r="AJ12" s="142">
        <v>318.3</v>
      </c>
      <c r="AK12" s="142">
        <v>116</v>
      </c>
      <c r="AL12" s="142">
        <v>200.7</v>
      </c>
      <c r="AM12" s="142">
        <v>38</v>
      </c>
      <c r="AN12" s="142">
        <v>255</v>
      </c>
      <c r="AO12" s="143">
        <v>321</v>
      </c>
      <c r="AP12" s="140">
        <v>676.2</v>
      </c>
      <c r="AQ12" s="140">
        <v>30</v>
      </c>
      <c r="AR12" s="140">
        <v>87.6</v>
      </c>
      <c r="AS12" s="142">
        <v>710</v>
      </c>
      <c r="AT12" s="142">
        <v>206.1</v>
      </c>
      <c r="AU12" s="145" t="s">
        <v>311</v>
      </c>
      <c r="AV12" s="145" t="s">
        <v>311</v>
      </c>
      <c r="AW12" s="146">
        <v>21</v>
      </c>
      <c r="AX12" s="147">
        <v>16.32</v>
      </c>
      <c r="AY12" s="148" t="s">
        <v>8</v>
      </c>
      <c r="AZ12" s="149"/>
      <c r="BA12" s="149"/>
      <c r="BB12" s="131"/>
    </row>
    <row r="13" spans="1:54">
      <c r="A13" s="139" t="s">
        <v>116</v>
      </c>
      <c r="B13" s="120">
        <f t="shared" si="6"/>
        <v>8211</v>
      </c>
      <c r="C13" s="140">
        <v>1006</v>
      </c>
      <c r="D13" s="140">
        <v>3737.5</v>
      </c>
      <c r="E13" s="140">
        <v>1386</v>
      </c>
      <c r="F13" s="140">
        <v>2528.9</v>
      </c>
      <c r="G13" s="140">
        <v>185</v>
      </c>
      <c r="H13" s="140">
        <v>851.5</v>
      </c>
      <c r="I13" s="140">
        <v>1154</v>
      </c>
      <c r="J13" s="141">
        <v>434.9</v>
      </c>
      <c r="K13" s="142">
        <v>614</v>
      </c>
      <c r="L13" s="142">
        <v>1873.9</v>
      </c>
      <c r="M13" s="142">
        <v>317</v>
      </c>
      <c r="N13" s="142">
        <v>582.5</v>
      </c>
      <c r="O13" s="142">
        <v>130</v>
      </c>
      <c r="P13" s="142">
        <v>155.05000000000001</v>
      </c>
      <c r="Q13" s="142">
        <v>1716</v>
      </c>
      <c r="R13" s="143">
        <v>2767.15</v>
      </c>
      <c r="S13" s="140">
        <v>48</v>
      </c>
      <c r="T13" s="140">
        <v>25.45</v>
      </c>
      <c r="U13" s="144" t="s">
        <v>311</v>
      </c>
      <c r="V13" s="144" t="s">
        <v>311</v>
      </c>
      <c r="W13" s="142">
        <v>212</v>
      </c>
      <c r="X13" s="142">
        <v>218.4</v>
      </c>
      <c r="Y13" s="142">
        <v>185</v>
      </c>
      <c r="Z13" s="142">
        <v>175.55</v>
      </c>
      <c r="AA13" s="142">
        <v>61</v>
      </c>
      <c r="AB13" s="143">
        <v>30.25</v>
      </c>
      <c r="AC13" s="141">
        <v>122</v>
      </c>
      <c r="AD13" s="142">
        <v>90.6</v>
      </c>
      <c r="AE13" s="142">
        <v>5</v>
      </c>
      <c r="AF13" s="142">
        <v>5</v>
      </c>
      <c r="AG13" s="142">
        <v>256</v>
      </c>
      <c r="AH13" s="142">
        <v>886.95</v>
      </c>
      <c r="AI13" s="142">
        <v>375</v>
      </c>
      <c r="AJ13" s="142">
        <v>450.15</v>
      </c>
      <c r="AK13" s="142">
        <v>68</v>
      </c>
      <c r="AL13" s="142">
        <v>96</v>
      </c>
      <c r="AM13" s="142">
        <v>42</v>
      </c>
      <c r="AN13" s="142">
        <v>140.5</v>
      </c>
      <c r="AO13" s="143">
        <v>237</v>
      </c>
      <c r="AP13" s="140">
        <v>334.35</v>
      </c>
      <c r="AQ13" s="140">
        <v>27</v>
      </c>
      <c r="AR13" s="140">
        <v>53.5</v>
      </c>
      <c r="AS13" s="145" t="s">
        <v>311</v>
      </c>
      <c r="AT13" s="145" t="s">
        <v>311</v>
      </c>
      <c r="AU13" s="145" t="s">
        <v>311</v>
      </c>
      <c r="AV13" s="145" t="s">
        <v>311</v>
      </c>
      <c r="AW13" s="150">
        <v>65</v>
      </c>
      <c r="AX13" s="151">
        <v>17.3</v>
      </c>
      <c r="AY13" s="148" t="s">
        <v>9</v>
      </c>
      <c r="AZ13" s="149"/>
      <c r="BA13" s="149"/>
      <c r="BB13" s="131"/>
    </row>
    <row r="14" spans="1:54">
      <c r="A14" s="139" t="s">
        <v>117</v>
      </c>
      <c r="B14" s="120">
        <f t="shared" si="6"/>
        <v>18259</v>
      </c>
      <c r="C14" s="140">
        <v>192</v>
      </c>
      <c r="D14" s="140">
        <v>800.9</v>
      </c>
      <c r="E14" s="140">
        <v>1278</v>
      </c>
      <c r="F14" s="140">
        <v>3575.95</v>
      </c>
      <c r="G14" s="140">
        <v>89</v>
      </c>
      <c r="H14" s="140">
        <v>415.5</v>
      </c>
      <c r="I14" s="140">
        <v>1707</v>
      </c>
      <c r="J14" s="141">
        <v>1755.74</v>
      </c>
      <c r="K14" s="142">
        <v>508</v>
      </c>
      <c r="L14" s="142">
        <v>1401.72</v>
      </c>
      <c r="M14" s="142">
        <v>220</v>
      </c>
      <c r="N14" s="142">
        <v>462</v>
      </c>
      <c r="O14" s="142">
        <v>178</v>
      </c>
      <c r="P14" s="142">
        <v>311.68</v>
      </c>
      <c r="Q14" s="142">
        <v>1565</v>
      </c>
      <c r="R14" s="143">
        <v>3536.58</v>
      </c>
      <c r="S14" s="140">
        <v>3594</v>
      </c>
      <c r="T14" s="140">
        <v>1969.7</v>
      </c>
      <c r="U14" s="144" t="s">
        <v>311</v>
      </c>
      <c r="V14" s="144" t="s">
        <v>311</v>
      </c>
      <c r="W14" s="142">
        <v>41</v>
      </c>
      <c r="X14" s="142">
        <v>37.9</v>
      </c>
      <c r="Y14" s="142">
        <v>330</v>
      </c>
      <c r="Z14" s="142">
        <v>218.05</v>
      </c>
      <c r="AA14" s="142">
        <v>3751</v>
      </c>
      <c r="AB14" s="143">
        <v>2461.4</v>
      </c>
      <c r="AC14" s="141">
        <v>224</v>
      </c>
      <c r="AD14" s="142">
        <v>106.68</v>
      </c>
      <c r="AE14" s="142">
        <v>22</v>
      </c>
      <c r="AF14" s="142">
        <v>7.2</v>
      </c>
      <c r="AG14" s="142">
        <v>250</v>
      </c>
      <c r="AH14" s="142">
        <v>443.12</v>
      </c>
      <c r="AI14" s="142">
        <v>142</v>
      </c>
      <c r="AJ14" s="142">
        <v>206.78</v>
      </c>
      <c r="AK14" s="142">
        <v>153</v>
      </c>
      <c r="AL14" s="142">
        <v>376.45</v>
      </c>
      <c r="AM14" s="142">
        <v>43</v>
      </c>
      <c r="AN14" s="142">
        <v>244</v>
      </c>
      <c r="AO14" s="143">
        <v>310</v>
      </c>
      <c r="AP14" s="140">
        <v>582.41999999999996</v>
      </c>
      <c r="AQ14" s="140">
        <v>16</v>
      </c>
      <c r="AR14" s="140">
        <v>44.7</v>
      </c>
      <c r="AS14" s="142">
        <v>3608</v>
      </c>
      <c r="AT14" s="142">
        <v>2230.6999999999998</v>
      </c>
      <c r="AU14" s="142">
        <v>12</v>
      </c>
      <c r="AV14" s="142">
        <v>22.4</v>
      </c>
      <c r="AW14" s="150">
        <v>26</v>
      </c>
      <c r="AX14" s="151">
        <v>16.600000000000001</v>
      </c>
      <c r="AY14" s="148" t="s">
        <v>10</v>
      </c>
      <c r="AZ14" s="149"/>
      <c r="BA14" s="149"/>
      <c r="BB14" s="131"/>
    </row>
    <row r="15" spans="1:54">
      <c r="A15" s="139" t="s">
        <v>118</v>
      </c>
      <c r="B15" s="120">
        <f t="shared" si="6"/>
        <v>686</v>
      </c>
      <c r="C15" s="144" t="s">
        <v>311</v>
      </c>
      <c r="D15" s="144" t="s">
        <v>311</v>
      </c>
      <c r="E15" s="140">
        <v>240</v>
      </c>
      <c r="F15" s="140">
        <v>395.5</v>
      </c>
      <c r="G15" s="144" t="s">
        <v>311</v>
      </c>
      <c r="H15" s="144" t="s">
        <v>311</v>
      </c>
      <c r="I15" s="140">
        <v>106</v>
      </c>
      <c r="J15" s="141">
        <v>84.5</v>
      </c>
      <c r="K15" s="142">
        <v>42</v>
      </c>
      <c r="L15" s="142">
        <v>82.1</v>
      </c>
      <c r="M15" s="142">
        <v>14</v>
      </c>
      <c r="N15" s="142">
        <v>22.2</v>
      </c>
      <c r="O15" s="142">
        <v>31</v>
      </c>
      <c r="P15" s="142">
        <v>35.5</v>
      </c>
      <c r="Q15" s="142">
        <v>65</v>
      </c>
      <c r="R15" s="143">
        <v>51.3</v>
      </c>
      <c r="S15" s="140">
        <v>15</v>
      </c>
      <c r="T15" s="140">
        <v>7.45</v>
      </c>
      <c r="U15" s="144" t="s">
        <v>311</v>
      </c>
      <c r="V15" s="144" t="s">
        <v>311</v>
      </c>
      <c r="W15" s="142">
        <v>15</v>
      </c>
      <c r="X15" s="142">
        <v>11.2</v>
      </c>
      <c r="Y15" s="142">
        <v>24</v>
      </c>
      <c r="Z15" s="142">
        <v>23.3</v>
      </c>
      <c r="AA15" s="142">
        <v>5</v>
      </c>
      <c r="AB15" s="143">
        <v>2.2000000000000002</v>
      </c>
      <c r="AC15" s="141">
        <v>3</v>
      </c>
      <c r="AD15" s="142">
        <v>1.5</v>
      </c>
      <c r="AE15" s="145" t="s">
        <v>311</v>
      </c>
      <c r="AF15" s="145" t="s">
        <v>311</v>
      </c>
      <c r="AG15" s="142">
        <v>21</v>
      </c>
      <c r="AH15" s="142">
        <v>22.2</v>
      </c>
      <c r="AI15" s="142">
        <v>62</v>
      </c>
      <c r="AJ15" s="142">
        <v>64.599999999999994</v>
      </c>
      <c r="AK15" s="142">
        <v>22</v>
      </c>
      <c r="AL15" s="142">
        <v>31.3</v>
      </c>
      <c r="AM15" s="145" t="s">
        <v>311</v>
      </c>
      <c r="AN15" s="145" t="s">
        <v>311</v>
      </c>
      <c r="AO15" s="143">
        <v>21</v>
      </c>
      <c r="AP15" s="140">
        <v>27.2</v>
      </c>
      <c r="AQ15" s="144" t="s">
        <v>311</v>
      </c>
      <c r="AR15" s="144" t="s">
        <v>311</v>
      </c>
      <c r="AS15" s="145" t="s">
        <v>311</v>
      </c>
      <c r="AT15" s="145" t="s">
        <v>311</v>
      </c>
      <c r="AU15" s="145" t="s">
        <v>311</v>
      </c>
      <c r="AV15" s="145" t="s">
        <v>311</v>
      </c>
      <c r="AW15" s="150" t="s">
        <v>311</v>
      </c>
      <c r="AX15" s="151" t="s">
        <v>311</v>
      </c>
      <c r="AY15" s="148" t="s">
        <v>11</v>
      </c>
      <c r="AZ15" s="149"/>
      <c r="BA15" s="149"/>
      <c r="BB15" s="131"/>
    </row>
    <row r="16" spans="1:54">
      <c r="A16" s="139" t="s">
        <v>119</v>
      </c>
      <c r="B16" s="120">
        <f t="shared" si="6"/>
        <v>24706</v>
      </c>
      <c r="C16" s="140">
        <v>1022</v>
      </c>
      <c r="D16" s="140">
        <v>5360.7</v>
      </c>
      <c r="E16" s="140">
        <v>4173</v>
      </c>
      <c r="F16" s="140">
        <v>13869.584000000001</v>
      </c>
      <c r="G16" s="140">
        <v>252</v>
      </c>
      <c r="H16" s="140">
        <v>1525.9</v>
      </c>
      <c r="I16" s="140">
        <v>1825</v>
      </c>
      <c r="J16" s="141">
        <v>1747.7</v>
      </c>
      <c r="K16" s="142">
        <v>1227</v>
      </c>
      <c r="L16" s="142">
        <v>3175.7</v>
      </c>
      <c r="M16" s="142">
        <v>604</v>
      </c>
      <c r="N16" s="142">
        <v>1195.8</v>
      </c>
      <c r="O16" s="142">
        <v>565</v>
      </c>
      <c r="P16" s="142">
        <v>1049.2</v>
      </c>
      <c r="Q16" s="142">
        <v>303</v>
      </c>
      <c r="R16" s="143">
        <v>265.55</v>
      </c>
      <c r="S16" s="140">
        <v>33</v>
      </c>
      <c r="T16" s="140">
        <v>22.6</v>
      </c>
      <c r="U16" s="140">
        <v>10</v>
      </c>
      <c r="V16" s="140">
        <v>10</v>
      </c>
      <c r="W16" s="142">
        <v>356</v>
      </c>
      <c r="X16" s="142">
        <v>336.9</v>
      </c>
      <c r="Y16" s="142">
        <v>439</v>
      </c>
      <c r="Z16" s="142">
        <v>385.43</v>
      </c>
      <c r="AA16" s="142">
        <v>44</v>
      </c>
      <c r="AB16" s="143">
        <v>24.3</v>
      </c>
      <c r="AC16" s="141">
        <v>131</v>
      </c>
      <c r="AD16" s="142">
        <v>74.84</v>
      </c>
      <c r="AE16" s="142">
        <v>11</v>
      </c>
      <c r="AF16" s="142">
        <v>3.5</v>
      </c>
      <c r="AG16" s="142">
        <v>468</v>
      </c>
      <c r="AH16" s="142">
        <v>658.93</v>
      </c>
      <c r="AI16" s="142">
        <v>734</v>
      </c>
      <c r="AJ16" s="142">
        <v>834.56</v>
      </c>
      <c r="AK16" s="142">
        <v>155</v>
      </c>
      <c r="AL16" s="142">
        <v>293.5</v>
      </c>
      <c r="AM16" s="142">
        <v>58</v>
      </c>
      <c r="AN16" s="142">
        <v>428.3</v>
      </c>
      <c r="AO16" s="143">
        <v>350</v>
      </c>
      <c r="AP16" s="140">
        <v>589.4</v>
      </c>
      <c r="AQ16" s="144">
        <v>1</v>
      </c>
      <c r="AR16" s="144">
        <v>3</v>
      </c>
      <c r="AS16" s="142">
        <v>11898</v>
      </c>
      <c r="AT16" s="142">
        <v>7379.34</v>
      </c>
      <c r="AU16" s="145" t="s">
        <v>311</v>
      </c>
      <c r="AV16" s="145" t="s">
        <v>311</v>
      </c>
      <c r="AW16" s="150">
        <v>47</v>
      </c>
      <c r="AX16" s="151">
        <v>8.6199999999999992</v>
      </c>
      <c r="AY16" s="148" t="s">
        <v>12</v>
      </c>
      <c r="AZ16" s="149"/>
      <c r="BA16" s="149"/>
      <c r="BB16" s="131"/>
    </row>
    <row r="17" spans="1:54">
      <c r="A17" s="139" t="s">
        <v>120</v>
      </c>
      <c r="B17" s="120">
        <f t="shared" si="6"/>
        <v>7559</v>
      </c>
      <c r="C17" s="140">
        <v>531</v>
      </c>
      <c r="D17" s="140">
        <v>2613.625</v>
      </c>
      <c r="E17" s="140">
        <v>977</v>
      </c>
      <c r="F17" s="140">
        <v>1254.44</v>
      </c>
      <c r="G17" s="140">
        <v>65</v>
      </c>
      <c r="H17" s="140">
        <v>268.39999999999998</v>
      </c>
      <c r="I17" s="140">
        <v>531</v>
      </c>
      <c r="J17" s="141">
        <v>245.19</v>
      </c>
      <c r="K17" s="142">
        <v>820</v>
      </c>
      <c r="L17" s="142">
        <v>900.7</v>
      </c>
      <c r="M17" s="142">
        <v>141</v>
      </c>
      <c r="N17" s="142">
        <v>152.5</v>
      </c>
      <c r="O17" s="142">
        <v>159</v>
      </c>
      <c r="P17" s="142">
        <v>165</v>
      </c>
      <c r="Q17" s="142">
        <v>448</v>
      </c>
      <c r="R17" s="143">
        <v>207.815</v>
      </c>
      <c r="S17" s="140">
        <v>25</v>
      </c>
      <c r="T17" s="140">
        <v>9.07</v>
      </c>
      <c r="U17" s="144" t="s">
        <v>311</v>
      </c>
      <c r="V17" s="144" t="s">
        <v>311</v>
      </c>
      <c r="W17" s="142">
        <v>94</v>
      </c>
      <c r="X17" s="142">
        <v>45.75</v>
      </c>
      <c r="Y17" s="142">
        <v>166</v>
      </c>
      <c r="Z17" s="142">
        <v>94.6</v>
      </c>
      <c r="AA17" s="142">
        <v>11</v>
      </c>
      <c r="AB17" s="143">
        <v>8.6</v>
      </c>
      <c r="AC17" s="141">
        <v>33</v>
      </c>
      <c r="AD17" s="142">
        <v>15.6</v>
      </c>
      <c r="AE17" s="145" t="s">
        <v>311</v>
      </c>
      <c r="AF17" s="145" t="s">
        <v>311</v>
      </c>
      <c r="AG17" s="142">
        <v>366</v>
      </c>
      <c r="AH17" s="142">
        <v>357.95</v>
      </c>
      <c r="AI17" s="142">
        <v>263</v>
      </c>
      <c r="AJ17" s="142">
        <v>163.25</v>
      </c>
      <c r="AK17" s="142">
        <v>58</v>
      </c>
      <c r="AL17" s="142">
        <v>57.4</v>
      </c>
      <c r="AM17" s="142">
        <v>15</v>
      </c>
      <c r="AN17" s="142">
        <v>46.8</v>
      </c>
      <c r="AO17" s="143">
        <v>804</v>
      </c>
      <c r="AP17" s="140">
        <v>836.41</v>
      </c>
      <c r="AQ17" s="140">
        <v>19</v>
      </c>
      <c r="AR17" s="140">
        <v>35.700000000000003</v>
      </c>
      <c r="AS17" s="142">
        <v>2020</v>
      </c>
      <c r="AT17" s="142">
        <v>774.1</v>
      </c>
      <c r="AU17" s="145" t="s">
        <v>311</v>
      </c>
      <c r="AV17" s="145" t="s">
        <v>311</v>
      </c>
      <c r="AW17" s="150">
        <v>13</v>
      </c>
      <c r="AX17" s="151">
        <v>3.3</v>
      </c>
      <c r="AY17" s="148" t="s">
        <v>13</v>
      </c>
      <c r="AZ17" s="149"/>
      <c r="BA17" s="149"/>
      <c r="BB17" s="131"/>
    </row>
    <row r="18" spans="1:54">
      <c r="A18" s="214" t="s">
        <v>14</v>
      </c>
      <c r="B18" s="211">
        <f t="shared" si="6"/>
        <v>157190</v>
      </c>
      <c r="C18" s="200">
        <f t="shared" ref="C18:N18" si="7">SUM(C20:C30)</f>
        <v>7644</v>
      </c>
      <c r="D18" s="200">
        <f t="shared" si="7"/>
        <v>36041.33</v>
      </c>
      <c r="E18" s="200">
        <f t="shared" si="7"/>
        <v>17914</v>
      </c>
      <c r="F18" s="200">
        <f t="shared" si="7"/>
        <v>63610.107000000004</v>
      </c>
      <c r="G18" s="200">
        <f t="shared" si="7"/>
        <v>4495</v>
      </c>
      <c r="H18" s="200">
        <f t="shared" si="7"/>
        <v>36194.840000000004</v>
      </c>
      <c r="I18" s="200">
        <f t="shared" si="7"/>
        <v>14837</v>
      </c>
      <c r="J18" s="200">
        <f t="shared" si="7"/>
        <v>14721.260999999999</v>
      </c>
      <c r="K18" s="200">
        <f t="shared" si="7"/>
        <v>17193</v>
      </c>
      <c r="L18" s="200">
        <f t="shared" si="7"/>
        <v>47271.48000000001</v>
      </c>
      <c r="M18" s="200">
        <f t="shared" si="7"/>
        <v>8617</v>
      </c>
      <c r="N18" s="207">
        <f t="shared" si="7"/>
        <v>15752.294999999998</v>
      </c>
      <c r="O18" s="208">
        <f>SUM(O20:O30)</f>
        <v>5854</v>
      </c>
      <c r="P18" s="209">
        <f>SUM(P20:P30)</f>
        <v>12194.564999999999</v>
      </c>
      <c r="Q18" s="209">
        <f>SUM(Q20:Q30)</f>
        <v>5918</v>
      </c>
      <c r="R18" s="208">
        <f>SUM(R20:R30)</f>
        <v>10226.689999999999</v>
      </c>
      <c r="S18" s="208">
        <f t="shared" ref="S18:AX18" si="8">SUM(S20:S30)</f>
        <v>588</v>
      </c>
      <c r="T18" s="208">
        <f t="shared" si="8"/>
        <v>458.42999999999995</v>
      </c>
      <c r="U18" s="208">
        <f t="shared" si="8"/>
        <v>42</v>
      </c>
      <c r="V18" s="208">
        <f t="shared" si="8"/>
        <v>38.300999999999995</v>
      </c>
      <c r="W18" s="208">
        <f t="shared" si="8"/>
        <v>3390</v>
      </c>
      <c r="X18" s="208">
        <f t="shared" si="8"/>
        <v>3252.3849999999993</v>
      </c>
      <c r="Y18" s="208">
        <f t="shared" si="8"/>
        <v>12165</v>
      </c>
      <c r="Z18" s="208">
        <f t="shared" si="8"/>
        <v>12217.014999999998</v>
      </c>
      <c r="AA18" s="208">
        <f t="shared" si="8"/>
        <v>11075</v>
      </c>
      <c r="AB18" s="209">
        <f t="shared" si="8"/>
        <v>8023.9839999999986</v>
      </c>
      <c r="AC18" s="208">
        <f t="shared" si="8"/>
        <v>6280</v>
      </c>
      <c r="AD18" s="208">
        <f t="shared" si="8"/>
        <v>4447.97</v>
      </c>
      <c r="AE18" s="208">
        <f t="shared" si="8"/>
        <v>140</v>
      </c>
      <c r="AF18" s="208">
        <f t="shared" si="8"/>
        <v>37.791000000000004</v>
      </c>
      <c r="AG18" s="208">
        <f t="shared" si="8"/>
        <v>8325</v>
      </c>
      <c r="AH18" s="208">
        <f t="shared" si="8"/>
        <v>18948.509999999998</v>
      </c>
      <c r="AI18" s="208">
        <f t="shared" si="8"/>
        <v>10018</v>
      </c>
      <c r="AJ18" s="208">
        <f t="shared" si="8"/>
        <v>11026.439999999999</v>
      </c>
      <c r="AK18" s="208">
        <f t="shared" si="8"/>
        <v>1551</v>
      </c>
      <c r="AL18" s="208">
        <f t="shared" si="8"/>
        <v>3892.51</v>
      </c>
      <c r="AM18" s="208">
        <f t="shared" si="8"/>
        <v>2275</v>
      </c>
      <c r="AN18" s="208">
        <f t="shared" si="8"/>
        <v>20087.77</v>
      </c>
      <c r="AO18" s="208">
        <f t="shared" si="8"/>
        <v>5305</v>
      </c>
      <c r="AP18" s="208">
        <f t="shared" si="8"/>
        <v>12007.334999999999</v>
      </c>
      <c r="AQ18" s="208">
        <f t="shared" si="8"/>
        <v>667</v>
      </c>
      <c r="AR18" s="208">
        <f t="shared" si="8"/>
        <v>2169.5700000000002</v>
      </c>
      <c r="AS18" s="208">
        <f t="shared" si="8"/>
        <v>11587</v>
      </c>
      <c r="AT18" s="208">
        <f t="shared" si="8"/>
        <v>3709.48</v>
      </c>
      <c r="AU18" s="208">
        <f t="shared" si="8"/>
        <v>214</v>
      </c>
      <c r="AV18" s="208">
        <f t="shared" si="8"/>
        <v>422.07</v>
      </c>
      <c r="AW18" s="208">
        <f t="shared" si="8"/>
        <v>1096</v>
      </c>
      <c r="AX18" s="208">
        <f t="shared" si="8"/>
        <v>520.69999999999993</v>
      </c>
      <c r="AY18" s="213" t="s">
        <v>15</v>
      </c>
      <c r="AZ18" s="195"/>
      <c r="BA18" s="195"/>
      <c r="BB18" s="131"/>
    </row>
    <row r="19" spans="1:54">
      <c r="A19" s="214"/>
      <c r="B19" s="212"/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7"/>
      <c r="O19" s="208"/>
      <c r="P19" s="209"/>
      <c r="Q19" s="209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9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  <c r="AW19" s="208"/>
      <c r="AX19" s="208"/>
      <c r="AY19" s="213"/>
      <c r="AZ19" s="195"/>
      <c r="BA19" s="195"/>
      <c r="BB19" s="131"/>
    </row>
    <row r="20" spans="1:54">
      <c r="A20" s="139" t="s">
        <v>121</v>
      </c>
      <c r="B20" s="120">
        <f t="shared" ref="B20:B30" si="9">SUM(C20,E20,G20,I20,K20,M20,O20,Q20,S20,U20,W20,Y20,AA20,AC20,AE20,AG20,AI20,AK20,AM20,AO20,AQ20,AS20,AU20,AW20)</f>
        <v>48008</v>
      </c>
      <c r="C20" s="140">
        <v>694</v>
      </c>
      <c r="D20" s="140">
        <v>2935</v>
      </c>
      <c r="E20" s="140">
        <v>2804</v>
      </c>
      <c r="F20" s="140">
        <v>11612.2</v>
      </c>
      <c r="G20" s="140">
        <v>815</v>
      </c>
      <c r="H20" s="140">
        <v>6339</v>
      </c>
      <c r="I20" s="140">
        <v>3083</v>
      </c>
      <c r="J20" s="141">
        <v>3302.75</v>
      </c>
      <c r="K20" s="142">
        <v>8013</v>
      </c>
      <c r="L20" s="142">
        <v>25963.5</v>
      </c>
      <c r="M20" s="142">
        <v>4446</v>
      </c>
      <c r="N20" s="142">
        <v>7634.2</v>
      </c>
      <c r="O20" s="142">
        <v>3077</v>
      </c>
      <c r="P20" s="142">
        <v>6662.7</v>
      </c>
      <c r="Q20" s="142">
        <v>319</v>
      </c>
      <c r="R20" s="143">
        <v>518.25</v>
      </c>
      <c r="S20" s="140">
        <v>26</v>
      </c>
      <c r="T20" s="140">
        <v>26.3</v>
      </c>
      <c r="U20" s="140">
        <v>15</v>
      </c>
      <c r="V20" s="140">
        <v>30</v>
      </c>
      <c r="W20" s="142">
        <v>1934</v>
      </c>
      <c r="X20" s="142">
        <v>1976.8</v>
      </c>
      <c r="Y20" s="142">
        <v>4426</v>
      </c>
      <c r="Z20" s="142">
        <v>4481.95</v>
      </c>
      <c r="AA20" s="142">
        <v>7388</v>
      </c>
      <c r="AB20" s="142">
        <v>4731.2</v>
      </c>
      <c r="AC20" s="142">
        <v>120</v>
      </c>
      <c r="AD20" s="142">
        <v>74.8</v>
      </c>
      <c r="AE20" s="142">
        <v>35</v>
      </c>
      <c r="AF20" s="142">
        <v>16.25</v>
      </c>
      <c r="AG20" s="142">
        <v>2647</v>
      </c>
      <c r="AH20" s="142">
        <v>6457.1</v>
      </c>
      <c r="AI20" s="142">
        <v>5220</v>
      </c>
      <c r="AJ20" s="142">
        <v>5466.2749999999996</v>
      </c>
      <c r="AK20" s="142">
        <v>349</v>
      </c>
      <c r="AL20" s="142">
        <v>942</v>
      </c>
      <c r="AM20" s="142">
        <v>777</v>
      </c>
      <c r="AN20" s="142">
        <v>7885.9</v>
      </c>
      <c r="AO20" s="143">
        <v>1324</v>
      </c>
      <c r="AP20" s="140">
        <v>2872.25</v>
      </c>
      <c r="AQ20" s="140">
        <v>189</v>
      </c>
      <c r="AR20" s="140">
        <v>519.4</v>
      </c>
      <c r="AS20" s="142">
        <v>136</v>
      </c>
      <c r="AT20" s="142">
        <v>90</v>
      </c>
      <c r="AU20" s="145" t="s">
        <v>311</v>
      </c>
      <c r="AV20" s="145" t="s">
        <v>311</v>
      </c>
      <c r="AW20" s="146">
        <v>171</v>
      </c>
      <c r="AX20" s="147">
        <v>79.349999999999994</v>
      </c>
      <c r="AY20" s="148" t="s">
        <v>16</v>
      </c>
      <c r="AZ20" s="149"/>
      <c r="BA20" s="149"/>
      <c r="BB20" s="131"/>
    </row>
    <row r="21" spans="1:54">
      <c r="A21" s="139" t="s">
        <v>122</v>
      </c>
      <c r="B21" s="120">
        <f t="shared" si="9"/>
        <v>16480</v>
      </c>
      <c r="C21" s="140">
        <v>2274</v>
      </c>
      <c r="D21" s="140">
        <v>11332.8</v>
      </c>
      <c r="E21" s="140">
        <v>1147</v>
      </c>
      <c r="F21" s="140">
        <v>5614.74</v>
      </c>
      <c r="G21" s="140">
        <v>411</v>
      </c>
      <c r="H21" s="140">
        <v>9621</v>
      </c>
      <c r="I21" s="140">
        <v>1149</v>
      </c>
      <c r="J21" s="141">
        <v>1354.04</v>
      </c>
      <c r="K21" s="142">
        <v>810</v>
      </c>
      <c r="L21" s="142">
        <v>2582.15</v>
      </c>
      <c r="M21" s="142">
        <v>449</v>
      </c>
      <c r="N21" s="142">
        <v>1046.0999999999999</v>
      </c>
      <c r="O21" s="142">
        <v>350</v>
      </c>
      <c r="P21" s="142">
        <v>758.5</v>
      </c>
      <c r="Q21" s="142">
        <v>84</v>
      </c>
      <c r="R21" s="143">
        <v>163.69999999999999</v>
      </c>
      <c r="S21" s="140">
        <v>9</v>
      </c>
      <c r="T21" s="140">
        <v>7.65</v>
      </c>
      <c r="U21" s="140">
        <v>1</v>
      </c>
      <c r="V21" s="140">
        <v>1</v>
      </c>
      <c r="W21" s="142">
        <v>205</v>
      </c>
      <c r="X21" s="142">
        <v>147.1</v>
      </c>
      <c r="Y21" s="142">
        <v>741</v>
      </c>
      <c r="Z21" s="142">
        <v>743.6</v>
      </c>
      <c r="AA21" s="142">
        <v>564</v>
      </c>
      <c r="AB21" s="142">
        <v>406.7</v>
      </c>
      <c r="AC21" s="142">
        <v>4966</v>
      </c>
      <c r="AD21" s="142">
        <v>3472.55</v>
      </c>
      <c r="AE21" s="145" t="s">
        <v>311</v>
      </c>
      <c r="AF21" s="145" t="s">
        <v>311</v>
      </c>
      <c r="AG21" s="142">
        <v>469</v>
      </c>
      <c r="AH21" s="142">
        <v>1243.3</v>
      </c>
      <c r="AI21" s="142">
        <v>582</v>
      </c>
      <c r="AJ21" s="142">
        <v>721.71</v>
      </c>
      <c r="AK21" s="142">
        <v>125</v>
      </c>
      <c r="AL21" s="142">
        <v>478.2</v>
      </c>
      <c r="AM21" s="142">
        <v>158</v>
      </c>
      <c r="AN21" s="142">
        <v>1365.1</v>
      </c>
      <c r="AO21" s="143">
        <v>540</v>
      </c>
      <c r="AP21" s="140">
        <v>1330.5</v>
      </c>
      <c r="AQ21" s="140">
        <v>43</v>
      </c>
      <c r="AR21" s="140">
        <v>146.69999999999999</v>
      </c>
      <c r="AS21" s="142">
        <v>1329</v>
      </c>
      <c r="AT21" s="142">
        <v>516.1</v>
      </c>
      <c r="AU21" s="145" t="s">
        <v>311</v>
      </c>
      <c r="AV21" s="145" t="s">
        <v>311</v>
      </c>
      <c r="AW21" s="150">
        <v>74</v>
      </c>
      <c r="AX21" s="151">
        <v>43.1</v>
      </c>
      <c r="AY21" s="148" t="s">
        <v>17</v>
      </c>
      <c r="AZ21" s="149"/>
      <c r="BA21" s="149"/>
      <c r="BB21" s="131"/>
    </row>
    <row r="22" spans="1:54">
      <c r="A22" s="139" t="s">
        <v>123</v>
      </c>
      <c r="B22" s="120">
        <f t="shared" si="9"/>
        <v>6558</v>
      </c>
      <c r="C22" s="140">
        <v>410</v>
      </c>
      <c r="D22" s="140">
        <v>1395.78</v>
      </c>
      <c r="E22" s="140">
        <v>1611</v>
      </c>
      <c r="F22" s="140">
        <v>3999.067</v>
      </c>
      <c r="G22" s="140">
        <v>58</v>
      </c>
      <c r="H22" s="140">
        <v>168.7</v>
      </c>
      <c r="I22" s="140">
        <v>377</v>
      </c>
      <c r="J22" s="141">
        <v>201.71</v>
      </c>
      <c r="K22" s="142">
        <v>694</v>
      </c>
      <c r="L22" s="142">
        <v>1019.27</v>
      </c>
      <c r="M22" s="142">
        <v>500</v>
      </c>
      <c r="N22" s="142">
        <v>575.71</v>
      </c>
      <c r="O22" s="142">
        <v>337</v>
      </c>
      <c r="P22" s="142">
        <v>298.065</v>
      </c>
      <c r="Q22" s="142">
        <v>425</v>
      </c>
      <c r="R22" s="143">
        <v>362.57</v>
      </c>
      <c r="S22" s="140">
        <v>110</v>
      </c>
      <c r="T22" s="140">
        <v>57.86</v>
      </c>
      <c r="U22" s="144" t="s">
        <v>311</v>
      </c>
      <c r="V22" s="144" t="s">
        <v>311</v>
      </c>
      <c r="W22" s="142">
        <v>61</v>
      </c>
      <c r="X22" s="142">
        <v>30.995000000000001</v>
      </c>
      <c r="Y22" s="142">
        <v>351</v>
      </c>
      <c r="Z22" s="142">
        <v>328.03</v>
      </c>
      <c r="AA22" s="142">
        <v>84</v>
      </c>
      <c r="AB22" s="142">
        <v>50.814999999999998</v>
      </c>
      <c r="AC22" s="142">
        <v>242</v>
      </c>
      <c r="AD22" s="142">
        <v>128.34</v>
      </c>
      <c r="AE22" s="142">
        <v>12</v>
      </c>
      <c r="AF22" s="142">
        <v>3.1</v>
      </c>
      <c r="AG22" s="142">
        <v>374</v>
      </c>
      <c r="AH22" s="142">
        <v>392.23</v>
      </c>
      <c r="AI22" s="142">
        <v>399</v>
      </c>
      <c r="AJ22" s="142">
        <v>253.86</v>
      </c>
      <c r="AK22" s="142">
        <v>62</v>
      </c>
      <c r="AL22" s="142">
        <v>49.77</v>
      </c>
      <c r="AM22" s="142">
        <v>11</v>
      </c>
      <c r="AN22" s="142">
        <v>10.45</v>
      </c>
      <c r="AO22" s="143">
        <v>336</v>
      </c>
      <c r="AP22" s="140">
        <v>318.39</v>
      </c>
      <c r="AQ22" s="140">
        <v>42</v>
      </c>
      <c r="AR22" s="140">
        <v>70.8</v>
      </c>
      <c r="AS22" s="145" t="s">
        <v>311</v>
      </c>
      <c r="AT22" s="145" t="s">
        <v>311</v>
      </c>
      <c r="AU22" s="145" t="s">
        <v>311</v>
      </c>
      <c r="AV22" s="145" t="s">
        <v>311</v>
      </c>
      <c r="AW22" s="150">
        <v>62</v>
      </c>
      <c r="AX22" s="151">
        <v>18.2</v>
      </c>
      <c r="AY22" s="148" t="s">
        <v>18</v>
      </c>
      <c r="AZ22" s="149"/>
      <c r="BA22" s="149"/>
      <c r="BB22" s="131"/>
    </row>
    <row r="23" spans="1:54">
      <c r="A23" s="139" t="s">
        <v>124</v>
      </c>
      <c r="B23" s="120">
        <f t="shared" si="9"/>
        <v>37385</v>
      </c>
      <c r="C23" s="140">
        <v>2039</v>
      </c>
      <c r="D23" s="140">
        <v>9090</v>
      </c>
      <c r="E23" s="140">
        <v>1155</v>
      </c>
      <c r="F23" s="140">
        <v>3125.8649999999998</v>
      </c>
      <c r="G23" s="140">
        <v>2003</v>
      </c>
      <c r="H23" s="140">
        <v>13169.26</v>
      </c>
      <c r="I23" s="140">
        <v>5413</v>
      </c>
      <c r="J23" s="141">
        <v>5405.3</v>
      </c>
      <c r="K23" s="142">
        <v>2684</v>
      </c>
      <c r="L23" s="142">
        <v>6669.66</v>
      </c>
      <c r="M23" s="142">
        <v>1401</v>
      </c>
      <c r="N23" s="142">
        <v>3381.95</v>
      </c>
      <c r="O23" s="142">
        <v>401</v>
      </c>
      <c r="P23" s="142">
        <v>1004.3</v>
      </c>
      <c r="Q23" s="142">
        <v>426</v>
      </c>
      <c r="R23" s="143">
        <v>777.75</v>
      </c>
      <c r="S23" s="140">
        <v>60</v>
      </c>
      <c r="T23" s="140">
        <v>33.700000000000003</v>
      </c>
      <c r="U23" s="144" t="s">
        <v>311</v>
      </c>
      <c r="V23" s="144" t="s">
        <v>311</v>
      </c>
      <c r="W23" s="142">
        <v>374</v>
      </c>
      <c r="X23" s="142">
        <v>331.93</v>
      </c>
      <c r="Y23" s="142">
        <v>4266</v>
      </c>
      <c r="Z23" s="142">
        <v>3993.1</v>
      </c>
      <c r="AA23" s="142">
        <v>2654</v>
      </c>
      <c r="AB23" s="142">
        <v>2589.1999999999998</v>
      </c>
      <c r="AC23" s="142">
        <v>216</v>
      </c>
      <c r="AD23" s="142">
        <v>163.52000000000001</v>
      </c>
      <c r="AE23" s="142">
        <v>5</v>
      </c>
      <c r="AF23" s="142">
        <v>3.5</v>
      </c>
      <c r="AG23" s="142">
        <v>1768</v>
      </c>
      <c r="AH23" s="142">
        <v>4722.1000000000004</v>
      </c>
      <c r="AI23" s="142">
        <v>1054</v>
      </c>
      <c r="AJ23" s="142">
        <v>900.29</v>
      </c>
      <c r="AK23" s="142">
        <v>149</v>
      </c>
      <c r="AL23" s="142">
        <v>286.2</v>
      </c>
      <c r="AM23" s="142">
        <v>765</v>
      </c>
      <c r="AN23" s="142">
        <v>7507.02</v>
      </c>
      <c r="AO23" s="143">
        <v>879</v>
      </c>
      <c r="AP23" s="140">
        <v>2146.5</v>
      </c>
      <c r="AQ23" s="140">
        <v>81</v>
      </c>
      <c r="AR23" s="140">
        <v>208.3</v>
      </c>
      <c r="AS23" s="142">
        <v>9527</v>
      </c>
      <c r="AT23" s="142">
        <v>2727.38</v>
      </c>
      <c r="AU23" s="142">
        <v>12</v>
      </c>
      <c r="AV23" s="142">
        <v>11.6</v>
      </c>
      <c r="AW23" s="150">
        <v>53</v>
      </c>
      <c r="AX23" s="151">
        <v>22.05</v>
      </c>
      <c r="AY23" s="148" t="s">
        <v>19</v>
      </c>
      <c r="AZ23" s="149"/>
      <c r="BA23" s="149"/>
      <c r="BB23" s="131"/>
    </row>
    <row r="24" spans="1:54">
      <c r="A24" s="139" t="s">
        <v>125</v>
      </c>
      <c r="B24" s="120">
        <f t="shared" si="9"/>
        <v>10098</v>
      </c>
      <c r="C24" s="140">
        <v>478</v>
      </c>
      <c r="D24" s="140">
        <v>2183.25</v>
      </c>
      <c r="E24" s="140">
        <v>2092</v>
      </c>
      <c r="F24" s="140">
        <v>5975.5</v>
      </c>
      <c r="G24" s="140">
        <v>172</v>
      </c>
      <c r="H24" s="140">
        <v>1108</v>
      </c>
      <c r="I24" s="140">
        <v>1109</v>
      </c>
      <c r="J24" s="141">
        <v>1744.85</v>
      </c>
      <c r="K24" s="142">
        <v>951</v>
      </c>
      <c r="L24" s="142">
        <v>2792.8449999999998</v>
      </c>
      <c r="M24" s="142">
        <v>575</v>
      </c>
      <c r="N24" s="142">
        <v>1075.75</v>
      </c>
      <c r="O24" s="142">
        <v>322</v>
      </c>
      <c r="P24" s="142">
        <v>842.66</v>
      </c>
      <c r="Q24" s="142">
        <v>762</v>
      </c>
      <c r="R24" s="143">
        <v>1429.2</v>
      </c>
      <c r="S24" s="140">
        <v>39</v>
      </c>
      <c r="T24" s="140">
        <v>28.95</v>
      </c>
      <c r="U24" s="140">
        <v>2</v>
      </c>
      <c r="V24" s="140">
        <v>2</v>
      </c>
      <c r="W24" s="142">
        <v>99</v>
      </c>
      <c r="X24" s="142">
        <v>117.6</v>
      </c>
      <c r="Y24" s="142">
        <v>662</v>
      </c>
      <c r="Z24" s="142">
        <v>1071.5</v>
      </c>
      <c r="AA24" s="142">
        <v>98</v>
      </c>
      <c r="AB24" s="142">
        <v>85.4</v>
      </c>
      <c r="AC24" s="142">
        <v>325</v>
      </c>
      <c r="AD24" s="142">
        <v>325.14999999999998</v>
      </c>
      <c r="AE24" s="145" t="s">
        <v>311</v>
      </c>
      <c r="AF24" s="145" t="s">
        <v>311</v>
      </c>
      <c r="AG24" s="142">
        <v>874</v>
      </c>
      <c r="AH24" s="142">
        <v>2226.1999999999998</v>
      </c>
      <c r="AI24" s="142">
        <v>414</v>
      </c>
      <c r="AJ24" s="142">
        <v>714.9</v>
      </c>
      <c r="AK24" s="142">
        <v>218</v>
      </c>
      <c r="AL24" s="142">
        <v>703.6</v>
      </c>
      <c r="AM24" s="142">
        <v>41</v>
      </c>
      <c r="AN24" s="142">
        <v>208</v>
      </c>
      <c r="AO24" s="143">
        <v>580</v>
      </c>
      <c r="AP24" s="140">
        <v>1460.66</v>
      </c>
      <c r="AQ24" s="140">
        <v>20</v>
      </c>
      <c r="AR24" s="140">
        <v>84</v>
      </c>
      <c r="AS24" s="142">
        <v>30</v>
      </c>
      <c r="AT24" s="142">
        <v>12.5</v>
      </c>
      <c r="AU24" s="142">
        <v>153</v>
      </c>
      <c r="AV24" s="142">
        <v>387.5</v>
      </c>
      <c r="AW24" s="150">
        <v>82</v>
      </c>
      <c r="AX24" s="151">
        <v>73</v>
      </c>
      <c r="AY24" s="148" t="s">
        <v>20</v>
      </c>
      <c r="AZ24" s="149"/>
      <c r="BA24" s="149"/>
      <c r="BB24" s="131"/>
    </row>
    <row r="25" spans="1:54">
      <c r="A25" s="139" t="s">
        <v>126</v>
      </c>
      <c r="B25" s="120">
        <f t="shared" si="9"/>
        <v>14867</v>
      </c>
      <c r="C25" s="140">
        <v>1267</v>
      </c>
      <c r="D25" s="140">
        <v>7139.5</v>
      </c>
      <c r="E25" s="140">
        <v>2192</v>
      </c>
      <c r="F25" s="140">
        <v>9532.5</v>
      </c>
      <c r="G25" s="140">
        <v>443</v>
      </c>
      <c r="H25" s="140">
        <v>2650.5</v>
      </c>
      <c r="I25" s="140">
        <v>1696</v>
      </c>
      <c r="J25" s="141">
        <v>1478.35</v>
      </c>
      <c r="K25" s="142">
        <v>1538</v>
      </c>
      <c r="L25" s="142">
        <v>3506.3</v>
      </c>
      <c r="M25" s="142">
        <v>478</v>
      </c>
      <c r="N25" s="142">
        <v>844.5</v>
      </c>
      <c r="O25" s="142">
        <v>488</v>
      </c>
      <c r="P25" s="142">
        <v>1405.95</v>
      </c>
      <c r="Q25" s="142">
        <v>1477</v>
      </c>
      <c r="R25" s="143">
        <v>3621.1</v>
      </c>
      <c r="S25" s="140">
        <v>108</v>
      </c>
      <c r="T25" s="140">
        <v>120.4</v>
      </c>
      <c r="U25" s="140">
        <v>15</v>
      </c>
      <c r="V25" s="140">
        <v>1E-3</v>
      </c>
      <c r="W25" s="142">
        <v>251</v>
      </c>
      <c r="X25" s="142">
        <v>256.10000000000002</v>
      </c>
      <c r="Y25" s="142">
        <v>723</v>
      </c>
      <c r="Z25" s="142">
        <v>702.29</v>
      </c>
      <c r="AA25" s="142">
        <v>144</v>
      </c>
      <c r="AB25" s="142">
        <v>112.3</v>
      </c>
      <c r="AC25" s="142">
        <v>153</v>
      </c>
      <c r="AD25" s="142">
        <v>108.25</v>
      </c>
      <c r="AE25" s="142">
        <v>13</v>
      </c>
      <c r="AF25" s="142">
        <v>8.15</v>
      </c>
      <c r="AG25" s="142">
        <v>841</v>
      </c>
      <c r="AH25" s="142">
        <v>1879.1</v>
      </c>
      <c r="AI25" s="142">
        <v>869</v>
      </c>
      <c r="AJ25" s="142">
        <v>1544.9</v>
      </c>
      <c r="AK25" s="142">
        <v>293</v>
      </c>
      <c r="AL25" s="142">
        <v>839.86</v>
      </c>
      <c r="AM25" s="142">
        <v>218</v>
      </c>
      <c r="AN25" s="142">
        <v>1571.8</v>
      </c>
      <c r="AO25" s="143">
        <v>763</v>
      </c>
      <c r="AP25" s="140">
        <v>2370.5</v>
      </c>
      <c r="AQ25" s="140">
        <v>223</v>
      </c>
      <c r="AR25" s="140">
        <v>1035.5</v>
      </c>
      <c r="AS25" s="142">
        <v>525</v>
      </c>
      <c r="AT25" s="142">
        <v>343.5</v>
      </c>
      <c r="AU25" s="142">
        <v>5</v>
      </c>
      <c r="AV25" s="142">
        <v>3</v>
      </c>
      <c r="AW25" s="146">
        <v>144</v>
      </c>
      <c r="AX25" s="147">
        <v>60.1</v>
      </c>
      <c r="AY25" s="148" t="s">
        <v>21</v>
      </c>
      <c r="AZ25" s="149"/>
      <c r="BA25" s="149"/>
      <c r="BB25" s="131"/>
    </row>
    <row r="26" spans="1:54">
      <c r="A26" s="139" t="s">
        <v>127</v>
      </c>
      <c r="B26" s="120">
        <f t="shared" si="9"/>
        <v>10410</v>
      </c>
      <c r="C26" s="140">
        <v>196</v>
      </c>
      <c r="D26" s="140">
        <v>821.5</v>
      </c>
      <c r="E26" s="140">
        <v>2691</v>
      </c>
      <c r="F26" s="140">
        <v>10375.700000000001</v>
      </c>
      <c r="G26" s="140">
        <v>436</v>
      </c>
      <c r="H26" s="140">
        <v>2819.05</v>
      </c>
      <c r="I26" s="140">
        <v>620</v>
      </c>
      <c r="J26" s="141">
        <v>429.55</v>
      </c>
      <c r="K26" s="142">
        <v>985</v>
      </c>
      <c r="L26" s="142">
        <v>2105.0500000000002</v>
      </c>
      <c r="M26" s="142">
        <v>457</v>
      </c>
      <c r="N26" s="142">
        <v>711.25</v>
      </c>
      <c r="O26" s="142">
        <v>432</v>
      </c>
      <c r="P26" s="142">
        <v>560.1</v>
      </c>
      <c r="Q26" s="142">
        <v>825</v>
      </c>
      <c r="R26" s="143">
        <v>1531.05</v>
      </c>
      <c r="S26" s="140">
        <v>73</v>
      </c>
      <c r="T26" s="140">
        <v>72.400000000000006</v>
      </c>
      <c r="U26" s="140">
        <v>9</v>
      </c>
      <c r="V26" s="140">
        <v>5.3</v>
      </c>
      <c r="W26" s="142">
        <v>318</v>
      </c>
      <c r="X26" s="142">
        <v>298.89</v>
      </c>
      <c r="Y26" s="142">
        <v>491</v>
      </c>
      <c r="Z26" s="142">
        <v>504.8</v>
      </c>
      <c r="AA26" s="142">
        <v>109</v>
      </c>
      <c r="AB26" s="142">
        <v>32.15</v>
      </c>
      <c r="AC26" s="142">
        <v>125</v>
      </c>
      <c r="AD26" s="142">
        <v>84.55</v>
      </c>
      <c r="AE26" s="142">
        <v>12</v>
      </c>
      <c r="AF26" s="142">
        <v>4.9000000000000004</v>
      </c>
      <c r="AG26" s="142">
        <v>294</v>
      </c>
      <c r="AH26" s="142">
        <v>475.2</v>
      </c>
      <c r="AI26" s="142">
        <v>1047</v>
      </c>
      <c r="AJ26" s="142">
        <v>1048.45</v>
      </c>
      <c r="AK26" s="142">
        <v>73</v>
      </c>
      <c r="AL26" s="142">
        <v>117</v>
      </c>
      <c r="AM26" s="142">
        <v>260</v>
      </c>
      <c r="AN26" s="142">
        <v>1461.25</v>
      </c>
      <c r="AO26" s="143">
        <v>545</v>
      </c>
      <c r="AP26" s="140">
        <v>1095.4000000000001</v>
      </c>
      <c r="AQ26" s="140">
        <v>37</v>
      </c>
      <c r="AR26" s="140">
        <v>69.75</v>
      </c>
      <c r="AS26" s="145" t="s">
        <v>311</v>
      </c>
      <c r="AT26" s="145" t="s">
        <v>311</v>
      </c>
      <c r="AU26" s="145">
        <v>1</v>
      </c>
      <c r="AV26" s="145">
        <v>0.15</v>
      </c>
      <c r="AW26" s="150">
        <v>374</v>
      </c>
      <c r="AX26" s="151">
        <v>174.25</v>
      </c>
      <c r="AY26" s="148" t="s">
        <v>22</v>
      </c>
      <c r="AZ26" s="149"/>
      <c r="BA26" s="149"/>
      <c r="BB26" s="131"/>
    </row>
    <row r="27" spans="1:54">
      <c r="A27" s="139" t="s">
        <v>128</v>
      </c>
      <c r="B27" s="120">
        <f t="shared" si="9"/>
        <v>4883</v>
      </c>
      <c r="C27" s="140">
        <v>146</v>
      </c>
      <c r="D27" s="140">
        <v>323.5</v>
      </c>
      <c r="E27" s="140">
        <v>1104</v>
      </c>
      <c r="F27" s="140">
        <v>1494.115</v>
      </c>
      <c r="G27" s="140">
        <v>104</v>
      </c>
      <c r="H27" s="140">
        <v>198.08</v>
      </c>
      <c r="I27" s="140">
        <v>355</v>
      </c>
      <c r="J27" s="141">
        <v>203.36</v>
      </c>
      <c r="K27" s="142">
        <v>598</v>
      </c>
      <c r="L27" s="142">
        <v>1034.0550000000001</v>
      </c>
      <c r="M27" s="142">
        <v>111</v>
      </c>
      <c r="N27" s="142">
        <v>193.25</v>
      </c>
      <c r="O27" s="142">
        <v>174</v>
      </c>
      <c r="P27" s="142">
        <v>186.65</v>
      </c>
      <c r="Q27" s="142">
        <v>660</v>
      </c>
      <c r="R27" s="143">
        <v>610.13</v>
      </c>
      <c r="S27" s="140">
        <v>115</v>
      </c>
      <c r="T27" s="140">
        <v>63.52</v>
      </c>
      <c r="U27" s="144" t="s">
        <v>311</v>
      </c>
      <c r="V27" s="144" t="s">
        <v>311</v>
      </c>
      <c r="W27" s="142">
        <v>74</v>
      </c>
      <c r="X27" s="142">
        <v>41.47</v>
      </c>
      <c r="Y27" s="142">
        <v>323</v>
      </c>
      <c r="Z27" s="142">
        <v>187.14</v>
      </c>
      <c r="AA27" s="142">
        <v>6</v>
      </c>
      <c r="AB27" s="142">
        <v>3.45</v>
      </c>
      <c r="AC27" s="142">
        <v>57</v>
      </c>
      <c r="AD27" s="142">
        <v>53.57</v>
      </c>
      <c r="AE27" s="142">
        <v>2</v>
      </c>
      <c r="AF27" s="142">
        <v>1.7</v>
      </c>
      <c r="AG27" s="142">
        <v>421</v>
      </c>
      <c r="AH27" s="142">
        <v>708.14</v>
      </c>
      <c r="AI27" s="142">
        <v>209</v>
      </c>
      <c r="AJ27" s="142">
        <v>156.05000000000001</v>
      </c>
      <c r="AK27" s="142">
        <v>123</v>
      </c>
      <c r="AL27" s="142">
        <v>155.09</v>
      </c>
      <c r="AM27" s="142">
        <v>21</v>
      </c>
      <c r="AN27" s="142">
        <v>26.8</v>
      </c>
      <c r="AO27" s="143">
        <v>175</v>
      </c>
      <c r="AP27" s="140">
        <v>162.91499999999999</v>
      </c>
      <c r="AQ27" s="140">
        <v>29</v>
      </c>
      <c r="AR27" s="140">
        <v>30.07</v>
      </c>
      <c r="AS27" s="145" t="s">
        <v>311</v>
      </c>
      <c r="AT27" s="145" t="s">
        <v>311</v>
      </c>
      <c r="AU27" s="142">
        <v>8</v>
      </c>
      <c r="AV27" s="142">
        <v>3.65</v>
      </c>
      <c r="AW27" s="150">
        <v>68</v>
      </c>
      <c r="AX27" s="151">
        <v>36.26</v>
      </c>
      <c r="AY27" s="148" t="s">
        <v>23</v>
      </c>
      <c r="AZ27" s="149"/>
      <c r="BA27" s="149"/>
      <c r="BB27" s="131"/>
    </row>
    <row r="28" spans="1:54">
      <c r="A28" s="139" t="s">
        <v>129</v>
      </c>
      <c r="B28" s="120">
        <f t="shared" si="9"/>
        <v>2123</v>
      </c>
      <c r="C28" s="144" t="s">
        <v>311</v>
      </c>
      <c r="D28" s="144" t="s">
        <v>311</v>
      </c>
      <c r="E28" s="140">
        <v>346</v>
      </c>
      <c r="F28" s="140">
        <v>483.87</v>
      </c>
      <c r="G28" s="140">
        <v>20</v>
      </c>
      <c r="H28" s="140">
        <v>32.85</v>
      </c>
      <c r="I28" s="140">
        <v>589</v>
      </c>
      <c r="J28" s="141">
        <v>129.15100000000001</v>
      </c>
      <c r="K28" s="142">
        <v>148</v>
      </c>
      <c r="L28" s="142">
        <v>218.9</v>
      </c>
      <c r="M28" s="142">
        <v>38</v>
      </c>
      <c r="N28" s="142">
        <v>35.685000000000002</v>
      </c>
      <c r="O28" s="142">
        <v>46</v>
      </c>
      <c r="P28" s="142">
        <v>34.64</v>
      </c>
      <c r="Q28" s="142">
        <v>270</v>
      </c>
      <c r="R28" s="143">
        <v>198.49</v>
      </c>
      <c r="S28" s="140">
        <v>23</v>
      </c>
      <c r="T28" s="140">
        <v>13.4</v>
      </c>
      <c r="U28" s="144" t="s">
        <v>311</v>
      </c>
      <c r="V28" s="144" t="s">
        <v>311</v>
      </c>
      <c r="W28" s="142">
        <v>39</v>
      </c>
      <c r="X28" s="142">
        <v>22.3</v>
      </c>
      <c r="Y28" s="142">
        <v>93</v>
      </c>
      <c r="Z28" s="142">
        <v>68.754999999999995</v>
      </c>
      <c r="AA28" s="142">
        <v>27</v>
      </c>
      <c r="AB28" s="142">
        <v>11.769</v>
      </c>
      <c r="AC28" s="142">
        <v>42</v>
      </c>
      <c r="AD28" s="142">
        <v>13.84</v>
      </c>
      <c r="AE28" s="142">
        <v>61</v>
      </c>
      <c r="AF28" s="142">
        <v>0.191</v>
      </c>
      <c r="AG28" s="142">
        <v>153</v>
      </c>
      <c r="AH28" s="142">
        <v>169.34</v>
      </c>
      <c r="AI28" s="142">
        <v>77</v>
      </c>
      <c r="AJ28" s="142">
        <v>63.005000000000003</v>
      </c>
      <c r="AK28" s="142">
        <v>43</v>
      </c>
      <c r="AL28" s="142">
        <v>46.84</v>
      </c>
      <c r="AM28" s="142">
        <v>13</v>
      </c>
      <c r="AN28" s="142">
        <v>24.55</v>
      </c>
      <c r="AO28" s="143">
        <v>36</v>
      </c>
      <c r="AP28" s="140">
        <v>44.02</v>
      </c>
      <c r="AQ28" s="140">
        <v>3</v>
      </c>
      <c r="AR28" s="140">
        <v>5.05</v>
      </c>
      <c r="AS28" s="145" t="s">
        <v>311</v>
      </c>
      <c r="AT28" s="145" t="s">
        <v>311</v>
      </c>
      <c r="AU28" s="142">
        <v>3</v>
      </c>
      <c r="AV28" s="142">
        <v>1.02</v>
      </c>
      <c r="AW28" s="150">
        <v>53</v>
      </c>
      <c r="AX28" s="151">
        <v>6.25</v>
      </c>
      <c r="AY28" s="148" t="s">
        <v>24</v>
      </c>
      <c r="AZ28" s="149"/>
      <c r="BA28" s="149"/>
      <c r="BB28" s="131"/>
    </row>
    <row r="29" spans="1:54">
      <c r="A29" s="139" t="s">
        <v>130</v>
      </c>
      <c r="B29" s="120">
        <f t="shared" si="9"/>
        <v>4633</v>
      </c>
      <c r="C29" s="140">
        <v>40</v>
      </c>
      <c r="D29" s="140">
        <v>90</v>
      </c>
      <c r="E29" s="140">
        <v>2380</v>
      </c>
      <c r="F29" s="140">
        <v>10885.55</v>
      </c>
      <c r="G29" s="140">
        <v>12</v>
      </c>
      <c r="H29" s="140">
        <v>54</v>
      </c>
      <c r="I29" s="140">
        <v>300</v>
      </c>
      <c r="J29" s="141">
        <v>307.05</v>
      </c>
      <c r="K29" s="142">
        <v>441</v>
      </c>
      <c r="L29" s="142">
        <v>707.5</v>
      </c>
      <c r="M29" s="142">
        <v>131</v>
      </c>
      <c r="N29" s="142">
        <v>207.6</v>
      </c>
      <c r="O29" s="142">
        <v>193</v>
      </c>
      <c r="P29" s="142">
        <v>391.6</v>
      </c>
      <c r="Q29" s="142">
        <v>329</v>
      </c>
      <c r="R29" s="143">
        <v>498.7</v>
      </c>
      <c r="S29" s="140">
        <v>16</v>
      </c>
      <c r="T29" s="140">
        <v>26.8</v>
      </c>
      <c r="U29" s="144" t="s">
        <v>311</v>
      </c>
      <c r="V29" s="144" t="s">
        <v>311</v>
      </c>
      <c r="W29" s="142">
        <v>32</v>
      </c>
      <c r="X29" s="142">
        <v>28.1</v>
      </c>
      <c r="Y29" s="142">
        <v>55</v>
      </c>
      <c r="Z29" s="142">
        <v>93.3</v>
      </c>
      <c r="AA29" s="142">
        <v>1</v>
      </c>
      <c r="AB29" s="142">
        <v>1</v>
      </c>
      <c r="AC29" s="142">
        <v>23</v>
      </c>
      <c r="AD29" s="142">
        <v>14.4</v>
      </c>
      <c r="AE29" s="145" t="s">
        <v>311</v>
      </c>
      <c r="AF29" s="145" t="s">
        <v>311</v>
      </c>
      <c r="AG29" s="142">
        <v>336</v>
      </c>
      <c r="AH29" s="142">
        <v>462.1</v>
      </c>
      <c r="AI29" s="142">
        <v>127</v>
      </c>
      <c r="AJ29" s="142">
        <v>141.5</v>
      </c>
      <c r="AK29" s="142">
        <v>97</v>
      </c>
      <c r="AL29" s="142">
        <v>253.7</v>
      </c>
      <c r="AM29" s="142">
        <v>5</v>
      </c>
      <c r="AN29" s="142">
        <v>20</v>
      </c>
      <c r="AO29" s="143">
        <v>106</v>
      </c>
      <c r="AP29" s="140">
        <v>188.4</v>
      </c>
      <c r="AQ29" s="144" t="s">
        <v>311</v>
      </c>
      <c r="AR29" s="144" t="s">
        <v>311</v>
      </c>
      <c r="AS29" s="145" t="s">
        <v>311</v>
      </c>
      <c r="AT29" s="145" t="s">
        <v>311</v>
      </c>
      <c r="AU29" s="142">
        <v>2</v>
      </c>
      <c r="AV29" s="142">
        <v>2.6</v>
      </c>
      <c r="AW29" s="150">
        <v>7</v>
      </c>
      <c r="AX29" s="151">
        <v>6.35</v>
      </c>
      <c r="AY29" s="148" t="s">
        <v>25</v>
      </c>
      <c r="AZ29" s="149"/>
      <c r="BA29" s="149"/>
      <c r="BB29" s="131"/>
    </row>
    <row r="30" spans="1:54">
      <c r="A30" s="139" t="s">
        <v>131</v>
      </c>
      <c r="B30" s="120">
        <f t="shared" si="9"/>
        <v>1745</v>
      </c>
      <c r="C30" s="140">
        <v>100</v>
      </c>
      <c r="D30" s="140">
        <v>730</v>
      </c>
      <c r="E30" s="140">
        <v>392</v>
      </c>
      <c r="F30" s="140">
        <v>511</v>
      </c>
      <c r="G30" s="140">
        <v>21</v>
      </c>
      <c r="H30" s="140">
        <v>34.4</v>
      </c>
      <c r="I30" s="140">
        <v>146</v>
      </c>
      <c r="J30" s="141">
        <v>165.15</v>
      </c>
      <c r="K30" s="142">
        <v>331</v>
      </c>
      <c r="L30" s="142">
        <v>672.25</v>
      </c>
      <c r="M30" s="142">
        <v>31</v>
      </c>
      <c r="N30" s="142">
        <v>46.3</v>
      </c>
      <c r="O30" s="142">
        <v>34</v>
      </c>
      <c r="P30" s="142">
        <v>49.4</v>
      </c>
      <c r="Q30" s="142">
        <v>341</v>
      </c>
      <c r="R30" s="143">
        <v>515.75</v>
      </c>
      <c r="S30" s="140">
        <v>9</v>
      </c>
      <c r="T30" s="140">
        <v>7.45</v>
      </c>
      <c r="U30" s="144" t="s">
        <v>311</v>
      </c>
      <c r="V30" s="144" t="s">
        <v>311</v>
      </c>
      <c r="W30" s="142">
        <v>3</v>
      </c>
      <c r="X30" s="142">
        <v>1.1000000000000001</v>
      </c>
      <c r="Y30" s="142">
        <v>34</v>
      </c>
      <c r="Z30" s="142">
        <v>42.55</v>
      </c>
      <c r="AA30" s="145" t="s">
        <v>311</v>
      </c>
      <c r="AB30" s="145" t="s">
        <v>311</v>
      </c>
      <c r="AC30" s="142">
        <v>11</v>
      </c>
      <c r="AD30" s="142">
        <v>9</v>
      </c>
      <c r="AE30" s="145" t="s">
        <v>311</v>
      </c>
      <c r="AF30" s="145" t="s">
        <v>311</v>
      </c>
      <c r="AG30" s="142">
        <v>148</v>
      </c>
      <c r="AH30" s="142">
        <v>213.7</v>
      </c>
      <c r="AI30" s="142">
        <v>20</v>
      </c>
      <c r="AJ30" s="142">
        <v>15.5</v>
      </c>
      <c r="AK30" s="142">
        <v>19</v>
      </c>
      <c r="AL30" s="142">
        <v>20.25</v>
      </c>
      <c r="AM30" s="142">
        <v>6</v>
      </c>
      <c r="AN30" s="142">
        <v>6.9</v>
      </c>
      <c r="AO30" s="143">
        <v>21</v>
      </c>
      <c r="AP30" s="140">
        <v>17.8</v>
      </c>
      <c r="AQ30" s="144" t="s">
        <v>311</v>
      </c>
      <c r="AR30" s="144" t="s">
        <v>311</v>
      </c>
      <c r="AS30" s="142">
        <v>40</v>
      </c>
      <c r="AT30" s="142">
        <v>20</v>
      </c>
      <c r="AU30" s="142">
        <v>30</v>
      </c>
      <c r="AV30" s="142">
        <v>12.55</v>
      </c>
      <c r="AW30" s="150">
        <v>8</v>
      </c>
      <c r="AX30" s="151">
        <v>1.79</v>
      </c>
      <c r="AY30" s="148" t="s">
        <v>26</v>
      </c>
      <c r="AZ30" s="149"/>
      <c r="BA30" s="149"/>
      <c r="BB30" s="131"/>
    </row>
    <row r="31" spans="1:54">
      <c r="A31" s="210" t="s">
        <v>27</v>
      </c>
      <c r="B31" s="211">
        <f>SUM(C31,E31,G31,I31,K31,M31,O31,Q31,S31,U31,W31,Y31,AA31,AC31,AE31,AG31,AI31,AK31,AM31,AO31,AQ31,AS31,AU31,AW31)</f>
        <v>24438</v>
      </c>
      <c r="C31" s="200">
        <f>SUM(C33:C36)</f>
        <v>1</v>
      </c>
      <c r="D31" s="200">
        <f>SUM(D33:D36)</f>
        <v>1</v>
      </c>
      <c r="E31" s="200">
        <f t="shared" ref="E31:N31" si="10">SUM(E33:E36)</f>
        <v>5221</v>
      </c>
      <c r="F31" s="200">
        <f t="shared" si="10"/>
        <v>11484.29</v>
      </c>
      <c r="G31" s="200">
        <f t="shared" si="10"/>
        <v>1854</v>
      </c>
      <c r="H31" s="200">
        <f t="shared" si="10"/>
        <v>12621.47</v>
      </c>
      <c r="I31" s="200">
        <f t="shared" si="10"/>
        <v>4423</v>
      </c>
      <c r="J31" s="200">
        <f t="shared" si="10"/>
        <v>2457.9549999999999</v>
      </c>
      <c r="K31" s="200">
        <f t="shared" si="10"/>
        <v>1872</v>
      </c>
      <c r="L31" s="200">
        <f t="shared" si="10"/>
        <v>2234.1</v>
      </c>
      <c r="M31" s="200">
        <f t="shared" si="10"/>
        <v>626</v>
      </c>
      <c r="N31" s="207">
        <f t="shared" si="10"/>
        <v>784.53</v>
      </c>
      <c r="O31" s="208">
        <f>SUM(O33:O36)</f>
        <v>1359</v>
      </c>
      <c r="P31" s="209">
        <f>SUM(P33:P36)</f>
        <v>1746.3600000000001</v>
      </c>
      <c r="Q31" s="209">
        <f>SUM(Q33:Q36)</f>
        <v>3316</v>
      </c>
      <c r="R31" s="208">
        <f>SUM(R33:R36)</f>
        <v>2516.1750000000002</v>
      </c>
      <c r="S31" s="208">
        <f t="shared" ref="S31:Y31" si="11">SUM(S33:S36)</f>
        <v>884</v>
      </c>
      <c r="T31" s="208">
        <f t="shared" si="11"/>
        <v>407.16499999999996</v>
      </c>
      <c r="U31" s="208">
        <f t="shared" si="11"/>
        <v>106</v>
      </c>
      <c r="V31" s="208">
        <f t="shared" si="11"/>
        <v>57.61</v>
      </c>
      <c r="W31" s="208">
        <f t="shared" si="11"/>
        <v>254</v>
      </c>
      <c r="X31" s="208">
        <f t="shared" si="11"/>
        <v>302.29999999999995</v>
      </c>
      <c r="Y31" s="208">
        <f t="shared" si="11"/>
        <v>451</v>
      </c>
      <c r="Z31" s="208">
        <f t="shared" ref="Z31:AX31" si="12">SUM(Z33:Z36)</f>
        <v>307.84499999999997</v>
      </c>
      <c r="AA31" s="208">
        <f t="shared" si="12"/>
        <v>186</v>
      </c>
      <c r="AB31" s="209">
        <f t="shared" si="12"/>
        <v>98.02</v>
      </c>
      <c r="AC31" s="208">
        <f t="shared" si="12"/>
        <v>156</v>
      </c>
      <c r="AD31" s="208">
        <f t="shared" si="12"/>
        <v>99.56</v>
      </c>
      <c r="AE31" s="208">
        <f t="shared" si="12"/>
        <v>9</v>
      </c>
      <c r="AF31" s="208">
        <f t="shared" si="12"/>
        <v>5.85</v>
      </c>
      <c r="AG31" s="208">
        <f t="shared" si="12"/>
        <v>751</v>
      </c>
      <c r="AH31" s="208">
        <f t="shared" si="12"/>
        <v>722.01</v>
      </c>
      <c r="AI31" s="208">
        <f t="shared" si="12"/>
        <v>920</v>
      </c>
      <c r="AJ31" s="208">
        <f t="shared" si="12"/>
        <v>1046.4299999999998</v>
      </c>
      <c r="AK31" s="208">
        <f t="shared" si="12"/>
        <v>467</v>
      </c>
      <c r="AL31" s="208">
        <f t="shared" si="12"/>
        <v>938.53</v>
      </c>
      <c r="AM31" s="208">
        <f t="shared" si="12"/>
        <v>413</v>
      </c>
      <c r="AN31" s="208">
        <f t="shared" si="12"/>
        <v>1497.3999999999999</v>
      </c>
      <c r="AO31" s="208">
        <f t="shared" si="12"/>
        <v>1034</v>
      </c>
      <c r="AP31" s="208">
        <f t="shared" si="12"/>
        <v>1706.9549999999999</v>
      </c>
      <c r="AQ31" s="208">
        <f t="shared" si="12"/>
        <v>58</v>
      </c>
      <c r="AR31" s="208">
        <f t="shared" si="12"/>
        <v>71.949999999999989</v>
      </c>
      <c r="AS31" s="208">
        <f t="shared" si="12"/>
        <v>3</v>
      </c>
      <c r="AT31" s="208">
        <f t="shared" si="12"/>
        <v>2</v>
      </c>
      <c r="AU31" s="208">
        <f t="shared" si="12"/>
        <v>4</v>
      </c>
      <c r="AV31" s="208">
        <f t="shared" si="12"/>
        <v>1.1499999999999999</v>
      </c>
      <c r="AW31" s="208">
        <f t="shared" si="12"/>
        <v>70</v>
      </c>
      <c r="AX31" s="208">
        <f t="shared" si="12"/>
        <v>39.917000000000002</v>
      </c>
      <c r="AY31" s="205" t="s">
        <v>28</v>
      </c>
      <c r="AZ31" s="180"/>
      <c r="BA31" s="180"/>
      <c r="BB31" s="131"/>
    </row>
    <row r="32" spans="1:54">
      <c r="A32" s="210"/>
      <c r="B32" s="212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7"/>
      <c r="O32" s="208"/>
      <c r="P32" s="209"/>
      <c r="Q32" s="209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9"/>
      <c r="AC32" s="208"/>
      <c r="AD32" s="208"/>
      <c r="AE32" s="208"/>
      <c r="AF32" s="208"/>
      <c r="AG32" s="208"/>
      <c r="AH32" s="208"/>
      <c r="AI32" s="208"/>
      <c r="AJ32" s="208"/>
      <c r="AK32" s="208"/>
      <c r="AL32" s="208"/>
      <c r="AM32" s="208"/>
      <c r="AN32" s="208"/>
      <c r="AO32" s="208"/>
      <c r="AP32" s="208"/>
      <c r="AQ32" s="208"/>
      <c r="AR32" s="208"/>
      <c r="AS32" s="208"/>
      <c r="AT32" s="208"/>
      <c r="AU32" s="208"/>
      <c r="AV32" s="208"/>
      <c r="AW32" s="208"/>
      <c r="AX32" s="208"/>
      <c r="AY32" s="205"/>
      <c r="AZ32" s="180"/>
      <c r="BA32" s="180"/>
      <c r="BB32" s="131"/>
    </row>
    <row r="33" spans="1:54">
      <c r="A33" s="139" t="s">
        <v>132</v>
      </c>
      <c r="B33" s="120">
        <f>SUM(C33,E33,G33,I33,K33,M33,O33,Q33,S33,U33,W33,Y33,AA33,AC33,AE33,AG33,AI33,AK33,AM33,AO33,AQ33,AS33,AU33,AW33)</f>
        <v>4767</v>
      </c>
      <c r="C33" s="144" t="s">
        <v>311</v>
      </c>
      <c r="D33" s="144" t="s">
        <v>311</v>
      </c>
      <c r="E33" s="140">
        <v>1257</v>
      </c>
      <c r="F33" s="140">
        <v>2468.02</v>
      </c>
      <c r="G33" s="140">
        <v>59</v>
      </c>
      <c r="H33" s="140">
        <v>380.15</v>
      </c>
      <c r="I33" s="140">
        <v>801</v>
      </c>
      <c r="J33" s="141">
        <v>418.565</v>
      </c>
      <c r="K33" s="142">
        <v>478</v>
      </c>
      <c r="L33" s="142">
        <v>408.13</v>
      </c>
      <c r="M33" s="142">
        <v>66</v>
      </c>
      <c r="N33" s="142">
        <v>69.33</v>
      </c>
      <c r="O33" s="142">
        <v>138</v>
      </c>
      <c r="P33" s="142">
        <v>108.09</v>
      </c>
      <c r="Q33" s="142">
        <v>923</v>
      </c>
      <c r="R33" s="143">
        <v>673.71500000000003</v>
      </c>
      <c r="S33" s="140">
        <v>231</v>
      </c>
      <c r="T33" s="140">
        <v>160.41999999999999</v>
      </c>
      <c r="U33" s="144" t="s">
        <v>311</v>
      </c>
      <c r="V33" s="144" t="s">
        <v>311</v>
      </c>
      <c r="W33" s="142">
        <v>13</v>
      </c>
      <c r="X33" s="142">
        <v>23.15</v>
      </c>
      <c r="Y33" s="142">
        <v>95</v>
      </c>
      <c r="Z33" s="142">
        <v>88.73</v>
      </c>
      <c r="AA33" s="142">
        <v>7</v>
      </c>
      <c r="AB33" s="142">
        <v>3.27</v>
      </c>
      <c r="AC33" s="142">
        <v>6</v>
      </c>
      <c r="AD33" s="142">
        <v>3.48</v>
      </c>
      <c r="AE33" s="142">
        <v>5</v>
      </c>
      <c r="AF33" s="142">
        <v>3.75</v>
      </c>
      <c r="AG33" s="142">
        <v>292</v>
      </c>
      <c r="AH33" s="142">
        <v>233.37</v>
      </c>
      <c r="AI33" s="142">
        <v>189</v>
      </c>
      <c r="AJ33" s="142">
        <v>161.72</v>
      </c>
      <c r="AK33" s="142">
        <v>103</v>
      </c>
      <c r="AL33" s="142">
        <v>93.95</v>
      </c>
      <c r="AM33" s="142">
        <v>7</v>
      </c>
      <c r="AN33" s="142">
        <v>29.2</v>
      </c>
      <c r="AO33" s="143">
        <v>84</v>
      </c>
      <c r="AP33" s="140">
        <v>75.525000000000006</v>
      </c>
      <c r="AQ33" s="140">
        <v>2</v>
      </c>
      <c r="AR33" s="140">
        <v>3.3</v>
      </c>
      <c r="AS33" s="145" t="s">
        <v>311</v>
      </c>
      <c r="AT33" s="145" t="s">
        <v>311</v>
      </c>
      <c r="AU33" s="142">
        <v>3</v>
      </c>
      <c r="AV33" s="142">
        <v>0.85</v>
      </c>
      <c r="AW33" s="150">
        <v>8</v>
      </c>
      <c r="AX33" s="151">
        <v>2.0699999999999998</v>
      </c>
      <c r="AY33" s="148" t="s">
        <v>29</v>
      </c>
      <c r="AZ33" s="149"/>
      <c r="BA33" s="149"/>
      <c r="BB33" s="131"/>
    </row>
    <row r="34" spans="1:54">
      <c r="A34" s="139" t="s">
        <v>133</v>
      </c>
      <c r="B34" s="120">
        <f>SUM(C34,E34,G34,I34,K34,M34,O34,Q34,S34,U34,W34,Y34,AA34,AC34,AE34,AG34,AI34,AK34,AM34,AO34,AQ34,AS34,AU34,AW34)</f>
        <v>8413</v>
      </c>
      <c r="C34" s="140">
        <v>1</v>
      </c>
      <c r="D34" s="140">
        <v>1</v>
      </c>
      <c r="E34" s="140">
        <v>1997</v>
      </c>
      <c r="F34" s="140">
        <v>4748.82</v>
      </c>
      <c r="G34" s="140">
        <v>357</v>
      </c>
      <c r="H34" s="140">
        <v>1565.72</v>
      </c>
      <c r="I34" s="140">
        <v>1665</v>
      </c>
      <c r="J34" s="141">
        <v>1069.83</v>
      </c>
      <c r="K34" s="142">
        <v>671</v>
      </c>
      <c r="L34" s="142">
        <v>693.47</v>
      </c>
      <c r="M34" s="142">
        <v>170</v>
      </c>
      <c r="N34" s="142">
        <v>153.46</v>
      </c>
      <c r="O34" s="142">
        <v>504</v>
      </c>
      <c r="P34" s="142">
        <v>580.76</v>
      </c>
      <c r="Q34" s="142">
        <v>977</v>
      </c>
      <c r="R34" s="143">
        <v>806.38</v>
      </c>
      <c r="S34" s="140">
        <v>318</v>
      </c>
      <c r="T34" s="140">
        <v>139.13</v>
      </c>
      <c r="U34" s="140">
        <v>13</v>
      </c>
      <c r="V34" s="140">
        <v>9.9</v>
      </c>
      <c r="W34" s="142">
        <v>77</v>
      </c>
      <c r="X34" s="142">
        <v>83.2</v>
      </c>
      <c r="Y34" s="142">
        <v>179</v>
      </c>
      <c r="Z34" s="142">
        <v>141.6</v>
      </c>
      <c r="AA34" s="142">
        <v>101</v>
      </c>
      <c r="AB34" s="142">
        <v>70.47</v>
      </c>
      <c r="AC34" s="142">
        <v>84</v>
      </c>
      <c r="AD34" s="142">
        <v>62.74</v>
      </c>
      <c r="AE34" s="142">
        <v>1</v>
      </c>
      <c r="AF34" s="142">
        <v>1</v>
      </c>
      <c r="AG34" s="142">
        <v>152</v>
      </c>
      <c r="AH34" s="142">
        <v>162.44999999999999</v>
      </c>
      <c r="AI34" s="142">
        <v>318</v>
      </c>
      <c r="AJ34" s="142">
        <v>394.95</v>
      </c>
      <c r="AK34" s="142">
        <v>185</v>
      </c>
      <c r="AL34" s="142">
        <v>625.29999999999995</v>
      </c>
      <c r="AM34" s="142">
        <v>78</v>
      </c>
      <c r="AN34" s="142">
        <v>444.9</v>
      </c>
      <c r="AO34" s="143">
        <v>479</v>
      </c>
      <c r="AP34" s="140">
        <v>1002.7</v>
      </c>
      <c r="AQ34" s="140">
        <v>43</v>
      </c>
      <c r="AR34" s="140">
        <v>51.05</v>
      </c>
      <c r="AS34" s="145" t="s">
        <v>311</v>
      </c>
      <c r="AT34" s="145" t="s">
        <v>311</v>
      </c>
      <c r="AU34" s="142">
        <v>1</v>
      </c>
      <c r="AV34" s="142">
        <v>0.3</v>
      </c>
      <c r="AW34" s="150">
        <v>42</v>
      </c>
      <c r="AX34" s="151">
        <v>33.5</v>
      </c>
      <c r="AY34" s="148" t="s">
        <v>30</v>
      </c>
      <c r="AZ34" s="149"/>
      <c r="BA34" s="149"/>
      <c r="BB34" s="131"/>
    </row>
    <row r="35" spans="1:54">
      <c r="A35" s="139" t="s">
        <v>134</v>
      </c>
      <c r="B35" s="120">
        <f>SUM(C35,E35,G35,I35,K35,M35,O35,Q35,S35,U35,W35,Y35,AA35,AC35,AE35,AG35,AI35,AK35,AM35,AO35,AQ35,AS35,AU35,AW35)</f>
        <v>2628</v>
      </c>
      <c r="C35" s="144" t="s">
        <v>311</v>
      </c>
      <c r="D35" s="144" t="s">
        <v>311</v>
      </c>
      <c r="E35" s="140">
        <v>562</v>
      </c>
      <c r="F35" s="140">
        <v>535.70000000000005</v>
      </c>
      <c r="G35" s="140">
        <v>68</v>
      </c>
      <c r="H35" s="140">
        <v>222.6</v>
      </c>
      <c r="I35" s="140">
        <v>403</v>
      </c>
      <c r="J35" s="141">
        <v>256.51</v>
      </c>
      <c r="K35" s="142">
        <v>101</v>
      </c>
      <c r="L35" s="142">
        <v>158.16999999999999</v>
      </c>
      <c r="M35" s="142">
        <v>50</v>
      </c>
      <c r="N35" s="142">
        <v>75.95</v>
      </c>
      <c r="O35" s="142">
        <v>108</v>
      </c>
      <c r="P35" s="142">
        <v>110.48</v>
      </c>
      <c r="Q35" s="142">
        <v>331</v>
      </c>
      <c r="R35" s="143">
        <v>183.47</v>
      </c>
      <c r="S35" s="140">
        <v>206</v>
      </c>
      <c r="T35" s="140">
        <v>61.865000000000002</v>
      </c>
      <c r="U35" s="140">
        <v>31</v>
      </c>
      <c r="V35" s="140">
        <v>23.33</v>
      </c>
      <c r="W35" s="142">
        <v>32</v>
      </c>
      <c r="X35" s="142">
        <v>31.17</v>
      </c>
      <c r="Y35" s="142">
        <v>139</v>
      </c>
      <c r="Z35" s="142">
        <v>62.84</v>
      </c>
      <c r="AA35" s="142">
        <v>8</v>
      </c>
      <c r="AB35" s="142">
        <v>4.4000000000000004</v>
      </c>
      <c r="AC35" s="142">
        <v>40</v>
      </c>
      <c r="AD35" s="142">
        <v>20.94</v>
      </c>
      <c r="AE35" s="145" t="s">
        <v>311</v>
      </c>
      <c r="AF35" s="145" t="s">
        <v>311</v>
      </c>
      <c r="AG35" s="142">
        <v>175</v>
      </c>
      <c r="AH35" s="142">
        <v>142.09</v>
      </c>
      <c r="AI35" s="142">
        <v>173</v>
      </c>
      <c r="AJ35" s="142">
        <v>149.12</v>
      </c>
      <c r="AK35" s="142">
        <v>73</v>
      </c>
      <c r="AL35" s="142">
        <v>107.96</v>
      </c>
      <c r="AM35" s="142">
        <v>8</v>
      </c>
      <c r="AN35" s="142">
        <v>39.5</v>
      </c>
      <c r="AO35" s="143">
        <v>105</v>
      </c>
      <c r="AP35" s="140">
        <v>70.31</v>
      </c>
      <c r="AQ35" s="140">
        <v>3</v>
      </c>
      <c r="AR35" s="140">
        <v>4.5</v>
      </c>
      <c r="AS35" s="142">
        <v>3</v>
      </c>
      <c r="AT35" s="142">
        <v>2</v>
      </c>
      <c r="AU35" s="145" t="s">
        <v>311</v>
      </c>
      <c r="AV35" s="145" t="s">
        <v>311</v>
      </c>
      <c r="AW35" s="150">
        <v>9</v>
      </c>
      <c r="AX35" s="151">
        <v>1.9</v>
      </c>
      <c r="AY35" s="148" t="s">
        <v>31</v>
      </c>
      <c r="AZ35" s="149"/>
      <c r="BA35" s="149"/>
      <c r="BB35" s="131"/>
    </row>
    <row r="36" spans="1:54">
      <c r="A36" s="139" t="s">
        <v>135</v>
      </c>
      <c r="B36" s="120">
        <f>SUM(C36,E36,G36,I36,K36,M36,O36,Q36,S36,U36,W36,Y36,AA36,AC36,AE36,AG36,AI36,AK36,AM36,AO36,AQ36,AS36,AU36,AW36)</f>
        <v>8630</v>
      </c>
      <c r="C36" s="144" t="s">
        <v>311</v>
      </c>
      <c r="D36" s="144" t="s">
        <v>311</v>
      </c>
      <c r="E36" s="140">
        <v>1405</v>
      </c>
      <c r="F36" s="140">
        <v>3731.75</v>
      </c>
      <c r="G36" s="140">
        <v>1370</v>
      </c>
      <c r="H36" s="140">
        <v>10453</v>
      </c>
      <c r="I36" s="140">
        <v>1554</v>
      </c>
      <c r="J36" s="141">
        <v>713.05</v>
      </c>
      <c r="K36" s="142">
        <v>622</v>
      </c>
      <c r="L36" s="142">
        <v>974.33</v>
      </c>
      <c r="M36" s="142">
        <v>340</v>
      </c>
      <c r="N36" s="142">
        <v>485.79</v>
      </c>
      <c r="O36" s="142">
        <v>609</v>
      </c>
      <c r="P36" s="142">
        <v>947.03</v>
      </c>
      <c r="Q36" s="142">
        <v>1085</v>
      </c>
      <c r="R36" s="143">
        <v>852.61</v>
      </c>
      <c r="S36" s="140">
        <v>129</v>
      </c>
      <c r="T36" s="140">
        <v>45.75</v>
      </c>
      <c r="U36" s="140">
        <v>62</v>
      </c>
      <c r="V36" s="140">
        <v>24.38</v>
      </c>
      <c r="W36" s="142">
        <v>132</v>
      </c>
      <c r="X36" s="142">
        <v>164.78</v>
      </c>
      <c r="Y36" s="142">
        <v>38</v>
      </c>
      <c r="Z36" s="142">
        <v>14.675000000000001</v>
      </c>
      <c r="AA36" s="142">
        <v>70</v>
      </c>
      <c r="AB36" s="142">
        <v>19.88</v>
      </c>
      <c r="AC36" s="142">
        <v>26</v>
      </c>
      <c r="AD36" s="142">
        <v>12.4</v>
      </c>
      <c r="AE36" s="142">
        <v>3</v>
      </c>
      <c r="AF36" s="142">
        <v>1.1000000000000001</v>
      </c>
      <c r="AG36" s="142">
        <v>132</v>
      </c>
      <c r="AH36" s="142">
        <v>184.1</v>
      </c>
      <c r="AI36" s="142">
        <v>240</v>
      </c>
      <c r="AJ36" s="142">
        <v>340.64</v>
      </c>
      <c r="AK36" s="142">
        <v>106</v>
      </c>
      <c r="AL36" s="142">
        <v>111.32</v>
      </c>
      <c r="AM36" s="142">
        <v>320</v>
      </c>
      <c r="AN36" s="142">
        <v>983.8</v>
      </c>
      <c r="AO36" s="143">
        <v>366</v>
      </c>
      <c r="AP36" s="140">
        <v>558.41999999999996</v>
      </c>
      <c r="AQ36" s="140">
        <v>10</v>
      </c>
      <c r="AR36" s="140">
        <v>13.1</v>
      </c>
      <c r="AS36" s="145" t="s">
        <v>311</v>
      </c>
      <c r="AT36" s="145" t="s">
        <v>311</v>
      </c>
      <c r="AU36" s="145" t="s">
        <v>311</v>
      </c>
      <c r="AV36" s="145" t="s">
        <v>311</v>
      </c>
      <c r="AW36" s="150">
        <v>11</v>
      </c>
      <c r="AX36" s="151">
        <v>2.4470000000000001</v>
      </c>
      <c r="AY36" s="148" t="s">
        <v>32</v>
      </c>
      <c r="AZ36" s="149"/>
      <c r="BA36" s="149"/>
      <c r="BB36" s="131"/>
    </row>
    <row r="37" spans="1:54">
      <c r="A37" s="210" t="s">
        <v>33</v>
      </c>
      <c r="B37" s="211">
        <f>SUM(C37,E37,G37,I37,K37,M37,O37,Q37,S37,U37,W37,Y37,AA37,AC37,AE37,AG37,AI37,AK37,AM37,AO37,AQ37,AS37,AU37,AW37)</f>
        <v>80196</v>
      </c>
      <c r="C37" s="200">
        <f>SUM(C39:C43)</f>
        <v>34807</v>
      </c>
      <c r="D37" s="200">
        <f t="shared" ref="D37:N37" si="13">SUM(D39:D43)</f>
        <v>274190</v>
      </c>
      <c r="E37" s="200">
        <f t="shared" si="13"/>
        <v>8952</v>
      </c>
      <c r="F37" s="200">
        <f t="shared" si="13"/>
        <v>30292.86</v>
      </c>
      <c r="G37" s="200">
        <f t="shared" si="13"/>
        <v>1727</v>
      </c>
      <c r="H37" s="200">
        <f t="shared" si="13"/>
        <v>11918.25</v>
      </c>
      <c r="I37" s="200">
        <f t="shared" si="13"/>
        <v>4591</v>
      </c>
      <c r="J37" s="200">
        <f t="shared" si="13"/>
        <v>3476.5450000000001</v>
      </c>
      <c r="K37" s="200">
        <f t="shared" si="13"/>
        <v>3955</v>
      </c>
      <c r="L37" s="200">
        <f t="shared" si="13"/>
        <v>11090.48</v>
      </c>
      <c r="M37" s="200">
        <f t="shared" si="13"/>
        <v>2620</v>
      </c>
      <c r="N37" s="207">
        <f t="shared" si="13"/>
        <v>5681.23</v>
      </c>
      <c r="O37" s="208">
        <f>SUM(O39:O43)</f>
        <v>2214</v>
      </c>
      <c r="P37" s="209">
        <f>SUM(P39:P43)</f>
        <v>3549.7249999999999</v>
      </c>
      <c r="Q37" s="209">
        <f>SUM(Q39:Q43)</f>
        <v>3585</v>
      </c>
      <c r="R37" s="208">
        <f>SUM(R39:R43)</f>
        <v>11129.24</v>
      </c>
      <c r="S37" s="208">
        <f t="shared" ref="S37:AX37" si="14">SUM(S39:S43)</f>
        <v>1493</v>
      </c>
      <c r="T37" s="208">
        <f t="shared" si="14"/>
        <v>1401.6000000000001</v>
      </c>
      <c r="U37" s="208">
        <f t="shared" si="14"/>
        <v>112</v>
      </c>
      <c r="V37" s="208">
        <f t="shared" si="14"/>
        <v>92.9</v>
      </c>
      <c r="W37" s="208">
        <f t="shared" si="14"/>
        <v>1019</v>
      </c>
      <c r="X37" s="208">
        <f t="shared" si="14"/>
        <v>1070.8600000000001</v>
      </c>
      <c r="Y37" s="208">
        <f t="shared" si="14"/>
        <v>2057</v>
      </c>
      <c r="Z37" s="208">
        <f t="shared" si="14"/>
        <v>2403.3910000000001</v>
      </c>
      <c r="AA37" s="208">
        <f t="shared" si="14"/>
        <v>576</v>
      </c>
      <c r="AB37" s="209">
        <f t="shared" si="14"/>
        <v>382.65499999999997</v>
      </c>
      <c r="AC37" s="208">
        <f t="shared" si="14"/>
        <v>1027</v>
      </c>
      <c r="AD37" s="208">
        <f t="shared" si="14"/>
        <v>865.72</v>
      </c>
      <c r="AE37" s="208">
        <f t="shared" si="14"/>
        <v>9</v>
      </c>
      <c r="AF37" s="208">
        <f t="shared" si="14"/>
        <v>4.2</v>
      </c>
      <c r="AG37" s="208">
        <f t="shared" si="14"/>
        <v>2974</v>
      </c>
      <c r="AH37" s="208">
        <f t="shared" si="14"/>
        <v>8035.8509999999997</v>
      </c>
      <c r="AI37" s="208">
        <f t="shared" si="14"/>
        <v>3369</v>
      </c>
      <c r="AJ37" s="208">
        <f t="shared" si="14"/>
        <v>6659.326</v>
      </c>
      <c r="AK37" s="208">
        <f t="shared" si="14"/>
        <v>961</v>
      </c>
      <c r="AL37" s="208">
        <f t="shared" si="14"/>
        <v>2677.94</v>
      </c>
      <c r="AM37" s="208">
        <f t="shared" si="14"/>
        <v>358</v>
      </c>
      <c r="AN37" s="208">
        <f t="shared" si="14"/>
        <v>1808.65</v>
      </c>
      <c r="AO37" s="208">
        <f t="shared" si="14"/>
        <v>2164</v>
      </c>
      <c r="AP37" s="208">
        <f t="shared" si="14"/>
        <v>4609.53</v>
      </c>
      <c r="AQ37" s="208">
        <f t="shared" si="14"/>
        <v>107</v>
      </c>
      <c r="AR37" s="208">
        <f t="shared" si="14"/>
        <v>300.8</v>
      </c>
      <c r="AS37" s="208">
        <f t="shared" si="14"/>
        <v>0</v>
      </c>
      <c r="AT37" s="208">
        <f t="shared" si="14"/>
        <v>0</v>
      </c>
      <c r="AU37" s="208">
        <f t="shared" si="14"/>
        <v>73</v>
      </c>
      <c r="AV37" s="208">
        <f t="shared" si="14"/>
        <v>80.459999999999994</v>
      </c>
      <c r="AW37" s="208">
        <f t="shared" si="14"/>
        <v>1446</v>
      </c>
      <c r="AX37" s="208">
        <f t="shared" si="14"/>
        <v>2266.35</v>
      </c>
      <c r="AY37" s="205" t="s">
        <v>34</v>
      </c>
      <c r="AZ37" s="180"/>
      <c r="BA37" s="180"/>
      <c r="BB37" s="131"/>
    </row>
    <row r="38" spans="1:54">
      <c r="A38" s="210"/>
      <c r="B38" s="212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7"/>
      <c r="O38" s="208"/>
      <c r="P38" s="209"/>
      <c r="Q38" s="209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9"/>
      <c r="AC38" s="208"/>
      <c r="AD38" s="208"/>
      <c r="AE38" s="208"/>
      <c r="AF38" s="208"/>
      <c r="AG38" s="208"/>
      <c r="AH38" s="208"/>
      <c r="AI38" s="208"/>
      <c r="AJ38" s="208"/>
      <c r="AK38" s="208"/>
      <c r="AL38" s="208"/>
      <c r="AM38" s="208"/>
      <c r="AN38" s="208"/>
      <c r="AO38" s="208"/>
      <c r="AP38" s="208"/>
      <c r="AQ38" s="208"/>
      <c r="AR38" s="208"/>
      <c r="AS38" s="208"/>
      <c r="AT38" s="208"/>
      <c r="AU38" s="208"/>
      <c r="AV38" s="208"/>
      <c r="AW38" s="208"/>
      <c r="AX38" s="208"/>
      <c r="AY38" s="205"/>
      <c r="AZ38" s="180"/>
      <c r="BA38" s="180"/>
      <c r="BB38" s="131"/>
    </row>
    <row r="39" spans="1:54">
      <c r="A39" s="139" t="s">
        <v>136</v>
      </c>
      <c r="B39" s="120">
        <f t="shared" ref="B39:B44" si="15">SUM(C39,E39,G39,I39,K39,M39,O39,Q39,S39,U39,W39,Y39,AA39,AC39,AE39,AG39,AI39,AK39,AM39,AO39,AQ39,AS39,AU39,AW39)</f>
        <v>36534</v>
      </c>
      <c r="C39" s="140">
        <v>24961</v>
      </c>
      <c r="D39" s="140">
        <v>209190.5</v>
      </c>
      <c r="E39" s="140">
        <v>2557</v>
      </c>
      <c r="F39" s="140">
        <v>9006.9</v>
      </c>
      <c r="G39" s="140">
        <v>323</v>
      </c>
      <c r="H39" s="140">
        <v>1776.9</v>
      </c>
      <c r="I39" s="140">
        <v>1042</v>
      </c>
      <c r="J39" s="141">
        <v>864.65</v>
      </c>
      <c r="K39" s="142">
        <v>1002</v>
      </c>
      <c r="L39" s="142">
        <v>3047</v>
      </c>
      <c r="M39" s="142">
        <v>636</v>
      </c>
      <c r="N39" s="142">
        <v>1398.75</v>
      </c>
      <c r="O39" s="142">
        <v>433</v>
      </c>
      <c r="P39" s="142">
        <v>499.45</v>
      </c>
      <c r="Q39" s="142">
        <v>1573</v>
      </c>
      <c r="R39" s="143">
        <v>6110.5249999999996</v>
      </c>
      <c r="S39" s="140">
        <v>836</v>
      </c>
      <c r="T39" s="140">
        <v>550</v>
      </c>
      <c r="U39" s="144" t="s">
        <v>311</v>
      </c>
      <c r="V39" s="144" t="s">
        <v>311</v>
      </c>
      <c r="W39" s="142">
        <v>84</v>
      </c>
      <c r="X39" s="142">
        <v>71.7</v>
      </c>
      <c r="Y39" s="142">
        <v>470</v>
      </c>
      <c r="Z39" s="142">
        <v>645.9</v>
      </c>
      <c r="AA39" s="142">
        <v>84</v>
      </c>
      <c r="AB39" s="142">
        <v>64</v>
      </c>
      <c r="AC39" s="142">
        <v>441</v>
      </c>
      <c r="AD39" s="142">
        <v>328.65</v>
      </c>
      <c r="AE39" s="145" t="s">
        <v>311</v>
      </c>
      <c r="AF39" s="145" t="s">
        <v>311</v>
      </c>
      <c r="AG39" s="142">
        <v>506</v>
      </c>
      <c r="AH39" s="142">
        <v>1090.5</v>
      </c>
      <c r="AI39" s="142">
        <v>477</v>
      </c>
      <c r="AJ39" s="142">
        <v>451.38</v>
      </c>
      <c r="AK39" s="142">
        <v>182</v>
      </c>
      <c r="AL39" s="142">
        <v>321.8</v>
      </c>
      <c r="AM39" s="142">
        <v>55</v>
      </c>
      <c r="AN39" s="142">
        <v>126.8</v>
      </c>
      <c r="AO39" s="143">
        <v>700</v>
      </c>
      <c r="AP39" s="140">
        <v>1237.6500000000001</v>
      </c>
      <c r="AQ39" s="140">
        <v>48</v>
      </c>
      <c r="AR39" s="140">
        <v>86.75</v>
      </c>
      <c r="AS39" s="145" t="s">
        <v>311</v>
      </c>
      <c r="AT39" s="145" t="s">
        <v>311</v>
      </c>
      <c r="AU39" s="142">
        <v>70</v>
      </c>
      <c r="AV39" s="142">
        <v>78</v>
      </c>
      <c r="AW39" s="150">
        <v>54</v>
      </c>
      <c r="AX39" s="151">
        <v>32.200000000000003</v>
      </c>
      <c r="AY39" s="148" t="s">
        <v>35</v>
      </c>
      <c r="AZ39" s="149"/>
      <c r="BA39" s="149"/>
      <c r="BB39" s="131"/>
    </row>
    <row r="40" spans="1:54">
      <c r="A40" s="139" t="s">
        <v>137</v>
      </c>
      <c r="B40" s="120">
        <f t="shared" si="15"/>
        <v>10642</v>
      </c>
      <c r="C40" s="140">
        <v>4354</v>
      </c>
      <c r="D40" s="140">
        <v>25955</v>
      </c>
      <c r="E40" s="140">
        <v>1797</v>
      </c>
      <c r="F40" s="140">
        <v>5916.65</v>
      </c>
      <c r="G40" s="140">
        <v>151</v>
      </c>
      <c r="H40" s="140">
        <v>1217.5999999999999</v>
      </c>
      <c r="I40" s="140">
        <v>683</v>
      </c>
      <c r="J40" s="141">
        <v>391.97</v>
      </c>
      <c r="K40" s="142">
        <v>531</v>
      </c>
      <c r="L40" s="142">
        <v>1095.1500000000001</v>
      </c>
      <c r="M40" s="142">
        <v>283</v>
      </c>
      <c r="N40" s="142">
        <v>609.95000000000005</v>
      </c>
      <c r="O40" s="142">
        <v>214</v>
      </c>
      <c r="P40" s="142">
        <v>323.66000000000003</v>
      </c>
      <c r="Q40" s="142">
        <v>610</v>
      </c>
      <c r="R40" s="143">
        <v>1014.23</v>
      </c>
      <c r="S40" s="140">
        <v>148</v>
      </c>
      <c r="T40" s="140">
        <v>124.15</v>
      </c>
      <c r="U40" s="140">
        <v>4</v>
      </c>
      <c r="V40" s="140">
        <v>8</v>
      </c>
      <c r="W40" s="142">
        <v>98</v>
      </c>
      <c r="X40" s="142">
        <v>160.5</v>
      </c>
      <c r="Y40" s="142">
        <v>180</v>
      </c>
      <c r="Z40" s="142">
        <v>270.13499999999999</v>
      </c>
      <c r="AA40" s="142">
        <v>13</v>
      </c>
      <c r="AB40" s="142">
        <v>9.75</v>
      </c>
      <c r="AC40" s="142">
        <v>139</v>
      </c>
      <c r="AD40" s="142">
        <v>121.82</v>
      </c>
      <c r="AE40" s="142">
        <v>6</v>
      </c>
      <c r="AF40" s="142">
        <v>2.7</v>
      </c>
      <c r="AG40" s="142">
        <v>706</v>
      </c>
      <c r="AH40" s="142">
        <v>1925.82</v>
      </c>
      <c r="AI40" s="142">
        <v>237</v>
      </c>
      <c r="AJ40" s="142">
        <v>279.815</v>
      </c>
      <c r="AK40" s="142">
        <v>126</v>
      </c>
      <c r="AL40" s="142">
        <v>171.43</v>
      </c>
      <c r="AM40" s="142">
        <v>12</v>
      </c>
      <c r="AN40" s="142">
        <v>99.6</v>
      </c>
      <c r="AO40" s="143">
        <v>249</v>
      </c>
      <c r="AP40" s="140">
        <v>358.67</v>
      </c>
      <c r="AQ40" s="140">
        <v>5</v>
      </c>
      <c r="AR40" s="140">
        <v>17</v>
      </c>
      <c r="AS40" s="145" t="s">
        <v>311</v>
      </c>
      <c r="AT40" s="145" t="s">
        <v>311</v>
      </c>
      <c r="AU40" s="142">
        <v>3</v>
      </c>
      <c r="AV40" s="142">
        <v>2.46</v>
      </c>
      <c r="AW40" s="150">
        <v>93</v>
      </c>
      <c r="AX40" s="151">
        <v>68.180000000000007</v>
      </c>
      <c r="AY40" s="148" t="s">
        <v>36</v>
      </c>
      <c r="AZ40" s="149"/>
      <c r="BA40" s="149"/>
      <c r="BB40" s="131"/>
    </row>
    <row r="41" spans="1:54">
      <c r="A41" s="139" t="s">
        <v>138</v>
      </c>
      <c r="B41" s="120">
        <f t="shared" si="15"/>
        <v>16238</v>
      </c>
      <c r="C41" s="140">
        <v>5457</v>
      </c>
      <c r="D41" s="140">
        <v>38878</v>
      </c>
      <c r="E41" s="140">
        <v>1961</v>
      </c>
      <c r="F41" s="140">
        <v>6794.5</v>
      </c>
      <c r="G41" s="140">
        <v>389</v>
      </c>
      <c r="H41" s="140">
        <v>2360</v>
      </c>
      <c r="I41" s="140">
        <v>1457</v>
      </c>
      <c r="J41" s="141">
        <v>1188.5999999999999</v>
      </c>
      <c r="K41" s="142">
        <v>695</v>
      </c>
      <c r="L41" s="142">
        <v>2073</v>
      </c>
      <c r="M41" s="142">
        <v>543</v>
      </c>
      <c r="N41" s="142">
        <v>1525</v>
      </c>
      <c r="O41" s="142">
        <v>556</v>
      </c>
      <c r="P41" s="142">
        <v>1339</v>
      </c>
      <c r="Q41" s="142">
        <v>446</v>
      </c>
      <c r="R41" s="143">
        <v>2075.5</v>
      </c>
      <c r="S41" s="140">
        <v>261</v>
      </c>
      <c r="T41" s="140">
        <v>391.5</v>
      </c>
      <c r="U41" s="140">
        <v>24</v>
      </c>
      <c r="V41" s="140">
        <v>22.4</v>
      </c>
      <c r="W41" s="142">
        <v>385</v>
      </c>
      <c r="X41" s="142">
        <v>283.2</v>
      </c>
      <c r="Y41" s="142">
        <v>446</v>
      </c>
      <c r="Z41" s="142">
        <v>565.9</v>
      </c>
      <c r="AA41" s="142">
        <v>91</v>
      </c>
      <c r="AB41" s="142">
        <v>49</v>
      </c>
      <c r="AC41" s="142">
        <v>62</v>
      </c>
      <c r="AD41" s="142">
        <v>34.4</v>
      </c>
      <c r="AE41" s="145">
        <v>3</v>
      </c>
      <c r="AF41" s="145">
        <v>1.5</v>
      </c>
      <c r="AG41" s="142">
        <v>373</v>
      </c>
      <c r="AH41" s="142">
        <v>958</v>
      </c>
      <c r="AI41" s="142">
        <v>1283</v>
      </c>
      <c r="AJ41" s="142">
        <v>3732.8</v>
      </c>
      <c r="AK41" s="142">
        <v>52</v>
      </c>
      <c r="AL41" s="142">
        <v>264</v>
      </c>
      <c r="AM41" s="142">
        <v>168</v>
      </c>
      <c r="AN41" s="142">
        <v>594.5</v>
      </c>
      <c r="AO41" s="143">
        <v>405</v>
      </c>
      <c r="AP41" s="140">
        <v>1099.5999999999999</v>
      </c>
      <c r="AQ41" s="140">
        <v>5</v>
      </c>
      <c r="AR41" s="140">
        <v>6</v>
      </c>
      <c r="AS41" s="145" t="s">
        <v>311</v>
      </c>
      <c r="AT41" s="145" t="s">
        <v>311</v>
      </c>
      <c r="AU41" s="145" t="s">
        <v>311</v>
      </c>
      <c r="AV41" s="145" t="s">
        <v>311</v>
      </c>
      <c r="AW41" s="150">
        <v>1176</v>
      </c>
      <c r="AX41" s="151">
        <v>2115.1999999999998</v>
      </c>
      <c r="AY41" s="148" t="s">
        <v>37</v>
      </c>
      <c r="AZ41" s="149"/>
      <c r="BA41" s="149"/>
      <c r="BB41" s="131"/>
    </row>
    <row r="42" spans="1:54">
      <c r="A42" s="139" t="s">
        <v>139</v>
      </c>
      <c r="B42" s="120">
        <f t="shared" si="15"/>
        <v>228</v>
      </c>
      <c r="C42" s="144" t="s">
        <v>311</v>
      </c>
      <c r="D42" s="144" t="s">
        <v>311</v>
      </c>
      <c r="E42" s="140">
        <v>77</v>
      </c>
      <c r="F42" s="140">
        <v>124</v>
      </c>
      <c r="G42" s="140">
        <v>4</v>
      </c>
      <c r="H42" s="140">
        <v>10</v>
      </c>
      <c r="I42" s="140">
        <v>7</v>
      </c>
      <c r="J42" s="141">
        <v>7</v>
      </c>
      <c r="K42" s="142">
        <v>6</v>
      </c>
      <c r="L42" s="142">
        <v>14</v>
      </c>
      <c r="M42" s="145">
        <v>1</v>
      </c>
      <c r="N42" s="145">
        <v>2</v>
      </c>
      <c r="O42" s="142">
        <v>18</v>
      </c>
      <c r="P42" s="142">
        <v>25.2</v>
      </c>
      <c r="Q42" s="145" t="s">
        <v>311</v>
      </c>
      <c r="R42" s="152" t="s">
        <v>311</v>
      </c>
      <c r="S42" s="144" t="s">
        <v>311</v>
      </c>
      <c r="T42" s="144" t="s">
        <v>311</v>
      </c>
      <c r="U42" s="140">
        <v>83</v>
      </c>
      <c r="V42" s="140">
        <v>60</v>
      </c>
      <c r="W42" s="142">
        <v>9</v>
      </c>
      <c r="X42" s="142">
        <v>16.2</v>
      </c>
      <c r="Y42" s="145">
        <v>1</v>
      </c>
      <c r="Z42" s="145">
        <v>1</v>
      </c>
      <c r="AA42" s="145" t="s">
        <v>311</v>
      </c>
      <c r="AB42" s="145" t="s">
        <v>311</v>
      </c>
      <c r="AC42" s="145" t="s">
        <v>311</v>
      </c>
      <c r="AD42" s="145" t="s">
        <v>311</v>
      </c>
      <c r="AE42" s="145" t="s">
        <v>311</v>
      </c>
      <c r="AF42" s="145" t="s">
        <v>311</v>
      </c>
      <c r="AG42" s="142">
        <v>1</v>
      </c>
      <c r="AH42" s="142">
        <v>1</v>
      </c>
      <c r="AI42" s="142">
        <v>9</v>
      </c>
      <c r="AJ42" s="142">
        <v>19</v>
      </c>
      <c r="AK42" s="142">
        <v>6</v>
      </c>
      <c r="AL42" s="142">
        <v>7</v>
      </c>
      <c r="AM42" s="145" t="s">
        <v>311</v>
      </c>
      <c r="AN42" s="145" t="s">
        <v>311</v>
      </c>
      <c r="AO42" s="143">
        <v>6</v>
      </c>
      <c r="AP42" s="140">
        <v>12</v>
      </c>
      <c r="AQ42" s="144" t="s">
        <v>311</v>
      </c>
      <c r="AR42" s="144" t="s">
        <v>311</v>
      </c>
      <c r="AS42" s="145" t="s">
        <v>311</v>
      </c>
      <c r="AT42" s="145" t="s">
        <v>311</v>
      </c>
      <c r="AU42" s="145" t="s">
        <v>311</v>
      </c>
      <c r="AV42" s="145" t="s">
        <v>311</v>
      </c>
      <c r="AW42" s="150" t="s">
        <v>311</v>
      </c>
      <c r="AX42" s="151" t="s">
        <v>311</v>
      </c>
      <c r="AY42" s="148" t="s">
        <v>38</v>
      </c>
      <c r="AZ42" s="149"/>
      <c r="BA42" s="149"/>
      <c r="BB42" s="131"/>
    </row>
    <row r="43" spans="1:54">
      <c r="A43" s="139" t="s">
        <v>140</v>
      </c>
      <c r="B43" s="120">
        <f t="shared" si="15"/>
        <v>16554</v>
      </c>
      <c r="C43" s="140">
        <v>35</v>
      </c>
      <c r="D43" s="140">
        <v>166.5</v>
      </c>
      <c r="E43" s="140">
        <v>2560</v>
      </c>
      <c r="F43" s="140">
        <v>8450.81</v>
      </c>
      <c r="G43" s="140">
        <v>860</v>
      </c>
      <c r="H43" s="140">
        <v>6553.75</v>
      </c>
      <c r="I43" s="140">
        <v>1402</v>
      </c>
      <c r="J43" s="141">
        <v>1024.325</v>
      </c>
      <c r="K43" s="142">
        <v>1721</v>
      </c>
      <c r="L43" s="142">
        <v>4861.33</v>
      </c>
      <c r="M43" s="142">
        <v>1157</v>
      </c>
      <c r="N43" s="142">
        <v>2145.5300000000002</v>
      </c>
      <c r="O43" s="142">
        <v>993</v>
      </c>
      <c r="P43" s="142">
        <v>1362.415</v>
      </c>
      <c r="Q43" s="142">
        <v>956</v>
      </c>
      <c r="R43" s="143">
        <v>1928.9849999999999</v>
      </c>
      <c r="S43" s="140">
        <v>248</v>
      </c>
      <c r="T43" s="140">
        <v>335.95</v>
      </c>
      <c r="U43" s="140">
        <v>1</v>
      </c>
      <c r="V43" s="140">
        <v>2.5</v>
      </c>
      <c r="W43" s="142">
        <v>443</v>
      </c>
      <c r="X43" s="142">
        <v>539.26</v>
      </c>
      <c r="Y43" s="142">
        <v>960</v>
      </c>
      <c r="Z43" s="142">
        <v>920.45600000000002</v>
      </c>
      <c r="AA43" s="142">
        <v>388</v>
      </c>
      <c r="AB43" s="142">
        <v>259.90499999999997</v>
      </c>
      <c r="AC43" s="142">
        <v>385</v>
      </c>
      <c r="AD43" s="142">
        <v>380.85</v>
      </c>
      <c r="AE43" s="145" t="s">
        <v>311</v>
      </c>
      <c r="AF43" s="145" t="s">
        <v>311</v>
      </c>
      <c r="AG43" s="142">
        <v>1388</v>
      </c>
      <c r="AH43" s="142">
        <v>4060.5309999999999</v>
      </c>
      <c r="AI43" s="142">
        <v>1363</v>
      </c>
      <c r="AJ43" s="142">
        <v>2176.3310000000001</v>
      </c>
      <c r="AK43" s="142">
        <v>595</v>
      </c>
      <c r="AL43" s="142">
        <v>1913.71</v>
      </c>
      <c r="AM43" s="142">
        <v>123</v>
      </c>
      <c r="AN43" s="142">
        <v>987.75</v>
      </c>
      <c r="AO43" s="143">
        <v>804</v>
      </c>
      <c r="AP43" s="140">
        <v>1901.61</v>
      </c>
      <c r="AQ43" s="140">
        <v>49</v>
      </c>
      <c r="AR43" s="140">
        <v>191.05</v>
      </c>
      <c r="AS43" s="145" t="s">
        <v>311</v>
      </c>
      <c r="AT43" s="145" t="s">
        <v>311</v>
      </c>
      <c r="AU43" s="145" t="s">
        <v>311</v>
      </c>
      <c r="AV43" s="145" t="s">
        <v>311</v>
      </c>
      <c r="AW43" s="150">
        <v>123</v>
      </c>
      <c r="AX43" s="151">
        <v>50.77</v>
      </c>
      <c r="AY43" s="148" t="s">
        <v>39</v>
      </c>
      <c r="AZ43" s="149"/>
      <c r="BA43" s="149"/>
      <c r="BB43" s="131"/>
    </row>
    <row r="44" spans="1:54">
      <c r="A44" s="210" t="s">
        <v>40</v>
      </c>
      <c r="B44" s="211">
        <f t="shared" si="15"/>
        <v>136141</v>
      </c>
      <c r="C44" s="200">
        <f>SUM(C46:C50)</f>
        <v>22479</v>
      </c>
      <c r="D44" s="200">
        <f t="shared" ref="D44:N44" si="16">SUM(D46:D50)</f>
        <v>147384.5</v>
      </c>
      <c r="E44" s="200">
        <f t="shared" si="16"/>
        <v>20626</v>
      </c>
      <c r="F44" s="200">
        <f t="shared" si="16"/>
        <v>76521.691000000006</v>
      </c>
      <c r="G44" s="200">
        <f t="shared" si="16"/>
        <v>454</v>
      </c>
      <c r="H44" s="200">
        <f t="shared" si="16"/>
        <v>1875.58</v>
      </c>
      <c r="I44" s="200">
        <f t="shared" si="16"/>
        <v>12362</v>
      </c>
      <c r="J44" s="200">
        <f t="shared" si="16"/>
        <v>11884.169999999998</v>
      </c>
      <c r="K44" s="200">
        <f t="shared" si="16"/>
        <v>14503</v>
      </c>
      <c r="L44" s="200">
        <f t="shared" si="16"/>
        <v>25402.93</v>
      </c>
      <c r="M44" s="200">
        <f t="shared" si="16"/>
        <v>6743</v>
      </c>
      <c r="N44" s="207">
        <f t="shared" si="16"/>
        <v>9850.994999999999</v>
      </c>
      <c r="O44" s="208">
        <f>SUM(O46:O50)</f>
        <v>4619</v>
      </c>
      <c r="P44" s="209">
        <f>SUM(P46:P50)</f>
        <v>8325.7860000000001</v>
      </c>
      <c r="Q44" s="209">
        <f>SUM(Q46:Q50)</f>
        <v>23928</v>
      </c>
      <c r="R44" s="208">
        <f>SUM(R46:R50)</f>
        <v>125055.08</v>
      </c>
      <c r="S44" s="208">
        <f t="shared" ref="S44:AX44" si="17">SUM(S46:S50)</f>
        <v>1514</v>
      </c>
      <c r="T44" s="208">
        <f t="shared" si="17"/>
        <v>1224.5599999999997</v>
      </c>
      <c r="U44" s="208">
        <f t="shared" si="17"/>
        <v>103</v>
      </c>
      <c r="V44" s="208">
        <f t="shared" si="17"/>
        <v>102.58</v>
      </c>
      <c r="W44" s="208">
        <f t="shared" si="17"/>
        <v>4131</v>
      </c>
      <c r="X44" s="208">
        <f t="shared" si="17"/>
        <v>7223.6699999999983</v>
      </c>
      <c r="Y44" s="208">
        <f t="shared" si="17"/>
        <v>7497</v>
      </c>
      <c r="Z44" s="208">
        <f t="shared" si="17"/>
        <v>10609.004999999999</v>
      </c>
      <c r="AA44" s="208">
        <f t="shared" si="17"/>
        <v>1337</v>
      </c>
      <c r="AB44" s="209">
        <f t="shared" si="17"/>
        <v>963.75000000000011</v>
      </c>
      <c r="AC44" s="208">
        <f t="shared" si="17"/>
        <v>2844</v>
      </c>
      <c r="AD44" s="208">
        <f t="shared" si="17"/>
        <v>2341.4699999999998</v>
      </c>
      <c r="AE44" s="208">
        <f t="shared" si="17"/>
        <v>205</v>
      </c>
      <c r="AF44" s="208">
        <f t="shared" si="17"/>
        <v>113.47</v>
      </c>
      <c r="AG44" s="208">
        <f t="shared" si="17"/>
        <v>2489</v>
      </c>
      <c r="AH44" s="208">
        <f t="shared" si="17"/>
        <v>5439.7449999999999</v>
      </c>
      <c r="AI44" s="208">
        <f t="shared" si="17"/>
        <v>3691</v>
      </c>
      <c r="AJ44" s="208">
        <f t="shared" si="17"/>
        <v>5068.3600000000006</v>
      </c>
      <c r="AK44" s="208">
        <f t="shared" si="17"/>
        <v>1528</v>
      </c>
      <c r="AL44" s="208">
        <f t="shared" si="17"/>
        <v>2111.3200000000002</v>
      </c>
      <c r="AM44" s="208">
        <f t="shared" si="17"/>
        <v>98</v>
      </c>
      <c r="AN44" s="208">
        <f t="shared" si="17"/>
        <v>446.8</v>
      </c>
      <c r="AO44" s="208">
        <f t="shared" si="17"/>
        <v>2824</v>
      </c>
      <c r="AP44" s="208">
        <f t="shared" si="17"/>
        <v>4981.4599999999991</v>
      </c>
      <c r="AQ44" s="208">
        <f t="shared" si="17"/>
        <v>47</v>
      </c>
      <c r="AR44" s="208">
        <f t="shared" si="17"/>
        <v>62.7</v>
      </c>
      <c r="AS44" s="208">
        <f t="shared" si="17"/>
        <v>8</v>
      </c>
      <c r="AT44" s="208">
        <f t="shared" si="17"/>
        <v>2</v>
      </c>
      <c r="AU44" s="208">
        <f t="shared" si="17"/>
        <v>38</v>
      </c>
      <c r="AV44" s="208">
        <f t="shared" si="17"/>
        <v>44.5</v>
      </c>
      <c r="AW44" s="208">
        <f t="shared" si="17"/>
        <v>2073</v>
      </c>
      <c r="AX44" s="208">
        <f t="shared" si="17"/>
        <v>1741.57</v>
      </c>
      <c r="AY44" s="205" t="s">
        <v>41</v>
      </c>
      <c r="AZ44" s="180"/>
      <c r="BA44" s="180"/>
      <c r="BB44" s="131"/>
    </row>
    <row r="45" spans="1:54">
      <c r="A45" s="210"/>
      <c r="B45" s="212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7"/>
      <c r="O45" s="208"/>
      <c r="P45" s="209"/>
      <c r="Q45" s="209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9"/>
      <c r="AC45" s="208"/>
      <c r="AD45" s="208"/>
      <c r="AE45" s="208"/>
      <c r="AF45" s="208"/>
      <c r="AG45" s="208"/>
      <c r="AH45" s="208"/>
      <c r="AI45" s="208"/>
      <c r="AJ45" s="208"/>
      <c r="AK45" s="208"/>
      <c r="AL45" s="208"/>
      <c r="AM45" s="208"/>
      <c r="AN45" s="208"/>
      <c r="AO45" s="208"/>
      <c r="AP45" s="208"/>
      <c r="AQ45" s="208"/>
      <c r="AR45" s="208"/>
      <c r="AS45" s="208"/>
      <c r="AT45" s="208"/>
      <c r="AU45" s="208"/>
      <c r="AV45" s="208"/>
      <c r="AW45" s="208"/>
      <c r="AX45" s="208"/>
      <c r="AY45" s="205"/>
      <c r="AZ45" s="180"/>
      <c r="BA45" s="180"/>
      <c r="BB45" s="131"/>
    </row>
    <row r="46" spans="1:54">
      <c r="A46" s="139" t="s">
        <v>141</v>
      </c>
      <c r="B46" s="120">
        <f t="shared" ref="B46:B51" si="18">SUM(C46,E46,G46,I46,K46,M46,O46,Q46,S46,U46,W46,Y46,AA46,AC46,AE46,AG46,AI46,AK46,AM46,AO46,AQ46,AS46,AU46,AW46)</f>
        <v>31045</v>
      </c>
      <c r="C46" s="140">
        <v>9551</v>
      </c>
      <c r="D46" s="140">
        <v>68267.5</v>
      </c>
      <c r="E46" s="140">
        <v>5217</v>
      </c>
      <c r="F46" s="140">
        <v>16571.48</v>
      </c>
      <c r="G46" s="140">
        <v>182</v>
      </c>
      <c r="H46" s="140">
        <v>674.7</v>
      </c>
      <c r="I46" s="140">
        <v>5482</v>
      </c>
      <c r="J46" s="141">
        <v>6203.7</v>
      </c>
      <c r="K46" s="142">
        <v>1099</v>
      </c>
      <c r="L46" s="142">
        <v>2086.4</v>
      </c>
      <c r="M46" s="142">
        <v>664</v>
      </c>
      <c r="N46" s="142">
        <v>1337.08</v>
      </c>
      <c r="O46" s="142">
        <v>1316</v>
      </c>
      <c r="P46" s="142">
        <v>1855</v>
      </c>
      <c r="Q46" s="142">
        <v>2243</v>
      </c>
      <c r="R46" s="143">
        <v>7813.46</v>
      </c>
      <c r="S46" s="140">
        <v>104</v>
      </c>
      <c r="T46" s="140">
        <v>108.67</v>
      </c>
      <c r="U46" s="140">
        <v>59</v>
      </c>
      <c r="V46" s="140">
        <v>54.4</v>
      </c>
      <c r="W46" s="142">
        <v>346</v>
      </c>
      <c r="X46" s="142">
        <v>329.23</v>
      </c>
      <c r="Y46" s="142">
        <v>568</v>
      </c>
      <c r="Z46" s="142">
        <v>638.37</v>
      </c>
      <c r="AA46" s="142">
        <v>876</v>
      </c>
      <c r="AB46" s="142">
        <v>690.7</v>
      </c>
      <c r="AC46" s="142">
        <v>361</v>
      </c>
      <c r="AD46" s="142">
        <v>296.22000000000003</v>
      </c>
      <c r="AE46" s="142">
        <v>50</v>
      </c>
      <c r="AF46" s="142">
        <v>23.67</v>
      </c>
      <c r="AG46" s="142">
        <v>743</v>
      </c>
      <c r="AH46" s="142">
        <v>914.09</v>
      </c>
      <c r="AI46" s="142">
        <v>511</v>
      </c>
      <c r="AJ46" s="142">
        <v>447.84</v>
      </c>
      <c r="AK46" s="142">
        <v>485</v>
      </c>
      <c r="AL46" s="142">
        <v>615.71</v>
      </c>
      <c r="AM46" s="142">
        <v>53</v>
      </c>
      <c r="AN46" s="142">
        <v>243</v>
      </c>
      <c r="AO46" s="143">
        <v>878</v>
      </c>
      <c r="AP46" s="140">
        <v>1726.2</v>
      </c>
      <c r="AQ46" s="140">
        <v>30</v>
      </c>
      <c r="AR46" s="140">
        <v>31.9</v>
      </c>
      <c r="AS46" s="142">
        <v>8</v>
      </c>
      <c r="AT46" s="142">
        <v>2</v>
      </c>
      <c r="AU46" s="142">
        <v>1</v>
      </c>
      <c r="AV46" s="142">
        <v>0.8</v>
      </c>
      <c r="AW46" s="150">
        <v>218</v>
      </c>
      <c r="AX46" s="151">
        <v>115.1</v>
      </c>
      <c r="AY46" s="148" t="s">
        <v>42</v>
      </c>
      <c r="AZ46" s="149"/>
      <c r="BA46" s="149"/>
      <c r="BB46" s="131"/>
    </row>
    <row r="47" spans="1:54">
      <c r="A47" s="139" t="s">
        <v>142</v>
      </c>
      <c r="B47" s="120">
        <f t="shared" si="18"/>
        <v>59839</v>
      </c>
      <c r="C47" s="140">
        <v>12860</v>
      </c>
      <c r="D47" s="140">
        <v>79015</v>
      </c>
      <c r="E47" s="140">
        <v>5905</v>
      </c>
      <c r="F47" s="140">
        <v>40489</v>
      </c>
      <c r="G47" s="140">
        <v>43</v>
      </c>
      <c r="H47" s="140">
        <v>306</v>
      </c>
      <c r="I47" s="140">
        <v>4177</v>
      </c>
      <c r="J47" s="141">
        <v>3713.1</v>
      </c>
      <c r="K47" s="142">
        <v>1114</v>
      </c>
      <c r="L47" s="142">
        <v>3071.5</v>
      </c>
      <c r="M47" s="142">
        <v>820</v>
      </c>
      <c r="N47" s="142">
        <v>1528</v>
      </c>
      <c r="O47" s="142">
        <v>1471</v>
      </c>
      <c r="P47" s="142">
        <v>4287</v>
      </c>
      <c r="Q47" s="142">
        <v>19487</v>
      </c>
      <c r="R47" s="143">
        <v>114031.5</v>
      </c>
      <c r="S47" s="140">
        <v>122</v>
      </c>
      <c r="T47" s="140">
        <v>72.900000000000006</v>
      </c>
      <c r="U47" s="140">
        <v>2</v>
      </c>
      <c r="V47" s="140">
        <v>3</v>
      </c>
      <c r="W47" s="142">
        <v>3206</v>
      </c>
      <c r="X47" s="142">
        <v>6187.4</v>
      </c>
      <c r="Y47" s="142">
        <v>5872</v>
      </c>
      <c r="Z47" s="142">
        <v>9082.5</v>
      </c>
      <c r="AA47" s="142">
        <v>94</v>
      </c>
      <c r="AB47" s="142">
        <v>110.2</v>
      </c>
      <c r="AC47" s="142">
        <v>602</v>
      </c>
      <c r="AD47" s="142">
        <v>584.5</v>
      </c>
      <c r="AE47" s="142">
        <v>94</v>
      </c>
      <c r="AF47" s="142">
        <v>58</v>
      </c>
      <c r="AG47" s="142">
        <v>907</v>
      </c>
      <c r="AH47" s="142">
        <v>2943</v>
      </c>
      <c r="AI47" s="142">
        <v>767</v>
      </c>
      <c r="AJ47" s="142">
        <v>1715.5</v>
      </c>
      <c r="AK47" s="142">
        <v>162</v>
      </c>
      <c r="AL47" s="142">
        <v>361.5</v>
      </c>
      <c r="AM47" s="142">
        <v>8</v>
      </c>
      <c r="AN47" s="142">
        <v>21</v>
      </c>
      <c r="AO47" s="143">
        <v>530</v>
      </c>
      <c r="AP47" s="140">
        <v>1481.2</v>
      </c>
      <c r="AQ47" s="140">
        <v>6</v>
      </c>
      <c r="AR47" s="140">
        <v>18</v>
      </c>
      <c r="AS47" s="145" t="s">
        <v>311</v>
      </c>
      <c r="AT47" s="145" t="s">
        <v>311</v>
      </c>
      <c r="AU47" s="145" t="s">
        <v>311</v>
      </c>
      <c r="AV47" s="145" t="s">
        <v>311</v>
      </c>
      <c r="AW47" s="150">
        <v>1590</v>
      </c>
      <c r="AX47" s="151">
        <v>1452.9</v>
      </c>
      <c r="AY47" s="148" t="s">
        <v>43</v>
      </c>
      <c r="AZ47" s="149"/>
      <c r="BA47" s="149"/>
      <c r="BB47" s="131"/>
    </row>
    <row r="48" spans="1:54">
      <c r="A48" s="139" t="s">
        <v>143</v>
      </c>
      <c r="B48" s="120">
        <f t="shared" si="18"/>
        <v>42294</v>
      </c>
      <c r="C48" s="140">
        <v>18</v>
      </c>
      <c r="D48" s="140">
        <v>72</v>
      </c>
      <c r="E48" s="140">
        <v>8747</v>
      </c>
      <c r="F48" s="140">
        <v>18936.02</v>
      </c>
      <c r="G48" s="140">
        <v>219</v>
      </c>
      <c r="H48" s="140">
        <v>875.88</v>
      </c>
      <c r="I48" s="140">
        <v>2193</v>
      </c>
      <c r="J48" s="141">
        <v>1776.21</v>
      </c>
      <c r="K48" s="142">
        <v>12044</v>
      </c>
      <c r="L48" s="142">
        <v>20115.25</v>
      </c>
      <c r="M48" s="142">
        <v>5240</v>
      </c>
      <c r="N48" s="142">
        <v>6978.59</v>
      </c>
      <c r="O48" s="142">
        <v>1617</v>
      </c>
      <c r="P48" s="142">
        <v>2017.15</v>
      </c>
      <c r="Q48" s="142">
        <v>1722</v>
      </c>
      <c r="R48" s="143">
        <v>2951.6</v>
      </c>
      <c r="S48" s="140">
        <v>1217</v>
      </c>
      <c r="T48" s="140">
        <v>1022.125</v>
      </c>
      <c r="U48" s="140">
        <v>39</v>
      </c>
      <c r="V48" s="140">
        <v>44.35</v>
      </c>
      <c r="W48" s="142">
        <v>548</v>
      </c>
      <c r="X48" s="142">
        <v>697.68499999999995</v>
      </c>
      <c r="Y48" s="142">
        <v>1020</v>
      </c>
      <c r="Z48" s="142">
        <v>870.34500000000003</v>
      </c>
      <c r="AA48" s="142">
        <v>344</v>
      </c>
      <c r="AB48" s="142">
        <v>156.255</v>
      </c>
      <c r="AC48" s="142">
        <v>1865</v>
      </c>
      <c r="AD48" s="142">
        <v>1454.85</v>
      </c>
      <c r="AE48" s="142">
        <v>55</v>
      </c>
      <c r="AF48" s="142">
        <v>30.9</v>
      </c>
      <c r="AG48" s="142">
        <v>687</v>
      </c>
      <c r="AH48" s="142">
        <v>1494.55</v>
      </c>
      <c r="AI48" s="142">
        <v>2308</v>
      </c>
      <c r="AJ48" s="142">
        <v>2867.02</v>
      </c>
      <c r="AK48" s="142">
        <v>786</v>
      </c>
      <c r="AL48" s="142">
        <v>1091.92</v>
      </c>
      <c r="AM48" s="142">
        <v>35</v>
      </c>
      <c r="AN48" s="142">
        <v>181.3</v>
      </c>
      <c r="AO48" s="143">
        <v>1336</v>
      </c>
      <c r="AP48" s="140">
        <v>1728.33</v>
      </c>
      <c r="AQ48" s="140">
        <v>11</v>
      </c>
      <c r="AR48" s="140">
        <v>12.8</v>
      </c>
      <c r="AS48" s="145" t="s">
        <v>311</v>
      </c>
      <c r="AT48" s="145" t="s">
        <v>311</v>
      </c>
      <c r="AU48" s="145" t="s">
        <v>311</v>
      </c>
      <c r="AV48" s="145" t="s">
        <v>311</v>
      </c>
      <c r="AW48" s="146">
        <v>243</v>
      </c>
      <c r="AX48" s="147">
        <v>169.75</v>
      </c>
      <c r="AY48" s="148" t="s">
        <v>44</v>
      </c>
      <c r="AZ48" s="149"/>
      <c r="BA48" s="149"/>
      <c r="BB48" s="131"/>
    </row>
    <row r="49" spans="1:54">
      <c r="A49" s="139" t="s">
        <v>144</v>
      </c>
      <c r="B49" s="120">
        <f t="shared" si="18"/>
        <v>1671</v>
      </c>
      <c r="C49" s="144" t="s">
        <v>311</v>
      </c>
      <c r="D49" s="144" t="s">
        <v>311</v>
      </c>
      <c r="E49" s="140">
        <v>406</v>
      </c>
      <c r="F49" s="140">
        <v>176.89500000000001</v>
      </c>
      <c r="G49" s="140">
        <v>4</v>
      </c>
      <c r="H49" s="140">
        <v>2.5</v>
      </c>
      <c r="I49" s="140">
        <v>324</v>
      </c>
      <c r="J49" s="141">
        <v>107.44</v>
      </c>
      <c r="K49" s="142">
        <v>157</v>
      </c>
      <c r="L49" s="142">
        <v>82.05</v>
      </c>
      <c r="M49" s="142">
        <v>7</v>
      </c>
      <c r="N49" s="142">
        <v>1.7749999999999999</v>
      </c>
      <c r="O49" s="142">
        <v>108</v>
      </c>
      <c r="P49" s="142">
        <v>90.436000000000007</v>
      </c>
      <c r="Q49" s="142">
        <v>297</v>
      </c>
      <c r="R49" s="143">
        <v>180.98</v>
      </c>
      <c r="S49" s="140">
        <v>52</v>
      </c>
      <c r="T49" s="140">
        <v>13.744999999999999</v>
      </c>
      <c r="U49" s="144" t="s">
        <v>311</v>
      </c>
      <c r="V49" s="144" t="s">
        <v>311</v>
      </c>
      <c r="W49" s="142">
        <v>6</v>
      </c>
      <c r="X49" s="142">
        <v>1.5</v>
      </c>
      <c r="Y49" s="142">
        <v>12</v>
      </c>
      <c r="Z49" s="142">
        <v>4.71</v>
      </c>
      <c r="AA49" s="142">
        <v>17</v>
      </c>
      <c r="AB49" s="142">
        <v>4.4950000000000001</v>
      </c>
      <c r="AC49" s="145" t="s">
        <v>311</v>
      </c>
      <c r="AD49" s="145" t="s">
        <v>311</v>
      </c>
      <c r="AE49" s="145" t="s">
        <v>311</v>
      </c>
      <c r="AF49" s="145" t="s">
        <v>311</v>
      </c>
      <c r="AG49" s="142">
        <v>117</v>
      </c>
      <c r="AH49" s="142">
        <v>75.234999999999999</v>
      </c>
      <c r="AI49" s="142">
        <v>67</v>
      </c>
      <c r="AJ49" s="142">
        <v>23.2</v>
      </c>
      <c r="AK49" s="142">
        <v>54</v>
      </c>
      <c r="AL49" s="142">
        <v>18.899999999999999</v>
      </c>
      <c r="AM49" s="142">
        <v>2</v>
      </c>
      <c r="AN49" s="142">
        <v>1.5</v>
      </c>
      <c r="AO49" s="143">
        <v>22</v>
      </c>
      <c r="AP49" s="140">
        <v>7.15</v>
      </c>
      <c r="AQ49" s="144" t="s">
        <v>311</v>
      </c>
      <c r="AR49" s="144" t="s">
        <v>311</v>
      </c>
      <c r="AS49" s="145" t="s">
        <v>311</v>
      </c>
      <c r="AT49" s="145" t="s">
        <v>311</v>
      </c>
      <c r="AU49" s="142">
        <v>1</v>
      </c>
      <c r="AV49" s="142">
        <v>0.4</v>
      </c>
      <c r="AW49" s="150">
        <v>18</v>
      </c>
      <c r="AX49" s="151">
        <v>2.77</v>
      </c>
      <c r="AY49" s="148" t="s">
        <v>45</v>
      </c>
      <c r="AZ49" s="149"/>
      <c r="BA49" s="149"/>
      <c r="BB49" s="131"/>
    </row>
    <row r="50" spans="1:54">
      <c r="A50" s="139" t="s">
        <v>145</v>
      </c>
      <c r="B50" s="120">
        <f t="shared" si="18"/>
        <v>1292</v>
      </c>
      <c r="C50" s="140">
        <v>50</v>
      </c>
      <c r="D50" s="140">
        <v>30</v>
      </c>
      <c r="E50" s="140">
        <v>351</v>
      </c>
      <c r="F50" s="140">
        <v>348.29599999999999</v>
      </c>
      <c r="G50" s="140">
        <v>6</v>
      </c>
      <c r="H50" s="140">
        <v>16.5</v>
      </c>
      <c r="I50" s="140">
        <v>186</v>
      </c>
      <c r="J50" s="141">
        <v>83.72</v>
      </c>
      <c r="K50" s="142">
        <v>89</v>
      </c>
      <c r="L50" s="142">
        <v>47.73</v>
      </c>
      <c r="M50" s="142">
        <v>12</v>
      </c>
      <c r="N50" s="142">
        <v>5.55</v>
      </c>
      <c r="O50" s="142">
        <v>107</v>
      </c>
      <c r="P50" s="142">
        <v>76.2</v>
      </c>
      <c r="Q50" s="142">
        <v>179</v>
      </c>
      <c r="R50" s="143">
        <v>77.540000000000006</v>
      </c>
      <c r="S50" s="140">
        <v>19</v>
      </c>
      <c r="T50" s="140">
        <v>7.12</v>
      </c>
      <c r="U50" s="140">
        <v>3</v>
      </c>
      <c r="V50" s="140">
        <v>0.83</v>
      </c>
      <c r="W50" s="142">
        <v>25</v>
      </c>
      <c r="X50" s="142">
        <v>7.8550000000000004</v>
      </c>
      <c r="Y50" s="142">
        <v>25</v>
      </c>
      <c r="Z50" s="142">
        <v>13.08</v>
      </c>
      <c r="AA50" s="142">
        <v>6</v>
      </c>
      <c r="AB50" s="142">
        <v>2.1</v>
      </c>
      <c r="AC50" s="142">
        <v>16</v>
      </c>
      <c r="AD50" s="142">
        <v>5.9</v>
      </c>
      <c r="AE50" s="142">
        <v>6</v>
      </c>
      <c r="AF50" s="142">
        <v>0.9</v>
      </c>
      <c r="AG50" s="142">
        <v>35</v>
      </c>
      <c r="AH50" s="142">
        <v>12.87</v>
      </c>
      <c r="AI50" s="142">
        <v>38</v>
      </c>
      <c r="AJ50" s="142">
        <v>14.8</v>
      </c>
      <c r="AK50" s="142">
        <v>41</v>
      </c>
      <c r="AL50" s="142">
        <v>23.29</v>
      </c>
      <c r="AM50" s="145" t="s">
        <v>311</v>
      </c>
      <c r="AN50" s="145" t="s">
        <v>311</v>
      </c>
      <c r="AO50" s="143">
        <v>58</v>
      </c>
      <c r="AP50" s="140">
        <v>38.58</v>
      </c>
      <c r="AQ50" s="144" t="s">
        <v>311</v>
      </c>
      <c r="AR50" s="144" t="s">
        <v>311</v>
      </c>
      <c r="AS50" s="145" t="s">
        <v>311</v>
      </c>
      <c r="AT50" s="145" t="s">
        <v>311</v>
      </c>
      <c r="AU50" s="142">
        <v>36</v>
      </c>
      <c r="AV50" s="142">
        <v>43.3</v>
      </c>
      <c r="AW50" s="150">
        <v>4</v>
      </c>
      <c r="AX50" s="151">
        <v>1.05</v>
      </c>
      <c r="AY50" s="148" t="s">
        <v>46</v>
      </c>
      <c r="AZ50" s="149"/>
      <c r="BA50" s="149"/>
      <c r="BB50" s="131"/>
    </row>
    <row r="51" spans="1:54">
      <c r="A51" s="210" t="s">
        <v>47</v>
      </c>
      <c r="B51" s="211">
        <f t="shared" si="18"/>
        <v>20364</v>
      </c>
      <c r="C51" s="200">
        <f>SUM(C53:C57)</f>
        <v>0</v>
      </c>
      <c r="D51" s="200">
        <f t="shared" ref="D51:N51" si="19">SUM(D53:D57)</f>
        <v>0</v>
      </c>
      <c r="E51" s="200">
        <f t="shared" si="19"/>
        <v>5789</v>
      </c>
      <c r="F51" s="200">
        <f t="shared" si="19"/>
        <v>10446.17</v>
      </c>
      <c r="G51" s="200">
        <f t="shared" si="19"/>
        <v>513</v>
      </c>
      <c r="H51" s="200">
        <f t="shared" si="19"/>
        <v>3232.8500000000004</v>
      </c>
      <c r="I51" s="200">
        <f t="shared" si="19"/>
        <v>1496</v>
      </c>
      <c r="J51" s="200">
        <f t="shared" si="19"/>
        <v>1307.0250000000003</v>
      </c>
      <c r="K51" s="200">
        <f t="shared" si="19"/>
        <v>1707</v>
      </c>
      <c r="L51" s="200">
        <f t="shared" si="19"/>
        <v>2103.4500000000003</v>
      </c>
      <c r="M51" s="200">
        <f t="shared" si="19"/>
        <v>1257</v>
      </c>
      <c r="N51" s="207">
        <f t="shared" si="19"/>
        <v>1228.83</v>
      </c>
      <c r="O51" s="208">
        <f>SUM(O53:O57)</f>
        <v>1627</v>
      </c>
      <c r="P51" s="209">
        <f>SUM(P53:P57)</f>
        <v>1670.3950000000002</v>
      </c>
      <c r="Q51" s="209">
        <f>SUM(Q53:Q57)</f>
        <v>1848</v>
      </c>
      <c r="R51" s="208">
        <f>SUM(R53:R57)</f>
        <v>1207.94</v>
      </c>
      <c r="S51" s="208">
        <f t="shared" ref="S51:AX51" si="20">SUM(S53:S57)</f>
        <v>891</v>
      </c>
      <c r="T51" s="208">
        <f t="shared" si="20"/>
        <v>331.15499999999997</v>
      </c>
      <c r="U51" s="208">
        <f t="shared" si="20"/>
        <v>1130</v>
      </c>
      <c r="V51" s="208">
        <f t="shared" si="20"/>
        <v>837.96500000000003</v>
      </c>
      <c r="W51" s="208">
        <f t="shared" si="20"/>
        <v>546</v>
      </c>
      <c r="X51" s="208">
        <f t="shared" si="20"/>
        <v>571.48500000000001</v>
      </c>
      <c r="Y51" s="208">
        <f t="shared" si="20"/>
        <v>191</v>
      </c>
      <c r="Z51" s="208">
        <f t="shared" si="20"/>
        <v>138.23999999999998</v>
      </c>
      <c r="AA51" s="208">
        <f t="shared" si="20"/>
        <v>376</v>
      </c>
      <c r="AB51" s="209">
        <f t="shared" si="20"/>
        <v>169.4</v>
      </c>
      <c r="AC51" s="208">
        <f t="shared" si="20"/>
        <v>129</v>
      </c>
      <c r="AD51" s="208">
        <f t="shared" si="20"/>
        <v>94.3</v>
      </c>
      <c r="AE51" s="208">
        <f t="shared" si="20"/>
        <v>37</v>
      </c>
      <c r="AF51" s="208">
        <f t="shared" si="20"/>
        <v>20.074999999999999</v>
      </c>
      <c r="AG51" s="208">
        <f t="shared" si="20"/>
        <v>424</v>
      </c>
      <c r="AH51" s="208">
        <f t="shared" si="20"/>
        <v>554.66999999999996</v>
      </c>
      <c r="AI51" s="208">
        <f t="shared" si="20"/>
        <v>708</v>
      </c>
      <c r="AJ51" s="208">
        <f t="shared" si="20"/>
        <v>589.5920000000001</v>
      </c>
      <c r="AK51" s="208">
        <f t="shared" si="20"/>
        <v>727</v>
      </c>
      <c r="AL51" s="208">
        <f t="shared" si="20"/>
        <v>949.78</v>
      </c>
      <c r="AM51" s="208">
        <f t="shared" si="20"/>
        <v>79</v>
      </c>
      <c r="AN51" s="208">
        <f t="shared" si="20"/>
        <v>466.5</v>
      </c>
      <c r="AO51" s="208">
        <f t="shared" si="20"/>
        <v>728</v>
      </c>
      <c r="AP51" s="208">
        <f t="shared" si="20"/>
        <v>616.17999999999995</v>
      </c>
      <c r="AQ51" s="208">
        <f t="shared" si="20"/>
        <v>90</v>
      </c>
      <c r="AR51" s="208">
        <f t="shared" si="20"/>
        <v>205.65</v>
      </c>
      <c r="AS51" s="208">
        <f t="shared" si="20"/>
        <v>5</v>
      </c>
      <c r="AT51" s="208">
        <f t="shared" si="20"/>
        <v>0.8</v>
      </c>
      <c r="AU51" s="208">
        <f t="shared" si="20"/>
        <v>10</v>
      </c>
      <c r="AV51" s="208">
        <f t="shared" si="20"/>
        <v>3.85</v>
      </c>
      <c r="AW51" s="208">
        <f t="shared" si="20"/>
        <v>56</v>
      </c>
      <c r="AX51" s="208">
        <f t="shared" si="20"/>
        <v>24.479999999999997</v>
      </c>
      <c r="AY51" s="205" t="s">
        <v>48</v>
      </c>
      <c r="AZ51" s="180"/>
      <c r="BA51" s="180"/>
      <c r="BB51" s="131"/>
    </row>
    <row r="52" spans="1:54">
      <c r="A52" s="210"/>
      <c r="B52" s="212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7"/>
      <c r="O52" s="208"/>
      <c r="P52" s="209"/>
      <c r="Q52" s="209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9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  <c r="AT52" s="208"/>
      <c r="AU52" s="208"/>
      <c r="AV52" s="208"/>
      <c r="AW52" s="208"/>
      <c r="AX52" s="208"/>
      <c r="AY52" s="205"/>
      <c r="AZ52" s="180"/>
      <c r="BA52" s="180"/>
      <c r="BB52" s="131"/>
    </row>
    <row r="53" spans="1:54">
      <c r="A53" s="139" t="s">
        <v>146</v>
      </c>
      <c r="B53" s="120">
        <f t="shared" ref="B53:B58" si="21">SUM(C53,E53,G53,I53,K53,M53,O53,Q53,S53,U53,W53,Y53,AA53,AC53,AE53,AG53,AI53,AK53,AM53,AO53,AQ53,AS53,AU53,AW53)</f>
        <v>12025</v>
      </c>
      <c r="C53" s="144" t="s">
        <v>311</v>
      </c>
      <c r="D53" s="144" t="s">
        <v>311</v>
      </c>
      <c r="E53" s="140">
        <v>3319</v>
      </c>
      <c r="F53" s="140">
        <v>6157.65</v>
      </c>
      <c r="G53" s="140">
        <v>100</v>
      </c>
      <c r="H53" s="140">
        <v>891.9</v>
      </c>
      <c r="I53" s="140">
        <v>898</v>
      </c>
      <c r="J53" s="141">
        <v>678.19</v>
      </c>
      <c r="K53" s="142">
        <v>1103</v>
      </c>
      <c r="L53" s="142">
        <v>1659.43</v>
      </c>
      <c r="M53" s="142">
        <v>734</v>
      </c>
      <c r="N53" s="142">
        <v>886</v>
      </c>
      <c r="O53" s="142">
        <v>995</v>
      </c>
      <c r="P53" s="142">
        <v>1233.75</v>
      </c>
      <c r="Q53" s="142">
        <v>1067</v>
      </c>
      <c r="R53" s="143">
        <v>608.32000000000005</v>
      </c>
      <c r="S53" s="140">
        <v>567</v>
      </c>
      <c r="T53" s="140">
        <v>224.02</v>
      </c>
      <c r="U53" s="140">
        <v>753</v>
      </c>
      <c r="V53" s="140">
        <v>563.71</v>
      </c>
      <c r="W53" s="142">
        <v>389</v>
      </c>
      <c r="X53" s="142">
        <v>491.59</v>
      </c>
      <c r="Y53" s="142">
        <v>105</v>
      </c>
      <c r="Z53" s="142">
        <v>94.32</v>
      </c>
      <c r="AA53" s="142">
        <v>198</v>
      </c>
      <c r="AB53" s="142">
        <v>109.21</v>
      </c>
      <c r="AC53" s="142">
        <v>85</v>
      </c>
      <c r="AD53" s="142">
        <v>69.400000000000006</v>
      </c>
      <c r="AE53" s="142">
        <v>2</v>
      </c>
      <c r="AF53" s="142">
        <v>2</v>
      </c>
      <c r="AG53" s="142">
        <v>394</v>
      </c>
      <c r="AH53" s="142">
        <v>524.12</v>
      </c>
      <c r="AI53" s="142">
        <v>404</v>
      </c>
      <c r="AJ53" s="142">
        <v>401.47</v>
      </c>
      <c r="AK53" s="142">
        <v>479</v>
      </c>
      <c r="AL53" s="142">
        <v>753.6</v>
      </c>
      <c r="AM53" s="142">
        <v>51</v>
      </c>
      <c r="AN53" s="142">
        <v>344</v>
      </c>
      <c r="AO53" s="143">
        <v>340</v>
      </c>
      <c r="AP53" s="140">
        <v>333.85</v>
      </c>
      <c r="AQ53" s="140">
        <v>24</v>
      </c>
      <c r="AR53" s="140">
        <v>25.25</v>
      </c>
      <c r="AS53" s="145" t="s">
        <v>311</v>
      </c>
      <c r="AT53" s="145" t="s">
        <v>311</v>
      </c>
      <c r="AU53" s="142">
        <v>10</v>
      </c>
      <c r="AV53" s="142">
        <v>3.85</v>
      </c>
      <c r="AW53" s="146">
        <v>8</v>
      </c>
      <c r="AX53" s="147">
        <v>4.3</v>
      </c>
      <c r="AY53" s="148" t="s">
        <v>49</v>
      </c>
      <c r="AZ53" s="149"/>
      <c r="BA53" s="149"/>
      <c r="BB53" s="131"/>
    </row>
    <row r="54" spans="1:54">
      <c r="A54" s="139" t="s">
        <v>147</v>
      </c>
      <c r="B54" s="120">
        <f t="shared" si="21"/>
        <v>3963</v>
      </c>
      <c r="C54" s="144" t="s">
        <v>311</v>
      </c>
      <c r="D54" s="144" t="s">
        <v>311</v>
      </c>
      <c r="E54" s="140">
        <v>1019</v>
      </c>
      <c r="F54" s="140">
        <v>3352.75</v>
      </c>
      <c r="G54" s="140">
        <v>359</v>
      </c>
      <c r="H54" s="140">
        <v>2254.9</v>
      </c>
      <c r="I54" s="140">
        <v>258</v>
      </c>
      <c r="J54" s="141">
        <v>494.17</v>
      </c>
      <c r="K54" s="142">
        <v>370</v>
      </c>
      <c r="L54" s="142">
        <v>341.61</v>
      </c>
      <c r="M54" s="142">
        <v>310</v>
      </c>
      <c r="N54" s="142">
        <v>260.43</v>
      </c>
      <c r="O54" s="142">
        <v>231</v>
      </c>
      <c r="P54" s="142">
        <v>226.63</v>
      </c>
      <c r="Q54" s="142">
        <v>283</v>
      </c>
      <c r="R54" s="143">
        <v>380.46</v>
      </c>
      <c r="S54" s="140">
        <v>85</v>
      </c>
      <c r="T54" s="140">
        <v>38.61</v>
      </c>
      <c r="U54" s="140">
        <v>148</v>
      </c>
      <c r="V54" s="140">
        <v>162.19</v>
      </c>
      <c r="W54" s="142">
        <v>85</v>
      </c>
      <c r="X54" s="142">
        <v>61.25</v>
      </c>
      <c r="Y54" s="142">
        <v>42</v>
      </c>
      <c r="Z54" s="142">
        <v>31.9</v>
      </c>
      <c r="AA54" s="142">
        <v>122</v>
      </c>
      <c r="AB54" s="142">
        <v>46.95</v>
      </c>
      <c r="AC54" s="142">
        <v>41</v>
      </c>
      <c r="AD54" s="142">
        <v>23.6</v>
      </c>
      <c r="AE54" s="142">
        <v>34</v>
      </c>
      <c r="AF54" s="142">
        <v>17.875</v>
      </c>
      <c r="AG54" s="142">
        <v>21</v>
      </c>
      <c r="AH54" s="142">
        <v>29</v>
      </c>
      <c r="AI54" s="142">
        <v>160</v>
      </c>
      <c r="AJ54" s="142">
        <v>127.3</v>
      </c>
      <c r="AK54" s="142">
        <v>114</v>
      </c>
      <c r="AL54" s="142">
        <v>106.78</v>
      </c>
      <c r="AM54" s="142">
        <v>12</v>
      </c>
      <c r="AN54" s="142">
        <v>41.5</v>
      </c>
      <c r="AO54" s="143">
        <v>196</v>
      </c>
      <c r="AP54" s="140">
        <v>192.48</v>
      </c>
      <c r="AQ54" s="140">
        <v>56</v>
      </c>
      <c r="AR54" s="140">
        <v>158.4</v>
      </c>
      <c r="AS54" s="145" t="s">
        <v>311</v>
      </c>
      <c r="AT54" s="145" t="s">
        <v>311</v>
      </c>
      <c r="AU54" s="145" t="s">
        <v>311</v>
      </c>
      <c r="AV54" s="145" t="s">
        <v>311</v>
      </c>
      <c r="AW54" s="150">
        <v>17</v>
      </c>
      <c r="AX54" s="151">
        <v>8.58</v>
      </c>
      <c r="AY54" s="148" t="s">
        <v>50</v>
      </c>
      <c r="AZ54" s="149"/>
      <c r="BA54" s="149"/>
      <c r="BB54" s="131"/>
    </row>
    <row r="55" spans="1:54">
      <c r="A55" s="139" t="s">
        <v>148</v>
      </c>
      <c r="B55" s="120">
        <f t="shared" si="21"/>
        <v>89</v>
      </c>
      <c r="C55" s="144" t="s">
        <v>311</v>
      </c>
      <c r="D55" s="144" t="s">
        <v>311</v>
      </c>
      <c r="E55" s="140">
        <v>17</v>
      </c>
      <c r="F55" s="140">
        <v>0.94</v>
      </c>
      <c r="G55" s="144" t="s">
        <v>311</v>
      </c>
      <c r="H55" s="144" t="s">
        <v>311</v>
      </c>
      <c r="I55" s="140">
        <v>3</v>
      </c>
      <c r="J55" s="141">
        <v>4.4999999999999998E-2</v>
      </c>
      <c r="K55" s="142">
        <v>6</v>
      </c>
      <c r="L55" s="142">
        <v>0.49</v>
      </c>
      <c r="M55" s="142">
        <v>6</v>
      </c>
      <c r="N55" s="142">
        <v>0.61</v>
      </c>
      <c r="O55" s="142">
        <v>11</v>
      </c>
      <c r="P55" s="142">
        <v>0.33500000000000002</v>
      </c>
      <c r="Q55" s="142">
        <v>7</v>
      </c>
      <c r="R55" s="143">
        <v>0.47</v>
      </c>
      <c r="S55" s="140">
        <v>3</v>
      </c>
      <c r="T55" s="140">
        <v>0.115</v>
      </c>
      <c r="U55" s="140">
        <v>17</v>
      </c>
      <c r="V55" s="140">
        <v>0.34499999999999997</v>
      </c>
      <c r="W55" s="142">
        <v>8</v>
      </c>
      <c r="X55" s="142">
        <v>6.5000000000000002E-2</v>
      </c>
      <c r="Y55" s="145" t="s">
        <v>311</v>
      </c>
      <c r="Z55" s="145" t="s">
        <v>311</v>
      </c>
      <c r="AA55" s="145" t="s">
        <v>311</v>
      </c>
      <c r="AB55" s="145" t="s">
        <v>311</v>
      </c>
      <c r="AC55" s="145" t="s">
        <v>311</v>
      </c>
      <c r="AD55" s="145" t="s">
        <v>311</v>
      </c>
      <c r="AE55" s="145" t="s">
        <v>311</v>
      </c>
      <c r="AF55" s="145" t="s">
        <v>311</v>
      </c>
      <c r="AG55" s="145" t="s">
        <v>311</v>
      </c>
      <c r="AH55" s="145" t="s">
        <v>311</v>
      </c>
      <c r="AI55" s="142">
        <v>6</v>
      </c>
      <c r="AJ55" s="142">
        <v>0.19</v>
      </c>
      <c r="AK55" s="142">
        <v>3</v>
      </c>
      <c r="AL55" s="142">
        <v>0.04</v>
      </c>
      <c r="AM55" s="145" t="s">
        <v>311</v>
      </c>
      <c r="AN55" s="145" t="s">
        <v>311</v>
      </c>
      <c r="AO55" s="143">
        <v>2</v>
      </c>
      <c r="AP55" s="140">
        <v>0.03</v>
      </c>
      <c r="AQ55" s="144" t="s">
        <v>311</v>
      </c>
      <c r="AR55" s="144" t="s">
        <v>311</v>
      </c>
      <c r="AS55" s="145" t="s">
        <v>311</v>
      </c>
      <c r="AT55" s="145" t="s">
        <v>311</v>
      </c>
      <c r="AU55" s="145" t="s">
        <v>311</v>
      </c>
      <c r="AV55" s="145" t="s">
        <v>311</v>
      </c>
      <c r="AW55" s="150" t="s">
        <v>311</v>
      </c>
      <c r="AX55" s="151" t="s">
        <v>311</v>
      </c>
      <c r="AY55" s="148" t="s">
        <v>51</v>
      </c>
      <c r="AZ55" s="149"/>
      <c r="BA55" s="149"/>
      <c r="BB55" s="131"/>
    </row>
    <row r="56" spans="1:54">
      <c r="A56" s="139" t="s">
        <v>149</v>
      </c>
      <c r="B56" s="120">
        <f t="shared" si="21"/>
        <v>3135</v>
      </c>
      <c r="C56" s="144" t="s">
        <v>311</v>
      </c>
      <c r="D56" s="144" t="s">
        <v>311</v>
      </c>
      <c r="E56" s="140">
        <v>1002</v>
      </c>
      <c r="F56" s="140">
        <v>679.43</v>
      </c>
      <c r="G56" s="140">
        <v>18</v>
      </c>
      <c r="H56" s="140">
        <v>46.25</v>
      </c>
      <c r="I56" s="140">
        <v>226</v>
      </c>
      <c r="J56" s="141">
        <v>104.48</v>
      </c>
      <c r="K56" s="142">
        <v>145</v>
      </c>
      <c r="L56" s="142">
        <v>66.89</v>
      </c>
      <c r="M56" s="142">
        <v>146</v>
      </c>
      <c r="N56" s="142">
        <v>61.6</v>
      </c>
      <c r="O56" s="142">
        <v>325</v>
      </c>
      <c r="P56" s="142">
        <v>189.61</v>
      </c>
      <c r="Q56" s="142">
        <v>371</v>
      </c>
      <c r="R56" s="143">
        <v>180.49</v>
      </c>
      <c r="S56" s="140">
        <v>154</v>
      </c>
      <c r="T56" s="140">
        <v>48.53</v>
      </c>
      <c r="U56" s="140">
        <v>191</v>
      </c>
      <c r="V56" s="140">
        <v>108.31</v>
      </c>
      <c r="W56" s="142">
        <v>38</v>
      </c>
      <c r="X56" s="142">
        <v>12</v>
      </c>
      <c r="Y56" s="142">
        <v>42</v>
      </c>
      <c r="Z56" s="142">
        <v>11.54</v>
      </c>
      <c r="AA56" s="142">
        <v>49</v>
      </c>
      <c r="AB56" s="142">
        <v>12.74</v>
      </c>
      <c r="AC56" s="145">
        <v>1</v>
      </c>
      <c r="AD56" s="145">
        <v>1</v>
      </c>
      <c r="AE56" s="145" t="s">
        <v>311</v>
      </c>
      <c r="AF56" s="145" t="s">
        <v>311</v>
      </c>
      <c r="AG56" s="142">
        <v>2</v>
      </c>
      <c r="AH56" s="142">
        <v>0.3</v>
      </c>
      <c r="AI56" s="142">
        <v>102</v>
      </c>
      <c r="AJ56" s="142">
        <v>44.781999999999996</v>
      </c>
      <c r="AK56" s="142">
        <v>108</v>
      </c>
      <c r="AL56" s="142">
        <v>79.510000000000005</v>
      </c>
      <c r="AM56" s="142">
        <v>15</v>
      </c>
      <c r="AN56" s="142">
        <v>80</v>
      </c>
      <c r="AO56" s="143">
        <v>159</v>
      </c>
      <c r="AP56" s="140">
        <v>80.66</v>
      </c>
      <c r="AQ56" s="140">
        <v>10</v>
      </c>
      <c r="AR56" s="140">
        <v>22</v>
      </c>
      <c r="AS56" s="145" t="s">
        <v>311</v>
      </c>
      <c r="AT56" s="145" t="s">
        <v>311</v>
      </c>
      <c r="AU56" s="145" t="s">
        <v>311</v>
      </c>
      <c r="AV56" s="145" t="s">
        <v>311</v>
      </c>
      <c r="AW56" s="150">
        <v>31</v>
      </c>
      <c r="AX56" s="151">
        <v>11.6</v>
      </c>
      <c r="AY56" s="148" t="s">
        <v>52</v>
      </c>
      <c r="AZ56" s="149"/>
      <c r="BA56" s="149"/>
      <c r="BB56" s="131"/>
    </row>
    <row r="57" spans="1:54">
      <c r="A57" s="139" t="s">
        <v>150</v>
      </c>
      <c r="B57" s="120">
        <f t="shared" si="21"/>
        <v>1152</v>
      </c>
      <c r="C57" s="144" t="s">
        <v>311</v>
      </c>
      <c r="D57" s="144" t="s">
        <v>311</v>
      </c>
      <c r="E57" s="140">
        <v>432</v>
      </c>
      <c r="F57" s="140">
        <v>255.4</v>
      </c>
      <c r="G57" s="140">
        <v>36</v>
      </c>
      <c r="H57" s="140">
        <v>39.799999999999997</v>
      </c>
      <c r="I57" s="140">
        <v>111</v>
      </c>
      <c r="J57" s="141">
        <v>30.14</v>
      </c>
      <c r="K57" s="142">
        <v>83</v>
      </c>
      <c r="L57" s="142">
        <v>35.03</v>
      </c>
      <c r="M57" s="142">
        <v>61</v>
      </c>
      <c r="N57" s="142">
        <v>20.190000000000001</v>
      </c>
      <c r="O57" s="142">
        <v>65</v>
      </c>
      <c r="P57" s="142">
        <v>20.07</v>
      </c>
      <c r="Q57" s="142">
        <v>120</v>
      </c>
      <c r="R57" s="143">
        <v>38.200000000000003</v>
      </c>
      <c r="S57" s="140">
        <v>82</v>
      </c>
      <c r="T57" s="140">
        <v>19.88</v>
      </c>
      <c r="U57" s="140">
        <v>21</v>
      </c>
      <c r="V57" s="140">
        <v>3.41</v>
      </c>
      <c r="W57" s="142">
        <v>26</v>
      </c>
      <c r="X57" s="142">
        <v>6.58</v>
      </c>
      <c r="Y57" s="142">
        <v>2</v>
      </c>
      <c r="Z57" s="142">
        <v>0.48</v>
      </c>
      <c r="AA57" s="142">
        <v>7</v>
      </c>
      <c r="AB57" s="142">
        <v>0.5</v>
      </c>
      <c r="AC57" s="142">
        <v>2</v>
      </c>
      <c r="AD57" s="142">
        <v>0.3</v>
      </c>
      <c r="AE57" s="142">
        <v>1</v>
      </c>
      <c r="AF57" s="142">
        <v>0.2</v>
      </c>
      <c r="AG57" s="142">
        <v>7</v>
      </c>
      <c r="AH57" s="142">
        <v>1.25</v>
      </c>
      <c r="AI57" s="142">
        <v>36</v>
      </c>
      <c r="AJ57" s="142">
        <v>15.85</v>
      </c>
      <c r="AK57" s="142">
        <v>23</v>
      </c>
      <c r="AL57" s="142">
        <v>9.85</v>
      </c>
      <c r="AM57" s="142">
        <v>1</v>
      </c>
      <c r="AN57" s="142">
        <v>1</v>
      </c>
      <c r="AO57" s="143">
        <v>31</v>
      </c>
      <c r="AP57" s="140">
        <v>9.16</v>
      </c>
      <c r="AQ57" s="144" t="s">
        <v>311</v>
      </c>
      <c r="AR57" s="144" t="s">
        <v>311</v>
      </c>
      <c r="AS57" s="145">
        <v>5</v>
      </c>
      <c r="AT57" s="145">
        <v>0.8</v>
      </c>
      <c r="AU57" s="145" t="s">
        <v>311</v>
      </c>
      <c r="AV57" s="145" t="s">
        <v>311</v>
      </c>
      <c r="AW57" s="150" t="s">
        <v>311</v>
      </c>
      <c r="AX57" s="151" t="s">
        <v>311</v>
      </c>
      <c r="AY57" s="148" t="s">
        <v>53</v>
      </c>
      <c r="AZ57" s="149"/>
      <c r="BA57" s="149"/>
      <c r="BB57" s="131"/>
    </row>
    <row r="58" spans="1:54">
      <c r="A58" s="210" t="s">
        <v>54</v>
      </c>
      <c r="B58" s="211">
        <f t="shared" si="21"/>
        <v>135032</v>
      </c>
      <c r="C58" s="200">
        <f>SUM(C60:C62)</f>
        <v>32243</v>
      </c>
      <c r="D58" s="200">
        <f t="shared" ref="D58:N58" si="22">SUM(D60:D62)</f>
        <v>143410.29999999999</v>
      </c>
      <c r="E58" s="200">
        <f t="shared" si="22"/>
        <v>21609</v>
      </c>
      <c r="F58" s="200">
        <f t="shared" si="22"/>
        <v>45817.430999999997</v>
      </c>
      <c r="G58" s="200">
        <f t="shared" si="22"/>
        <v>3867</v>
      </c>
      <c r="H58" s="200">
        <f t="shared" si="22"/>
        <v>14875.93</v>
      </c>
      <c r="I58" s="200">
        <f t="shared" si="22"/>
        <v>12084</v>
      </c>
      <c r="J58" s="200">
        <f t="shared" si="22"/>
        <v>13692.19</v>
      </c>
      <c r="K58" s="200">
        <f t="shared" si="22"/>
        <v>8778</v>
      </c>
      <c r="L58" s="200">
        <f t="shared" si="22"/>
        <v>11037.192000000001</v>
      </c>
      <c r="M58" s="200">
        <f t="shared" si="22"/>
        <v>7009</v>
      </c>
      <c r="N58" s="207">
        <f t="shared" si="22"/>
        <v>11867.619999999999</v>
      </c>
      <c r="O58" s="208">
        <f>SUM(O60:O62)</f>
        <v>10687</v>
      </c>
      <c r="P58" s="209">
        <f>SUM(P60:P62)</f>
        <v>15761.992</v>
      </c>
      <c r="Q58" s="209">
        <f>SUM(Q60:Q62)</f>
        <v>7264</v>
      </c>
      <c r="R58" s="208">
        <f>SUM(R60:R62)</f>
        <v>6096.8739999999998</v>
      </c>
      <c r="S58" s="208">
        <f t="shared" ref="S58:AX58" si="23">SUM(S60:S62)</f>
        <v>1867</v>
      </c>
      <c r="T58" s="208">
        <f t="shared" si="23"/>
        <v>992.2940000000001</v>
      </c>
      <c r="U58" s="208">
        <f t="shared" si="23"/>
        <v>1222</v>
      </c>
      <c r="V58" s="208">
        <f t="shared" si="23"/>
        <v>1222.8899999999999</v>
      </c>
      <c r="W58" s="208">
        <f t="shared" si="23"/>
        <v>2043</v>
      </c>
      <c r="X58" s="208">
        <f t="shared" si="23"/>
        <v>1576.0650000000001</v>
      </c>
      <c r="Y58" s="208">
        <f t="shared" si="23"/>
        <v>2117</v>
      </c>
      <c r="Z58" s="208">
        <f t="shared" si="23"/>
        <v>1789.8339999999998</v>
      </c>
      <c r="AA58" s="208">
        <f t="shared" si="23"/>
        <v>1352</v>
      </c>
      <c r="AB58" s="209">
        <f t="shared" si="23"/>
        <v>1008.98</v>
      </c>
      <c r="AC58" s="208">
        <f t="shared" si="23"/>
        <v>1936</v>
      </c>
      <c r="AD58" s="208">
        <f t="shared" si="23"/>
        <v>1477.4180000000001</v>
      </c>
      <c r="AE58" s="208">
        <f t="shared" si="23"/>
        <v>109</v>
      </c>
      <c r="AF58" s="208">
        <f t="shared" si="23"/>
        <v>79.33</v>
      </c>
      <c r="AG58" s="208">
        <f t="shared" si="23"/>
        <v>693</v>
      </c>
      <c r="AH58" s="208">
        <f t="shared" si="23"/>
        <v>466.83100000000002</v>
      </c>
      <c r="AI58" s="208">
        <f t="shared" si="23"/>
        <v>5893</v>
      </c>
      <c r="AJ58" s="208">
        <f t="shared" si="23"/>
        <v>6124.7350000000006</v>
      </c>
      <c r="AK58" s="208">
        <f t="shared" si="23"/>
        <v>2066</v>
      </c>
      <c r="AL58" s="208">
        <f t="shared" si="23"/>
        <v>2163.953</v>
      </c>
      <c r="AM58" s="208">
        <f t="shared" si="23"/>
        <v>1844</v>
      </c>
      <c r="AN58" s="208">
        <f t="shared" si="23"/>
        <v>17353.04</v>
      </c>
      <c r="AO58" s="208">
        <f t="shared" si="23"/>
        <v>3591</v>
      </c>
      <c r="AP58" s="208">
        <f t="shared" si="23"/>
        <v>4466.09</v>
      </c>
      <c r="AQ58" s="208">
        <f t="shared" si="23"/>
        <v>671</v>
      </c>
      <c r="AR58" s="208">
        <f t="shared" si="23"/>
        <v>1307.4000000000001</v>
      </c>
      <c r="AS58" s="208">
        <f t="shared" si="23"/>
        <v>2956</v>
      </c>
      <c r="AT58" s="208">
        <f t="shared" si="23"/>
        <v>1416.85</v>
      </c>
      <c r="AU58" s="208">
        <f t="shared" si="23"/>
        <v>2244</v>
      </c>
      <c r="AV58" s="208">
        <f t="shared" si="23"/>
        <v>5964.8</v>
      </c>
      <c r="AW58" s="208">
        <f t="shared" si="23"/>
        <v>887</v>
      </c>
      <c r="AX58" s="208">
        <f t="shared" si="23"/>
        <v>2804.88</v>
      </c>
      <c r="AY58" s="205" t="s">
        <v>55</v>
      </c>
      <c r="AZ58" s="180"/>
      <c r="BA58" s="180"/>
      <c r="BB58" s="131"/>
    </row>
    <row r="59" spans="1:54">
      <c r="A59" s="210"/>
      <c r="B59" s="212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7"/>
      <c r="O59" s="208"/>
      <c r="P59" s="209"/>
      <c r="Q59" s="209"/>
      <c r="R59" s="208"/>
      <c r="S59" s="208"/>
      <c r="T59" s="208"/>
      <c r="U59" s="208"/>
      <c r="V59" s="208"/>
      <c r="W59" s="208"/>
      <c r="X59" s="208"/>
      <c r="Y59" s="208"/>
      <c r="Z59" s="208"/>
      <c r="AA59" s="208"/>
      <c r="AB59" s="209"/>
      <c r="AC59" s="208"/>
      <c r="AD59" s="208"/>
      <c r="AE59" s="208"/>
      <c r="AF59" s="208"/>
      <c r="AG59" s="208"/>
      <c r="AH59" s="208"/>
      <c r="AI59" s="208"/>
      <c r="AJ59" s="208"/>
      <c r="AK59" s="208"/>
      <c r="AL59" s="208"/>
      <c r="AM59" s="208"/>
      <c r="AN59" s="208"/>
      <c r="AO59" s="208"/>
      <c r="AP59" s="208"/>
      <c r="AQ59" s="208"/>
      <c r="AR59" s="208"/>
      <c r="AS59" s="208"/>
      <c r="AT59" s="208"/>
      <c r="AU59" s="208"/>
      <c r="AV59" s="208"/>
      <c r="AW59" s="208"/>
      <c r="AX59" s="208"/>
      <c r="AY59" s="205"/>
      <c r="AZ59" s="180"/>
      <c r="BA59" s="180"/>
      <c r="BB59" s="131"/>
    </row>
    <row r="60" spans="1:54">
      <c r="A60" s="139" t="s">
        <v>151</v>
      </c>
      <c r="B60" s="120">
        <f>SUM(C60,E60,G60,I60,K60,M60,O60,Q60,S60,U60,W60,Y60,AA60,AC60,AE60,AG60,AI60,AK60,AM60,AO60,AQ60,AS60,AU60,AW60)</f>
        <v>36341</v>
      </c>
      <c r="C60" s="140">
        <v>6537</v>
      </c>
      <c r="D60" s="140">
        <v>46097.3</v>
      </c>
      <c r="E60" s="140">
        <v>7355</v>
      </c>
      <c r="F60" s="140">
        <v>13323.4</v>
      </c>
      <c r="G60" s="140">
        <v>293</v>
      </c>
      <c r="H60" s="140">
        <v>1005.6</v>
      </c>
      <c r="I60" s="140">
        <v>3076</v>
      </c>
      <c r="J60" s="141">
        <v>2498.08</v>
      </c>
      <c r="K60" s="142">
        <v>2709</v>
      </c>
      <c r="L60" s="142">
        <v>2720.9920000000002</v>
      </c>
      <c r="M60" s="142">
        <v>1286</v>
      </c>
      <c r="N60" s="142">
        <v>1465.46</v>
      </c>
      <c r="O60" s="142">
        <v>2565</v>
      </c>
      <c r="P60" s="142">
        <v>2479.9699999999998</v>
      </c>
      <c r="Q60" s="142">
        <v>1820</v>
      </c>
      <c r="R60" s="143">
        <v>1479.06</v>
      </c>
      <c r="S60" s="140">
        <v>774</v>
      </c>
      <c r="T60" s="140">
        <v>398.37</v>
      </c>
      <c r="U60" s="140">
        <v>645</v>
      </c>
      <c r="V60" s="140">
        <v>582.9</v>
      </c>
      <c r="W60" s="142">
        <v>737</v>
      </c>
      <c r="X60" s="142">
        <v>553.72</v>
      </c>
      <c r="Y60" s="142">
        <v>793</v>
      </c>
      <c r="Z60" s="142">
        <v>598.27</v>
      </c>
      <c r="AA60" s="142">
        <v>595</v>
      </c>
      <c r="AB60" s="142">
        <v>315.75</v>
      </c>
      <c r="AC60" s="142">
        <v>768</v>
      </c>
      <c r="AD60" s="142">
        <v>661.83</v>
      </c>
      <c r="AE60" s="142">
        <v>58</v>
      </c>
      <c r="AF60" s="142">
        <v>41.2</v>
      </c>
      <c r="AG60" s="142">
        <v>215</v>
      </c>
      <c r="AH60" s="142">
        <v>146.11000000000001</v>
      </c>
      <c r="AI60" s="142">
        <v>2123</v>
      </c>
      <c r="AJ60" s="142">
        <v>2591.3200000000002</v>
      </c>
      <c r="AK60" s="142">
        <v>1102</v>
      </c>
      <c r="AL60" s="142">
        <v>1252.8499999999999</v>
      </c>
      <c r="AM60" s="142">
        <v>137</v>
      </c>
      <c r="AN60" s="142">
        <v>236.1</v>
      </c>
      <c r="AO60" s="143">
        <v>1233</v>
      </c>
      <c r="AP60" s="140">
        <v>1140.6400000000001</v>
      </c>
      <c r="AQ60" s="140">
        <v>114</v>
      </c>
      <c r="AR60" s="140">
        <v>167.9</v>
      </c>
      <c r="AS60" s="142">
        <v>10</v>
      </c>
      <c r="AT60" s="142">
        <v>10</v>
      </c>
      <c r="AU60" s="142">
        <v>1282</v>
      </c>
      <c r="AV60" s="142">
        <v>3644.1</v>
      </c>
      <c r="AW60" s="150">
        <v>114</v>
      </c>
      <c r="AX60" s="151">
        <v>35.15</v>
      </c>
      <c r="AY60" s="148" t="s">
        <v>56</v>
      </c>
      <c r="AZ60" s="149"/>
      <c r="BA60" s="149"/>
      <c r="BB60" s="131"/>
    </row>
    <row r="61" spans="1:54">
      <c r="A61" s="139" t="s">
        <v>152</v>
      </c>
      <c r="B61" s="120">
        <f>SUM(C61,E61,G61,I61,K61,M61,O61,Q61,S61,U61,W61,Y61,AA61,AC61,AE61,AG61,AI61,AK61,AM61,AO61,AQ61,AS61,AU61,AW61)</f>
        <v>24246</v>
      </c>
      <c r="C61" s="140">
        <v>249</v>
      </c>
      <c r="D61" s="140">
        <v>1218</v>
      </c>
      <c r="E61" s="140">
        <v>6646</v>
      </c>
      <c r="F61" s="140">
        <v>9170.35</v>
      </c>
      <c r="G61" s="140">
        <v>814</v>
      </c>
      <c r="H61" s="140">
        <v>3221.99</v>
      </c>
      <c r="I61" s="140">
        <v>2505</v>
      </c>
      <c r="J61" s="141">
        <v>1904.57</v>
      </c>
      <c r="K61" s="142">
        <v>1947</v>
      </c>
      <c r="L61" s="142">
        <v>2284.2800000000002</v>
      </c>
      <c r="M61" s="142">
        <v>796</v>
      </c>
      <c r="N61" s="142">
        <v>1025.76</v>
      </c>
      <c r="O61" s="142">
        <v>1240</v>
      </c>
      <c r="P61" s="142">
        <v>1034.92</v>
      </c>
      <c r="Q61" s="142">
        <v>2608</v>
      </c>
      <c r="R61" s="143">
        <v>1280.5250000000001</v>
      </c>
      <c r="S61" s="140">
        <v>532</v>
      </c>
      <c r="T61" s="140">
        <v>222.92500000000001</v>
      </c>
      <c r="U61" s="140">
        <v>59</v>
      </c>
      <c r="V61" s="140">
        <v>39.619999999999997</v>
      </c>
      <c r="W61" s="142">
        <v>270</v>
      </c>
      <c r="X61" s="142">
        <v>199.83500000000001</v>
      </c>
      <c r="Y61" s="142">
        <v>542</v>
      </c>
      <c r="Z61" s="142">
        <v>520.77</v>
      </c>
      <c r="AA61" s="142">
        <v>108</v>
      </c>
      <c r="AB61" s="142">
        <v>66.34</v>
      </c>
      <c r="AC61" s="142">
        <v>250</v>
      </c>
      <c r="AD61" s="142">
        <v>153.97999999999999</v>
      </c>
      <c r="AE61" s="142">
        <v>17</v>
      </c>
      <c r="AF61" s="142">
        <v>6.58</v>
      </c>
      <c r="AG61" s="142">
        <v>377</v>
      </c>
      <c r="AH61" s="142">
        <v>265.70100000000002</v>
      </c>
      <c r="AI61" s="142">
        <v>641</v>
      </c>
      <c r="AJ61" s="142">
        <v>415.24</v>
      </c>
      <c r="AK61" s="142">
        <v>471</v>
      </c>
      <c r="AL61" s="142">
        <v>412.83</v>
      </c>
      <c r="AM61" s="142">
        <v>241</v>
      </c>
      <c r="AN61" s="142">
        <v>561.28</v>
      </c>
      <c r="AO61" s="143">
        <v>803</v>
      </c>
      <c r="AP61" s="140">
        <v>600.71</v>
      </c>
      <c r="AQ61" s="140">
        <v>74</v>
      </c>
      <c r="AR61" s="140">
        <v>76.75</v>
      </c>
      <c r="AS61" s="142">
        <v>2498</v>
      </c>
      <c r="AT61" s="142">
        <v>1156.8499999999999</v>
      </c>
      <c r="AU61" s="142">
        <v>472</v>
      </c>
      <c r="AV61" s="142">
        <v>861.7</v>
      </c>
      <c r="AW61" s="150">
        <v>86</v>
      </c>
      <c r="AX61" s="151">
        <v>72.930000000000007</v>
      </c>
      <c r="AY61" s="148" t="s">
        <v>57</v>
      </c>
      <c r="AZ61" s="149"/>
      <c r="BA61" s="149"/>
      <c r="BB61" s="131"/>
    </row>
    <row r="62" spans="1:54">
      <c r="A62" s="139" t="s">
        <v>153</v>
      </c>
      <c r="B62" s="120">
        <f>SUM(C62,E62,G62,I62,K62,M62,O62,Q62,S62,U62,W62,Y62,AA62,AC62,AE62,AG62,AI62,AK62,AM62,AO62,AQ62,AS62,AU62,AW62)</f>
        <v>74445</v>
      </c>
      <c r="C62" s="140">
        <v>25457</v>
      </c>
      <c r="D62" s="140">
        <v>96095</v>
      </c>
      <c r="E62" s="140">
        <v>7608</v>
      </c>
      <c r="F62" s="140">
        <v>23323.681</v>
      </c>
      <c r="G62" s="140">
        <v>2760</v>
      </c>
      <c r="H62" s="140">
        <v>10648.34</v>
      </c>
      <c r="I62" s="140">
        <v>6503</v>
      </c>
      <c r="J62" s="141">
        <v>9289.5400000000009</v>
      </c>
      <c r="K62" s="142">
        <v>4122</v>
      </c>
      <c r="L62" s="142">
        <v>6031.92</v>
      </c>
      <c r="M62" s="142">
        <v>4927</v>
      </c>
      <c r="N62" s="142">
        <v>9376.4</v>
      </c>
      <c r="O62" s="142">
        <v>6882</v>
      </c>
      <c r="P62" s="142">
        <v>12247.102000000001</v>
      </c>
      <c r="Q62" s="142">
        <v>2836</v>
      </c>
      <c r="R62" s="143">
        <v>3337.2890000000002</v>
      </c>
      <c r="S62" s="140">
        <v>561</v>
      </c>
      <c r="T62" s="140">
        <v>370.99900000000002</v>
      </c>
      <c r="U62" s="140">
        <v>518</v>
      </c>
      <c r="V62" s="140">
        <v>600.37</v>
      </c>
      <c r="W62" s="142">
        <v>1036</v>
      </c>
      <c r="X62" s="142">
        <v>822.51</v>
      </c>
      <c r="Y62" s="142">
        <v>782</v>
      </c>
      <c r="Z62" s="142">
        <v>670.79399999999998</v>
      </c>
      <c r="AA62" s="142">
        <v>649</v>
      </c>
      <c r="AB62" s="142">
        <v>626.89</v>
      </c>
      <c r="AC62" s="142">
        <v>918</v>
      </c>
      <c r="AD62" s="142">
        <v>661.60799999999995</v>
      </c>
      <c r="AE62" s="142">
        <v>34</v>
      </c>
      <c r="AF62" s="142">
        <v>31.55</v>
      </c>
      <c r="AG62" s="142">
        <v>101</v>
      </c>
      <c r="AH62" s="142">
        <v>55.02</v>
      </c>
      <c r="AI62" s="142">
        <v>3129</v>
      </c>
      <c r="AJ62" s="142">
        <v>3118.1750000000002</v>
      </c>
      <c r="AK62" s="142">
        <v>493</v>
      </c>
      <c r="AL62" s="142">
        <v>498.27300000000002</v>
      </c>
      <c r="AM62" s="142">
        <v>1466</v>
      </c>
      <c r="AN62" s="142">
        <v>16555.66</v>
      </c>
      <c r="AO62" s="143">
        <v>1555</v>
      </c>
      <c r="AP62" s="140">
        <v>2724.74</v>
      </c>
      <c r="AQ62" s="140">
        <v>483</v>
      </c>
      <c r="AR62" s="140">
        <v>1062.75</v>
      </c>
      <c r="AS62" s="142">
        <v>448</v>
      </c>
      <c r="AT62" s="142">
        <v>250</v>
      </c>
      <c r="AU62" s="142">
        <v>490</v>
      </c>
      <c r="AV62" s="142">
        <v>1459</v>
      </c>
      <c r="AW62" s="146">
        <v>687</v>
      </c>
      <c r="AX62" s="147">
        <v>2696.8</v>
      </c>
      <c r="AY62" s="148" t="s">
        <v>58</v>
      </c>
      <c r="AZ62" s="149"/>
      <c r="BA62" s="149"/>
      <c r="BB62" s="131"/>
    </row>
    <row r="63" spans="1:54">
      <c r="A63" s="210" t="s">
        <v>59</v>
      </c>
      <c r="B63" s="211">
        <f>SUM(C63,E63,G63,I63,K63,M63,O63,Q63,S63,U63,W63,Y63,AA63,AC63,AE63,AG63,AI63,AK63,AM63,AO63,AQ63,AS63,AU63,AW63)</f>
        <v>108981</v>
      </c>
      <c r="C63" s="200">
        <f>SUM(C65:C69)</f>
        <v>70</v>
      </c>
      <c r="D63" s="200">
        <f t="shared" ref="D63:N63" si="24">SUM(D65:D69)</f>
        <v>242.2</v>
      </c>
      <c r="E63" s="200">
        <f t="shared" si="24"/>
        <v>20216</v>
      </c>
      <c r="F63" s="200">
        <f t="shared" si="24"/>
        <v>65278.25</v>
      </c>
      <c r="G63" s="200">
        <f t="shared" si="24"/>
        <v>3414</v>
      </c>
      <c r="H63" s="200">
        <f t="shared" si="24"/>
        <v>27204.199999999997</v>
      </c>
      <c r="I63" s="200">
        <f t="shared" si="24"/>
        <v>8410</v>
      </c>
      <c r="J63" s="200">
        <f t="shared" si="24"/>
        <v>7384.43</v>
      </c>
      <c r="K63" s="200">
        <f t="shared" si="24"/>
        <v>9940</v>
      </c>
      <c r="L63" s="200">
        <f t="shared" si="24"/>
        <v>22520.505000000001</v>
      </c>
      <c r="M63" s="200">
        <f t="shared" si="24"/>
        <v>6774</v>
      </c>
      <c r="N63" s="207">
        <f t="shared" si="24"/>
        <v>14815.77</v>
      </c>
      <c r="O63" s="208">
        <f>SUM(O65:O69)</f>
        <v>7323</v>
      </c>
      <c r="P63" s="209">
        <f>SUM(P65:P69)</f>
        <v>15739.58</v>
      </c>
      <c r="Q63" s="209">
        <f>SUM(Q65:Q69)</f>
        <v>6089</v>
      </c>
      <c r="R63" s="208">
        <f>SUM(R65:R69)</f>
        <v>16294.985000000001</v>
      </c>
      <c r="S63" s="208">
        <f t="shared" ref="S63:AX63" si="25">SUM(S65:S69)</f>
        <v>1289</v>
      </c>
      <c r="T63" s="208">
        <f t="shared" si="25"/>
        <v>938.48</v>
      </c>
      <c r="U63" s="208">
        <f t="shared" si="25"/>
        <v>8596</v>
      </c>
      <c r="V63" s="208">
        <f t="shared" si="25"/>
        <v>9846.880000000001</v>
      </c>
      <c r="W63" s="208">
        <f t="shared" si="25"/>
        <v>3984</v>
      </c>
      <c r="X63" s="208">
        <f t="shared" si="25"/>
        <v>4524.8600000000006</v>
      </c>
      <c r="Y63" s="208">
        <f t="shared" si="25"/>
        <v>3820</v>
      </c>
      <c r="Z63" s="208">
        <f t="shared" si="25"/>
        <v>3977.2460000000001</v>
      </c>
      <c r="AA63" s="208">
        <f t="shared" si="25"/>
        <v>2030</v>
      </c>
      <c r="AB63" s="209">
        <f t="shared" si="25"/>
        <v>1070.79</v>
      </c>
      <c r="AC63" s="208">
        <f t="shared" si="25"/>
        <v>1996</v>
      </c>
      <c r="AD63" s="208">
        <f t="shared" si="25"/>
        <v>1621.06</v>
      </c>
      <c r="AE63" s="208">
        <f t="shared" si="25"/>
        <v>84</v>
      </c>
      <c r="AF63" s="208">
        <f t="shared" si="25"/>
        <v>51.629999999999995</v>
      </c>
      <c r="AG63" s="208">
        <f t="shared" si="25"/>
        <v>296</v>
      </c>
      <c r="AH63" s="208">
        <f t="shared" si="25"/>
        <v>431.1</v>
      </c>
      <c r="AI63" s="208">
        <f t="shared" si="25"/>
        <v>15182</v>
      </c>
      <c r="AJ63" s="208">
        <f t="shared" si="25"/>
        <v>27366.754999999997</v>
      </c>
      <c r="AK63" s="208">
        <f t="shared" si="25"/>
        <v>1458</v>
      </c>
      <c r="AL63" s="208">
        <f t="shared" si="25"/>
        <v>2905.1400000000003</v>
      </c>
      <c r="AM63" s="208">
        <f t="shared" si="25"/>
        <v>1827</v>
      </c>
      <c r="AN63" s="208">
        <f t="shared" si="25"/>
        <v>30492.7</v>
      </c>
      <c r="AO63" s="208">
        <f t="shared" si="25"/>
        <v>4995</v>
      </c>
      <c r="AP63" s="208">
        <f t="shared" si="25"/>
        <v>12024.09</v>
      </c>
      <c r="AQ63" s="208">
        <f t="shared" si="25"/>
        <v>664</v>
      </c>
      <c r="AR63" s="208">
        <f t="shared" si="25"/>
        <v>3261.55</v>
      </c>
      <c r="AS63" s="208">
        <f t="shared" si="25"/>
        <v>3</v>
      </c>
      <c r="AT63" s="208">
        <f t="shared" si="25"/>
        <v>2.06</v>
      </c>
      <c r="AU63" s="208">
        <f t="shared" si="25"/>
        <v>39</v>
      </c>
      <c r="AV63" s="208">
        <f t="shared" si="25"/>
        <v>106.75</v>
      </c>
      <c r="AW63" s="208">
        <f t="shared" si="25"/>
        <v>482</v>
      </c>
      <c r="AX63" s="208">
        <f t="shared" si="25"/>
        <v>367.30100000000004</v>
      </c>
      <c r="AY63" s="205" t="s">
        <v>60</v>
      </c>
      <c r="AZ63" s="180"/>
      <c r="BA63" s="180"/>
      <c r="BB63" s="131"/>
    </row>
    <row r="64" spans="1:54">
      <c r="A64" s="210"/>
      <c r="B64" s="212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7"/>
      <c r="O64" s="208"/>
      <c r="P64" s="209"/>
      <c r="Q64" s="209"/>
      <c r="R64" s="208"/>
      <c r="S64" s="208"/>
      <c r="T64" s="208"/>
      <c r="U64" s="208"/>
      <c r="V64" s="208"/>
      <c r="W64" s="208"/>
      <c r="X64" s="208"/>
      <c r="Y64" s="208"/>
      <c r="Z64" s="208"/>
      <c r="AA64" s="208"/>
      <c r="AB64" s="209"/>
      <c r="AC64" s="208"/>
      <c r="AD64" s="208"/>
      <c r="AE64" s="208"/>
      <c r="AF64" s="208"/>
      <c r="AG64" s="208"/>
      <c r="AH64" s="208"/>
      <c r="AI64" s="208"/>
      <c r="AJ64" s="208"/>
      <c r="AK64" s="208"/>
      <c r="AL64" s="208"/>
      <c r="AM64" s="208"/>
      <c r="AN64" s="208"/>
      <c r="AO64" s="208"/>
      <c r="AP64" s="208"/>
      <c r="AQ64" s="208"/>
      <c r="AR64" s="208"/>
      <c r="AS64" s="208"/>
      <c r="AT64" s="208"/>
      <c r="AU64" s="208"/>
      <c r="AV64" s="208"/>
      <c r="AW64" s="208"/>
      <c r="AX64" s="208"/>
      <c r="AY64" s="205"/>
      <c r="AZ64" s="180"/>
      <c r="BA64" s="180"/>
      <c r="BB64" s="131"/>
    </row>
    <row r="65" spans="1:54">
      <c r="A65" s="139" t="s">
        <v>154</v>
      </c>
      <c r="B65" s="120">
        <f t="shared" ref="B65:B70" si="26">SUM(C65,E65,G65,I65,K65,M65,O65,Q65,S65,U65,W65,Y65,AA65,AC65,AE65,AG65,AI65,AK65,AM65,AO65,AQ65,AS65,AU65,AW65)</f>
        <v>13687</v>
      </c>
      <c r="C65" s="140">
        <v>48</v>
      </c>
      <c r="D65" s="140">
        <v>170</v>
      </c>
      <c r="E65" s="140">
        <v>2492</v>
      </c>
      <c r="F65" s="140">
        <v>7315.98</v>
      </c>
      <c r="G65" s="140">
        <v>451</v>
      </c>
      <c r="H65" s="140">
        <v>5113</v>
      </c>
      <c r="I65" s="140">
        <v>783</v>
      </c>
      <c r="J65" s="141">
        <v>890.9</v>
      </c>
      <c r="K65" s="142">
        <v>1671</v>
      </c>
      <c r="L65" s="142">
        <v>4925.5950000000003</v>
      </c>
      <c r="M65" s="142">
        <v>1702</v>
      </c>
      <c r="N65" s="142">
        <v>4929.28</v>
      </c>
      <c r="O65" s="142">
        <v>998</v>
      </c>
      <c r="P65" s="142">
        <v>2354.25</v>
      </c>
      <c r="Q65" s="142">
        <v>405</v>
      </c>
      <c r="R65" s="143">
        <v>581.64</v>
      </c>
      <c r="S65" s="140">
        <v>474</v>
      </c>
      <c r="T65" s="140">
        <v>415.23</v>
      </c>
      <c r="U65" s="140">
        <v>47</v>
      </c>
      <c r="V65" s="140">
        <v>28.2</v>
      </c>
      <c r="W65" s="142">
        <v>158</v>
      </c>
      <c r="X65" s="142">
        <v>114.55</v>
      </c>
      <c r="Y65" s="142">
        <v>258</v>
      </c>
      <c r="Z65" s="142">
        <v>236.73</v>
      </c>
      <c r="AA65" s="142">
        <v>28</v>
      </c>
      <c r="AB65" s="142">
        <v>24.2</v>
      </c>
      <c r="AC65" s="142">
        <v>77</v>
      </c>
      <c r="AD65" s="142">
        <v>46.85</v>
      </c>
      <c r="AE65" s="145" t="s">
        <v>311</v>
      </c>
      <c r="AF65" s="145" t="s">
        <v>311</v>
      </c>
      <c r="AG65" s="142">
        <v>30</v>
      </c>
      <c r="AH65" s="142">
        <v>55.5</v>
      </c>
      <c r="AI65" s="142">
        <v>2996</v>
      </c>
      <c r="AJ65" s="142">
        <v>6597.7</v>
      </c>
      <c r="AK65" s="142">
        <v>196</v>
      </c>
      <c r="AL65" s="142">
        <v>308</v>
      </c>
      <c r="AM65" s="142">
        <v>44</v>
      </c>
      <c r="AN65" s="142">
        <v>413</v>
      </c>
      <c r="AO65" s="143">
        <v>626</v>
      </c>
      <c r="AP65" s="140">
        <v>2381.3000000000002</v>
      </c>
      <c r="AQ65" s="140">
        <v>22</v>
      </c>
      <c r="AR65" s="140">
        <v>154</v>
      </c>
      <c r="AS65" s="145" t="s">
        <v>311</v>
      </c>
      <c r="AT65" s="145" t="s">
        <v>311</v>
      </c>
      <c r="AU65" s="142">
        <v>1</v>
      </c>
      <c r="AV65" s="142">
        <v>0.7</v>
      </c>
      <c r="AW65" s="150">
        <v>180</v>
      </c>
      <c r="AX65" s="151">
        <v>161.791</v>
      </c>
      <c r="AY65" s="148" t="s">
        <v>61</v>
      </c>
      <c r="AZ65" s="149"/>
      <c r="BA65" s="149"/>
      <c r="BB65" s="131"/>
    </row>
    <row r="66" spans="1:54">
      <c r="A66" s="139" t="s">
        <v>155</v>
      </c>
      <c r="B66" s="120">
        <f t="shared" si="26"/>
        <v>38528</v>
      </c>
      <c r="C66" s="140">
        <v>2</v>
      </c>
      <c r="D66" s="140">
        <v>4</v>
      </c>
      <c r="E66" s="140">
        <v>2596</v>
      </c>
      <c r="F66" s="140">
        <v>6934.6</v>
      </c>
      <c r="G66" s="140">
        <v>619</v>
      </c>
      <c r="H66" s="140">
        <v>5177</v>
      </c>
      <c r="I66" s="140">
        <v>2033</v>
      </c>
      <c r="J66" s="141">
        <v>1905.8</v>
      </c>
      <c r="K66" s="142">
        <v>4725</v>
      </c>
      <c r="L66" s="142">
        <v>11588.8</v>
      </c>
      <c r="M66" s="142">
        <v>2656</v>
      </c>
      <c r="N66" s="142">
        <v>5798.1</v>
      </c>
      <c r="O66" s="142">
        <v>2711</v>
      </c>
      <c r="P66" s="142">
        <v>6138.9</v>
      </c>
      <c r="Q66" s="142">
        <v>170</v>
      </c>
      <c r="R66" s="143">
        <v>168.5</v>
      </c>
      <c r="S66" s="140">
        <v>25</v>
      </c>
      <c r="T66" s="140">
        <v>12.2</v>
      </c>
      <c r="U66" s="140">
        <v>6327</v>
      </c>
      <c r="V66" s="140">
        <v>8617.1</v>
      </c>
      <c r="W66" s="142">
        <v>1725</v>
      </c>
      <c r="X66" s="142">
        <v>1708.05</v>
      </c>
      <c r="Y66" s="142">
        <v>1426</v>
      </c>
      <c r="Z66" s="142">
        <v>1421.2</v>
      </c>
      <c r="AA66" s="142">
        <v>533</v>
      </c>
      <c r="AB66" s="142">
        <v>404.35</v>
      </c>
      <c r="AC66" s="142">
        <v>949</v>
      </c>
      <c r="AD66" s="142">
        <v>701.8</v>
      </c>
      <c r="AE66" s="145" t="s">
        <v>311</v>
      </c>
      <c r="AF66" s="145" t="s">
        <v>311</v>
      </c>
      <c r="AG66" s="142">
        <v>168</v>
      </c>
      <c r="AH66" s="142">
        <v>252.6</v>
      </c>
      <c r="AI66" s="142">
        <v>9223</v>
      </c>
      <c r="AJ66" s="142">
        <v>16115.1</v>
      </c>
      <c r="AK66" s="142">
        <v>396</v>
      </c>
      <c r="AL66" s="142">
        <v>910.3</v>
      </c>
      <c r="AM66" s="142">
        <v>177</v>
      </c>
      <c r="AN66" s="142">
        <v>1400.5</v>
      </c>
      <c r="AO66" s="143">
        <v>1950</v>
      </c>
      <c r="AP66" s="140">
        <v>4994.1000000000004</v>
      </c>
      <c r="AQ66" s="140">
        <v>30</v>
      </c>
      <c r="AR66" s="140">
        <v>141</v>
      </c>
      <c r="AS66" s="145" t="s">
        <v>311</v>
      </c>
      <c r="AT66" s="145" t="s">
        <v>311</v>
      </c>
      <c r="AU66" s="145" t="s">
        <v>311</v>
      </c>
      <c r="AV66" s="145" t="s">
        <v>311</v>
      </c>
      <c r="AW66" s="150">
        <v>87</v>
      </c>
      <c r="AX66" s="151">
        <v>55.95</v>
      </c>
      <c r="AY66" s="148" t="s">
        <v>62</v>
      </c>
      <c r="AZ66" s="149"/>
      <c r="BA66" s="149"/>
      <c r="BB66" s="131"/>
    </row>
    <row r="67" spans="1:54">
      <c r="A67" s="139" t="s">
        <v>156</v>
      </c>
      <c r="B67" s="120">
        <f t="shared" si="26"/>
        <v>11974</v>
      </c>
      <c r="C67" s="144" t="s">
        <v>311</v>
      </c>
      <c r="D67" s="144" t="s">
        <v>311</v>
      </c>
      <c r="E67" s="140">
        <v>4333</v>
      </c>
      <c r="F67" s="140">
        <v>13880.25</v>
      </c>
      <c r="G67" s="140">
        <v>162</v>
      </c>
      <c r="H67" s="140">
        <v>1296.5</v>
      </c>
      <c r="I67" s="140">
        <v>945</v>
      </c>
      <c r="J67" s="141">
        <v>810.8</v>
      </c>
      <c r="K67" s="142">
        <v>975</v>
      </c>
      <c r="L67" s="142">
        <v>2066.65</v>
      </c>
      <c r="M67" s="142">
        <v>621</v>
      </c>
      <c r="N67" s="142">
        <v>1283.8</v>
      </c>
      <c r="O67" s="142">
        <v>1208</v>
      </c>
      <c r="P67" s="142">
        <v>2504.75</v>
      </c>
      <c r="Q67" s="142">
        <v>219</v>
      </c>
      <c r="R67" s="143">
        <v>210.6</v>
      </c>
      <c r="S67" s="140">
        <v>48</v>
      </c>
      <c r="T67" s="140">
        <v>24.4</v>
      </c>
      <c r="U67" s="140">
        <v>96</v>
      </c>
      <c r="V67" s="140">
        <v>78.650000000000006</v>
      </c>
      <c r="W67" s="142">
        <v>538</v>
      </c>
      <c r="X67" s="142">
        <v>704.15</v>
      </c>
      <c r="Y67" s="142">
        <v>1115</v>
      </c>
      <c r="Z67" s="142">
        <v>1150.086</v>
      </c>
      <c r="AA67" s="142">
        <v>315</v>
      </c>
      <c r="AB67" s="142">
        <v>177.88</v>
      </c>
      <c r="AC67" s="142">
        <v>51</v>
      </c>
      <c r="AD67" s="142">
        <v>40.5</v>
      </c>
      <c r="AE67" s="142">
        <v>4</v>
      </c>
      <c r="AF67" s="142">
        <v>1.3</v>
      </c>
      <c r="AG67" s="142">
        <v>44</v>
      </c>
      <c r="AH67" s="142">
        <v>46.6</v>
      </c>
      <c r="AI67" s="142">
        <v>626</v>
      </c>
      <c r="AJ67" s="142">
        <v>1062.95</v>
      </c>
      <c r="AK67" s="142">
        <v>155</v>
      </c>
      <c r="AL67" s="142">
        <v>241.7</v>
      </c>
      <c r="AM67" s="142">
        <v>27</v>
      </c>
      <c r="AN67" s="142">
        <v>191</v>
      </c>
      <c r="AO67" s="143">
        <v>376</v>
      </c>
      <c r="AP67" s="140">
        <v>569.85</v>
      </c>
      <c r="AQ67" s="140">
        <v>3</v>
      </c>
      <c r="AR67" s="140">
        <v>24</v>
      </c>
      <c r="AS67" s="145" t="s">
        <v>311</v>
      </c>
      <c r="AT67" s="145" t="s">
        <v>311</v>
      </c>
      <c r="AU67" s="145" t="s">
        <v>311</v>
      </c>
      <c r="AV67" s="145" t="s">
        <v>311</v>
      </c>
      <c r="AW67" s="150">
        <v>113</v>
      </c>
      <c r="AX67" s="151">
        <v>81.3</v>
      </c>
      <c r="AY67" s="148" t="s">
        <v>63</v>
      </c>
      <c r="AZ67" s="149"/>
      <c r="BA67" s="149"/>
      <c r="BB67" s="131"/>
    </row>
    <row r="68" spans="1:54">
      <c r="A68" s="139" t="s">
        <v>157</v>
      </c>
      <c r="B68" s="120">
        <f t="shared" si="26"/>
        <v>18048</v>
      </c>
      <c r="C68" s="144" t="s">
        <v>311</v>
      </c>
      <c r="D68" s="144" t="s">
        <v>311</v>
      </c>
      <c r="E68" s="140">
        <v>4830</v>
      </c>
      <c r="F68" s="140">
        <v>19795.82</v>
      </c>
      <c r="G68" s="140">
        <v>777</v>
      </c>
      <c r="H68" s="140">
        <v>4816.8</v>
      </c>
      <c r="I68" s="140">
        <v>648</v>
      </c>
      <c r="J68" s="141">
        <v>713.86</v>
      </c>
      <c r="K68" s="142">
        <v>1017</v>
      </c>
      <c r="L68" s="142">
        <v>1638.26</v>
      </c>
      <c r="M68" s="142">
        <v>634</v>
      </c>
      <c r="N68" s="142">
        <v>1091.8900000000001</v>
      </c>
      <c r="O68" s="142">
        <v>789</v>
      </c>
      <c r="P68" s="142">
        <v>1205.2</v>
      </c>
      <c r="Q68" s="142">
        <v>4304</v>
      </c>
      <c r="R68" s="143">
        <v>14441.86</v>
      </c>
      <c r="S68" s="140">
        <v>490</v>
      </c>
      <c r="T68" s="140">
        <v>327.93</v>
      </c>
      <c r="U68" s="140">
        <v>500</v>
      </c>
      <c r="V68" s="140">
        <v>471.33</v>
      </c>
      <c r="W68" s="142">
        <v>474</v>
      </c>
      <c r="X68" s="142">
        <v>464.4</v>
      </c>
      <c r="Y68" s="142">
        <v>429</v>
      </c>
      <c r="Z68" s="142">
        <v>551.75</v>
      </c>
      <c r="AA68" s="142">
        <v>488</v>
      </c>
      <c r="AB68" s="142">
        <v>224.15</v>
      </c>
      <c r="AC68" s="142">
        <v>279</v>
      </c>
      <c r="AD68" s="142">
        <v>246.65</v>
      </c>
      <c r="AE68" s="142">
        <v>33</v>
      </c>
      <c r="AF68" s="142">
        <v>24.9</v>
      </c>
      <c r="AG68" s="142">
        <v>41</v>
      </c>
      <c r="AH68" s="142">
        <v>62.08</v>
      </c>
      <c r="AI68" s="142">
        <v>877</v>
      </c>
      <c r="AJ68" s="142">
        <v>996.26</v>
      </c>
      <c r="AK68" s="142">
        <v>268</v>
      </c>
      <c r="AL68" s="142">
        <v>394.49</v>
      </c>
      <c r="AM68" s="142">
        <v>136</v>
      </c>
      <c r="AN68" s="142">
        <v>523.79999999999995</v>
      </c>
      <c r="AO68" s="143">
        <v>676</v>
      </c>
      <c r="AP68" s="140">
        <v>1128.6400000000001</v>
      </c>
      <c r="AQ68" s="140">
        <v>309</v>
      </c>
      <c r="AR68" s="140">
        <v>1214.95</v>
      </c>
      <c r="AS68" s="142">
        <v>2</v>
      </c>
      <c r="AT68" s="142">
        <v>2</v>
      </c>
      <c r="AU68" s="145" t="s">
        <v>311</v>
      </c>
      <c r="AV68" s="145" t="s">
        <v>311</v>
      </c>
      <c r="AW68" s="146">
        <v>47</v>
      </c>
      <c r="AX68" s="147">
        <v>31.73</v>
      </c>
      <c r="AY68" s="148" t="s">
        <v>64</v>
      </c>
      <c r="AZ68" s="149"/>
      <c r="BA68" s="149"/>
      <c r="BB68" s="131"/>
    </row>
    <row r="69" spans="1:54">
      <c r="A69" s="139" t="s">
        <v>158</v>
      </c>
      <c r="B69" s="120">
        <f t="shared" si="26"/>
        <v>26744</v>
      </c>
      <c r="C69" s="140">
        <v>20</v>
      </c>
      <c r="D69" s="140">
        <v>68.2</v>
      </c>
      <c r="E69" s="140">
        <v>5965</v>
      </c>
      <c r="F69" s="140">
        <v>17351.599999999999</v>
      </c>
      <c r="G69" s="140">
        <v>1405</v>
      </c>
      <c r="H69" s="140">
        <v>10800.9</v>
      </c>
      <c r="I69" s="140">
        <v>4001</v>
      </c>
      <c r="J69" s="141">
        <v>3063.07</v>
      </c>
      <c r="K69" s="142">
        <v>1552</v>
      </c>
      <c r="L69" s="142">
        <v>2301.1999999999998</v>
      </c>
      <c r="M69" s="142">
        <v>1161</v>
      </c>
      <c r="N69" s="142">
        <v>1712.7</v>
      </c>
      <c r="O69" s="142">
        <v>1617</v>
      </c>
      <c r="P69" s="142">
        <v>3536.48</v>
      </c>
      <c r="Q69" s="142">
        <v>991</v>
      </c>
      <c r="R69" s="143">
        <v>892.38499999999999</v>
      </c>
      <c r="S69" s="140">
        <v>252</v>
      </c>
      <c r="T69" s="140">
        <v>158.72</v>
      </c>
      <c r="U69" s="140">
        <v>1626</v>
      </c>
      <c r="V69" s="140">
        <v>651.6</v>
      </c>
      <c r="W69" s="142">
        <v>1089</v>
      </c>
      <c r="X69" s="142">
        <v>1533.71</v>
      </c>
      <c r="Y69" s="142">
        <v>592</v>
      </c>
      <c r="Z69" s="142">
        <v>617.48</v>
      </c>
      <c r="AA69" s="142">
        <v>666</v>
      </c>
      <c r="AB69" s="142">
        <v>240.21</v>
      </c>
      <c r="AC69" s="142">
        <v>640</v>
      </c>
      <c r="AD69" s="142">
        <v>585.26</v>
      </c>
      <c r="AE69" s="142">
        <v>47</v>
      </c>
      <c r="AF69" s="142">
        <v>25.43</v>
      </c>
      <c r="AG69" s="142">
        <v>13</v>
      </c>
      <c r="AH69" s="142">
        <v>14.32</v>
      </c>
      <c r="AI69" s="142">
        <v>1460</v>
      </c>
      <c r="AJ69" s="142">
        <v>2594.7449999999999</v>
      </c>
      <c r="AK69" s="142">
        <v>443</v>
      </c>
      <c r="AL69" s="142">
        <v>1050.6500000000001</v>
      </c>
      <c r="AM69" s="142">
        <v>1443</v>
      </c>
      <c r="AN69" s="142">
        <v>27964.400000000001</v>
      </c>
      <c r="AO69" s="143">
        <v>1367</v>
      </c>
      <c r="AP69" s="140">
        <v>2950.2</v>
      </c>
      <c r="AQ69" s="140">
        <v>300</v>
      </c>
      <c r="AR69" s="140">
        <v>1727.6</v>
      </c>
      <c r="AS69" s="142">
        <v>1</v>
      </c>
      <c r="AT69" s="142">
        <v>0.06</v>
      </c>
      <c r="AU69" s="142">
        <v>38</v>
      </c>
      <c r="AV69" s="142">
        <v>106.05</v>
      </c>
      <c r="AW69" s="146">
        <v>55</v>
      </c>
      <c r="AX69" s="147">
        <v>36.53</v>
      </c>
      <c r="AY69" s="148" t="s">
        <v>65</v>
      </c>
      <c r="AZ69" s="149"/>
      <c r="BA69" s="149"/>
      <c r="BB69" s="131"/>
    </row>
    <row r="70" spans="1:54">
      <c r="A70" s="210" t="s">
        <v>66</v>
      </c>
      <c r="B70" s="211">
        <f t="shared" si="26"/>
        <v>51521</v>
      </c>
      <c r="C70" s="200">
        <f>SUM(C72:C79)</f>
        <v>70</v>
      </c>
      <c r="D70" s="200">
        <f t="shared" ref="D70:N70" si="27">SUM(D72:D79)</f>
        <v>250</v>
      </c>
      <c r="E70" s="200">
        <f t="shared" si="27"/>
        <v>4092</v>
      </c>
      <c r="F70" s="200">
        <f t="shared" si="27"/>
        <v>11723.449999999999</v>
      </c>
      <c r="G70" s="200">
        <f t="shared" si="27"/>
        <v>1081</v>
      </c>
      <c r="H70" s="200">
        <f t="shared" si="27"/>
        <v>7382.1</v>
      </c>
      <c r="I70" s="200">
        <f t="shared" si="27"/>
        <v>736</v>
      </c>
      <c r="J70" s="200">
        <f t="shared" si="27"/>
        <v>983.19</v>
      </c>
      <c r="K70" s="200">
        <f t="shared" si="27"/>
        <v>2989</v>
      </c>
      <c r="L70" s="200">
        <f t="shared" si="27"/>
        <v>8180.6299999999992</v>
      </c>
      <c r="M70" s="200">
        <f t="shared" si="27"/>
        <v>2356</v>
      </c>
      <c r="N70" s="207">
        <f t="shared" si="27"/>
        <v>6033.14</v>
      </c>
      <c r="O70" s="208">
        <f>SUM(O72:O79)</f>
        <v>2825</v>
      </c>
      <c r="P70" s="209">
        <f>SUM(P72:P79)</f>
        <v>8641.7900000000009</v>
      </c>
      <c r="Q70" s="209">
        <f>SUM(Q72:Q79)</f>
        <v>914</v>
      </c>
      <c r="R70" s="208">
        <f>SUM(R72:R79)</f>
        <v>2175.0500000000002</v>
      </c>
      <c r="S70" s="208">
        <f t="shared" ref="S70:AX70" si="28">SUM(S72:S79)</f>
        <v>20</v>
      </c>
      <c r="T70" s="208">
        <f t="shared" si="28"/>
        <v>19.41</v>
      </c>
      <c r="U70" s="208">
        <f t="shared" si="28"/>
        <v>684</v>
      </c>
      <c r="V70" s="208">
        <f t="shared" si="28"/>
        <v>1690.7</v>
      </c>
      <c r="W70" s="208">
        <f t="shared" si="28"/>
        <v>3968</v>
      </c>
      <c r="X70" s="208">
        <f t="shared" si="28"/>
        <v>10755.900000000001</v>
      </c>
      <c r="Y70" s="208">
        <f t="shared" si="28"/>
        <v>9872</v>
      </c>
      <c r="Z70" s="208">
        <f t="shared" si="28"/>
        <v>10262.85</v>
      </c>
      <c r="AA70" s="208">
        <f t="shared" si="28"/>
        <v>1043</v>
      </c>
      <c r="AB70" s="209">
        <f t="shared" si="28"/>
        <v>473.12</v>
      </c>
      <c r="AC70" s="208">
        <f t="shared" si="28"/>
        <v>63</v>
      </c>
      <c r="AD70" s="208">
        <f t="shared" si="28"/>
        <v>40.700000000000003</v>
      </c>
      <c r="AE70" s="208">
        <f t="shared" si="28"/>
        <v>96</v>
      </c>
      <c r="AF70" s="208">
        <f t="shared" si="28"/>
        <v>44.949999999999996</v>
      </c>
      <c r="AG70" s="208">
        <f t="shared" si="28"/>
        <v>1809</v>
      </c>
      <c r="AH70" s="208">
        <f t="shared" si="28"/>
        <v>3935.42</v>
      </c>
      <c r="AI70" s="208">
        <f t="shared" si="28"/>
        <v>9971</v>
      </c>
      <c r="AJ70" s="208">
        <f t="shared" si="28"/>
        <v>15645.050000000001</v>
      </c>
      <c r="AK70" s="208">
        <f t="shared" si="28"/>
        <v>907</v>
      </c>
      <c r="AL70" s="208">
        <f t="shared" si="28"/>
        <v>2682.6</v>
      </c>
      <c r="AM70" s="208">
        <f t="shared" si="28"/>
        <v>583</v>
      </c>
      <c r="AN70" s="208">
        <f t="shared" si="28"/>
        <v>3225</v>
      </c>
      <c r="AO70" s="208">
        <f t="shared" si="28"/>
        <v>1047</v>
      </c>
      <c r="AP70" s="208">
        <f t="shared" si="28"/>
        <v>2679.9799999999996</v>
      </c>
      <c r="AQ70" s="208">
        <f t="shared" si="28"/>
        <v>31</v>
      </c>
      <c r="AR70" s="208">
        <f t="shared" si="28"/>
        <v>118.9</v>
      </c>
      <c r="AS70" s="208">
        <f t="shared" si="28"/>
        <v>1</v>
      </c>
      <c r="AT70" s="208">
        <f t="shared" si="28"/>
        <v>1.5</v>
      </c>
      <c r="AU70" s="208">
        <f t="shared" si="28"/>
        <v>0</v>
      </c>
      <c r="AV70" s="208">
        <f t="shared" si="28"/>
        <v>0</v>
      </c>
      <c r="AW70" s="208">
        <f t="shared" si="28"/>
        <v>6363</v>
      </c>
      <c r="AX70" s="208">
        <f t="shared" si="28"/>
        <v>4237.55</v>
      </c>
      <c r="AY70" s="205" t="s">
        <v>67</v>
      </c>
      <c r="AZ70" s="180"/>
      <c r="BA70" s="180"/>
      <c r="BB70" s="131"/>
    </row>
    <row r="71" spans="1:54">
      <c r="A71" s="210"/>
      <c r="B71" s="212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7"/>
      <c r="O71" s="208"/>
      <c r="P71" s="209"/>
      <c r="Q71" s="209"/>
      <c r="R71" s="208"/>
      <c r="S71" s="208"/>
      <c r="T71" s="208"/>
      <c r="U71" s="208"/>
      <c r="V71" s="208"/>
      <c r="W71" s="208"/>
      <c r="X71" s="208"/>
      <c r="Y71" s="208"/>
      <c r="Z71" s="208"/>
      <c r="AA71" s="208"/>
      <c r="AB71" s="209"/>
      <c r="AC71" s="208"/>
      <c r="AD71" s="208"/>
      <c r="AE71" s="208"/>
      <c r="AF71" s="208"/>
      <c r="AG71" s="208"/>
      <c r="AH71" s="208"/>
      <c r="AI71" s="208"/>
      <c r="AJ71" s="208"/>
      <c r="AK71" s="208"/>
      <c r="AL71" s="208"/>
      <c r="AM71" s="208"/>
      <c r="AN71" s="208"/>
      <c r="AO71" s="208"/>
      <c r="AP71" s="208"/>
      <c r="AQ71" s="208"/>
      <c r="AR71" s="208"/>
      <c r="AS71" s="208"/>
      <c r="AT71" s="208"/>
      <c r="AU71" s="208"/>
      <c r="AV71" s="208"/>
      <c r="AW71" s="208"/>
      <c r="AX71" s="208"/>
      <c r="AY71" s="205"/>
      <c r="AZ71" s="180"/>
      <c r="BA71" s="180"/>
      <c r="BB71" s="131"/>
    </row>
    <row r="72" spans="1:54" ht="20.399999999999999">
      <c r="A72" s="1" t="s">
        <v>194</v>
      </c>
      <c r="B72" s="120">
        <f t="shared" ref="B72:B79" si="29">SUM(C72,E72,G72,I72,K72,M72,O72,Q72,S72,U72,W72,Y72,AA72,AC72,AE72,AG72,AI72,AK72,AM72,AO72,AQ72,AS72,AU72,AW72)</f>
        <v>0</v>
      </c>
      <c r="C72" s="144" t="s">
        <v>311</v>
      </c>
      <c r="D72" s="144" t="s">
        <v>311</v>
      </c>
      <c r="E72" s="144" t="s">
        <v>311</v>
      </c>
      <c r="F72" s="144" t="s">
        <v>311</v>
      </c>
      <c r="G72" s="144" t="s">
        <v>311</v>
      </c>
      <c r="H72" s="144" t="s">
        <v>311</v>
      </c>
      <c r="I72" s="144" t="s">
        <v>311</v>
      </c>
      <c r="J72" s="153" t="s">
        <v>311</v>
      </c>
      <c r="K72" s="145" t="s">
        <v>311</v>
      </c>
      <c r="L72" s="145" t="s">
        <v>311</v>
      </c>
      <c r="M72" s="145" t="s">
        <v>311</v>
      </c>
      <c r="N72" s="145" t="s">
        <v>311</v>
      </c>
      <c r="O72" s="145" t="s">
        <v>311</v>
      </c>
      <c r="P72" s="145" t="s">
        <v>311</v>
      </c>
      <c r="Q72" s="145" t="s">
        <v>311</v>
      </c>
      <c r="R72" s="152" t="s">
        <v>311</v>
      </c>
      <c r="S72" s="144" t="s">
        <v>311</v>
      </c>
      <c r="T72" s="144" t="s">
        <v>311</v>
      </c>
      <c r="U72" s="144" t="s">
        <v>311</v>
      </c>
      <c r="V72" s="144" t="s">
        <v>311</v>
      </c>
      <c r="W72" s="145" t="s">
        <v>311</v>
      </c>
      <c r="X72" s="145" t="s">
        <v>311</v>
      </c>
      <c r="Y72" s="145" t="s">
        <v>311</v>
      </c>
      <c r="Z72" s="145" t="s">
        <v>311</v>
      </c>
      <c r="AA72" s="145" t="s">
        <v>311</v>
      </c>
      <c r="AB72" s="145" t="s">
        <v>311</v>
      </c>
      <c r="AC72" s="145" t="s">
        <v>311</v>
      </c>
      <c r="AD72" s="145" t="s">
        <v>311</v>
      </c>
      <c r="AE72" s="145" t="s">
        <v>311</v>
      </c>
      <c r="AF72" s="145" t="s">
        <v>311</v>
      </c>
      <c r="AG72" s="145" t="s">
        <v>311</v>
      </c>
      <c r="AH72" s="145" t="s">
        <v>311</v>
      </c>
      <c r="AI72" s="145" t="s">
        <v>311</v>
      </c>
      <c r="AJ72" s="145" t="s">
        <v>311</v>
      </c>
      <c r="AK72" s="145" t="s">
        <v>311</v>
      </c>
      <c r="AL72" s="145" t="s">
        <v>311</v>
      </c>
      <c r="AM72" s="145" t="s">
        <v>311</v>
      </c>
      <c r="AN72" s="145" t="s">
        <v>311</v>
      </c>
      <c r="AO72" s="152" t="s">
        <v>311</v>
      </c>
      <c r="AP72" s="144" t="s">
        <v>311</v>
      </c>
      <c r="AQ72" s="144" t="s">
        <v>311</v>
      </c>
      <c r="AR72" s="144" t="s">
        <v>311</v>
      </c>
      <c r="AS72" s="145" t="s">
        <v>311</v>
      </c>
      <c r="AT72" s="145" t="s">
        <v>311</v>
      </c>
      <c r="AU72" s="145" t="s">
        <v>311</v>
      </c>
      <c r="AV72" s="145" t="s">
        <v>311</v>
      </c>
      <c r="AW72" s="145" t="s">
        <v>311</v>
      </c>
      <c r="AX72" s="145" t="s">
        <v>311</v>
      </c>
      <c r="AY72" s="148" t="s">
        <v>68</v>
      </c>
      <c r="AZ72" s="149"/>
      <c r="BA72" s="149"/>
      <c r="BB72" s="131"/>
    </row>
    <row r="73" spans="1:54">
      <c r="A73" s="1" t="s">
        <v>195</v>
      </c>
      <c r="B73" s="120">
        <f t="shared" si="29"/>
        <v>180</v>
      </c>
      <c r="C73" s="144" t="s">
        <v>311</v>
      </c>
      <c r="D73" s="144" t="s">
        <v>311</v>
      </c>
      <c r="E73" s="140">
        <v>12</v>
      </c>
      <c r="F73" s="140">
        <v>17.739999999999998</v>
      </c>
      <c r="G73" s="140">
        <v>6</v>
      </c>
      <c r="H73" s="140">
        <v>54</v>
      </c>
      <c r="I73" s="140">
        <v>5</v>
      </c>
      <c r="J73" s="141">
        <v>7</v>
      </c>
      <c r="K73" s="142">
        <v>41</v>
      </c>
      <c r="L73" s="142">
        <v>82.42</v>
      </c>
      <c r="M73" s="142">
        <v>37</v>
      </c>
      <c r="N73" s="142">
        <v>79.52</v>
      </c>
      <c r="O73" s="142">
        <v>33</v>
      </c>
      <c r="P73" s="142">
        <v>98.2</v>
      </c>
      <c r="Q73" s="142">
        <v>1</v>
      </c>
      <c r="R73" s="143">
        <v>1</v>
      </c>
      <c r="S73" s="144" t="s">
        <v>311</v>
      </c>
      <c r="T73" s="144" t="s">
        <v>311</v>
      </c>
      <c r="U73" s="140">
        <v>1</v>
      </c>
      <c r="V73" s="140">
        <v>0.75</v>
      </c>
      <c r="W73" s="142">
        <v>11</v>
      </c>
      <c r="X73" s="142">
        <v>11</v>
      </c>
      <c r="Y73" s="142">
        <v>1</v>
      </c>
      <c r="Z73" s="142">
        <v>1</v>
      </c>
      <c r="AA73" s="145" t="s">
        <v>311</v>
      </c>
      <c r="AB73" s="145" t="s">
        <v>311</v>
      </c>
      <c r="AC73" s="145" t="s">
        <v>311</v>
      </c>
      <c r="AD73" s="145" t="s">
        <v>311</v>
      </c>
      <c r="AE73" s="145" t="s">
        <v>311</v>
      </c>
      <c r="AF73" s="145" t="s">
        <v>311</v>
      </c>
      <c r="AG73" s="142">
        <v>11</v>
      </c>
      <c r="AH73" s="142">
        <v>23.02</v>
      </c>
      <c r="AI73" s="142">
        <v>12</v>
      </c>
      <c r="AJ73" s="142">
        <v>11.3</v>
      </c>
      <c r="AK73" s="145" t="s">
        <v>311</v>
      </c>
      <c r="AL73" s="145" t="s">
        <v>311</v>
      </c>
      <c r="AM73" s="142">
        <v>3</v>
      </c>
      <c r="AN73" s="142">
        <v>7</v>
      </c>
      <c r="AO73" s="143">
        <v>5</v>
      </c>
      <c r="AP73" s="140">
        <v>6.5</v>
      </c>
      <c r="AQ73" s="144" t="s">
        <v>311</v>
      </c>
      <c r="AR73" s="144" t="s">
        <v>311</v>
      </c>
      <c r="AS73" s="145" t="s">
        <v>311</v>
      </c>
      <c r="AT73" s="145" t="s">
        <v>311</v>
      </c>
      <c r="AU73" s="145" t="s">
        <v>311</v>
      </c>
      <c r="AV73" s="145" t="s">
        <v>311</v>
      </c>
      <c r="AW73" s="142">
        <v>1</v>
      </c>
      <c r="AX73" s="142">
        <v>0.5</v>
      </c>
      <c r="AY73" s="148" t="s">
        <v>69</v>
      </c>
      <c r="AZ73" s="149"/>
      <c r="BA73" s="149"/>
      <c r="BB73" s="131"/>
    </row>
    <row r="74" spans="1:54">
      <c r="A74" s="1" t="s">
        <v>196</v>
      </c>
      <c r="B74" s="120">
        <f t="shared" si="29"/>
        <v>14</v>
      </c>
      <c r="C74" s="144" t="s">
        <v>311</v>
      </c>
      <c r="D74" s="144" t="s">
        <v>311</v>
      </c>
      <c r="E74" s="140">
        <v>2</v>
      </c>
      <c r="F74" s="140">
        <v>2.5</v>
      </c>
      <c r="G74" s="144" t="s">
        <v>311</v>
      </c>
      <c r="H74" s="144" t="s">
        <v>311</v>
      </c>
      <c r="I74" s="144" t="s">
        <v>311</v>
      </c>
      <c r="J74" s="153" t="s">
        <v>311</v>
      </c>
      <c r="K74" s="142">
        <v>1</v>
      </c>
      <c r="L74" s="142">
        <v>2</v>
      </c>
      <c r="M74" s="142">
        <v>2</v>
      </c>
      <c r="N74" s="142">
        <v>2</v>
      </c>
      <c r="O74" s="142">
        <v>2</v>
      </c>
      <c r="P74" s="142">
        <v>1.5</v>
      </c>
      <c r="Q74" s="142">
        <v>2</v>
      </c>
      <c r="R74" s="143">
        <v>1</v>
      </c>
      <c r="S74" s="144" t="s">
        <v>311</v>
      </c>
      <c r="T74" s="144" t="s">
        <v>311</v>
      </c>
      <c r="U74" s="144" t="s">
        <v>311</v>
      </c>
      <c r="V74" s="144" t="s">
        <v>311</v>
      </c>
      <c r="W74" s="145" t="s">
        <v>311</v>
      </c>
      <c r="X74" s="145" t="s">
        <v>311</v>
      </c>
      <c r="Y74" s="142">
        <v>1</v>
      </c>
      <c r="Z74" s="142">
        <v>1.5</v>
      </c>
      <c r="AA74" s="145" t="s">
        <v>311</v>
      </c>
      <c r="AB74" s="145" t="s">
        <v>311</v>
      </c>
      <c r="AC74" s="145" t="s">
        <v>311</v>
      </c>
      <c r="AD74" s="145" t="s">
        <v>311</v>
      </c>
      <c r="AE74" s="145" t="s">
        <v>311</v>
      </c>
      <c r="AF74" s="145" t="s">
        <v>311</v>
      </c>
      <c r="AG74" s="142">
        <v>1</v>
      </c>
      <c r="AH74" s="142">
        <v>0.5</v>
      </c>
      <c r="AI74" s="142">
        <v>1</v>
      </c>
      <c r="AJ74" s="142">
        <v>0.3</v>
      </c>
      <c r="AK74" s="145" t="s">
        <v>311</v>
      </c>
      <c r="AL74" s="145" t="s">
        <v>311</v>
      </c>
      <c r="AM74" s="145" t="s">
        <v>311</v>
      </c>
      <c r="AN74" s="145" t="s">
        <v>311</v>
      </c>
      <c r="AO74" s="143">
        <v>2</v>
      </c>
      <c r="AP74" s="140">
        <v>1.5</v>
      </c>
      <c r="AQ74" s="144" t="s">
        <v>311</v>
      </c>
      <c r="AR74" s="144" t="s">
        <v>311</v>
      </c>
      <c r="AS74" s="145" t="s">
        <v>311</v>
      </c>
      <c r="AT74" s="145" t="s">
        <v>311</v>
      </c>
      <c r="AU74" s="145" t="s">
        <v>311</v>
      </c>
      <c r="AV74" s="145" t="s">
        <v>311</v>
      </c>
      <c r="AW74" s="145" t="s">
        <v>311</v>
      </c>
      <c r="AX74" s="145" t="s">
        <v>311</v>
      </c>
      <c r="AY74" s="148" t="s">
        <v>70</v>
      </c>
      <c r="AZ74" s="149"/>
      <c r="BA74" s="149"/>
      <c r="BB74" s="131"/>
    </row>
    <row r="75" spans="1:54">
      <c r="A75" s="1" t="s">
        <v>197</v>
      </c>
      <c r="B75" s="120">
        <f t="shared" si="29"/>
        <v>0</v>
      </c>
      <c r="C75" s="144" t="s">
        <v>311</v>
      </c>
      <c r="D75" s="144" t="s">
        <v>311</v>
      </c>
      <c r="E75" s="144" t="s">
        <v>311</v>
      </c>
      <c r="F75" s="144" t="s">
        <v>311</v>
      </c>
      <c r="G75" s="144" t="s">
        <v>311</v>
      </c>
      <c r="H75" s="144" t="s">
        <v>311</v>
      </c>
      <c r="I75" s="144" t="s">
        <v>311</v>
      </c>
      <c r="J75" s="153" t="s">
        <v>311</v>
      </c>
      <c r="K75" s="145" t="s">
        <v>311</v>
      </c>
      <c r="L75" s="145" t="s">
        <v>311</v>
      </c>
      <c r="M75" s="145" t="s">
        <v>311</v>
      </c>
      <c r="N75" s="145" t="s">
        <v>311</v>
      </c>
      <c r="O75" s="145" t="s">
        <v>311</v>
      </c>
      <c r="P75" s="145" t="s">
        <v>311</v>
      </c>
      <c r="Q75" s="145" t="s">
        <v>311</v>
      </c>
      <c r="R75" s="152" t="s">
        <v>311</v>
      </c>
      <c r="S75" s="144" t="s">
        <v>311</v>
      </c>
      <c r="T75" s="144" t="s">
        <v>311</v>
      </c>
      <c r="U75" s="144" t="s">
        <v>311</v>
      </c>
      <c r="V75" s="144" t="s">
        <v>311</v>
      </c>
      <c r="W75" s="145" t="s">
        <v>311</v>
      </c>
      <c r="X75" s="145" t="s">
        <v>311</v>
      </c>
      <c r="Y75" s="145" t="s">
        <v>311</v>
      </c>
      <c r="Z75" s="145" t="s">
        <v>311</v>
      </c>
      <c r="AA75" s="145" t="s">
        <v>311</v>
      </c>
      <c r="AB75" s="145" t="s">
        <v>311</v>
      </c>
      <c r="AC75" s="145" t="s">
        <v>311</v>
      </c>
      <c r="AD75" s="145" t="s">
        <v>311</v>
      </c>
      <c r="AE75" s="145" t="s">
        <v>311</v>
      </c>
      <c r="AF75" s="145" t="s">
        <v>311</v>
      </c>
      <c r="AG75" s="145" t="s">
        <v>311</v>
      </c>
      <c r="AH75" s="145" t="s">
        <v>311</v>
      </c>
      <c r="AI75" s="145" t="s">
        <v>311</v>
      </c>
      <c r="AJ75" s="145" t="s">
        <v>311</v>
      </c>
      <c r="AK75" s="145" t="s">
        <v>311</v>
      </c>
      <c r="AL75" s="145" t="s">
        <v>311</v>
      </c>
      <c r="AM75" s="145" t="s">
        <v>311</v>
      </c>
      <c r="AN75" s="145" t="s">
        <v>311</v>
      </c>
      <c r="AO75" s="152" t="s">
        <v>311</v>
      </c>
      <c r="AP75" s="144" t="s">
        <v>311</v>
      </c>
      <c r="AQ75" s="144" t="s">
        <v>311</v>
      </c>
      <c r="AR75" s="144" t="s">
        <v>311</v>
      </c>
      <c r="AS75" s="145" t="s">
        <v>311</v>
      </c>
      <c r="AT75" s="145" t="s">
        <v>311</v>
      </c>
      <c r="AU75" s="145" t="s">
        <v>311</v>
      </c>
      <c r="AV75" s="145" t="s">
        <v>311</v>
      </c>
      <c r="AW75" s="145" t="s">
        <v>311</v>
      </c>
      <c r="AX75" s="145" t="s">
        <v>311</v>
      </c>
      <c r="AY75" s="148" t="s">
        <v>71</v>
      </c>
      <c r="AZ75" s="149"/>
      <c r="BA75" s="149"/>
      <c r="BB75" s="131"/>
    </row>
    <row r="76" spans="1:54">
      <c r="A76" s="1" t="s">
        <v>198</v>
      </c>
      <c r="B76" s="120">
        <f t="shared" si="29"/>
        <v>23271</v>
      </c>
      <c r="C76" s="144" t="s">
        <v>311</v>
      </c>
      <c r="D76" s="144" t="s">
        <v>311</v>
      </c>
      <c r="E76" s="140">
        <v>3143</v>
      </c>
      <c r="F76" s="140">
        <v>9318</v>
      </c>
      <c r="G76" s="140">
        <v>882</v>
      </c>
      <c r="H76" s="140">
        <v>5341.6</v>
      </c>
      <c r="I76" s="140">
        <v>550</v>
      </c>
      <c r="J76" s="141">
        <v>821.7</v>
      </c>
      <c r="K76" s="142">
        <v>2388</v>
      </c>
      <c r="L76" s="142">
        <v>6734.9</v>
      </c>
      <c r="M76" s="142">
        <v>2014</v>
      </c>
      <c r="N76" s="142">
        <v>5335.5</v>
      </c>
      <c r="O76" s="142">
        <v>2072</v>
      </c>
      <c r="P76" s="142">
        <v>6769.9</v>
      </c>
      <c r="Q76" s="142">
        <v>277</v>
      </c>
      <c r="R76" s="143">
        <v>526.79999999999995</v>
      </c>
      <c r="S76" s="140">
        <v>8</v>
      </c>
      <c r="T76" s="140">
        <v>11.4</v>
      </c>
      <c r="U76" s="140">
        <v>571</v>
      </c>
      <c r="V76" s="140">
        <v>1614</v>
      </c>
      <c r="W76" s="142">
        <v>1751</v>
      </c>
      <c r="X76" s="142">
        <v>3422.95</v>
      </c>
      <c r="Y76" s="142">
        <v>1681</v>
      </c>
      <c r="Z76" s="142">
        <v>3047</v>
      </c>
      <c r="AA76" s="142">
        <v>911</v>
      </c>
      <c r="AB76" s="142">
        <v>420</v>
      </c>
      <c r="AC76" s="142">
        <v>47</v>
      </c>
      <c r="AD76" s="142">
        <v>29</v>
      </c>
      <c r="AE76" s="142">
        <v>94</v>
      </c>
      <c r="AF76" s="142">
        <v>44.3</v>
      </c>
      <c r="AG76" s="142">
        <v>1208</v>
      </c>
      <c r="AH76" s="142">
        <v>2662</v>
      </c>
      <c r="AI76" s="142">
        <v>3441</v>
      </c>
      <c r="AJ76" s="142">
        <v>9878.2000000000007</v>
      </c>
      <c r="AK76" s="142">
        <v>673</v>
      </c>
      <c r="AL76" s="142">
        <v>2152</v>
      </c>
      <c r="AM76" s="142">
        <v>500</v>
      </c>
      <c r="AN76" s="142">
        <v>2433</v>
      </c>
      <c r="AO76" s="143">
        <v>741</v>
      </c>
      <c r="AP76" s="140">
        <v>2062.6</v>
      </c>
      <c r="AQ76" s="140">
        <v>29</v>
      </c>
      <c r="AR76" s="140">
        <v>116</v>
      </c>
      <c r="AS76" s="142">
        <v>1</v>
      </c>
      <c r="AT76" s="142">
        <v>1.5</v>
      </c>
      <c r="AU76" s="145" t="s">
        <v>311</v>
      </c>
      <c r="AV76" s="145" t="s">
        <v>311</v>
      </c>
      <c r="AW76" s="142">
        <v>289</v>
      </c>
      <c r="AX76" s="142">
        <v>186.6</v>
      </c>
      <c r="AY76" s="148" t="s">
        <v>72</v>
      </c>
      <c r="AZ76" s="149"/>
      <c r="BA76" s="149"/>
      <c r="BB76" s="131"/>
    </row>
    <row r="77" spans="1:54">
      <c r="A77" s="1" t="s">
        <v>199</v>
      </c>
      <c r="B77" s="120">
        <f t="shared" si="29"/>
        <v>25828</v>
      </c>
      <c r="C77" s="144">
        <v>70</v>
      </c>
      <c r="D77" s="144">
        <v>250</v>
      </c>
      <c r="E77" s="140">
        <v>424</v>
      </c>
      <c r="F77" s="140">
        <v>1338.3</v>
      </c>
      <c r="G77" s="140">
        <v>131</v>
      </c>
      <c r="H77" s="140">
        <v>1440</v>
      </c>
      <c r="I77" s="140">
        <v>30</v>
      </c>
      <c r="J77" s="141">
        <v>20.350000000000001</v>
      </c>
      <c r="K77" s="142">
        <v>436</v>
      </c>
      <c r="L77" s="142">
        <v>1203.45</v>
      </c>
      <c r="M77" s="142">
        <v>185</v>
      </c>
      <c r="N77" s="142">
        <v>457.8</v>
      </c>
      <c r="O77" s="142">
        <v>496</v>
      </c>
      <c r="P77" s="142">
        <v>1446.4</v>
      </c>
      <c r="Q77" s="142">
        <v>361</v>
      </c>
      <c r="R77" s="143">
        <v>1278.5</v>
      </c>
      <c r="S77" s="144">
        <v>2</v>
      </c>
      <c r="T77" s="144">
        <v>3.5</v>
      </c>
      <c r="U77" s="140">
        <v>18</v>
      </c>
      <c r="V77" s="140">
        <v>42.5</v>
      </c>
      <c r="W77" s="142">
        <v>2111</v>
      </c>
      <c r="X77" s="142">
        <v>7177.5</v>
      </c>
      <c r="Y77" s="142">
        <v>8103</v>
      </c>
      <c r="Z77" s="142">
        <v>7114.1</v>
      </c>
      <c r="AA77" s="142">
        <v>103</v>
      </c>
      <c r="AB77" s="142">
        <v>41.4</v>
      </c>
      <c r="AC77" s="142">
        <v>6</v>
      </c>
      <c r="AD77" s="142">
        <v>3.4</v>
      </c>
      <c r="AE77" s="142">
        <v>1</v>
      </c>
      <c r="AF77" s="142">
        <v>0.4</v>
      </c>
      <c r="AG77" s="142">
        <v>559</v>
      </c>
      <c r="AH77" s="142">
        <v>1169.9000000000001</v>
      </c>
      <c r="AI77" s="142">
        <v>6331</v>
      </c>
      <c r="AJ77" s="142">
        <v>5426</v>
      </c>
      <c r="AK77" s="142">
        <v>147</v>
      </c>
      <c r="AL77" s="142">
        <v>416.5</v>
      </c>
      <c r="AM77" s="142">
        <v>67</v>
      </c>
      <c r="AN77" s="142">
        <v>662</v>
      </c>
      <c r="AO77" s="143">
        <v>185</v>
      </c>
      <c r="AP77" s="140">
        <v>433.7</v>
      </c>
      <c r="AQ77" s="144" t="s">
        <v>311</v>
      </c>
      <c r="AR77" s="144" t="s">
        <v>311</v>
      </c>
      <c r="AS77" s="145" t="s">
        <v>311</v>
      </c>
      <c r="AT77" s="145" t="s">
        <v>311</v>
      </c>
      <c r="AU77" s="145" t="s">
        <v>311</v>
      </c>
      <c r="AV77" s="145" t="s">
        <v>311</v>
      </c>
      <c r="AW77" s="142">
        <v>6062</v>
      </c>
      <c r="AX77" s="142">
        <v>4045.45</v>
      </c>
      <c r="AY77" s="148" t="s">
        <v>73</v>
      </c>
      <c r="AZ77" s="149"/>
      <c r="BA77" s="149"/>
      <c r="BB77" s="131"/>
    </row>
    <row r="78" spans="1:54">
      <c r="A78" s="1" t="s">
        <v>200</v>
      </c>
      <c r="B78" s="120">
        <f t="shared" si="29"/>
        <v>5</v>
      </c>
      <c r="C78" s="144" t="s">
        <v>311</v>
      </c>
      <c r="D78" s="144" t="s">
        <v>311</v>
      </c>
      <c r="E78" s="144" t="s">
        <v>311</v>
      </c>
      <c r="F78" s="144" t="s">
        <v>311</v>
      </c>
      <c r="G78" s="144" t="s">
        <v>311</v>
      </c>
      <c r="H78" s="144" t="s">
        <v>311</v>
      </c>
      <c r="I78" s="144" t="s">
        <v>311</v>
      </c>
      <c r="J78" s="153" t="s">
        <v>311</v>
      </c>
      <c r="K78" s="142">
        <v>2</v>
      </c>
      <c r="L78" s="142">
        <v>1.5</v>
      </c>
      <c r="M78" s="145" t="s">
        <v>311</v>
      </c>
      <c r="N78" s="145" t="s">
        <v>311</v>
      </c>
      <c r="O78" s="145" t="s">
        <v>311</v>
      </c>
      <c r="P78" s="145" t="s">
        <v>311</v>
      </c>
      <c r="Q78" s="145" t="s">
        <v>311</v>
      </c>
      <c r="R78" s="152" t="s">
        <v>311</v>
      </c>
      <c r="S78" s="144" t="s">
        <v>311</v>
      </c>
      <c r="T78" s="144" t="s">
        <v>311</v>
      </c>
      <c r="U78" s="144" t="s">
        <v>311</v>
      </c>
      <c r="V78" s="144" t="s">
        <v>311</v>
      </c>
      <c r="W78" s="142">
        <v>3</v>
      </c>
      <c r="X78" s="142">
        <v>3</v>
      </c>
      <c r="Y78" s="145" t="s">
        <v>311</v>
      </c>
      <c r="Z78" s="145" t="s">
        <v>311</v>
      </c>
      <c r="AA78" s="145" t="s">
        <v>311</v>
      </c>
      <c r="AB78" s="145" t="s">
        <v>311</v>
      </c>
      <c r="AC78" s="145" t="s">
        <v>311</v>
      </c>
      <c r="AD78" s="145" t="s">
        <v>311</v>
      </c>
      <c r="AE78" s="145" t="s">
        <v>311</v>
      </c>
      <c r="AF78" s="145" t="s">
        <v>311</v>
      </c>
      <c r="AG78" s="145" t="s">
        <v>311</v>
      </c>
      <c r="AH78" s="145" t="s">
        <v>311</v>
      </c>
      <c r="AI78" s="145" t="s">
        <v>311</v>
      </c>
      <c r="AJ78" s="145" t="s">
        <v>311</v>
      </c>
      <c r="AK78" s="145" t="s">
        <v>311</v>
      </c>
      <c r="AL78" s="145" t="s">
        <v>311</v>
      </c>
      <c r="AM78" s="145" t="s">
        <v>311</v>
      </c>
      <c r="AN78" s="145" t="s">
        <v>311</v>
      </c>
      <c r="AO78" s="152" t="s">
        <v>311</v>
      </c>
      <c r="AP78" s="144" t="s">
        <v>311</v>
      </c>
      <c r="AQ78" s="144" t="s">
        <v>311</v>
      </c>
      <c r="AR78" s="144" t="s">
        <v>311</v>
      </c>
      <c r="AS78" s="145" t="s">
        <v>311</v>
      </c>
      <c r="AT78" s="145" t="s">
        <v>311</v>
      </c>
      <c r="AU78" s="145" t="s">
        <v>311</v>
      </c>
      <c r="AV78" s="145" t="s">
        <v>311</v>
      </c>
      <c r="AW78" s="145" t="s">
        <v>311</v>
      </c>
      <c r="AX78" s="145" t="s">
        <v>311</v>
      </c>
      <c r="AY78" s="148" t="s">
        <v>74</v>
      </c>
      <c r="AZ78" s="149"/>
      <c r="BA78" s="149"/>
      <c r="BB78" s="131"/>
    </row>
    <row r="79" spans="1:54">
      <c r="A79" s="1" t="s">
        <v>201</v>
      </c>
      <c r="B79" s="120">
        <f t="shared" si="29"/>
        <v>2223</v>
      </c>
      <c r="C79" s="144" t="s">
        <v>311</v>
      </c>
      <c r="D79" s="144" t="s">
        <v>311</v>
      </c>
      <c r="E79" s="140">
        <v>511</v>
      </c>
      <c r="F79" s="140">
        <v>1046.9100000000001</v>
      </c>
      <c r="G79" s="140">
        <v>62</v>
      </c>
      <c r="H79" s="140">
        <v>546.5</v>
      </c>
      <c r="I79" s="140">
        <v>151</v>
      </c>
      <c r="J79" s="141">
        <v>134.13999999999999</v>
      </c>
      <c r="K79" s="142">
        <v>121</v>
      </c>
      <c r="L79" s="142">
        <v>156.36000000000001</v>
      </c>
      <c r="M79" s="142">
        <v>118</v>
      </c>
      <c r="N79" s="142">
        <v>158.32</v>
      </c>
      <c r="O79" s="142">
        <v>222</v>
      </c>
      <c r="P79" s="142">
        <v>325.79000000000002</v>
      </c>
      <c r="Q79" s="142">
        <v>273</v>
      </c>
      <c r="R79" s="143">
        <v>367.75</v>
      </c>
      <c r="S79" s="140">
        <v>10</v>
      </c>
      <c r="T79" s="140">
        <v>4.51</v>
      </c>
      <c r="U79" s="140">
        <v>94</v>
      </c>
      <c r="V79" s="140">
        <v>33.450000000000003</v>
      </c>
      <c r="W79" s="142">
        <v>92</v>
      </c>
      <c r="X79" s="142">
        <v>141.44999999999999</v>
      </c>
      <c r="Y79" s="142">
        <v>86</v>
      </c>
      <c r="Z79" s="142">
        <v>99.25</v>
      </c>
      <c r="AA79" s="142">
        <v>29</v>
      </c>
      <c r="AB79" s="142">
        <v>11.72</v>
      </c>
      <c r="AC79" s="142">
        <v>10</v>
      </c>
      <c r="AD79" s="142">
        <v>8.3000000000000007</v>
      </c>
      <c r="AE79" s="142">
        <v>1</v>
      </c>
      <c r="AF79" s="142">
        <v>0.25</v>
      </c>
      <c r="AG79" s="142">
        <v>30</v>
      </c>
      <c r="AH79" s="142">
        <v>80</v>
      </c>
      <c r="AI79" s="142">
        <v>186</v>
      </c>
      <c r="AJ79" s="142">
        <v>329.25</v>
      </c>
      <c r="AK79" s="142">
        <v>87</v>
      </c>
      <c r="AL79" s="142">
        <v>114.1</v>
      </c>
      <c r="AM79" s="142">
        <v>13</v>
      </c>
      <c r="AN79" s="142">
        <v>123</v>
      </c>
      <c r="AO79" s="143">
        <v>114</v>
      </c>
      <c r="AP79" s="140">
        <v>175.68</v>
      </c>
      <c r="AQ79" s="140">
        <v>2</v>
      </c>
      <c r="AR79" s="140">
        <v>2.9</v>
      </c>
      <c r="AS79" s="145" t="s">
        <v>311</v>
      </c>
      <c r="AT79" s="145" t="s">
        <v>311</v>
      </c>
      <c r="AU79" s="145" t="s">
        <v>311</v>
      </c>
      <c r="AV79" s="145" t="s">
        <v>311</v>
      </c>
      <c r="AW79" s="142">
        <v>11</v>
      </c>
      <c r="AX79" s="142">
        <v>5</v>
      </c>
      <c r="AY79" s="148" t="s">
        <v>75</v>
      </c>
      <c r="AZ79" s="149"/>
      <c r="BA79" s="149"/>
      <c r="BB79" s="131"/>
    </row>
    <row r="80" spans="1:54">
      <c r="A80" s="210" t="s">
        <v>76</v>
      </c>
      <c r="B80" s="211">
        <f>SUM(C80,E80,G80,I80,K80,M80,O80,Q80,S80,U80,W80,Y80,AA80,AC80,AE80,AG80,AI80,AK80,AM80,AO80,AQ80,AS80,AU80,AW80)</f>
        <v>20837</v>
      </c>
      <c r="C80" s="200">
        <f>SUM(C82:C86)</f>
        <v>0</v>
      </c>
      <c r="D80" s="200">
        <f t="shared" ref="D80:N80" si="30">SUM(D82:D86)</f>
        <v>0</v>
      </c>
      <c r="E80" s="200">
        <f t="shared" si="30"/>
        <v>7382</v>
      </c>
      <c r="F80" s="200">
        <f t="shared" si="30"/>
        <v>7837.8370000000004</v>
      </c>
      <c r="G80" s="200">
        <f t="shared" si="30"/>
        <v>790</v>
      </c>
      <c r="H80" s="200">
        <f t="shared" si="30"/>
        <v>1865.2750000000001</v>
      </c>
      <c r="I80" s="200">
        <f t="shared" si="30"/>
        <v>1302</v>
      </c>
      <c r="J80" s="200">
        <f t="shared" si="30"/>
        <v>572.95600000000002</v>
      </c>
      <c r="K80" s="200">
        <f t="shared" si="30"/>
        <v>1463</v>
      </c>
      <c r="L80" s="200">
        <f t="shared" si="30"/>
        <v>1739.2649999999999</v>
      </c>
      <c r="M80" s="200">
        <f t="shared" si="30"/>
        <v>891</v>
      </c>
      <c r="N80" s="207">
        <f t="shared" si="30"/>
        <v>1042.6480000000001</v>
      </c>
      <c r="O80" s="208">
        <f>SUM(O82:O86)</f>
        <v>1192</v>
      </c>
      <c r="P80" s="209">
        <f>SUM(P82:P86)</f>
        <v>1083.386</v>
      </c>
      <c r="Q80" s="209">
        <f>SUM(Q82:Q86)</f>
        <v>1841</v>
      </c>
      <c r="R80" s="208">
        <f>SUM(R82:R86)</f>
        <v>1333.646</v>
      </c>
      <c r="S80" s="208">
        <f t="shared" ref="S80:AX80" si="31">SUM(S82:S86)</f>
        <v>265</v>
      </c>
      <c r="T80" s="208">
        <f t="shared" si="31"/>
        <v>94.327000000000012</v>
      </c>
      <c r="U80" s="208">
        <f t="shared" si="31"/>
        <v>354</v>
      </c>
      <c r="V80" s="208">
        <f t="shared" si="31"/>
        <v>222.19</v>
      </c>
      <c r="W80" s="208">
        <f t="shared" si="31"/>
        <v>478</v>
      </c>
      <c r="X80" s="208">
        <f t="shared" si="31"/>
        <v>409.04500000000002</v>
      </c>
      <c r="Y80" s="208">
        <f t="shared" si="31"/>
        <v>333</v>
      </c>
      <c r="Z80" s="208">
        <f t="shared" si="31"/>
        <v>184.56</v>
      </c>
      <c r="AA80" s="208">
        <f t="shared" si="31"/>
        <v>152</v>
      </c>
      <c r="AB80" s="209">
        <f t="shared" si="31"/>
        <v>25.515000000000001</v>
      </c>
      <c r="AC80" s="208">
        <f t="shared" si="31"/>
        <v>416</v>
      </c>
      <c r="AD80" s="208">
        <f t="shared" si="31"/>
        <v>150.97400000000002</v>
      </c>
      <c r="AE80" s="208">
        <f t="shared" si="31"/>
        <v>73</v>
      </c>
      <c r="AF80" s="208">
        <f t="shared" si="31"/>
        <v>24.59</v>
      </c>
      <c r="AG80" s="208">
        <f t="shared" si="31"/>
        <v>563</v>
      </c>
      <c r="AH80" s="208">
        <f t="shared" si="31"/>
        <v>468.62999999999994</v>
      </c>
      <c r="AI80" s="208">
        <f t="shared" si="31"/>
        <v>1004</v>
      </c>
      <c r="AJ80" s="208">
        <f t="shared" si="31"/>
        <v>791.34499999999991</v>
      </c>
      <c r="AK80" s="208">
        <f t="shared" si="31"/>
        <v>621</v>
      </c>
      <c r="AL80" s="208">
        <f t="shared" si="31"/>
        <v>672.93000000000006</v>
      </c>
      <c r="AM80" s="208">
        <f t="shared" si="31"/>
        <v>224</v>
      </c>
      <c r="AN80" s="208">
        <f t="shared" si="31"/>
        <v>587.26</v>
      </c>
      <c r="AO80" s="208">
        <f t="shared" si="31"/>
        <v>1293</v>
      </c>
      <c r="AP80" s="208">
        <f t="shared" si="31"/>
        <v>1446.83</v>
      </c>
      <c r="AQ80" s="208">
        <f t="shared" si="31"/>
        <v>136</v>
      </c>
      <c r="AR80" s="208">
        <f t="shared" si="31"/>
        <v>270.49</v>
      </c>
      <c r="AS80" s="208">
        <f t="shared" si="31"/>
        <v>2</v>
      </c>
      <c r="AT80" s="208">
        <f t="shared" si="31"/>
        <v>0.18</v>
      </c>
      <c r="AU80" s="208">
        <f t="shared" si="31"/>
        <v>12</v>
      </c>
      <c r="AV80" s="208">
        <f t="shared" si="31"/>
        <v>3.45</v>
      </c>
      <c r="AW80" s="208">
        <f t="shared" si="31"/>
        <v>50</v>
      </c>
      <c r="AX80" s="208">
        <f t="shared" si="31"/>
        <v>7.92</v>
      </c>
      <c r="AY80" s="205" t="s">
        <v>77</v>
      </c>
      <c r="AZ80" s="180"/>
      <c r="BA80" s="180"/>
      <c r="BB80" s="131"/>
    </row>
    <row r="81" spans="1:54">
      <c r="A81" s="210"/>
      <c r="B81" s="212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7"/>
      <c r="O81" s="208"/>
      <c r="P81" s="209"/>
      <c r="Q81" s="209"/>
      <c r="R81" s="208"/>
      <c r="S81" s="208"/>
      <c r="T81" s="208"/>
      <c r="U81" s="208"/>
      <c r="V81" s="208"/>
      <c r="W81" s="208"/>
      <c r="X81" s="208"/>
      <c r="Y81" s="208"/>
      <c r="Z81" s="208"/>
      <c r="AA81" s="208"/>
      <c r="AB81" s="209"/>
      <c r="AC81" s="208"/>
      <c r="AD81" s="208"/>
      <c r="AE81" s="208"/>
      <c r="AF81" s="208"/>
      <c r="AG81" s="208"/>
      <c r="AH81" s="208"/>
      <c r="AI81" s="208"/>
      <c r="AJ81" s="208"/>
      <c r="AK81" s="208"/>
      <c r="AL81" s="208"/>
      <c r="AM81" s="208"/>
      <c r="AN81" s="208"/>
      <c r="AO81" s="208"/>
      <c r="AP81" s="208"/>
      <c r="AQ81" s="208"/>
      <c r="AR81" s="208"/>
      <c r="AS81" s="208"/>
      <c r="AT81" s="208"/>
      <c r="AU81" s="208"/>
      <c r="AV81" s="208"/>
      <c r="AW81" s="208"/>
      <c r="AX81" s="208"/>
      <c r="AY81" s="205"/>
      <c r="AZ81" s="180"/>
      <c r="BA81" s="180"/>
      <c r="BB81" s="131"/>
    </row>
    <row r="82" spans="1:54">
      <c r="A82" s="139" t="s">
        <v>159</v>
      </c>
      <c r="B82" s="120">
        <f t="shared" ref="B82:B87" si="32">SUM(C82,E82,G82,I82,K82,M82,O82,Q82,S82,U82,W82,Y82,AA82,AC82,AE82,AG82,AI82,AK82,AM82,AO82,AQ82,AS82,AU82,AW82)</f>
        <v>10887</v>
      </c>
      <c r="C82" s="144" t="s">
        <v>311</v>
      </c>
      <c r="D82" s="144" t="s">
        <v>311</v>
      </c>
      <c r="E82" s="140">
        <v>4160</v>
      </c>
      <c r="F82" s="140">
        <v>4615.3500000000004</v>
      </c>
      <c r="G82" s="140">
        <v>492</v>
      </c>
      <c r="H82" s="140">
        <v>780.44500000000005</v>
      </c>
      <c r="I82" s="140">
        <v>583</v>
      </c>
      <c r="J82" s="141">
        <v>237.31</v>
      </c>
      <c r="K82" s="142">
        <v>836</v>
      </c>
      <c r="L82" s="142">
        <v>1129.24</v>
      </c>
      <c r="M82" s="142">
        <v>440</v>
      </c>
      <c r="N82" s="142">
        <v>589.98</v>
      </c>
      <c r="O82" s="142">
        <v>663</v>
      </c>
      <c r="P82" s="142">
        <v>589.22</v>
      </c>
      <c r="Q82" s="142">
        <v>496</v>
      </c>
      <c r="R82" s="143">
        <v>250.74</v>
      </c>
      <c r="S82" s="140">
        <v>73</v>
      </c>
      <c r="T82" s="140">
        <v>31.92</v>
      </c>
      <c r="U82" s="140">
        <v>48</v>
      </c>
      <c r="V82" s="140">
        <v>37.159999999999997</v>
      </c>
      <c r="W82" s="142">
        <v>283</v>
      </c>
      <c r="X82" s="142">
        <v>289.74</v>
      </c>
      <c r="Y82" s="142">
        <v>142</v>
      </c>
      <c r="Z82" s="142">
        <v>53.715000000000003</v>
      </c>
      <c r="AA82" s="142">
        <v>39</v>
      </c>
      <c r="AB82" s="142">
        <v>5.0949999999999998</v>
      </c>
      <c r="AC82" s="142">
        <v>243</v>
      </c>
      <c r="AD82" s="142">
        <v>84.834000000000003</v>
      </c>
      <c r="AE82" s="142">
        <v>25</v>
      </c>
      <c r="AF82" s="142">
        <v>7.4</v>
      </c>
      <c r="AG82" s="142">
        <v>449</v>
      </c>
      <c r="AH82" s="142">
        <v>385.9</v>
      </c>
      <c r="AI82" s="142">
        <v>609</v>
      </c>
      <c r="AJ82" s="142">
        <v>562.67999999999995</v>
      </c>
      <c r="AK82" s="142">
        <v>276</v>
      </c>
      <c r="AL82" s="142">
        <v>257.35000000000002</v>
      </c>
      <c r="AM82" s="142">
        <v>154</v>
      </c>
      <c r="AN82" s="142">
        <v>398.58</v>
      </c>
      <c r="AO82" s="143">
        <v>761</v>
      </c>
      <c r="AP82" s="140">
        <v>997.822</v>
      </c>
      <c r="AQ82" s="140">
        <v>95</v>
      </c>
      <c r="AR82" s="140">
        <v>142.03</v>
      </c>
      <c r="AS82" s="145" t="s">
        <v>311</v>
      </c>
      <c r="AT82" s="145" t="s">
        <v>311</v>
      </c>
      <c r="AU82" s="142">
        <v>8</v>
      </c>
      <c r="AV82" s="142">
        <v>1.4</v>
      </c>
      <c r="AW82" s="142">
        <v>12</v>
      </c>
      <c r="AX82" s="142">
        <v>1.63</v>
      </c>
      <c r="AY82" s="148" t="s">
        <v>78</v>
      </c>
      <c r="AZ82" s="149"/>
      <c r="BA82" s="149"/>
      <c r="BB82" s="131"/>
    </row>
    <row r="83" spans="1:54">
      <c r="A83" s="139" t="s">
        <v>160</v>
      </c>
      <c r="B83" s="120">
        <f t="shared" si="32"/>
        <v>1265</v>
      </c>
      <c r="C83" s="144" t="s">
        <v>311</v>
      </c>
      <c r="D83" s="144" t="s">
        <v>311</v>
      </c>
      <c r="E83" s="140">
        <v>504</v>
      </c>
      <c r="F83" s="140">
        <v>953.33299999999997</v>
      </c>
      <c r="G83" s="140">
        <v>6</v>
      </c>
      <c r="H83" s="140">
        <v>46.5</v>
      </c>
      <c r="I83" s="140">
        <v>139</v>
      </c>
      <c r="J83" s="141">
        <v>77.716999999999999</v>
      </c>
      <c r="K83" s="142">
        <v>102</v>
      </c>
      <c r="L83" s="142">
        <v>122.09</v>
      </c>
      <c r="M83" s="142">
        <v>27</v>
      </c>
      <c r="N83" s="142">
        <v>29.408000000000001</v>
      </c>
      <c r="O83" s="142">
        <v>74</v>
      </c>
      <c r="P83" s="142">
        <v>78.86</v>
      </c>
      <c r="Q83" s="142">
        <v>186</v>
      </c>
      <c r="R83" s="143">
        <v>231.56</v>
      </c>
      <c r="S83" s="140">
        <v>22</v>
      </c>
      <c r="T83" s="140">
        <v>10.7</v>
      </c>
      <c r="U83" s="140">
        <v>4</v>
      </c>
      <c r="V83" s="140">
        <v>0.42</v>
      </c>
      <c r="W83" s="142">
        <v>3</v>
      </c>
      <c r="X83" s="142">
        <v>2.8</v>
      </c>
      <c r="Y83" s="142">
        <v>13</v>
      </c>
      <c r="Z83" s="142">
        <v>7.92</v>
      </c>
      <c r="AA83" s="142">
        <v>29</v>
      </c>
      <c r="AB83" s="142">
        <v>2.69</v>
      </c>
      <c r="AC83" s="142">
        <v>14</v>
      </c>
      <c r="AD83" s="142">
        <v>6.86</v>
      </c>
      <c r="AE83" s="145" t="s">
        <v>311</v>
      </c>
      <c r="AF83" s="145" t="s">
        <v>311</v>
      </c>
      <c r="AG83" s="142">
        <v>3</v>
      </c>
      <c r="AH83" s="142">
        <v>1.2</v>
      </c>
      <c r="AI83" s="142">
        <v>33</v>
      </c>
      <c r="AJ83" s="142">
        <v>28.184999999999999</v>
      </c>
      <c r="AK83" s="142">
        <v>50</v>
      </c>
      <c r="AL83" s="142">
        <v>142.49</v>
      </c>
      <c r="AM83" s="142">
        <v>2</v>
      </c>
      <c r="AN83" s="142">
        <v>7.5</v>
      </c>
      <c r="AO83" s="143">
        <v>52</v>
      </c>
      <c r="AP83" s="140">
        <v>50.13</v>
      </c>
      <c r="AQ83" s="144" t="s">
        <v>311</v>
      </c>
      <c r="AR83" s="144" t="s">
        <v>311</v>
      </c>
      <c r="AS83" s="142">
        <v>2</v>
      </c>
      <c r="AT83" s="142">
        <v>0.18</v>
      </c>
      <c r="AU83" s="145" t="s">
        <v>311</v>
      </c>
      <c r="AV83" s="145" t="s">
        <v>311</v>
      </c>
      <c r="AW83" s="145" t="s">
        <v>311</v>
      </c>
      <c r="AX83" s="145" t="s">
        <v>311</v>
      </c>
      <c r="AY83" s="148" t="s">
        <v>79</v>
      </c>
      <c r="AZ83" s="149"/>
      <c r="BA83" s="149"/>
      <c r="BB83" s="131"/>
    </row>
    <row r="84" spans="1:54">
      <c r="A84" s="139" t="s">
        <v>161</v>
      </c>
      <c r="B84" s="120">
        <f t="shared" si="32"/>
        <v>2059</v>
      </c>
      <c r="C84" s="144" t="s">
        <v>311</v>
      </c>
      <c r="D84" s="144" t="s">
        <v>311</v>
      </c>
      <c r="E84" s="140">
        <v>635</v>
      </c>
      <c r="F84" s="140">
        <v>403.22</v>
      </c>
      <c r="G84" s="140">
        <v>51</v>
      </c>
      <c r="H84" s="140">
        <v>89.05</v>
      </c>
      <c r="I84" s="140">
        <v>196</v>
      </c>
      <c r="J84" s="141">
        <v>71.061999999999998</v>
      </c>
      <c r="K84" s="142">
        <v>148</v>
      </c>
      <c r="L84" s="142">
        <v>89.37</v>
      </c>
      <c r="M84" s="142">
        <v>111</v>
      </c>
      <c r="N84" s="142">
        <v>68.290000000000006</v>
      </c>
      <c r="O84" s="142">
        <v>116</v>
      </c>
      <c r="P84" s="142">
        <v>74.900999999999996</v>
      </c>
      <c r="Q84" s="142">
        <v>190</v>
      </c>
      <c r="R84" s="143">
        <v>71.915999999999997</v>
      </c>
      <c r="S84" s="140">
        <v>57</v>
      </c>
      <c r="T84" s="140">
        <v>13.804</v>
      </c>
      <c r="U84" s="140">
        <v>3</v>
      </c>
      <c r="V84" s="140">
        <v>0.7</v>
      </c>
      <c r="W84" s="142">
        <v>15</v>
      </c>
      <c r="X84" s="142">
        <v>4.6550000000000002</v>
      </c>
      <c r="Y84" s="142">
        <v>37</v>
      </c>
      <c r="Z84" s="142">
        <v>14.55</v>
      </c>
      <c r="AA84" s="142">
        <v>29</v>
      </c>
      <c r="AB84" s="142">
        <v>8.86</v>
      </c>
      <c r="AC84" s="142">
        <v>53</v>
      </c>
      <c r="AD84" s="142">
        <v>16.34</v>
      </c>
      <c r="AE84" s="142">
        <v>9</v>
      </c>
      <c r="AF84" s="142">
        <v>6.06</v>
      </c>
      <c r="AG84" s="142">
        <v>99</v>
      </c>
      <c r="AH84" s="142">
        <v>76.5</v>
      </c>
      <c r="AI84" s="142">
        <v>78</v>
      </c>
      <c r="AJ84" s="142">
        <v>30.76</v>
      </c>
      <c r="AK84" s="142">
        <v>67</v>
      </c>
      <c r="AL84" s="142">
        <v>53.53</v>
      </c>
      <c r="AM84" s="142">
        <v>25</v>
      </c>
      <c r="AN84" s="142">
        <v>33.700000000000003</v>
      </c>
      <c r="AO84" s="143">
        <v>127</v>
      </c>
      <c r="AP84" s="140">
        <v>75.144000000000005</v>
      </c>
      <c r="AQ84" s="140">
        <v>11</v>
      </c>
      <c r="AR84" s="140">
        <v>10.46</v>
      </c>
      <c r="AS84" s="145" t="s">
        <v>311</v>
      </c>
      <c r="AT84" s="145" t="s">
        <v>311</v>
      </c>
      <c r="AU84" s="145" t="s">
        <v>311</v>
      </c>
      <c r="AV84" s="145" t="s">
        <v>311</v>
      </c>
      <c r="AW84" s="142">
        <v>2</v>
      </c>
      <c r="AX84" s="142">
        <v>0.61</v>
      </c>
      <c r="AY84" s="148" t="s">
        <v>80</v>
      </c>
      <c r="AZ84" s="149"/>
      <c r="BA84" s="149"/>
      <c r="BB84" s="131"/>
    </row>
    <row r="85" spans="1:54">
      <c r="A85" s="139" t="s">
        <v>162</v>
      </c>
      <c r="B85" s="120">
        <f t="shared" si="32"/>
        <v>2638</v>
      </c>
      <c r="C85" s="144" t="s">
        <v>311</v>
      </c>
      <c r="D85" s="144" t="s">
        <v>311</v>
      </c>
      <c r="E85" s="140">
        <v>938</v>
      </c>
      <c r="F85" s="140">
        <v>932.18399999999997</v>
      </c>
      <c r="G85" s="140">
        <v>190</v>
      </c>
      <c r="H85" s="140">
        <v>679.28</v>
      </c>
      <c r="I85" s="140">
        <v>158</v>
      </c>
      <c r="J85" s="141">
        <v>74.787000000000006</v>
      </c>
      <c r="K85" s="142">
        <v>132</v>
      </c>
      <c r="L85" s="142">
        <v>130.14500000000001</v>
      </c>
      <c r="M85" s="142">
        <v>99</v>
      </c>
      <c r="N85" s="142">
        <v>101.82</v>
      </c>
      <c r="O85" s="142">
        <v>138</v>
      </c>
      <c r="P85" s="142">
        <v>108.185</v>
      </c>
      <c r="Q85" s="142">
        <v>289</v>
      </c>
      <c r="R85" s="143">
        <v>269.84500000000003</v>
      </c>
      <c r="S85" s="140">
        <v>33</v>
      </c>
      <c r="T85" s="140">
        <v>12.872999999999999</v>
      </c>
      <c r="U85" s="140">
        <v>45</v>
      </c>
      <c r="V85" s="140">
        <v>24.34</v>
      </c>
      <c r="W85" s="142">
        <v>58</v>
      </c>
      <c r="X85" s="142">
        <v>21.85</v>
      </c>
      <c r="Y85" s="142">
        <v>37</v>
      </c>
      <c r="Z85" s="142">
        <v>15.6</v>
      </c>
      <c r="AA85" s="142">
        <v>11</v>
      </c>
      <c r="AB85" s="142">
        <v>3.12</v>
      </c>
      <c r="AC85" s="142">
        <v>58</v>
      </c>
      <c r="AD85" s="142">
        <v>22.95</v>
      </c>
      <c r="AE85" s="142">
        <v>13</v>
      </c>
      <c r="AF85" s="142">
        <v>2.38</v>
      </c>
      <c r="AG85" s="142">
        <v>10</v>
      </c>
      <c r="AH85" s="142">
        <v>3.03</v>
      </c>
      <c r="AI85" s="142">
        <v>131</v>
      </c>
      <c r="AJ85" s="142">
        <v>72.87</v>
      </c>
      <c r="AK85" s="142">
        <v>110</v>
      </c>
      <c r="AL85" s="142">
        <v>94.35</v>
      </c>
      <c r="AM85" s="142">
        <v>31</v>
      </c>
      <c r="AN85" s="142">
        <v>86.98</v>
      </c>
      <c r="AO85" s="143">
        <v>131</v>
      </c>
      <c r="AP85" s="140">
        <v>104.34399999999999</v>
      </c>
      <c r="AQ85" s="140">
        <v>14</v>
      </c>
      <c r="AR85" s="140">
        <v>55</v>
      </c>
      <c r="AS85" s="145" t="s">
        <v>311</v>
      </c>
      <c r="AT85" s="145" t="s">
        <v>311</v>
      </c>
      <c r="AU85" s="142">
        <v>2</v>
      </c>
      <c r="AV85" s="142">
        <v>0.85</v>
      </c>
      <c r="AW85" s="142">
        <v>10</v>
      </c>
      <c r="AX85" s="142">
        <v>1.78</v>
      </c>
      <c r="AY85" s="148" t="s">
        <v>81</v>
      </c>
      <c r="AZ85" s="149"/>
      <c r="BA85" s="149"/>
      <c r="BB85" s="131"/>
    </row>
    <row r="86" spans="1:54">
      <c r="A86" s="139" t="s">
        <v>163</v>
      </c>
      <c r="B86" s="120">
        <f t="shared" si="32"/>
        <v>3988</v>
      </c>
      <c r="C86" s="144" t="s">
        <v>311</v>
      </c>
      <c r="D86" s="144" t="s">
        <v>311</v>
      </c>
      <c r="E86" s="140">
        <v>1145</v>
      </c>
      <c r="F86" s="140">
        <v>933.75</v>
      </c>
      <c r="G86" s="140">
        <v>51</v>
      </c>
      <c r="H86" s="140">
        <v>270</v>
      </c>
      <c r="I86" s="140">
        <v>226</v>
      </c>
      <c r="J86" s="141">
        <v>112.08</v>
      </c>
      <c r="K86" s="142">
        <v>245</v>
      </c>
      <c r="L86" s="142">
        <v>268.42</v>
      </c>
      <c r="M86" s="142">
        <v>214</v>
      </c>
      <c r="N86" s="142">
        <v>253.15</v>
      </c>
      <c r="O86" s="142">
        <v>201</v>
      </c>
      <c r="P86" s="142">
        <v>232.22</v>
      </c>
      <c r="Q86" s="142">
        <v>680</v>
      </c>
      <c r="R86" s="143">
        <v>509.58499999999998</v>
      </c>
      <c r="S86" s="140">
        <v>80</v>
      </c>
      <c r="T86" s="140">
        <v>25.03</v>
      </c>
      <c r="U86" s="140">
        <v>254</v>
      </c>
      <c r="V86" s="140">
        <v>159.57</v>
      </c>
      <c r="W86" s="142">
        <v>119</v>
      </c>
      <c r="X86" s="142">
        <v>90</v>
      </c>
      <c r="Y86" s="142">
        <v>104</v>
      </c>
      <c r="Z86" s="142">
        <v>92.775000000000006</v>
      </c>
      <c r="AA86" s="142">
        <v>44</v>
      </c>
      <c r="AB86" s="142">
        <v>5.75</v>
      </c>
      <c r="AC86" s="142">
        <v>48</v>
      </c>
      <c r="AD86" s="142">
        <v>19.989999999999998</v>
      </c>
      <c r="AE86" s="142">
        <v>26</v>
      </c>
      <c r="AF86" s="142">
        <v>8.75</v>
      </c>
      <c r="AG86" s="145">
        <v>2</v>
      </c>
      <c r="AH86" s="145">
        <v>2</v>
      </c>
      <c r="AI86" s="142">
        <v>153</v>
      </c>
      <c r="AJ86" s="142">
        <v>96.85</v>
      </c>
      <c r="AK86" s="142">
        <v>118</v>
      </c>
      <c r="AL86" s="142">
        <v>125.21</v>
      </c>
      <c r="AM86" s="142">
        <v>12</v>
      </c>
      <c r="AN86" s="142">
        <v>60.5</v>
      </c>
      <c r="AO86" s="143">
        <v>222</v>
      </c>
      <c r="AP86" s="140">
        <v>219.39</v>
      </c>
      <c r="AQ86" s="140">
        <v>16</v>
      </c>
      <c r="AR86" s="140">
        <v>63</v>
      </c>
      <c r="AS86" s="145" t="s">
        <v>311</v>
      </c>
      <c r="AT86" s="145" t="s">
        <v>311</v>
      </c>
      <c r="AU86" s="142">
        <v>2</v>
      </c>
      <c r="AV86" s="142">
        <v>1.2</v>
      </c>
      <c r="AW86" s="142">
        <v>26</v>
      </c>
      <c r="AX86" s="142">
        <v>3.9</v>
      </c>
      <c r="AY86" s="148" t="s">
        <v>82</v>
      </c>
      <c r="AZ86" s="149"/>
      <c r="BA86" s="149"/>
      <c r="BB86" s="131"/>
    </row>
    <row r="87" spans="1:54">
      <c r="A87" s="210" t="s">
        <v>83</v>
      </c>
      <c r="B87" s="211">
        <f t="shared" si="32"/>
        <v>20905</v>
      </c>
      <c r="C87" s="200">
        <f>SUM(C89:C101)</f>
        <v>643</v>
      </c>
      <c r="D87" s="200">
        <f t="shared" ref="D87:N87" si="33">SUM(D89:D101)</f>
        <v>386.25</v>
      </c>
      <c r="E87" s="200">
        <f t="shared" si="33"/>
        <v>5678</v>
      </c>
      <c r="F87" s="200">
        <f t="shared" si="33"/>
        <v>11721.029</v>
      </c>
      <c r="G87" s="200">
        <f t="shared" si="33"/>
        <v>966</v>
      </c>
      <c r="H87" s="200">
        <f t="shared" si="33"/>
        <v>6224.1260000000002</v>
      </c>
      <c r="I87" s="200">
        <f t="shared" si="33"/>
        <v>1451</v>
      </c>
      <c r="J87" s="200">
        <f t="shared" si="33"/>
        <v>1008.8150000000002</v>
      </c>
      <c r="K87" s="200">
        <f t="shared" si="33"/>
        <v>1361</v>
      </c>
      <c r="L87" s="200">
        <f t="shared" si="33"/>
        <v>1677.3779999999999</v>
      </c>
      <c r="M87" s="200">
        <f t="shared" si="33"/>
        <v>923</v>
      </c>
      <c r="N87" s="207">
        <f t="shared" si="33"/>
        <v>934.89100000000008</v>
      </c>
      <c r="O87" s="208">
        <f>SUM(O89:O101)</f>
        <v>1478</v>
      </c>
      <c r="P87" s="209">
        <f>SUM(P89:P101)</f>
        <v>2702.0800000000004</v>
      </c>
      <c r="Q87" s="209">
        <f>SUM(Q89:Q101)</f>
        <v>2705</v>
      </c>
      <c r="R87" s="208">
        <f>SUM(R89:R101)</f>
        <v>2912.8529999999996</v>
      </c>
      <c r="S87" s="208">
        <f t="shared" ref="S87:AX87" si="34">SUM(S89:S101)</f>
        <v>359</v>
      </c>
      <c r="T87" s="208">
        <f t="shared" si="34"/>
        <v>224.46</v>
      </c>
      <c r="U87" s="208">
        <f t="shared" si="34"/>
        <v>687</v>
      </c>
      <c r="V87" s="208">
        <f t="shared" si="34"/>
        <v>400.68200000000002</v>
      </c>
      <c r="W87" s="208">
        <f t="shared" si="34"/>
        <v>293</v>
      </c>
      <c r="X87" s="208">
        <f t="shared" si="34"/>
        <v>215.84</v>
      </c>
      <c r="Y87" s="208">
        <f t="shared" si="34"/>
        <v>385</v>
      </c>
      <c r="Z87" s="208">
        <f t="shared" si="34"/>
        <v>297.392</v>
      </c>
      <c r="AA87" s="208">
        <f t="shared" si="34"/>
        <v>134</v>
      </c>
      <c r="AB87" s="209">
        <f t="shared" si="34"/>
        <v>51.669999999999995</v>
      </c>
      <c r="AC87" s="208">
        <f t="shared" si="34"/>
        <v>256</v>
      </c>
      <c r="AD87" s="208">
        <f t="shared" si="34"/>
        <v>134.08500000000001</v>
      </c>
      <c r="AE87" s="208">
        <f t="shared" si="34"/>
        <v>17</v>
      </c>
      <c r="AF87" s="208">
        <f t="shared" si="34"/>
        <v>11.280000000000001</v>
      </c>
      <c r="AG87" s="208">
        <f t="shared" si="34"/>
        <v>184</v>
      </c>
      <c r="AH87" s="208">
        <f t="shared" si="34"/>
        <v>218.17</v>
      </c>
      <c r="AI87" s="208">
        <f t="shared" si="34"/>
        <v>1062</v>
      </c>
      <c r="AJ87" s="208">
        <f t="shared" si="34"/>
        <v>883.02600000000007</v>
      </c>
      <c r="AK87" s="208">
        <f t="shared" si="34"/>
        <v>595</v>
      </c>
      <c r="AL87" s="208">
        <f t="shared" si="34"/>
        <v>698.89199999999994</v>
      </c>
      <c r="AM87" s="208">
        <f t="shared" si="34"/>
        <v>351</v>
      </c>
      <c r="AN87" s="208">
        <f t="shared" si="34"/>
        <v>2178.5340000000001</v>
      </c>
      <c r="AO87" s="208">
        <f t="shared" si="34"/>
        <v>927</v>
      </c>
      <c r="AP87" s="208">
        <f t="shared" si="34"/>
        <v>1053.5669999999998</v>
      </c>
      <c r="AQ87" s="208">
        <f t="shared" si="34"/>
        <v>143</v>
      </c>
      <c r="AR87" s="208">
        <f t="shared" si="34"/>
        <v>443.65</v>
      </c>
      <c r="AS87" s="208">
        <f t="shared" si="34"/>
        <v>5</v>
      </c>
      <c r="AT87" s="208">
        <f t="shared" si="34"/>
        <v>0.6</v>
      </c>
      <c r="AU87" s="208">
        <f t="shared" si="34"/>
        <v>150</v>
      </c>
      <c r="AV87" s="208">
        <f t="shared" si="34"/>
        <v>336.1</v>
      </c>
      <c r="AW87" s="208">
        <f t="shared" si="34"/>
        <v>152</v>
      </c>
      <c r="AX87" s="208">
        <f t="shared" si="34"/>
        <v>68.700999999999993</v>
      </c>
      <c r="AY87" s="205" t="s">
        <v>84</v>
      </c>
      <c r="AZ87" s="180"/>
      <c r="BA87" s="180"/>
      <c r="BB87" s="131"/>
    </row>
    <row r="88" spans="1:54">
      <c r="A88" s="210"/>
      <c r="B88" s="212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7"/>
      <c r="O88" s="208"/>
      <c r="P88" s="209"/>
      <c r="Q88" s="209"/>
      <c r="R88" s="208"/>
      <c r="S88" s="208"/>
      <c r="T88" s="208"/>
      <c r="U88" s="208"/>
      <c r="V88" s="208"/>
      <c r="W88" s="208"/>
      <c r="X88" s="208"/>
      <c r="Y88" s="208"/>
      <c r="Z88" s="208"/>
      <c r="AA88" s="208"/>
      <c r="AB88" s="209"/>
      <c r="AC88" s="208"/>
      <c r="AD88" s="208"/>
      <c r="AE88" s="208"/>
      <c r="AF88" s="208"/>
      <c r="AG88" s="208"/>
      <c r="AH88" s="208"/>
      <c r="AI88" s="208"/>
      <c r="AJ88" s="208"/>
      <c r="AK88" s="208"/>
      <c r="AL88" s="208"/>
      <c r="AM88" s="208"/>
      <c r="AN88" s="208"/>
      <c r="AO88" s="208"/>
      <c r="AP88" s="208"/>
      <c r="AQ88" s="208"/>
      <c r="AR88" s="208"/>
      <c r="AS88" s="208"/>
      <c r="AT88" s="208"/>
      <c r="AU88" s="208"/>
      <c r="AV88" s="208"/>
      <c r="AW88" s="208"/>
      <c r="AX88" s="208"/>
      <c r="AY88" s="205"/>
      <c r="AZ88" s="180"/>
      <c r="BA88" s="180"/>
      <c r="BB88" s="131"/>
    </row>
    <row r="89" spans="1:54">
      <c r="A89" s="139" t="s">
        <v>164</v>
      </c>
      <c r="B89" s="120">
        <f t="shared" ref="B89:B101" si="35">SUM(C89,E89,G89,I89,K89,M89,O89,Q89,S89,U89,W89,Y89,AA89,AC89,AE89,AG89,AI89,AK89,AM89,AO89,AQ89,AS89,AU89,AW89)</f>
        <v>1189</v>
      </c>
      <c r="C89" s="144" t="s">
        <v>311</v>
      </c>
      <c r="D89" s="144" t="s">
        <v>311</v>
      </c>
      <c r="E89" s="140">
        <v>140</v>
      </c>
      <c r="F89" s="140">
        <v>593</v>
      </c>
      <c r="G89" s="140">
        <v>249</v>
      </c>
      <c r="H89" s="140">
        <v>957</v>
      </c>
      <c r="I89" s="140">
        <v>39</v>
      </c>
      <c r="J89" s="141">
        <v>38.5</v>
      </c>
      <c r="K89" s="142">
        <v>84</v>
      </c>
      <c r="L89" s="142">
        <v>95</v>
      </c>
      <c r="M89" s="142">
        <v>50</v>
      </c>
      <c r="N89" s="142">
        <v>48.7</v>
      </c>
      <c r="O89" s="142">
        <v>279</v>
      </c>
      <c r="P89" s="142">
        <v>1226</v>
      </c>
      <c r="Q89" s="142">
        <v>42</v>
      </c>
      <c r="R89" s="143">
        <v>28.5</v>
      </c>
      <c r="S89" s="140">
        <v>13</v>
      </c>
      <c r="T89" s="140">
        <v>7.45</v>
      </c>
      <c r="U89" s="140">
        <v>68</v>
      </c>
      <c r="V89" s="140">
        <v>66</v>
      </c>
      <c r="W89" s="142">
        <v>19</v>
      </c>
      <c r="X89" s="142">
        <v>14.65</v>
      </c>
      <c r="Y89" s="142">
        <v>13</v>
      </c>
      <c r="Z89" s="142">
        <v>6.7</v>
      </c>
      <c r="AA89" s="142">
        <v>1</v>
      </c>
      <c r="AB89" s="142">
        <v>0.5</v>
      </c>
      <c r="AC89" s="142">
        <v>14</v>
      </c>
      <c r="AD89" s="142">
        <v>9.1</v>
      </c>
      <c r="AE89" s="145" t="s">
        <v>311</v>
      </c>
      <c r="AF89" s="145" t="s">
        <v>311</v>
      </c>
      <c r="AG89" s="145" t="s">
        <v>311</v>
      </c>
      <c r="AH89" s="145" t="s">
        <v>311</v>
      </c>
      <c r="AI89" s="142">
        <v>105</v>
      </c>
      <c r="AJ89" s="142">
        <v>93.5</v>
      </c>
      <c r="AK89" s="142">
        <v>1</v>
      </c>
      <c r="AL89" s="142">
        <v>0.2</v>
      </c>
      <c r="AM89" s="142">
        <v>32</v>
      </c>
      <c r="AN89" s="142">
        <v>85</v>
      </c>
      <c r="AO89" s="143">
        <v>34</v>
      </c>
      <c r="AP89" s="140">
        <v>78.599999999999994</v>
      </c>
      <c r="AQ89" s="140">
        <v>5</v>
      </c>
      <c r="AR89" s="140">
        <v>12.5</v>
      </c>
      <c r="AS89" s="145" t="s">
        <v>311</v>
      </c>
      <c r="AT89" s="145" t="s">
        <v>311</v>
      </c>
      <c r="AU89" s="145" t="s">
        <v>311</v>
      </c>
      <c r="AV89" s="145" t="s">
        <v>311</v>
      </c>
      <c r="AW89" s="142">
        <v>1</v>
      </c>
      <c r="AX89" s="142">
        <v>0.5</v>
      </c>
      <c r="AY89" s="148" t="s">
        <v>85</v>
      </c>
      <c r="AZ89" s="149"/>
      <c r="BA89" s="149"/>
      <c r="BB89" s="131"/>
    </row>
    <row r="90" spans="1:54">
      <c r="A90" s="139" t="s">
        <v>165</v>
      </c>
      <c r="B90" s="120">
        <f t="shared" si="35"/>
        <v>2086</v>
      </c>
      <c r="C90" s="144" t="s">
        <v>311</v>
      </c>
      <c r="D90" s="144" t="s">
        <v>311</v>
      </c>
      <c r="E90" s="140">
        <v>605</v>
      </c>
      <c r="F90" s="140">
        <v>1017.74</v>
      </c>
      <c r="G90" s="140">
        <v>20</v>
      </c>
      <c r="H90" s="140">
        <v>140</v>
      </c>
      <c r="I90" s="140">
        <v>252</v>
      </c>
      <c r="J90" s="141">
        <v>199.35</v>
      </c>
      <c r="K90" s="142">
        <v>89</v>
      </c>
      <c r="L90" s="142">
        <v>81.599999999999994</v>
      </c>
      <c r="M90" s="142">
        <v>85</v>
      </c>
      <c r="N90" s="142">
        <v>75.25</v>
      </c>
      <c r="O90" s="142">
        <v>129</v>
      </c>
      <c r="P90" s="142">
        <v>137.5</v>
      </c>
      <c r="Q90" s="142">
        <v>351</v>
      </c>
      <c r="R90" s="143">
        <v>610.67999999999995</v>
      </c>
      <c r="S90" s="140">
        <v>62</v>
      </c>
      <c r="T90" s="140">
        <v>57.4</v>
      </c>
      <c r="U90" s="140">
        <v>89</v>
      </c>
      <c r="V90" s="140">
        <v>81.5</v>
      </c>
      <c r="W90" s="142">
        <v>36</v>
      </c>
      <c r="X90" s="142">
        <v>34.1</v>
      </c>
      <c r="Y90" s="142">
        <v>15</v>
      </c>
      <c r="Z90" s="142">
        <v>12.3</v>
      </c>
      <c r="AA90" s="142">
        <v>12</v>
      </c>
      <c r="AB90" s="142">
        <v>6.9</v>
      </c>
      <c r="AC90" s="142">
        <v>21</v>
      </c>
      <c r="AD90" s="142">
        <v>10.5</v>
      </c>
      <c r="AE90" s="142">
        <v>2</v>
      </c>
      <c r="AF90" s="142">
        <v>1</v>
      </c>
      <c r="AG90" s="142">
        <v>36</v>
      </c>
      <c r="AH90" s="142">
        <v>31.8</v>
      </c>
      <c r="AI90" s="142">
        <v>93</v>
      </c>
      <c r="AJ90" s="142">
        <v>88.53</v>
      </c>
      <c r="AK90" s="142">
        <v>101</v>
      </c>
      <c r="AL90" s="142">
        <v>97.9</v>
      </c>
      <c r="AM90" s="145" t="s">
        <v>311</v>
      </c>
      <c r="AN90" s="145" t="s">
        <v>311</v>
      </c>
      <c r="AO90" s="143">
        <v>85</v>
      </c>
      <c r="AP90" s="140">
        <v>103.1</v>
      </c>
      <c r="AQ90" s="140">
        <v>1</v>
      </c>
      <c r="AR90" s="140">
        <v>0.5</v>
      </c>
      <c r="AS90" s="145" t="s">
        <v>311</v>
      </c>
      <c r="AT90" s="145" t="s">
        <v>311</v>
      </c>
      <c r="AU90" s="145" t="s">
        <v>311</v>
      </c>
      <c r="AV90" s="145" t="s">
        <v>311</v>
      </c>
      <c r="AW90" s="142">
        <v>2</v>
      </c>
      <c r="AX90" s="142">
        <v>2</v>
      </c>
      <c r="AY90" s="148" t="s">
        <v>86</v>
      </c>
      <c r="AZ90" s="149"/>
      <c r="BA90" s="149"/>
      <c r="BB90" s="131"/>
    </row>
    <row r="91" spans="1:54">
      <c r="A91" s="139" t="s">
        <v>166</v>
      </c>
      <c r="B91" s="120">
        <f t="shared" si="35"/>
        <v>1237</v>
      </c>
      <c r="C91" s="140">
        <v>483</v>
      </c>
      <c r="D91" s="140">
        <v>218.5</v>
      </c>
      <c r="E91" s="140">
        <v>132</v>
      </c>
      <c r="F91" s="140">
        <v>133.9</v>
      </c>
      <c r="G91" s="140">
        <v>13</v>
      </c>
      <c r="H91" s="140">
        <v>40</v>
      </c>
      <c r="I91" s="140">
        <v>18</v>
      </c>
      <c r="J91" s="141">
        <v>14.8</v>
      </c>
      <c r="K91" s="142">
        <v>53</v>
      </c>
      <c r="L91" s="142">
        <v>16</v>
      </c>
      <c r="M91" s="142">
        <v>40</v>
      </c>
      <c r="N91" s="142">
        <v>14.65</v>
      </c>
      <c r="O91" s="142">
        <v>100</v>
      </c>
      <c r="P91" s="142">
        <v>98.1</v>
      </c>
      <c r="Q91" s="142">
        <v>129</v>
      </c>
      <c r="R91" s="143">
        <v>82.2</v>
      </c>
      <c r="S91" s="140">
        <v>6</v>
      </c>
      <c r="T91" s="140">
        <v>1.9</v>
      </c>
      <c r="U91" s="140">
        <v>10</v>
      </c>
      <c r="V91" s="140">
        <v>0.9</v>
      </c>
      <c r="W91" s="142">
        <v>3</v>
      </c>
      <c r="X91" s="142">
        <v>0.2</v>
      </c>
      <c r="Y91" s="142">
        <v>7</v>
      </c>
      <c r="Z91" s="142">
        <v>5.9</v>
      </c>
      <c r="AA91" s="142">
        <v>47</v>
      </c>
      <c r="AB91" s="142">
        <v>4.5</v>
      </c>
      <c r="AC91" s="142">
        <v>1</v>
      </c>
      <c r="AD91" s="142">
        <v>0.3</v>
      </c>
      <c r="AE91" s="145" t="s">
        <v>311</v>
      </c>
      <c r="AF91" s="145" t="s">
        <v>311</v>
      </c>
      <c r="AG91" s="145" t="s">
        <v>311</v>
      </c>
      <c r="AH91" s="145" t="s">
        <v>311</v>
      </c>
      <c r="AI91" s="142">
        <v>19</v>
      </c>
      <c r="AJ91" s="142">
        <v>15.6</v>
      </c>
      <c r="AK91" s="142">
        <v>11</v>
      </c>
      <c r="AL91" s="142">
        <v>8.0500000000000007</v>
      </c>
      <c r="AM91" s="145" t="s">
        <v>311</v>
      </c>
      <c r="AN91" s="145" t="s">
        <v>311</v>
      </c>
      <c r="AO91" s="143">
        <v>165</v>
      </c>
      <c r="AP91" s="140">
        <v>81.95</v>
      </c>
      <c r="AQ91" s="144" t="s">
        <v>311</v>
      </c>
      <c r="AR91" s="144" t="s">
        <v>311</v>
      </c>
      <c r="AS91" s="145" t="s">
        <v>311</v>
      </c>
      <c r="AT91" s="145" t="s">
        <v>311</v>
      </c>
      <c r="AU91" s="145" t="s">
        <v>311</v>
      </c>
      <c r="AV91" s="145" t="s">
        <v>311</v>
      </c>
      <c r="AW91" s="145" t="s">
        <v>311</v>
      </c>
      <c r="AX91" s="145" t="s">
        <v>311</v>
      </c>
      <c r="AY91" s="148" t="s">
        <v>87</v>
      </c>
      <c r="AZ91" s="149"/>
      <c r="BA91" s="149"/>
      <c r="BB91" s="131"/>
    </row>
    <row r="92" spans="1:54">
      <c r="A92" s="139" t="s">
        <v>167</v>
      </c>
      <c r="B92" s="120">
        <f t="shared" si="35"/>
        <v>580</v>
      </c>
      <c r="C92" s="144" t="s">
        <v>311</v>
      </c>
      <c r="D92" s="144" t="s">
        <v>311</v>
      </c>
      <c r="E92" s="140">
        <v>115</v>
      </c>
      <c r="F92" s="140">
        <v>192.6</v>
      </c>
      <c r="G92" s="140">
        <v>41</v>
      </c>
      <c r="H92" s="140">
        <v>150</v>
      </c>
      <c r="I92" s="140">
        <v>25</v>
      </c>
      <c r="J92" s="141">
        <v>9.5</v>
      </c>
      <c r="K92" s="142">
        <v>66</v>
      </c>
      <c r="L92" s="142">
        <v>70</v>
      </c>
      <c r="M92" s="142">
        <v>35</v>
      </c>
      <c r="N92" s="142">
        <v>33</v>
      </c>
      <c r="O92" s="142">
        <v>39</v>
      </c>
      <c r="P92" s="142">
        <v>41.9</v>
      </c>
      <c r="Q92" s="142">
        <v>52</v>
      </c>
      <c r="R92" s="143">
        <v>43.7</v>
      </c>
      <c r="S92" s="140">
        <v>10</v>
      </c>
      <c r="T92" s="140">
        <v>1.8</v>
      </c>
      <c r="U92" s="140">
        <v>5</v>
      </c>
      <c r="V92" s="140">
        <v>4</v>
      </c>
      <c r="W92" s="142">
        <v>22</v>
      </c>
      <c r="X92" s="142">
        <v>18</v>
      </c>
      <c r="Y92" s="142">
        <v>16</v>
      </c>
      <c r="Z92" s="142">
        <v>8</v>
      </c>
      <c r="AA92" s="142">
        <v>18</v>
      </c>
      <c r="AB92" s="142">
        <v>5.4</v>
      </c>
      <c r="AC92" s="142">
        <v>7</v>
      </c>
      <c r="AD92" s="142">
        <v>4.2</v>
      </c>
      <c r="AE92" s="142">
        <v>2</v>
      </c>
      <c r="AF92" s="142">
        <v>4</v>
      </c>
      <c r="AG92" s="142">
        <v>5</v>
      </c>
      <c r="AH92" s="142">
        <v>5</v>
      </c>
      <c r="AI92" s="142">
        <v>59</v>
      </c>
      <c r="AJ92" s="142">
        <v>43</v>
      </c>
      <c r="AK92" s="142">
        <v>18</v>
      </c>
      <c r="AL92" s="142">
        <v>16</v>
      </c>
      <c r="AM92" s="142">
        <v>12</v>
      </c>
      <c r="AN92" s="142">
        <v>16</v>
      </c>
      <c r="AO92" s="143">
        <v>16</v>
      </c>
      <c r="AP92" s="140">
        <v>22</v>
      </c>
      <c r="AQ92" s="140">
        <v>10</v>
      </c>
      <c r="AR92" s="140">
        <v>14</v>
      </c>
      <c r="AS92" s="142">
        <v>5</v>
      </c>
      <c r="AT92" s="142">
        <v>0.6</v>
      </c>
      <c r="AU92" s="145" t="s">
        <v>311</v>
      </c>
      <c r="AV92" s="145" t="s">
        <v>311</v>
      </c>
      <c r="AW92" s="142">
        <v>2</v>
      </c>
      <c r="AX92" s="142">
        <v>1</v>
      </c>
      <c r="AY92" s="148" t="s">
        <v>88</v>
      </c>
      <c r="AZ92" s="149"/>
      <c r="BA92" s="149"/>
      <c r="BB92" s="131"/>
    </row>
    <row r="93" spans="1:54">
      <c r="A93" s="139" t="s">
        <v>168</v>
      </c>
      <c r="B93" s="120">
        <f t="shared" si="35"/>
        <v>271</v>
      </c>
      <c r="C93" s="144" t="s">
        <v>311</v>
      </c>
      <c r="D93" s="144" t="s">
        <v>311</v>
      </c>
      <c r="E93" s="140">
        <v>39</v>
      </c>
      <c r="F93" s="140">
        <v>61.6</v>
      </c>
      <c r="G93" s="140">
        <v>3</v>
      </c>
      <c r="H93" s="140">
        <v>42.2</v>
      </c>
      <c r="I93" s="140">
        <v>15</v>
      </c>
      <c r="J93" s="141">
        <v>12.95</v>
      </c>
      <c r="K93" s="142">
        <v>26</v>
      </c>
      <c r="L93" s="142">
        <v>35.1</v>
      </c>
      <c r="M93" s="142">
        <v>14</v>
      </c>
      <c r="N93" s="142">
        <v>17.899999999999999</v>
      </c>
      <c r="O93" s="142">
        <v>23</v>
      </c>
      <c r="P93" s="142">
        <v>28.7</v>
      </c>
      <c r="Q93" s="142">
        <v>40</v>
      </c>
      <c r="R93" s="143">
        <v>33.799999999999997</v>
      </c>
      <c r="S93" s="140">
        <v>15</v>
      </c>
      <c r="T93" s="140">
        <v>8.75</v>
      </c>
      <c r="U93" s="140">
        <v>21</v>
      </c>
      <c r="V93" s="140">
        <v>17.600000000000001</v>
      </c>
      <c r="W93" s="142">
        <v>3</v>
      </c>
      <c r="X93" s="142">
        <v>0.75</v>
      </c>
      <c r="Y93" s="142">
        <v>19</v>
      </c>
      <c r="Z93" s="142">
        <v>14.7</v>
      </c>
      <c r="AA93" s="142">
        <v>1</v>
      </c>
      <c r="AB93" s="142">
        <v>0.7</v>
      </c>
      <c r="AC93" s="142">
        <v>3</v>
      </c>
      <c r="AD93" s="142">
        <v>1.8</v>
      </c>
      <c r="AE93" s="145" t="s">
        <v>311</v>
      </c>
      <c r="AF93" s="145" t="s">
        <v>311</v>
      </c>
      <c r="AG93" s="142">
        <v>1</v>
      </c>
      <c r="AH93" s="142">
        <v>2</v>
      </c>
      <c r="AI93" s="142">
        <v>17</v>
      </c>
      <c r="AJ93" s="142">
        <v>11.45</v>
      </c>
      <c r="AK93" s="142">
        <v>15</v>
      </c>
      <c r="AL93" s="142">
        <v>12.2</v>
      </c>
      <c r="AM93" s="142">
        <v>2</v>
      </c>
      <c r="AN93" s="142">
        <v>8.1999999999999993</v>
      </c>
      <c r="AO93" s="143">
        <v>12</v>
      </c>
      <c r="AP93" s="140">
        <v>19.649999999999999</v>
      </c>
      <c r="AQ93" s="140">
        <v>1</v>
      </c>
      <c r="AR93" s="140">
        <v>2</v>
      </c>
      <c r="AS93" s="145" t="s">
        <v>311</v>
      </c>
      <c r="AT93" s="145" t="s">
        <v>311</v>
      </c>
      <c r="AU93" s="145" t="s">
        <v>311</v>
      </c>
      <c r="AV93" s="145" t="s">
        <v>311</v>
      </c>
      <c r="AW93" s="142">
        <v>1</v>
      </c>
      <c r="AX93" s="142">
        <v>0.3</v>
      </c>
      <c r="AY93" s="148" t="s">
        <v>89</v>
      </c>
      <c r="AZ93" s="149"/>
      <c r="BA93" s="149"/>
      <c r="BB93" s="131"/>
    </row>
    <row r="94" spans="1:54">
      <c r="A94" s="139" t="s">
        <v>169</v>
      </c>
      <c r="B94" s="120">
        <f t="shared" si="35"/>
        <v>757</v>
      </c>
      <c r="C94" s="144" t="s">
        <v>311</v>
      </c>
      <c r="D94" s="144" t="s">
        <v>311</v>
      </c>
      <c r="E94" s="140">
        <v>428</v>
      </c>
      <c r="F94" s="140">
        <v>484.5</v>
      </c>
      <c r="G94" s="144" t="s">
        <v>311</v>
      </c>
      <c r="H94" s="144" t="s">
        <v>311</v>
      </c>
      <c r="I94" s="140">
        <v>37</v>
      </c>
      <c r="J94" s="141">
        <v>33</v>
      </c>
      <c r="K94" s="142">
        <v>48</v>
      </c>
      <c r="L94" s="142">
        <v>41</v>
      </c>
      <c r="M94" s="142">
        <v>24</v>
      </c>
      <c r="N94" s="142">
        <v>18.899999999999999</v>
      </c>
      <c r="O94" s="142">
        <v>44</v>
      </c>
      <c r="P94" s="142">
        <v>58</v>
      </c>
      <c r="Q94" s="142">
        <v>41</v>
      </c>
      <c r="R94" s="143">
        <v>67.5</v>
      </c>
      <c r="S94" s="140">
        <v>2</v>
      </c>
      <c r="T94" s="140">
        <v>1</v>
      </c>
      <c r="U94" s="144" t="s">
        <v>311</v>
      </c>
      <c r="V94" s="144" t="s">
        <v>311</v>
      </c>
      <c r="W94" s="145" t="s">
        <v>311</v>
      </c>
      <c r="X94" s="145" t="s">
        <v>311</v>
      </c>
      <c r="Y94" s="142">
        <v>4</v>
      </c>
      <c r="Z94" s="142">
        <v>2.8</v>
      </c>
      <c r="AA94" s="142">
        <v>2</v>
      </c>
      <c r="AB94" s="142">
        <v>0.8</v>
      </c>
      <c r="AC94" s="142">
        <v>35</v>
      </c>
      <c r="AD94" s="142">
        <v>22.2</v>
      </c>
      <c r="AE94" s="145" t="s">
        <v>311</v>
      </c>
      <c r="AF94" s="145" t="s">
        <v>311</v>
      </c>
      <c r="AG94" s="142">
        <v>18</v>
      </c>
      <c r="AH94" s="142">
        <v>30</v>
      </c>
      <c r="AI94" s="142">
        <v>1</v>
      </c>
      <c r="AJ94" s="142">
        <v>0.8</v>
      </c>
      <c r="AK94" s="142">
        <v>4</v>
      </c>
      <c r="AL94" s="142">
        <v>4</v>
      </c>
      <c r="AM94" s="145" t="s">
        <v>311</v>
      </c>
      <c r="AN94" s="145" t="s">
        <v>311</v>
      </c>
      <c r="AO94" s="143">
        <v>49</v>
      </c>
      <c r="AP94" s="140">
        <v>52.5</v>
      </c>
      <c r="AQ94" s="144" t="s">
        <v>311</v>
      </c>
      <c r="AR94" s="144" t="s">
        <v>311</v>
      </c>
      <c r="AS94" s="145" t="s">
        <v>311</v>
      </c>
      <c r="AT94" s="145" t="s">
        <v>311</v>
      </c>
      <c r="AU94" s="145" t="s">
        <v>311</v>
      </c>
      <c r="AV94" s="145" t="s">
        <v>311</v>
      </c>
      <c r="AW94" s="142">
        <v>20</v>
      </c>
      <c r="AX94" s="142">
        <v>3.8</v>
      </c>
      <c r="AY94" s="148" t="s">
        <v>90</v>
      </c>
      <c r="AZ94" s="149"/>
      <c r="BA94" s="149"/>
      <c r="BB94" s="131"/>
    </row>
    <row r="95" spans="1:54">
      <c r="A95" s="139" t="s">
        <v>170</v>
      </c>
      <c r="B95" s="120">
        <f t="shared" si="35"/>
        <v>2344</v>
      </c>
      <c r="C95" s="140">
        <v>150</v>
      </c>
      <c r="D95" s="140">
        <v>159.75</v>
      </c>
      <c r="E95" s="140">
        <v>822</v>
      </c>
      <c r="F95" s="140">
        <v>3631.5</v>
      </c>
      <c r="G95" s="140">
        <v>50</v>
      </c>
      <c r="H95" s="140">
        <v>355</v>
      </c>
      <c r="I95" s="140">
        <v>77</v>
      </c>
      <c r="J95" s="141">
        <v>53.35</v>
      </c>
      <c r="K95" s="142">
        <v>170</v>
      </c>
      <c r="L95" s="142">
        <v>343.75</v>
      </c>
      <c r="M95" s="142">
        <v>80</v>
      </c>
      <c r="N95" s="142">
        <v>143.35</v>
      </c>
      <c r="O95" s="142">
        <v>102</v>
      </c>
      <c r="P95" s="142">
        <v>97.1</v>
      </c>
      <c r="Q95" s="142">
        <v>278</v>
      </c>
      <c r="R95" s="143">
        <v>230.11</v>
      </c>
      <c r="S95" s="140">
        <v>70</v>
      </c>
      <c r="T95" s="140">
        <v>37</v>
      </c>
      <c r="U95" s="140">
        <v>38</v>
      </c>
      <c r="V95" s="140">
        <v>17.375</v>
      </c>
      <c r="W95" s="142">
        <v>45</v>
      </c>
      <c r="X95" s="142">
        <v>30</v>
      </c>
      <c r="Y95" s="142">
        <v>80</v>
      </c>
      <c r="Z95" s="142">
        <v>93.75</v>
      </c>
      <c r="AA95" s="145" t="s">
        <v>311</v>
      </c>
      <c r="AB95" s="145" t="s">
        <v>311</v>
      </c>
      <c r="AC95" s="145" t="s">
        <v>311</v>
      </c>
      <c r="AD95" s="145" t="s">
        <v>311</v>
      </c>
      <c r="AE95" s="145" t="s">
        <v>311</v>
      </c>
      <c r="AF95" s="145" t="s">
        <v>311</v>
      </c>
      <c r="AG95" s="142">
        <v>40</v>
      </c>
      <c r="AH95" s="142">
        <v>88</v>
      </c>
      <c r="AI95" s="142">
        <v>136</v>
      </c>
      <c r="AJ95" s="142">
        <v>135.02000000000001</v>
      </c>
      <c r="AK95" s="142">
        <v>112</v>
      </c>
      <c r="AL95" s="142">
        <v>174.5</v>
      </c>
      <c r="AM95" s="145" t="s">
        <v>311</v>
      </c>
      <c r="AN95" s="145" t="s">
        <v>311</v>
      </c>
      <c r="AO95" s="143">
        <v>81</v>
      </c>
      <c r="AP95" s="140">
        <v>79.5</v>
      </c>
      <c r="AQ95" s="140">
        <v>10</v>
      </c>
      <c r="AR95" s="140">
        <v>10</v>
      </c>
      <c r="AS95" s="145" t="s">
        <v>311</v>
      </c>
      <c r="AT95" s="145" t="s">
        <v>311</v>
      </c>
      <c r="AU95" s="145" t="s">
        <v>311</v>
      </c>
      <c r="AV95" s="145" t="s">
        <v>311</v>
      </c>
      <c r="AW95" s="142">
        <v>3</v>
      </c>
      <c r="AX95" s="142">
        <v>1.5</v>
      </c>
      <c r="AY95" s="148" t="s">
        <v>91</v>
      </c>
      <c r="AZ95" s="149"/>
      <c r="BA95" s="149"/>
      <c r="BB95" s="131"/>
    </row>
    <row r="96" spans="1:54">
      <c r="A96" s="139" t="s">
        <v>171</v>
      </c>
      <c r="B96" s="120">
        <f t="shared" si="35"/>
        <v>1065</v>
      </c>
      <c r="C96" s="144" t="s">
        <v>311</v>
      </c>
      <c r="D96" s="144" t="s">
        <v>311</v>
      </c>
      <c r="E96" s="140">
        <v>376</v>
      </c>
      <c r="F96" s="140">
        <v>636.9</v>
      </c>
      <c r="G96" s="140">
        <v>4</v>
      </c>
      <c r="H96" s="140">
        <v>24</v>
      </c>
      <c r="I96" s="140">
        <v>222</v>
      </c>
      <c r="J96" s="141">
        <v>65.430000000000007</v>
      </c>
      <c r="K96" s="142">
        <v>60</v>
      </c>
      <c r="L96" s="142">
        <v>144.05000000000001</v>
      </c>
      <c r="M96" s="142">
        <v>46</v>
      </c>
      <c r="N96" s="142">
        <v>59.55</v>
      </c>
      <c r="O96" s="142">
        <v>38</v>
      </c>
      <c r="P96" s="142">
        <v>64.900000000000006</v>
      </c>
      <c r="Q96" s="142">
        <v>219</v>
      </c>
      <c r="R96" s="143">
        <v>193.68</v>
      </c>
      <c r="S96" s="144" t="s">
        <v>311</v>
      </c>
      <c r="T96" s="144" t="s">
        <v>311</v>
      </c>
      <c r="U96" s="140">
        <v>3</v>
      </c>
      <c r="V96" s="140">
        <v>2</v>
      </c>
      <c r="W96" s="142">
        <v>11</v>
      </c>
      <c r="X96" s="142">
        <v>11</v>
      </c>
      <c r="Y96" s="142">
        <v>9</v>
      </c>
      <c r="Z96" s="142">
        <v>9</v>
      </c>
      <c r="AA96" s="145" t="s">
        <v>311</v>
      </c>
      <c r="AB96" s="145" t="s">
        <v>311</v>
      </c>
      <c r="AC96" s="142">
        <v>9</v>
      </c>
      <c r="AD96" s="142">
        <v>1.9</v>
      </c>
      <c r="AE96" s="145">
        <v>1</v>
      </c>
      <c r="AF96" s="145">
        <v>0.15</v>
      </c>
      <c r="AG96" s="142">
        <v>2</v>
      </c>
      <c r="AH96" s="142">
        <v>1</v>
      </c>
      <c r="AI96" s="142">
        <v>20</v>
      </c>
      <c r="AJ96" s="142">
        <v>32</v>
      </c>
      <c r="AK96" s="142">
        <v>19</v>
      </c>
      <c r="AL96" s="142">
        <v>30.9</v>
      </c>
      <c r="AM96" s="145" t="s">
        <v>311</v>
      </c>
      <c r="AN96" s="145" t="s">
        <v>311</v>
      </c>
      <c r="AO96" s="143">
        <v>25</v>
      </c>
      <c r="AP96" s="140">
        <v>45.7</v>
      </c>
      <c r="AQ96" s="144" t="s">
        <v>311</v>
      </c>
      <c r="AR96" s="144" t="s">
        <v>311</v>
      </c>
      <c r="AS96" s="145" t="s">
        <v>311</v>
      </c>
      <c r="AT96" s="145" t="s">
        <v>311</v>
      </c>
      <c r="AU96" s="145" t="s">
        <v>311</v>
      </c>
      <c r="AV96" s="145" t="s">
        <v>311</v>
      </c>
      <c r="AW96" s="142">
        <v>1</v>
      </c>
      <c r="AX96" s="142">
        <v>1</v>
      </c>
      <c r="AY96" s="148" t="s">
        <v>92</v>
      </c>
      <c r="AZ96" s="149"/>
      <c r="BA96" s="149"/>
      <c r="BB96" s="131"/>
    </row>
    <row r="97" spans="1:54">
      <c r="A97" s="139" t="s">
        <v>172</v>
      </c>
      <c r="B97" s="120">
        <f t="shared" si="35"/>
        <v>465</v>
      </c>
      <c r="C97" s="144" t="s">
        <v>311</v>
      </c>
      <c r="D97" s="144" t="s">
        <v>311</v>
      </c>
      <c r="E97" s="140">
        <v>260</v>
      </c>
      <c r="F97" s="140">
        <v>804</v>
      </c>
      <c r="G97" s="140">
        <v>10</v>
      </c>
      <c r="H97" s="140">
        <v>50</v>
      </c>
      <c r="I97" s="140">
        <v>30</v>
      </c>
      <c r="J97" s="141">
        <v>32</v>
      </c>
      <c r="K97" s="142">
        <v>13</v>
      </c>
      <c r="L97" s="142">
        <v>11.5</v>
      </c>
      <c r="M97" s="142">
        <v>9</v>
      </c>
      <c r="N97" s="142">
        <v>9</v>
      </c>
      <c r="O97" s="142">
        <v>15</v>
      </c>
      <c r="P97" s="142">
        <v>27.5</v>
      </c>
      <c r="Q97" s="142">
        <v>40</v>
      </c>
      <c r="R97" s="143">
        <v>35</v>
      </c>
      <c r="S97" s="144" t="s">
        <v>311</v>
      </c>
      <c r="T97" s="144" t="s">
        <v>311</v>
      </c>
      <c r="U97" s="144" t="s">
        <v>311</v>
      </c>
      <c r="V97" s="144" t="s">
        <v>311</v>
      </c>
      <c r="W97" s="145" t="s">
        <v>311</v>
      </c>
      <c r="X97" s="145" t="s">
        <v>311</v>
      </c>
      <c r="Y97" s="142">
        <v>5</v>
      </c>
      <c r="Z97" s="142">
        <v>4.5</v>
      </c>
      <c r="AA97" s="142">
        <v>15</v>
      </c>
      <c r="AB97" s="142">
        <v>13.5</v>
      </c>
      <c r="AC97" s="142">
        <v>3</v>
      </c>
      <c r="AD97" s="142">
        <v>3</v>
      </c>
      <c r="AE97" s="145" t="s">
        <v>311</v>
      </c>
      <c r="AF97" s="145" t="s">
        <v>311</v>
      </c>
      <c r="AG97" s="145">
        <v>8</v>
      </c>
      <c r="AH97" s="145">
        <v>8</v>
      </c>
      <c r="AI97" s="142">
        <v>30</v>
      </c>
      <c r="AJ97" s="142">
        <v>30</v>
      </c>
      <c r="AK97" s="142">
        <v>5</v>
      </c>
      <c r="AL97" s="142">
        <v>10</v>
      </c>
      <c r="AM97" s="142">
        <v>5</v>
      </c>
      <c r="AN97" s="142">
        <v>20</v>
      </c>
      <c r="AO97" s="143">
        <v>12</v>
      </c>
      <c r="AP97" s="140">
        <v>23.5</v>
      </c>
      <c r="AQ97" s="140">
        <v>5</v>
      </c>
      <c r="AR97" s="140">
        <v>1.5</v>
      </c>
      <c r="AS97" s="145" t="s">
        <v>311</v>
      </c>
      <c r="AT97" s="145" t="s">
        <v>311</v>
      </c>
      <c r="AU97" s="145" t="s">
        <v>311</v>
      </c>
      <c r="AV97" s="145" t="s">
        <v>311</v>
      </c>
      <c r="AW97" s="145" t="s">
        <v>311</v>
      </c>
      <c r="AX97" s="145" t="s">
        <v>311</v>
      </c>
      <c r="AY97" s="148" t="s">
        <v>93</v>
      </c>
      <c r="AZ97" s="149"/>
      <c r="BA97" s="149"/>
      <c r="BB97" s="131"/>
    </row>
    <row r="98" spans="1:54">
      <c r="A98" s="139" t="s">
        <v>173</v>
      </c>
      <c r="B98" s="120">
        <f t="shared" si="35"/>
        <v>3473</v>
      </c>
      <c r="C98" s="144" t="s">
        <v>311</v>
      </c>
      <c r="D98" s="144" t="s">
        <v>311</v>
      </c>
      <c r="E98" s="140">
        <v>981</v>
      </c>
      <c r="F98" s="140">
        <v>664.5</v>
      </c>
      <c r="G98" s="140">
        <v>58</v>
      </c>
      <c r="H98" s="140">
        <v>109.6</v>
      </c>
      <c r="I98" s="140">
        <v>385</v>
      </c>
      <c r="J98" s="141">
        <v>271.8</v>
      </c>
      <c r="K98" s="142">
        <v>218</v>
      </c>
      <c r="L98" s="142">
        <v>183.62</v>
      </c>
      <c r="M98" s="142">
        <v>201</v>
      </c>
      <c r="N98" s="142">
        <v>157.9</v>
      </c>
      <c r="O98" s="142">
        <v>230</v>
      </c>
      <c r="P98" s="142">
        <v>283.95</v>
      </c>
      <c r="Q98" s="142">
        <v>636</v>
      </c>
      <c r="R98" s="143">
        <v>830.35</v>
      </c>
      <c r="S98" s="140">
        <v>31</v>
      </c>
      <c r="T98" s="140">
        <v>18.100000000000001</v>
      </c>
      <c r="U98" s="140">
        <v>83</v>
      </c>
      <c r="V98" s="140">
        <v>63.64</v>
      </c>
      <c r="W98" s="142">
        <v>40</v>
      </c>
      <c r="X98" s="142">
        <v>26.9</v>
      </c>
      <c r="Y98" s="142">
        <v>48</v>
      </c>
      <c r="Z98" s="142">
        <v>31.2</v>
      </c>
      <c r="AA98" s="142">
        <v>3</v>
      </c>
      <c r="AB98" s="142">
        <v>1.65</v>
      </c>
      <c r="AC98" s="142">
        <v>23</v>
      </c>
      <c r="AD98" s="142">
        <v>11.95</v>
      </c>
      <c r="AE98" s="145" t="s">
        <v>311</v>
      </c>
      <c r="AF98" s="145" t="s">
        <v>311</v>
      </c>
      <c r="AG98" s="142">
        <v>9</v>
      </c>
      <c r="AH98" s="142">
        <v>4.8499999999999996</v>
      </c>
      <c r="AI98" s="142">
        <v>195</v>
      </c>
      <c r="AJ98" s="142">
        <v>138.47999999999999</v>
      </c>
      <c r="AK98" s="142">
        <v>120</v>
      </c>
      <c r="AL98" s="142">
        <v>154.5</v>
      </c>
      <c r="AM98" s="142">
        <v>17</v>
      </c>
      <c r="AN98" s="142">
        <v>30.6</v>
      </c>
      <c r="AO98" s="143">
        <v>145</v>
      </c>
      <c r="AP98" s="140">
        <v>140.30000000000001</v>
      </c>
      <c r="AQ98" s="140">
        <v>8</v>
      </c>
      <c r="AR98" s="140">
        <v>11.2</v>
      </c>
      <c r="AS98" s="145" t="s">
        <v>311</v>
      </c>
      <c r="AT98" s="145" t="s">
        <v>311</v>
      </c>
      <c r="AU98" s="142">
        <v>3</v>
      </c>
      <c r="AV98" s="142">
        <v>2</v>
      </c>
      <c r="AW98" s="142">
        <v>39</v>
      </c>
      <c r="AX98" s="142">
        <v>22.84</v>
      </c>
      <c r="AY98" s="148" t="s">
        <v>94</v>
      </c>
      <c r="AZ98" s="149"/>
      <c r="BA98" s="149"/>
      <c r="BB98" s="131"/>
    </row>
    <row r="99" spans="1:54">
      <c r="A99" s="139" t="s">
        <v>174</v>
      </c>
      <c r="B99" s="120">
        <f t="shared" si="35"/>
        <v>1377</v>
      </c>
      <c r="C99" s="144" t="s">
        <v>311</v>
      </c>
      <c r="D99" s="144" t="s">
        <v>311</v>
      </c>
      <c r="E99" s="140">
        <v>517</v>
      </c>
      <c r="F99" s="140">
        <v>721.5</v>
      </c>
      <c r="G99" s="140">
        <v>32</v>
      </c>
      <c r="H99" s="140">
        <v>96.5</v>
      </c>
      <c r="I99" s="140">
        <v>66</v>
      </c>
      <c r="J99" s="141">
        <v>31.7</v>
      </c>
      <c r="K99" s="142">
        <v>54</v>
      </c>
      <c r="L99" s="142">
        <v>60.84</v>
      </c>
      <c r="M99" s="142">
        <v>46</v>
      </c>
      <c r="N99" s="142">
        <v>46.4</v>
      </c>
      <c r="O99" s="142">
        <v>69</v>
      </c>
      <c r="P99" s="142">
        <v>94.4</v>
      </c>
      <c r="Q99" s="142">
        <v>284</v>
      </c>
      <c r="R99" s="143">
        <v>244</v>
      </c>
      <c r="S99" s="140">
        <v>25</v>
      </c>
      <c r="T99" s="140">
        <v>9.6</v>
      </c>
      <c r="U99" s="140">
        <v>51</v>
      </c>
      <c r="V99" s="140">
        <v>34.799999999999997</v>
      </c>
      <c r="W99" s="142">
        <v>25</v>
      </c>
      <c r="X99" s="142">
        <v>18.09</v>
      </c>
      <c r="Y99" s="142">
        <v>19</v>
      </c>
      <c r="Z99" s="142">
        <v>13.1</v>
      </c>
      <c r="AA99" s="145" t="s">
        <v>311</v>
      </c>
      <c r="AB99" s="145" t="s">
        <v>311</v>
      </c>
      <c r="AC99" s="142">
        <v>16</v>
      </c>
      <c r="AD99" s="142">
        <v>7.05</v>
      </c>
      <c r="AE99" s="142">
        <v>1</v>
      </c>
      <c r="AF99" s="142">
        <v>1</v>
      </c>
      <c r="AG99" s="145" t="s">
        <v>311</v>
      </c>
      <c r="AH99" s="145" t="s">
        <v>311</v>
      </c>
      <c r="AI99" s="142">
        <v>47</v>
      </c>
      <c r="AJ99" s="142">
        <v>31.36</v>
      </c>
      <c r="AK99" s="142">
        <v>40</v>
      </c>
      <c r="AL99" s="142">
        <v>25.8</v>
      </c>
      <c r="AM99" s="142">
        <v>9</v>
      </c>
      <c r="AN99" s="142">
        <v>18.7</v>
      </c>
      <c r="AO99" s="143">
        <v>73</v>
      </c>
      <c r="AP99" s="140">
        <v>117.3</v>
      </c>
      <c r="AQ99" s="140">
        <v>2</v>
      </c>
      <c r="AR99" s="140">
        <v>2.1</v>
      </c>
      <c r="AS99" s="145" t="s">
        <v>311</v>
      </c>
      <c r="AT99" s="145" t="s">
        <v>311</v>
      </c>
      <c r="AU99" s="145" t="s">
        <v>311</v>
      </c>
      <c r="AV99" s="145" t="s">
        <v>311</v>
      </c>
      <c r="AW99" s="142">
        <v>1</v>
      </c>
      <c r="AX99" s="142">
        <v>0.45</v>
      </c>
      <c r="AY99" s="148" t="s">
        <v>95</v>
      </c>
      <c r="AZ99" s="149"/>
      <c r="BA99" s="149"/>
      <c r="BB99" s="131"/>
    </row>
    <row r="100" spans="1:54">
      <c r="A100" s="139" t="s">
        <v>175</v>
      </c>
      <c r="B100" s="120">
        <f t="shared" si="35"/>
        <v>5130</v>
      </c>
      <c r="C100" s="144">
        <v>10</v>
      </c>
      <c r="D100" s="144">
        <v>8</v>
      </c>
      <c r="E100" s="140">
        <v>1086</v>
      </c>
      <c r="F100" s="140">
        <v>2559.7890000000002</v>
      </c>
      <c r="G100" s="140">
        <v>474</v>
      </c>
      <c r="H100" s="140">
        <v>4244.826</v>
      </c>
      <c r="I100" s="140">
        <v>251</v>
      </c>
      <c r="J100" s="141">
        <v>223.23500000000001</v>
      </c>
      <c r="K100" s="142">
        <v>432</v>
      </c>
      <c r="L100" s="142">
        <v>555.71799999999996</v>
      </c>
      <c r="M100" s="142">
        <v>262</v>
      </c>
      <c r="N100" s="142">
        <v>293.541</v>
      </c>
      <c r="O100" s="142">
        <v>359</v>
      </c>
      <c r="P100" s="142">
        <v>503.63</v>
      </c>
      <c r="Q100" s="142">
        <v>466</v>
      </c>
      <c r="R100" s="143">
        <v>418.63299999999998</v>
      </c>
      <c r="S100" s="140">
        <v>114</v>
      </c>
      <c r="T100" s="140">
        <v>76.31</v>
      </c>
      <c r="U100" s="140">
        <v>50</v>
      </c>
      <c r="V100" s="140">
        <v>31.567</v>
      </c>
      <c r="W100" s="142">
        <v>86</v>
      </c>
      <c r="X100" s="142">
        <v>59.8</v>
      </c>
      <c r="Y100" s="142">
        <v>132</v>
      </c>
      <c r="Z100" s="142">
        <v>89.341999999999999</v>
      </c>
      <c r="AA100" s="142">
        <v>35</v>
      </c>
      <c r="AB100" s="142">
        <v>17.72</v>
      </c>
      <c r="AC100" s="142">
        <v>107</v>
      </c>
      <c r="AD100" s="142">
        <v>53.335000000000001</v>
      </c>
      <c r="AE100" s="142">
        <v>1</v>
      </c>
      <c r="AF100" s="142">
        <v>0.08</v>
      </c>
      <c r="AG100" s="142">
        <v>58</v>
      </c>
      <c r="AH100" s="142">
        <v>44.6</v>
      </c>
      <c r="AI100" s="142">
        <v>313</v>
      </c>
      <c r="AJ100" s="142">
        <v>248.43600000000001</v>
      </c>
      <c r="AK100" s="142">
        <v>98</v>
      </c>
      <c r="AL100" s="142">
        <v>129.84200000000001</v>
      </c>
      <c r="AM100" s="142">
        <v>270</v>
      </c>
      <c r="AN100" s="142">
        <v>1998.7339999999999</v>
      </c>
      <c r="AO100" s="143">
        <v>197</v>
      </c>
      <c r="AP100" s="140">
        <v>264.66699999999997</v>
      </c>
      <c r="AQ100" s="140">
        <v>100</v>
      </c>
      <c r="AR100" s="140">
        <v>388.65</v>
      </c>
      <c r="AS100" s="145" t="s">
        <v>311</v>
      </c>
      <c r="AT100" s="145" t="s">
        <v>311</v>
      </c>
      <c r="AU100" s="142">
        <v>147</v>
      </c>
      <c r="AV100" s="142">
        <v>334.1</v>
      </c>
      <c r="AW100" s="142">
        <v>82</v>
      </c>
      <c r="AX100" s="142">
        <v>35.311</v>
      </c>
      <c r="AY100" s="148" t="s">
        <v>96</v>
      </c>
      <c r="AZ100" s="149"/>
      <c r="BA100" s="149"/>
      <c r="BB100" s="131"/>
    </row>
    <row r="101" spans="1:54">
      <c r="A101" s="139" t="s">
        <v>176</v>
      </c>
      <c r="B101" s="120">
        <f t="shared" si="35"/>
        <v>931</v>
      </c>
      <c r="C101" s="144" t="s">
        <v>311</v>
      </c>
      <c r="D101" s="144" t="s">
        <v>311</v>
      </c>
      <c r="E101" s="140">
        <v>177</v>
      </c>
      <c r="F101" s="140">
        <v>219.5</v>
      </c>
      <c r="G101" s="140">
        <v>12</v>
      </c>
      <c r="H101" s="140">
        <v>15</v>
      </c>
      <c r="I101" s="140">
        <v>34</v>
      </c>
      <c r="J101" s="141">
        <v>23.2</v>
      </c>
      <c r="K101" s="142">
        <v>48</v>
      </c>
      <c r="L101" s="142">
        <v>39.200000000000003</v>
      </c>
      <c r="M101" s="142">
        <v>31</v>
      </c>
      <c r="N101" s="142">
        <v>16.75</v>
      </c>
      <c r="O101" s="142">
        <v>51</v>
      </c>
      <c r="P101" s="142">
        <v>40.4</v>
      </c>
      <c r="Q101" s="142">
        <v>127</v>
      </c>
      <c r="R101" s="143">
        <v>94.7</v>
      </c>
      <c r="S101" s="140">
        <v>11</v>
      </c>
      <c r="T101" s="140">
        <v>5.15</v>
      </c>
      <c r="U101" s="140">
        <v>269</v>
      </c>
      <c r="V101" s="140">
        <v>81.3</v>
      </c>
      <c r="W101" s="142">
        <v>3</v>
      </c>
      <c r="X101" s="142">
        <v>2.35</v>
      </c>
      <c r="Y101" s="142">
        <v>18</v>
      </c>
      <c r="Z101" s="142">
        <v>6.1</v>
      </c>
      <c r="AA101" s="145" t="s">
        <v>311</v>
      </c>
      <c r="AB101" s="145" t="s">
        <v>311</v>
      </c>
      <c r="AC101" s="142">
        <v>17</v>
      </c>
      <c r="AD101" s="142">
        <v>8.75</v>
      </c>
      <c r="AE101" s="142">
        <v>10</v>
      </c>
      <c r="AF101" s="142">
        <v>5.05</v>
      </c>
      <c r="AG101" s="142">
        <v>7</v>
      </c>
      <c r="AH101" s="142">
        <v>2.92</v>
      </c>
      <c r="AI101" s="142">
        <v>27</v>
      </c>
      <c r="AJ101" s="142">
        <v>14.85</v>
      </c>
      <c r="AK101" s="142">
        <v>51</v>
      </c>
      <c r="AL101" s="142">
        <v>35</v>
      </c>
      <c r="AM101" s="142">
        <v>4</v>
      </c>
      <c r="AN101" s="142">
        <v>1.3</v>
      </c>
      <c r="AO101" s="143">
        <v>33</v>
      </c>
      <c r="AP101" s="140">
        <v>24.8</v>
      </c>
      <c r="AQ101" s="140">
        <v>1</v>
      </c>
      <c r="AR101" s="140">
        <v>1.2</v>
      </c>
      <c r="AS101" s="145" t="s">
        <v>311</v>
      </c>
      <c r="AT101" s="145" t="s">
        <v>311</v>
      </c>
      <c r="AU101" s="145" t="s">
        <v>311</v>
      </c>
      <c r="AV101" s="145" t="s">
        <v>311</v>
      </c>
      <c r="AW101" s="145" t="s">
        <v>311</v>
      </c>
      <c r="AX101" s="145" t="s">
        <v>311</v>
      </c>
      <c r="AY101" s="148" t="s">
        <v>97</v>
      </c>
      <c r="AZ101" s="149"/>
      <c r="BA101" s="149"/>
      <c r="BB101" s="131"/>
    </row>
    <row r="102" spans="1:54">
      <c r="A102" s="210" t="s">
        <v>98</v>
      </c>
      <c r="B102" s="211">
        <f>SUM(C102,E102,G102,I102,K102,M102,O102,Q102,S102,U102,W102,Y102,AA102,AC102,AE102,AG102,AI102,AK102,AM102,AO102,AQ102,AS102,AU102,AW102)</f>
        <v>79555</v>
      </c>
      <c r="C102" s="200">
        <f>SUM(C104:C107)</f>
        <v>0</v>
      </c>
      <c r="D102" s="200">
        <f t="shared" ref="D102:N102" si="36">SUM(D104:D107)</f>
        <v>0</v>
      </c>
      <c r="E102" s="200">
        <f t="shared" si="36"/>
        <v>13683</v>
      </c>
      <c r="F102" s="200">
        <f t="shared" si="36"/>
        <v>34687.86</v>
      </c>
      <c r="G102" s="200">
        <f t="shared" si="36"/>
        <v>13064</v>
      </c>
      <c r="H102" s="200">
        <f t="shared" si="36"/>
        <v>93734.35</v>
      </c>
      <c r="I102" s="200">
        <f t="shared" si="36"/>
        <v>4649</v>
      </c>
      <c r="J102" s="200">
        <f t="shared" si="36"/>
        <v>4146.38</v>
      </c>
      <c r="K102" s="200">
        <f t="shared" si="36"/>
        <v>5155</v>
      </c>
      <c r="L102" s="200">
        <f t="shared" si="36"/>
        <v>8080.4699999999993</v>
      </c>
      <c r="M102" s="200">
        <f t="shared" si="36"/>
        <v>2789</v>
      </c>
      <c r="N102" s="207">
        <f t="shared" si="36"/>
        <v>3914.9</v>
      </c>
      <c r="O102" s="208">
        <f>SUM(O104:O107)</f>
        <v>4705</v>
      </c>
      <c r="P102" s="209">
        <f>SUM(P104:P107)</f>
        <v>7462.875</v>
      </c>
      <c r="Q102" s="209">
        <f>SUM(Q104:Q107)</f>
        <v>4735</v>
      </c>
      <c r="R102" s="208">
        <f>SUM(R104:R107)</f>
        <v>5638.7</v>
      </c>
      <c r="S102" s="208">
        <f t="shared" ref="S102:AX102" si="37">SUM(S104:S107)</f>
        <v>524</v>
      </c>
      <c r="T102" s="208">
        <f t="shared" si="37"/>
        <v>314.976</v>
      </c>
      <c r="U102" s="208">
        <f t="shared" si="37"/>
        <v>8574</v>
      </c>
      <c r="V102" s="208">
        <f t="shared" si="37"/>
        <v>7031.5300000000007</v>
      </c>
      <c r="W102" s="208">
        <f t="shared" si="37"/>
        <v>657</v>
      </c>
      <c r="X102" s="208">
        <f t="shared" si="37"/>
        <v>667.89</v>
      </c>
      <c r="Y102" s="208">
        <f t="shared" si="37"/>
        <v>1410</v>
      </c>
      <c r="Z102" s="208">
        <f t="shared" si="37"/>
        <v>1216</v>
      </c>
      <c r="AA102" s="208">
        <f t="shared" si="37"/>
        <v>514</v>
      </c>
      <c r="AB102" s="209">
        <f t="shared" si="37"/>
        <v>269.67499999999995</v>
      </c>
      <c r="AC102" s="208">
        <f t="shared" si="37"/>
        <v>1978</v>
      </c>
      <c r="AD102" s="208">
        <f t="shared" si="37"/>
        <v>1539.9599999999998</v>
      </c>
      <c r="AE102" s="208">
        <f t="shared" si="37"/>
        <v>311</v>
      </c>
      <c r="AF102" s="208">
        <f t="shared" si="37"/>
        <v>144.65</v>
      </c>
      <c r="AG102" s="208">
        <f t="shared" si="37"/>
        <v>952</v>
      </c>
      <c r="AH102" s="208">
        <f t="shared" si="37"/>
        <v>1272.7699999999998</v>
      </c>
      <c r="AI102" s="208">
        <f t="shared" si="37"/>
        <v>2484</v>
      </c>
      <c r="AJ102" s="208">
        <f t="shared" si="37"/>
        <v>2817.415</v>
      </c>
      <c r="AK102" s="208">
        <f t="shared" si="37"/>
        <v>2240</v>
      </c>
      <c r="AL102" s="208">
        <f t="shared" si="37"/>
        <v>3323.89</v>
      </c>
      <c r="AM102" s="208">
        <f t="shared" si="37"/>
        <v>7188</v>
      </c>
      <c r="AN102" s="208">
        <f t="shared" si="37"/>
        <v>63480.45</v>
      </c>
      <c r="AO102" s="208">
        <f t="shared" si="37"/>
        <v>1740</v>
      </c>
      <c r="AP102" s="208">
        <f t="shared" si="37"/>
        <v>2768.0479999999998</v>
      </c>
      <c r="AQ102" s="208">
        <f t="shared" si="37"/>
        <v>1458</v>
      </c>
      <c r="AR102" s="208">
        <f t="shared" si="37"/>
        <v>7291.8</v>
      </c>
      <c r="AS102" s="208">
        <f t="shared" si="37"/>
        <v>96</v>
      </c>
      <c r="AT102" s="208">
        <f t="shared" si="37"/>
        <v>69.8</v>
      </c>
      <c r="AU102" s="208">
        <f t="shared" si="37"/>
        <v>102</v>
      </c>
      <c r="AV102" s="208">
        <f t="shared" si="37"/>
        <v>335.21599999999995</v>
      </c>
      <c r="AW102" s="208">
        <f t="shared" si="37"/>
        <v>547</v>
      </c>
      <c r="AX102" s="208">
        <f t="shared" si="37"/>
        <v>270.95999999999998</v>
      </c>
      <c r="AY102" s="205" t="s">
        <v>99</v>
      </c>
      <c r="AZ102" s="180"/>
      <c r="BA102" s="180"/>
      <c r="BB102" s="131"/>
    </row>
    <row r="103" spans="1:54">
      <c r="A103" s="210"/>
      <c r="B103" s="212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7"/>
      <c r="O103" s="208"/>
      <c r="P103" s="209"/>
      <c r="Q103" s="209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  <c r="AB103" s="209"/>
      <c r="AC103" s="208"/>
      <c r="AD103" s="208"/>
      <c r="AE103" s="208"/>
      <c r="AF103" s="208"/>
      <c r="AG103" s="208"/>
      <c r="AH103" s="208"/>
      <c r="AI103" s="208"/>
      <c r="AJ103" s="208"/>
      <c r="AK103" s="208"/>
      <c r="AL103" s="208"/>
      <c r="AM103" s="208"/>
      <c r="AN103" s="208"/>
      <c r="AO103" s="208"/>
      <c r="AP103" s="208"/>
      <c r="AQ103" s="208"/>
      <c r="AR103" s="208"/>
      <c r="AS103" s="208"/>
      <c r="AT103" s="208"/>
      <c r="AU103" s="208"/>
      <c r="AV103" s="208"/>
      <c r="AW103" s="208"/>
      <c r="AX103" s="208"/>
      <c r="AY103" s="205"/>
      <c r="AZ103" s="180"/>
      <c r="BA103" s="180"/>
      <c r="BB103" s="131"/>
    </row>
    <row r="104" spans="1:54">
      <c r="A104" s="139" t="s">
        <v>177</v>
      </c>
      <c r="B104" s="120">
        <f>SUM(C104,E104,G104,I104,K104,M104,O104,Q104,S104,U104,W104,Y104,AA104,AC104,AE104,AG104,AI104,AK104,AM104,AO104,AQ104,AS104,AU104,AW104)</f>
        <v>35301</v>
      </c>
      <c r="C104" s="144" t="s">
        <v>311</v>
      </c>
      <c r="D104" s="144" t="s">
        <v>311</v>
      </c>
      <c r="E104" s="140">
        <v>6636</v>
      </c>
      <c r="F104" s="140">
        <v>22224.9</v>
      </c>
      <c r="G104" s="140">
        <v>4646</v>
      </c>
      <c r="H104" s="140">
        <v>39952.400000000001</v>
      </c>
      <c r="I104" s="140">
        <v>1753</v>
      </c>
      <c r="J104" s="141">
        <v>1772.11</v>
      </c>
      <c r="K104" s="142">
        <v>2673</v>
      </c>
      <c r="L104" s="142">
        <v>5802.23</v>
      </c>
      <c r="M104" s="142">
        <v>1553</v>
      </c>
      <c r="N104" s="142">
        <v>2843.13</v>
      </c>
      <c r="O104" s="142">
        <v>1959</v>
      </c>
      <c r="P104" s="142">
        <v>4303.8999999999996</v>
      </c>
      <c r="Q104" s="142">
        <v>2145</v>
      </c>
      <c r="R104" s="143">
        <v>3507.1950000000002</v>
      </c>
      <c r="S104" s="140">
        <v>147</v>
      </c>
      <c r="T104" s="140">
        <v>144.47999999999999</v>
      </c>
      <c r="U104" s="140">
        <v>3739</v>
      </c>
      <c r="V104" s="140">
        <v>3916.62</v>
      </c>
      <c r="W104" s="142">
        <v>308</v>
      </c>
      <c r="X104" s="142">
        <v>413.72</v>
      </c>
      <c r="Y104" s="142">
        <v>354</v>
      </c>
      <c r="Z104" s="142">
        <v>556.91</v>
      </c>
      <c r="AA104" s="142">
        <v>355</v>
      </c>
      <c r="AB104" s="143">
        <v>189.55500000000001</v>
      </c>
      <c r="AC104" s="142">
        <v>878</v>
      </c>
      <c r="AD104" s="142">
        <v>864.78</v>
      </c>
      <c r="AE104" s="142">
        <v>78</v>
      </c>
      <c r="AF104" s="143">
        <v>21.62</v>
      </c>
      <c r="AG104" s="142">
        <v>545</v>
      </c>
      <c r="AH104" s="143">
        <v>914.91</v>
      </c>
      <c r="AI104" s="142">
        <v>1129</v>
      </c>
      <c r="AJ104" s="143">
        <v>1662.28</v>
      </c>
      <c r="AK104" s="142">
        <v>979</v>
      </c>
      <c r="AL104" s="142">
        <v>2085.91</v>
      </c>
      <c r="AM104" s="142">
        <v>3905</v>
      </c>
      <c r="AN104" s="143">
        <v>42112.65</v>
      </c>
      <c r="AO104" s="143">
        <v>934</v>
      </c>
      <c r="AP104" s="140">
        <v>2064.64</v>
      </c>
      <c r="AQ104" s="140">
        <v>228</v>
      </c>
      <c r="AR104" s="140">
        <v>1360</v>
      </c>
      <c r="AS104" s="145">
        <v>30</v>
      </c>
      <c r="AT104" s="145">
        <v>30</v>
      </c>
      <c r="AU104" s="142">
        <v>88</v>
      </c>
      <c r="AV104" s="143">
        <v>319.86599999999999</v>
      </c>
      <c r="AW104" s="142">
        <v>239</v>
      </c>
      <c r="AX104" s="154">
        <v>169.95</v>
      </c>
      <c r="AY104" s="148" t="s">
        <v>100</v>
      </c>
      <c r="AZ104" s="149"/>
      <c r="BA104" s="149"/>
      <c r="BB104" s="131"/>
    </row>
    <row r="105" spans="1:54">
      <c r="A105" s="139" t="s">
        <v>178</v>
      </c>
      <c r="B105" s="120">
        <f>SUM(C105,E105,G105,I105,K105,M105,O105,Q105,S105,U105,W105,Y105,AA105,AC105,AE105,AG105,AI105,AK105,AM105,AO105,AQ105,AS105,AU105,AW105)</f>
        <v>19700</v>
      </c>
      <c r="C105" s="144" t="s">
        <v>311</v>
      </c>
      <c r="D105" s="144" t="s">
        <v>311</v>
      </c>
      <c r="E105" s="140">
        <v>1535</v>
      </c>
      <c r="F105" s="140">
        <v>4887.8900000000003</v>
      </c>
      <c r="G105" s="140">
        <v>5897</v>
      </c>
      <c r="H105" s="140">
        <v>26237.4</v>
      </c>
      <c r="I105" s="140">
        <v>1046</v>
      </c>
      <c r="J105" s="141">
        <v>1211.57</v>
      </c>
      <c r="K105" s="142">
        <v>1284</v>
      </c>
      <c r="L105" s="142">
        <v>1314.03</v>
      </c>
      <c r="M105" s="142">
        <v>376</v>
      </c>
      <c r="N105" s="142">
        <v>390.24</v>
      </c>
      <c r="O105" s="142">
        <v>829</v>
      </c>
      <c r="P105" s="142">
        <v>1407.27</v>
      </c>
      <c r="Q105" s="142">
        <v>695</v>
      </c>
      <c r="R105" s="143">
        <v>563.55499999999995</v>
      </c>
      <c r="S105" s="140">
        <v>73</v>
      </c>
      <c r="T105" s="140">
        <v>45.735999999999997</v>
      </c>
      <c r="U105" s="140">
        <v>1614</v>
      </c>
      <c r="V105" s="140">
        <v>1239.74</v>
      </c>
      <c r="W105" s="142">
        <v>160</v>
      </c>
      <c r="X105" s="142">
        <v>129.55000000000001</v>
      </c>
      <c r="Y105" s="142">
        <v>268</v>
      </c>
      <c r="Z105" s="142">
        <v>178.6</v>
      </c>
      <c r="AA105" s="142">
        <v>98</v>
      </c>
      <c r="AB105" s="143">
        <v>52.2</v>
      </c>
      <c r="AC105" s="142">
        <v>343</v>
      </c>
      <c r="AD105" s="142">
        <v>224.05</v>
      </c>
      <c r="AE105" s="142">
        <v>29</v>
      </c>
      <c r="AF105" s="143">
        <v>12.2</v>
      </c>
      <c r="AG105" s="142">
        <v>274</v>
      </c>
      <c r="AH105" s="143">
        <v>257.2</v>
      </c>
      <c r="AI105" s="142">
        <v>451</v>
      </c>
      <c r="AJ105" s="143">
        <v>489.84</v>
      </c>
      <c r="AK105" s="142">
        <v>356</v>
      </c>
      <c r="AL105" s="142">
        <v>376.38</v>
      </c>
      <c r="AM105" s="142">
        <v>2895</v>
      </c>
      <c r="AN105" s="143">
        <v>17765</v>
      </c>
      <c r="AO105" s="143">
        <v>212</v>
      </c>
      <c r="AP105" s="140">
        <v>195.51</v>
      </c>
      <c r="AQ105" s="140">
        <v>1100</v>
      </c>
      <c r="AR105" s="140">
        <v>5336</v>
      </c>
      <c r="AS105" s="142">
        <v>66</v>
      </c>
      <c r="AT105" s="142">
        <v>39.799999999999997</v>
      </c>
      <c r="AU105" s="142">
        <v>7</v>
      </c>
      <c r="AV105" s="143">
        <v>6.15</v>
      </c>
      <c r="AW105" s="142">
        <v>92</v>
      </c>
      <c r="AX105" s="154">
        <v>54.32</v>
      </c>
      <c r="AY105" s="148" t="s">
        <v>101</v>
      </c>
      <c r="AZ105" s="149"/>
      <c r="BA105" s="149"/>
      <c r="BB105" s="131"/>
    </row>
    <row r="106" spans="1:54">
      <c r="A106" s="139" t="s">
        <v>179</v>
      </c>
      <c r="B106" s="120">
        <f>SUM(C106,E106,G106,I106,K106,M106,O106,Q106,S106,U106,W106,Y106,AA106,AC106,AE106,AG106,AI106,AK106,AM106,AO106,AQ106,AS106,AU106,AW106)</f>
        <v>9447</v>
      </c>
      <c r="C106" s="152" t="s">
        <v>311</v>
      </c>
      <c r="D106" s="144" t="s">
        <v>311</v>
      </c>
      <c r="E106" s="140">
        <v>2229</v>
      </c>
      <c r="F106" s="140">
        <v>2960.3</v>
      </c>
      <c r="G106" s="140">
        <v>199</v>
      </c>
      <c r="H106" s="140">
        <v>967</v>
      </c>
      <c r="I106" s="140">
        <v>811</v>
      </c>
      <c r="J106" s="141">
        <v>515.63</v>
      </c>
      <c r="K106" s="142">
        <v>436</v>
      </c>
      <c r="L106" s="142">
        <v>334.13</v>
      </c>
      <c r="M106" s="142">
        <v>482</v>
      </c>
      <c r="N106" s="142">
        <v>388.76</v>
      </c>
      <c r="O106" s="142">
        <v>609</v>
      </c>
      <c r="P106" s="142">
        <v>489.66</v>
      </c>
      <c r="Q106" s="142">
        <v>597</v>
      </c>
      <c r="R106" s="143">
        <v>370.42</v>
      </c>
      <c r="S106" s="140">
        <v>86</v>
      </c>
      <c r="T106" s="140">
        <v>35.01</v>
      </c>
      <c r="U106" s="140">
        <v>1718</v>
      </c>
      <c r="V106" s="140">
        <v>808.98</v>
      </c>
      <c r="W106" s="142">
        <v>81</v>
      </c>
      <c r="X106" s="142">
        <v>44.28</v>
      </c>
      <c r="Y106" s="142">
        <v>402</v>
      </c>
      <c r="Z106" s="142">
        <v>230.9</v>
      </c>
      <c r="AA106" s="142">
        <v>28</v>
      </c>
      <c r="AB106" s="143">
        <v>15.84</v>
      </c>
      <c r="AC106" s="142">
        <v>400</v>
      </c>
      <c r="AD106" s="142">
        <v>241.57</v>
      </c>
      <c r="AE106" s="142">
        <v>131</v>
      </c>
      <c r="AF106" s="143">
        <v>65.48</v>
      </c>
      <c r="AG106" s="142">
        <v>96</v>
      </c>
      <c r="AH106" s="143">
        <v>76.63</v>
      </c>
      <c r="AI106" s="142">
        <v>349</v>
      </c>
      <c r="AJ106" s="143">
        <v>267.10500000000002</v>
      </c>
      <c r="AK106" s="142">
        <v>377</v>
      </c>
      <c r="AL106" s="142">
        <v>344.08</v>
      </c>
      <c r="AM106" s="142">
        <v>118</v>
      </c>
      <c r="AN106" s="143">
        <v>489.7</v>
      </c>
      <c r="AO106" s="143">
        <v>241</v>
      </c>
      <c r="AP106" s="140">
        <v>170.3</v>
      </c>
      <c r="AQ106" s="140">
        <v>22</v>
      </c>
      <c r="AR106" s="140">
        <v>55.8</v>
      </c>
      <c r="AS106" s="145" t="s">
        <v>311</v>
      </c>
      <c r="AT106" s="145" t="s">
        <v>311</v>
      </c>
      <c r="AU106" s="145" t="s">
        <v>311</v>
      </c>
      <c r="AV106" s="152" t="s">
        <v>311</v>
      </c>
      <c r="AW106" s="142">
        <v>35</v>
      </c>
      <c r="AX106" s="154">
        <v>11.1</v>
      </c>
      <c r="AY106" s="148" t="s">
        <v>102</v>
      </c>
      <c r="AZ106" s="149"/>
      <c r="BA106" s="149"/>
      <c r="BB106" s="131"/>
    </row>
    <row r="107" spans="1:54" ht="10.8" thickBot="1">
      <c r="A107" s="155" t="s">
        <v>180</v>
      </c>
      <c r="B107" s="121">
        <f>SUM(C107,E107,G107,I107,K107,M107,O107,Q107,S107,U107,W107,Y107,AA107,AC107,AE107,AG107,AI107,AK107,AM107,AO107,AQ107,AS107,AU107,AW107)</f>
        <v>15107</v>
      </c>
      <c r="C107" s="156" t="s">
        <v>311</v>
      </c>
      <c r="D107" s="157" t="s">
        <v>311</v>
      </c>
      <c r="E107" s="158">
        <v>3283</v>
      </c>
      <c r="F107" s="158">
        <v>4614.7700000000004</v>
      </c>
      <c r="G107" s="158">
        <v>2322</v>
      </c>
      <c r="H107" s="158">
        <v>26577.55</v>
      </c>
      <c r="I107" s="159">
        <v>1039</v>
      </c>
      <c r="J107" s="158">
        <v>647.07000000000005</v>
      </c>
      <c r="K107" s="160">
        <v>762</v>
      </c>
      <c r="L107" s="160">
        <v>630.08000000000004</v>
      </c>
      <c r="M107" s="160">
        <v>378</v>
      </c>
      <c r="N107" s="159">
        <v>292.77</v>
      </c>
      <c r="O107" s="160">
        <v>1308</v>
      </c>
      <c r="P107" s="159">
        <v>1262.0450000000001</v>
      </c>
      <c r="Q107" s="160">
        <v>1298</v>
      </c>
      <c r="R107" s="159">
        <v>1197.53</v>
      </c>
      <c r="S107" s="159">
        <v>218</v>
      </c>
      <c r="T107" s="158">
        <v>89.75</v>
      </c>
      <c r="U107" s="159">
        <v>1503</v>
      </c>
      <c r="V107" s="158">
        <v>1066.19</v>
      </c>
      <c r="W107" s="160">
        <v>108</v>
      </c>
      <c r="X107" s="159">
        <v>80.34</v>
      </c>
      <c r="Y107" s="160">
        <v>386</v>
      </c>
      <c r="Z107" s="159">
        <v>249.59</v>
      </c>
      <c r="AA107" s="160">
        <v>33</v>
      </c>
      <c r="AB107" s="159">
        <v>12.08</v>
      </c>
      <c r="AC107" s="160">
        <v>357</v>
      </c>
      <c r="AD107" s="160">
        <v>209.56</v>
      </c>
      <c r="AE107" s="160">
        <v>73</v>
      </c>
      <c r="AF107" s="159">
        <v>45.35</v>
      </c>
      <c r="AG107" s="160">
        <v>37</v>
      </c>
      <c r="AH107" s="159">
        <v>24.03</v>
      </c>
      <c r="AI107" s="160">
        <v>555</v>
      </c>
      <c r="AJ107" s="159">
        <v>398.19</v>
      </c>
      <c r="AK107" s="160">
        <v>528</v>
      </c>
      <c r="AL107" s="160">
        <v>517.52</v>
      </c>
      <c r="AM107" s="160">
        <v>270</v>
      </c>
      <c r="AN107" s="159">
        <v>3113.1</v>
      </c>
      <c r="AO107" s="159">
        <v>353</v>
      </c>
      <c r="AP107" s="158">
        <v>337.59800000000001</v>
      </c>
      <c r="AQ107" s="158">
        <v>108</v>
      </c>
      <c r="AR107" s="158">
        <v>540</v>
      </c>
      <c r="AS107" s="161" t="s">
        <v>311</v>
      </c>
      <c r="AT107" s="161" t="s">
        <v>311</v>
      </c>
      <c r="AU107" s="160">
        <v>7</v>
      </c>
      <c r="AV107" s="159">
        <v>9.1999999999999993</v>
      </c>
      <c r="AW107" s="160">
        <v>181</v>
      </c>
      <c r="AX107" s="162">
        <v>35.590000000000003</v>
      </c>
      <c r="AY107" s="163" t="s">
        <v>103</v>
      </c>
      <c r="AZ107" s="164"/>
      <c r="BA107" s="164"/>
      <c r="BB107" s="131"/>
    </row>
    <row r="108" spans="1:54" ht="12.6" customHeight="1">
      <c r="A108" s="165" t="s">
        <v>104</v>
      </c>
      <c r="B108" s="166"/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67"/>
      <c r="AA108" s="167"/>
      <c r="AB108" s="167"/>
      <c r="AC108" s="167"/>
      <c r="AD108" s="167"/>
      <c r="AE108" s="167"/>
      <c r="AF108" s="167"/>
      <c r="AG108" s="167"/>
      <c r="AH108" s="167"/>
      <c r="AI108" s="167"/>
      <c r="AJ108" s="167"/>
      <c r="AK108" s="167"/>
      <c r="AL108" s="167"/>
      <c r="AM108" s="167"/>
      <c r="AN108" s="167"/>
      <c r="AO108" s="167"/>
      <c r="AP108" s="167"/>
      <c r="AQ108" s="167"/>
      <c r="AR108" s="167"/>
      <c r="AS108" s="167"/>
      <c r="AT108" s="167"/>
      <c r="AU108" s="167"/>
      <c r="AV108" s="167"/>
      <c r="AW108" s="167"/>
      <c r="AX108" s="167"/>
      <c r="AY108" s="124" t="s">
        <v>309</v>
      </c>
      <c r="AZ108" s="149"/>
      <c r="BA108" s="149"/>
      <c r="BB108" s="131"/>
    </row>
    <row r="109" spans="1:54">
      <c r="AY109" s="138"/>
      <c r="AZ109" s="138"/>
      <c r="BA109" s="138"/>
    </row>
    <row r="110" spans="1:54">
      <c r="A110" s="165"/>
      <c r="AY110" s="206"/>
      <c r="AZ110" s="206"/>
      <c r="BA110" s="206"/>
    </row>
    <row r="111" spans="1:54">
      <c r="B111" s="168"/>
      <c r="C111" s="168"/>
      <c r="AY111" s="201"/>
      <c r="AZ111" s="201"/>
      <c r="BA111" s="201"/>
    </row>
    <row r="113" spans="1:14">
      <c r="A113" s="131"/>
    </row>
    <row r="114" spans="1:14">
      <c r="A114" s="131"/>
    </row>
    <row r="115" spans="1:14">
      <c r="A115" s="131"/>
    </row>
    <row r="116" spans="1:14">
      <c r="A116" s="131"/>
    </row>
    <row r="117" spans="1:14">
      <c r="A117" s="131"/>
    </row>
    <row r="118" spans="1:14">
      <c r="A118" s="131"/>
    </row>
    <row r="119" spans="1:14">
      <c r="A119" s="131"/>
    </row>
    <row r="120" spans="1:14">
      <c r="A120" s="131"/>
    </row>
    <row r="121" spans="1:14">
      <c r="A121" s="131"/>
    </row>
    <row r="122" spans="1:14">
      <c r="A122" s="131"/>
    </row>
    <row r="123" spans="1:14">
      <c r="A123" s="169"/>
    </row>
    <row r="124" spans="1:14" s="131" customFormat="1">
      <c r="A124" s="202"/>
      <c r="B124" s="202"/>
      <c r="C124" s="202"/>
      <c r="D124" s="202"/>
      <c r="E124" s="202"/>
      <c r="F124" s="202"/>
      <c r="G124" s="203"/>
      <c r="H124" s="203"/>
      <c r="I124" s="203"/>
      <c r="J124" s="203"/>
      <c r="K124" s="203"/>
      <c r="L124" s="203"/>
      <c r="M124" s="203"/>
      <c r="N124" s="203"/>
    </row>
    <row r="125" spans="1:14" s="131" customFormat="1">
      <c r="A125" s="202"/>
      <c r="B125" s="202"/>
      <c r="C125" s="202"/>
      <c r="D125" s="202"/>
      <c r="E125" s="202"/>
      <c r="F125" s="202"/>
      <c r="G125" s="203"/>
      <c r="H125" s="203"/>
      <c r="I125" s="203"/>
      <c r="J125" s="203"/>
      <c r="K125" s="203"/>
      <c r="L125" s="203"/>
      <c r="M125" s="203"/>
      <c r="N125" s="203"/>
    </row>
    <row r="126" spans="1:14" s="131" customFormat="1">
      <c r="A126" s="202"/>
      <c r="B126" s="202"/>
      <c r="C126" s="202"/>
      <c r="D126" s="202"/>
      <c r="E126" s="202"/>
      <c r="F126" s="202"/>
      <c r="G126" s="203"/>
      <c r="H126" s="203"/>
      <c r="I126" s="203"/>
      <c r="J126" s="203"/>
      <c r="K126" s="203"/>
      <c r="L126" s="203"/>
      <c r="M126" s="203"/>
      <c r="N126" s="203"/>
    </row>
    <row r="127" spans="1:14" s="131" customFormat="1">
      <c r="A127" s="170"/>
      <c r="F127" s="204"/>
      <c r="G127" s="204"/>
      <c r="H127" s="204"/>
      <c r="I127" s="204"/>
      <c r="J127" s="204"/>
      <c r="K127" s="204"/>
      <c r="L127" s="204"/>
      <c r="M127" s="204"/>
      <c r="N127" s="204"/>
    </row>
    <row r="128" spans="1:14" s="131" customFormat="1">
      <c r="A128" s="198"/>
      <c r="B128" s="197"/>
      <c r="C128" s="199"/>
      <c r="D128" s="199"/>
      <c r="E128" s="199"/>
      <c r="F128" s="197"/>
      <c r="G128" s="197"/>
      <c r="H128" s="197"/>
      <c r="I128" s="197"/>
      <c r="J128" s="197"/>
      <c r="K128" s="197"/>
      <c r="L128" s="197"/>
      <c r="M128" s="197"/>
      <c r="N128" s="197"/>
    </row>
    <row r="129" spans="1:14" s="131" customFormat="1">
      <c r="A129" s="198"/>
      <c r="B129" s="199"/>
      <c r="C129" s="199"/>
      <c r="D129" s="199"/>
      <c r="E129" s="199"/>
      <c r="F129" s="197"/>
      <c r="G129" s="197"/>
      <c r="H129" s="197"/>
      <c r="I129" s="197"/>
      <c r="J129" s="197"/>
      <c r="K129" s="197"/>
      <c r="L129" s="197"/>
      <c r="M129" s="197"/>
      <c r="N129" s="197"/>
    </row>
    <row r="130" spans="1:14" s="131" customFormat="1">
      <c r="A130" s="198"/>
      <c r="B130" s="197"/>
      <c r="C130" s="197"/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7"/>
    </row>
    <row r="131" spans="1:14" s="131" customFormat="1">
      <c r="A131" s="198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97"/>
    </row>
    <row r="132" spans="1:14" s="131" customFormat="1">
      <c r="A132" s="172"/>
      <c r="N132" s="132"/>
    </row>
    <row r="133" spans="1:14" s="131" customFormat="1">
      <c r="A133" s="173"/>
      <c r="N133" s="132"/>
    </row>
    <row r="134" spans="1:14" s="131" customFormat="1">
      <c r="A134" s="194"/>
      <c r="B134" s="196"/>
      <c r="C134" s="196"/>
      <c r="D134" s="196"/>
      <c r="E134" s="196"/>
      <c r="F134" s="196"/>
      <c r="G134" s="196"/>
      <c r="H134" s="196"/>
      <c r="I134" s="174"/>
      <c r="J134" s="174"/>
      <c r="K134" s="196"/>
      <c r="L134" s="196"/>
      <c r="M134" s="196"/>
      <c r="N134" s="193"/>
    </row>
    <row r="135" spans="1:14" s="131" customFormat="1">
      <c r="A135" s="194"/>
      <c r="B135" s="196"/>
      <c r="C135" s="196"/>
      <c r="D135" s="196"/>
      <c r="E135" s="196"/>
      <c r="F135" s="196"/>
      <c r="G135" s="196"/>
      <c r="H135" s="196"/>
      <c r="I135" s="174"/>
      <c r="J135" s="174"/>
      <c r="K135" s="196"/>
      <c r="L135" s="196"/>
      <c r="M135" s="196"/>
      <c r="N135" s="193"/>
    </row>
    <row r="136" spans="1:14" s="131" customFormat="1">
      <c r="A136" s="194"/>
      <c r="B136" s="196"/>
      <c r="C136" s="196"/>
      <c r="D136" s="196"/>
      <c r="E136" s="196"/>
      <c r="F136" s="196"/>
      <c r="G136" s="196"/>
      <c r="H136" s="196"/>
      <c r="I136" s="174"/>
      <c r="J136" s="174"/>
      <c r="K136" s="196"/>
      <c r="L136" s="196"/>
      <c r="M136" s="196"/>
      <c r="N136" s="193"/>
    </row>
    <row r="137" spans="1:14" s="131" customFormat="1">
      <c r="A137" s="173"/>
      <c r="F137" s="175"/>
      <c r="G137" s="175"/>
      <c r="N137" s="176"/>
    </row>
    <row r="138" spans="1:14" s="131" customFormat="1">
      <c r="A138" s="173"/>
      <c r="F138" s="175"/>
      <c r="G138" s="175"/>
      <c r="N138" s="176"/>
    </row>
    <row r="139" spans="1:14" s="131" customFormat="1">
      <c r="A139" s="173"/>
      <c r="F139" s="175"/>
      <c r="G139" s="175"/>
      <c r="N139" s="176"/>
    </row>
    <row r="140" spans="1:14" s="131" customFormat="1">
      <c r="A140" s="173"/>
      <c r="F140" s="175"/>
      <c r="G140" s="175"/>
      <c r="N140" s="176"/>
    </row>
    <row r="141" spans="1:14" s="131" customFormat="1">
      <c r="A141" s="173"/>
      <c r="F141" s="175"/>
      <c r="G141" s="175"/>
      <c r="N141" s="176"/>
    </row>
    <row r="142" spans="1:14" s="131" customFormat="1">
      <c r="A142" s="173"/>
      <c r="F142" s="175"/>
      <c r="G142" s="175"/>
      <c r="N142" s="176"/>
    </row>
    <row r="143" spans="1:14" s="131" customFormat="1">
      <c r="A143" s="194"/>
      <c r="N143" s="195"/>
    </row>
    <row r="144" spans="1:14" s="131" customFormat="1">
      <c r="A144" s="194"/>
      <c r="N144" s="195"/>
    </row>
    <row r="145" spans="1:14" s="131" customFormat="1">
      <c r="A145" s="173"/>
      <c r="F145" s="175"/>
      <c r="G145" s="175"/>
      <c r="N145" s="176"/>
    </row>
    <row r="146" spans="1:14" s="131" customFormat="1">
      <c r="A146" s="173"/>
      <c r="F146" s="175"/>
      <c r="G146" s="175"/>
      <c r="N146" s="176"/>
    </row>
    <row r="147" spans="1:14" s="131" customFormat="1">
      <c r="A147" s="173"/>
      <c r="F147" s="175"/>
      <c r="G147" s="175"/>
      <c r="N147" s="176"/>
    </row>
    <row r="148" spans="1:14" s="131" customFormat="1">
      <c r="A148" s="173"/>
      <c r="F148" s="175"/>
      <c r="G148" s="175"/>
      <c r="N148" s="176"/>
    </row>
    <row r="149" spans="1:14" s="131" customFormat="1">
      <c r="A149" s="173"/>
      <c r="F149" s="175"/>
      <c r="G149" s="175"/>
      <c r="N149" s="176"/>
    </row>
    <row r="150" spans="1:14" s="131" customFormat="1">
      <c r="A150" s="173"/>
      <c r="F150" s="175"/>
      <c r="G150" s="175"/>
      <c r="N150" s="176"/>
    </row>
    <row r="151" spans="1:14" s="131" customFormat="1">
      <c r="A151" s="173"/>
      <c r="F151" s="175"/>
      <c r="G151" s="175"/>
      <c r="N151" s="176"/>
    </row>
    <row r="152" spans="1:14" s="131" customFormat="1">
      <c r="A152" s="173"/>
      <c r="F152" s="175"/>
      <c r="G152" s="175"/>
      <c r="N152" s="176"/>
    </row>
    <row r="153" spans="1:14" s="131" customFormat="1">
      <c r="A153" s="173"/>
      <c r="F153" s="175"/>
      <c r="G153" s="175"/>
      <c r="N153" s="176"/>
    </row>
    <row r="154" spans="1:14" s="131" customFormat="1">
      <c r="A154" s="173"/>
      <c r="F154" s="175"/>
      <c r="G154" s="175"/>
      <c r="N154" s="176"/>
    </row>
    <row r="155" spans="1:14" s="131" customFormat="1">
      <c r="A155" s="173"/>
      <c r="F155" s="175"/>
      <c r="G155" s="175"/>
      <c r="N155" s="176"/>
    </row>
    <row r="156" spans="1:14" s="131" customFormat="1">
      <c r="A156" s="179"/>
      <c r="N156" s="180"/>
    </row>
    <row r="157" spans="1:14" s="131" customFormat="1">
      <c r="A157" s="179"/>
      <c r="N157" s="180"/>
    </row>
    <row r="158" spans="1:14" s="131" customFormat="1">
      <c r="A158" s="173"/>
      <c r="F158" s="175"/>
      <c r="G158" s="175"/>
      <c r="N158" s="176"/>
    </row>
    <row r="159" spans="1:14" s="131" customFormat="1">
      <c r="A159" s="173"/>
      <c r="F159" s="175"/>
      <c r="G159" s="175"/>
      <c r="N159" s="176"/>
    </row>
    <row r="160" spans="1:14" s="131" customFormat="1">
      <c r="A160" s="173"/>
      <c r="F160" s="175"/>
      <c r="G160" s="175"/>
      <c r="N160" s="176"/>
    </row>
    <row r="161" spans="1:14" s="131" customFormat="1">
      <c r="A161" s="173"/>
      <c r="F161" s="175"/>
      <c r="G161" s="175"/>
      <c r="N161" s="176"/>
    </row>
    <row r="162" spans="1:14" s="131" customFormat="1">
      <c r="A162" s="179"/>
      <c r="N162" s="180"/>
    </row>
    <row r="163" spans="1:14" s="131" customFormat="1">
      <c r="A163" s="179"/>
      <c r="N163" s="180"/>
    </row>
    <row r="164" spans="1:14" s="131" customFormat="1">
      <c r="A164" s="173"/>
      <c r="F164" s="175"/>
      <c r="G164" s="175"/>
      <c r="N164" s="176"/>
    </row>
    <row r="165" spans="1:14" s="131" customFormat="1">
      <c r="A165" s="173"/>
      <c r="F165" s="175"/>
      <c r="G165" s="175"/>
      <c r="N165" s="176"/>
    </row>
    <row r="166" spans="1:14" s="131" customFormat="1">
      <c r="A166" s="173"/>
      <c r="F166" s="175"/>
      <c r="G166" s="175"/>
      <c r="N166" s="176"/>
    </row>
    <row r="167" spans="1:14" s="131" customFormat="1">
      <c r="A167" s="173"/>
      <c r="F167" s="175"/>
      <c r="G167" s="175"/>
      <c r="N167" s="176"/>
    </row>
    <row r="168" spans="1:14" s="131" customFormat="1">
      <c r="A168" s="173"/>
      <c r="F168" s="175"/>
      <c r="G168" s="175"/>
      <c r="N168" s="176"/>
    </row>
    <row r="169" spans="1:14" s="131" customFormat="1">
      <c r="A169" s="179"/>
      <c r="N169" s="180"/>
    </row>
    <row r="170" spans="1:14" s="131" customFormat="1">
      <c r="A170" s="179"/>
      <c r="N170" s="180"/>
    </row>
    <row r="171" spans="1:14" s="131" customFormat="1">
      <c r="A171" s="173"/>
      <c r="F171" s="175"/>
      <c r="G171" s="175"/>
      <c r="N171" s="176"/>
    </row>
    <row r="172" spans="1:14" s="131" customFormat="1">
      <c r="A172" s="173"/>
      <c r="F172" s="175"/>
      <c r="G172" s="175"/>
      <c r="N172" s="176"/>
    </row>
    <row r="173" spans="1:14" s="131" customFormat="1">
      <c r="A173" s="173"/>
      <c r="F173" s="175"/>
      <c r="G173" s="175"/>
      <c r="N173" s="176"/>
    </row>
    <row r="174" spans="1:14" s="131" customFormat="1">
      <c r="A174" s="173"/>
      <c r="F174" s="175"/>
      <c r="G174" s="175"/>
      <c r="N174" s="176"/>
    </row>
    <row r="175" spans="1:14" s="131" customFormat="1">
      <c r="A175" s="173"/>
      <c r="F175" s="175"/>
      <c r="G175" s="175"/>
      <c r="N175" s="176"/>
    </row>
    <row r="176" spans="1:14" s="131" customFormat="1">
      <c r="A176" s="179"/>
      <c r="N176" s="180"/>
    </row>
    <row r="177" spans="1:14" s="131" customFormat="1">
      <c r="A177" s="179"/>
      <c r="N177" s="180"/>
    </row>
    <row r="178" spans="1:14" s="131" customFormat="1">
      <c r="A178" s="173"/>
      <c r="F178" s="175"/>
      <c r="G178" s="175"/>
      <c r="N178" s="176"/>
    </row>
    <row r="179" spans="1:14" s="131" customFormat="1">
      <c r="A179" s="173"/>
      <c r="F179" s="175"/>
      <c r="G179" s="175"/>
      <c r="N179" s="176"/>
    </row>
    <row r="180" spans="1:14" s="131" customFormat="1">
      <c r="A180" s="173"/>
      <c r="F180" s="175"/>
      <c r="G180" s="175"/>
      <c r="N180" s="176"/>
    </row>
    <row r="181" spans="1:14" s="131" customFormat="1">
      <c r="A181" s="173"/>
      <c r="F181" s="175"/>
      <c r="G181" s="175"/>
      <c r="N181" s="176"/>
    </row>
    <row r="182" spans="1:14" s="131" customFormat="1">
      <c r="A182" s="173"/>
      <c r="F182" s="175"/>
      <c r="G182" s="175"/>
      <c r="N182" s="176"/>
    </row>
    <row r="183" spans="1:14" s="131" customFormat="1">
      <c r="A183" s="179"/>
      <c r="N183" s="180"/>
    </row>
    <row r="184" spans="1:14" s="131" customFormat="1">
      <c r="A184" s="179"/>
      <c r="N184" s="180"/>
    </row>
    <row r="185" spans="1:14" s="131" customFormat="1">
      <c r="A185" s="173"/>
      <c r="F185" s="175"/>
      <c r="G185" s="175"/>
      <c r="N185" s="176"/>
    </row>
    <row r="186" spans="1:14" s="131" customFormat="1">
      <c r="A186" s="173"/>
      <c r="F186" s="175"/>
      <c r="G186" s="175"/>
      <c r="N186" s="176"/>
    </row>
    <row r="187" spans="1:14" s="131" customFormat="1">
      <c r="A187" s="173"/>
      <c r="F187" s="175"/>
      <c r="G187" s="175"/>
      <c r="N187" s="176"/>
    </row>
    <row r="188" spans="1:14" s="131" customFormat="1">
      <c r="A188" s="179"/>
      <c r="N188" s="180"/>
    </row>
    <row r="189" spans="1:14" s="131" customFormat="1">
      <c r="A189" s="179"/>
      <c r="N189" s="180"/>
    </row>
    <row r="190" spans="1:14" s="131" customFormat="1">
      <c r="A190" s="173"/>
      <c r="F190" s="175"/>
      <c r="G190" s="175"/>
      <c r="N190" s="176"/>
    </row>
    <row r="191" spans="1:14" s="131" customFormat="1">
      <c r="A191" s="173"/>
      <c r="F191" s="175"/>
      <c r="G191" s="175"/>
      <c r="N191" s="176"/>
    </row>
    <row r="192" spans="1:14" s="131" customFormat="1">
      <c r="A192" s="173"/>
      <c r="F192" s="175"/>
      <c r="G192" s="175"/>
      <c r="N192" s="176"/>
    </row>
    <row r="193" spans="1:14" s="131" customFormat="1">
      <c r="A193" s="173"/>
      <c r="F193" s="175"/>
      <c r="G193" s="175"/>
      <c r="N193" s="176"/>
    </row>
    <row r="194" spans="1:14" s="131" customFormat="1">
      <c r="A194" s="173"/>
      <c r="F194" s="175"/>
      <c r="G194" s="175"/>
      <c r="N194" s="176"/>
    </row>
    <row r="195" spans="1:14" s="131" customFormat="1">
      <c r="A195" s="179"/>
      <c r="N195" s="180"/>
    </row>
    <row r="196" spans="1:14" s="131" customFormat="1">
      <c r="A196" s="179"/>
      <c r="N196" s="180"/>
    </row>
    <row r="197" spans="1:14" s="131" customFormat="1">
      <c r="A197" s="173"/>
      <c r="F197" s="175"/>
      <c r="G197" s="175"/>
      <c r="N197" s="176"/>
    </row>
    <row r="198" spans="1:14" s="131" customFormat="1">
      <c r="A198" s="173"/>
      <c r="F198" s="175"/>
      <c r="G198" s="175"/>
      <c r="N198" s="176"/>
    </row>
    <row r="199" spans="1:14" s="131" customFormat="1">
      <c r="A199" s="173"/>
      <c r="F199" s="175"/>
      <c r="G199" s="175"/>
      <c r="N199" s="176"/>
    </row>
    <row r="200" spans="1:14" s="131" customFormat="1">
      <c r="A200" s="173"/>
      <c r="F200" s="175"/>
      <c r="G200" s="175"/>
      <c r="N200" s="176"/>
    </row>
    <row r="201" spans="1:14" s="131" customFormat="1">
      <c r="A201" s="173"/>
      <c r="F201" s="175"/>
      <c r="G201" s="175"/>
      <c r="N201" s="176"/>
    </row>
    <row r="202" spans="1:14" s="131" customFormat="1">
      <c r="A202" s="173"/>
      <c r="F202" s="175"/>
      <c r="G202" s="175"/>
      <c r="N202" s="176"/>
    </row>
    <row r="203" spans="1:14" s="131" customFormat="1">
      <c r="A203" s="173"/>
      <c r="F203" s="175"/>
      <c r="G203" s="175"/>
      <c r="N203" s="176"/>
    </row>
    <row r="204" spans="1:14" s="131" customFormat="1">
      <c r="A204" s="173"/>
      <c r="F204" s="175"/>
      <c r="G204" s="175"/>
      <c r="N204" s="176"/>
    </row>
    <row r="205" spans="1:14" s="131" customFormat="1">
      <c r="A205" s="179"/>
      <c r="N205" s="180"/>
    </row>
    <row r="206" spans="1:14" s="131" customFormat="1">
      <c r="A206" s="179"/>
      <c r="N206" s="180"/>
    </row>
    <row r="207" spans="1:14" s="131" customFormat="1">
      <c r="A207" s="173"/>
      <c r="F207" s="175"/>
      <c r="G207" s="175"/>
      <c r="N207" s="176"/>
    </row>
    <row r="208" spans="1:14" s="131" customFormat="1">
      <c r="A208" s="173"/>
      <c r="F208" s="175"/>
      <c r="G208" s="175"/>
      <c r="N208" s="176"/>
    </row>
    <row r="209" spans="1:14" s="131" customFormat="1">
      <c r="A209" s="173"/>
      <c r="F209" s="175"/>
      <c r="G209" s="175"/>
      <c r="N209" s="176"/>
    </row>
    <row r="210" spans="1:14" s="131" customFormat="1">
      <c r="A210" s="173"/>
      <c r="F210" s="175"/>
      <c r="G210" s="175"/>
      <c r="N210" s="176"/>
    </row>
    <row r="211" spans="1:14" s="131" customFormat="1">
      <c r="A211" s="173"/>
      <c r="F211" s="175"/>
      <c r="G211" s="175"/>
      <c r="N211" s="176"/>
    </row>
    <row r="212" spans="1:14" s="131" customFormat="1">
      <c r="A212" s="179"/>
      <c r="N212" s="180"/>
    </row>
    <row r="213" spans="1:14" s="131" customFormat="1">
      <c r="A213" s="179"/>
      <c r="N213" s="180"/>
    </row>
    <row r="214" spans="1:14" s="131" customFormat="1">
      <c r="A214" s="173"/>
      <c r="F214" s="175"/>
      <c r="G214" s="175"/>
      <c r="N214" s="176"/>
    </row>
    <row r="215" spans="1:14" s="131" customFormat="1">
      <c r="A215" s="173"/>
      <c r="F215" s="175"/>
      <c r="G215" s="175"/>
      <c r="N215" s="176"/>
    </row>
    <row r="216" spans="1:14" s="131" customFormat="1">
      <c r="A216" s="173"/>
      <c r="F216" s="175"/>
      <c r="G216" s="175"/>
      <c r="N216" s="176"/>
    </row>
    <row r="217" spans="1:14" s="131" customFormat="1">
      <c r="A217" s="173"/>
      <c r="F217" s="175"/>
      <c r="G217" s="175"/>
      <c r="N217" s="176"/>
    </row>
    <row r="218" spans="1:14" s="131" customFormat="1">
      <c r="A218" s="173"/>
      <c r="F218" s="175"/>
      <c r="G218" s="175"/>
      <c r="N218" s="176"/>
    </row>
    <row r="219" spans="1:14" s="131" customFormat="1">
      <c r="A219" s="173"/>
      <c r="F219" s="175"/>
      <c r="G219" s="175"/>
      <c r="N219" s="176"/>
    </row>
    <row r="220" spans="1:14" s="131" customFormat="1">
      <c r="A220" s="173"/>
      <c r="F220" s="175"/>
      <c r="G220" s="175"/>
      <c r="N220" s="176"/>
    </row>
    <row r="221" spans="1:14" s="131" customFormat="1">
      <c r="A221" s="173"/>
      <c r="F221" s="175"/>
      <c r="G221" s="175"/>
      <c r="N221" s="176"/>
    </row>
    <row r="222" spans="1:14" s="131" customFormat="1">
      <c r="A222" s="173"/>
      <c r="F222" s="175"/>
      <c r="G222" s="175"/>
      <c r="N222" s="176"/>
    </row>
    <row r="223" spans="1:14" s="131" customFormat="1">
      <c r="A223" s="173"/>
      <c r="F223" s="175"/>
      <c r="G223" s="175"/>
      <c r="N223" s="176"/>
    </row>
    <row r="224" spans="1:14" s="131" customFormat="1">
      <c r="A224" s="173"/>
      <c r="F224" s="175"/>
      <c r="G224" s="175"/>
      <c r="N224" s="176"/>
    </row>
    <row r="225" spans="1:14" s="131" customFormat="1">
      <c r="A225" s="173"/>
      <c r="F225" s="175"/>
      <c r="G225" s="175"/>
      <c r="N225" s="176"/>
    </row>
    <row r="226" spans="1:14" s="131" customFormat="1">
      <c r="A226" s="173"/>
      <c r="F226" s="175"/>
      <c r="G226" s="175"/>
      <c r="N226" s="176"/>
    </row>
    <row r="227" spans="1:14" s="131" customFormat="1">
      <c r="A227" s="179"/>
      <c r="N227" s="180"/>
    </row>
    <row r="228" spans="1:14" s="131" customFormat="1">
      <c r="A228" s="179"/>
      <c r="N228" s="180"/>
    </row>
    <row r="229" spans="1:14" s="131" customFormat="1">
      <c r="A229" s="173"/>
      <c r="F229" s="175"/>
      <c r="G229" s="175"/>
      <c r="N229" s="176"/>
    </row>
    <row r="230" spans="1:14" s="131" customFormat="1">
      <c r="A230" s="173"/>
      <c r="F230" s="175"/>
      <c r="G230" s="175"/>
      <c r="N230" s="176"/>
    </row>
    <row r="231" spans="1:14" s="131" customFormat="1">
      <c r="A231" s="173"/>
      <c r="F231" s="175"/>
      <c r="G231" s="175"/>
      <c r="N231" s="176"/>
    </row>
    <row r="232" spans="1:14" s="131" customFormat="1">
      <c r="A232" s="173"/>
      <c r="F232" s="175"/>
      <c r="G232" s="175"/>
      <c r="N232" s="176"/>
    </row>
    <row r="233" spans="1:14" s="131" customFormat="1">
      <c r="A233" s="173"/>
    </row>
    <row r="234" spans="1:14">
      <c r="A234" s="177"/>
    </row>
  </sheetData>
  <mergeCells count="751">
    <mergeCell ref="AK2:AR2"/>
    <mergeCell ref="AS2:AX2"/>
    <mergeCell ref="AH3:AJ3"/>
    <mergeCell ref="S2:Z2"/>
    <mergeCell ref="AA2:AJ2"/>
    <mergeCell ref="A1:J1"/>
    <mergeCell ref="A2:J2"/>
    <mergeCell ref="K1:R1"/>
    <mergeCell ref="K2:R2"/>
    <mergeCell ref="P3:R3"/>
    <mergeCell ref="AJ102:AJ103"/>
    <mergeCell ref="AK102:AK103"/>
    <mergeCell ref="AL102:AL103"/>
    <mergeCell ref="B51:B52"/>
    <mergeCell ref="AB102:AB103"/>
    <mergeCell ref="AC102:AC103"/>
    <mergeCell ref="AD102:AD103"/>
    <mergeCell ref="AE102:AE103"/>
    <mergeCell ref="X102:X103"/>
    <mergeCell ref="Y102:Y103"/>
    <mergeCell ref="Z102:Z103"/>
    <mergeCell ref="AA102:AA103"/>
    <mergeCell ref="AH102:AH103"/>
    <mergeCell ref="AI102:AI103"/>
    <mergeCell ref="AM87:AM88"/>
    <mergeCell ref="AX102:AX103"/>
    <mergeCell ref="AV87:AV88"/>
    <mergeCell ref="AW87:AW88"/>
    <mergeCell ref="AX87:AX88"/>
    <mergeCell ref="AU87:AU88"/>
    <mergeCell ref="AP87:AP88"/>
    <mergeCell ref="AD87:AD88"/>
    <mergeCell ref="AE87:AE88"/>
    <mergeCell ref="AF87:AF88"/>
    <mergeCell ref="AJ87:AJ88"/>
    <mergeCell ref="AK87:AK88"/>
    <mergeCell ref="AL87:AL88"/>
    <mergeCell ref="AW80:AW81"/>
    <mergeCell ref="AX80:AX81"/>
    <mergeCell ref="S87:S88"/>
    <mergeCell ref="T87:T88"/>
    <mergeCell ref="U87:U88"/>
    <mergeCell ref="V87:V88"/>
    <mergeCell ref="W87:W88"/>
    <mergeCell ref="X87:X88"/>
    <mergeCell ref="Y87:Y88"/>
    <mergeCell ref="Z87:Z88"/>
    <mergeCell ref="AP80:AP81"/>
    <mergeCell ref="AQ80:AQ81"/>
    <mergeCell ref="AR80:AR81"/>
    <mergeCell ref="AS80:AS81"/>
    <mergeCell ref="AT80:AT81"/>
    <mergeCell ref="AU80:AU81"/>
    <mergeCell ref="AG80:AG81"/>
    <mergeCell ref="AH80:AH81"/>
    <mergeCell ref="AI80:AI81"/>
    <mergeCell ref="AJ80:AJ81"/>
    <mergeCell ref="AK80:AK81"/>
    <mergeCell ref="AN87:AN88"/>
    <mergeCell ref="AN80:AN81"/>
    <mergeCell ref="AG87:AG88"/>
    <mergeCell ref="AH87:AH88"/>
    <mergeCell ref="AI87:AI88"/>
    <mergeCell ref="AA80:AA81"/>
    <mergeCell ref="AB80:AB81"/>
    <mergeCell ref="AC80:AC81"/>
    <mergeCell ref="AD80:AD81"/>
    <mergeCell ref="AE80:AE81"/>
    <mergeCell ref="AF80:AF81"/>
    <mergeCell ref="AW70:AW71"/>
    <mergeCell ref="AX70:AX71"/>
    <mergeCell ref="S80:S81"/>
    <mergeCell ref="T80:T81"/>
    <mergeCell ref="U80:U81"/>
    <mergeCell ref="V80:V81"/>
    <mergeCell ref="W80:W81"/>
    <mergeCell ref="X80:X81"/>
    <mergeCell ref="Y80:Y81"/>
    <mergeCell ref="Z80:Z81"/>
    <mergeCell ref="AG70:AG71"/>
    <mergeCell ref="AH70:AH71"/>
    <mergeCell ref="AI70:AI71"/>
    <mergeCell ref="AJ70:AJ71"/>
    <mergeCell ref="AK70:AK71"/>
    <mergeCell ref="AL70:AL71"/>
    <mergeCell ref="AA70:AA71"/>
    <mergeCell ref="AB70:AB71"/>
    <mergeCell ref="AC70:AC71"/>
    <mergeCell ref="AD70:AD71"/>
    <mergeCell ref="AE70:AE71"/>
    <mergeCell ref="AF70:AF71"/>
    <mergeCell ref="AW63:AW64"/>
    <mergeCell ref="AX63:AX64"/>
    <mergeCell ref="S70:S71"/>
    <mergeCell ref="T70:T71"/>
    <mergeCell ref="U70:U71"/>
    <mergeCell ref="V70:V71"/>
    <mergeCell ref="W70:W71"/>
    <mergeCell ref="X70:X71"/>
    <mergeCell ref="Y70:Y71"/>
    <mergeCell ref="Z70:Z71"/>
    <mergeCell ref="AJ63:AJ64"/>
    <mergeCell ref="AK63:AK64"/>
    <mergeCell ref="AL63:AL64"/>
    <mergeCell ref="AM63:AM64"/>
    <mergeCell ref="AL80:AL81"/>
    <mergeCell ref="AV63:AV64"/>
    <mergeCell ref="AV80:AV81"/>
    <mergeCell ref="AU70:AU71"/>
    <mergeCell ref="AV70:AV71"/>
    <mergeCell ref="AO80:AO81"/>
    <mergeCell ref="AA63:AA64"/>
    <mergeCell ref="AB63:AB64"/>
    <mergeCell ref="AC63:AC64"/>
    <mergeCell ref="AD63:AD64"/>
    <mergeCell ref="AE63:AE64"/>
    <mergeCell ref="AF63:AF64"/>
    <mergeCell ref="AW58:AW59"/>
    <mergeCell ref="AX58:AX59"/>
    <mergeCell ref="S63:S64"/>
    <mergeCell ref="T63:T64"/>
    <mergeCell ref="U63:U64"/>
    <mergeCell ref="V63:V64"/>
    <mergeCell ref="W63:W64"/>
    <mergeCell ref="X63:X64"/>
    <mergeCell ref="Y63:Y64"/>
    <mergeCell ref="Z63:Z64"/>
    <mergeCell ref="AQ58:AQ59"/>
    <mergeCell ref="AR58:AR59"/>
    <mergeCell ref="AS58:AS59"/>
    <mergeCell ref="AT58:AT59"/>
    <mergeCell ref="AU58:AU59"/>
    <mergeCell ref="AM70:AM71"/>
    <mergeCell ref="AU63:AU64"/>
    <mergeCell ref="AP63:AP64"/>
    <mergeCell ref="AQ63:AQ64"/>
    <mergeCell ref="AR63:AR64"/>
    <mergeCell ref="AG58:AG59"/>
    <mergeCell ref="AH58:AH59"/>
    <mergeCell ref="AI58:AI59"/>
    <mergeCell ref="AJ58:AJ59"/>
    <mergeCell ref="AK58:AK59"/>
    <mergeCell ref="AN63:AN64"/>
    <mergeCell ref="AN58:AN59"/>
    <mergeCell ref="AG63:AG64"/>
    <mergeCell ref="AH63:AH64"/>
    <mergeCell ref="AI63:AI64"/>
    <mergeCell ref="AA58:AA59"/>
    <mergeCell ref="AB58:AB59"/>
    <mergeCell ref="AC58:AC59"/>
    <mergeCell ref="AD58:AD59"/>
    <mergeCell ref="AE58:AE59"/>
    <mergeCell ref="AF58:AF59"/>
    <mergeCell ref="AW51:AW52"/>
    <mergeCell ref="AX51:AX52"/>
    <mergeCell ref="S58:S59"/>
    <mergeCell ref="T58:T59"/>
    <mergeCell ref="U58:U59"/>
    <mergeCell ref="V58:V59"/>
    <mergeCell ref="W58:W59"/>
    <mergeCell ref="X58:X59"/>
    <mergeCell ref="Y58:Y59"/>
    <mergeCell ref="Z58:Z59"/>
    <mergeCell ref="AO51:AO52"/>
    <mergeCell ref="AP51:AP52"/>
    <mergeCell ref="AQ51:AQ52"/>
    <mergeCell ref="AR51:AR52"/>
    <mergeCell ref="AS51:AS52"/>
    <mergeCell ref="AV58:AV59"/>
    <mergeCell ref="AU51:AU52"/>
    <mergeCell ref="AV51:AV52"/>
    <mergeCell ref="AO58:AO59"/>
    <mergeCell ref="AP58:AP59"/>
    <mergeCell ref="AJ51:AJ52"/>
    <mergeCell ref="AK51:AK52"/>
    <mergeCell ref="AL58:AL59"/>
    <mergeCell ref="AL51:AL52"/>
    <mergeCell ref="AM51:AM52"/>
    <mergeCell ref="AN51:AN52"/>
    <mergeCell ref="AM58:AM59"/>
    <mergeCell ref="AA51:AA52"/>
    <mergeCell ref="AB51:AB52"/>
    <mergeCell ref="AT51:AT52"/>
    <mergeCell ref="AC51:AC52"/>
    <mergeCell ref="AD51:AD52"/>
    <mergeCell ref="AE51:AE52"/>
    <mergeCell ref="AF51:AF52"/>
    <mergeCell ref="AG51:AG52"/>
    <mergeCell ref="AH51:AH52"/>
    <mergeCell ref="AI51:AI52"/>
    <mergeCell ref="AK44:AK45"/>
    <mergeCell ref="AL44:AL45"/>
    <mergeCell ref="AM44:AM45"/>
    <mergeCell ref="T51:T52"/>
    <mergeCell ref="U51:U52"/>
    <mergeCell ref="V51:V52"/>
    <mergeCell ref="W51:W52"/>
    <mergeCell ref="X51:X52"/>
    <mergeCell ref="Y51:Y52"/>
    <mergeCell ref="Z51:Z52"/>
    <mergeCell ref="AE44:AE45"/>
    <mergeCell ref="AF44:AF45"/>
    <mergeCell ref="AG44:AG45"/>
    <mergeCell ref="AH44:AH45"/>
    <mergeCell ref="AI44:AI45"/>
    <mergeCell ref="AJ44:AJ45"/>
    <mergeCell ref="Y44:Y45"/>
    <mergeCell ref="Z44:Z45"/>
    <mergeCell ref="AA44:AA45"/>
    <mergeCell ref="AB44:AB45"/>
    <mergeCell ref="AC44:AC45"/>
    <mergeCell ref="AD44:AD45"/>
    <mergeCell ref="AT37:AT38"/>
    <mergeCell ref="AU37:AU38"/>
    <mergeCell ref="AV37:AV38"/>
    <mergeCell ref="AW37:AW38"/>
    <mergeCell ref="AX37:AX38"/>
    <mergeCell ref="S44:S45"/>
    <mergeCell ref="T44:T45"/>
    <mergeCell ref="U44:U45"/>
    <mergeCell ref="V44:V45"/>
    <mergeCell ref="W44:W45"/>
    <mergeCell ref="AN37:AN38"/>
    <mergeCell ref="AO37:AO38"/>
    <mergeCell ref="AP37:AP38"/>
    <mergeCell ref="AQ37:AQ38"/>
    <mergeCell ref="AR37:AR38"/>
    <mergeCell ref="AS37:AS38"/>
    <mergeCell ref="AH37:AH38"/>
    <mergeCell ref="AI37:AI38"/>
    <mergeCell ref="AJ37:AJ38"/>
    <mergeCell ref="AK37:AK38"/>
    <mergeCell ref="AL37:AL38"/>
    <mergeCell ref="AM37:AM38"/>
    <mergeCell ref="AB37:AB38"/>
    <mergeCell ref="AC37:AC38"/>
    <mergeCell ref="AD37:AD38"/>
    <mergeCell ref="AE37:AE38"/>
    <mergeCell ref="AF37:AF38"/>
    <mergeCell ref="AG37:AG38"/>
    <mergeCell ref="AU31:AU32"/>
    <mergeCell ref="AV31:AV32"/>
    <mergeCell ref="AW31:AW32"/>
    <mergeCell ref="AX31:AX32"/>
    <mergeCell ref="S37:S38"/>
    <mergeCell ref="T37:T38"/>
    <mergeCell ref="U37:U38"/>
    <mergeCell ref="V37:V38"/>
    <mergeCell ref="W37:W38"/>
    <mergeCell ref="X37:X38"/>
    <mergeCell ref="AO31:AO32"/>
    <mergeCell ref="AP31:AP32"/>
    <mergeCell ref="AQ31:AQ32"/>
    <mergeCell ref="AR31:AR32"/>
    <mergeCell ref="AS31:AS32"/>
    <mergeCell ref="AT31:AT32"/>
    <mergeCell ref="AI31:AI32"/>
    <mergeCell ref="AJ31:AJ32"/>
    <mergeCell ref="AK31:AK32"/>
    <mergeCell ref="AL31:AL32"/>
    <mergeCell ref="AM31:AM32"/>
    <mergeCell ref="AN31:AN32"/>
    <mergeCell ref="AC31:AC32"/>
    <mergeCell ref="AD31:AD32"/>
    <mergeCell ref="AE31:AE32"/>
    <mergeCell ref="AF31:AF32"/>
    <mergeCell ref="AG31:AG32"/>
    <mergeCell ref="AH31:AH32"/>
    <mergeCell ref="AS18:AS19"/>
    <mergeCell ref="AT18:AT19"/>
    <mergeCell ref="AU18:AU19"/>
    <mergeCell ref="AV18:AV19"/>
    <mergeCell ref="AW18:AW19"/>
    <mergeCell ref="AX18:AX19"/>
    <mergeCell ref="AM18:AM19"/>
    <mergeCell ref="AN18:AN19"/>
    <mergeCell ref="AO18:AO19"/>
    <mergeCell ref="AP18:AP19"/>
    <mergeCell ref="AQ18:AQ19"/>
    <mergeCell ref="AR18:AR19"/>
    <mergeCell ref="AG18:AG19"/>
    <mergeCell ref="AH18:AH19"/>
    <mergeCell ref="AI18:AI19"/>
    <mergeCell ref="AJ18:AJ19"/>
    <mergeCell ref="AK18:AK19"/>
    <mergeCell ref="AL18:AL19"/>
    <mergeCell ref="X18:X19"/>
    <mergeCell ref="Y18:Y19"/>
    <mergeCell ref="AC18:AC19"/>
    <mergeCell ref="AD18:AD19"/>
    <mergeCell ref="AE18:AE19"/>
    <mergeCell ref="AF18:AF19"/>
    <mergeCell ref="AQ10:AQ11"/>
    <mergeCell ref="AR10:AR11"/>
    <mergeCell ref="AS10:AS11"/>
    <mergeCell ref="AT10:AT11"/>
    <mergeCell ref="AX10:AX11"/>
    <mergeCell ref="S18:S19"/>
    <mergeCell ref="T18:T19"/>
    <mergeCell ref="U18:U19"/>
    <mergeCell ref="V18:V19"/>
    <mergeCell ref="W18:W19"/>
    <mergeCell ref="AU8:AU9"/>
    <mergeCell ref="AV8:AV9"/>
    <mergeCell ref="AW8:AW9"/>
    <mergeCell ref="AX8:AX9"/>
    <mergeCell ref="Z10:Z11"/>
    <mergeCell ref="AA10:AA11"/>
    <mergeCell ref="AB10:AB11"/>
    <mergeCell ref="AC10:AC11"/>
    <mergeCell ref="AD10:AD11"/>
    <mergeCell ref="AE10:AE11"/>
    <mergeCell ref="AO8:AO9"/>
    <mergeCell ref="AP8:AP9"/>
    <mergeCell ref="AQ8:AQ9"/>
    <mergeCell ref="AR8:AR9"/>
    <mergeCell ref="AS8:AS9"/>
    <mergeCell ref="AT8:AT9"/>
    <mergeCell ref="AI8:AI9"/>
    <mergeCell ref="AJ8:AJ9"/>
    <mergeCell ref="AK8:AK9"/>
    <mergeCell ref="AL8:AL9"/>
    <mergeCell ref="AM8:AM9"/>
    <mergeCell ref="AN8:AN9"/>
    <mergeCell ref="AE8:AE9"/>
    <mergeCell ref="AF8:AF9"/>
    <mergeCell ref="AG8:AG9"/>
    <mergeCell ref="AH8:AH9"/>
    <mergeCell ref="AC5:AD6"/>
    <mergeCell ref="AE5:AF6"/>
    <mergeCell ref="AG4:AH6"/>
    <mergeCell ref="AW4:AX6"/>
    <mergeCell ref="AU4:AV6"/>
    <mergeCell ref="AS4:AT6"/>
    <mergeCell ref="AQ4:AR6"/>
    <mergeCell ref="AY3:BA3"/>
    <mergeCell ref="C5:D6"/>
    <mergeCell ref="S4:T6"/>
    <mergeCell ref="U4:V6"/>
    <mergeCell ref="W4:X6"/>
    <mergeCell ref="Y4:Z6"/>
    <mergeCell ref="AA4:AB6"/>
    <mergeCell ref="AC4:AF4"/>
    <mergeCell ref="AM4:AN6"/>
    <mergeCell ref="AK4:AL6"/>
    <mergeCell ref="AI4:AJ6"/>
    <mergeCell ref="V8:V9"/>
    <mergeCell ref="Z8:Z9"/>
    <mergeCell ref="AB8:AB9"/>
    <mergeCell ref="AC8:AC9"/>
    <mergeCell ref="AD8:AD9"/>
    <mergeCell ref="U8:U9"/>
    <mergeCell ref="T8:T9"/>
    <mergeCell ref="S8:S9"/>
    <mergeCell ref="W8:W9"/>
    <mergeCell ref="X8:X9"/>
    <mergeCell ref="Y8:Y9"/>
    <mergeCell ref="AY4:BA7"/>
    <mergeCell ref="E6:F6"/>
    <mergeCell ref="G6:H6"/>
    <mergeCell ref="O4:P6"/>
    <mergeCell ref="Q4:R6"/>
    <mergeCell ref="F8:F9"/>
    <mergeCell ref="G8:G9"/>
    <mergeCell ref="H8:H9"/>
    <mergeCell ref="I8:I9"/>
    <mergeCell ref="J8:J9"/>
    <mergeCell ref="A4:A7"/>
    <mergeCell ref="B4:B7"/>
    <mergeCell ref="K4:L6"/>
    <mergeCell ref="M4:N6"/>
    <mergeCell ref="AO4:AP6"/>
    <mergeCell ref="A8:A9"/>
    <mergeCell ref="B8:B9"/>
    <mergeCell ref="C8:C9"/>
    <mergeCell ref="D8:D9"/>
    <mergeCell ref="E8:E9"/>
    <mergeCell ref="K8:K9"/>
    <mergeCell ref="L8:L9"/>
    <mergeCell ref="AY8:BA9"/>
    <mergeCell ref="M8:M9"/>
    <mergeCell ref="N8:N9"/>
    <mergeCell ref="O8:O9"/>
    <mergeCell ref="P8:P9"/>
    <mergeCell ref="Q8:Q9"/>
    <mergeCell ref="R8:R9"/>
    <mergeCell ref="AA8:AA9"/>
    <mergeCell ref="AW10:AW11"/>
    <mergeCell ref="A10:A11"/>
    <mergeCell ref="B10:B11"/>
    <mergeCell ref="C10:C11"/>
    <mergeCell ref="D10:D11"/>
    <mergeCell ref="E10:E11"/>
    <mergeCell ref="F10:F11"/>
    <mergeCell ref="AF10:AF11"/>
    <mergeCell ref="AG10:AG11"/>
    <mergeCell ref="AH10:AH11"/>
    <mergeCell ref="V10:V11"/>
    <mergeCell ref="W10:W11"/>
    <mergeCell ref="X10:X11"/>
    <mergeCell ref="Y10:Y11"/>
    <mergeCell ref="G10:G11"/>
    <mergeCell ref="H10:H11"/>
    <mergeCell ref="I10:I11"/>
    <mergeCell ref="J10:J11"/>
    <mergeCell ref="K10:K11"/>
    <mergeCell ref="L10:L11"/>
    <mergeCell ref="AU10:AU11"/>
    <mergeCell ref="AV10:AV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Y10:BA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AY18:BA19"/>
    <mergeCell ref="M18:M19"/>
    <mergeCell ref="N18:N19"/>
    <mergeCell ref="O18:O19"/>
    <mergeCell ref="P18:P19"/>
    <mergeCell ref="Q18:Q19"/>
    <mergeCell ref="R18:R19"/>
    <mergeCell ref="Z18:Z19"/>
    <mergeCell ref="AA18:AA19"/>
    <mergeCell ref="AB18:AB19"/>
    <mergeCell ref="AB31:AB32"/>
    <mergeCell ref="A31:A32"/>
    <mergeCell ref="B31:B32"/>
    <mergeCell ref="C31:C32"/>
    <mergeCell ref="D31:D32"/>
    <mergeCell ref="E31:E32"/>
    <mergeCell ref="F31:F32"/>
    <mergeCell ref="V31:V32"/>
    <mergeCell ref="W31:W32"/>
    <mergeCell ref="X31:X32"/>
    <mergeCell ref="Y31:Y32"/>
    <mergeCell ref="Z31:Z32"/>
    <mergeCell ref="AA31:AA32"/>
    <mergeCell ref="G31:G32"/>
    <mergeCell ref="H31:H32"/>
    <mergeCell ref="I31:I32"/>
    <mergeCell ref="J31:J32"/>
    <mergeCell ref="K31:K32"/>
    <mergeCell ref="L31:L32"/>
    <mergeCell ref="AY31:BA32"/>
    <mergeCell ref="M31:M32"/>
    <mergeCell ref="N31:N32"/>
    <mergeCell ref="O31:O32"/>
    <mergeCell ref="P31:P32"/>
    <mergeCell ref="Q31:Q32"/>
    <mergeCell ref="R31:R32"/>
    <mergeCell ref="S31:S32"/>
    <mergeCell ref="T31:T32"/>
    <mergeCell ref="U31:U32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AY37:BA38"/>
    <mergeCell ref="M37:M38"/>
    <mergeCell ref="N37:N38"/>
    <mergeCell ref="O37:O38"/>
    <mergeCell ref="P37:P38"/>
    <mergeCell ref="Q37:Q38"/>
    <mergeCell ref="R37:R38"/>
    <mergeCell ref="Y37:Y38"/>
    <mergeCell ref="Z37:Z38"/>
    <mergeCell ref="AA37:AA38"/>
    <mergeCell ref="AV44:AV45"/>
    <mergeCell ref="AW44:AW45"/>
    <mergeCell ref="AX44:AX45"/>
    <mergeCell ref="A44:A45"/>
    <mergeCell ref="B44:B45"/>
    <mergeCell ref="C44:C45"/>
    <mergeCell ref="D44:D45"/>
    <mergeCell ref="E44:E45"/>
    <mergeCell ref="F44:F45"/>
    <mergeCell ref="X44:X45"/>
    <mergeCell ref="AP44:AP45"/>
    <mergeCell ref="AQ44:AQ45"/>
    <mergeCell ref="AR44:AR45"/>
    <mergeCell ref="AS44:AS45"/>
    <mergeCell ref="AT44:AT45"/>
    <mergeCell ref="AU44:AU45"/>
    <mergeCell ref="G44:G45"/>
    <mergeCell ref="H44:H45"/>
    <mergeCell ref="I44:I45"/>
    <mergeCell ref="J44:J45"/>
    <mergeCell ref="K44:K45"/>
    <mergeCell ref="L44:L45"/>
    <mergeCell ref="S51:S52"/>
    <mergeCell ref="AY44:BA45"/>
    <mergeCell ref="M44:M45"/>
    <mergeCell ref="N44:N45"/>
    <mergeCell ref="O44:O45"/>
    <mergeCell ref="P44:P45"/>
    <mergeCell ref="Q44:Q45"/>
    <mergeCell ref="R44:R45"/>
    <mergeCell ref="AN44:AN45"/>
    <mergeCell ref="AO44:AO45"/>
    <mergeCell ref="A51:A52"/>
    <mergeCell ref="C51:C52"/>
    <mergeCell ref="D51:D52"/>
    <mergeCell ref="E51:E52"/>
    <mergeCell ref="F51:F52"/>
    <mergeCell ref="G51:G52"/>
    <mergeCell ref="Q51:Q52"/>
    <mergeCell ref="R51:R52"/>
    <mergeCell ref="H51:H52"/>
    <mergeCell ref="I51:I52"/>
    <mergeCell ref="J51:J52"/>
    <mergeCell ref="K51:K52"/>
    <mergeCell ref="L51:L52"/>
    <mergeCell ref="M51:M52"/>
    <mergeCell ref="AY51:BA52"/>
    <mergeCell ref="A58:A59"/>
    <mergeCell ref="B58:B59"/>
    <mergeCell ref="C58:C59"/>
    <mergeCell ref="D58:D59"/>
    <mergeCell ref="E58:E59"/>
    <mergeCell ref="N51:N52"/>
    <mergeCell ref="O51:O52"/>
    <mergeCell ref="P51:P52"/>
    <mergeCell ref="F58:F59"/>
    <mergeCell ref="G58:G59"/>
    <mergeCell ref="H58:H59"/>
    <mergeCell ref="I58:I59"/>
    <mergeCell ref="J58:J59"/>
    <mergeCell ref="K58:K59"/>
    <mergeCell ref="I63:I64"/>
    <mergeCell ref="R58:R59"/>
    <mergeCell ref="L58:L59"/>
    <mergeCell ref="M58:M59"/>
    <mergeCell ref="N58:N59"/>
    <mergeCell ref="O58:O59"/>
    <mergeCell ref="P58:P59"/>
    <mergeCell ref="Q58:Q59"/>
    <mergeCell ref="AY58:BA59"/>
    <mergeCell ref="A63:A64"/>
    <mergeCell ref="B63:B64"/>
    <mergeCell ref="C63:C64"/>
    <mergeCell ref="D63:D64"/>
    <mergeCell ref="E63:E64"/>
    <mergeCell ref="F63:F64"/>
    <mergeCell ref="G63:G64"/>
    <mergeCell ref="H63:H64"/>
    <mergeCell ref="AO63:AO64"/>
    <mergeCell ref="AS63:AS64"/>
    <mergeCell ref="AT63:AT64"/>
    <mergeCell ref="Q63:Q64"/>
    <mergeCell ref="R63:R64"/>
    <mergeCell ref="J63:J64"/>
    <mergeCell ref="K63:K64"/>
    <mergeCell ref="L63:L64"/>
    <mergeCell ref="M63:M64"/>
    <mergeCell ref="N63:N64"/>
    <mergeCell ref="O63:O64"/>
    <mergeCell ref="AT70:AT71"/>
    <mergeCell ref="AY63:BA64"/>
    <mergeCell ref="A70:A71"/>
    <mergeCell ref="B70:B71"/>
    <mergeCell ref="C70:C71"/>
    <mergeCell ref="D70:D71"/>
    <mergeCell ref="E70:E71"/>
    <mergeCell ref="F70:F71"/>
    <mergeCell ref="G70:G71"/>
    <mergeCell ref="P63:P64"/>
    <mergeCell ref="AN70:AN71"/>
    <mergeCell ref="AO70:AO71"/>
    <mergeCell ref="AP70:AP71"/>
    <mergeCell ref="AQ70:AQ71"/>
    <mergeCell ref="AR70:AR71"/>
    <mergeCell ref="AS70:AS71"/>
    <mergeCell ref="Q70:Q71"/>
    <mergeCell ref="R70:R71"/>
    <mergeCell ref="H70:H71"/>
    <mergeCell ref="I70:I71"/>
    <mergeCell ref="J70:J71"/>
    <mergeCell ref="K70:K71"/>
    <mergeCell ref="L70:L71"/>
    <mergeCell ref="M70:M71"/>
    <mergeCell ref="AM80:AM81"/>
    <mergeCell ref="AY70:BA71"/>
    <mergeCell ref="A80:A81"/>
    <mergeCell ref="B80:B81"/>
    <mergeCell ref="C80:C81"/>
    <mergeCell ref="D80:D81"/>
    <mergeCell ref="E80:E81"/>
    <mergeCell ref="N70:N71"/>
    <mergeCell ref="O70:O71"/>
    <mergeCell ref="P70:P71"/>
    <mergeCell ref="F80:F81"/>
    <mergeCell ref="G80:G81"/>
    <mergeCell ref="H80:H81"/>
    <mergeCell ref="I80:I81"/>
    <mergeCell ref="J80:J81"/>
    <mergeCell ref="K80:K81"/>
    <mergeCell ref="I87:I88"/>
    <mergeCell ref="R80:R81"/>
    <mergeCell ref="L80:L81"/>
    <mergeCell ref="M80:M81"/>
    <mergeCell ref="N80:N81"/>
    <mergeCell ref="O80:O81"/>
    <mergeCell ref="P80:P81"/>
    <mergeCell ref="Q80:Q81"/>
    <mergeCell ref="J87:J88"/>
    <mergeCell ref="K87:K88"/>
    <mergeCell ref="AY80:BA81"/>
    <mergeCell ref="A87:A88"/>
    <mergeCell ref="B87:B88"/>
    <mergeCell ref="C87:C88"/>
    <mergeCell ref="D87:D88"/>
    <mergeCell ref="E87:E88"/>
    <mergeCell ref="F87:F88"/>
    <mergeCell ref="G87:G88"/>
    <mergeCell ref="H87:H88"/>
    <mergeCell ref="AO87:AO88"/>
    <mergeCell ref="AQ87:AQ88"/>
    <mergeCell ref="AR87:AR88"/>
    <mergeCell ref="AS87:AS88"/>
    <mergeCell ref="AT87:AT88"/>
    <mergeCell ref="P87:P88"/>
    <mergeCell ref="Q87:Q88"/>
    <mergeCell ref="R87:R88"/>
    <mergeCell ref="AA87:AA88"/>
    <mergeCell ref="AB87:AB88"/>
    <mergeCell ref="AC87:AC88"/>
    <mergeCell ref="L87:L88"/>
    <mergeCell ref="M87:M88"/>
    <mergeCell ref="N87:N88"/>
    <mergeCell ref="O87:O88"/>
    <mergeCell ref="AV102:AV103"/>
    <mergeCell ref="AW102:AW103"/>
    <mergeCell ref="AR102:AR103"/>
    <mergeCell ref="AS102:AS103"/>
    <mergeCell ref="AT102:AT103"/>
    <mergeCell ref="AU102:AU103"/>
    <mergeCell ref="AY87:BA88"/>
    <mergeCell ref="A102:A103"/>
    <mergeCell ref="B102:B103"/>
    <mergeCell ref="C102:C103"/>
    <mergeCell ref="D102:D103"/>
    <mergeCell ref="E102:E103"/>
    <mergeCell ref="F102:F103"/>
    <mergeCell ref="G102:G103"/>
    <mergeCell ref="AP102:AP103"/>
    <mergeCell ref="AQ102:AQ103"/>
    <mergeCell ref="AN102:AN103"/>
    <mergeCell ref="AO102:AO103"/>
    <mergeCell ref="AM102:AM103"/>
    <mergeCell ref="S102:S103"/>
    <mergeCell ref="T102:T103"/>
    <mergeCell ref="U102:U103"/>
    <mergeCell ref="AF102:AF103"/>
    <mergeCell ref="AG102:AG103"/>
    <mergeCell ref="V102:V103"/>
    <mergeCell ref="W102:W103"/>
    <mergeCell ref="P102:P103"/>
    <mergeCell ref="Q102:Q103"/>
    <mergeCell ref="R102:R103"/>
    <mergeCell ref="J102:J103"/>
    <mergeCell ref="K102:K103"/>
    <mergeCell ref="L102:L103"/>
    <mergeCell ref="M102:M103"/>
    <mergeCell ref="H102:H103"/>
    <mergeCell ref="I102:I103"/>
    <mergeCell ref="AY111:BA111"/>
    <mergeCell ref="A124:F126"/>
    <mergeCell ref="G124:N126"/>
    <mergeCell ref="F127:N127"/>
    <mergeCell ref="AY102:BA103"/>
    <mergeCell ref="AY110:BA110"/>
    <mergeCell ref="N102:N103"/>
    <mergeCell ref="O102:O103"/>
    <mergeCell ref="A128:A131"/>
    <mergeCell ref="B128:E129"/>
    <mergeCell ref="F128:G130"/>
    <mergeCell ref="H128:K130"/>
    <mergeCell ref="L128:M130"/>
    <mergeCell ref="N128:N131"/>
    <mergeCell ref="K134:K136"/>
    <mergeCell ref="L134:L136"/>
    <mergeCell ref="M134:M136"/>
    <mergeCell ref="B130:C130"/>
    <mergeCell ref="D130:E130"/>
    <mergeCell ref="A134:A136"/>
    <mergeCell ref="B134:B136"/>
    <mergeCell ref="C134:C136"/>
    <mergeCell ref="D134:D136"/>
    <mergeCell ref="E134:E136"/>
    <mergeCell ref="N134:N136"/>
    <mergeCell ref="A143:A144"/>
    <mergeCell ref="N143:N144"/>
    <mergeCell ref="A156:A157"/>
    <mergeCell ref="N156:N157"/>
    <mergeCell ref="A162:A163"/>
    <mergeCell ref="N162:N163"/>
    <mergeCell ref="F134:F136"/>
    <mergeCell ref="G134:G136"/>
    <mergeCell ref="H134:H136"/>
    <mergeCell ref="N195:N196"/>
    <mergeCell ref="A205:A206"/>
    <mergeCell ref="N205:N206"/>
    <mergeCell ref="A169:A170"/>
    <mergeCell ref="N169:N170"/>
    <mergeCell ref="A176:A177"/>
    <mergeCell ref="N176:N177"/>
    <mergeCell ref="A183:A184"/>
    <mergeCell ref="N183:N184"/>
    <mergeCell ref="A212:A213"/>
    <mergeCell ref="N212:N213"/>
    <mergeCell ref="A227:A228"/>
    <mergeCell ref="N227:N228"/>
    <mergeCell ref="I4:J6"/>
    <mergeCell ref="E5:H5"/>
    <mergeCell ref="C4:H4"/>
    <mergeCell ref="A188:A189"/>
    <mergeCell ref="N188:N189"/>
    <mergeCell ref="A195:A19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ΠΙΝΑΚΑΣ 3α ΣΥΝΟΛΙΚΟΣ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2015-05-06T12:55:54Z</dcterms:created>
  <dcterms:modified xsi:type="dcterms:W3CDTF">2016-09-02T08:03:39Z</dcterms:modified>
</cp:coreProperties>
</file>