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8" i="1"/>
  <c r="B12"/>
  <c r="D12"/>
  <c r="C8"/>
  <c r="D107"/>
  <c r="B107"/>
  <c r="D106"/>
  <c r="B106"/>
  <c r="D105"/>
  <c r="B105"/>
  <c r="D104"/>
  <c r="B104"/>
  <c r="D101"/>
  <c r="B101"/>
  <c r="D100"/>
  <c r="B100"/>
  <c r="D99"/>
  <c r="B99"/>
  <c r="D98"/>
  <c r="B98"/>
  <c r="D97"/>
  <c r="B97"/>
  <c r="D96"/>
  <c r="B96"/>
  <c r="D95"/>
  <c r="B95"/>
  <c r="D94"/>
  <c r="B94"/>
  <c r="D93"/>
  <c r="B93"/>
  <c r="D92"/>
  <c r="B92"/>
  <c r="D91"/>
  <c r="B91"/>
  <c r="D90"/>
  <c r="B90"/>
  <c r="D89"/>
  <c r="B89"/>
  <c r="D86"/>
  <c r="B86"/>
  <c r="D85"/>
  <c r="B85"/>
  <c r="D84"/>
  <c r="B84"/>
  <c r="D83"/>
  <c r="B83"/>
  <c r="D82"/>
  <c r="B82"/>
  <c r="D79"/>
  <c r="B79"/>
  <c r="D78"/>
  <c r="B78"/>
  <c r="D77"/>
  <c r="B77"/>
  <c r="D76"/>
  <c r="B76"/>
  <c r="D75"/>
  <c r="B75"/>
  <c r="D74"/>
  <c r="B74"/>
  <c r="D73"/>
  <c r="B73"/>
  <c r="D72"/>
  <c r="B72"/>
  <c r="D69"/>
  <c r="B69"/>
  <c r="D68"/>
  <c r="B68"/>
  <c r="D67"/>
  <c r="B67"/>
  <c r="D66"/>
  <c r="B66"/>
  <c r="D65"/>
  <c r="B65"/>
  <c r="D62"/>
  <c r="B62"/>
  <c r="D61"/>
  <c r="B61"/>
  <c r="D60"/>
  <c r="B60"/>
  <c r="D57"/>
  <c r="B57"/>
  <c r="D56"/>
  <c r="B56"/>
  <c r="D55"/>
  <c r="B55"/>
  <c r="D54"/>
  <c r="B54"/>
  <c r="D53"/>
  <c r="B53"/>
  <c r="D50"/>
  <c r="B50"/>
  <c r="D49"/>
  <c r="B49"/>
  <c r="D48"/>
  <c r="B48"/>
  <c r="D47"/>
  <c r="B47"/>
  <c r="D46"/>
  <c r="B46"/>
  <c r="D43"/>
  <c r="B43"/>
  <c r="D42"/>
  <c r="B42"/>
  <c r="D41"/>
  <c r="B41"/>
  <c r="D40"/>
  <c r="B40"/>
  <c r="D39"/>
  <c r="B39"/>
  <c r="D36"/>
  <c r="B36"/>
  <c r="D35"/>
  <c r="B35"/>
  <c r="D34"/>
  <c r="B34"/>
  <c r="D33"/>
  <c r="B33"/>
  <c r="D20"/>
  <c r="B20"/>
  <c r="D30"/>
  <c r="B30"/>
  <c r="D29"/>
  <c r="B29"/>
  <c r="D28"/>
  <c r="B28"/>
  <c r="D27"/>
  <c r="B27"/>
  <c r="D26"/>
  <c r="B26"/>
  <c r="D25"/>
  <c r="B25"/>
  <c r="D24"/>
  <c r="B24"/>
  <c r="D23"/>
  <c r="B23"/>
  <c r="D22"/>
  <c r="B22"/>
  <c r="D21"/>
  <c r="B21"/>
  <c r="D13"/>
  <c r="B13"/>
  <c r="D14"/>
  <c r="B14"/>
  <c r="D15"/>
  <c r="B15"/>
  <c r="D16"/>
  <c r="B16"/>
  <c r="D17"/>
  <c r="B17"/>
  <c r="D102"/>
  <c r="D87"/>
  <c r="D80"/>
  <c r="D70"/>
  <c r="D63"/>
  <c r="D58"/>
  <c r="D51"/>
  <c r="D44"/>
  <c r="D37"/>
  <c r="D31"/>
  <c r="D18"/>
  <c r="D10"/>
  <c r="C102"/>
  <c r="C87"/>
  <c r="C80"/>
  <c r="C70"/>
  <c r="C63"/>
  <c r="C58"/>
  <c r="C51"/>
  <c r="C44"/>
  <c r="C37"/>
  <c r="C31"/>
  <c r="C18"/>
  <c r="C10"/>
  <c r="F10"/>
  <c r="G10"/>
  <c r="H10"/>
  <c r="I10"/>
  <c r="J10"/>
  <c r="K10"/>
  <c r="L10"/>
  <c r="E10"/>
  <c r="L102"/>
  <c r="K102"/>
  <c r="J102"/>
  <c r="I102"/>
  <c r="H102"/>
  <c r="G102"/>
  <c r="F102"/>
  <c r="E102"/>
  <c r="L87"/>
  <c r="K87"/>
  <c r="J87"/>
  <c r="I87"/>
  <c r="H87"/>
  <c r="G87"/>
  <c r="F87"/>
  <c r="E87"/>
  <c r="L80"/>
  <c r="K80"/>
  <c r="J80"/>
  <c r="I80"/>
  <c r="H80"/>
  <c r="G80"/>
  <c r="F80"/>
  <c r="E80"/>
  <c r="L70"/>
  <c r="K70"/>
  <c r="J70"/>
  <c r="I70"/>
  <c r="H70"/>
  <c r="G70"/>
  <c r="F70"/>
  <c r="E70"/>
  <c r="L63"/>
  <c r="K63"/>
  <c r="J63"/>
  <c r="I63"/>
  <c r="H63"/>
  <c r="G63"/>
  <c r="F63"/>
  <c r="E63"/>
  <c r="L58"/>
  <c r="K58"/>
  <c r="J58"/>
  <c r="I58"/>
  <c r="H58"/>
  <c r="G58"/>
  <c r="F58"/>
  <c r="E58"/>
  <c r="L51"/>
  <c r="K51"/>
  <c r="J51"/>
  <c r="I51"/>
  <c r="H51"/>
  <c r="G51"/>
  <c r="F51"/>
  <c r="E51"/>
  <c r="L44"/>
  <c r="K44"/>
  <c r="J44"/>
  <c r="I44"/>
  <c r="H44"/>
  <c r="G44"/>
  <c r="F44"/>
  <c r="E44"/>
  <c r="L37"/>
  <c r="K37"/>
  <c r="J37"/>
  <c r="I37"/>
  <c r="H37"/>
  <c r="G37"/>
  <c r="F37"/>
  <c r="E37"/>
  <c r="L31"/>
  <c r="K31"/>
  <c r="J31"/>
  <c r="I31"/>
  <c r="H31"/>
  <c r="G31"/>
  <c r="F31"/>
  <c r="E31"/>
  <c r="L18"/>
  <c r="K18"/>
  <c r="J18"/>
  <c r="I18"/>
  <c r="H18"/>
  <c r="H8"/>
  <c r="G18"/>
  <c r="G8"/>
  <c r="F18"/>
  <c r="F8"/>
  <c r="E18"/>
  <c r="E8"/>
  <c r="B18"/>
  <c r="B37"/>
  <c r="B51"/>
  <c r="B63"/>
  <c r="B80"/>
  <c r="B102"/>
  <c r="B10"/>
  <c r="B31"/>
  <c r="B44"/>
  <c r="B58"/>
  <c r="B87"/>
  <c r="B70"/>
  <c r="D8"/>
  <c r="L8"/>
  <c r="K8"/>
  <c r="J8"/>
  <c r="I8"/>
</calcChain>
</file>

<file path=xl/sharedStrings.xml><?xml version="1.0" encoding="utf-8"?>
<sst xmlns="http://schemas.openxmlformats.org/spreadsheetml/2006/main" count="484" uniqueCount="196">
  <si>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</si>
  <si>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</si>
  <si>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</si>
  <si>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</si>
  <si>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</si>
  <si>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</si>
  <si>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</si>
  <si>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</si>
  <si>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</si>
  <si>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</si>
  <si>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</si>
  <si>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</si>
  <si>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</si>
  <si>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</si>
  <si>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</si>
  <si>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</si>
  <si>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</si>
  <si>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</si>
  <si>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</si>
  <si>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</si>
  <si>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</si>
  <si>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</si>
  <si>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</si>
  <si>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</si>
  <si>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</si>
  <si>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</si>
  <si>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</si>
  <si>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</si>
  <si>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</si>
  <si>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</si>
  <si>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</si>
  <si>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</si>
  <si>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</si>
  <si>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</si>
  <si>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</si>
  <si>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</si>
  <si>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</si>
  <si>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</si>
  <si>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</si>
  <si>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</si>
  <si>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</si>
  <si>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</si>
  <si>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</si>
  <si>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</si>
  <si>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</si>
  <si>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</si>
  <si>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</si>
  <si>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</si>
  <si>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</si>
  <si>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</si>
  <si>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</si>
  <si>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</si>
  <si>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</si>
  <si>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</si>
  <si>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</si>
  <si>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</si>
  <si>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</si>
  <si>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</si>
  <si>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</si>
  <si>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</si>
  <si>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</si>
  <si>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</si>
  <si>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</si>
  <si>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</si>
  <si>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</si>
  <si>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</si>
  <si>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</si>
  <si>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</si>
  <si>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</si>
  <si>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</si>
  <si>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</si>
  <si>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</si>
  <si>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</si>
  <si>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</si>
  <si>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</si>
  <si>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</si>
  <si>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</si>
  <si>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</si>
  <si>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</si>
  <si>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</si>
  <si>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</si>
  <si>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</si>
  <si>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</si>
  <si>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</si>
  <si>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</si>
  <si>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</si>
  <si>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</si>
  <si>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</si>
  <si>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</si>
  <si>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</si>
  <si>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</si>
  <si>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</si>
  <si>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</si>
  <si>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</si>
  <si>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</si>
  <si>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</si>
  <si>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</si>
  <si>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</si>
  <si>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</si>
  <si>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</si>
  <si>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</si>
  <si>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</si>
  <si>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</si>
  <si>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</si>
  <si>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</si>
  <si>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</si>
  <si>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</si>
  <si>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</si>
  <si>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</si>
  <si>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</si>
  <si>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</si>
  <si>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</si>
  <si>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</si>
  <si>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</si>
  <si>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</si>
  <si>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</si>
  <si>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</si>
  <si>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</si>
  <si>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</si>
  <si>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</si>
  <si>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</si>
  <si>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</si>
  <si>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</si>
  <si>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</si>
  <si>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</si>
  <si>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</si>
  <si>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</si>
  <si>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</si>
  <si>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</si>
  <si>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</si>
  <si>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</si>
  <si>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</si>
  <si>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</si>
  <si>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</si>
  <si>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</si>
  <si>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</si>
  <si>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</si>
  <si>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</si>
  <si>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</si>
  <si>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</si>
  <si>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</si>
  <si>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</si>
  <si>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</si>
  <si>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</si>
  <si>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</si>
  <si>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</si>
  <si>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</si>
  <si>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</si>
  <si>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</si>
  <si>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</si>
  <si>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</si>
  <si>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</si>
  <si>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</si>
  <si>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</si>
  <si>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</si>
  <si>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</si>
  <si>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</si>
  <si>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</si>
  <si>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</si>
  <si>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</si>
  <si>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</si>
  <si>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</si>
  <si>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</si>
  <si>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</si>
  <si>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</si>
  <si>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</si>
  <si>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</si>
  <si>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</si>
  <si>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</si>
  <si>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</si>
  <si>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</si>
  <si>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Κηπευτική γη                    Garden area</t>
  </si>
  <si>
    <t>Σύνολο       Total</t>
  </si>
  <si>
    <t>Λοιπές κηπευτικές καλλιέργειες - Other garden crops</t>
  </si>
  <si>
    <t>Θερμοκήπια Greenhouses</t>
  </si>
  <si>
    <t>Φυτώρια - Seedlings</t>
  </si>
  <si>
    <t>Σύνολο   Total</t>
  </si>
  <si>
    <t>Καλλωπιστικών φυτών Decorative plants</t>
  </si>
  <si>
    <t>Αμερικανικών αμπέλων American vines</t>
  </si>
  <si>
    <t>Καπνοσπορεία Tobacco seedlings</t>
  </si>
  <si>
    <t>Εμπορικοί ανθόκηποι Commercial flower gardens</t>
  </si>
  <si>
    <t>Για άνθη For flowers</t>
  </si>
  <si>
    <t>Για λαχανικά For vegetables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</si>
  <si>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</si>
  <si>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</si>
  <si>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</si>
  <si>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</si>
  <si>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</si>
  <si>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</si>
  <si>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Δασικών δένδρων Forest trees</t>
  </si>
  <si>
    <t>Καρποφόρων δένδρων    Fruit trees</t>
  </si>
  <si>
    <t>Areas in stremmas</t>
  </si>
  <si>
    <t>Εκτάσεις σε στρέμματα</t>
  </si>
  <si>
    <t>Από αυτή, έκταση γης λαχανόκηπων που φυτεύτηκαν με λαχανικά και θερμοκήπια     Thereof: area of vegetable gardens, fields under vegetables and green houses</t>
  </si>
  <si>
    <t>Πίνακας 3β. Κηπευτική γη. Εκτάσεις γης λαχανόκηπων και αγρών που φυτεύτηκαν με λαχανικά και λοιπές κηπευτικές καλλιέργειες, κατά Περιφέρεια και Περιφερειακή Ενότητα: 2012</t>
  </si>
  <si>
    <t>Table 3b. Garden area. Areas of vegetable gardens and fields under vegetables and other garden crops, by Region and Regional Unity: 2012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</si>
</sst>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Calibri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6" fillId="0" borderId="0" xfId="0" applyFont="1" applyProtection="1">
      <protection locked="0"/>
    </xf>
    <xf numFmtId="0" fontId="6" fillId="0" borderId="0" xfId="0" applyFont="1" applyBorder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6" fillId="0" borderId="0" xfId="0" applyFont="1" applyAlignment="1" applyProtection="1">
      <protection locked="0"/>
    </xf>
    <xf numFmtId="3" fontId="6" fillId="0" borderId="1" xfId="0" applyNumberFormat="1" applyFont="1" applyBorder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left" indent="1"/>
      <protection locked="0"/>
    </xf>
    <xf numFmtId="3" fontId="3" fillId="0" borderId="0" xfId="0" applyNumberFormat="1" applyFont="1" applyFill="1" applyBorder="1" applyAlignment="1" applyProtection="1"/>
    <xf numFmtId="0" fontId="6" fillId="0" borderId="0" xfId="0" applyFont="1" applyAlignment="1" applyProtection="1">
      <alignment horizontal="left" indent="1"/>
      <protection locked="0"/>
    </xf>
    <xf numFmtId="0" fontId="7" fillId="0" borderId="0" xfId="0" applyFont="1" applyAlignment="1" applyProtection="1">
      <protection locked="0"/>
    </xf>
    <xf numFmtId="0" fontId="6" fillId="0" borderId="0" xfId="0" applyFont="1" applyBorder="1" applyAlignment="1" applyProtection="1">
      <protection locked="0"/>
    </xf>
    <xf numFmtId="3" fontId="6" fillId="0" borderId="3" xfId="0" applyNumberFormat="1" applyFont="1" applyBorder="1" applyAlignment="1" applyProtection="1">
      <alignment horizontal="right" vertical="center"/>
      <protection locked="0"/>
    </xf>
    <xf numFmtId="0" fontId="6" fillId="0" borderId="4" xfId="0" applyFont="1" applyBorder="1" applyAlignment="1" applyProtection="1">
      <alignment horizontal="left" indent="1"/>
      <protection locked="0"/>
    </xf>
    <xf numFmtId="0" fontId="6" fillId="0" borderId="4" xfId="0" applyFont="1" applyBorder="1" applyAlignment="1" applyProtection="1">
      <protection locked="0"/>
    </xf>
    <xf numFmtId="49" fontId="6" fillId="0" borderId="0" xfId="0" applyNumberFormat="1" applyFont="1" applyAlignment="1" applyProtection="1">
      <alignment wrapText="1"/>
      <protection locked="0"/>
    </xf>
    <xf numFmtId="0" fontId="6" fillId="0" borderId="5" xfId="0" applyFont="1" applyBorder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wrapText="1"/>
      <protection locked="0"/>
    </xf>
    <xf numFmtId="0" fontId="3" fillId="0" borderId="4" xfId="0" applyNumberFormat="1" applyFont="1" applyFill="1" applyBorder="1" applyAlignment="1" applyProtection="1">
      <protection locked="0"/>
    </xf>
    <xf numFmtId="49" fontId="6" fillId="0" borderId="0" xfId="0" applyNumberFormat="1" applyFont="1" applyAlignment="1" applyProtection="1">
      <alignment horizontal="left" wrapText="1" indent="1"/>
      <protection locked="0"/>
    </xf>
    <xf numFmtId="2" fontId="9" fillId="0" borderId="0" xfId="0" applyNumberFormat="1" applyFont="1" applyBorder="1" applyAlignment="1" applyProtection="1">
      <alignment horizontal="left" vertical="center" wrapText="1" indent="2"/>
      <protection locked="0"/>
    </xf>
    <xf numFmtId="49" fontId="6" fillId="0" borderId="4" xfId="0" applyNumberFormat="1" applyFont="1" applyBorder="1" applyAlignment="1" applyProtection="1">
      <alignment horizontal="left" wrapText="1" indent="1"/>
      <protection locked="0"/>
    </xf>
    <xf numFmtId="3" fontId="6" fillId="0" borderId="0" xfId="0" applyNumberFormat="1" applyFont="1" applyAlignment="1" applyProtection="1"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3" fontId="6" fillId="0" borderId="0" xfId="0" applyNumberFormat="1" applyFont="1" applyProtection="1">
      <protection locked="0"/>
    </xf>
    <xf numFmtId="0" fontId="5" fillId="0" borderId="0" xfId="0" applyNumberFormat="1" applyFont="1" applyFill="1" applyBorder="1" applyAlignment="1" applyProtection="1">
      <alignment vertical="center" wrapText="1"/>
      <protection locked="0"/>
    </xf>
    <xf numFmtId="3" fontId="3" fillId="0" borderId="7" xfId="0" applyNumberFormat="1" applyFont="1" applyFill="1" applyBorder="1" applyAlignment="1" applyProtection="1">
      <alignment horizontal="right" vertical="center"/>
    </xf>
    <xf numFmtId="0" fontId="3" fillId="0" borderId="7" xfId="0" quotePrefix="1" applyNumberFormat="1" applyFont="1" applyFill="1" applyBorder="1" applyAlignment="1" applyProtection="1">
      <alignment horizontal="right" vertical="center"/>
    </xf>
    <xf numFmtId="0" fontId="3" fillId="0" borderId="7" xfId="0" applyNumberFormat="1" applyFont="1" applyFill="1" applyBorder="1" applyAlignment="1" applyProtection="1">
      <alignment horizontal="right" vertical="center"/>
    </xf>
    <xf numFmtId="3" fontId="3" fillId="0" borderId="7" xfId="0" quotePrefix="1" applyNumberFormat="1" applyFont="1" applyFill="1" applyBorder="1" applyAlignment="1" applyProtection="1">
      <alignment horizontal="right" vertical="center"/>
    </xf>
    <xf numFmtId="3" fontId="3" fillId="0" borderId="8" xfId="0" applyNumberFormat="1" applyFont="1" applyFill="1" applyBorder="1" applyAlignment="1" applyProtection="1">
      <alignment horizontal="right" vertical="center"/>
    </xf>
    <xf numFmtId="0" fontId="3" fillId="0" borderId="8" xfId="0" applyNumberFormat="1" applyFont="1" applyFill="1" applyBorder="1" applyAlignment="1" applyProtection="1">
      <alignment horizontal="right" vertical="center"/>
    </xf>
    <xf numFmtId="0" fontId="3" fillId="0" borderId="8" xfId="0" quotePrefix="1" applyNumberFormat="1" applyFont="1" applyFill="1" applyBorder="1" applyAlignment="1" applyProtection="1">
      <alignment horizontal="right" vertical="center"/>
    </xf>
    <xf numFmtId="3" fontId="3" fillId="0" borderId="8" xfId="0" quotePrefix="1" applyNumberFormat="1" applyFont="1" applyFill="1" applyBorder="1" applyAlignment="1" applyProtection="1">
      <alignment horizontal="right" vertical="center"/>
    </xf>
    <xf numFmtId="0" fontId="3" fillId="0" borderId="9" xfId="0" applyNumberFormat="1" applyFont="1" applyFill="1" applyBorder="1" applyAlignment="1" applyProtection="1">
      <alignment horizontal="left"/>
      <protection locked="0"/>
    </xf>
    <xf numFmtId="0" fontId="3" fillId="0" borderId="4" xfId="0" applyNumberFormat="1" applyFont="1" applyFill="1" applyBorder="1" applyAlignment="1" applyProtection="1">
      <alignment horizontal="left"/>
      <protection locked="0"/>
    </xf>
    <xf numFmtId="0" fontId="3" fillId="0" borderId="4" xfId="0" applyNumberFormat="1" applyFont="1" applyFill="1" applyBorder="1" applyAlignment="1" applyProtection="1">
      <alignment horizont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11" xfId="0" applyNumberFormat="1" applyFont="1" applyBorder="1" applyAlignment="1" applyProtection="1">
      <alignment horizontal="left" vertical="center" wrapText="1"/>
      <protection locked="0"/>
    </xf>
    <xf numFmtId="49" fontId="10" fillId="0" borderId="12" xfId="0" applyNumberFormat="1" applyFont="1" applyBorder="1" applyAlignment="1" applyProtection="1">
      <alignment horizontal="left" vertical="center" wrapText="1"/>
      <protection locked="0"/>
    </xf>
    <xf numFmtId="3" fontId="10" fillId="0" borderId="7" xfId="0" applyNumberFormat="1" applyFont="1" applyBorder="1" applyAlignment="1" applyProtection="1">
      <alignment horizontal="right" vertical="center"/>
    </xf>
    <xf numFmtId="3" fontId="10" fillId="0" borderId="13" xfId="0" applyNumberFormat="1" applyFont="1" applyBorder="1" applyAlignment="1" applyProtection="1">
      <alignment horizontal="right" vertical="center"/>
    </xf>
    <xf numFmtId="0" fontId="1" fillId="0" borderId="14" xfId="0" applyNumberFormat="1" applyFont="1" applyFill="1" applyBorder="1" applyAlignment="1" applyProtection="1">
      <alignment vertical="center" wrapText="1"/>
      <protection locked="0"/>
    </xf>
    <xf numFmtId="0" fontId="1" fillId="0" borderId="15" xfId="0" applyNumberFormat="1" applyFont="1" applyFill="1" applyBorder="1" applyAlignment="1" applyProtection="1">
      <alignment vertical="center" wrapText="1"/>
      <protection locked="0"/>
    </xf>
    <xf numFmtId="0" fontId="1" fillId="0" borderId="2" xfId="0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3" fontId="10" fillId="0" borderId="16" xfId="0" applyNumberFormat="1" applyFont="1" applyBorder="1" applyAlignment="1" applyProtection="1">
      <alignment horizontal="right" vertical="center"/>
    </xf>
    <xf numFmtId="0" fontId="10" fillId="0" borderId="2" xfId="0" applyFont="1" applyBorder="1" applyAlignment="1" applyProtection="1">
      <alignment vertical="center" wrapText="1"/>
      <protection locked="0"/>
    </xf>
    <xf numFmtId="0" fontId="10" fillId="0" borderId="0" xfId="0" applyFont="1" applyBorder="1" applyAlignment="1" applyProtection="1">
      <alignment vertical="center" wrapText="1"/>
      <protection locked="0"/>
    </xf>
    <xf numFmtId="0" fontId="1" fillId="0" borderId="2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vertical="center"/>
      <protection locked="0"/>
    </xf>
    <xf numFmtId="0" fontId="10" fillId="0" borderId="0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left" wrapText="1" indent="1"/>
      <protection locked="0"/>
    </xf>
    <xf numFmtId="0" fontId="6" fillId="0" borderId="0" xfId="0" applyFont="1" applyBorder="1" applyAlignment="1" applyProtection="1">
      <alignment horizontal="left" wrapText="1" inden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0" xfId="0" applyFont="1" applyBorder="1" applyAlignment="1" applyProtection="1">
      <alignment horizontal="left" vertical="center" wrapText="1" indent="1"/>
      <protection locked="0"/>
    </xf>
    <xf numFmtId="0" fontId="3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6"/>
  <sheetViews>
    <sheetView showGridLines="0" tabSelected="1" zoomScale="145" zoomScaleNormal="145" workbookViewId="0">
      <selection activeCell="K4" sqref="K4:L5"/>
    </sheetView>
  </sheetViews>
  <sheetFormatPr defaultRowHeight="10.199999999999999"/>
  <cols>
    <col min="1" max="1" width="17.44140625" style="19" customWidth="1"/>
    <col min="2" max="2" width="11.21875" style="2" customWidth="1"/>
    <col min="3" max="3" width="13.77734375" style="2" customWidth="1"/>
    <col min="4" max="15" width="9.109375" style="2" customWidth="1"/>
    <col min="16" max="17" width="6.44140625" style="2" customWidth="1"/>
    <col min="18" max="18" width="6.109375" style="2" customWidth="1"/>
    <col min="19" max="19" width="7.33203125" style="2" customWidth="1"/>
    <col min="20" max="20" width="6.44140625" style="2" customWidth="1"/>
    <col min="21" max="16384" width="8.88671875" style="2"/>
  </cols>
  <sheetData>
    <row r="1" spans="1:19" ht="21.6" customHeight="1">
      <c r="A1" s="41" t="s">
        <v>194</v>
      </c>
      <c r="B1" s="41"/>
      <c r="C1" s="41"/>
      <c r="D1" s="41"/>
      <c r="E1" s="41"/>
      <c r="F1" s="41"/>
      <c r="G1" s="41" t="s">
        <v>195</v>
      </c>
      <c r="H1" s="41"/>
      <c r="I1" s="41"/>
      <c r="J1" s="41"/>
      <c r="K1" s="41"/>
      <c r="L1" s="41"/>
      <c r="M1" s="41"/>
      <c r="N1" s="41"/>
      <c r="O1" s="41"/>
      <c r="P1" s="1"/>
      <c r="Q1" s="1"/>
      <c r="R1" s="1"/>
      <c r="S1" s="1"/>
    </row>
    <row r="2" spans="1:19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7"/>
      <c r="N2" s="1"/>
      <c r="O2" s="1"/>
      <c r="P2" s="1"/>
      <c r="Q2" s="1"/>
      <c r="R2" s="1"/>
      <c r="S2" s="1"/>
    </row>
    <row r="3" spans="1:19" ht="10.8" thickBot="1">
      <c r="A3" s="36" t="s">
        <v>192</v>
      </c>
      <c r="B3" s="37"/>
      <c r="C3" s="37"/>
      <c r="D3" s="37"/>
      <c r="E3" s="37"/>
      <c r="F3" s="37"/>
      <c r="G3" s="20"/>
      <c r="H3" s="20"/>
      <c r="I3" s="20"/>
      <c r="J3" s="20"/>
      <c r="K3" s="20"/>
      <c r="L3" s="20"/>
      <c r="M3" s="38" t="s">
        <v>191</v>
      </c>
      <c r="N3" s="38"/>
      <c r="O3" s="38"/>
      <c r="P3" s="3"/>
      <c r="Q3" s="4"/>
      <c r="R3" s="4"/>
      <c r="S3" s="4"/>
    </row>
    <row r="4" spans="1:19" ht="14.4" customHeight="1">
      <c r="A4" s="39" t="s">
        <v>0</v>
      </c>
      <c r="B4" s="73" t="s">
        <v>171</v>
      </c>
      <c r="C4" s="64"/>
      <c r="D4" s="63" t="s">
        <v>173</v>
      </c>
      <c r="E4" s="64"/>
      <c r="F4" s="64"/>
      <c r="G4" s="64"/>
      <c r="H4" s="64"/>
      <c r="I4" s="64"/>
      <c r="J4" s="65"/>
      <c r="K4" s="68" t="s">
        <v>174</v>
      </c>
      <c r="L4" s="69"/>
      <c r="M4" s="39" t="s">
        <v>1</v>
      </c>
      <c r="N4" s="39"/>
      <c r="O4" s="39"/>
    </row>
    <row r="5" spans="1:19" ht="15" customHeight="1">
      <c r="A5" s="39"/>
      <c r="B5" s="74"/>
      <c r="C5" s="40"/>
      <c r="D5" s="66"/>
      <c r="E5" s="40"/>
      <c r="F5" s="40"/>
      <c r="G5" s="40"/>
      <c r="H5" s="40"/>
      <c r="I5" s="40"/>
      <c r="J5" s="67"/>
      <c r="K5" s="66"/>
      <c r="L5" s="67"/>
      <c r="M5" s="39"/>
      <c r="N5" s="39"/>
      <c r="O5" s="39"/>
    </row>
    <row r="6" spans="1:19" ht="22.2" customHeight="1">
      <c r="A6" s="39"/>
      <c r="B6" s="77" t="s">
        <v>172</v>
      </c>
      <c r="C6" s="75" t="s">
        <v>193</v>
      </c>
      <c r="D6" s="79" t="s">
        <v>176</v>
      </c>
      <c r="E6" s="70" t="s">
        <v>175</v>
      </c>
      <c r="F6" s="71"/>
      <c r="G6" s="71"/>
      <c r="H6" s="72"/>
      <c r="I6" s="80" t="s">
        <v>179</v>
      </c>
      <c r="J6" s="79" t="s">
        <v>180</v>
      </c>
      <c r="K6" s="80" t="s">
        <v>181</v>
      </c>
      <c r="L6" s="80" t="s">
        <v>182</v>
      </c>
      <c r="M6" s="39"/>
      <c r="N6" s="39"/>
      <c r="O6" s="39"/>
    </row>
    <row r="7" spans="1:19" ht="88.2" customHeight="1">
      <c r="A7" s="40"/>
      <c r="B7" s="78"/>
      <c r="C7" s="76"/>
      <c r="D7" s="66"/>
      <c r="E7" s="25" t="s">
        <v>190</v>
      </c>
      <c r="F7" s="18" t="s">
        <v>189</v>
      </c>
      <c r="G7" s="18" t="s">
        <v>177</v>
      </c>
      <c r="H7" s="18" t="s">
        <v>178</v>
      </c>
      <c r="I7" s="76"/>
      <c r="J7" s="66"/>
      <c r="K7" s="76"/>
      <c r="L7" s="76"/>
      <c r="M7" s="40"/>
      <c r="N7" s="40"/>
      <c r="O7" s="40"/>
    </row>
    <row r="8" spans="1:19">
      <c r="A8" s="42" t="s">
        <v>2</v>
      </c>
      <c r="B8" s="44">
        <f>SUM(B10,B18,B31,B37,B44,B51,B58,B63,B70,B80,B87,B102)</f>
        <v>1013484</v>
      </c>
      <c r="C8" s="45">
        <f>SUM(C10,C18,C31,C37,C44,C51,C58,C63,C70,C80,C87,C102)</f>
        <v>987156</v>
      </c>
      <c r="D8" s="45">
        <f>SUM(D10,D18,D31,D37,D44,D51,D58,D63,D70,D80,D87,D102)</f>
        <v>26328</v>
      </c>
      <c r="E8" s="44">
        <f>SUM(E10,E18,E31,E37,E44,E51,E58,E63,E70,E80,E87,E102)</f>
        <v>4592</v>
      </c>
      <c r="F8" s="44">
        <f t="shared" ref="F8:L8" si="0">SUM(F10,F18,F31,F37,F44,F51,F58,F63,F70,F80,F87,F102)</f>
        <v>1940</v>
      </c>
      <c r="G8" s="44">
        <f t="shared" si="0"/>
        <v>3244</v>
      </c>
      <c r="H8" s="44">
        <f>SUM(H10,H18,H31,H37,H44,H51,H58,H63,H70,H80,H87,H102)</f>
        <v>2314</v>
      </c>
      <c r="I8" s="44">
        <f t="shared" si="0"/>
        <v>7156</v>
      </c>
      <c r="J8" s="44">
        <f t="shared" si="0"/>
        <v>7082</v>
      </c>
      <c r="K8" s="44">
        <f t="shared" si="0"/>
        <v>3856</v>
      </c>
      <c r="L8" s="44">
        <f t="shared" si="0"/>
        <v>52932</v>
      </c>
      <c r="M8" s="46" t="s">
        <v>3</v>
      </c>
      <c r="N8" s="47"/>
      <c r="O8" s="47"/>
      <c r="P8" s="5"/>
    </row>
    <row r="9" spans="1:19" ht="16.2" customHeigh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8"/>
      <c r="N9" s="49"/>
      <c r="O9" s="49"/>
      <c r="P9" s="5"/>
    </row>
    <row r="10" spans="1:19">
      <c r="A10" s="43" t="s">
        <v>4</v>
      </c>
      <c r="B10" s="50">
        <f>SUM(C10,D10)</f>
        <v>87389</v>
      </c>
      <c r="C10" s="44">
        <f>SUM(C12:C17)</f>
        <v>84596</v>
      </c>
      <c r="D10" s="44">
        <f>SUM(D12:D17)</f>
        <v>2793</v>
      </c>
      <c r="E10" s="44">
        <f>SUM(E12:E17)</f>
        <v>139</v>
      </c>
      <c r="F10" s="44">
        <f t="shared" ref="F10:L10" si="1">SUM(F12:F17)</f>
        <v>450</v>
      </c>
      <c r="G10" s="44">
        <f t="shared" si="1"/>
        <v>66</v>
      </c>
      <c r="H10" s="44">
        <f t="shared" si="1"/>
        <v>123</v>
      </c>
      <c r="I10" s="44">
        <f t="shared" si="1"/>
        <v>1934</v>
      </c>
      <c r="J10" s="44">
        <f t="shared" si="1"/>
        <v>81</v>
      </c>
      <c r="K10" s="44">
        <f t="shared" si="1"/>
        <v>89</v>
      </c>
      <c r="L10" s="44">
        <f t="shared" si="1"/>
        <v>965</v>
      </c>
      <c r="M10" s="53" t="s">
        <v>5</v>
      </c>
      <c r="N10" s="54"/>
      <c r="O10" s="54"/>
      <c r="P10" s="1"/>
    </row>
    <row r="11" spans="1:19">
      <c r="A11" s="43"/>
      <c r="B11" s="50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53"/>
      <c r="N11" s="54"/>
      <c r="O11" s="54"/>
      <c r="P11" s="1"/>
    </row>
    <row r="12" spans="1:19">
      <c r="A12" s="21" t="s">
        <v>6</v>
      </c>
      <c r="B12" s="6">
        <f t="shared" ref="B12:B17" si="2">SUM(C12:D12)</f>
        <v>12361</v>
      </c>
      <c r="C12" s="28">
        <v>10979</v>
      </c>
      <c r="D12" s="28">
        <f t="shared" ref="D12:D17" si="3">SUM(E12:J12)</f>
        <v>1382</v>
      </c>
      <c r="E12" s="29" t="s">
        <v>7</v>
      </c>
      <c r="F12" s="30">
        <v>90</v>
      </c>
      <c r="G12" s="30">
        <v>25</v>
      </c>
      <c r="H12" s="30">
        <v>116</v>
      </c>
      <c r="I12" s="30">
        <v>1151</v>
      </c>
      <c r="J12" s="29" t="s">
        <v>7</v>
      </c>
      <c r="K12" s="30">
        <v>8</v>
      </c>
      <c r="L12" s="30">
        <v>146</v>
      </c>
      <c r="M12" s="7" t="s">
        <v>8</v>
      </c>
      <c r="N12" s="5"/>
      <c r="O12" s="5"/>
      <c r="P12" s="24"/>
    </row>
    <row r="13" spans="1:19">
      <c r="A13" s="21" t="s">
        <v>9</v>
      </c>
      <c r="B13" s="6">
        <f t="shared" si="2"/>
        <v>8805</v>
      </c>
      <c r="C13" s="28">
        <v>8336</v>
      </c>
      <c r="D13" s="28">
        <f t="shared" si="3"/>
        <v>469</v>
      </c>
      <c r="E13" s="30">
        <v>104</v>
      </c>
      <c r="F13" s="30">
        <v>73</v>
      </c>
      <c r="G13" s="30">
        <v>32</v>
      </c>
      <c r="H13" s="29" t="s">
        <v>7</v>
      </c>
      <c r="I13" s="30">
        <v>250</v>
      </c>
      <c r="J13" s="30">
        <v>10</v>
      </c>
      <c r="K13" s="30">
        <v>23</v>
      </c>
      <c r="L13" s="30">
        <v>258</v>
      </c>
      <c r="M13" s="7" t="s">
        <v>10</v>
      </c>
      <c r="N13" s="5"/>
      <c r="O13" s="5"/>
      <c r="P13" s="5"/>
    </row>
    <row r="14" spans="1:19">
      <c r="A14" s="21" t="s">
        <v>11</v>
      </c>
      <c r="B14" s="6">
        <f t="shared" si="2"/>
        <v>26546</v>
      </c>
      <c r="C14" s="28">
        <v>26422</v>
      </c>
      <c r="D14" s="28">
        <f t="shared" si="3"/>
        <v>124</v>
      </c>
      <c r="E14" s="30">
        <v>20</v>
      </c>
      <c r="F14" s="30">
        <v>94</v>
      </c>
      <c r="G14" s="29" t="s">
        <v>7</v>
      </c>
      <c r="H14" s="29" t="s">
        <v>7</v>
      </c>
      <c r="I14" s="29" t="s">
        <v>7</v>
      </c>
      <c r="J14" s="30">
        <v>10</v>
      </c>
      <c r="K14" s="30">
        <v>9</v>
      </c>
      <c r="L14" s="30">
        <v>153</v>
      </c>
      <c r="M14" s="7" t="s">
        <v>12</v>
      </c>
      <c r="N14" s="5"/>
      <c r="O14" s="5"/>
      <c r="P14" s="5"/>
      <c r="R14" s="8"/>
    </row>
    <row r="15" spans="1:19">
      <c r="A15" s="21" t="s">
        <v>13</v>
      </c>
      <c r="B15" s="6">
        <f t="shared" si="2"/>
        <v>784</v>
      </c>
      <c r="C15" s="31">
        <v>784</v>
      </c>
      <c r="D15" s="28">
        <f t="shared" si="3"/>
        <v>0</v>
      </c>
      <c r="E15" s="29" t="s">
        <v>7</v>
      </c>
      <c r="F15" s="29" t="s">
        <v>7</v>
      </c>
      <c r="G15" s="29" t="s">
        <v>7</v>
      </c>
      <c r="H15" s="29" t="s">
        <v>7</v>
      </c>
      <c r="I15" s="29" t="s">
        <v>7</v>
      </c>
      <c r="J15" s="29" t="s">
        <v>7</v>
      </c>
      <c r="K15" s="29" t="s">
        <v>7</v>
      </c>
      <c r="L15" s="29" t="s">
        <v>7</v>
      </c>
      <c r="M15" s="7" t="s">
        <v>14</v>
      </c>
      <c r="N15" s="5"/>
      <c r="O15" s="5"/>
      <c r="P15" s="5"/>
    </row>
    <row r="16" spans="1:19">
      <c r="A16" s="21" t="s">
        <v>15</v>
      </c>
      <c r="B16" s="6">
        <f t="shared" si="2"/>
        <v>28735</v>
      </c>
      <c r="C16" s="31">
        <v>28451</v>
      </c>
      <c r="D16" s="28">
        <f t="shared" si="3"/>
        <v>284</v>
      </c>
      <c r="E16" s="30">
        <v>15</v>
      </c>
      <c r="F16" s="30">
        <v>193</v>
      </c>
      <c r="G16" s="29" t="s">
        <v>7</v>
      </c>
      <c r="H16" s="30">
        <v>7</v>
      </c>
      <c r="I16" s="30">
        <v>24</v>
      </c>
      <c r="J16" s="30">
        <v>45</v>
      </c>
      <c r="K16" s="30">
        <v>30</v>
      </c>
      <c r="L16" s="30">
        <v>311</v>
      </c>
      <c r="M16" s="7" t="s">
        <v>16</v>
      </c>
      <c r="N16" s="5"/>
      <c r="O16" s="5"/>
      <c r="P16" s="5"/>
    </row>
    <row r="17" spans="1:18">
      <c r="A17" s="21" t="s">
        <v>17</v>
      </c>
      <c r="B17" s="6">
        <f t="shared" si="2"/>
        <v>10158</v>
      </c>
      <c r="C17" s="31">
        <v>9624</v>
      </c>
      <c r="D17" s="28">
        <f t="shared" si="3"/>
        <v>534</v>
      </c>
      <c r="E17" s="29" t="s">
        <v>7</v>
      </c>
      <c r="F17" s="29" t="s">
        <v>7</v>
      </c>
      <c r="G17" s="30">
        <v>9</v>
      </c>
      <c r="H17" s="29" t="s">
        <v>7</v>
      </c>
      <c r="I17" s="30">
        <v>509</v>
      </c>
      <c r="J17" s="30">
        <v>16</v>
      </c>
      <c r="K17" s="30">
        <v>19</v>
      </c>
      <c r="L17" s="30">
        <v>97</v>
      </c>
      <c r="M17" s="7" t="s">
        <v>18</v>
      </c>
      <c r="N17" s="5"/>
      <c r="O17" s="5"/>
      <c r="P17" s="5"/>
    </row>
    <row r="18" spans="1:18" ht="15" customHeight="1">
      <c r="A18" s="43" t="s">
        <v>19</v>
      </c>
      <c r="B18" s="50">
        <f>SUM(C18,D18)</f>
        <v>182680</v>
      </c>
      <c r="C18" s="44">
        <f>SUM(C20:C30)</f>
        <v>171607</v>
      </c>
      <c r="D18" s="44">
        <f>SUM(D20:D30)</f>
        <v>11073</v>
      </c>
      <c r="E18" s="44">
        <f t="shared" ref="E18:L18" si="4">SUM(E20:E30)</f>
        <v>2724</v>
      </c>
      <c r="F18" s="44">
        <f t="shared" si="4"/>
        <v>625</v>
      </c>
      <c r="G18" s="44">
        <f t="shared" si="4"/>
        <v>1597</v>
      </c>
      <c r="H18" s="44">
        <f t="shared" si="4"/>
        <v>458</v>
      </c>
      <c r="I18" s="44">
        <f t="shared" si="4"/>
        <v>4665</v>
      </c>
      <c r="J18" s="44">
        <f t="shared" si="4"/>
        <v>1004</v>
      </c>
      <c r="K18" s="44">
        <f t="shared" si="4"/>
        <v>708</v>
      </c>
      <c r="L18" s="44">
        <f t="shared" si="4"/>
        <v>7312</v>
      </c>
      <c r="M18" s="51" t="s">
        <v>20</v>
      </c>
      <c r="N18" s="52"/>
      <c r="O18" s="52"/>
      <c r="P18" s="5"/>
    </row>
    <row r="19" spans="1:18">
      <c r="A19" s="43"/>
      <c r="B19" s="50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51"/>
      <c r="N19" s="52"/>
      <c r="O19" s="52"/>
      <c r="P19" s="5"/>
    </row>
    <row r="20" spans="1:18" ht="11.4" customHeight="1">
      <c r="A20" s="21" t="s">
        <v>21</v>
      </c>
      <c r="B20" s="6">
        <f t="shared" ref="B20:B30" si="5">SUM(C20:D20)</f>
        <v>41127</v>
      </c>
      <c r="C20" s="28">
        <v>39437</v>
      </c>
      <c r="D20" s="28">
        <f>SUM(E20:J20)</f>
        <v>1690</v>
      </c>
      <c r="E20" s="30">
        <v>17</v>
      </c>
      <c r="F20" s="30">
        <v>13</v>
      </c>
      <c r="G20" s="30">
        <v>1050</v>
      </c>
      <c r="H20" s="29" t="s">
        <v>7</v>
      </c>
      <c r="I20" s="30">
        <v>69</v>
      </c>
      <c r="J20" s="30">
        <v>541</v>
      </c>
      <c r="K20" s="30">
        <v>241</v>
      </c>
      <c r="L20" s="30">
        <v>1731</v>
      </c>
      <c r="M20" s="9" t="s">
        <v>22</v>
      </c>
      <c r="N20" s="5"/>
      <c r="O20" s="5"/>
      <c r="P20" s="5"/>
    </row>
    <row r="21" spans="1:18">
      <c r="A21" s="21" t="s">
        <v>23</v>
      </c>
      <c r="B21" s="6">
        <f t="shared" si="5"/>
        <v>23309</v>
      </c>
      <c r="C21" s="28">
        <v>21024</v>
      </c>
      <c r="D21" s="28">
        <f t="shared" ref="D21:D30" si="6">SUM(E21:J21)</f>
        <v>2285</v>
      </c>
      <c r="E21" s="30">
        <v>1717</v>
      </c>
      <c r="F21" s="30">
        <v>16</v>
      </c>
      <c r="G21" s="30">
        <v>10</v>
      </c>
      <c r="H21" s="30">
        <v>406</v>
      </c>
      <c r="I21" s="30">
        <v>114</v>
      </c>
      <c r="J21" s="30">
        <v>22</v>
      </c>
      <c r="K21" s="30">
        <v>11</v>
      </c>
      <c r="L21" s="30">
        <v>641</v>
      </c>
      <c r="M21" s="9" t="s">
        <v>24</v>
      </c>
      <c r="N21" s="5"/>
      <c r="O21" s="5"/>
      <c r="P21" s="5"/>
    </row>
    <row r="22" spans="1:18">
      <c r="A22" s="21" t="s">
        <v>25</v>
      </c>
      <c r="B22" s="6">
        <f t="shared" si="5"/>
        <v>8858</v>
      </c>
      <c r="C22" s="28">
        <v>8527</v>
      </c>
      <c r="D22" s="28">
        <f t="shared" si="6"/>
        <v>331</v>
      </c>
      <c r="E22" s="30">
        <v>5</v>
      </c>
      <c r="F22" s="30">
        <v>59</v>
      </c>
      <c r="G22" s="30">
        <v>40</v>
      </c>
      <c r="H22" s="29" t="s">
        <v>7</v>
      </c>
      <c r="I22" s="30">
        <v>86</v>
      </c>
      <c r="J22" s="30">
        <v>141</v>
      </c>
      <c r="K22" s="30">
        <v>30</v>
      </c>
      <c r="L22" s="30">
        <v>115</v>
      </c>
      <c r="M22" s="9" t="s">
        <v>26</v>
      </c>
      <c r="N22" s="5"/>
      <c r="O22" s="5"/>
      <c r="P22" s="5"/>
    </row>
    <row r="23" spans="1:18">
      <c r="A23" s="21" t="s">
        <v>27</v>
      </c>
      <c r="B23" s="6">
        <f t="shared" si="5"/>
        <v>45448</v>
      </c>
      <c r="C23" s="28">
        <v>43944</v>
      </c>
      <c r="D23" s="28">
        <f t="shared" si="6"/>
        <v>1504</v>
      </c>
      <c r="E23" s="30">
        <v>952</v>
      </c>
      <c r="F23" s="30">
        <v>50</v>
      </c>
      <c r="G23" s="30">
        <v>383</v>
      </c>
      <c r="H23" s="29" t="s">
        <v>7</v>
      </c>
      <c r="I23" s="30">
        <v>5</v>
      </c>
      <c r="J23" s="30">
        <v>114</v>
      </c>
      <c r="K23" s="30">
        <v>79</v>
      </c>
      <c r="L23" s="30">
        <v>2820</v>
      </c>
      <c r="M23" s="9" t="s">
        <v>28</v>
      </c>
      <c r="N23" s="5"/>
      <c r="O23" s="5"/>
      <c r="P23" s="5"/>
      <c r="R23" s="26"/>
    </row>
    <row r="24" spans="1:18">
      <c r="A24" s="21" t="s">
        <v>29</v>
      </c>
      <c r="B24" s="6">
        <f t="shared" si="5"/>
        <v>16483</v>
      </c>
      <c r="C24" s="28">
        <v>12761</v>
      </c>
      <c r="D24" s="28">
        <f t="shared" si="6"/>
        <v>3722</v>
      </c>
      <c r="E24" s="30">
        <v>10</v>
      </c>
      <c r="F24" s="29" t="s">
        <v>7</v>
      </c>
      <c r="G24" s="30">
        <v>12</v>
      </c>
      <c r="H24" s="30">
        <v>50</v>
      </c>
      <c r="I24" s="30">
        <v>3597</v>
      </c>
      <c r="J24" s="30">
        <v>53</v>
      </c>
      <c r="K24" s="30">
        <v>52</v>
      </c>
      <c r="L24" s="30">
        <v>194</v>
      </c>
      <c r="M24" s="9" t="s">
        <v>30</v>
      </c>
      <c r="N24" s="5"/>
      <c r="O24" s="5"/>
      <c r="P24" s="5"/>
    </row>
    <row r="25" spans="1:18">
      <c r="A25" s="21" t="s">
        <v>31</v>
      </c>
      <c r="B25" s="6">
        <f t="shared" si="5"/>
        <v>17960</v>
      </c>
      <c r="C25" s="28">
        <v>17123</v>
      </c>
      <c r="D25" s="28">
        <f t="shared" si="6"/>
        <v>837</v>
      </c>
      <c r="E25" s="30">
        <v>5</v>
      </c>
      <c r="F25" s="30">
        <v>105</v>
      </c>
      <c r="G25" s="30">
        <v>50</v>
      </c>
      <c r="H25" s="29" t="s">
        <v>7</v>
      </c>
      <c r="I25" s="30">
        <v>677</v>
      </c>
      <c r="J25" s="29" t="s">
        <v>7</v>
      </c>
      <c r="K25" s="30">
        <v>177</v>
      </c>
      <c r="L25" s="30">
        <v>952</v>
      </c>
      <c r="M25" s="9" t="s">
        <v>32</v>
      </c>
      <c r="N25" s="5"/>
      <c r="O25" s="5"/>
      <c r="P25" s="5"/>
    </row>
    <row r="26" spans="1:18">
      <c r="A26" s="21" t="s">
        <v>33</v>
      </c>
      <c r="B26" s="6">
        <f t="shared" si="5"/>
        <v>12285</v>
      </c>
      <c r="C26" s="28">
        <v>11763</v>
      </c>
      <c r="D26" s="28">
        <f t="shared" si="6"/>
        <v>522</v>
      </c>
      <c r="E26" s="30">
        <v>18</v>
      </c>
      <c r="F26" s="30">
        <v>381</v>
      </c>
      <c r="G26" s="30">
        <v>36</v>
      </c>
      <c r="H26" s="29" t="s">
        <v>7</v>
      </c>
      <c r="I26" s="30">
        <v>1</v>
      </c>
      <c r="J26" s="30">
        <v>86</v>
      </c>
      <c r="K26" s="30">
        <v>96</v>
      </c>
      <c r="L26" s="30">
        <v>642</v>
      </c>
      <c r="M26" s="9" t="s">
        <v>34</v>
      </c>
      <c r="N26" s="5"/>
      <c r="O26" s="5"/>
      <c r="P26" s="5"/>
    </row>
    <row r="27" spans="1:18">
      <c r="A27" s="21" t="s">
        <v>35</v>
      </c>
      <c r="B27" s="6">
        <f t="shared" si="5"/>
        <v>6410</v>
      </c>
      <c r="C27" s="28">
        <v>6270</v>
      </c>
      <c r="D27" s="28">
        <f t="shared" si="6"/>
        <v>140</v>
      </c>
      <c r="E27" s="29" t="s">
        <v>7</v>
      </c>
      <c r="F27" s="30">
        <v>1</v>
      </c>
      <c r="G27" s="30">
        <v>16</v>
      </c>
      <c r="H27" s="30">
        <v>2</v>
      </c>
      <c r="I27" s="30">
        <v>78</v>
      </c>
      <c r="J27" s="30">
        <v>43</v>
      </c>
      <c r="K27" s="30">
        <v>17</v>
      </c>
      <c r="L27" s="30">
        <v>142</v>
      </c>
      <c r="M27" s="9" t="s">
        <v>36</v>
      </c>
      <c r="N27" s="5"/>
      <c r="O27" s="5"/>
      <c r="P27" s="5"/>
    </row>
    <row r="28" spans="1:18">
      <c r="A28" s="21" t="s">
        <v>37</v>
      </c>
      <c r="B28" s="6">
        <f t="shared" si="5"/>
        <v>2452</v>
      </c>
      <c r="C28" s="28">
        <v>2425</v>
      </c>
      <c r="D28" s="28">
        <f t="shared" si="6"/>
        <v>27</v>
      </c>
      <c r="E28" s="29" t="s">
        <v>7</v>
      </c>
      <c r="F28" s="29" t="s">
        <v>7</v>
      </c>
      <c r="G28" s="29" t="s">
        <v>7</v>
      </c>
      <c r="H28" s="29" t="s">
        <v>7</v>
      </c>
      <c r="I28" s="30">
        <v>27</v>
      </c>
      <c r="J28" s="29" t="s">
        <v>7</v>
      </c>
      <c r="K28" s="29" t="s">
        <v>7</v>
      </c>
      <c r="L28" s="30">
        <v>42</v>
      </c>
      <c r="M28" s="9" t="s">
        <v>38</v>
      </c>
      <c r="N28" s="5"/>
      <c r="O28" s="5"/>
      <c r="P28" s="5"/>
    </row>
    <row r="29" spans="1:18">
      <c r="A29" s="21" t="s">
        <v>39</v>
      </c>
      <c r="B29" s="6">
        <f t="shared" si="5"/>
        <v>5214</v>
      </c>
      <c r="C29" s="31">
        <v>5203</v>
      </c>
      <c r="D29" s="28">
        <f t="shared" si="6"/>
        <v>11</v>
      </c>
      <c r="E29" s="29" t="s">
        <v>7</v>
      </c>
      <c r="F29" s="29" t="s">
        <v>7</v>
      </c>
      <c r="G29" s="29" t="s">
        <v>7</v>
      </c>
      <c r="H29" s="29" t="s">
        <v>7</v>
      </c>
      <c r="I29" s="30">
        <v>9</v>
      </c>
      <c r="J29" s="30">
        <v>2</v>
      </c>
      <c r="K29" s="30">
        <v>3</v>
      </c>
      <c r="L29" s="30">
        <v>19</v>
      </c>
      <c r="M29" s="9" t="s">
        <v>40</v>
      </c>
      <c r="N29" s="5"/>
      <c r="O29" s="5"/>
      <c r="P29" s="5"/>
    </row>
    <row r="30" spans="1:18">
      <c r="A30" s="21" t="s">
        <v>41</v>
      </c>
      <c r="B30" s="6">
        <f t="shared" si="5"/>
        <v>3134</v>
      </c>
      <c r="C30" s="28">
        <v>3130</v>
      </c>
      <c r="D30" s="28">
        <f t="shared" si="6"/>
        <v>4</v>
      </c>
      <c r="E30" s="29" t="s">
        <v>7</v>
      </c>
      <c r="F30" s="29" t="s">
        <v>7</v>
      </c>
      <c r="G30" s="29" t="s">
        <v>7</v>
      </c>
      <c r="H30" s="29" t="s">
        <v>7</v>
      </c>
      <c r="I30" s="30">
        <v>2</v>
      </c>
      <c r="J30" s="30">
        <v>2</v>
      </c>
      <c r="K30" s="30">
        <v>2</v>
      </c>
      <c r="L30" s="30">
        <v>14</v>
      </c>
      <c r="M30" s="9" t="s">
        <v>42</v>
      </c>
      <c r="N30" s="5"/>
      <c r="O30" s="5"/>
      <c r="P30" s="5"/>
    </row>
    <row r="31" spans="1:18">
      <c r="A31" s="43" t="s">
        <v>43</v>
      </c>
      <c r="B31" s="50">
        <f>SUM(C31,D31)</f>
        <v>26539</v>
      </c>
      <c r="C31" s="44">
        <f>SUM(C33:C36)</f>
        <v>26242</v>
      </c>
      <c r="D31" s="44">
        <f>SUM(D33:D36)</f>
        <v>297</v>
      </c>
      <c r="E31" s="44">
        <f t="shared" ref="E31:L31" si="7">SUM(E33:E36)</f>
        <v>163</v>
      </c>
      <c r="F31" s="44">
        <f t="shared" si="7"/>
        <v>63</v>
      </c>
      <c r="G31" s="44">
        <f t="shared" si="7"/>
        <v>10</v>
      </c>
      <c r="H31" s="44">
        <f t="shared" si="7"/>
        <v>0</v>
      </c>
      <c r="I31" s="44">
        <f t="shared" si="7"/>
        <v>0</v>
      </c>
      <c r="J31" s="44">
        <f t="shared" si="7"/>
        <v>61</v>
      </c>
      <c r="K31" s="44">
        <f t="shared" si="7"/>
        <v>31</v>
      </c>
      <c r="L31" s="44">
        <f t="shared" si="7"/>
        <v>2239</v>
      </c>
      <c r="M31" s="55" t="s">
        <v>44</v>
      </c>
      <c r="N31" s="56"/>
      <c r="O31" s="56"/>
      <c r="P31" s="5"/>
    </row>
    <row r="32" spans="1:18">
      <c r="A32" s="43"/>
      <c r="B32" s="50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55"/>
      <c r="N32" s="56"/>
      <c r="O32" s="56"/>
      <c r="P32" s="5"/>
    </row>
    <row r="33" spans="1:16">
      <c r="A33" s="21" t="s">
        <v>45</v>
      </c>
      <c r="B33" s="6">
        <f>SUM(C33:D33)</f>
        <v>5243</v>
      </c>
      <c r="C33" s="28">
        <v>5174</v>
      </c>
      <c r="D33" s="28">
        <f>SUM(E33:J33)</f>
        <v>69</v>
      </c>
      <c r="E33" s="29" t="s">
        <v>7</v>
      </c>
      <c r="F33" s="30">
        <v>60</v>
      </c>
      <c r="G33" s="29" t="s">
        <v>7</v>
      </c>
      <c r="H33" s="29" t="s">
        <v>7</v>
      </c>
      <c r="I33" s="31" t="s">
        <v>7</v>
      </c>
      <c r="J33" s="30">
        <v>9</v>
      </c>
      <c r="K33" s="30">
        <v>3</v>
      </c>
      <c r="L33" s="30">
        <v>63</v>
      </c>
      <c r="M33" s="9" t="s">
        <v>46</v>
      </c>
      <c r="N33" s="5"/>
      <c r="O33" s="5"/>
      <c r="P33" s="5"/>
    </row>
    <row r="34" spans="1:16">
      <c r="A34" s="21" t="s">
        <v>47</v>
      </c>
      <c r="B34" s="6">
        <f>SUM(C34:D34)</f>
        <v>8861</v>
      </c>
      <c r="C34" s="28">
        <v>8703</v>
      </c>
      <c r="D34" s="28">
        <f>SUM(E34:J34)</f>
        <v>158</v>
      </c>
      <c r="E34" s="30">
        <v>158</v>
      </c>
      <c r="F34" s="29" t="s">
        <v>7</v>
      </c>
      <c r="G34" s="29" t="s">
        <v>7</v>
      </c>
      <c r="H34" s="29" t="s">
        <v>7</v>
      </c>
      <c r="I34" s="31" t="s">
        <v>7</v>
      </c>
      <c r="J34" s="29" t="s">
        <v>7</v>
      </c>
      <c r="K34" s="30">
        <v>5</v>
      </c>
      <c r="L34" s="30">
        <v>447</v>
      </c>
      <c r="M34" s="9" t="s">
        <v>48</v>
      </c>
      <c r="N34" s="5"/>
      <c r="O34" s="5"/>
      <c r="P34" s="5"/>
    </row>
    <row r="35" spans="1:16">
      <c r="A35" s="21" t="s">
        <v>49</v>
      </c>
      <c r="B35" s="6">
        <f>SUM(C35:D35)</f>
        <v>2951</v>
      </c>
      <c r="C35" s="28">
        <v>2951</v>
      </c>
      <c r="D35" s="28">
        <f>SUM(E35:J35)</f>
        <v>0</v>
      </c>
      <c r="E35" s="29" t="s">
        <v>7</v>
      </c>
      <c r="F35" s="29" t="s">
        <v>7</v>
      </c>
      <c r="G35" s="29" t="s">
        <v>7</v>
      </c>
      <c r="H35" s="29" t="s">
        <v>7</v>
      </c>
      <c r="I35" s="31" t="s">
        <v>7</v>
      </c>
      <c r="J35" s="29" t="s">
        <v>7</v>
      </c>
      <c r="K35" s="29" t="s">
        <v>7</v>
      </c>
      <c r="L35" s="30">
        <v>75</v>
      </c>
      <c r="M35" s="9" t="s">
        <v>50</v>
      </c>
      <c r="N35" s="5"/>
      <c r="O35" s="5"/>
      <c r="P35" s="5"/>
    </row>
    <row r="36" spans="1:16">
      <c r="A36" s="21" t="s">
        <v>51</v>
      </c>
      <c r="B36" s="6">
        <f>SUM(C36:D36)</f>
        <v>9484</v>
      </c>
      <c r="C36" s="28">
        <v>9414</v>
      </c>
      <c r="D36" s="28">
        <f>SUM(E36:J36)</f>
        <v>70</v>
      </c>
      <c r="E36" s="30">
        <v>5</v>
      </c>
      <c r="F36" s="30">
        <v>3</v>
      </c>
      <c r="G36" s="30">
        <v>10</v>
      </c>
      <c r="H36" s="29" t="s">
        <v>7</v>
      </c>
      <c r="I36" s="31" t="s">
        <v>7</v>
      </c>
      <c r="J36" s="30">
        <v>52</v>
      </c>
      <c r="K36" s="30">
        <v>23</v>
      </c>
      <c r="L36" s="30">
        <v>1654</v>
      </c>
      <c r="M36" s="9" t="s">
        <v>52</v>
      </c>
      <c r="N36" s="5"/>
      <c r="O36" s="5"/>
      <c r="P36" s="5"/>
    </row>
    <row r="37" spans="1:16">
      <c r="A37" s="43" t="s">
        <v>53</v>
      </c>
      <c r="B37" s="50">
        <f>SUM(C37,D37)</f>
        <v>92665</v>
      </c>
      <c r="C37" s="44">
        <f>SUM(C39:C43)</f>
        <v>91054</v>
      </c>
      <c r="D37" s="44">
        <f>SUM(D39:D43)</f>
        <v>1611</v>
      </c>
      <c r="E37" s="44">
        <f t="shared" ref="E37:L37" si="8">SUM(E39:E43)</f>
        <v>53</v>
      </c>
      <c r="F37" s="44">
        <f t="shared" si="8"/>
        <v>346</v>
      </c>
      <c r="G37" s="44">
        <f t="shared" si="8"/>
        <v>194</v>
      </c>
      <c r="H37" s="44">
        <f t="shared" si="8"/>
        <v>67</v>
      </c>
      <c r="I37" s="44">
        <f t="shared" si="8"/>
        <v>428</v>
      </c>
      <c r="J37" s="44">
        <f t="shared" si="8"/>
        <v>523</v>
      </c>
      <c r="K37" s="44">
        <f t="shared" si="8"/>
        <v>414</v>
      </c>
      <c r="L37" s="44">
        <f t="shared" si="8"/>
        <v>2591</v>
      </c>
      <c r="M37" s="55" t="s">
        <v>54</v>
      </c>
      <c r="N37" s="56"/>
      <c r="O37" s="56"/>
      <c r="P37" s="5"/>
    </row>
    <row r="38" spans="1:16">
      <c r="A38" s="43"/>
      <c r="B38" s="50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55"/>
      <c r="N38" s="56"/>
      <c r="O38" s="56"/>
      <c r="P38" s="5"/>
    </row>
    <row r="39" spans="1:16">
      <c r="A39" s="21" t="s">
        <v>55</v>
      </c>
      <c r="B39" s="6">
        <f>SUM(C39:D39)</f>
        <v>38990</v>
      </c>
      <c r="C39" s="28">
        <v>38079</v>
      </c>
      <c r="D39" s="28">
        <f>SUM(E39:J39)</f>
        <v>911</v>
      </c>
      <c r="E39" s="30">
        <v>44</v>
      </c>
      <c r="F39" s="30">
        <v>340</v>
      </c>
      <c r="G39" s="30">
        <v>163</v>
      </c>
      <c r="H39" s="30">
        <v>47</v>
      </c>
      <c r="I39" s="30">
        <v>296</v>
      </c>
      <c r="J39" s="30">
        <v>21</v>
      </c>
      <c r="K39" s="30">
        <v>105</v>
      </c>
      <c r="L39" s="30">
        <v>376</v>
      </c>
      <c r="M39" s="9" t="s">
        <v>56</v>
      </c>
      <c r="N39" s="5"/>
      <c r="O39" s="5"/>
      <c r="P39" s="5"/>
    </row>
    <row r="40" spans="1:16">
      <c r="A40" s="21" t="s">
        <v>57</v>
      </c>
      <c r="B40" s="6">
        <f>SUM(C40:D40)</f>
        <v>15722</v>
      </c>
      <c r="C40" s="28">
        <v>15706</v>
      </c>
      <c r="D40" s="28">
        <f>SUM(E40:J40)</f>
        <v>16</v>
      </c>
      <c r="E40" s="29" t="s">
        <v>7</v>
      </c>
      <c r="F40" s="30">
        <v>2</v>
      </c>
      <c r="G40" s="30">
        <v>3</v>
      </c>
      <c r="H40" s="29" t="s">
        <v>7</v>
      </c>
      <c r="I40" s="30">
        <v>5</v>
      </c>
      <c r="J40" s="30">
        <v>6</v>
      </c>
      <c r="K40" s="30">
        <v>23</v>
      </c>
      <c r="L40" s="30">
        <v>176</v>
      </c>
      <c r="M40" s="9" t="s">
        <v>58</v>
      </c>
      <c r="N40" s="5"/>
      <c r="O40" s="5"/>
      <c r="P40" s="5"/>
    </row>
    <row r="41" spans="1:16">
      <c r="A41" s="21" t="s">
        <v>59</v>
      </c>
      <c r="B41" s="6">
        <f>SUM(C41:D41)</f>
        <v>18633</v>
      </c>
      <c r="C41" s="28">
        <v>18170</v>
      </c>
      <c r="D41" s="28">
        <f>SUM(E41:J41)</f>
        <v>463</v>
      </c>
      <c r="E41" s="29" t="s">
        <v>7</v>
      </c>
      <c r="F41" s="29" t="s">
        <v>7</v>
      </c>
      <c r="G41" s="29" t="s">
        <v>7</v>
      </c>
      <c r="H41" s="29" t="s">
        <v>7</v>
      </c>
      <c r="I41" s="29" t="s">
        <v>7</v>
      </c>
      <c r="J41" s="30">
        <v>463</v>
      </c>
      <c r="K41" s="30">
        <v>247</v>
      </c>
      <c r="L41" s="30">
        <v>461</v>
      </c>
      <c r="M41" s="9" t="s">
        <v>60</v>
      </c>
      <c r="N41" s="5"/>
      <c r="O41" s="5"/>
      <c r="P41" s="5"/>
    </row>
    <row r="42" spans="1:16">
      <c r="A42" s="21" t="s">
        <v>61</v>
      </c>
      <c r="B42" s="6">
        <f>SUM(C42:D42)</f>
        <v>243</v>
      </c>
      <c r="C42" s="31">
        <v>239</v>
      </c>
      <c r="D42" s="28">
        <f>SUM(E42:J42)</f>
        <v>4</v>
      </c>
      <c r="E42" s="29" t="s">
        <v>7</v>
      </c>
      <c r="F42" s="29" t="s">
        <v>7</v>
      </c>
      <c r="G42" s="29" t="s">
        <v>7</v>
      </c>
      <c r="H42" s="29" t="s">
        <v>7</v>
      </c>
      <c r="I42" s="29" t="s">
        <v>7</v>
      </c>
      <c r="J42" s="30">
        <v>4</v>
      </c>
      <c r="K42" s="29" t="s">
        <v>7</v>
      </c>
      <c r="L42" s="30">
        <v>4</v>
      </c>
      <c r="M42" s="57" t="s">
        <v>62</v>
      </c>
      <c r="N42" s="58"/>
      <c r="O42" s="58"/>
      <c r="P42" s="5"/>
    </row>
    <row r="43" spans="1:16">
      <c r="A43" s="21" t="s">
        <v>63</v>
      </c>
      <c r="B43" s="6">
        <f>SUM(C43:D43)</f>
        <v>19077</v>
      </c>
      <c r="C43" s="28">
        <v>18860</v>
      </c>
      <c r="D43" s="28">
        <f>SUM(E43:J43)</f>
        <v>217</v>
      </c>
      <c r="E43" s="30">
        <v>9</v>
      </c>
      <c r="F43" s="30">
        <v>4</v>
      </c>
      <c r="G43" s="30">
        <v>28</v>
      </c>
      <c r="H43" s="30">
        <v>20</v>
      </c>
      <c r="I43" s="30">
        <v>127</v>
      </c>
      <c r="J43" s="30">
        <v>29</v>
      </c>
      <c r="K43" s="30">
        <v>39</v>
      </c>
      <c r="L43" s="30">
        <v>1574</v>
      </c>
      <c r="M43" s="9" t="s">
        <v>64</v>
      </c>
      <c r="N43" s="5"/>
      <c r="O43" s="5"/>
      <c r="P43" s="5"/>
    </row>
    <row r="44" spans="1:16">
      <c r="A44" s="43" t="s">
        <v>65</v>
      </c>
      <c r="B44" s="50">
        <f>SUM(C44,D44)</f>
        <v>156955</v>
      </c>
      <c r="C44" s="44">
        <f>SUM(C46:C50)</f>
        <v>154225</v>
      </c>
      <c r="D44" s="44">
        <f>SUM(D46:D50)</f>
        <v>2730</v>
      </c>
      <c r="E44" s="44">
        <f t="shared" ref="E44:L44" si="9">SUM(E46:E50)</f>
        <v>124</v>
      </c>
      <c r="F44" s="44">
        <f t="shared" si="9"/>
        <v>373</v>
      </c>
      <c r="G44" s="44">
        <f t="shared" si="9"/>
        <v>538</v>
      </c>
      <c r="H44" s="44">
        <f t="shared" si="9"/>
        <v>1028</v>
      </c>
      <c r="I44" s="44">
        <f t="shared" si="9"/>
        <v>89</v>
      </c>
      <c r="J44" s="44">
        <f t="shared" si="9"/>
        <v>578</v>
      </c>
      <c r="K44" s="44">
        <f t="shared" si="9"/>
        <v>155</v>
      </c>
      <c r="L44" s="44">
        <f t="shared" si="9"/>
        <v>526</v>
      </c>
      <c r="M44" s="59" t="s">
        <v>66</v>
      </c>
      <c r="N44" s="60"/>
      <c r="O44" s="60"/>
      <c r="P44" s="5"/>
    </row>
    <row r="45" spans="1:16">
      <c r="A45" s="43"/>
      <c r="B45" s="50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59"/>
      <c r="N45" s="60"/>
      <c r="O45" s="60"/>
      <c r="P45" s="5"/>
    </row>
    <row r="46" spans="1:16">
      <c r="A46" s="21" t="s">
        <v>67</v>
      </c>
      <c r="B46" s="6">
        <f>SUM(C46:D46)</f>
        <v>33255</v>
      </c>
      <c r="C46" s="28">
        <v>32703</v>
      </c>
      <c r="D46" s="28">
        <f>SUM(E46:J46)</f>
        <v>552</v>
      </c>
      <c r="E46" s="30">
        <v>117</v>
      </c>
      <c r="F46" s="30">
        <v>273</v>
      </c>
      <c r="G46" s="30">
        <v>45</v>
      </c>
      <c r="H46" s="29" t="s">
        <v>7</v>
      </c>
      <c r="I46" s="30">
        <v>89</v>
      </c>
      <c r="J46" s="30">
        <v>28</v>
      </c>
      <c r="K46" s="30">
        <v>40</v>
      </c>
      <c r="L46" s="30">
        <v>257</v>
      </c>
      <c r="M46" s="9" t="s">
        <v>68</v>
      </c>
      <c r="N46" s="5"/>
      <c r="O46" s="5"/>
      <c r="P46" s="5"/>
    </row>
    <row r="47" spans="1:16">
      <c r="A47" s="21" t="s">
        <v>69</v>
      </c>
      <c r="B47" s="6">
        <f>SUM(C47:D47)</f>
        <v>77554</v>
      </c>
      <c r="C47" s="28">
        <v>75436</v>
      </c>
      <c r="D47" s="28">
        <f>SUM(E47:J47)</f>
        <v>2118</v>
      </c>
      <c r="E47" s="30">
        <v>2</v>
      </c>
      <c r="F47" s="30">
        <v>100</v>
      </c>
      <c r="G47" s="30">
        <v>463</v>
      </c>
      <c r="H47" s="30">
        <v>1028</v>
      </c>
      <c r="I47" s="29" t="s">
        <v>7</v>
      </c>
      <c r="J47" s="30">
        <v>525</v>
      </c>
      <c r="K47" s="30">
        <v>85</v>
      </c>
      <c r="L47" s="30">
        <v>52</v>
      </c>
      <c r="M47" s="9" t="s">
        <v>70</v>
      </c>
      <c r="N47" s="5"/>
      <c r="O47" s="5"/>
      <c r="P47" s="5"/>
    </row>
    <row r="48" spans="1:16">
      <c r="A48" s="21" t="s">
        <v>71</v>
      </c>
      <c r="B48" s="6">
        <f>SUM(C48:D48)</f>
        <v>42772</v>
      </c>
      <c r="C48" s="28">
        <v>42712</v>
      </c>
      <c r="D48" s="28">
        <f>SUM(E48:J48)</f>
        <v>60</v>
      </c>
      <c r="E48" s="30">
        <v>5</v>
      </c>
      <c r="F48" s="29" t="s">
        <v>7</v>
      </c>
      <c r="G48" s="30">
        <v>30</v>
      </c>
      <c r="H48" s="29" t="s">
        <v>7</v>
      </c>
      <c r="I48" s="29" t="s">
        <v>7</v>
      </c>
      <c r="J48" s="30">
        <v>25</v>
      </c>
      <c r="K48" s="30">
        <v>30</v>
      </c>
      <c r="L48" s="30">
        <v>206</v>
      </c>
      <c r="M48" s="9" t="s">
        <v>72</v>
      </c>
      <c r="N48" s="5"/>
      <c r="O48" s="5"/>
      <c r="P48" s="5"/>
    </row>
    <row r="49" spans="1:16">
      <c r="A49" s="21" t="s">
        <v>73</v>
      </c>
      <c r="B49" s="6">
        <f>SUM(C49:D49)</f>
        <v>1916</v>
      </c>
      <c r="C49" s="28">
        <v>1916</v>
      </c>
      <c r="D49" s="28">
        <f>SUM(E49:J49)</f>
        <v>0</v>
      </c>
      <c r="E49" s="29" t="s">
        <v>7</v>
      </c>
      <c r="F49" s="29" t="s">
        <v>7</v>
      </c>
      <c r="G49" s="29" t="s">
        <v>7</v>
      </c>
      <c r="H49" s="29" t="s">
        <v>7</v>
      </c>
      <c r="I49" s="29" t="s">
        <v>7</v>
      </c>
      <c r="J49" s="29" t="s">
        <v>7</v>
      </c>
      <c r="K49" s="29" t="s">
        <v>7</v>
      </c>
      <c r="L49" s="30">
        <v>5</v>
      </c>
      <c r="M49" s="9" t="s">
        <v>74</v>
      </c>
      <c r="N49" s="5"/>
      <c r="O49" s="5"/>
      <c r="P49" s="5"/>
    </row>
    <row r="50" spans="1:16">
      <c r="A50" s="21" t="s">
        <v>75</v>
      </c>
      <c r="B50" s="6">
        <f>SUM(C50:D50)</f>
        <v>1458</v>
      </c>
      <c r="C50" s="28">
        <v>1458</v>
      </c>
      <c r="D50" s="28">
        <f>SUM(E50:J50)</f>
        <v>0</v>
      </c>
      <c r="E50" s="29" t="s">
        <v>7</v>
      </c>
      <c r="F50" s="29" t="s">
        <v>7</v>
      </c>
      <c r="G50" s="29" t="s">
        <v>7</v>
      </c>
      <c r="H50" s="29" t="s">
        <v>7</v>
      </c>
      <c r="I50" s="29" t="s">
        <v>7</v>
      </c>
      <c r="J50" s="29" t="s">
        <v>7</v>
      </c>
      <c r="K50" s="29" t="s">
        <v>7</v>
      </c>
      <c r="L50" s="30">
        <v>6</v>
      </c>
      <c r="M50" s="9" t="s">
        <v>76</v>
      </c>
      <c r="N50" s="5"/>
      <c r="O50" s="5"/>
      <c r="P50" s="5"/>
    </row>
    <row r="51" spans="1:16">
      <c r="A51" s="43" t="s">
        <v>77</v>
      </c>
      <c r="B51" s="50">
        <f>SUM(C51,D51)</f>
        <v>19447</v>
      </c>
      <c r="C51" s="44">
        <f>SUM(C53:C57)</f>
        <v>19376</v>
      </c>
      <c r="D51" s="44">
        <f>SUM(D53:D57)</f>
        <v>71</v>
      </c>
      <c r="E51" s="44">
        <f t="shared" ref="E51:L51" si="10">SUM(E53:E57)</f>
        <v>18</v>
      </c>
      <c r="F51" s="44">
        <f t="shared" si="10"/>
        <v>0</v>
      </c>
      <c r="G51" s="44">
        <f t="shared" si="10"/>
        <v>19</v>
      </c>
      <c r="H51" s="44">
        <f t="shared" si="10"/>
        <v>0</v>
      </c>
      <c r="I51" s="44">
        <f t="shared" si="10"/>
        <v>0</v>
      </c>
      <c r="J51" s="44">
        <f t="shared" si="10"/>
        <v>34</v>
      </c>
      <c r="K51" s="44">
        <f t="shared" si="10"/>
        <v>21</v>
      </c>
      <c r="L51" s="44">
        <f t="shared" si="10"/>
        <v>585</v>
      </c>
      <c r="M51" s="55" t="s">
        <v>78</v>
      </c>
      <c r="N51" s="56"/>
      <c r="O51" s="56"/>
      <c r="P51" s="5"/>
    </row>
    <row r="52" spans="1:16">
      <c r="A52" s="43"/>
      <c r="B52" s="50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55"/>
      <c r="N52" s="56"/>
      <c r="O52" s="56"/>
      <c r="P52" s="5"/>
    </row>
    <row r="53" spans="1:16">
      <c r="A53" s="21" t="s">
        <v>79</v>
      </c>
      <c r="B53" s="6">
        <f>SUM(C53:D53)</f>
        <v>10553</v>
      </c>
      <c r="C53" s="28">
        <v>10541</v>
      </c>
      <c r="D53" s="28">
        <f>SUM(E53:J53)</f>
        <v>12</v>
      </c>
      <c r="E53" s="30">
        <v>3</v>
      </c>
      <c r="F53" s="29" t="s">
        <v>7</v>
      </c>
      <c r="G53" s="30">
        <v>4</v>
      </c>
      <c r="H53" s="29" t="s">
        <v>7</v>
      </c>
      <c r="I53" s="31" t="s">
        <v>7</v>
      </c>
      <c r="J53" s="30">
        <v>5</v>
      </c>
      <c r="K53" s="30">
        <v>5</v>
      </c>
      <c r="L53" s="30">
        <v>139</v>
      </c>
      <c r="M53" s="9" t="s">
        <v>80</v>
      </c>
      <c r="N53" s="5"/>
      <c r="O53" s="5"/>
      <c r="P53" s="5"/>
    </row>
    <row r="54" spans="1:16">
      <c r="A54" s="21" t="s">
        <v>81</v>
      </c>
      <c r="B54" s="6">
        <f>SUM(C54:D54)</f>
        <v>4263</v>
      </c>
      <c r="C54" s="28">
        <v>4251</v>
      </c>
      <c r="D54" s="28">
        <f>SUM(E54:J54)</f>
        <v>12</v>
      </c>
      <c r="E54" s="29" t="s">
        <v>7</v>
      </c>
      <c r="F54" s="29" t="s">
        <v>7</v>
      </c>
      <c r="G54" s="29" t="s">
        <v>7</v>
      </c>
      <c r="H54" s="29" t="s">
        <v>7</v>
      </c>
      <c r="I54" s="31" t="s">
        <v>7</v>
      </c>
      <c r="J54" s="30">
        <v>12</v>
      </c>
      <c r="K54" s="29" t="s">
        <v>7</v>
      </c>
      <c r="L54" s="30">
        <v>390</v>
      </c>
      <c r="M54" s="9" t="s">
        <v>82</v>
      </c>
      <c r="N54" s="5"/>
      <c r="O54" s="5"/>
      <c r="P54" s="5"/>
    </row>
    <row r="55" spans="1:16">
      <c r="A55" s="21" t="s">
        <v>83</v>
      </c>
      <c r="B55" s="6">
        <f>SUM(C55:D55)</f>
        <v>103</v>
      </c>
      <c r="C55" s="31">
        <v>103</v>
      </c>
      <c r="D55" s="28">
        <f>SUM(E55:J55)</f>
        <v>0</v>
      </c>
      <c r="E55" s="29" t="s">
        <v>7</v>
      </c>
      <c r="F55" s="29" t="s">
        <v>7</v>
      </c>
      <c r="G55" s="29" t="s">
        <v>7</v>
      </c>
      <c r="H55" s="29" t="s">
        <v>7</v>
      </c>
      <c r="I55" s="31" t="s">
        <v>7</v>
      </c>
      <c r="J55" s="29" t="s">
        <v>7</v>
      </c>
      <c r="K55" s="29" t="s">
        <v>7</v>
      </c>
      <c r="L55" s="29" t="s">
        <v>7</v>
      </c>
      <c r="M55" s="9" t="s">
        <v>84</v>
      </c>
      <c r="N55" s="5"/>
      <c r="O55" s="5"/>
      <c r="P55" s="5"/>
    </row>
    <row r="56" spans="1:16">
      <c r="A56" s="21" t="s">
        <v>85</v>
      </c>
      <c r="B56" s="6">
        <f>SUM(C56:D56)</f>
        <v>3292</v>
      </c>
      <c r="C56" s="28">
        <v>3245</v>
      </c>
      <c r="D56" s="28">
        <f>SUM(E56:J56)</f>
        <v>47</v>
      </c>
      <c r="E56" s="30">
        <v>15</v>
      </c>
      <c r="F56" s="29" t="s">
        <v>7</v>
      </c>
      <c r="G56" s="30">
        <v>15</v>
      </c>
      <c r="H56" s="29" t="s">
        <v>7</v>
      </c>
      <c r="I56" s="31" t="s">
        <v>7</v>
      </c>
      <c r="J56" s="30">
        <v>17</v>
      </c>
      <c r="K56" s="30">
        <v>16</v>
      </c>
      <c r="L56" s="30">
        <v>18</v>
      </c>
      <c r="M56" s="9" t="s">
        <v>86</v>
      </c>
      <c r="N56" s="5"/>
      <c r="O56" s="5"/>
      <c r="P56" s="5"/>
    </row>
    <row r="57" spans="1:16">
      <c r="A57" s="21" t="s">
        <v>87</v>
      </c>
      <c r="B57" s="6">
        <f>SUM(C57:D57)</f>
        <v>1236</v>
      </c>
      <c r="C57" s="28">
        <v>1236</v>
      </c>
      <c r="D57" s="28">
        <f>SUM(E57:J57)</f>
        <v>0</v>
      </c>
      <c r="E57" s="29" t="s">
        <v>7</v>
      </c>
      <c r="F57" s="29" t="s">
        <v>7</v>
      </c>
      <c r="G57" s="29" t="s">
        <v>7</v>
      </c>
      <c r="H57" s="29" t="s">
        <v>7</v>
      </c>
      <c r="I57" s="31" t="s">
        <v>7</v>
      </c>
      <c r="J57" s="29" t="s">
        <v>7</v>
      </c>
      <c r="K57" s="29" t="s">
        <v>7</v>
      </c>
      <c r="L57" s="30">
        <v>38</v>
      </c>
      <c r="M57" s="9" t="s">
        <v>88</v>
      </c>
      <c r="N57" s="5"/>
      <c r="O57" s="5"/>
      <c r="P57" s="5"/>
    </row>
    <row r="58" spans="1:16">
      <c r="A58" s="43" t="s">
        <v>89</v>
      </c>
      <c r="B58" s="50">
        <f>SUM(C58,D58)</f>
        <v>157171</v>
      </c>
      <c r="C58" s="44">
        <f>SUM(C60:C62)</f>
        <v>156118</v>
      </c>
      <c r="D58" s="44">
        <f>SUM(D60:D62)</f>
        <v>1053</v>
      </c>
      <c r="E58" s="44">
        <f t="shared" ref="E58:L58" si="11">SUM(E60:E62)</f>
        <v>183</v>
      </c>
      <c r="F58" s="44">
        <f t="shared" si="11"/>
        <v>5</v>
      </c>
      <c r="G58" s="44">
        <f t="shared" si="11"/>
        <v>231</v>
      </c>
      <c r="H58" s="44">
        <f t="shared" si="11"/>
        <v>0</v>
      </c>
      <c r="I58" s="44">
        <f t="shared" si="11"/>
        <v>36</v>
      </c>
      <c r="J58" s="44">
        <f t="shared" si="11"/>
        <v>598</v>
      </c>
      <c r="K58" s="44">
        <f t="shared" si="11"/>
        <v>182</v>
      </c>
      <c r="L58" s="44">
        <f t="shared" si="11"/>
        <v>7785</v>
      </c>
      <c r="M58" s="59" t="s">
        <v>90</v>
      </c>
      <c r="N58" s="60"/>
      <c r="O58" s="60"/>
      <c r="P58" s="5"/>
    </row>
    <row r="59" spans="1:16">
      <c r="A59" s="43"/>
      <c r="B59" s="50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59"/>
      <c r="N59" s="60"/>
      <c r="O59" s="60"/>
      <c r="P59" s="5"/>
    </row>
    <row r="60" spans="1:16">
      <c r="A60" s="21" t="s">
        <v>91</v>
      </c>
      <c r="B60" s="6">
        <f>SUM(C60:D60)</f>
        <v>41961</v>
      </c>
      <c r="C60" s="28">
        <v>41828</v>
      </c>
      <c r="D60" s="28">
        <f>SUM(E60:J60)</f>
        <v>133</v>
      </c>
      <c r="E60" s="30">
        <v>30</v>
      </c>
      <c r="F60" s="29" t="s">
        <v>7</v>
      </c>
      <c r="G60" s="30">
        <v>26</v>
      </c>
      <c r="H60" s="29" t="s">
        <v>7</v>
      </c>
      <c r="I60" s="30">
        <v>1</v>
      </c>
      <c r="J60" s="30">
        <v>76</v>
      </c>
      <c r="K60" s="30">
        <v>39</v>
      </c>
      <c r="L60" s="30">
        <v>477</v>
      </c>
      <c r="M60" s="9" t="s">
        <v>92</v>
      </c>
      <c r="N60" s="5"/>
      <c r="O60" s="5"/>
      <c r="P60" s="5"/>
    </row>
    <row r="61" spans="1:16">
      <c r="A61" s="21" t="s">
        <v>93</v>
      </c>
      <c r="B61" s="6">
        <f>SUM(C61:D61)</f>
        <v>25850</v>
      </c>
      <c r="C61" s="28">
        <v>25432</v>
      </c>
      <c r="D61" s="28">
        <f>SUM(E61:J61)</f>
        <v>418</v>
      </c>
      <c r="E61" s="30">
        <v>143</v>
      </c>
      <c r="F61" s="30">
        <v>5</v>
      </c>
      <c r="G61" s="30">
        <v>203</v>
      </c>
      <c r="H61" s="29" t="s">
        <v>7</v>
      </c>
      <c r="I61" s="30">
        <v>35</v>
      </c>
      <c r="J61" s="30">
        <v>32</v>
      </c>
      <c r="K61" s="30">
        <v>98</v>
      </c>
      <c r="L61" s="30">
        <v>1484</v>
      </c>
      <c r="M61" s="57" t="s">
        <v>94</v>
      </c>
      <c r="N61" s="58"/>
      <c r="O61" s="58"/>
      <c r="P61" s="5"/>
    </row>
    <row r="62" spans="1:16">
      <c r="A62" s="21" t="s">
        <v>95</v>
      </c>
      <c r="B62" s="6">
        <f>SUM(C62:D62)</f>
        <v>89360</v>
      </c>
      <c r="C62" s="28">
        <v>88858</v>
      </c>
      <c r="D62" s="28">
        <f>SUM(E62:J62)</f>
        <v>502</v>
      </c>
      <c r="E62" s="30">
        <v>10</v>
      </c>
      <c r="F62" s="29" t="s">
        <v>7</v>
      </c>
      <c r="G62" s="30">
        <v>2</v>
      </c>
      <c r="H62" s="29" t="s">
        <v>7</v>
      </c>
      <c r="I62" s="29" t="s">
        <v>7</v>
      </c>
      <c r="J62" s="30">
        <v>490</v>
      </c>
      <c r="K62" s="30">
        <v>45</v>
      </c>
      <c r="L62" s="30">
        <v>5824</v>
      </c>
      <c r="M62" s="9" t="s">
        <v>96</v>
      </c>
      <c r="N62" s="5"/>
      <c r="O62" s="5"/>
      <c r="P62" s="5"/>
    </row>
    <row r="63" spans="1:16">
      <c r="A63" s="43" t="s">
        <v>97</v>
      </c>
      <c r="B63" s="50">
        <f>SUM(C63,D63)</f>
        <v>110108</v>
      </c>
      <c r="C63" s="44">
        <f>SUM(C65:C69)</f>
        <v>108206</v>
      </c>
      <c r="D63" s="44">
        <f>SUM(D65:D69)</f>
        <v>1902</v>
      </c>
      <c r="E63" s="44">
        <f t="shared" ref="E63:L63" si="12">SUM(E65:E69)</f>
        <v>956</v>
      </c>
      <c r="F63" s="44">
        <f t="shared" si="12"/>
        <v>14</v>
      </c>
      <c r="G63" s="44">
        <f t="shared" si="12"/>
        <v>127</v>
      </c>
      <c r="H63" s="44">
        <f t="shared" si="12"/>
        <v>520</v>
      </c>
      <c r="I63" s="44">
        <f t="shared" si="12"/>
        <v>0</v>
      </c>
      <c r="J63" s="44">
        <f t="shared" si="12"/>
        <v>285</v>
      </c>
      <c r="K63" s="44">
        <f t="shared" si="12"/>
        <v>215</v>
      </c>
      <c r="L63" s="44">
        <f t="shared" si="12"/>
        <v>5621</v>
      </c>
      <c r="M63" s="59" t="s">
        <v>98</v>
      </c>
      <c r="N63" s="60"/>
      <c r="O63" s="60"/>
      <c r="P63" s="5"/>
    </row>
    <row r="64" spans="1:16">
      <c r="A64" s="43"/>
      <c r="B64" s="50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59"/>
      <c r="N64" s="60"/>
      <c r="O64" s="60"/>
      <c r="P64" s="5"/>
    </row>
    <row r="65" spans="1:16">
      <c r="A65" s="21" t="s">
        <v>99</v>
      </c>
      <c r="B65" s="6">
        <f>SUM(C65:D65)</f>
        <v>13673</v>
      </c>
      <c r="C65" s="28">
        <v>13627</v>
      </c>
      <c r="D65" s="28">
        <f>SUM(E65:J65)</f>
        <v>46</v>
      </c>
      <c r="E65" s="30">
        <v>34</v>
      </c>
      <c r="F65" s="29" t="s">
        <v>7</v>
      </c>
      <c r="G65" s="30">
        <v>3</v>
      </c>
      <c r="H65" s="29" t="s">
        <v>7</v>
      </c>
      <c r="I65" s="31" t="s">
        <v>7</v>
      </c>
      <c r="J65" s="30">
        <v>9</v>
      </c>
      <c r="K65" s="30">
        <v>10</v>
      </c>
      <c r="L65" s="30">
        <v>461</v>
      </c>
      <c r="M65" s="9" t="s">
        <v>100</v>
      </c>
      <c r="N65" s="5"/>
      <c r="O65" s="5"/>
      <c r="P65" s="5"/>
    </row>
    <row r="66" spans="1:16">
      <c r="A66" s="21" t="s">
        <v>101</v>
      </c>
      <c r="B66" s="6">
        <f>SUM(C66:D66)</f>
        <v>35828</v>
      </c>
      <c r="C66" s="28">
        <v>35737</v>
      </c>
      <c r="D66" s="28">
        <f>SUM(E66:J66)</f>
        <v>91</v>
      </c>
      <c r="E66" s="30">
        <v>44</v>
      </c>
      <c r="F66" s="29" t="s">
        <v>7</v>
      </c>
      <c r="G66" s="30">
        <v>1</v>
      </c>
      <c r="H66" s="30">
        <v>30</v>
      </c>
      <c r="I66" s="31" t="s">
        <v>7</v>
      </c>
      <c r="J66" s="30">
        <v>16</v>
      </c>
      <c r="K66" s="30">
        <v>73</v>
      </c>
      <c r="L66" s="30">
        <v>732</v>
      </c>
      <c r="M66" s="9" t="s">
        <v>102</v>
      </c>
      <c r="N66" s="5"/>
      <c r="O66" s="5"/>
      <c r="P66" s="5"/>
    </row>
    <row r="67" spans="1:16">
      <c r="A67" s="21" t="s">
        <v>103</v>
      </c>
      <c r="B67" s="6">
        <f>SUM(C67:D67)</f>
        <v>14637</v>
      </c>
      <c r="C67" s="28">
        <v>13267</v>
      </c>
      <c r="D67" s="28">
        <f>SUM(E67:J67)</f>
        <v>1370</v>
      </c>
      <c r="E67" s="30">
        <v>636</v>
      </c>
      <c r="F67" s="30">
        <v>2</v>
      </c>
      <c r="G67" s="30">
        <v>23</v>
      </c>
      <c r="H67" s="30">
        <v>490</v>
      </c>
      <c r="I67" s="31" t="s">
        <v>7</v>
      </c>
      <c r="J67" s="30">
        <v>219</v>
      </c>
      <c r="K67" s="30">
        <v>50</v>
      </c>
      <c r="L67" s="30">
        <v>198</v>
      </c>
      <c r="M67" s="9" t="s">
        <v>104</v>
      </c>
      <c r="N67" s="5"/>
      <c r="O67" s="5"/>
      <c r="P67" s="5"/>
    </row>
    <row r="68" spans="1:16">
      <c r="A68" s="21" t="s">
        <v>105</v>
      </c>
      <c r="B68" s="6">
        <f>SUM(C68:D68)</f>
        <v>18762</v>
      </c>
      <c r="C68" s="28">
        <v>18640</v>
      </c>
      <c r="D68" s="28">
        <f>SUM(E68:J68)</f>
        <v>122</v>
      </c>
      <c r="E68" s="30">
        <v>48</v>
      </c>
      <c r="F68" s="29" t="s">
        <v>7</v>
      </c>
      <c r="G68" s="30">
        <v>70</v>
      </c>
      <c r="H68" s="29" t="s">
        <v>7</v>
      </c>
      <c r="I68" s="31" t="s">
        <v>7</v>
      </c>
      <c r="J68" s="30">
        <v>4</v>
      </c>
      <c r="K68" s="30">
        <v>21</v>
      </c>
      <c r="L68" s="30">
        <v>1651</v>
      </c>
      <c r="M68" s="9" t="s">
        <v>106</v>
      </c>
      <c r="N68" s="5"/>
      <c r="O68" s="5"/>
      <c r="P68" s="5"/>
    </row>
    <row r="69" spans="1:16">
      <c r="A69" s="21" t="s">
        <v>107</v>
      </c>
      <c r="B69" s="6">
        <f>SUM(C69:D69)</f>
        <v>27208</v>
      </c>
      <c r="C69" s="28">
        <v>26935</v>
      </c>
      <c r="D69" s="28">
        <f>SUM(E69:J69)</f>
        <v>273</v>
      </c>
      <c r="E69" s="30">
        <v>194</v>
      </c>
      <c r="F69" s="30">
        <v>12</v>
      </c>
      <c r="G69" s="30">
        <v>30</v>
      </c>
      <c r="H69" s="29" t="s">
        <v>7</v>
      </c>
      <c r="I69" s="31" t="s">
        <v>7</v>
      </c>
      <c r="J69" s="30">
        <v>37</v>
      </c>
      <c r="K69" s="30">
        <v>61</v>
      </c>
      <c r="L69" s="30">
        <v>2579</v>
      </c>
      <c r="M69" s="9" t="s">
        <v>108</v>
      </c>
      <c r="N69" s="5"/>
      <c r="O69" s="5"/>
      <c r="P69" s="5"/>
    </row>
    <row r="70" spans="1:16">
      <c r="A70" s="43" t="s">
        <v>109</v>
      </c>
      <c r="B70" s="50">
        <f>SUM(C70,D70)</f>
        <v>50745</v>
      </c>
      <c r="C70" s="44">
        <f>SUM(C72:C79)</f>
        <v>46560</v>
      </c>
      <c r="D70" s="44">
        <f>SUM(D72:D79)</f>
        <v>4185</v>
      </c>
      <c r="E70" s="44">
        <f t="shared" ref="E70:L70" si="13">SUM(E72:E79)</f>
        <v>72</v>
      </c>
      <c r="F70" s="44">
        <f t="shared" si="13"/>
        <v>42</v>
      </c>
      <c r="G70" s="44">
        <f t="shared" si="13"/>
        <v>411</v>
      </c>
      <c r="H70" s="44">
        <f t="shared" si="13"/>
        <v>100</v>
      </c>
      <c r="I70" s="44">
        <f t="shared" si="13"/>
        <v>2</v>
      </c>
      <c r="J70" s="44">
        <f t="shared" si="13"/>
        <v>3558</v>
      </c>
      <c r="K70" s="44">
        <f t="shared" si="13"/>
        <v>1440</v>
      </c>
      <c r="L70" s="44">
        <f t="shared" si="13"/>
        <v>1649</v>
      </c>
      <c r="M70" s="55" t="s">
        <v>110</v>
      </c>
      <c r="N70" s="56"/>
      <c r="O70" s="56"/>
      <c r="P70" s="5"/>
    </row>
    <row r="71" spans="1:16">
      <c r="A71" s="43"/>
      <c r="B71" s="50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55"/>
      <c r="N71" s="56"/>
      <c r="O71" s="56"/>
      <c r="P71" s="5"/>
    </row>
    <row r="72" spans="1:16" ht="20.399999999999999">
      <c r="A72" s="22" t="s">
        <v>111</v>
      </c>
      <c r="B72" s="6">
        <f t="shared" ref="B72:B79" si="14">SUM(C72:D72)</f>
        <v>0</v>
      </c>
      <c r="C72" s="31">
        <v>0</v>
      </c>
      <c r="D72" s="28">
        <f t="shared" ref="D72:D79" si="15">SUM(E72:J72)</f>
        <v>0</v>
      </c>
      <c r="E72" s="29" t="s">
        <v>7</v>
      </c>
      <c r="F72" s="29" t="s">
        <v>7</v>
      </c>
      <c r="G72" s="29" t="s">
        <v>7</v>
      </c>
      <c r="H72" s="29" t="s">
        <v>7</v>
      </c>
      <c r="I72" s="29" t="s">
        <v>7</v>
      </c>
      <c r="J72" s="29" t="s">
        <v>7</v>
      </c>
      <c r="K72" s="29" t="s">
        <v>7</v>
      </c>
      <c r="L72" s="29" t="s">
        <v>7</v>
      </c>
      <c r="M72" s="61" t="s">
        <v>112</v>
      </c>
      <c r="N72" s="62"/>
      <c r="O72" s="62"/>
      <c r="P72" s="62"/>
    </row>
    <row r="73" spans="1:16" ht="20.399999999999999" customHeight="1">
      <c r="A73" s="22" t="s">
        <v>113</v>
      </c>
      <c r="B73" s="6">
        <f t="shared" si="14"/>
        <v>429</v>
      </c>
      <c r="C73" s="31">
        <v>257</v>
      </c>
      <c r="D73" s="28">
        <f t="shared" si="15"/>
        <v>172</v>
      </c>
      <c r="E73" s="30">
        <v>4</v>
      </c>
      <c r="F73" s="30">
        <v>6</v>
      </c>
      <c r="G73" s="30">
        <v>3</v>
      </c>
      <c r="H73" s="30">
        <v>50</v>
      </c>
      <c r="I73" s="29" t="s">
        <v>7</v>
      </c>
      <c r="J73" s="30">
        <v>109</v>
      </c>
      <c r="K73" s="30">
        <v>60</v>
      </c>
      <c r="L73" s="30">
        <v>9</v>
      </c>
      <c r="M73" s="61" t="s">
        <v>114</v>
      </c>
      <c r="N73" s="62"/>
      <c r="O73" s="62"/>
      <c r="P73" s="62"/>
    </row>
    <row r="74" spans="1:16" ht="20.399999999999999" customHeight="1">
      <c r="A74" s="22" t="s">
        <v>183</v>
      </c>
      <c r="B74" s="6">
        <f t="shared" si="14"/>
        <v>48</v>
      </c>
      <c r="C74" s="31">
        <v>41</v>
      </c>
      <c r="D74" s="28">
        <f t="shared" si="15"/>
        <v>7</v>
      </c>
      <c r="E74" s="29" t="s">
        <v>7</v>
      </c>
      <c r="F74" s="29" t="s">
        <v>7</v>
      </c>
      <c r="G74" s="29" t="s">
        <v>7</v>
      </c>
      <c r="H74" s="29" t="s">
        <v>7</v>
      </c>
      <c r="I74" s="29" t="s">
        <v>7</v>
      </c>
      <c r="J74" s="30">
        <v>7</v>
      </c>
      <c r="K74" s="30">
        <v>20</v>
      </c>
      <c r="L74" s="29" t="s">
        <v>7</v>
      </c>
      <c r="M74" s="61" t="s">
        <v>115</v>
      </c>
      <c r="N74" s="62"/>
      <c r="O74" s="62"/>
      <c r="P74" s="62"/>
    </row>
    <row r="75" spans="1:16" ht="20.399999999999999" customHeight="1">
      <c r="A75" s="22" t="s">
        <v>184</v>
      </c>
      <c r="B75" s="6">
        <f t="shared" si="14"/>
        <v>0</v>
      </c>
      <c r="C75" s="31">
        <v>0</v>
      </c>
      <c r="D75" s="28">
        <f t="shared" si="15"/>
        <v>0</v>
      </c>
      <c r="E75" s="29" t="s">
        <v>7</v>
      </c>
      <c r="F75" s="29" t="s">
        <v>7</v>
      </c>
      <c r="G75" s="29" t="s">
        <v>7</v>
      </c>
      <c r="H75" s="29" t="s">
        <v>7</v>
      </c>
      <c r="I75" s="29" t="s">
        <v>7</v>
      </c>
      <c r="J75" s="29" t="s">
        <v>7</v>
      </c>
      <c r="K75" s="29" t="s">
        <v>7</v>
      </c>
      <c r="L75" s="29" t="s">
        <v>7</v>
      </c>
      <c r="M75" s="61" t="s">
        <v>116</v>
      </c>
      <c r="N75" s="62"/>
      <c r="O75" s="62"/>
      <c r="P75" s="62"/>
    </row>
    <row r="76" spans="1:16" ht="13.2" customHeight="1">
      <c r="A76" s="22" t="s">
        <v>185</v>
      </c>
      <c r="B76" s="6">
        <f t="shared" si="14"/>
        <v>31506</v>
      </c>
      <c r="C76" s="28">
        <v>28820</v>
      </c>
      <c r="D76" s="28">
        <f t="shared" si="15"/>
        <v>2686</v>
      </c>
      <c r="E76" s="30">
        <v>31</v>
      </c>
      <c r="F76" s="30">
        <v>36</v>
      </c>
      <c r="G76" s="30">
        <v>186</v>
      </c>
      <c r="H76" s="29" t="s">
        <v>7</v>
      </c>
      <c r="I76" s="30">
        <v>2</v>
      </c>
      <c r="J76" s="30">
        <v>2431</v>
      </c>
      <c r="K76" s="30">
        <v>995</v>
      </c>
      <c r="L76" s="30">
        <v>1361</v>
      </c>
      <c r="M76" s="61" t="s">
        <v>117</v>
      </c>
      <c r="N76" s="62"/>
      <c r="O76" s="62"/>
      <c r="P76" s="62"/>
    </row>
    <row r="77" spans="1:16">
      <c r="A77" s="22" t="s">
        <v>186</v>
      </c>
      <c r="B77" s="6">
        <f t="shared" si="14"/>
        <v>14631</v>
      </c>
      <c r="C77" s="28">
        <v>14616</v>
      </c>
      <c r="D77" s="28">
        <f t="shared" si="15"/>
        <v>15</v>
      </c>
      <c r="E77" s="29" t="s">
        <v>7</v>
      </c>
      <c r="F77" s="29" t="s">
        <v>7</v>
      </c>
      <c r="G77" s="29" t="s">
        <v>7</v>
      </c>
      <c r="H77" s="29" t="s">
        <v>7</v>
      </c>
      <c r="I77" s="29" t="s">
        <v>7</v>
      </c>
      <c r="J77" s="30">
        <v>15</v>
      </c>
      <c r="K77" s="30">
        <v>35</v>
      </c>
      <c r="L77" s="30">
        <v>213</v>
      </c>
      <c r="M77" s="61" t="s">
        <v>118</v>
      </c>
      <c r="N77" s="62"/>
      <c r="O77" s="62"/>
      <c r="P77" s="62"/>
    </row>
    <row r="78" spans="1:16" ht="12" customHeight="1">
      <c r="A78" s="22" t="s">
        <v>187</v>
      </c>
      <c r="B78" s="6">
        <f t="shared" si="14"/>
        <v>10</v>
      </c>
      <c r="C78" s="31">
        <v>10</v>
      </c>
      <c r="D78" s="28">
        <f t="shared" si="15"/>
        <v>0</v>
      </c>
      <c r="E78" s="29" t="s">
        <v>7</v>
      </c>
      <c r="F78" s="29" t="s">
        <v>7</v>
      </c>
      <c r="G78" s="29" t="s">
        <v>7</v>
      </c>
      <c r="H78" s="29" t="s">
        <v>7</v>
      </c>
      <c r="I78" s="29" t="s">
        <v>7</v>
      </c>
      <c r="J78" s="29" t="s">
        <v>7</v>
      </c>
      <c r="K78" s="29" t="s">
        <v>7</v>
      </c>
      <c r="L78" s="29" t="s">
        <v>7</v>
      </c>
      <c r="M78" s="61" t="s">
        <v>119</v>
      </c>
      <c r="N78" s="62"/>
      <c r="O78" s="62"/>
      <c r="P78" s="62"/>
    </row>
    <row r="79" spans="1:16">
      <c r="A79" s="22" t="s">
        <v>188</v>
      </c>
      <c r="B79" s="6">
        <f t="shared" si="14"/>
        <v>4121</v>
      </c>
      <c r="C79" s="28">
        <v>2816</v>
      </c>
      <c r="D79" s="28">
        <f t="shared" si="15"/>
        <v>1305</v>
      </c>
      <c r="E79" s="30">
        <v>37</v>
      </c>
      <c r="F79" s="29" t="s">
        <v>7</v>
      </c>
      <c r="G79" s="30">
        <v>222</v>
      </c>
      <c r="H79" s="30">
        <v>50</v>
      </c>
      <c r="I79" s="29" t="s">
        <v>7</v>
      </c>
      <c r="J79" s="30">
        <v>996</v>
      </c>
      <c r="K79" s="30">
        <v>330</v>
      </c>
      <c r="L79" s="30">
        <v>66</v>
      </c>
      <c r="M79" s="61" t="s">
        <v>120</v>
      </c>
      <c r="N79" s="62"/>
      <c r="O79" s="62"/>
      <c r="P79" s="62"/>
    </row>
    <row r="80" spans="1:16" ht="13.8">
      <c r="A80" s="43" t="s">
        <v>121</v>
      </c>
      <c r="B80" s="50">
        <f>SUM(C80,D80)</f>
        <v>21842</v>
      </c>
      <c r="C80" s="44">
        <f>SUM(C82:C86)</f>
        <v>21749</v>
      </c>
      <c r="D80" s="44">
        <f>SUM(D82:D86)</f>
        <v>93</v>
      </c>
      <c r="E80" s="44">
        <f t="shared" ref="E80:L80" si="16">SUM(E82:E86)</f>
        <v>67</v>
      </c>
      <c r="F80" s="44">
        <f t="shared" si="16"/>
        <v>6</v>
      </c>
      <c r="G80" s="44">
        <f t="shared" si="16"/>
        <v>17</v>
      </c>
      <c r="H80" s="44">
        <f t="shared" si="16"/>
        <v>0</v>
      </c>
      <c r="I80" s="44">
        <f t="shared" si="16"/>
        <v>0</v>
      </c>
      <c r="J80" s="44">
        <f t="shared" si="16"/>
        <v>3</v>
      </c>
      <c r="K80" s="44">
        <f t="shared" si="16"/>
        <v>29</v>
      </c>
      <c r="L80" s="44">
        <f t="shared" si="16"/>
        <v>947</v>
      </c>
      <c r="M80" s="59" t="s">
        <v>122</v>
      </c>
      <c r="N80" s="60"/>
      <c r="O80" s="60"/>
      <c r="P80" s="10"/>
    </row>
    <row r="81" spans="1:16" ht="13.8">
      <c r="A81" s="43"/>
      <c r="B81" s="50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59"/>
      <c r="N81" s="60"/>
      <c r="O81" s="60"/>
      <c r="P81" s="10"/>
    </row>
    <row r="82" spans="1:16">
      <c r="A82" s="21" t="s">
        <v>123</v>
      </c>
      <c r="B82" s="6">
        <f>SUM(C82:D82)</f>
        <v>10622</v>
      </c>
      <c r="C82" s="28">
        <v>10612</v>
      </c>
      <c r="D82" s="28">
        <f>SUM(E82:J82)</f>
        <v>10</v>
      </c>
      <c r="E82" s="29" t="s">
        <v>7</v>
      </c>
      <c r="F82" s="30">
        <v>5</v>
      </c>
      <c r="G82" s="30">
        <v>5</v>
      </c>
      <c r="H82" s="29" t="s">
        <v>7</v>
      </c>
      <c r="I82" s="31" t="s">
        <v>7</v>
      </c>
      <c r="J82" s="29" t="s">
        <v>7</v>
      </c>
      <c r="K82" s="30">
        <v>3</v>
      </c>
      <c r="L82" s="30">
        <v>668</v>
      </c>
      <c r="M82" s="9" t="s">
        <v>124</v>
      </c>
      <c r="N82" s="5"/>
      <c r="O82" s="5"/>
      <c r="P82" s="5"/>
    </row>
    <row r="83" spans="1:16">
      <c r="A83" s="21" t="s">
        <v>125</v>
      </c>
      <c r="B83" s="6">
        <f>SUM(C83:D83)</f>
        <v>1460</v>
      </c>
      <c r="C83" s="28">
        <v>1460</v>
      </c>
      <c r="D83" s="28">
        <f>SUM(E83:J83)</f>
        <v>0</v>
      </c>
      <c r="E83" s="29" t="s">
        <v>7</v>
      </c>
      <c r="F83" s="29" t="s">
        <v>7</v>
      </c>
      <c r="G83" s="29" t="s">
        <v>7</v>
      </c>
      <c r="H83" s="29" t="s">
        <v>7</v>
      </c>
      <c r="I83" s="31" t="s">
        <v>7</v>
      </c>
      <c r="J83" s="29" t="s">
        <v>7</v>
      </c>
      <c r="K83" s="30">
        <v>1</v>
      </c>
      <c r="L83" s="30">
        <v>7</v>
      </c>
      <c r="M83" s="9" t="s">
        <v>126</v>
      </c>
      <c r="N83" s="5"/>
      <c r="O83" s="5"/>
      <c r="P83" s="5"/>
    </row>
    <row r="84" spans="1:16">
      <c r="A84" s="21" t="s">
        <v>127</v>
      </c>
      <c r="B84" s="6">
        <f>SUM(C84:D84)</f>
        <v>2452</v>
      </c>
      <c r="C84" s="28">
        <v>2452</v>
      </c>
      <c r="D84" s="28">
        <f>SUM(E84:J84)</f>
        <v>0</v>
      </c>
      <c r="E84" s="29" t="s">
        <v>7</v>
      </c>
      <c r="F84" s="29" t="s">
        <v>7</v>
      </c>
      <c r="G84" s="29" t="s">
        <v>7</v>
      </c>
      <c r="H84" s="29" t="s">
        <v>7</v>
      </c>
      <c r="I84" s="31" t="s">
        <v>7</v>
      </c>
      <c r="J84" s="29" t="s">
        <v>7</v>
      </c>
      <c r="K84" s="30">
        <v>6</v>
      </c>
      <c r="L84" s="30">
        <v>77</v>
      </c>
      <c r="M84" s="9" t="s">
        <v>128</v>
      </c>
      <c r="N84" s="5"/>
      <c r="O84" s="5"/>
      <c r="P84" s="5"/>
    </row>
    <row r="85" spans="1:16">
      <c r="A85" s="21" t="s">
        <v>129</v>
      </c>
      <c r="B85" s="6">
        <f>SUM(C85:D85)</f>
        <v>2885</v>
      </c>
      <c r="C85" s="28">
        <v>2820</v>
      </c>
      <c r="D85" s="28">
        <f>SUM(E85:J85)</f>
        <v>65</v>
      </c>
      <c r="E85" s="30">
        <v>65</v>
      </c>
      <c r="F85" s="29" t="s">
        <v>7</v>
      </c>
      <c r="G85" s="29" t="s">
        <v>7</v>
      </c>
      <c r="H85" s="29" t="s">
        <v>7</v>
      </c>
      <c r="I85" s="31" t="s">
        <v>7</v>
      </c>
      <c r="J85" s="29" t="s">
        <v>7</v>
      </c>
      <c r="K85" s="30">
        <v>12</v>
      </c>
      <c r="L85" s="30">
        <v>126</v>
      </c>
      <c r="M85" s="9" t="s">
        <v>130</v>
      </c>
      <c r="N85" s="5"/>
      <c r="O85" s="5"/>
      <c r="P85" s="5"/>
    </row>
    <row r="86" spans="1:16">
      <c r="A86" s="21" t="s">
        <v>131</v>
      </c>
      <c r="B86" s="6">
        <f>SUM(C86:D86)</f>
        <v>4423</v>
      </c>
      <c r="C86" s="28">
        <v>4405</v>
      </c>
      <c r="D86" s="28">
        <f>SUM(E86:J86)</f>
        <v>18</v>
      </c>
      <c r="E86" s="30">
        <v>2</v>
      </c>
      <c r="F86" s="30">
        <v>1</v>
      </c>
      <c r="G86" s="30">
        <v>12</v>
      </c>
      <c r="H86" s="29" t="s">
        <v>7</v>
      </c>
      <c r="I86" s="31" t="s">
        <v>7</v>
      </c>
      <c r="J86" s="30">
        <v>3</v>
      </c>
      <c r="K86" s="30">
        <v>7</v>
      </c>
      <c r="L86" s="30">
        <v>69</v>
      </c>
      <c r="M86" s="9" t="s">
        <v>132</v>
      </c>
      <c r="N86" s="5"/>
      <c r="O86" s="5"/>
      <c r="P86" s="5"/>
    </row>
    <row r="87" spans="1:16">
      <c r="A87" s="43" t="s">
        <v>133</v>
      </c>
      <c r="B87" s="50">
        <f>SUM(C87,D87)</f>
        <v>22883</v>
      </c>
      <c r="C87" s="44">
        <f>SUM(C89:C101)</f>
        <v>22841</v>
      </c>
      <c r="D87" s="44">
        <f>SUM(D89:D101)</f>
        <v>42</v>
      </c>
      <c r="E87" s="44">
        <f t="shared" ref="E87:L87" si="17">SUM(E89:E101)</f>
        <v>10</v>
      </c>
      <c r="F87" s="44">
        <f t="shared" si="17"/>
        <v>7</v>
      </c>
      <c r="G87" s="44">
        <f t="shared" si="17"/>
        <v>8</v>
      </c>
      <c r="H87" s="44">
        <f t="shared" si="17"/>
        <v>0</v>
      </c>
      <c r="I87" s="44">
        <f t="shared" si="17"/>
        <v>2</v>
      </c>
      <c r="J87" s="44">
        <f t="shared" si="17"/>
        <v>15</v>
      </c>
      <c r="K87" s="44">
        <f t="shared" si="17"/>
        <v>33</v>
      </c>
      <c r="L87" s="44">
        <f t="shared" si="17"/>
        <v>1189</v>
      </c>
      <c r="M87" s="51" t="s">
        <v>134</v>
      </c>
      <c r="N87" s="52"/>
      <c r="O87" s="52"/>
      <c r="P87" s="5"/>
    </row>
    <row r="88" spans="1:16">
      <c r="A88" s="43"/>
      <c r="B88" s="50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51"/>
      <c r="N88" s="52"/>
      <c r="O88" s="52"/>
      <c r="P88" s="5"/>
    </row>
    <row r="89" spans="1:16">
      <c r="A89" s="21" t="s">
        <v>135</v>
      </c>
      <c r="B89" s="6">
        <f t="shared" ref="B89:B101" si="18">SUM(C89:D89)</f>
        <v>1277</v>
      </c>
      <c r="C89" s="31">
        <v>1277</v>
      </c>
      <c r="D89" s="28">
        <f t="shared" ref="D89:D101" si="19">SUM(E89:J89)</f>
        <v>0</v>
      </c>
      <c r="E89" s="29" t="s">
        <v>7</v>
      </c>
      <c r="F89" s="29" t="s">
        <v>7</v>
      </c>
      <c r="G89" s="29" t="s">
        <v>7</v>
      </c>
      <c r="H89" s="29" t="s">
        <v>7</v>
      </c>
      <c r="I89" s="29" t="s">
        <v>7</v>
      </c>
      <c r="J89" s="29" t="s">
        <v>7</v>
      </c>
      <c r="K89" s="29" t="s">
        <v>7</v>
      </c>
      <c r="L89" s="30">
        <v>250</v>
      </c>
      <c r="M89" s="9" t="s">
        <v>136</v>
      </c>
      <c r="N89" s="5"/>
      <c r="O89" s="5"/>
      <c r="P89" s="5"/>
    </row>
    <row r="90" spans="1:16">
      <c r="A90" s="21" t="s">
        <v>137</v>
      </c>
      <c r="B90" s="6">
        <f t="shared" si="18"/>
        <v>2221</v>
      </c>
      <c r="C90" s="28">
        <v>2221</v>
      </c>
      <c r="D90" s="28">
        <f t="shared" si="19"/>
        <v>0</v>
      </c>
      <c r="E90" s="29" t="s">
        <v>7</v>
      </c>
      <c r="F90" s="29" t="s">
        <v>7</v>
      </c>
      <c r="G90" s="29" t="s">
        <v>7</v>
      </c>
      <c r="H90" s="29" t="s">
        <v>7</v>
      </c>
      <c r="I90" s="29" t="s">
        <v>7</v>
      </c>
      <c r="J90" s="29" t="s">
        <v>7</v>
      </c>
      <c r="K90" s="29" t="s">
        <v>7</v>
      </c>
      <c r="L90" s="30">
        <v>21</v>
      </c>
      <c r="M90" s="9" t="s">
        <v>138</v>
      </c>
      <c r="N90" s="5"/>
      <c r="O90" s="5"/>
      <c r="P90" s="5"/>
    </row>
    <row r="91" spans="1:16">
      <c r="A91" s="21" t="s">
        <v>139</v>
      </c>
      <c r="B91" s="6">
        <f t="shared" si="18"/>
        <v>1301</v>
      </c>
      <c r="C91" s="28">
        <v>1301</v>
      </c>
      <c r="D91" s="28">
        <f t="shared" si="19"/>
        <v>0</v>
      </c>
      <c r="E91" s="29" t="s">
        <v>7</v>
      </c>
      <c r="F91" s="29" t="s">
        <v>7</v>
      </c>
      <c r="G91" s="29" t="s">
        <v>7</v>
      </c>
      <c r="H91" s="29" t="s">
        <v>7</v>
      </c>
      <c r="I91" s="29" t="s">
        <v>7</v>
      </c>
      <c r="J91" s="29" t="s">
        <v>7</v>
      </c>
      <c r="K91" s="29" t="s">
        <v>7</v>
      </c>
      <c r="L91" s="30">
        <v>13</v>
      </c>
      <c r="M91" s="9" t="s">
        <v>140</v>
      </c>
      <c r="N91" s="5"/>
      <c r="O91" s="5"/>
      <c r="P91" s="5"/>
    </row>
    <row r="92" spans="1:16">
      <c r="A92" s="21" t="s">
        <v>141</v>
      </c>
      <c r="B92" s="6">
        <f t="shared" si="18"/>
        <v>818</v>
      </c>
      <c r="C92" s="28">
        <v>814</v>
      </c>
      <c r="D92" s="28">
        <f t="shared" si="19"/>
        <v>4</v>
      </c>
      <c r="E92" s="29" t="s">
        <v>7</v>
      </c>
      <c r="F92" s="29" t="s">
        <v>7</v>
      </c>
      <c r="G92" s="29" t="s">
        <v>7</v>
      </c>
      <c r="H92" s="29" t="s">
        <v>7</v>
      </c>
      <c r="I92" s="29" t="s">
        <v>7</v>
      </c>
      <c r="J92" s="30">
        <v>4</v>
      </c>
      <c r="K92" s="30">
        <v>2</v>
      </c>
      <c r="L92" s="30">
        <v>35</v>
      </c>
      <c r="M92" s="9" t="s">
        <v>142</v>
      </c>
      <c r="N92" s="5"/>
      <c r="O92" s="5"/>
      <c r="P92" s="5"/>
    </row>
    <row r="93" spans="1:16">
      <c r="A93" s="21" t="s">
        <v>143</v>
      </c>
      <c r="B93" s="6">
        <f t="shared" si="18"/>
        <v>314</v>
      </c>
      <c r="C93" s="28">
        <v>314</v>
      </c>
      <c r="D93" s="28">
        <f t="shared" si="19"/>
        <v>0</v>
      </c>
      <c r="E93" s="29" t="s">
        <v>7</v>
      </c>
      <c r="F93" s="29" t="s">
        <v>7</v>
      </c>
      <c r="G93" s="29" t="s">
        <v>7</v>
      </c>
      <c r="H93" s="29" t="s">
        <v>7</v>
      </c>
      <c r="I93" s="29" t="s">
        <v>7</v>
      </c>
      <c r="J93" s="29" t="s">
        <v>7</v>
      </c>
      <c r="K93" s="29" t="s">
        <v>7</v>
      </c>
      <c r="L93" s="30">
        <v>7</v>
      </c>
      <c r="M93" s="9" t="s">
        <v>144</v>
      </c>
      <c r="N93" s="5"/>
      <c r="O93" s="5"/>
      <c r="P93" s="5"/>
    </row>
    <row r="94" spans="1:16">
      <c r="A94" s="21" t="s">
        <v>145</v>
      </c>
      <c r="B94" s="6">
        <f t="shared" si="18"/>
        <v>739</v>
      </c>
      <c r="C94" s="28">
        <v>739</v>
      </c>
      <c r="D94" s="28">
        <f t="shared" si="19"/>
        <v>0</v>
      </c>
      <c r="E94" s="29" t="s">
        <v>7</v>
      </c>
      <c r="F94" s="29" t="s">
        <v>7</v>
      </c>
      <c r="G94" s="29" t="s">
        <v>7</v>
      </c>
      <c r="H94" s="29" t="s">
        <v>7</v>
      </c>
      <c r="I94" s="29" t="s">
        <v>7</v>
      </c>
      <c r="J94" s="29" t="s">
        <v>7</v>
      </c>
      <c r="K94" s="29" t="s">
        <v>7</v>
      </c>
      <c r="L94" s="29" t="s">
        <v>7</v>
      </c>
      <c r="M94" s="9" t="s">
        <v>146</v>
      </c>
      <c r="N94" s="5"/>
      <c r="O94" s="5"/>
      <c r="P94" s="5"/>
    </row>
    <row r="95" spans="1:16">
      <c r="A95" s="21" t="s">
        <v>147</v>
      </c>
      <c r="B95" s="6">
        <f t="shared" si="18"/>
        <v>2285</v>
      </c>
      <c r="C95" s="28">
        <v>2285</v>
      </c>
      <c r="D95" s="28">
        <f t="shared" si="19"/>
        <v>0</v>
      </c>
      <c r="E95" s="29" t="s">
        <v>7</v>
      </c>
      <c r="F95" s="29" t="s">
        <v>7</v>
      </c>
      <c r="G95" s="29" t="s">
        <v>7</v>
      </c>
      <c r="H95" s="29" t="s">
        <v>7</v>
      </c>
      <c r="I95" s="29" t="s">
        <v>7</v>
      </c>
      <c r="J95" s="29" t="s">
        <v>7</v>
      </c>
      <c r="K95" s="29" t="s">
        <v>7</v>
      </c>
      <c r="L95" s="30">
        <v>64</v>
      </c>
      <c r="M95" s="9" t="s">
        <v>148</v>
      </c>
      <c r="N95" s="5"/>
      <c r="O95" s="5"/>
      <c r="P95" s="5"/>
    </row>
    <row r="96" spans="1:16">
      <c r="A96" s="21" t="s">
        <v>149</v>
      </c>
      <c r="B96" s="6">
        <f t="shared" si="18"/>
        <v>1169</v>
      </c>
      <c r="C96" s="28">
        <v>1167</v>
      </c>
      <c r="D96" s="28">
        <f t="shared" si="19"/>
        <v>2</v>
      </c>
      <c r="E96" s="29" t="s">
        <v>7</v>
      </c>
      <c r="F96" s="30">
        <v>2</v>
      </c>
      <c r="G96" s="29" t="s">
        <v>7</v>
      </c>
      <c r="H96" s="29" t="s">
        <v>7</v>
      </c>
      <c r="I96" s="29" t="s">
        <v>7</v>
      </c>
      <c r="J96" s="29" t="s">
        <v>7</v>
      </c>
      <c r="K96" s="29" t="s">
        <v>7</v>
      </c>
      <c r="L96" s="30">
        <v>4</v>
      </c>
      <c r="M96" s="9" t="s">
        <v>150</v>
      </c>
      <c r="N96" s="5"/>
      <c r="O96" s="5"/>
      <c r="P96" s="5"/>
    </row>
    <row r="97" spans="1:16">
      <c r="A97" s="21" t="s">
        <v>151</v>
      </c>
      <c r="B97" s="6">
        <f t="shared" si="18"/>
        <v>533</v>
      </c>
      <c r="C97" s="31">
        <v>533</v>
      </c>
      <c r="D97" s="28">
        <f t="shared" si="19"/>
        <v>0</v>
      </c>
      <c r="E97" s="29" t="s">
        <v>7</v>
      </c>
      <c r="F97" s="29" t="s">
        <v>7</v>
      </c>
      <c r="G97" s="29" t="s">
        <v>7</v>
      </c>
      <c r="H97" s="29" t="s">
        <v>7</v>
      </c>
      <c r="I97" s="29" t="s">
        <v>7</v>
      </c>
      <c r="J97" s="29" t="s">
        <v>7</v>
      </c>
      <c r="K97" s="29" t="s">
        <v>7</v>
      </c>
      <c r="L97" s="30">
        <v>18</v>
      </c>
      <c r="M97" s="9" t="s">
        <v>152</v>
      </c>
      <c r="N97" s="5"/>
      <c r="O97" s="5"/>
      <c r="P97" s="5"/>
    </row>
    <row r="98" spans="1:16">
      <c r="A98" s="21" t="s">
        <v>153</v>
      </c>
      <c r="B98" s="6">
        <f t="shared" si="18"/>
        <v>3722</v>
      </c>
      <c r="C98" s="28">
        <v>3722</v>
      </c>
      <c r="D98" s="28">
        <f t="shared" si="19"/>
        <v>0</v>
      </c>
      <c r="E98" s="29" t="s">
        <v>7</v>
      </c>
      <c r="F98" s="29" t="s">
        <v>7</v>
      </c>
      <c r="G98" s="29" t="s">
        <v>7</v>
      </c>
      <c r="H98" s="29" t="s">
        <v>7</v>
      </c>
      <c r="I98" s="29" t="s">
        <v>7</v>
      </c>
      <c r="J98" s="29" t="s">
        <v>7</v>
      </c>
      <c r="K98" s="29" t="s">
        <v>7</v>
      </c>
      <c r="L98" s="30">
        <v>108</v>
      </c>
      <c r="M98" s="9" t="s">
        <v>154</v>
      </c>
      <c r="N98" s="5"/>
      <c r="O98" s="5"/>
      <c r="P98" s="5"/>
    </row>
    <row r="99" spans="1:16">
      <c r="A99" s="21" t="s">
        <v>155</v>
      </c>
      <c r="B99" s="6">
        <f t="shared" si="18"/>
        <v>1416</v>
      </c>
      <c r="C99" s="28">
        <v>1412</v>
      </c>
      <c r="D99" s="28">
        <f t="shared" si="19"/>
        <v>4</v>
      </c>
      <c r="E99" s="30">
        <v>3</v>
      </c>
      <c r="F99" s="30">
        <v>1</v>
      </c>
      <c r="G99" s="29" t="s">
        <v>7</v>
      </c>
      <c r="H99" s="29" t="s">
        <v>7</v>
      </c>
      <c r="I99" s="29" t="s">
        <v>7</v>
      </c>
      <c r="J99" s="29" t="s">
        <v>7</v>
      </c>
      <c r="K99" s="29" t="s">
        <v>7</v>
      </c>
      <c r="L99" s="30">
        <v>45</v>
      </c>
      <c r="M99" s="9" t="s">
        <v>156</v>
      </c>
      <c r="N99" s="5"/>
      <c r="O99" s="5"/>
      <c r="P99" s="5"/>
    </row>
    <row r="100" spans="1:16">
      <c r="A100" s="21" t="s">
        <v>157</v>
      </c>
      <c r="B100" s="6">
        <f t="shared" si="18"/>
        <v>6315</v>
      </c>
      <c r="C100" s="28">
        <v>6283</v>
      </c>
      <c r="D100" s="28">
        <f t="shared" si="19"/>
        <v>32</v>
      </c>
      <c r="E100" s="30">
        <v>7</v>
      </c>
      <c r="F100" s="30">
        <v>4</v>
      </c>
      <c r="G100" s="30">
        <v>8</v>
      </c>
      <c r="H100" s="29" t="s">
        <v>7</v>
      </c>
      <c r="I100" s="30">
        <v>2</v>
      </c>
      <c r="J100" s="30">
        <v>11</v>
      </c>
      <c r="K100" s="30">
        <v>31</v>
      </c>
      <c r="L100" s="30">
        <v>611</v>
      </c>
      <c r="M100" s="9" t="s">
        <v>158</v>
      </c>
      <c r="N100" s="5"/>
      <c r="O100" s="5"/>
      <c r="P100" s="5"/>
    </row>
    <row r="101" spans="1:16">
      <c r="A101" s="21" t="s">
        <v>159</v>
      </c>
      <c r="B101" s="6">
        <f t="shared" si="18"/>
        <v>773</v>
      </c>
      <c r="C101" s="28">
        <v>773</v>
      </c>
      <c r="D101" s="28">
        <f t="shared" si="19"/>
        <v>0</v>
      </c>
      <c r="E101" s="29" t="s">
        <v>7</v>
      </c>
      <c r="F101" s="29" t="s">
        <v>7</v>
      </c>
      <c r="G101" s="29" t="s">
        <v>7</v>
      </c>
      <c r="H101" s="29" t="s">
        <v>7</v>
      </c>
      <c r="I101" s="29" t="s">
        <v>7</v>
      </c>
      <c r="J101" s="29" t="s">
        <v>7</v>
      </c>
      <c r="K101" s="29" t="s">
        <v>7</v>
      </c>
      <c r="L101" s="30">
        <v>13</v>
      </c>
      <c r="M101" s="9" t="s">
        <v>160</v>
      </c>
      <c r="N101" s="5"/>
      <c r="O101" s="5"/>
      <c r="P101" s="5"/>
    </row>
    <row r="102" spans="1:16">
      <c r="A102" s="43" t="s">
        <v>161</v>
      </c>
      <c r="B102" s="50">
        <f>SUM(C102,D102)</f>
        <v>85060</v>
      </c>
      <c r="C102" s="44">
        <f>SUM(C104:C107)</f>
        <v>84582</v>
      </c>
      <c r="D102" s="44">
        <f>SUM(D104:D107)</f>
        <v>478</v>
      </c>
      <c r="E102" s="44">
        <f t="shared" ref="E102:L102" si="20">SUM(E104:E107)</f>
        <v>83</v>
      </c>
      <c r="F102" s="44">
        <f t="shared" si="20"/>
        <v>9</v>
      </c>
      <c r="G102" s="44">
        <f t="shared" si="20"/>
        <v>26</v>
      </c>
      <c r="H102" s="44">
        <f t="shared" si="20"/>
        <v>18</v>
      </c>
      <c r="I102" s="44">
        <f t="shared" si="20"/>
        <v>0</v>
      </c>
      <c r="J102" s="44">
        <f t="shared" si="20"/>
        <v>342</v>
      </c>
      <c r="K102" s="44">
        <f t="shared" si="20"/>
        <v>539</v>
      </c>
      <c r="L102" s="44">
        <f t="shared" si="20"/>
        <v>21523</v>
      </c>
      <c r="M102" s="55" t="s">
        <v>162</v>
      </c>
      <c r="N102" s="56"/>
      <c r="O102" s="56"/>
      <c r="P102" s="5"/>
    </row>
    <row r="103" spans="1:16">
      <c r="A103" s="43"/>
      <c r="B103" s="50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55"/>
      <c r="N103" s="56"/>
      <c r="O103" s="56"/>
      <c r="P103" s="5"/>
    </row>
    <row r="104" spans="1:16">
      <c r="A104" s="21" t="s">
        <v>163</v>
      </c>
      <c r="B104" s="6">
        <f>SUM(C104:D104)</f>
        <v>36985</v>
      </c>
      <c r="C104" s="28">
        <v>36601</v>
      </c>
      <c r="D104" s="28">
        <f>SUM(E104:J104)</f>
        <v>384</v>
      </c>
      <c r="E104" s="30">
        <v>46</v>
      </c>
      <c r="F104" s="30">
        <v>6</v>
      </c>
      <c r="G104" s="30">
        <v>11</v>
      </c>
      <c r="H104" s="30">
        <v>18</v>
      </c>
      <c r="I104" s="31" t="s">
        <v>7</v>
      </c>
      <c r="J104" s="30">
        <v>303</v>
      </c>
      <c r="K104" s="30">
        <v>305</v>
      </c>
      <c r="L104" s="30">
        <v>7101</v>
      </c>
      <c r="M104" s="9" t="s">
        <v>164</v>
      </c>
      <c r="N104" s="5"/>
      <c r="O104" s="5"/>
      <c r="P104" s="5"/>
    </row>
    <row r="105" spans="1:16">
      <c r="A105" s="21" t="s">
        <v>165</v>
      </c>
      <c r="B105" s="6">
        <f>SUM(C105:D105)</f>
        <v>21158</v>
      </c>
      <c r="C105" s="28">
        <v>21137</v>
      </c>
      <c r="D105" s="28">
        <f>SUM(E105:J105)</f>
        <v>21</v>
      </c>
      <c r="E105" s="30">
        <v>11</v>
      </c>
      <c r="F105" s="29" t="s">
        <v>7</v>
      </c>
      <c r="G105" s="30">
        <v>10</v>
      </c>
      <c r="H105" s="29" t="s">
        <v>7</v>
      </c>
      <c r="I105" s="31" t="s">
        <v>7</v>
      </c>
      <c r="J105" s="29" t="s">
        <v>7</v>
      </c>
      <c r="K105" s="30">
        <v>160</v>
      </c>
      <c r="L105" s="30">
        <v>11248</v>
      </c>
      <c r="M105" s="9" t="s">
        <v>166</v>
      </c>
      <c r="N105" s="5"/>
      <c r="O105" s="5"/>
      <c r="P105" s="5"/>
    </row>
    <row r="106" spans="1:16">
      <c r="A106" s="21" t="s">
        <v>167</v>
      </c>
      <c r="B106" s="6">
        <f>SUM(C106:D106)</f>
        <v>10202</v>
      </c>
      <c r="C106" s="28">
        <v>10164</v>
      </c>
      <c r="D106" s="28">
        <f>SUM(E106:J106)</f>
        <v>38</v>
      </c>
      <c r="E106" s="30">
        <v>2</v>
      </c>
      <c r="F106" s="29" t="s">
        <v>7</v>
      </c>
      <c r="G106" s="29" t="s">
        <v>7</v>
      </c>
      <c r="H106" s="29" t="s">
        <v>7</v>
      </c>
      <c r="I106" s="31" t="s">
        <v>7</v>
      </c>
      <c r="J106" s="30">
        <v>36</v>
      </c>
      <c r="K106" s="30">
        <v>62</v>
      </c>
      <c r="L106" s="30">
        <v>298</v>
      </c>
      <c r="M106" s="9" t="s">
        <v>168</v>
      </c>
      <c r="N106" s="11"/>
      <c r="O106" s="11"/>
      <c r="P106" s="5"/>
    </row>
    <row r="107" spans="1:16" ht="10.8" thickBot="1">
      <c r="A107" s="23" t="s">
        <v>169</v>
      </c>
      <c r="B107" s="12">
        <f>SUM(C107:D107)</f>
        <v>16715</v>
      </c>
      <c r="C107" s="32">
        <v>16680</v>
      </c>
      <c r="D107" s="32">
        <f>SUM(E107:J107)</f>
        <v>35</v>
      </c>
      <c r="E107" s="33">
        <v>24</v>
      </c>
      <c r="F107" s="33">
        <v>3</v>
      </c>
      <c r="G107" s="33">
        <v>5</v>
      </c>
      <c r="H107" s="34" t="s">
        <v>7</v>
      </c>
      <c r="I107" s="35" t="s">
        <v>7</v>
      </c>
      <c r="J107" s="33">
        <v>3</v>
      </c>
      <c r="K107" s="33">
        <v>12</v>
      </c>
      <c r="L107" s="33">
        <v>2876</v>
      </c>
      <c r="M107" s="13" t="s">
        <v>170</v>
      </c>
      <c r="N107" s="14"/>
      <c r="O107" s="14"/>
      <c r="P107" s="5"/>
    </row>
    <row r="108" spans="1:16">
      <c r="A108" s="15"/>
      <c r="K108" s="16"/>
      <c r="L108" s="16"/>
    </row>
    <row r="109" spans="1:16">
      <c r="A109" s="15"/>
    </row>
    <row r="126" spans="19:19">
      <c r="S126" s="17" t="s">
        <v>7</v>
      </c>
    </row>
  </sheetData>
  <mergeCells count="196">
    <mergeCell ref="M102:O103"/>
    <mergeCell ref="B4:C5"/>
    <mergeCell ref="C6:C7"/>
    <mergeCell ref="B6:B7"/>
    <mergeCell ref="D6:D7"/>
    <mergeCell ref="J6:J7"/>
    <mergeCell ref="I6:I7"/>
    <mergeCell ref="L6:L7"/>
    <mergeCell ref="K6:K7"/>
    <mergeCell ref="H102:H103"/>
    <mergeCell ref="I102:I103"/>
    <mergeCell ref="J102:J103"/>
    <mergeCell ref="K102:K103"/>
    <mergeCell ref="L102:L103"/>
    <mergeCell ref="D4:J5"/>
    <mergeCell ref="K4:L5"/>
    <mergeCell ref="E6:H6"/>
    <mergeCell ref="I87:I88"/>
    <mergeCell ref="J87:J88"/>
    <mergeCell ref="K87:K88"/>
    <mergeCell ref="A102:A103"/>
    <mergeCell ref="B102:B103"/>
    <mergeCell ref="C102:C103"/>
    <mergeCell ref="D102:D103"/>
    <mergeCell ref="E102:E103"/>
    <mergeCell ref="F102:F103"/>
    <mergeCell ref="G102:G103"/>
    <mergeCell ref="G87:G88"/>
    <mergeCell ref="H87:H88"/>
    <mergeCell ref="L87:L88"/>
    <mergeCell ref="L80:L81"/>
    <mergeCell ref="M80:O81"/>
    <mergeCell ref="A87:A88"/>
    <mergeCell ref="B87:B88"/>
    <mergeCell ref="C87:C88"/>
    <mergeCell ref="D87:D88"/>
    <mergeCell ref="E87:E88"/>
    <mergeCell ref="F87:F88"/>
    <mergeCell ref="F80:F81"/>
    <mergeCell ref="M87:O88"/>
    <mergeCell ref="A80:A81"/>
    <mergeCell ref="B80:B81"/>
    <mergeCell ref="C80:C81"/>
    <mergeCell ref="D80:D81"/>
    <mergeCell ref="E80:E81"/>
    <mergeCell ref="M70:O71"/>
    <mergeCell ref="M72:P72"/>
    <mergeCell ref="M73:P73"/>
    <mergeCell ref="M74:P74"/>
    <mergeCell ref="G70:G71"/>
    <mergeCell ref="G80:G81"/>
    <mergeCell ref="H80:H81"/>
    <mergeCell ref="I80:I81"/>
    <mergeCell ref="J80:J81"/>
    <mergeCell ref="K80:K81"/>
    <mergeCell ref="M75:P75"/>
    <mergeCell ref="M76:P76"/>
    <mergeCell ref="M77:P77"/>
    <mergeCell ref="M78:P78"/>
    <mergeCell ref="M79:P79"/>
    <mergeCell ref="L63:L64"/>
    <mergeCell ref="M63:O64"/>
    <mergeCell ref="M61:O61"/>
    <mergeCell ref="G63:G64"/>
    <mergeCell ref="H63:H64"/>
    <mergeCell ref="I63:I64"/>
    <mergeCell ref="I70:I71"/>
    <mergeCell ref="J70:J71"/>
    <mergeCell ref="K70:K71"/>
    <mergeCell ref="L70:L71"/>
    <mergeCell ref="H70:H71"/>
    <mergeCell ref="A63:A64"/>
    <mergeCell ref="B63:B64"/>
    <mergeCell ref="C63:C64"/>
    <mergeCell ref="D63:D64"/>
    <mergeCell ref="E63:E64"/>
    <mergeCell ref="F63:F64"/>
    <mergeCell ref="J63:J64"/>
    <mergeCell ref="K63:K64"/>
    <mergeCell ref="A70:A71"/>
    <mergeCell ref="B70:B71"/>
    <mergeCell ref="C70:C71"/>
    <mergeCell ref="D70:D71"/>
    <mergeCell ref="E70:E71"/>
    <mergeCell ref="F70:F71"/>
    <mergeCell ref="K58:K59"/>
    <mergeCell ref="L58:L59"/>
    <mergeCell ref="M58:O59"/>
    <mergeCell ref="M51:O52"/>
    <mergeCell ref="A58:A59"/>
    <mergeCell ref="B58:B59"/>
    <mergeCell ref="C58:C59"/>
    <mergeCell ref="D58:D59"/>
    <mergeCell ref="F58:F59"/>
    <mergeCell ref="E58:E59"/>
    <mergeCell ref="G58:G59"/>
    <mergeCell ref="H58:H59"/>
    <mergeCell ref="I58:I59"/>
    <mergeCell ref="I51:I52"/>
    <mergeCell ref="F51:F52"/>
    <mergeCell ref="G51:G52"/>
    <mergeCell ref="H51:H52"/>
    <mergeCell ref="J58:J59"/>
    <mergeCell ref="J51:J52"/>
    <mergeCell ref="K51:K52"/>
    <mergeCell ref="L51:L52"/>
    <mergeCell ref="M44:O45"/>
    <mergeCell ref="A51:A52"/>
    <mergeCell ref="B51:B52"/>
    <mergeCell ref="C51:C52"/>
    <mergeCell ref="D51:D52"/>
    <mergeCell ref="E51:E52"/>
    <mergeCell ref="A44:A45"/>
    <mergeCell ref="B44:B45"/>
    <mergeCell ref="C44:C45"/>
    <mergeCell ref="D44:D45"/>
    <mergeCell ref="E44:E45"/>
    <mergeCell ref="F44:F45"/>
    <mergeCell ref="L44:L45"/>
    <mergeCell ref="M37:O38"/>
    <mergeCell ref="M42:O42"/>
    <mergeCell ref="G44:G45"/>
    <mergeCell ref="H37:H38"/>
    <mergeCell ref="I37:I38"/>
    <mergeCell ref="J37:J38"/>
    <mergeCell ref="K37:K38"/>
    <mergeCell ref="L37:L38"/>
    <mergeCell ref="H44:H45"/>
    <mergeCell ref="I44:I45"/>
    <mergeCell ref="J44:J45"/>
    <mergeCell ref="K44:K45"/>
    <mergeCell ref="A37:A38"/>
    <mergeCell ref="B37:B38"/>
    <mergeCell ref="C37:C38"/>
    <mergeCell ref="D37:D38"/>
    <mergeCell ref="E37:E38"/>
    <mergeCell ref="F37:F38"/>
    <mergeCell ref="G37:G38"/>
    <mergeCell ref="G31:G32"/>
    <mergeCell ref="H31:H32"/>
    <mergeCell ref="L18:L19"/>
    <mergeCell ref="M18:O19"/>
    <mergeCell ref="M10:O11"/>
    <mergeCell ref="A18:A19"/>
    <mergeCell ref="B18:B19"/>
    <mergeCell ref="C18:C19"/>
    <mergeCell ref="D18:D19"/>
    <mergeCell ref="E18:E19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M31:O32"/>
    <mergeCell ref="F18:F19"/>
    <mergeCell ref="G18:G19"/>
    <mergeCell ref="H18:H19"/>
    <mergeCell ref="I18:I19"/>
    <mergeCell ref="I10:I11"/>
    <mergeCell ref="J10:J11"/>
    <mergeCell ref="H10:H11"/>
    <mergeCell ref="J18:J19"/>
    <mergeCell ref="K18:K19"/>
    <mergeCell ref="K10:K11"/>
    <mergeCell ref="L10:L11"/>
    <mergeCell ref="M8:O9"/>
    <mergeCell ref="A10:A11"/>
    <mergeCell ref="B10:B11"/>
    <mergeCell ref="C10:C11"/>
    <mergeCell ref="D10:D11"/>
    <mergeCell ref="E10:E11"/>
    <mergeCell ref="F10:F11"/>
    <mergeCell ref="G10:G11"/>
    <mergeCell ref="A3:F3"/>
    <mergeCell ref="M3:O3"/>
    <mergeCell ref="A4:A7"/>
    <mergeCell ref="A1:F1"/>
    <mergeCell ref="G1:O1"/>
    <mergeCell ref="A8:A9"/>
    <mergeCell ref="B8:B9"/>
    <mergeCell ref="C8:C9"/>
    <mergeCell ref="D8:D9"/>
    <mergeCell ref="E8:E9"/>
    <mergeCell ref="F8:F9"/>
    <mergeCell ref="H8:H9"/>
    <mergeCell ref="I8:I9"/>
    <mergeCell ref="J8:J9"/>
    <mergeCell ref="K8:K9"/>
    <mergeCell ref="G8:G9"/>
    <mergeCell ref="L8:L9"/>
    <mergeCell ref="M4:O7"/>
  </mergeCells>
  <pageMargins left="0.7" right="0.7" top="0.75" bottom="0.75" header="0.3" footer="0.3"/>
  <pageSetup paperSize="9" orientation="portrait" horizontalDpi="200" verticalDpi="200" r:id="rId1"/>
  <ignoredErrors>
    <ignoredError sqref="D13:D107" formulaRange="1"/>
    <ignoredError sqref="B13:B107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2015-05-08T06:26:32Z</cp:lastPrinted>
  <dcterms:created xsi:type="dcterms:W3CDTF">2015-05-07T09:58:04Z</dcterms:created>
  <dcterms:modified xsi:type="dcterms:W3CDTF">2016-09-02T08:04:56Z</dcterms:modified>
</cp:coreProperties>
</file>