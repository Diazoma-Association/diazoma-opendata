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4" i="1"/>
  <c r="C24"/>
  <c r="E16"/>
  <c r="C9"/>
  <c r="D10"/>
  <c r="E24"/>
  <c r="G24"/>
  <c r="H24"/>
  <c r="I24"/>
  <c r="J24"/>
  <c r="K24"/>
  <c r="L24"/>
  <c r="M24"/>
  <c r="F16"/>
  <c r="G16"/>
  <c r="H16"/>
  <c r="I16"/>
  <c r="J16"/>
  <c r="K16"/>
  <c r="L16"/>
  <c r="M16"/>
  <c r="C16"/>
  <c r="E9"/>
  <c r="C91"/>
  <c r="C77"/>
  <c r="C71"/>
  <c r="C62"/>
  <c r="C56"/>
  <c r="C52"/>
  <c r="C46"/>
  <c r="C40"/>
  <c r="C34"/>
  <c r="C29"/>
  <c r="D95"/>
  <c r="D94"/>
  <c r="D93"/>
  <c r="D92"/>
  <c r="D90"/>
  <c r="D89"/>
  <c r="D88"/>
  <c r="D87"/>
  <c r="D86"/>
  <c r="D85"/>
  <c r="D84"/>
  <c r="D83"/>
  <c r="D82"/>
  <c r="D81"/>
  <c r="D80"/>
  <c r="D79"/>
  <c r="D78"/>
  <c r="D76"/>
  <c r="D75"/>
  <c r="D74"/>
  <c r="D73"/>
  <c r="D72"/>
  <c r="D70"/>
  <c r="D69"/>
  <c r="D68"/>
  <c r="D67"/>
  <c r="D66"/>
  <c r="D65"/>
  <c r="D64"/>
  <c r="D63"/>
  <c r="D61"/>
  <c r="D60"/>
  <c r="D59"/>
  <c r="D58"/>
  <c r="D57"/>
  <c r="D55"/>
  <c r="D54"/>
  <c r="D53"/>
  <c r="D52" s="1"/>
  <c r="D51"/>
  <c r="D50"/>
  <c r="D49"/>
  <c r="D48"/>
  <c r="D47"/>
  <c r="D45"/>
  <c r="D44"/>
  <c r="D43"/>
  <c r="D42"/>
  <c r="D41"/>
  <c r="D39"/>
  <c r="D38"/>
  <c r="D37"/>
  <c r="D36"/>
  <c r="D35"/>
  <c r="D33"/>
  <c r="D32"/>
  <c r="D31"/>
  <c r="D30"/>
  <c r="D28"/>
  <c r="D27"/>
  <c r="D26"/>
  <c r="D25"/>
  <c r="D23"/>
  <c r="D22"/>
  <c r="D21"/>
  <c r="D20"/>
  <c r="D19"/>
  <c r="D18"/>
  <c r="D17"/>
  <c r="D11"/>
  <c r="D12"/>
  <c r="D13"/>
  <c r="D14"/>
  <c r="D15"/>
  <c r="J91"/>
  <c r="J77"/>
  <c r="I77"/>
  <c r="J71"/>
  <c r="J62"/>
  <c r="J56"/>
  <c r="J52"/>
  <c r="J46"/>
  <c r="J40"/>
  <c r="J34"/>
  <c r="J29"/>
  <c r="J9"/>
  <c r="F91"/>
  <c r="F77"/>
  <c r="F71"/>
  <c r="F62"/>
  <c r="F56"/>
  <c r="F52"/>
  <c r="F46"/>
  <c r="F40"/>
  <c r="F34"/>
  <c r="F29"/>
  <c r="F9"/>
  <c r="G9"/>
  <c r="H9"/>
  <c r="I9"/>
  <c r="K9"/>
  <c r="L9"/>
  <c r="M9"/>
  <c r="M91"/>
  <c r="L91"/>
  <c r="K91"/>
  <c r="I91"/>
  <c r="H91"/>
  <c r="G91"/>
  <c r="E91"/>
  <c r="M77"/>
  <c r="L77"/>
  <c r="K77"/>
  <c r="H77"/>
  <c r="G77"/>
  <c r="E77"/>
  <c r="M71"/>
  <c r="L71"/>
  <c r="K71"/>
  <c r="I71"/>
  <c r="H71"/>
  <c r="G71"/>
  <c r="E71"/>
  <c r="M62"/>
  <c r="L62"/>
  <c r="K62"/>
  <c r="I62"/>
  <c r="H62"/>
  <c r="G62"/>
  <c r="E62"/>
  <c r="M56"/>
  <c r="L56"/>
  <c r="K56"/>
  <c r="I56"/>
  <c r="H56"/>
  <c r="G56"/>
  <c r="E56"/>
  <c r="M52"/>
  <c r="L52"/>
  <c r="K52"/>
  <c r="I52"/>
  <c r="H52"/>
  <c r="G52"/>
  <c r="E52"/>
  <c r="M46"/>
  <c r="L46"/>
  <c r="K46"/>
  <c r="I46"/>
  <c r="H46"/>
  <c r="G46"/>
  <c r="E46"/>
  <c r="M40"/>
  <c r="L40"/>
  <c r="K40"/>
  <c r="I40"/>
  <c r="H40"/>
  <c r="G40"/>
  <c r="E40"/>
  <c r="M34"/>
  <c r="L34"/>
  <c r="K34"/>
  <c r="I34"/>
  <c r="H34"/>
  <c r="G34"/>
  <c r="E34"/>
  <c r="M29"/>
  <c r="L29"/>
  <c r="K29"/>
  <c r="I29"/>
  <c r="H29"/>
  <c r="G29"/>
  <c r="E29"/>
  <c r="D62"/>
  <c r="D40"/>
  <c r="D24" l="1"/>
  <c r="B24" s="1"/>
  <c r="D29"/>
  <c r="D34"/>
  <c r="D46"/>
  <c r="D56"/>
  <c r="D77"/>
  <c r="D16"/>
  <c r="B16" s="1"/>
  <c r="D71"/>
  <c r="D9"/>
  <c r="B9" s="1"/>
  <c r="D91"/>
  <c r="C8"/>
</calcChain>
</file>

<file path=xl/sharedStrings.xml><?xml version="1.0" encoding="utf-8"?>
<sst xmlns="http://schemas.openxmlformats.org/spreadsheetml/2006/main" count="518" uniqueCount="199">
  <si>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</si>
  <si>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</si>
  <si>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</si>
  <si>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</si>
  <si>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</si>
  <si>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</si>
  <si>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</si>
  <si>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</si>
  <si>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</si>
  <si>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</si>
  <si>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</si>
  <si>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</si>
  <si>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</si>
  <si>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</si>
  <si>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</si>
  <si>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</si>
  <si>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</si>
  <si>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</si>
  <si>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</si>
  <si>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</si>
  <si>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</si>
  <si>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</si>
  <si>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</si>
  <si>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</si>
  <si>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</si>
  <si>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</si>
  <si>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</si>
  <si>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</si>
  <si>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</si>
  <si>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</si>
  <si>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</si>
  <si>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</si>
  <si>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</si>
  <si>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</si>
  <si>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</si>
  <si>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</si>
  <si>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</si>
  <si>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</si>
  <si>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</si>
  <si>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</si>
  <si>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</si>
  <si>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</si>
  <si>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</si>
  <si>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</si>
  <si>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</si>
  <si>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</si>
  <si>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</si>
  <si>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</si>
  <si>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</si>
  <si>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</si>
  <si>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</si>
  <si>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</si>
  <si>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</si>
  <si>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</si>
  <si>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</si>
  <si>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</si>
  <si>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</si>
  <si>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</si>
  <si>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</si>
  <si>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</si>
  <si>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</si>
  <si>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</si>
  <si>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</si>
  <si>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</si>
  <si>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</si>
  <si>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</si>
  <si>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</si>
  <si>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</si>
  <si>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</si>
  <si>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</si>
  <si>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</si>
  <si>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</si>
  <si>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</si>
  <si>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</si>
  <si>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</si>
  <si>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</si>
  <si>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</si>
  <si>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</si>
  <si>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</si>
  <si>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</si>
  <si>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</si>
  <si>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</si>
  <si>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</si>
  <si>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</si>
  <si>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</si>
  <si>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</si>
  <si>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</si>
  <si>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</si>
  <si>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</si>
  <si>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</si>
  <si>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</si>
  <si>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</si>
  <si>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</si>
  <si>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</si>
  <si>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</si>
  <si>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</si>
  <si>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</si>
  <si>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</si>
  <si>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</si>
  <si>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</si>
  <si>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</si>
  <si>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</si>
  <si>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</si>
  <si>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</si>
  <si>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</si>
  <si>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</si>
  <si>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</si>
  <si>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</si>
  <si>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</si>
  <si>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</si>
  <si>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</si>
  <si>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</si>
  <si>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</si>
  <si>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</si>
  <si>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</si>
  <si>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</si>
  <si>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</si>
  <si>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</si>
  <si>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</si>
  <si>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</si>
  <si>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</si>
  <si>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</si>
  <si>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</si>
  <si>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</si>
  <si>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</si>
  <si>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</si>
  <si>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</si>
  <si>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</si>
  <si>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</si>
  <si>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</si>
  <si>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</si>
  <si>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</si>
  <si>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</si>
  <si>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</si>
  <si>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</si>
  <si>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</si>
  <si>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</si>
  <si>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</si>
  <si>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</si>
  <si>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</si>
  <si>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</si>
  <si>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</si>
  <si>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</si>
  <si>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</si>
  <si>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</si>
  <si>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</si>
  <si>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</si>
  <si>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</si>
  <si>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</si>
  <si>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</si>
  <si>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</si>
  <si>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</si>
  <si>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</si>
  <si>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</si>
  <si>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</si>
  <si>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</si>
  <si>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</si>
  <si>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</si>
  <si>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</si>
  <si>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</si>
  <si>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</si>
  <si>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</si>
  <si>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</si>
  <si>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</si>
  <si>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</si>
  <si>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</si>
  <si>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</si>
  <si>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</si>
  <si>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</si>
  <si>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</si>
  <si>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</si>
  <si>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Κηπευτική γη                    Garden area</t>
  </si>
  <si>
    <t>Σύνολο       Total</t>
  </si>
  <si>
    <t>Θερμοκήπια Greenhouses</t>
  </si>
  <si>
    <t>Φυτώρια - Seedlings</t>
  </si>
  <si>
    <t>Καλλωπιστικών φυτών Decorative plants</t>
  </si>
  <si>
    <t>Αμερικανικών αμπέλων American vines</t>
  </si>
  <si>
    <t>Καπνοσπορεία Tobacco seedlings</t>
  </si>
  <si>
    <t>Εμπορικοί ανθόκηποι Commercial flower gardens</t>
  </si>
  <si>
    <t>Για άνθη For flowers</t>
  </si>
  <si>
    <t>Για λαχανικά For vegetables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</si>
  <si>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</si>
  <si>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</si>
  <si>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</si>
  <si>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</si>
  <si>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</si>
  <si>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</si>
  <si>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Δασικών δένδρων Forest trees</t>
  </si>
  <si>
    <t>Καρποφόρων δένδρων    Fruit trees</t>
  </si>
  <si>
    <t>Εκτάσεις σε στρέμματα</t>
  </si>
  <si>
    <t>Από αυτή, έκταση γης λαχανόκηπων που φυτεύτηκαν με λαχανικά και θερμοκήπια     Thereof: area of vegetable gardens, fields under vegetables and green houses</t>
  </si>
  <si>
    <t>Κηπευτικών φυτών Horticulture plants</t>
  </si>
  <si>
    <t>—</t>
  </si>
  <si>
    <t>Πίνακας 3β. Κηπευτική γη. Εκτάσεις γης λαχανόκηπων και αγρών που φυτεύτηκαν με λαχανικά και λοιπές κηπευτικές καλλιέργειες, κατά Περιφέρεια και περιφερειακή ενότητα: 2013</t>
  </si>
  <si>
    <t>Περιφέρεια Δυτικής Μακεδονίας</t>
  </si>
  <si>
    <t>Region of Western Macedonia</t>
  </si>
  <si>
    <t>Σύνολο
Total</t>
  </si>
  <si>
    <t>Table 3b. Garden area. Areas of vegetable gardens and fields under vegetables and other garden crops, by Regions and Regional Unities: 2013</t>
  </si>
  <si>
    <t>Λοιπές κηπευτικές καλλιέργειες
Other garden crops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</si>
</sst>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Calibri"/>
      <family val="2"/>
      <charset val="161"/>
    </font>
    <font>
      <sz val="11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9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Border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7" fillId="0" borderId="0" xfId="0" applyFont="1" applyAlignment="1" applyProtection="1">
      <protection locked="0"/>
    </xf>
    <xf numFmtId="3" fontId="3" fillId="0" borderId="0" xfId="0" applyNumberFormat="1" applyFont="1" applyFill="1" applyBorder="1" applyAlignment="1" applyProtection="1"/>
    <xf numFmtId="0" fontId="8" fillId="0" borderId="0" xfId="0" applyFont="1" applyAlignment="1" applyProtection="1">
      <protection locked="0"/>
    </xf>
    <xf numFmtId="0" fontId="7" fillId="0" borderId="0" xfId="0" applyFont="1" applyBorder="1" applyAlignment="1" applyProtection="1">
      <protection locked="0"/>
    </xf>
    <xf numFmtId="0" fontId="7" fillId="0" borderId="1" xfId="0" applyFont="1" applyBorder="1" applyAlignment="1" applyProtection="1">
      <protection locked="0"/>
    </xf>
    <xf numFmtId="49" fontId="7" fillId="0" borderId="0" xfId="0" applyNumberFormat="1" applyFont="1" applyAlignment="1" applyProtection="1">
      <alignment wrapText="1"/>
      <protection locked="0"/>
    </xf>
    <xf numFmtId="0" fontId="9" fillId="0" borderId="0" xfId="0" applyFont="1" applyProtection="1"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3" fillId="0" borderId="1" xfId="0" applyNumberFormat="1" applyFont="1" applyFill="1" applyBorder="1" applyAlignment="1" applyProtection="1">
      <protection locked="0"/>
    </xf>
    <xf numFmtId="49" fontId="7" fillId="0" borderId="0" xfId="0" applyNumberFormat="1" applyFont="1" applyAlignment="1" applyProtection="1">
      <alignment horizontal="left" wrapText="1" indent="1"/>
      <protection locked="0"/>
    </xf>
    <xf numFmtId="2" fontId="10" fillId="0" borderId="0" xfId="0" applyNumberFormat="1" applyFont="1" applyBorder="1" applyAlignment="1" applyProtection="1">
      <alignment horizontal="left" vertical="center" wrapText="1" indent="2"/>
      <protection locked="0"/>
    </xf>
    <xf numFmtId="49" fontId="7" fillId="0" borderId="1" xfId="0" applyNumberFormat="1" applyFont="1" applyBorder="1" applyAlignment="1" applyProtection="1">
      <alignment horizontal="left" wrapText="1" indent="1"/>
      <protection locked="0"/>
    </xf>
    <xf numFmtId="3" fontId="7" fillId="0" borderId="0" xfId="0" applyNumberFormat="1" applyFont="1" applyAlignment="1" applyProtection="1"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3" fontId="7" fillId="0" borderId="0" xfId="0" applyNumberFormat="1" applyFont="1" applyProtection="1">
      <protection locked="0"/>
    </xf>
    <xf numFmtId="0" fontId="3" fillId="0" borderId="3" xfId="0" quotePrefix="1" applyNumberFormat="1" applyFont="1" applyFill="1" applyBorder="1" applyAlignment="1" applyProtection="1">
      <alignment horizontal="right" vertical="center"/>
    </xf>
    <xf numFmtId="0" fontId="3" fillId="0" borderId="3" xfId="0" applyNumberFormat="1" applyFont="1" applyFill="1" applyBorder="1" applyAlignment="1" applyProtection="1">
      <alignment horizontal="right" vertical="center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Protection="1">
      <protection locked="0"/>
    </xf>
    <xf numFmtId="0" fontId="7" fillId="0" borderId="1" xfId="0" applyFont="1" applyBorder="1" applyProtection="1">
      <protection locked="0"/>
    </xf>
    <xf numFmtId="3" fontId="1" fillId="0" borderId="3" xfId="0" applyNumberFormat="1" applyFont="1" applyBorder="1" applyAlignment="1" applyProtection="1">
      <alignment horizontal="right" vertical="center"/>
    </xf>
    <xf numFmtId="0" fontId="1" fillId="0" borderId="6" xfId="0" applyNumberFormat="1" applyFont="1" applyFill="1" applyBorder="1" applyAlignment="1" applyProtection="1">
      <alignment vertical="center" wrapText="1"/>
      <protection locked="0"/>
    </xf>
    <xf numFmtId="0" fontId="11" fillId="0" borderId="0" xfId="0" applyFont="1" applyBorder="1" applyAlignment="1" applyProtection="1">
      <alignment vertical="center"/>
      <protection locked="0"/>
    </xf>
    <xf numFmtId="3" fontId="3" fillId="0" borderId="3" xfId="0" quotePrefix="1" applyNumberFormat="1" applyFont="1" applyFill="1" applyBorder="1" applyAlignment="1" applyProtection="1">
      <alignment horizontal="right" vertical="center"/>
    </xf>
    <xf numFmtId="3" fontId="1" fillId="0" borderId="7" xfId="0" applyNumberFormat="1" applyFont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8" xfId="0" applyNumberFormat="1" applyFont="1" applyFill="1" applyBorder="1" applyAlignment="1" applyProtection="1">
      <alignment horizontal="right" vertical="center"/>
    </xf>
    <xf numFmtId="49" fontId="11" fillId="0" borderId="6" xfId="0" applyNumberFormat="1" applyFont="1" applyBorder="1" applyAlignment="1" applyProtection="1">
      <alignment horizontal="left" vertical="center" wrapText="1"/>
      <protection locked="0"/>
    </xf>
    <xf numFmtId="49" fontId="11" fillId="0" borderId="0" xfId="0" applyNumberFormat="1" applyFont="1" applyBorder="1" applyAlignment="1" applyProtection="1">
      <alignment horizontal="left" vertical="center" wrapText="1"/>
      <protection locked="0"/>
    </xf>
    <xf numFmtId="3" fontId="3" fillId="2" borderId="3" xfId="0" applyNumberFormat="1" applyFont="1" applyFill="1" applyBorder="1" applyAlignment="1">
      <alignment horizontal="right" vertical="top" wrapText="1"/>
    </xf>
    <xf numFmtId="3" fontId="3" fillId="0" borderId="3" xfId="0" applyNumberFormat="1" applyFont="1" applyBorder="1" applyAlignment="1">
      <alignment horizontal="right" vertical="top" wrapText="1"/>
    </xf>
    <xf numFmtId="3" fontId="5" fillId="0" borderId="3" xfId="0" applyNumberFormat="1" applyFont="1" applyBorder="1" applyAlignment="1">
      <alignment horizontal="right" vertical="top" wrapText="1"/>
    </xf>
    <xf numFmtId="0" fontId="6" fillId="0" borderId="3" xfId="0" applyFont="1" applyBorder="1" applyAlignment="1">
      <alignment horizontal="right" vertical="top" wrapText="1"/>
    </xf>
    <xf numFmtId="0" fontId="7" fillId="0" borderId="0" xfId="0" applyFont="1" applyBorder="1" applyAlignment="1" applyProtection="1">
      <alignment horizontal="left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6" xfId="0" applyNumberFormat="1" applyFont="1" applyFill="1" applyBorder="1" applyAlignment="1" applyProtection="1">
      <alignment horizontal="left"/>
      <protection locked="0"/>
    </xf>
    <xf numFmtId="0" fontId="3" fillId="0" borderId="1" xfId="0" applyNumberFormat="1" applyFont="1" applyFill="1" applyBorder="1" applyAlignment="1" applyProtection="1">
      <alignment horizontal="left"/>
      <protection locked="0"/>
    </xf>
    <xf numFmtId="0" fontId="3" fillId="0" borderId="1" xfId="0" applyNumberFormat="1" applyFont="1" applyFill="1" applyBorder="1" applyAlignment="1" applyProtection="1">
      <alignment horizontal="center"/>
      <protection locked="0"/>
    </xf>
    <xf numFmtId="0" fontId="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/>
      <protection locked="0"/>
    </xf>
    <xf numFmtId="0" fontId="5" fillId="0" borderId="0" xfId="0" applyNumberFormat="1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Border="1" applyAlignment="1" applyProtection="1">
      <alignment horizontal="left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1" fillId="0" borderId="6" xfId="0" applyNumberFormat="1" applyFont="1" applyFill="1" applyBorder="1" applyAlignment="1" applyProtection="1">
      <alignment vertical="center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3" fontId="1" fillId="0" borderId="3" xfId="0" applyNumberFormat="1" applyFont="1" applyFill="1" applyBorder="1" applyAlignment="1">
      <alignment horizontal="right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6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23" xfId="0" applyNumberFormat="1" applyFont="1" applyBorder="1" applyAlignment="1" applyProtection="1">
      <alignment vertical="center"/>
    </xf>
    <xf numFmtId="3" fontId="1" fillId="0" borderId="27" xfId="0" applyNumberFormat="1" applyFont="1" applyBorder="1" applyAlignment="1" applyProtection="1">
      <alignment horizontal="right" vertical="center"/>
    </xf>
    <xf numFmtId="3" fontId="1" fillId="0" borderId="28" xfId="0" applyNumberFormat="1" applyFont="1" applyBorder="1" applyAlignment="1" applyProtection="1">
      <alignment horizontal="right" vertical="center"/>
    </xf>
    <xf numFmtId="3" fontId="1" fillId="0" borderId="10" xfId="0" applyNumberFormat="1" applyFont="1" applyBorder="1" applyAlignment="1" applyProtection="1">
      <alignment horizontal="right" vertical="center"/>
    </xf>
    <xf numFmtId="3" fontId="3" fillId="0" borderId="28" xfId="0" applyNumberFormat="1" applyFont="1" applyBorder="1" applyAlignment="1" applyProtection="1">
      <alignment horizontal="right" vertical="center"/>
      <protection locked="0"/>
    </xf>
    <xf numFmtId="3" fontId="3" fillId="0" borderId="10" xfId="0" applyNumberFormat="1" applyFont="1" applyBorder="1" applyAlignment="1">
      <alignment horizontal="right" vertical="top" wrapText="1"/>
    </xf>
    <xf numFmtId="0" fontId="3" fillId="0" borderId="10" xfId="0" quotePrefix="1" applyNumberFormat="1" applyFont="1" applyFill="1" applyBorder="1" applyAlignment="1" applyProtection="1">
      <alignment horizontal="right" vertical="center"/>
    </xf>
    <xf numFmtId="3" fontId="1" fillId="0" borderId="28" xfId="0" applyNumberFormat="1" applyFont="1" applyBorder="1" applyAlignment="1" applyProtection="1">
      <alignment horizontal="right" vertical="center"/>
      <protection locked="0"/>
    </xf>
    <xf numFmtId="3" fontId="1" fillId="0" borderId="10" xfId="0" applyNumberFormat="1" applyFont="1" applyFill="1" applyBorder="1" applyAlignment="1">
      <alignment horizontal="right" vertical="center" wrapText="1"/>
    </xf>
    <xf numFmtId="3" fontId="3" fillId="0" borderId="28" xfId="0" quotePrefix="1" applyNumberFormat="1" applyFont="1" applyFill="1" applyBorder="1" applyAlignment="1" applyProtection="1">
      <alignment horizontal="right" vertical="center"/>
    </xf>
    <xf numFmtId="3" fontId="3" fillId="0" borderId="29" xfId="0" applyNumberFormat="1" applyFont="1" applyBorder="1" applyAlignment="1" applyProtection="1">
      <alignment horizontal="right" vertical="center"/>
      <protection locked="0"/>
    </xf>
    <xf numFmtId="3" fontId="3" fillId="2" borderId="8" xfId="0" applyNumberFormat="1" applyFont="1" applyFill="1" applyBorder="1" applyAlignment="1">
      <alignment horizontal="right" vertical="top" wrapText="1"/>
    </xf>
    <xf numFmtId="3" fontId="5" fillId="0" borderId="8" xfId="0" applyNumberFormat="1" applyFont="1" applyBorder="1" applyAlignment="1">
      <alignment horizontal="right" vertical="top" wrapText="1"/>
    </xf>
    <xf numFmtId="3" fontId="3" fillId="0" borderId="8" xfId="0" applyNumberFormat="1" applyFont="1" applyBorder="1" applyAlignment="1">
      <alignment horizontal="right" vertical="top" wrapText="1"/>
    </xf>
    <xf numFmtId="0" fontId="3" fillId="0" borderId="8" xfId="0" quotePrefix="1" applyNumberFormat="1" applyFont="1" applyFill="1" applyBorder="1" applyAlignment="1" applyProtection="1">
      <alignment horizontal="right" vertical="center"/>
    </xf>
    <xf numFmtId="3" fontId="3" fillId="0" borderId="3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4"/>
  <sheetViews>
    <sheetView showGridLines="0" tabSelected="1" workbookViewId="0">
      <selection activeCell="G11" sqref="G11"/>
    </sheetView>
  </sheetViews>
  <sheetFormatPr defaultRowHeight="10.199999999999999"/>
  <cols>
    <col min="1" max="1" width="35" style="13" customWidth="1"/>
    <col min="2" max="2" width="7.6640625" style="2" customWidth="1"/>
    <col min="3" max="4" width="10.21875" style="2" customWidth="1"/>
    <col min="5" max="5" width="10.109375" style="2" customWidth="1"/>
    <col min="6" max="6" width="9.109375" style="2" customWidth="1"/>
    <col min="7" max="7" width="9.33203125" style="2" customWidth="1"/>
    <col min="8" max="8" width="10.77734375" style="2" customWidth="1"/>
    <col min="9" max="9" width="10.88671875" style="2" customWidth="1"/>
    <col min="10" max="10" width="10.44140625" style="2" customWidth="1"/>
    <col min="11" max="11" width="9.88671875" style="2" customWidth="1"/>
    <col min="12" max="12" width="8" style="2" customWidth="1"/>
    <col min="13" max="14" width="9.109375" style="2" customWidth="1"/>
    <col min="15" max="16" width="6.44140625" style="2" customWidth="1"/>
    <col min="17" max="17" width="9.5546875" style="2" customWidth="1"/>
    <col min="18" max="18" width="7.33203125" style="2" customWidth="1"/>
    <col min="19" max="19" width="6.44140625" style="2" customWidth="1"/>
    <col min="20" max="16384" width="8.88671875" style="2"/>
  </cols>
  <sheetData>
    <row r="1" spans="1:19" ht="28.8" customHeight="1">
      <c r="A1" s="41" t="s">
        <v>193</v>
      </c>
      <c r="B1" s="41"/>
      <c r="C1" s="41"/>
      <c r="D1" s="41"/>
      <c r="E1" s="41"/>
      <c r="F1" s="41"/>
      <c r="G1" s="41" t="s">
        <v>197</v>
      </c>
      <c r="H1" s="41"/>
      <c r="I1" s="41"/>
      <c r="J1" s="41"/>
      <c r="K1" s="41"/>
      <c r="L1" s="41"/>
      <c r="M1" s="41"/>
      <c r="N1" s="41"/>
      <c r="O1" s="1"/>
      <c r="P1" s="1"/>
      <c r="Q1" s="1"/>
      <c r="R1" s="1"/>
    </row>
    <row r="2" spans="1:19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10.8" thickBot="1">
      <c r="A3" s="42" t="s">
        <v>189</v>
      </c>
      <c r="B3" s="43"/>
      <c r="C3" s="43"/>
      <c r="D3" s="43"/>
      <c r="E3" s="43"/>
      <c r="F3" s="43"/>
      <c r="G3" s="14"/>
      <c r="H3" s="14"/>
      <c r="I3" s="14"/>
      <c r="J3" s="14"/>
      <c r="K3" s="14"/>
      <c r="L3" s="14"/>
      <c r="M3" s="44"/>
      <c r="N3" s="44"/>
      <c r="O3" s="26"/>
      <c r="P3" s="14"/>
      <c r="Q3" s="4"/>
      <c r="R3" s="4"/>
    </row>
    <row r="4" spans="1:19" ht="14.4" customHeight="1">
      <c r="A4" s="75" t="s">
        <v>0</v>
      </c>
      <c r="B4" s="50" t="s">
        <v>171</v>
      </c>
      <c r="C4" s="61"/>
      <c r="D4" s="58" t="s">
        <v>198</v>
      </c>
      <c r="E4" s="51"/>
      <c r="F4" s="51"/>
      <c r="G4" s="51"/>
      <c r="H4" s="51"/>
      <c r="I4" s="51"/>
      <c r="J4" s="51"/>
      <c r="K4" s="61"/>
      <c r="L4" s="58" t="s">
        <v>173</v>
      </c>
      <c r="M4" s="59"/>
      <c r="N4" s="23"/>
      <c r="O4" s="3"/>
      <c r="P4" s="3"/>
    </row>
    <row r="5" spans="1:19" ht="15" customHeight="1">
      <c r="A5" s="75"/>
      <c r="B5" s="46"/>
      <c r="C5" s="62"/>
      <c r="D5" s="57"/>
      <c r="E5" s="45"/>
      <c r="F5" s="45"/>
      <c r="G5" s="45"/>
      <c r="H5" s="45"/>
      <c r="I5" s="45"/>
      <c r="J5" s="45"/>
      <c r="K5" s="62"/>
      <c r="L5" s="57"/>
      <c r="M5" s="60"/>
      <c r="N5" s="24"/>
      <c r="O5" s="25"/>
      <c r="P5" s="25"/>
      <c r="R5" s="20"/>
    </row>
    <row r="6" spans="1:19" ht="57.6" customHeight="1">
      <c r="A6" s="75"/>
      <c r="B6" s="54" t="s">
        <v>172</v>
      </c>
      <c r="C6" s="52" t="s">
        <v>190</v>
      </c>
      <c r="D6" s="56" t="s">
        <v>196</v>
      </c>
      <c r="E6" s="47" t="s">
        <v>174</v>
      </c>
      <c r="F6" s="48"/>
      <c r="G6" s="48"/>
      <c r="H6" s="48"/>
      <c r="I6" s="49"/>
      <c r="J6" s="52" t="s">
        <v>177</v>
      </c>
      <c r="K6" s="52" t="s">
        <v>178</v>
      </c>
      <c r="L6" s="52" t="s">
        <v>179</v>
      </c>
      <c r="M6" s="63" t="s">
        <v>180</v>
      </c>
      <c r="N6" s="77" t="s">
        <v>1</v>
      </c>
      <c r="O6" s="77"/>
      <c r="P6" s="77"/>
    </row>
    <row r="7" spans="1:19" ht="91.2" customHeight="1">
      <c r="A7" s="76"/>
      <c r="B7" s="55"/>
      <c r="C7" s="53"/>
      <c r="D7" s="57"/>
      <c r="E7" s="19" t="s">
        <v>188</v>
      </c>
      <c r="F7" s="19" t="s">
        <v>191</v>
      </c>
      <c r="G7" s="12" t="s">
        <v>187</v>
      </c>
      <c r="H7" s="12" t="s">
        <v>175</v>
      </c>
      <c r="I7" s="12" t="s">
        <v>176</v>
      </c>
      <c r="J7" s="53"/>
      <c r="K7" s="53"/>
      <c r="L7" s="53"/>
      <c r="M7" s="64"/>
      <c r="N7" s="76"/>
      <c r="O7" s="76"/>
      <c r="P7" s="76"/>
      <c r="R7" s="20"/>
    </row>
    <row r="8" spans="1:19" ht="21" customHeight="1">
      <c r="A8" s="34" t="s">
        <v>2</v>
      </c>
      <c r="B8" s="78">
        <v>975523</v>
      </c>
      <c r="C8" s="31">
        <f>C9+C16+C29+C34+C40+C46+C52+C56+C62+C71+C77+C91</f>
        <v>932328</v>
      </c>
      <c r="D8" s="31">
        <v>27176</v>
      </c>
      <c r="E8" s="31">
        <v>4731</v>
      </c>
      <c r="F8" s="31">
        <v>2552</v>
      </c>
      <c r="G8" s="31">
        <v>1785</v>
      </c>
      <c r="H8" s="31">
        <v>2903</v>
      </c>
      <c r="I8" s="31">
        <v>2047</v>
      </c>
      <c r="J8" s="31">
        <v>7193</v>
      </c>
      <c r="K8" s="31">
        <v>5965</v>
      </c>
      <c r="L8" s="31">
        <v>3047</v>
      </c>
      <c r="M8" s="79">
        <v>52924</v>
      </c>
      <c r="N8" s="72" t="s">
        <v>3</v>
      </c>
      <c r="O8" s="28"/>
      <c r="P8" s="28"/>
      <c r="Q8" s="5"/>
    </row>
    <row r="9" spans="1:19" ht="24.6" customHeight="1">
      <c r="A9" s="35" t="s">
        <v>4</v>
      </c>
      <c r="B9" s="80">
        <f>SUM(C9:D9)</f>
        <v>78045</v>
      </c>
      <c r="C9" s="27">
        <f>SUM(C10:C15)</f>
        <v>75061</v>
      </c>
      <c r="D9" s="27">
        <f>SUM(D10:D15)</f>
        <v>2984</v>
      </c>
      <c r="E9" s="27">
        <f>SUM(E10:E15)</f>
        <v>140</v>
      </c>
      <c r="F9" s="27">
        <f>SUM(F10:F15)</f>
        <v>80</v>
      </c>
      <c r="G9" s="27">
        <f t="shared" ref="G9:M9" si="0">SUM(G10:G15)</f>
        <v>471</v>
      </c>
      <c r="H9" s="27">
        <f t="shared" si="0"/>
        <v>66</v>
      </c>
      <c r="I9" s="27">
        <f t="shared" si="0"/>
        <v>123</v>
      </c>
      <c r="J9" s="27">
        <f>SUM(J10:J15)</f>
        <v>2006</v>
      </c>
      <c r="K9" s="27">
        <f t="shared" si="0"/>
        <v>98</v>
      </c>
      <c r="L9" s="27">
        <f t="shared" si="0"/>
        <v>77</v>
      </c>
      <c r="M9" s="81">
        <f t="shared" si="0"/>
        <v>978</v>
      </c>
      <c r="N9" s="65" t="s">
        <v>5</v>
      </c>
      <c r="O9" s="65"/>
      <c r="P9" s="65"/>
      <c r="Q9" s="66"/>
      <c r="R9" s="20"/>
    </row>
    <row r="10" spans="1:19">
      <c r="A10" s="15" t="s">
        <v>6</v>
      </c>
      <c r="B10" s="82">
        <v>11559</v>
      </c>
      <c r="C10" s="36">
        <v>10153</v>
      </c>
      <c r="D10" s="32">
        <f>SUM(E10:K10)</f>
        <v>1406</v>
      </c>
      <c r="E10" s="21" t="s">
        <v>192</v>
      </c>
      <c r="F10" s="37">
        <v>6</v>
      </c>
      <c r="G10" s="37">
        <v>90</v>
      </c>
      <c r="H10" s="37">
        <v>25</v>
      </c>
      <c r="I10" s="37">
        <v>116</v>
      </c>
      <c r="J10" s="37">
        <v>1169</v>
      </c>
      <c r="K10" s="21" t="s">
        <v>192</v>
      </c>
      <c r="L10" s="37">
        <v>7</v>
      </c>
      <c r="M10" s="83">
        <v>154</v>
      </c>
      <c r="N10" s="40" t="s">
        <v>8</v>
      </c>
      <c r="O10" s="5"/>
      <c r="P10" s="5"/>
      <c r="Q10" s="18"/>
    </row>
    <row r="11" spans="1:19">
      <c r="A11" s="15" t="s">
        <v>9</v>
      </c>
      <c r="B11" s="82">
        <v>9596</v>
      </c>
      <c r="C11" s="36">
        <v>9117</v>
      </c>
      <c r="D11" s="32">
        <f t="shared" ref="D11:D15" si="1">SUM(E11:K11)</f>
        <v>479</v>
      </c>
      <c r="E11" s="37">
        <v>104</v>
      </c>
      <c r="F11" s="37">
        <v>12</v>
      </c>
      <c r="G11" s="37">
        <v>73</v>
      </c>
      <c r="H11" s="37">
        <v>32</v>
      </c>
      <c r="I11" s="21" t="s">
        <v>192</v>
      </c>
      <c r="J11" s="37">
        <v>248</v>
      </c>
      <c r="K11" s="37">
        <v>10</v>
      </c>
      <c r="L11" s="37">
        <v>12</v>
      </c>
      <c r="M11" s="83">
        <v>255</v>
      </c>
      <c r="N11" s="40" t="s">
        <v>10</v>
      </c>
      <c r="O11" s="5"/>
      <c r="P11" s="5"/>
      <c r="Q11" s="5"/>
      <c r="R11" s="20"/>
      <c r="S11" s="20"/>
    </row>
    <row r="12" spans="1:19">
      <c r="A12" s="15" t="s">
        <v>11</v>
      </c>
      <c r="B12" s="82">
        <v>17919</v>
      </c>
      <c r="C12" s="36">
        <v>17774</v>
      </c>
      <c r="D12" s="32">
        <f t="shared" si="1"/>
        <v>145</v>
      </c>
      <c r="E12" s="37">
        <v>21</v>
      </c>
      <c r="F12" s="21" t="s">
        <v>192</v>
      </c>
      <c r="G12" s="37">
        <v>115</v>
      </c>
      <c r="H12" s="21" t="s">
        <v>192</v>
      </c>
      <c r="I12" s="21" t="s">
        <v>192</v>
      </c>
      <c r="J12" s="21" t="s">
        <v>192</v>
      </c>
      <c r="K12" s="37">
        <v>9</v>
      </c>
      <c r="L12" s="37">
        <v>12</v>
      </c>
      <c r="M12" s="83">
        <v>154</v>
      </c>
      <c r="N12" s="40" t="s">
        <v>12</v>
      </c>
      <c r="O12" s="5"/>
      <c r="P12" s="5"/>
      <c r="Q12" s="5"/>
      <c r="S12" s="6"/>
    </row>
    <row r="13" spans="1:19">
      <c r="A13" s="15" t="s">
        <v>13</v>
      </c>
      <c r="B13" s="82">
        <v>784</v>
      </c>
      <c r="C13" s="36">
        <v>784</v>
      </c>
      <c r="D13" s="32">
        <f t="shared" si="1"/>
        <v>0</v>
      </c>
      <c r="E13" s="21" t="s">
        <v>192</v>
      </c>
      <c r="F13" s="21" t="s">
        <v>192</v>
      </c>
      <c r="G13" s="21" t="s">
        <v>192</v>
      </c>
      <c r="H13" s="21" t="s">
        <v>192</v>
      </c>
      <c r="I13" s="21" t="s">
        <v>192</v>
      </c>
      <c r="J13" s="21" t="s">
        <v>192</v>
      </c>
      <c r="K13" s="21" t="s">
        <v>192</v>
      </c>
      <c r="L13" s="21" t="s">
        <v>192</v>
      </c>
      <c r="M13" s="84" t="s">
        <v>192</v>
      </c>
      <c r="N13" s="40" t="s">
        <v>14</v>
      </c>
      <c r="O13" s="5"/>
      <c r="P13" s="5"/>
      <c r="Q13" s="5"/>
    </row>
    <row r="14" spans="1:19">
      <c r="A14" s="15" t="s">
        <v>15</v>
      </c>
      <c r="B14" s="82">
        <v>27518</v>
      </c>
      <c r="C14" s="36">
        <v>27159</v>
      </c>
      <c r="D14" s="32">
        <f t="shared" si="1"/>
        <v>359</v>
      </c>
      <c r="E14" s="22">
        <v>15</v>
      </c>
      <c r="F14" s="37">
        <v>61</v>
      </c>
      <c r="G14" s="37">
        <v>193</v>
      </c>
      <c r="H14" s="21" t="s">
        <v>192</v>
      </c>
      <c r="I14" s="37">
        <v>7</v>
      </c>
      <c r="J14" s="37">
        <v>20</v>
      </c>
      <c r="K14" s="37">
        <v>63</v>
      </c>
      <c r="L14" s="37">
        <v>26</v>
      </c>
      <c r="M14" s="83">
        <v>312</v>
      </c>
      <c r="N14" s="40" t="s">
        <v>16</v>
      </c>
      <c r="O14" s="5"/>
      <c r="P14" s="5"/>
      <c r="Q14" s="5"/>
      <c r="S14" s="20"/>
    </row>
    <row r="15" spans="1:19">
      <c r="A15" s="15" t="s">
        <v>17</v>
      </c>
      <c r="B15" s="82">
        <v>10669</v>
      </c>
      <c r="C15" s="36">
        <v>10074</v>
      </c>
      <c r="D15" s="32">
        <f t="shared" si="1"/>
        <v>595</v>
      </c>
      <c r="E15" s="21" t="s">
        <v>192</v>
      </c>
      <c r="F15" s="37">
        <v>1</v>
      </c>
      <c r="G15" s="21" t="s">
        <v>192</v>
      </c>
      <c r="H15" s="37">
        <v>9</v>
      </c>
      <c r="I15" s="21" t="s">
        <v>192</v>
      </c>
      <c r="J15" s="37">
        <v>569</v>
      </c>
      <c r="K15" s="37">
        <v>16</v>
      </c>
      <c r="L15" s="37">
        <v>20</v>
      </c>
      <c r="M15" s="83">
        <v>103</v>
      </c>
      <c r="N15" s="40" t="s">
        <v>18</v>
      </c>
      <c r="O15" s="5"/>
      <c r="P15" s="5"/>
      <c r="Q15" s="5"/>
    </row>
    <row r="16" spans="1:19" ht="20.399999999999999" customHeight="1">
      <c r="A16" s="35" t="s">
        <v>19</v>
      </c>
      <c r="B16" s="80">
        <f>SUM(C16:D16)</f>
        <v>153627</v>
      </c>
      <c r="C16" s="27">
        <f>SUM(C17:C23)</f>
        <v>141479</v>
      </c>
      <c r="D16" s="27">
        <f>SUM(D17:D23)</f>
        <v>12148</v>
      </c>
      <c r="E16" s="27">
        <f>SUM(E17:E23)</f>
        <v>2818</v>
      </c>
      <c r="F16" s="27">
        <f t="shared" ref="F16:M16" si="2">SUM(F17:F23)</f>
        <v>1539</v>
      </c>
      <c r="G16" s="27">
        <f t="shared" si="2"/>
        <v>471</v>
      </c>
      <c r="H16" s="27">
        <f t="shared" si="2"/>
        <v>1575</v>
      </c>
      <c r="I16" s="27">
        <f t="shared" si="2"/>
        <v>313</v>
      </c>
      <c r="J16" s="27">
        <f t="shared" si="2"/>
        <v>4483</v>
      </c>
      <c r="K16" s="27">
        <f t="shared" si="2"/>
        <v>949</v>
      </c>
      <c r="L16" s="27">
        <f t="shared" si="2"/>
        <v>507</v>
      </c>
      <c r="M16" s="81">
        <f t="shared" si="2"/>
        <v>7238</v>
      </c>
      <c r="N16" s="29" t="s">
        <v>20</v>
      </c>
      <c r="O16" s="29"/>
      <c r="P16" s="29"/>
      <c r="Q16" s="5"/>
    </row>
    <row r="17" spans="1:20" ht="11.4" customHeight="1">
      <c r="A17" s="15" t="s">
        <v>21</v>
      </c>
      <c r="B17" s="82">
        <v>44897</v>
      </c>
      <c r="C17" s="36">
        <v>42038</v>
      </c>
      <c r="D17" s="32">
        <f t="shared" ref="D17:D28" si="3">SUM(E17:K17)</f>
        <v>2859</v>
      </c>
      <c r="E17" s="37">
        <v>28</v>
      </c>
      <c r="F17" s="37">
        <v>971</v>
      </c>
      <c r="G17" s="37">
        <v>63</v>
      </c>
      <c r="H17" s="37">
        <v>1057</v>
      </c>
      <c r="I17" s="21" t="s">
        <v>192</v>
      </c>
      <c r="J17" s="37">
        <v>135</v>
      </c>
      <c r="K17" s="37">
        <v>605</v>
      </c>
      <c r="L17" s="37">
        <v>161</v>
      </c>
      <c r="M17" s="83">
        <v>1799</v>
      </c>
      <c r="N17" s="67" t="s">
        <v>22</v>
      </c>
      <c r="O17" s="5"/>
      <c r="P17" s="5"/>
      <c r="Q17" s="5"/>
    </row>
    <row r="18" spans="1:20">
      <c r="A18" s="15" t="s">
        <v>23</v>
      </c>
      <c r="B18" s="82">
        <v>20905</v>
      </c>
      <c r="C18" s="36">
        <v>18741</v>
      </c>
      <c r="D18" s="32">
        <f t="shared" si="3"/>
        <v>2164</v>
      </c>
      <c r="E18" s="37">
        <v>1692</v>
      </c>
      <c r="F18" s="37">
        <v>15</v>
      </c>
      <c r="G18" s="37">
        <v>23</v>
      </c>
      <c r="H18" s="37">
        <v>8</v>
      </c>
      <c r="I18" s="37">
        <v>308</v>
      </c>
      <c r="J18" s="37">
        <v>104</v>
      </c>
      <c r="K18" s="37">
        <v>14</v>
      </c>
      <c r="L18" s="37">
        <v>3</v>
      </c>
      <c r="M18" s="83">
        <v>607</v>
      </c>
      <c r="N18" s="67" t="s">
        <v>24</v>
      </c>
      <c r="O18" s="5"/>
      <c r="P18" s="5"/>
      <c r="Q18" s="5"/>
      <c r="R18" s="20"/>
    </row>
    <row r="19" spans="1:20">
      <c r="A19" s="15" t="s">
        <v>25</v>
      </c>
      <c r="B19" s="82">
        <v>7708</v>
      </c>
      <c r="C19" s="36">
        <v>7440</v>
      </c>
      <c r="D19" s="32">
        <f t="shared" si="3"/>
        <v>268</v>
      </c>
      <c r="E19" s="37">
        <v>20</v>
      </c>
      <c r="F19" s="37">
        <v>31</v>
      </c>
      <c r="G19" s="37">
        <v>45</v>
      </c>
      <c r="H19" s="37">
        <v>34</v>
      </c>
      <c r="I19" s="37">
        <v>5</v>
      </c>
      <c r="J19" s="37">
        <v>69</v>
      </c>
      <c r="K19" s="37">
        <v>64</v>
      </c>
      <c r="L19" s="37">
        <v>10</v>
      </c>
      <c r="M19" s="83">
        <v>88</v>
      </c>
      <c r="N19" s="67" t="s">
        <v>26</v>
      </c>
      <c r="O19" s="5"/>
      <c r="P19" s="5"/>
      <c r="Q19" s="5"/>
    </row>
    <row r="20" spans="1:20">
      <c r="A20" s="15" t="s">
        <v>27</v>
      </c>
      <c r="B20" s="82">
        <v>38901</v>
      </c>
      <c r="C20" s="36">
        <v>37209</v>
      </c>
      <c r="D20" s="32">
        <f t="shared" si="3"/>
        <v>1692</v>
      </c>
      <c r="E20" s="37">
        <v>1033</v>
      </c>
      <c r="F20" s="37">
        <v>172</v>
      </c>
      <c r="G20" s="37">
        <v>60</v>
      </c>
      <c r="H20" s="37">
        <v>320</v>
      </c>
      <c r="I20" s="21" t="s">
        <v>192</v>
      </c>
      <c r="J20" s="37">
        <v>9</v>
      </c>
      <c r="K20" s="37">
        <v>98</v>
      </c>
      <c r="L20" s="37">
        <v>62</v>
      </c>
      <c r="M20" s="83">
        <v>2904</v>
      </c>
      <c r="N20" s="67" t="s">
        <v>28</v>
      </c>
      <c r="O20" s="5"/>
      <c r="P20" s="5"/>
      <c r="Q20" s="5"/>
      <c r="S20" s="20"/>
    </row>
    <row r="21" spans="1:20">
      <c r="A21" s="15" t="s">
        <v>29</v>
      </c>
      <c r="B21" s="82">
        <v>14796</v>
      </c>
      <c r="C21" s="36">
        <v>11132</v>
      </c>
      <c r="D21" s="32">
        <f t="shared" si="3"/>
        <v>3664</v>
      </c>
      <c r="E21" s="37">
        <v>25</v>
      </c>
      <c r="F21" s="37">
        <v>148</v>
      </c>
      <c r="G21" s="37" t="s">
        <v>192</v>
      </c>
      <c r="H21" s="37">
        <v>70</v>
      </c>
      <c r="I21" s="21" t="s">
        <v>192</v>
      </c>
      <c r="J21" s="37">
        <v>3353</v>
      </c>
      <c r="K21" s="37">
        <v>68</v>
      </c>
      <c r="L21" s="37">
        <v>60</v>
      </c>
      <c r="M21" s="83">
        <v>265</v>
      </c>
      <c r="N21" s="67" t="s">
        <v>30</v>
      </c>
      <c r="O21" s="5"/>
      <c r="P21" s="5"/>
      <c r="Q21" s="5"/>
    </row>
    <row r="22" spans="1:20">
      <c r="A22" s="15" t="s">
        <v>31</v>
      </c>
      <c r="B22" s="82">
        <v>14949</v>
      </c>
      <c r="C22" s="36">
        <v>13831</v>
      </c>
      <c r="D22" s="32">
        <f t="shared" si="3"/>
        <v>1118</v>
      </c>
      <c r="E22" s="37">
        <v>10</v>
      </c>
      <c r="F22" s="37">
        <v>140</v>
      </c>
      <c r="G22" s="37">
        <v>105</v>
      </c>
      <c r="H22" s="37">
        <v>50</v>
      </c>
      <c r="I22" s="21" t="s">
        <v>192</v>
      </c>
      <c r="J22" s="37">
        <v>813</v>
      </c>
      <c r="K22" s="21" t="s">
        <v>192</v>
      </c>
      <c r="L22" s="37">
        <v>131</v>
      </c>
      <c r="M22" s="83">
        <v>1052</v>
      </c>
      <c r="N22" s="67" t="s">
        <v>32</v>
      </c>
      <c r="O22" s="5"/>
      <c r="P22" s="5"/>
      <c r="Q22" s="5"/>
    </row>
    <row r="23" spans="1:20">
      <c r="A23" s="15" t="s">
        <v>33</v>
      </c>
      <c r="B23" s="82">
        <v>11471</v>
      </c>
      <c r="C23" s="36">
        <v>11088</v>
      </c>
      <c r="D23" s="32">
        <f t="shared" si="3"/>
        <v>383</v>
      </c>
      <c r="E23" s="37">
        <v>10</v>
      </c>
      <c r="F23" s="37">
        <v>62</v>
      </c>
      <c r="G23" s="37">
        <v>175</v>
      </c>
      <c r="H23" s="37">
        <v>36</v>
      </c>
      <c r="I23" s="21" t="s">
        <v>192</v>
      </c>
      <c r="J23" s="21" t="s">
        <v>192</v>
      </c>
      <c r="K23" s="37">
        <v>100</v>
      </c>
      <c r="L23" s="37">
        <v>80</v>
      </c>
      <c r="M23" s="83">
        <v>523</v>
      </c>
      <c r="N23" s="67" t="s">
        <v>34</v>
      </c>
      <c r="O23" s="5"/>
      <c r="P23" s="5"/>
      <c r="Q23" s="5"/>
    </row>
    <row r="24" spans="1:20" ht="24.6" customHeight="1">
      <c r="A24" s="35" t="s">
        <v>194</v>
      </c>
      <c r="B24" s="85">
        <f>SUM(C24:D24)</f>
        <v>16238</v>
      </c>
      <c r="C24" s="73">
        <f>SUM(C25:C28)</f>
        <v>16019</v>
      </c>
      <c r="D24" s="74">
        <f>SUM(D25:D28)</f>
        <v>219</v>
      </c>
      <c r="E24" s="74">
        <f t="shared" ref="E24:M24" si="4">SUM(E25:E28)</f>
        <v>8</v>
      </c>
      <c r="F24" s="74">
        <f>SUM(F25:F28)</f>
        <v>20</v>
      </c>
      <c r="G24" s="74">
        <f t="shared" si="4"/>
        <v>3</v>
      </c>
      <c r="H24" s="74">
        <f t="shared" si="4"/>
        <v>21</v>
      </c>
      <c r="I24" s="74">
        <f t="shared" si="4"/>
        <v>2</v>
      </c>
      <c r="J24" s="74">
        <f t="shared" si="4"/>
        <v>127</v>
      </c>
      <c r="K24" s="74">
        <f t="shared" si="4"/>
        <v>38</v>
      </c>
      <c r="L24" s="74">
        <f t="shared" si="4"/>
        <v>21</v>
      </c>
      <c r="M24" s="86">
        <f t="shared" si="4"/>
        <v>221</v>
      </c>
      <c r="N24" s="29" t="s">
        <v>195</v>
      </c>
      <c r="O24" s="5"/>
      <c r="P24" s="5"/>
      <c r="Q24" s="5"/>
    </row>
    <row r="25" spans="1:20">
      <c r="A25" s="15" t="s">
        <v>35</v>
      </c>
      <c r="B25" s="82">
        <v>6352</v>
      </c>
      <c r="C25" s="36">
        <v>6184</v>
      </c>
      <c r="D25" s="32">
        <f t="shared" si="3"/>
        <v>168</v>
      </c>
      <c r="E25" s="37">
        <v>8</v>
      </c>
      <c r="F25" s="37">
        <v>18</v>
      </c>
      <c r="G25" s="37">
        <v>3</v>
      </c>
      <c r="H25" s="37">
        <v>21</v>
      </c>
      <c r="I25" s="37">
        <v>2</v>
      </c>
      <c r="J25" s="37">
        <v>84</v>
      </c>
      <c r="K25" s="37">
        <v>32</v>
      </c>
      <c r="L25" s="37">
        <v>17</v>
      </c>
      <c r="M25" s="83">
        <v>165</v>
      </c>
      <c r="N25" s="67" t="s">
        <v>36</v>
      </c>
      <c r="O25" s="5"/>
      <c r="P25" s="5"/>
      <c r="Q25" s="5"/>
    </row>
    <row r="26" spans="1:20">
      <c r="A26" s="15" t="s">
        <v>37</v>
      </c>
      <c r="B26" s="82">
        <v>2084</v>
      </c>
      <c r="C26" s="36">
        <v>2054</v>
      </c>
      <c r="D26" s="32">
        <f t="shared" si="3"/>
        <v>30</v>
      </c>
      <c r="E26" s="21" t="s">
        <v>192</v>
      </c>
      <c r="F26" s="21" t="s">
        <v>192</v>
      </c>
      <c r="G26" s="21" t="s">
        <v>192</v>
      </c>
      <c r="H26" s="37" t="s">
        <v>192</v>
      </c>
      <c r="I26" s="21" t="s">
        <v>192</v>
      </c>
      <c r="J26" s="37">
        <v>30</v>
      </c>
      <c r="K26" s="21" t="s">
        <v>192</v>
      </c>
      <c r="L26" s="21" t="s">
        <v>192</v>
      </c>
      <c r="M26" s="83">
        <v>35</v>
      </c>
      <c r="N26" s="67" t="s">
        <v>38</v>
      </c>
      <c r="O26" s="5"/>
      <c r="P26" s="5"/>
      <c r="Q26" s="5"/>
      <c r="T26" s="20"/>
    </row>
    <row r="27" spans="1:20">
      <c r="A27" s="15" t="s">
        <v>39</v>
      </c>
      <c r="B27" s="82">
        <v>5041</v>
      </c>
      <c r="C27" s="36">
        <v>5025</v>
      </c>
      <c r="D27" s="32">
        <f t="shared" si="3"/>
        <v>16</v>
      </c>
      <c r="E27" s="21" t="s">
        <v>192</v>
      </c>
      <c r="F27" s="37">
        <v>2</v>
      </c>
      <c r="G27" s="21" t="s">
        <v>192</v>
      </c>
      <c r="H27" s="37" t="s">
        <v>192</v>
      </c>
      <c r="I27" s="21" t="s">
        <v>192</v>
      </c>
      <c r="J27" s="37">
        <v>10</v>
      </c>
      <c r="K27" s="37">
        <v>4</v>
      </c>
      <c r="L27" s="37">
        <v>2</v>
      </c>
      <c r="M27" s="83">
        <v>7</v>
      </c>
      <c r="N27" s="67" t="s">
        <v>40</v>
      </c>
      <c r="O27" s="5"/>
      <c r="P27" s="5"/>
      <c r="Q27" s="5"/>
      <c r="R27" s="20"/>
    </row>
    <row r="28" spans="1:20">
      <c r="A28" s="15" t="s">
        <v>41</v>
      </c>
      <c r="B28" s="82">
        <v>2761</v>
      </c>
      <c r="C28" s="36">
        <v>2756</v>
      </c>
      <c r="D28" s="32">
        <f t="shared" si="3"/>
        <v>5</v>
      </c>
      <c r="E28" s="21" t="s">
        <v>192</v>
      </c>
      <c r="F28" s="21" t="s">
        <v>192</v>
      </c>
      <c r="G28" s="21" t="s">
        <v>192</v>
      </c>
      <c r="H28" s="37" t="s">
        <v>192</v>
      </c>
      <c r="I28" s="21" t="s">
        <v>192</v>
      </c>
      <c r="J28" s="37">
        <v>3</v>
      </c>
      <c r="K28" s="37">
        <v>2</v>
      </c>
      <c r="L28" s="37">
        <v>2</v>
      </c>
      <c r="M28" s="83">
        <v>14</v>
      </c>
      <c r="N28" s="67" t="s">
        <v>42</v>
      </c>
      <c r="O28" s="5"/>
      <c r="P28" s="5"/>
      <c r="Q28" s="5"/>
      <c r="R28" s="20"/>
    </row>
    <row r="29" spans="1:20" ht="20.399999999999999" customHeight="1">
      <c r="A29" s="35" t="s">
        <v>43</v>
      </c>
      <c r="B29" s="80">
        <v>26747</v>
      </c>
      <c r="C29" s="27">
        <f>SUM(C30:C33)</f>
        <v>26336</v>
      </c>
      <c r="D29" s="27">
        <f>SUM(D30:D33)</f>
        <v>411</v>
      </c>
      <c r="E29" s="27">
        <f t="shared" ref="E29:M29" si="5">SUM(E30:E33)</f>
        <v>224</v>
      </c>
      <c r="F29" s="27">
        <f>SUM(F30:F33)</f>
        <v>18</v>
      </c>
      <c r="G29" s="27">
        <f t="shared" si="5"/>
        <v>63</v>
      </c>
      <c r="H29" s="27">
        <f t="shared" si="5"/>
        <v>19</v>
      </c>
      <c r="I29" s="27">
        <f t="shared" si="5"/>
        <v>0</v>
      </c>
      <c r="J29" s="27">
        <f>SUM(J30:J33)</f>
        <v>0</v>
      </c>
      <c r="K29" s="27">
        <f t="shared" si="5"/>
        <v>87</v>
      </c>
      <c r="L29" s="27">
        <f t="shared" si="5"/>
        <v>22</v>
      </c>
      <c r="M29" s="81">
        <f t="shared" si="5"/>
        <v>2306</v>
      </c>
      <c r="N29" s="29" t="s">
        <v>44</v>
      </c>
      <c r="O29" s="29"/>
      <c r="P29" s="29"/>
      <c r="Q29" s="5"/>
      <c r="R29" s="20"/>
    </row>
    <row r="30" spans="1:20">
      <c r="A30" s="15" t="s">
        <v>45</v>
      </c>
      <c r="B30" s="82">
        <v>5485</v>
      </c>
      <c r="C30" s="36">
        <v>5387</v>
      </c>
      <c r="D30" s="32">
        <f>SUM(E30:K30)</f>
        <v>98</v>
      </c>
      <c r="E30" s="21" t="s">
        <v>192</v>
      </c>
      <c r="F30" s="37">
        <v>1</v>
      </c>
      <c r="G30" s="37">
        <v>60</v>
      </c>
      <c r="H30" s="21" t="s">
        <v>192</v>
      </c>
      <c r="I30" s="21" t="s">
        <v>192</v>
      </c>
      <c r="J30" s="21" t="s">
        <v>192</v>
      </c>
      <c r="K30" s="37">
        <v>37</v>
      </c>
      <c r="L30" s="21" t="s">
        <v>192</v>
      </c>
      <c r="M30" s="83">
        <v>88</v>
      </c>
      <c r="N30" s="67" t="s">
        <v>46</v>
      </c>
      <c r="O30" s="5"/>
      <c r="P30" s="5"/>
      <c r="Q30" s="5"/>
    </row>
    <row r="31" spans="1:20">
      <c r="A31" s="15" t="s">
        <v>47</v>
      </c>
      <c r="B31" s="82">
        <v>9107</v>
      </c>
      <c r="C31" s="36">
        <v>8864</v>
      </c>
      <c r="D31" s="32">
        <f>SUM(E31:K31)</f>
        <v>243</v>
      </c>
      <c r="E31" s="37">
        <v>217</v>
      </c>
      <c r="F31" s="37">
        <v>17</v>
      </c>
      <c r="G31" s="21" t="s">
        <v>192</v>
      </c>
      <c r="H31" s="37">
        <v>9</v>
      </c>
      <c r="I31" s="21" t="s">
        <v>192</v>
      </c>
      <c r="J31" s="21" t="s">
        <v>192</v>
      </c>
      <c r="K31" s="30" t="s">
        <v>192</v>
      </c>
      <c r="L31" s="37">
        <v>2</v>
      </c>
      <c r="M31" s="83">
        <v>488</v>
      </c>
      <c r="N31" s="67" t="s">
        <v>48</v>
      </c>
      <c r="O31" s="5"/>
      <c r="P31" s="5"/>
      <c r="Q31" s="5"/>
    </row>
    <row r="32" spans="1:20">
      <c r="A32" s="15" t="s">
        <v>49</v>
      </c>
      <c r="B32" s="82">
        <v>2882</v>
      </c>
      <c r="C32" s="36">
        <v>2882</v>
      </c>
      <c r="D32" s="32">
        <f>SUM(E32:K32)</f>
        <v>0</v>
      </c>
      <c r="E32" s="21" t="s">
        <v>192</v>
      </c>
      <c r="F32" s="21" t="s">
        <v>192</v>
      </c>
      <c r="G32" s="21" t="s">
        <v>192</v>
      </c>
      <c r="H32" s="21" t="s">
        <v>192</v>
      </c>
      <c r="I32" s="21" t="s">
        <v>192</v>
      </c>
      <c r="J32" s="21" t="s">
        <v>192</v>
      </c>
      <c r="K32" s="30" t="s">
        <v>192</v>
      </c>
      <c r="L32" s="21" t="s">
        <v>192</v>
      </c>
      <c r="M32" s="83">
        <v>90</v>
      </c>
      <c r="N32" s="67" t="s">
        <v>50</v>
      </c>
      <c r="O32" s="5"/>
      <c r="P32" s="5"/>
      <c r="Q32" s="5"/>
    </row>
    <row r="33" spans="1:17">
      <c r="A33" s="15" t="s">
        <v>51</v>
      </c>
      <c r="B33" s="82">
        <v>9273</v>
      </c>
      <c r="C33" s="36">
        <v>9203</v>
      </c>
      <c r="D33" s="32">
        <f>SUM(E33:K33)</f>
        <v>70</v>
      </c>
      <c r="E33" s="37">
        <v>7</v>
      </c>
      <c r="F33" s="21" t="s">
        <v>192</v>
      </c>
      <c r="G33" s="37">
        <v>3</v>
      </c>
      <c r="H33" s="37">
        <v>10</v>
      </c>
      <c r="I33" s="21" t="s">
        <v>192</v>
      </c>
      <c r="J33" s="21" t="s">
        <v>192</v>
      </c>
      <c r="K33" s="37">
        <v>50</v>
      </c>
      <c r="L33" s="37">
        <v>20</v>
      </c>
      <c r="M33" s="83">
        <v>1640</v>
      </c>
      <c r="N33" s="67" t="s">
        <v>52</v>
      </c>
      <c r="O33" s="5"/>
      <c r="P33" s="5"/>
      <c r="Q33" s="5"/>
    </row>
    <row r="34" spans="1:17" ht="19.8" customHeight="1">
      <c r="A34" s="35" t="s">
        <v>53</v>
      </c>
      <c r="B34" s="80">
        <v>92963</v>
      </c>
      <c r="C34" s="27">
        <f>SUM(C35:C39)</f>
        <v>91333</v>
      </c>
      <c r="D34" s="27">
        <f>SUM(D35:D39)</f>
        <v>1630</v>
      </c>
      <c r="E34" s="27">
        <f t="shared" ref="E34:M34" si="6">SUM(E35:E39)</f>
        <v>49</v>
      </c>
      <c r="F34" s="27">
        <f>SUM(F35:F39)</f>
        <v>178</v>
      </c>
      <c r="G34" s="27">
        <f t="shared" si="6"/>
        <v>317</v>
      </c>
      <c r="H34" s="27">
        <f t="shared" si="6"/>
        <v>54</v>
      </c>
      <c r="I34" s="27">
        <f t="shared" si="6"/>
        <v>50</v>
      </c>
      <c r="J34" s="27">
        <f>SUM(J35:J39)</f>
        <v>441</v>
      </c>
      <c r="K34" s="27">
        <f t="shared" si="6"/>
        <v>541</v>
      </c>
      <c r="L34" s="27">
        <f t="shared" si="6"/>
        <v>343</v>
      </c>
      <c r="M34" s="81">
        <f t="shared" si="6"/>
        <v>2761</v>
      </c>
      <c r="N34" s="29" t="s">
        <v>54</v>
      </c>
      <c r="O34" s="29"/>
      <c r="P34" s="29"/>
      <c r="Q34" s="5"/>
    </row>
    <row r="35" spans="1:17">
      <c r="A35" s="15" t="s">
        <v>55</v>
      </c>
      <c r="B35" s="82">
        <v>38347</v>
      </c>
      <c r="C35" s="36">
        <v>37661</v>
      </c>
      <c r="D35" s="32">
        <f>SUM(E35:K35)</f>
        <v>686</v>
      </c>
      <c r="E35" s="37">
        <v>28</v>
      </c>
      <c r="F35" s="37">
        <v>79</v>
      </c>
      <c r="G35" s="37">
        <v>273</v>
      </c>
      <c r="H35" s="37">
        <v>27</v>
      </c>
      <c r="I35" s="37">
        <v>30</v>
      </c>
      <c r="J35" s="37">
        <v>243</v>
      </c>
      <c r="K35" s="37">
        <v>6</v>
      </c>
      <c r="L35" s="37">
        <v>21</v>
      </c>
      <c r="M35" s="83">
        <v>520</v>
      </c>
      <c r="N35" s="67" t="s">
        <v>56</v>
      </c>
      <c r="O35" s="5"/>
      <c r="P35" s="5"/>
      <c r="Q35" s="5"/>
    </row>
    <row r="36" spans="1:17">
      <c r="A36" s="15" t="s">
        <v>57</v>
      </c>
      <c r="B36" s="82">
        <v>17572</v>
      </c>
      <c r="C36" s="36">
        <v>17523</v>
      </c>
      <c r="D36" s="32">
        <f>SUM(E36:K36)</f>
        <v>49</v>
      </c>
      <c r="E36" s="21" t="s">
        <v>192</v>
      </c>
      <c r="F36" s="37">
        <v>17</v>
      </c>
      <c r="G36" s="37">
        <v>2</v>
      </c>
      <c r="H36" s="37">
        <v>3</v>
      </c>
      <c r="I36" s="21" t="s">
        <v>192</v>
      </c>
      <c r="J36" s="37">
        <v>21</v>
      </c>
      <c r="K36" s="37">
        <v>6</v>
      </c>
      <c r="L36" s="37">
        <v>37</v>
      </c>
      <c r="M36" s="83">
        <v>168</v>
      </c>
      <c r="N36" s="67" t="s">
        <v>58</v>
      </c>
      <c r="O36" s="5"/>
      <c r="P36" s="5"/>
      <c r="Q36" s="5"/>
    </row>
    <row r="37" spans="1:17">
      <c r="A37" s="15" t="s">
        <v>59</v>
      </c>
      <c r="B37" s="82">
        <v>17033</v>
      </c>
      <c r="C37" s="36">
        <v>16536</v>
      </c>
      <c r="D37" s="32">
        <f>SUM(E37:K37)</f>
        <v>497</v>
      </c>
      <c r="E37" s="21" t="s">
        <v>192</v>
      </c>
      <c r="F37" s="37">
        <v>5</v>
      </c>
      <c r="G37" s="21" t="s">
        <v>192</v>
      </c>
      <c r="H37" s="21" t="s">
        <v>192</v>
      </c>
      <c r="I37" s="21" t="s">
        <v>192</v>
      </c>
      <c r="J37" s="21" t="s">
        <v>192</v>
      </c>
      <c r="K37" s="37">
        <v>492</v>
      </c>
      <c r="L37" s="37">
        <v>242</v>
      </c>
      <c r="M37" s="83">
        <v>449</v>
      </c>
      <c r="N37" s="67" t="s">
        <v>60</v>
      </c>
      <c r="O37" s="5"/>
      <c r="P37" s="5"/>
      <c r="Q37" s="5"/>
    </row>
    <row r="38" spans="1:17" ht="13.8">
      <c r="A38" s="15" t="s">
        <v>61</v>
      </c>
      <c r="B38" s="82">
        <v>263</v>
      </c>
      <c r="C38" s="36">
        <v>259</v>
      </c>
      <c r="D38" s="32">
        <f>SUM(E38:K38)</f>
        <v>4</v>
      </c>
      <c r="E38" s="21" t="s">
        <v>192</v>
      </c>
      <c r="F38" s="39"/>
      <c r="G38" s="21" t="s">
        <v>192</v>
      </c>
      <c r="H38" s="21" t="s">
        <v>192</v>
      </c>
      <c r="I38" s="21" t="s">
        <v>192</v>
      </c>
      <c r="J38" s="21" t="s">
        <v>192</v>
      </c>
      <c r="K38" s="37">
        <v>4</v>
      </c>
      <c r="L38" s="21" t="s">
        <v>192</v>
      </c>
      <c r="M38" s="83">
        <v>4</v>
      </c>
      <c r="N38" s="68" t="s">
        <v>62</v>
      </c>
      <c r="O38" s="68"/>
      <c r="P38" s="68"/>
      <c r="Q38" s="5"/>
    </row>
    <row r="39" spans="1:17">
      <c r="A39" s="15" t="s">
        <v>63</v>
      </c>
      <c r="B39" s="82">
        <v>19748</v>
      </c>
      <c r="C39" s="36">
        <v>19354</v>
      </c>
      <c r="D39" s="32">
        <f>SUM(E39:K39)</f>
        <v>394</v>
      </c>
      <c r="E39" s="38">
        <v>21</v>
      </c>
      <c r="F39" s="38">
        <v>77</v>
      </c>
      <c r="G39" s="37">
        <v>42</v>
      </c>
      <c r="H39" s="37">
        <v>24</v>
      </c>
      <c r="I39" s="37">
        <v>20</v>
      </c>
      <c r="J39" s="37">
        <v>177</v>
      </c>
      <c r="K39" s="37">
        <v>33</v>
      </c>
      <c r="L39" s="37">
        <v>43</v>
      </c>
      <c r="M39" s="83">
        <v>1620</v>
      </c>
      <c r="N39" s="67" t="s">
        <v>64</v>
      </c>
      <c r="O39" s="5"/>
      <c r="P39" s="5"/>
      <c r="Q39" s="5"/>
    </row>
    <row r="40" spans="1:17" ht="19.8" customHeight="1">
      <c r="A40" s="35" t="s">
        <v>65</v>
      </c>
      <c r="B40" s="80">
        <v>149031</v>
      </c>
      <c r="C40" s="27">
        <f>SUM(C41:C45)</f>
        <v>146485</v>
      </c>
      <c r="D40" s="27">
        <f>SUM(D41:D45)</f>
        <v>2546</v>
      </c>
      <c r="E40" s="27">
        <f t="shared" ref="E40:M40" si="7">SUM(E41:E45)</f>
        <v>124</v>
      </c>
      <c r="F40" s="27">
        <f>SUM(F41:F45)</f>
        <v>69</v>
      </c>
      <c r="G40" s="27">
        <f t="shared" si="7"/>
        <v>373</v>
      </c>
      <c r="H40" s="27">
        <f t="shared" si="7"/>
        <v>538</v>
      </c>
      <c r="I40" s="27">
        <f t="shared" si="7"/>
        <v>1020</v>
      </c>
      <c r="J40" s="27">
        <f>SUM(J41:J45)</f>
        <v>91</v>
      </c>
      <c r="K40" s="27">
        <f t="shared" si="7"/>
        <v>331</v>
      </c>
      <c r="L40" s="27">
        <f t="shared" si="7"/>
        <v>155</v>
      </c>
      <c r="M40" s="81">
        <f t="shared" si="7"/>
        <v>545</v>
      </c>
      <c r="N40" s="69" t="s">
        <v>66</v>
      </c>
      <c r="O40" s="69"/>
      <c r="P40" s="69"/>
      <c r="Q40" s="5"/>
    </row>
    <row r="41" spans="1:17">
      <c r="A41" s="15" t="s">
        <v>67</v>
      </c>
      <c r="B41" s="82">
        <v>32854</v>
      </c>
      <c r="C41" s="36">
        <v>32234</v>
      </c>
      <c r="D41" s="32">
        <f>SUM(E41:K41)</f>
        <v>620</v>
      </c>
      <c r="E41" s="38">
        <v>117</v>
      </c>
      <c r="F41" s="38">
        <v>68</v>
      </c>
      <c r="G41" s="37">
        <v>273</v>
      </c>
      <c r="H41" s="37">
        <v>45</v>
      </c>
      <c r="I41" s="21" t="s">
        <v>192</v>
      </c>
      <c r="J41" s="37">
        <v>91</v>
      </c>
      <c r="K41" s="37">
        <v>26</v>
      </c>
      <c r="L41" s="37">
        <v>40</v>
      </c>
      <c r="M41" s="83">
        <v>270</v>
      </c>
      <c r="N41" s="67" t="s">
        <v>68</v>
      </c>
      <c r="O41" s="5"/>
      <c r="P41" s="5"/>
      <c r="Q41" s="5"/>
    </row>
    <row r="42" spans="1:17">
      <c r="A42" s="15" t="s">
        <v>69</v>
      </c>
      <c r="B42" s="82">
        <v>74265</v>
      </c>
      <c r="C42" s="36">
        <v>72390</v>
      </c>
      <c r="D42" s="32">
        <f>SUM(E42:K42)</f>
        <v>1875</v>
      </c>
      <c r="E42" s="38">
        <v>2</v>
      </c>
      <c r="F42" s="21" t="s">
        <v>192</v>
      </c>
      <c r="G42" s="37">
        <v>100</v>
      </c>
      <c r="H42" s="37">
        <v>463</v>
      </c>
      <c r="I42" s="37">
        <v>1020</v>
      </c>
      <c r="J42" s="21" t="s">
        <v>192</v>
      </c>
      <c r="K42" s="37">
        <v>290</v>
      </c>
      <c r="L42" s="37">
        <v>90</v>
      </c>
      <c r="M42" s="83">
        <v>48</v>
      </c>
      <c r="N42" s="67" t="s">
        <v>70</v>
      </c>
      <c r="O42" s="5"/>
      <c r="P42" s="5"/>
      <c r="Q42" s="5"/>
    </row>
    <row r="43" spans="1:17">
      <c r="A43" s="15" t="s">
        <v>71</v>
      </c>
      <c r="B43" s="82">
        <v>38598</v>
      </c>
      <c r="C43" s="36">
        <v>38547</v>
      </c>
      <c r="D43" s="32">
        <f>SUM(E43:K43)</f>
        <v>51</v>
      </c>
      <c r="E43" s="38">
        <v>5</v>
      </c>
      <c r="F43" s="38">
        <v>1</v>
      </c>
      <c r="G43" s="21" t="s">
        <v>192</v>
      </c>
      <c r="H43" s="37">
        <v>30</v>
      </c>
      <c r="I43" s="21" t="s">
        <v>192</v>
      </c>
      <c r="J43" s="21" t="s">
        <v>192</v>
      </c>
      <c r="K43" s="37">
        <v>15</v>
      </c>
      <c r="L43" s="37">
        <v>25</v>
      </c>
      <c r="M43" s="83">
        <v>205</v>
      </c>
      <c r="N43" s="67" t="s">
        <v>72</v>
      </c>
      <c r="O43" s="5"/>
      <c r="P43" s="5"/>
      <c r="Q43" s="5"/>
    </row>
    <row r="44" spans="1:17">
      <c r="A44" s="15" t="s">
        <v>73</v>
      </c>
      <c r="B44" s="82">
        <v>1845</v>
      </c>
      <c r="C44" s="36">
        <v>1845</v>
      </c>
      <c r="D44" s="32">
        <f>SUM(E44:K44)</f>
        <v>0</v>
      </c>
      <c r="E44" s="21" t="s">
        <v>192</v>
      </c>
      <c r="F44" s="21" t="s">
        <v>192</v>
      </c>
      <c r="G44" s="21" t="s">
        <v>192</v>
      </c>
      <c r="H44" s="21" t="s">
        <v>192</v>
      </c>
      <c r="I44" s="21" t="s">
        <v>192</v>
      </c>
      <c r="J44" s="21" t="s">
        <v>192</v>
      </c>
      <c r="K44" s="21" t="s">
        <v>192</v>
      </c>
      <c r="L44" s="21" t="s">
        <v>192</v>
      </c>
      <c r="M44" s="83">
        <v>7</v>
      </c>
      <c r="N44" s="67" t="s">
        <v>74</v>
      </c>
      <c r="O44" s="5"/>
      <c r="P44" s="5"/>
      <c r="Q44" s="5"/>
    </row>
    <row r="45" spans="1:17">
      <c r="A45" s="15" t="s">
        <v>75</v>
      </c>
      <c r="B45" s="82">
        <v>1469</v>
      </c>
      <c r="C45" s="36">
        <v>1469</v>
      </c>
      <c r="D45" s="32">
        <f>SUM(E45:K45)</f>
        <v>0</v>
      </c>
      <c r="E45" s="21" t="s">
        <v>192</v>
      </c>
      <c r="F45" s="21" t="s">
        <v>192</v>
      </c>
      <c r="G45" s="21" t="s">
        <v>192</v>
      </c>
      <c r="H45" s="21" t="s">
        <v>192</v>
      </c>
      <c r="I45" s="21" t="s">
        <v>192</v>
      </c>
      <c r="J45" s="21" t="s">
        <v>192</v>
      </c>
      <c r="K45" s="21" t="s">
        <v>192</v>
      </c>
      <c r="L45" s="21" t="s">
        <v>192</v>
      </c>
      <c r="M45" s="83">
        <v>15</v>
      </c>
      <c r="N45" s="67" t="s">
        <v>76</v>
      </c>
      <c r="O45" s="5"/>
      <c r="P45" s="5"/>
      <c r="Q45" s="5"/>
    </row>
    <row r="46" spans="1:17" ht="17.399999999999999" customHeight="1">
      <c r="A46" s="35" t="s">
        <v>77</v>
      </c>
      <c r="B46" s="80">
        <v>19837</v>
      </c>
      <c r="C46" s="27">
        <f>SUM(C47:C51)</f>
        <v>19686</v>
      </c>
      <c r="D46" s="27">
        <f>SUM(D47:D51)</f>
        <v>151</v>
      </c>
      <c r="E46" s="27">
        <f t="shared" ref="E46:M46" si="8">SUM(E47:E51)</f>
        <v>23</v>
      </c>
      <c r="F46" s="27">
        <f>SUM(F47:F51)</f>
        <v>70</v>
      </c>
      <c r="G46" s="27">
        <f t="shared" si="8"/>
        <v>0</v>
      </c>
      <c r="H46" s="27">
        <f t="shared" si="8"/>
        <v>24</v>
      </c>
      <c r="I46" s="27">
        <f t="shared" si="8"/>
        <v>0</v>
      </c>
      <c r="J46" s="27">
        <f>SUM(J47:J51)</f>
        <v>0</v>
      </c>
      <c r="K46" s="27">
        <f t="shared" si="8"/>
        <v>34</v>
      </c>
      <c r="L46" s="27">
        <f t="shared" si="8"/>
        <v>21</v>
      </c>
      <c r="M46" s="81">
        <f t="shared" si="8"/>
        <v>538</v>
      </c>
      <c r="N46" s="29" t="s">
        <v>78</v>
      </c>
      <c r="O46" s="29"/>
      <c r="P46" s="29"/>
      <c r="Q46" s="5"/>
    </row>
    <row r="47" spans="1:17">
      <c r="A47" s="15" t="s">
        <v>79</v>
      </c>
      <c r="B47" s="82">
        <v>10561</v>
      </c>
      <c r="C47" s="36">
        <v>10529</v>
      </c>
      <c r="D47" s="32">
        <f>SUM(E47:K47)</f>
        <v>32</v>
      </c>
      <c r="E47" s="38">
        <v>3</v>
      </c>
      <c r="F47" s="38">
        <v>20</v>
      </c>
      <c r="G47" s="21" t="s">
        <v>192</v>
      </c>
      <c r="H47" s="37">
        <v>4</v>
      </c>
      <c r="I47" s="21" t="s">
        <v>192</v>
      </c>
      <c r="J47" s="21" t="s">
        <v>192</v>
      </c>
      <c r="K47" s="37">
        <v>5</v>
      </c>
      <c r="L47" s="37">
        <v>5</v>
      </c>
      <c r="M47" s="83">
        <v>139</v>
      </c>
      <c r="N47" s="67" t="s">
        <v>80</v>
      </c>
      <c r="O47" s="5"/>
      <c r="P47" s="5"/>
      <c r="Q47" s="5"/>
    </row>
    <row r="48" spans="1:17">
      <c r="A48" s="15" t="s">
        <v>81</v>
      </c>
      <c r="B48" s="82">
        <v>4521</v>
      </c>
      <c r="C48" s="36">
        <v>4509</v>
      </c>
      <c r="D48" s="32">
        <f>SUM(E48:K48)</f>
        <v>12</v>
      </c>
      <c r="E48" s="21" t="s">
        <v>192</v>
      </c>
      <c r="F48" s="21" t="s">
        <v>192</v>
      </c>
      <c r="G48" s="21" t="s">
        <v>192</v>
      </c>
      <c r="H48" s="21" t="s">
        <v>192</v>
      </c>
      <c r="I48" s="21" t="s">
        <v>192</v>
      </c>
      <c r="J48" s="21" t="s">
        <v>192</v>
      </c>
      <c r="K48" s="37">
        <v>12</v>
      </c>
      <c r="L48" s="21" t="s">
        <v>192</v>
      </c>
      <c r="M48" s="83">
        <v>351</v>
      </c>
      <c r="N48" s="67" t="s">
        <v>82</v>
      </c>
      <c r="O48" s="5"/>
      <c r="P48" s="5"/>
      <c r="Q48" s="5"/>
    </row>
    <row r="49" spans="1:17">
      <c r="A49" s="15" t="s">
        <v>83</v>
      </c>
      <c r="B49" s="82">
        <v>100</v>
      </c>
      <c r="C49" s="36">
        <v>100</v>
      </c>
      <c r="D49" s="32">
        <f>SUM(E49:K49)</f>
        <v>0</v>
      </c>
      <c r="E49" s="21" t="s">
        <v>192</v>
      </c>
      <c r="F49" s="21" t="s">
        <v>192</v>
      </c>
      <c r="G49" s="21" t="s">
        <v>192</v>
      </c>
      <c r="H49" s="21" t="s">
        <v>192</v>
      </c>
      <c r="I49" s="21" t="s">
        <v>192</v>
      </c>
      <c r="J49" s="21" t="s">
        <v>192</v>
      </c>
      <c r="K49" s="30" t="s">
        <v>192</v>
      </c>
      <c r="L49" s="21" t="s">
        <v>192</v>
      </c>
      <c r="M49" s="84" t="s">
        <v>192</v>
      </c>
      <c r="N49" s="67" t="s">
        <v>84</v>
      </c>
      <c r="O49" s="5"/>
      <c r="P49" s="5"/>
      <c r="Q49" s="5"/>
    </row>
    <row r="50" spans="1:17">
      <c r="A50" s="15" t="s">
        <v>85</v>
      </c>
      <c r="B50" s="82">
        <v>3431</v>
      </c>
      <c r="C50" s="36">
        <v>3324</v>
      </c>
      <c r="D50" s="32">
        <f>SUM(E50:K50)</f>
        <v>107</v>
      </c>
      <c r="E50" s="38">
        <v>20</v>
      </c>
      <c r="F50" s="38">
        <v>50</v>
      </c>
      <c r="G50" s="21" t="s">
        <v>192</v>
      </c>
      <c r="H50" s="37">
        <v>20</v>
      </c>
      <c r="I50" s="21" t="s">
        <v>192</v>
      </c>
      <c r="J50" s="21" t="s">
        <v>192</v>
      </c>
      <c r="K50" s="37">
        <v>17</v>
      </c>
      <c r="L50" s="37">
        <v>16</v>
      </c>
      <c r="M50" s="83">
        <v>13</v>
      </c>
      <c r="N50" s="67" t="s">
        <v>86</v>
      </c>
      <c r="O50" s="5"/>
      <c r="P50" s="5"/>
      <c r="Q50" s="5"/>
    </row>
    <row r="51" spans="1:17">
      <c r="A51" s="15" t="s">
        <v>87</v>
      </c>
      <c r="B51" s="82">
        <v>1224</v>
      </c>
      <c r="C51" s="36">
        <v>1224</v>
      </c>
      <c r="D51" s="32">
        <f>SUM(E51:K51)</f>
        <v>0</v>
      </c>
      <c r="E51" s="21" t="s">
        <v>192</v>
      </c>
      <c r="F51" s="21" t="s">
        <v>192</v>
      </c>
      <c r="G51" s="21" t="s">
        <v>192</v>
      </c>
      <c r="H51" s="21" t="s">
        <v>192</v>
      </c>
      <c r="I51" s="21" t="s">
        <v>192</v>
      </c>
      <c r="J51" s="21" t="s">
        <v>192</v>
      </c>
      <c r="K51" s="30" t="s">
        <v>192</v>
      </c>
      <c r="L51" s="21" t="s">
        <v>192</v>
      </c>
      <c r="M51" s="83">
        <v>35</v>
      </c>
      <c r="N51" s="67" t="s">
        <v>88</v>
      </c>
      <c r="O51" s="5"/>
      <c r="P51" s="5"/>
      <c r="Q51" s="5"/>
    </row>
    <row r="52" spans="1:17" ht="16.8" customHeight="1">
      <c r="A52" s="35" t="s">
        <v>89</v>
      </c>
      <c r="B52" s="80">
        <v>153400</v>
      </c>
      <c r="C52" s="27">
        <f>SUM(C53:C55)</f>
        <v>152304</v>
      </c>
      <c r="D52" s="27">
        <f>SUM(D53:D55)</f>
        <v>1096</v>
      </c>
      <c r="E52" s="27">
        <f t="shared" ref="E52:M52" si="9">SUM(E53:E55)</f>
        <v>201</v>
      </c>
      <c r="F52" s="27">
        <f>SUM(F53:F55)</f>
        <v>54</v>
      </c>
      <c r="G52" s="27">
        <f t="shared" si="9"/>
        <v>5</v>
      </c>
      <c r="H52" s="27">
        <f t="shared" si="9"/>
        <v>232</v>
      </c>
      <c r="I52" s="27">
        <f t="shared" si="9"/>
        <v>0</v>
      </c>
      <c r="J52" s="27">
        <f>SUM(J53:J55)</f>
        <v>39</v>
      </c>
      <c r="K52" s="27">
        <f t="shared" si="9"/>
        <v>565</v>
      </c>
      <c r="L52" s="27">
        <f t="shared" si="9"/>
        <v>182</v>
      </c>
      <c r="M52" s="81">
        <f t="shared" si="9"/>
        <v>6193</v>
      </c>
      <c r="N52" s="69" t="s">
        <v>90</v>
      </c>
      <c r="O52" s="69"/>
      <c r="P52" s="69"/>
      <c r="Q52" s="5"/>
    </row>
    <row r="53" spans="1:17">
      <c r="A53" s="15" t="s">
        <v>91</v>
      </c>
      <c r="B53" s="82">
        <v>40888</v>
      </c>
      <c r="C53" s="36">
        <v>40736</v>
      </c>
      <c r="D53" s="32">
        <f>SUM(E53:K53)</f>
        <v>152</v>
      </c>
      <c r="E53" s="38">
        <v>34</v>
      </c>
      <c r="F53" s="38">
        <v>8</v>
      </c>
      <c r="G53" s="21" t="s">
        <v>192</v>
      </c>
      <c r="H53" s="37">
        <v>26</v>
      </c>
      <c r="I53" s="21" t="s">
        <v>192</v>
      </c>
      <c r="J53" s="37">
        <v>1</v>
      </c>
      <c r="K53" s="37">
        <v>83</v>
      </c>
      <c r="L53" s="37">
        <v>39</v>
      </c>
      <c r="M53" s="83">
        <v>568</v>
      </c>
      <c r="N53" s="67" t="s">
        <v>92</v>
      </c>
      <c r="O53" s="5"/>
      <c r="P53" s="5"/>
      <c r="Q53" s="5"/>
    </row>
    <row r="54" spans="1:17">
      <c r="A54" s="15" t="s">
        <v>93</v>
      </c>
      <c r="B54" s="82">
        <v>25667</v>
      </c>
      <c r="C54" s="36">
        <v>25209</v>
      </c>
      <c r="D54" s="32">
        <f>SUM(E54:K54)</f>
        <v>458</v>
      </c>
      <c r="E54" s="38">
        <v>144</v>
      </c>
      <c r="F54" s="38">
        <v>36</v>
      </c>
      <c r="G54" s="37">
        <v>5</v>
      </c>
      <c r="H54" s="37">
        <v>203</v>
      </c>
      <c r="I54" s="21" t="s">
        <v>192</v>
      </c>
      <c r="J54" s="37">
        <v>38</v>
      </c>
      <c r="K54" s="37">
        <v>32</v>
      </c>
      <c r="L54" s="37">
        <v>98</v>
      </c>
      <c r="M54" s="83">
        <v>1503</v>
      </c>
      <c r="N54" s="68" t="s">
        <v>94</v>
      </c>
      <c r="O54" s="68"/>
      <c r="P54" s="68"/>
      <c r="Q54" s="5"/>
    </row>
    <row r="55" spans="1:17">
      <c r="A55" s="15" t="s">
        <v>95</v>
      </c>
      <c r="B55" s="82">
        <v>86845</v>
      </c>
      <c r="C55" s="36">
        <v>86359</v>
      </c>
      <c r="D55" s="32">
        <f>SUM(E55:K55)</f>
        <v>486</v>
      </c>
      <c r="E55" s="38">
        <v>23</v>
      </c>
      <c r="F55" s="38">
        <v>10</v>
      </c>
      <c r="G55" s="21" t="s">
        <v>192</v>
      </c>
      <c r="H55" s="37">
        <v>3</v>
      </c>
      <c r="I55" s="21" t="s">
        <v>192</v>
      </c>
      <c r="J55" s="21" t="s">
        <v>192</v>
      </c>
      <c r="K55" s="37">
        <v>450</v>
      </c>
      <c r="L55" s="37">
        <v>45</v>
      </c>
      <c r="M55" s="83">
        <v>4122</v>
      </c>
      <c r="N55" s="67" t="s">
        <v>96</v>
      </c>
      <c r="O55" s="5"/>
      <c r="P55" s="5"/>
      <c r="Q55" s="5"/>
    </row>
    <row r="56" spans="1:17" ht="16.2" customHeight="1">
      <c r="A56" s="35" t="s">
        <v>97</v>
      </c>
      <c r="B56" s="80">
        <v>110414</v>
      </c>
      <c r="C56" s="27">
        <f>SUM(C57:C61)</f>
        <v>108363</v>
      </c>
      <c r="D56" s="27">
        <f>SUM(D57:D61)</f>
        <v>2051</v>
      </c>
      <c r="E56" s="27">
        <f t="shared" ref="E56:M56" si="10">SUM(E57:E61)</f>
        <v>932</v>
      </c>
      <c r="F56" s="27">
        <f>SUM(F57:F61)</f>
        <v>186</v>
      </c>
      <c r="G56" s="27">
        <f t="shared" si="10"/>
        <v>12</v>
      </c>
      <c r="H56" s="27">
        <f t="shared" si="10"/>
        <v>107</v>
      </c>
      <c r="I56" s="27">
        <f t="shared" si="10"/>
        <v>520</v>
      </c>
      <c r="J56" s="27">
        <f>SUM(J57:J61)</f>
        <v>0</v>
      </c>
      <c r="K56" s="27">
        <f t="shared" si="10"/>
        <v>294</v>
      </c>
      <c r="L56" s="27">
        <f t="shared" si="10"/>
        <v>239</v>
      </c>
      <c r="M56" s="81">
        <f t="shared" si="10"/>
        <v>5346</v>
      </c>
      <c r="N56" s="69" t="s">
        <v>98</v>
      </c>
      <c r="O56" s="69"/>
      <c r="P56" s="69"/>
      <c r="Q56" s="5"/>
    </row>
    <row r="57" spans="1:17">
      <c r="A57" s="15" t="s">
        <v>99</v>
      </c>
      <c r="B57" s="82">
        <v>13574</v>
      </c>
      <c r="C57" s="36">
        <v>13483</v>
      </c>
      <c r="D57" s="32">
        <f>SUM(E57:K57)</f>
        <v>91</v>
      </c>
      <c r="E57" s="38">
        <v>34</v>
      </c>
      <c r="F57" s="38">
        <v>45</v>
      </c>
      <c r="G57" s="21" t="s">
        <v>192</v>
      </c>
      <c r="H57" s="37">
        <v>3</v>
      </c>
      <c r="I57" s="21" t="s">
        <v>192</v>
      </c>
      <c r="J57" s="21" t="s">
        <v>192</v>
      </c>
      <c r="K57" s="37">
        <v>9</v>
      </c>
      <c r="L57" s="37">
        <v>10</v>
      </c>
      <c r="M57" s="83">
        <v>462</v>
      </c>
      <c r="N57" s="67" t="s">
        <v>100</v>
      </c>
      <c r="O57" s="5"/>
      <c r="P57" s="5"/>
      <c r="Q57" s="5"/>
    </row>
    <row r="58" spans="1:17">
      <c r="A58" s="15" t="s">
        <v>101</v>
      </c>
      <c r="B58" s="82">
        <v>35117</v>
      </c>
      <c r="C58" s="36">
        <v>35022</v>
      </c>
      <c r="D58" s="32">
        <f>SUM(E58:K58)</f>
        <v>95</v>
      </c>
      <c r="E58" s="38">
        <v>44</v>
      </c>
      <c r="F58" s="38">
        <v>4</v>
      </c>
      <c r="G58" s="21" t="s">
        <v>192</v>
      </c>
      <c r="H58" s="37">
        <v>1</v>
      </c>
      <c r="I58" s="37">
        <v>30</v>
      </c>
      <c r="J58" s="21" t="s">
        <v>192</v>
      </c>
      <c r="K58" s="37">
        <v>16</v>
      </c>
      <c r="L58" s="37">
        <v>69</v>
      </c>
      <c r="M58" s="83">
        <v>716</v>
      </c>
      <c r="N58" s="67" t="s">
        <v>102</v>
      </c>
      <c r="O58" s="5"/>
      <c r="P58" s="5"/>
      <c r="Q58" s="5"/>
    </row>
    <row r="59" spans="1:17">
      <c r="A59" s="15" t="s">
        <v>103</v>
      </c>
      <c r="B59" s="82">
        <v>15222</v>
      </c>
      <c r="C59" s="36">
        <v>13862</v>
      </c>
      <c r="D59" s="32">
        <f>SUM(E59:K59)</f>
        <v>1360</v>
      </c>
      <c r="E59" s="38">
        <v>636</v>
      </c>
      <c r="F59" s="38">
        <v>10</v>
      </c>
      <c r="G59" s="37">
        <v>2</v>
      </c>
      <c r="H59" s="37">
        <v>23</v>
      </c>
      <c r="I59" s="37">
        <v>490</v>
      </c>
      <c r="J59" s="21" t="s">
        <v>192</v>
      </c>
      <c r="K59" s="37">
        <v>199</v>
      </c>
      <c r="L59" s="37">
        <v>50</v>
      </c>
      <c r="M59" s="83">
        <v>192</v>
      </c>
      <c r="N59" s="67" t="s">
        <v>104</v>
      </c>
      <c r="O59" s="5"/>
      <c r="P59" s="5"/>
      <c r="Q59" s="5"/>
    </row>
    <row r="60" spans="1:17">
      <c r="A60" s="15" t="s">
        <v>105</v>
      </c>
      <c r="B60" s="82">
        <v>18767</v>
      </c>
      <c r="C60" s="36">
        <v>18639</v>
      </c>
      <c r="D60" s="32">
        <f>SUM(E60:K60)</f>
        <v>128</v>
      </c>
      <c r="E60" s="38">
        <v>53</v>
      </c>
      <c r="F60" s="38">
        <v>1</v>
      </c>
      <c r="G60" s="21" t="s">
        <v>192</v>
      </c>
      <c r="H60" s="37">
        <v>70</v>
      </c>
      <c r="I60" s="21" t="s">
        <v>192</v>
      </c>
      <c r="J60" s="21" t="s">
        <v>192</v>
      </c>
      <c r="K60" s="37">
        <v>4</v>
      </c>
      <c r="L60" s="37">
        <v>21</v>
      </c>
      <c r="M60" s="83">
        <v>1373</v>
      </c>
      <c r="N60" s="67" t="s">
        <v>106</v>
      </c>
      <c r="O60" s="5"/>
      <c r="P60" s="5"/>
      <c r="Q60" s="5"/>
    </row>
    <row r="61" spans="1:17">
      <c r="A61" s="15" t="s">
        <v>107</v>
      </c>
      <c r="B61" s="82">
        <v>27734</v>
      </c>
      <c r="C61" s="36">
        <v>27357</v>
      </c>
      <c r="D61" s="32">
        <f>SUM(E61:K61)</f>
        <v>377</v>
      </c>
      <c r="E61" s="38">
        <v>165</v>
      </c>
      <c r="F61" s="38">
        <v>126</v>
      </c>
      <c r="G61" s="37">
        <v>10</v>
      </c>
      <c r="H61" s="37">
        <v>10</v>
      </c>
      <c r="I61" s="21" t="s">
        <v>192</v>
      </c>
      <c r="J61" s="21" t="s">
        <v>192</v>
      </c>
      <c r="K61" s="37">
        <v>66</v>
      </c>
      <c r="L61" s="37">
        <v>89</v>
      </c>
      <c r="M61" s="83">
        <v>2603</v>
      </c>
      <c r="N61" s="67" t="s">
        <v>108</v>
      </c>
      <c r="O61" s="5"/>
      <c r="P61" s="5"/>
      <c r="Q61" s="5"/>
    </row>
    <row r="62" spans="1:17" ht="15.6" customHeight="1">
      <c r="A62" s="35" t="s">
        <v>109</v>
      </c>
      <c r="B62" s="80">
        <v>44720</v>
      </c>
      <c r="C62" s="27">
        <f>SUM(C63:C70)</f>
        <v>41693</v>
      </c>
      <c r="D62" s="27">
        <f>SUM(D63:D70)</f>
        <v>3027</v>
      </c>
      <c r="E62" s="27">
        <f t="shared" ref="E62:M62" si="11">SUM(E63:E70)</f>
        <v>44</v>
      </c>
      <c r="F62" s="27">
        <f>SUM(F63:F70)</f>
        <v>112</v>
      </c>
      <c r="G62" s="27">
        <f t="shared" si="11"/>
        <v>36</v>
      </c>
      <c r="H62" s="27">
        <f t="shared" si="11"/>
        <v>206</v>
      </c>
      <c r="I62" s="27">
        <f t="shared" si="11"/>
        <v>0</v>
      </c>
      <c r="J62" s="27">
        <f>SUM(J63:J70)</f>
        <v>2</v>
      </c>
      <c r="K62" s="27">
        <f t="shared" si="11"/>
        <v>2627</v>
      </c>
      <c r="L62" s="27">
        <f t="shared" si="11"/>
        <v>936</v>
      </c>
      <c r="M62" s="81">
        <f t="shared" si="11"/>
        <v>1482</v>
      </c>
      <c r="N62" s="29" t="s">
        <v>110</v>
      </c>
      <c r="O62" s="29"/>
      <c r="P62" s="29"/>
      <c r="Q62" s="5"/>
    </row>
    <row r="63" spans="1:17">
      <c r="A63" s="16" t="s">
        <v>111</v>
      </c>
      <c r="B63" s="82">
        <v>0</v>
      </c>
      <c r="C63" s="30" t="s">
        <v>192</v>
      </c>
      <c r="D63" s="32">
        <f t="shared" ref="D63:D70" si="12">SUM(E63:K63)</f>
        <v>0</v>
      </c>
      <c r="E63" s="21" t="s">
        <v>192</v>
      </c>
      <c r="F63" s="21" t="s">
        <v>192</v>
      </c>
      <c r="G63" s="21" t="s">
        <v>192</v>
      </c>
      <c r="H63" s="21" t="s">
        <v>192</v>
      </c>
      <c r="I63" s="21" t="s">
        <v>192</v>
      </c>
      <c r="J63" s="21" t="s">
        <v>192</v>
      </c>
      <c r="K63" s="21" t="s">
        <v>192</v>
      </c>
      <c r="L63" s="21" t="s">
        <v>192</v>
      </c>
      <c r="M63" s="84" t="s">
        <v>192</v>
      </c>
      <c r="N63" s="70" t="s">
        <v>112</v>
      </c>
      <c r="O63" s="70"/>
      <c r="P63" s="70"/>
      <c r="Q63" s="70"/>
    </row>
    <row r="64" spans="1:17">
      <c r="A64" s="16" t="s">
        <v>113</v>
      </c>
      <c r="B64" s="82">
        <v>320</v>
      </c>
      <c r="C64" s="36">
        <v>196</v>
      </c>
      <c r="D64" s="32">
        <f t="shared" si="12"/>
        <v>124</v>
      </c>
      <c r="E64" s="38">
        <v>4</v>
      </c>
      <c r="F64" s="38">
        <v>2</v>
      </c>
      <c r="G64" s="21" t="s">
        <v>192</v>
      </c>
      <c r="H64" s="37">
        <v>34</v>
      </c>
      <c r="I64" s="22" t="s">
        <v>192</v>
      </c>
      <c r="J64" s="21" t="s">
        <v>192</v>
      </c>
      <c r="K64" s="37">
        <v>84</v>
      </c>
      <c r="L64" s="37">
        <v>38</v>
      </c>
      <c r="M64" s="83">
        <v>7</v>
      </c>
      <c r="N64" s="70" t="s">
        <v>114</v>
      </c>
      <c r="O64" s="70"/>
      <c r="P64" s="70"/>
      <c r="Q64" s="70"/>
    </row>
    <row r="65" spans="1:17">
      <c r="A65" s="16" t="s">
        <v>181</v>
      </c>
      <c r="B65" s="82">
        <v>18</v>
      </c>
      <c r="C65" s="36">
        <v>11</v>
      </c>
      <c r="D65" s="32">
        <f t="shared" si="12"/>
        <v>7</v>
      </c>
      <c r="E65" s="21" t="s">
        <v>192</v>
      </c>
      <c r="F65" s="21" t="s">
        <v>192</v>
      </c>
      <c r="G65" s="21" t="s">
        <v>192</v>
      </c>
      <c r="H65" s="21" t="s">
        <v>192</v>
      </c>
      <c r="I65" s="21" t="s">
        <v>192</v>
      </c>
      <c r="J65" s="21" t="s">
        <v>192</v>
      </c>
      <c r="K65" s="37">
        <v>7</v>
      </c>
      <c r="L65" s="37">
        <v>20</v>
      </c>
      <c r="M65" s="84" t="s">
        <v>192</v>
      </c>
      <c r="N65" s="70" t="s">
        <v>115</v>
      </c>
      <c r="O65" s="70"/>
      <c r="P65" s="70"/>
      <c r="Q65" s="70"/>
    </row>
    <row r="66" spans="1:17">
      <c r="A66" s="16" t="s">
        <v>182</v>
      </c>
      <c r="B66" s="87" t="s">
        <v>192</v>
      </c>
      <c r="C66" s="30" t="s">
        <v>192</v>
      </c>
      <c r="D66" s="32">
        <f t="shared" si="12"/>
        <v>0</v>
      </c>
      <c r="E66" s="21" t="s">
        <v>192</v>
      </c>
      <c r="F66" s="21" t="s">
        <v>192</v>
      </c>
      <c r="G66" s="21" t="s">
        <v>192</v>
      </c>
      <c r="H66" s="21" t="s">
        <v>192</v>
      </c>
      <c r="I66" s="21" t="s">
        <v>192</v>
      </c>
      <c r="J66" s="21" t="s">
        <v>192</v>
      </c>
      <c r="K66" s="21" t="s">
        <v>192</v>
      </c>
      <c r="L66" s="21" t="s">
        <v>192</v>
      </c>
      <c r="M66" s="84" t="s">
        <v>192</v>
      </c>
      <c r="N66" s="70" t="s">
        <v>116</v>
      </c>
      <c r="O66" s="70"/>
      <c r="P66" s="70"/>
      <c r="Q66" s="70"/>
    </row>
    <row r="67" spans="1:17">
      <c r="A67" s="16" t="s">
        <v>183</v>
      </c>
      <c r="B67" s="82">
        <v>29705</v>
      </c>
      <c r="C67" s="36">
        <v>27152</v>
      </c>
      <c r="D67" s="32">
        <f t="shared" si="12"/>
        <v>2553</v>
      </c>
      <c r="E67" s="38">
        <v>29</v>
      </c>
      <c r="F67" s="38">
        <v>99</v>
      </c>
      <c r="G67" s="37">
        <v>36</v>
      </c>
      <c r="H67" s="37">
        <v>170</v>
      </c>
      <c r="I67" s="21" t="s">
        <v>192</v>
      </c>
      <c r="J67" s="37">
        <v>2</v>
      </c>
      <c r="K67" s="37">
        <v>2217</v>
      </c>
      <c r="L67" s="37">
        <v>803</v>
      </c>
      <c r="M67" s="83">
        <v>1332</v>
      </c>
      <c r="N67" s="70" t="s">
        <v>117</v>
      </c>
      <c r="O67" s="70"/>
      <c r="P67" s="70"/>
      <c r="Q67" s="70"/>
    </row>
    <row r="68" spans="1:17">
      <c r="A68" s="16" t="s">
        <v>184</v>
      </c>
      <c r="B68" s="82">
        <v>12897</v>
      </c>
      <c r="C68" s="36">
        <v>12871</v>
      </c>
      <c r="D68" s="32">
        <f t="shared" si="12"/>
        <v>26</v>
      </c>
      <c r="E68" s="21" t="s">
        <v>192</v>
      </c>
      <c r="F68" s="38">
        <v>10</v>
      </c>
      <c r="G68" s="21" t="s">
        <v>192</v>
      </c>
      <c r="H68" s="21" t="s">
        <v>192</v>
      </c>
      <c r="I68" s="21" t="s">
        <v>192</v>
      </c>
      <c r="J68" s="21" t="s">
        <v>192</v>
      </c>
      <c r="K68" s="37">
        <v>16</v>
      </c>
      <c r="L68" s="37">
        <v>40</v>
      </c>
      <c r="M68" s="83">
        <v>125</v>
      </c>
      <c r="N68" s="70" t="s">
        <v>118</v>
      </c>
      <c r="O68" s="70"/>
      <c r="P68" s="70"/>
      <c r="Q68" s="70"/>
    </row>
    <row r="69" spans="1:17" ht="12" customHeight="1">
      <c r="A69" s="16" t="s">
        <v>185</v>
      </c>
      <c r="B69" s="82">
        <v>10</v>
      </c>
      <c r="C69" s="36">
        <v>10</v>
      </c>
      <c r="D69" s="32">
        <f t="shared" si="12"/>
        <v>0</v>
      </c>
      <c r="E69" s="21" t="s">
        <v>192</v>
      </c>
      <c r="F69" s="21" t="s">
        <v>192</v>
      </c>
      <c r="G69" s="21" t="s">
        <v>192</v>
      </c>
      <c r="H69" s="21" t="s">
        <v>192</v>
      </c>
      <c r="I69" s="21" t="s">
        <v>192</v>
      </c>
      <c r="J69" s="21" t="s">
        <v>192</v>
      </c>
      <c r="K69" s="21" t="s">
        <v>192</v>
      </c>
      <c r="L69" s="21" t="s">
        <v>192</v>
      </c>
      <c r="M69" s="84" t="s">
        <v>192</v>
      </c>
      <c r="N69" s="70" t="s">
        <v>119</v>
      </c>
      <c r="O69" s="70"/>
      <c r="P69" s="70"/>
      <c r="Q69" s="70"/>
    </row>
    <row r="70" spans="1:17">
      <c r="A70" s="16" t="s">
        <v>186</v>
      </c>
      <c r="B70" s="82">
        <v>1770</v>
      </c>
      <c r="C70" s="36">
        <v>1453</v>
      </c>
      <c r="D70" s="32">
        <f t="shared" si="12"/>
        <v>317</v>
      </c>
      <c r="E70" s="38">
        <v>11</v>
      </c>
      <c r="F70" s="38">
        <v>1</v>
      </c>
      <c r="G70" s="21" t="s">
        <v>192</v>
      </c>
      <c r="H70" s="37">
        <v>2</v>
      </c>
      <c r="I70" s="22" t="s">
        <v>192</v>
      </c>
      <c r="J70" s="21" t="s">
        <v>192</v>
      </c>
      <c r="K70" s="37">
        <v>303</v>
      </c>
      <c r="L70" s="37">
        <v>35</v>
      </c>
      <c r="M70" s="83">
        <v>18</v>
      </c>
      <c r="N70" s="70" t="s">
        <v>120</v>
      </c>
      <c r="O70" s="70"/>
      <c r="P70" s="70"/>
      <c r="Q70" s="70"/>
    </row>
    <row r="71" spans="1:17" ht="21" customHeight="1">
      <c r="A71" s="35" t="s">
        <v>121</v>
      </c>
      <c r="B71" s="80">
        <v>22210</v>
      </c>
      <c r="C71" s="27">
        <f>SUM(C72:C76)</f>
        <v>22095</v>
      </c>
      <c r="D71" s="27">
        <f>SUM(D72:D76)</f>
        <v>115</v>
      </c>
      <c r="E71" s="27">
        <f t="shared" ref="E71:M71" si="13">SUM(E72:E76)</f>
        <v>67</v>
      </c>
      <c r="F71" s="27">
        <f>SUM(F72:F76)</f>
        <v>22</v>
      </c>
      <c r="G71" s="27">
        <f t="shared" si="13"/>
        <v>6</v>
      </c>
      <c r="H71" s="27">
        <f t="shared" si="13"/>
        <v>17</v>
      </c>
      <c r="I71" s="27">
        <f t="shared" si="13"/>
        <v>0</v>
      </c>
      <c r="J71" s="27">
        <f>SUM(J72:J76)</f>
        <v>0</v>
      </c>
      <c r="K71" s="27">
        <f t="shared" si="13"/>
        <v>3</v>
      </c>
      <c r="L71" s="27">
        <f t="shared" si="13"/>
        <v>23</v>
      </c>
      <c r="M71" s="81">
        <f t="shared" si="13"/>
        <v>958</v>
      </c>
      <c r="N71" s="69" t="s">
        <v>122</v>
      </c>
      <c r="O71" s="69"/>
      <c r="P71" s="69"/>
      <c r="Q71" s="7"/>
    </row>
    <row r="72" spans="1:17">
      <c r="A72" s="15" t="s">
        <v>123</v>
      </c>
      <c r="B72" s="82">
        <v>10677</v>
      </c>
      <c r="C72" s="36">
        <v>10658</v>
      </c>
      <c r="D72" s="32">
        <f>SUM(E72:K72)</f>
        <v>19</v>
      </c>
      <c r="E72" s="21" t="s">
        <v>192</v>
      </c>
      <c r="F72" s="38">
        <v>9</v>
      </c>
      <c r="G72" s="37">
        <v>5</v>
      </c>
      <c r="H72" s="37">
        <v>5</v>
      </c>
      <c r="I72" s="21" t="s">
        <v>192</v>
      </c>
      <c r="J72" s="21" t="s">
        <v>192</v>
      </c>
      <c r="K72" s="30" t="s">
        <v>192</v>
      </c>
      <c r="L72" s="37">
        <v>3</v>
      </c>
      <c r="M72" s="83">
        <v>673</v>
      </c>
      <c r="N72" s="67" t="s">
        <v>124</v>
      </c>
      <c r="O72" s="5"/>
      <c r="P72" s="5"/>
      <c r="Q72" s="5"/>
    </row>
    <row r="73" spans="1:17">
      <c r="A73" s="15" t="s">
        <v>125</v>
      </c>
      <c r="B73" s="82">
        <v>1471</v>
      </c>
      <c r="C73" s="36">
        <v>1468</v>
      </c>
      <c r="D73" s="32">
        <f>SUM(E73:K73)</f>
        <v>3</v>
      </c>
      <c r="E73" s="21" t="s">
        <v>192</v>
      </c>
      <c r="F73" s="38">
        <v>3</v>
      </c>
      <c r="G73" s="21" t="s">
        <v>192</v>
      </c>
      <c r="H73" s="21" t="s">
        <v>192</v>
      </c>
      <c r="I73" s="21" t="s">
        <v>192</v>
      </c>
      <c r="J73" s="21" t="s">
        <v>192</v>
      </c>
      <c r="K73" s="30" t="s">
        <v>192</v>
      </c>
      <c r="L73" s="37">
        <v>1</v>
      </c>
      <c r="M73" s="83">
        <v>7</v>
      </c>
      <c r="N73" s="67" t="s">
        <v>126</v>
      </c>
      <c r="O73" s="5"/>
      <c r="P73" s="5"/>
      <c r="Q73" s="5"/>
    </row>
    <row r="74" spans="1:17">
      <c r="A74" s="15" t="s">
        <v>127</v>
      </c>
      <c r="B74" s="82">
        <v>2446</v>
      </c>
      <c r="C74" s="36">
        <v>2441</v>
      </c>
      <c r="D74" s="32">
        <f>SUM(E74:K74)</f>
        <v>5</v>
      </c>
      <c r="E74" s="21" t="s">
        <v>192</v>
      </c>
      <c r="F74" s="38">
        <v>5</v>
      </c>
      <c r="G74" s="21" t="s">
        <v>192</v>
      </c>
      <c r="H74" s="21" t="s">
        <v>192</v>
      </c>
      <c r="I74" s="21" t="s">
        <v>192</v>
      </c>
      <c r="J74" s="21" t="s">
        <v>192</v>
      </c>
      <c r="K74" s="30" t="s">
        <v>192</v>
      </c>
      <c r="L74" s="21" t="s">
        <v>192</v>
      </c>
      <c r="M74" s="83">
        <v>77</v>
      </c>
      <c r="N74" s="67" t="s">
        <v>128</v>
      </c>
      <c r="O74" s="5"/>
      <c r="P74" s="5"/>
      <c r="Q74" s="5"/>
    </row>
    <row r="75" spans="1:17">
      <c r="A75" s="15" t="s">
        <v>129</v>
      </c>
      <c r="B75" s="82">
        <v>2761</v>
      </c>
      <c r="C75" s="36">
        <v>2695</v>
      </c>
      <c r="D75" s="32">
        <f>SUM(E75:K75)</f>
        <v>66</v>
      </c>
      <c r="E75" s="38">
        <v>65</v>
      </c>
      <c r="F75" s="38">
        <v>1</v>
      </c>
      <c r="G75" s="21" t="s">
        <v>192</v>
      </c>
      <c r="H75" s="21" t="s">
        <v>192</v>
      </c>
      <c r="I75" s="21" t="s">
        <v>192</v>
      </c>
      <c r="J75" s="21" t="s">
        <v>192</v>
      </c>
      <c r="K75" s="30" t="s">
        <v>192</v>
      </c>
      <c r="L75" s="37">
        <v>12</v>
      </c>
      <c r="M75" s="83">
        <v>124</v>
      </c>
      <c r="N75" s="67" t="s">
        <v>130</v>
      </c>
      <c r="O75" s="5"/>
      <c r="P75" s="5"/>
      <c r="Q75" s="5"/>
    </row>
    <row r="76" spans="1:17">
      <c r="A76" s="15" t="s">
        <v>131</v>
      </c>
      <c r="B76" s="82">
        <v>4855</v>
      </c>
      <c r="C76" s="36">
        <v>4833</v>
      </c>
      <c r="D76" s="32">
        <f>SUM(E76:K76)</f>
        <v>22</v>
      </c>
      <c r="E76" s="38">
        <v>2</v>
      </c>
      <c r="F76" s="38">
        <v>4</v>
      </c>
      <c r="G76" s="37">
        <v>1</v>
      </c>
      <c r="H76" s="37">
        <v>12</v>
      </c>
      <c r="I76" s="21" t="s">
        <v>192</v>
      </c>
      <c r="J76" s="21" t="s">
        <v>192</v>
      </c>
      <c r="K76" s="37">
        <v>3</v>
      </c>
      <c r="L76" s="37">
        <v>7</v>
      </c>
      <c r="M76" s="83">
        <v>77</v>
      </c>
      <c r="N76" s="67" t="s">
        <v>132</v>
      </c>
      <c r="O76" s="5"/>
      <c r="P76" s="5"/>
      <c r="Q76" s="5"/>
    </row>
    <row r="77" spans="1:17" ht="16.2" customHeight="1">
      <c r="A77" s="35" t="s">
        <v>133</v>
      </c>
      <c r="B77" s="80">
        <v>23393</v>
      </c>
      <c r="C77" s="27">
        <f>SUM(C78:C90)</f>
        <v>23207</v>
      </c>
      <c r="D77" s="27">
        <f>SUM(D78:D90)</f>
        <v>186</v>
      </c>
      <c r="E77" s="27">
        <f t="shared" ref="E77:M77" si="14">SUM(E78:E90)</f>
        <v>15</v>
      </c>
      <c r="F77" s="27">
        <f>SUM(F78:F90)</f>
        <v>86</v>
      </c>
      <c r="G77" s="27">
        <f t="shared" si="14"/>
        <v>17</v>
      </c>
      <c r="H77" s="27">
        <f t="shared" si="14"/>
        <v>18</v>
      </c>
      <c r="I77" s="27">
        <f t="shared" si="14"/>
        <v>0</v>
      </c>
      <c r="J77" s="27">
        <f>SUM(J78:J90)</f>
        <v>4</v>
      </c>
      <c r="K77" s="27">
        <f t="shared" si="14"/>
        <v>46</v>
      </c>
      <c r="L77" s="27">
        <f t="shared" si="14"/>
        <v>34</v>
      </c>
      <c r="M77" s="81">
        <f t="shared" si="14"/>
        <v>1320</v>
      </c>
      <c r="N77" s="29" t="s">
        <v>134</v>
      </c>
      <c r="O77" s="29"/>
      <c r="P77" s="29"/>
      <c r="Q77" s="5"/>
    </row>
    <row r="78" spans="1:17">
      <c r="A78" s="15" t="s">
        <v>135</v>
      </c>
      <c r="B78" s="82">
        <v>1302</v>
      </c>
      <c r="C78" s="36">
        <v>1299</v>
      </c>
      <c r="D78" s="32">
        <f t="shared" ref="D78:D90" si="15">SUM(E78:K78)</f>
        <v>3</v>
      </c>
      <c r="E78" s="21" t="s">
        <v>192</v>
      </c>
      <c r="F78" s="38">
        <v>3</v>
      </c>
      <c r="G78" s="21" t="s">
        <v>192</v>
      </c>
      <c r="H78" s="21" t="s">
        <v>192</v>
      </c>
      <c r="I78" s="21" t="s">
        <v>192</v>
      </c>
      <c r="J78" s="21" t="s">
        <v>192</v>
      </c>
      <c r="K78" s="21" t="s">
        <v>192</v>
      </c>
      <c r="L78" s="21" t="s">
        <v>192</v>
      </c>
      <c r="M78" s="83">
        <v>330</v>
      </c>
      <c r="N78" s="67" t="s">
        <v>136</v>
      </c>
      <c r="O78" s="5"/>
      <c r="P78" s="5"/>
      <c r="Q78" s="5"/>
    </row>
    <row r="79" spans="1:17">
      <c r="A79" s="15" t="s">
        <v>137</v>
      </c>
      <c r="B79" s="82">
        <v>2219</v>
      </c>
      <c r="C79" s="36">
        <v>2219</v>
      </c>
      <c r="D79" s="32">
        <f t="shared" si="15"/>
        <v>0</v>
      </c>
      <c r="E79" s="21" t="s">
        <v>192</v>
      </c>
      <c r="F79" s="21" t="s">
        <v>192</v>
      </c>
      <c r="G79" s="21" t="s">
        <v>192</v>
      </c>
      <c r="H79" s="21" t="s">
        <v>192</v>
      </c>
      <c r="I79" s="21" t="s">
        <v>192</v>
      </c>
      <c r="J79" s="21" t="s">
        <v>192</v>
      </c>
      <c r="K79" s="21" t="s">
        <v>192</v>
      </c>
      <c r="L79" s="21" t="s">
        <v>192</v>
      </c>
      <c r="M79" s="83">
        <v>21</v>
      </c>
      <c r="N79" s="67" t="s">
        <v>138</v>
      </c>
      <c r="O79" s="5"/>
      <c r="P79" s="5"/>
      <c r="Q79" s="5"/>
    </row>
    <row r="80" spans="1:17">
      <c r="A80" s="15" t="s">
        <v>139</v>
      </c>
      <c r="B80" s="82">
        <v>1277</v>
      </c>
      <c r="C80" s="36">
        <v>1277</v>
      </c>
      <c r="D80" s="32">
        <f t="shared" si="15"/>
        <v>0</v>
      </c>
      <c r="E80" s="21" t="s">
        <v>192</v>
      </c>
      <c r="F80" s="21" t="s">
        <v>192</v>
      </c>
      <c r="G80" s="21" t="s">
        <v>192</v>
      </c>
      <c r="H80" s="21" t="s">
        <v>192</v>
      </c>
      <c r="I80" s="21" t="s">
        <v>192</v>
      </c>
      <c r="J80" s="21" t="s">
        <v>192</v>
      </c>
      <c r="K80" s="21" t="s">
        <v>192</v>
      </c>
      <c r="L80" s="21" t="s">
        <v>192</v>
      </c>
      <c r="M80" s="83">
        <v>13</v>
      </c>
      <c r="N80" s="67" t="s">
        <v>140</v>
      </c>
      <c r="O80" s="5"/>
      <c r="P80" s="5"/>
      <c r="Q80" s="5"/>
    </row>
    <row r="81" spans="1:17">
      <c r="A81" s="15" t="s">
        <v>141</v>
      </c>
      <c r="B81" s="82">
        <v>753</v>
      </c>
      <c r="C81" s="36">
        <v>748</v>
      </c>
      <c r="D81" s="32">
        <f t="shared" si="15"/>
        <v>5</v>
      </c>
      <c r="E81" s="21" t="s">
        <v>192</v>
      </c>
      <c r="F81" s="21" t="s">
        <v>192</v>
      </c>
      <c r="G81" s="21" t="s">
        <v>192</v>
      </c>
      <c r="H81" s="21" t="s">
        <v>192</v>
      </c>
      <c r="I81" s="21" t="s">
        <v>192</v>
      </c>
      <c r="J81" s="21" t="s">
        <v>192</v>
      </c>
      <c r="K81" s="37">
        <v>5</v>
      </c>
      <c r="L81" s="37">
        <v>2</v>
      </c>
      <c r="M81" s="83">
        <v>38</v>
      </c>
      <c r="N81" s="67" t="s">
        <v>142</v>
      </c>
      <c r="O81" s="5"/>
      <c r="P81" s="5"/>
      <c r="Q81" s="5"/>
    </row>
    <row r="82" spans="1:17">
      <c r="A82" s="15" t="s">
        <v>143</v>
      </c>
      <c r="B82" s="82">
        <v>32</v>
      </c>
      <c r="C82" s="36">
        <v>32</v>
      </c>
      <c r="D82" s="32">
        <f t="shared" si="15"/>
        <v>0</v>
      </c>
      <c r="E82" s="21" t="s">
        <v>192</v>
      </c>
      <c r="F82" s="21" t="s">
        <v>192</v>
      </c>
      <c r="G82" s="21" t="s">
        <v>192</v>
      </c>
      <c r="H82" s="21" t="s">
        <v>192</v>
      </c>
      <c r="I82" s="21" t="s">
        <v>192</v>
      </c>
      <c r="J82" s="21" t="s">
        <v>192</v>
      </c>
      <c r="K82" s="21" t="s">
        <v>192</v>
      </c>
      <c r="L82" s="21" t="s">
        <v>192</v>
      </c>
      <c r="M82" s="84" t="s">
        <v>192</v>
      </c>
      <c r="N82" s="67" t="s">
        <v>144</v>
      </c>
      <c r="O82" s="5"/>
      <c r="P82" s="5"/>
      <c r="Q82" s="5"/>
    </row>
    <row r="83" spans="1:17">
      <c r="A83" s="15" t="s">
        <v>145</v>
      </c>
      <c r="B83" s="82">
        <v>748</v>
      </c>
      <c r="C83" s="36">
        <v>748</v>
      </c>
      <c r="D83" s="32">
        <f t="shared" si="15"/>
        <v>0</v>
      </c>
      <c r="E83" s="21" t="s">
        <v>192</v>
      </c>
      <c r="F83" s="21" t="s">
        <v>192</v>
      </c>
      <c r="G83" s="21" t="s">
        <v>192</v>
      </c>
      <c r="H83" s="21" t="s">
        <v>192</v>
      </c>
      <c r="I83" s="21" t="s">
        <v>192</v>
      </c>
      <c r="J83" s="21" t="s">
        <v>192</v>
      </c>
      <c r="K83" s="21" t="s">
        <v>192</v>
      </c>
      <c r="L83" s="21" t="s">
        <v>192</v>
      </c>
      <c r="M83" s="84" t="s">
        <v>192</v>
      </c>
      <c r="N83" s="67" t="s">
        <v>146</v>
      </c>
      <c r="O83" s="5"/>
      <c r="P83" s="5"/>
      <c r="Q83" s="5"/>
    </row>
    <row r="84" spans="1:17">
      <c r="A84" s="15" t="s">
        <v>147</v>
      </c>
      <c r="B84" s="82">
        <v>2726</v>
      </c>
      <c r="C84" s="36">
        <v>2706</v>
      </c>
      <c r="D84" s="32">
        <f t="shared" si="15"/>
        <v>20</v>
      </c>
      <c r="E84" s="21" t="s">
        <v>192</v>
      </c>
      <c r="F84" s="21" t="s">
        <v>192</v>
      </c>
      <c r="G84" s="21" t="s">
        <v>192</v>
      </c>
      <c r="H84" s="21" t="s">
        <v>192</v>
      </c>
      <c r="I84" s="21" t="s">
        <v>192</v>
      </c>
      <c r="J84" s="21" t="s">
        <v>192</v>
      </c>
      <c r="K84" s="37">
        <v>20</v>
      </c>
      <c r="L84" s="21" t="s">
        <v>192</v>
      </c>
      <c r="M84" s="83">
        <v>77</v>
      </c>
      <c r="N84" s="67" t="s">
        <v>148</v>
      </c>
      <c r="O84" s="5"/>
      <c r="P84" s="5"/>
      <c r="Q84" s="5"/>
    </row>
    <row r="85" spans="1:17">
      <c r="A85" s="15" t="s">
        <v>149</v>
      </c>
      <c r="B85" s="82">
        <v>1166</v>
      </c>
      <c r="C85" s="36">
        <v>1164</v>
      </c>
      <c r="D85" s="32">
        <f t="shared" si="15"/>
        <v>2</v>
      </c>
      <c r="E85" s="21" t="s">
        <v>192</v>
      </c>
      <c r="F85" s="21" t="s">
        <v>192</v>
      </c>
      <c r="G85" s="37">
        <v>2</v>
      </c>
      <c r="H85" s="21" t="s">
        <v>192</v>
      </c>
      <c r="I85" s="21" t="s">
        <v>192</v>
      </c>
      <c r="J85" s="21" t="s">
        <v>192</v>
      </c>
      <c r="K85" s="21" t="s">
        <v>192</v>
      </c>
      <c r="L85" s="21" t="s">
        <v>192</v>
      </c>
      <c r="M85" s="83">
        <v>4</v>
      </c>
      <c r="N85" s="67" t="s">
        <v>150</v>
      </c>
      <c r="O85" s="5"/>
      <c r="P85" s="5"/>
      <c r="Q85" s="5"/>
    </row>
    <row r="86" spans="1:17">
      <c r="A86" s="15" t="s">
        <v>151</v>
      </c>
      <c r="B86" s="82">
        <v>578</v>
      </c>
      <c r="C86" s="36">
        <v>578</v>
      </c>
      <c r="D86" s="32">
        <f t="shared" si="15"/>
        <v>0</v>
      </c>
      <c r="E86" s="21" t="s">
        <v>192</v>
      </c>
      <c r="F86" s="21" t="s">
        <v>192</v>
      </c>
      <c r="G86" s="21" t="s">
        <v>192</v>
      </c>
      <c r="H86" s="21" t="s">
        <v>192</v>
      </c>
      <c r="I86" s="21" t="s">
        <v>192</v>
      </c>
      <c r="J86" s="21" t="s">
        <v>192</v>
      </c>
      <c r="K86" s="21" t="s">
        <v>192</v>
      </c>
      <c r="L86" s="21" t="s">
        <v>192</v>
      </c>
      <c r="M86" s="83">
        <v>19</v>
      </c>
      <c r="N86" s="67" t="s">
        <v>152</v>
      </c>
      <c r="O86" s="5"/>
      <c r="P86" s="5"/>
      <c r="Q86" s="5"/>
    </row>
    <row r="87" spans="1:17">
      <c r="A87" s="15" t="s">
        <v>153</v>
      </c>
      <c r="B87" s="82">
        <v>3917</v>
      </c>
      <c r="C87" s="36">
        <v>3917</v>
      </c>
      <c r="D87" s="32">
        <f t="shared" si="15"/>
        <v>0</v>
      </c>
      <c r="E87" s="21" t="s">
        <v>192</v>
      </c>
      <c r="F87" s="21" t="s">
        <v>192</v>
      </c>
      <c r="G87" s="21" t="s">
        <v>192</v>
      </c>
      <c r="H87" s="21" t="s">
        <v>192</v>
      </c>
      <c r="I87" s="21" t="s">
        <v>192</v>
      </c>
      <c r="J87" s="21" t="s">
        <v>192</v>
      </c>
      <c r="K87" s="21" t="s">
        <v>192</v>
      </c>
      <c r="L87" s="21" t="s">
        <v>192</v>
      </c>
      <c r="M87" s="83">
        <v>83</v>
      </c>
      <c r="N87" s="67" t="s">
        <v>154</v>
      </c>
      <c r="O87" s="5"/>
      <c r="P87" s="5"/>
      <c r="Q87" s="5"/>
    </row>
    <row r="88" spans="1:17">
      <c r="A88" s="15" t="s">
        <v>155</v>
      </c>
      <c r="B88" s="82">
        <v>1436</v>
      </c>
      <c r="C88" s="36">
        <v>1432</v>
      </c>
      <c r="D88" s="32">
        <f t="shared" si="15"/>
        <v>4</v>
      </c>
      <c r="E88" s="38">
        <v>3</v>
      </c>
      <c r="F88" s="21" t="s">
        <v>192</v>
      </c>
      <c r="G88" s="37">
        <v>1</v>
      </c>
      <c r="H88" s="21" t="s">
        <v>192</v>
      </c>
      <c r="I88" s="21" t="s">
        <v>192</v>
      </c>
      <c r="J88" s="21" t="s">
        <v>192</v>
      </c>
      <c r="K88" s="21" t="s">
        <v>192</v>
      </c>
      <c r="L88" s="21" t="s">
        <v>192</v>
      </c>
      <c r="M88" s="83">
        <v>43</v>
      </c>
      <c r="N88" s="67" t="s">
        <v>156</v>
      </c>
      <c r="O88" s="5"/>
      <c r="P88" s="5"/>
      <c r="Q88" s="5"/>
    </row>
    <row r="89" spans="1:17">
      <c r="A89" s="15" t="s">
        <v>157</v>
      </c>
      <c r="B89" s="82">
        <v>6508</v>
      </c>
      <c r="C89" s="36">
        <v>6356</v>
      </c>
      <c r="D89" s="32">
        <f>SUM(E89:K89)</f>
        <v>152</v>
      </c>
      <c r="E89" s="38">
        <v>12</v>
      </c>
      <c r="F89" s="38">
        <v>83</v>
      </c>
      <c r="G89" s="37">
        <v>14</v>
      </c>
      <c r="H89" s="37">
        <v>18</v>
      </c>
      <c r="I89" s="21" t="s">
        <v>192</v>
      </c>
      <c r="J89" s="37">
        <v>4</v>
      </c>
      <c r="K89" s="37">
        <v>21</v>
      </c>
      <c r="L89" s="37">
        <v>32</v>
      </c>
      <c r="M89" s="83">
        <v>674</v>
      </c>
      <c r="N89" s="67" t="s">
        <v>158</v>
      </c>
      <c r="O89" s="5"/>
      <c r="P89" s="5"/>
      <c r="Q89" s="5"/>
    </row>
    <row r="90" spans="1:17">
      <c r="A90" s="15" t="s">
        <v>159</v>
      </c>
      <c r="B90" s="82">
        <v>731</v>
      </c>
      <c r="C90" s="36">
        <v>731</v>
      </c>
      <c r="D90" s="32">
        <f t="shared" si="15"/>
        <v>0</v>
      </c>
      <c r="E90" s="21" t="s">
        <v>192</v>
      </c>
      <c r="F90" s="21" t="s">
        <v>192</v>
      </c>
      <c r="G90" s="21" t="s">
        <v>192</v>
      </c>
      <c r="H90" s="21" t="s">
        <v>192</v>
      </c>
      <c r="I90" s="21" t="s">
        <v>192</v>
      </c>
      <c r="J90" s="21" t="s">
        <v>192</v>
      </c>
      <c r="K90" s="21" t="s">
        <v>192</v>
      </c>
      <c r="L90" s="21" t="s">
        <v>192</v>
      </c>
      <c r="M90" s="83">
        <v>18</v>
      </c>
      <c r="N90" s="67" t="s">
        <v>160</v>
      </c>
      <c r="O90" s="5"/>
      <c r="P90" s="5"/>
      <c r="Q90" s="5"/>
    </row>
    <row r="91" spans="1:17" ht="20.399999999999999" customHeight="1">
      <c r="A91" s="35" t="s">
        <v>161</v>
      </c>
      <c r="B91" s="80">
        <v>84898</v>
      </c>
      <c r="C91" s="27">
        <f>SUM(C92:C95)</f>
        <v>84286</v>
      </c>
      <c r="D91" s="27">
        <f>SUM(D92:D95)</f>
        <v>612</v>
      </c>
      <c r="E91" s="27">
        <f t="shared" ref="E91:M91" si="16">SUM(E92:E95)</f>
        <v>86</v>
      </c>
      <c r="F91" s="27">
        <f>SUM(F92:F95)</f>
        <v>118</v>
      </c>
      <c r="G91" s="27">
        <f t="shared" si="16"/>
        <v>11</v>
      </c>
      <c r="H91" s="27">
        <f t="shared" si="16"/>
        <v>26</v>
      </c>
      <c r="I91" s="27">
        <f t="shared" si="16"/>
        <v>19</v>
      </c>
      <c r="J91" s="27">
        <f>SUM(J92:J95)</f>
        <v>0</v>
      </c>
      <c r="K91" s="27">
        <f t="shared" si="16"/>
        <v>352</v>
      </c>
      <c r="L91" s="27">
        <f t="shared" si="16"/>
        <v>487</v>
      </c>
      <c r="M91" s="81">
        <f t="shared" si="16"/>
        <v>23038</v>
      </c>
      <c r="N91" s="29" t="s">
        <v>162</v>
      </c>
      <c r="O91" s="29"/>
      <c r="P91" s="29"/>
      <c r="Q91" s="5"/>
    </row>
    <row r="92" spans="1:17">
      <c r="A92" s="15" t="s">
        <v>163</v>
      </c>
      <c r="B92" s="82">
        <v>37748</v>
      </c>
      <c r="C92" s="36">
        <v>37296</v>
      </c>
      <c r="D92" s="32">
        <f>SUM(E92:K92)</f>
        <v>452</v>
      </c>
      <c r="E92" s="38">
        <v>45</v>
      </c>
      <c r="F92" s="38">
        <v>74</v>
      </c>
      <c r="G92" s="37">
        <v>6</v>
      </c>
      <c r="H92" s="37">
        <v>9</v>
      </c>
      <c r="I92" s="37">
        <v>19</v>
      </c>
      <c r="J92" s="21" t="s">
        <v>192</v>
      </c>
      <c r="K92" s="37">
        <v>299</v>
      </c>
      <c r="L92" s="37">
        <v>252</v>
      </c>
      <c r="M92" s="83">
        <v>8717</v>
      </c>
      <c r="N92" s="67" t="s">
        <v>164</v>
      </c>
      <c r="O92" s="5"/>
      <c r="P92" s="5"/>
      <c r="Q92" s="5"/>
    </row>
    <row r="93" spans="1:17">
      <c r="A93" s="15" t="s">
        <v>165</v>
      </c>
      <c r="B93" s="82">
        <v>21002</v>
      </c>
      <c r="C93" s="36">
        <v>20943</v>
      </c>
      <c r="D93" s="32">
        <f>SUM(E93:K93)</f>
        <v>59</v>
      </c>
      <c r="E93" s="38">
        <v>17</v>
      </c>
      <c r="F93" s="38">
        <v>32</v>
      </c>
      <c r="G93" s="21" t="s">
        <v>192</v>
      </c>
      <c r="H93" s="37">
        <v>10</v>
      </c>
      <c r="I93" s="21" t="s">
        <v>192</v>
      </c>
      <c r="J93" s="21" t="s">
        <v>192</v>
      </c>
      <c r="K93" s="30" t="s">
        <v>192</v>
      </c>
      <c r="L93" s="37">
        <v>160</v>
      </c>
      <c r="M93" s="83">
        <v>11120</v>
      </c>
      <c r="N93" s="67" t="s">
        <v>166</v>
      </c>
      <c r="O93" s="5"/>
      <c r="P93" s="5"/>
      <c r="Q93" s="5"/>
    </row>
    <row r="94" spans="1:17">
      <c r="A94" s="15" t="s">
        <v>167</v>
      </c>
      <c r="B94" s="82">
        <v>9549</v>
      </c>
      <c r="C94" s="36">
        <v>9491</v>
      </c>
      <c r="D94" s="32">
        <f>SUM(E94:K94)</f>
        <v>58</v>
      </c>
      <c r="E94" s="38">
        <v>1</v>
      </c>
      <c r="F94" s="38">
        <v>3</v>
      </c>
      <c r="G94" s="37">
        <v>2</v>
      </c>
      <c r="H94" s="37">
        <v>2</v>
      </c>
      <c r="I94" s="21" t="s">
        <v>192</v>
      </c>
      <c r="J94" s="21" t="s">
        <v>192</v>
      </c>
      <c r="K94" s="37">
        <v>50</v>
      </c>
      <c r="L94" s="37">
        <v>63</v>
      </c>
      <c r="M94" s="83">
        <v>286</v>
      </c>
      <c r="N94" s="67" t="s">
        <v>168</v>
      </c>
      <c r="O94" s="8"/>
      <c r="P94" s="8"/>
      <c r="Q94" s="5"/>
    </row>
    <row r="95" spans="1:17" ht="10.8" thickBot="1">
      <c r="A95" s="17" t="s">
        <v>169</v>
      </c>
      <c r="B95" s="88">
        <v>16599</v>
      </c>
      <c r="C95" s="89">
        <v>16556</v>
      </c>
      <c r="D95" s="33">
        <f>SUM(E95:K95)</f>
        <v>43</v>
      </c>
      <c r="E95" s="90">
        <v>23</v>
      </c>
      <c r="F95" s="90">
        <v>9</v>
      </c>
      <c r="G95" s="91">
        <v>3</v>
      </c>
      <c r="H95" s="91">
        <v>5</v>
      </c>
      <c r="I95" s="92" t="s">
        <v>192</v>
      </c>
      <c r="J95" s="92" t="s">
        <v>192</v>
      </c>
      <c r="K95" s="91">
        <v>3</v>
      </c>
      <c r="L95" s="91">
        <v>12</v>
      </c>
      <c r="M95" s="93">
        <v>2915</v>
      </c>
      <c r="N95" s="71" t="s">
        <v>170</v>
      </c>
      <c r="O95" s="9"/>
      <c r="P95" s="9"/>
      <c r="Q95" s="5"/>
    </row>
    <row r="96" spans="1:17">
      <c r="A96" s="10"/>
      <c r="K96" s="40"/>
      <c r="L96" s="40"/>
      <c r="N96" s="5"/>
      <c r="O96" s="5"/>
      <c r="P96" s="5"/>
      <c r="Q96" s="5"/>
    </row>
    <row r="97" spans="1:17">
      <c r="A97" s="10"/>
      <c r="C97" s="20"/>
      <c r="N97" s="5"/>
      <c r="O97" s="5"/>
      <c r="P97" s="5"/>
      <c r="Q97" s="5"/>
    </row>
    <row r="98" spans="1:17">
      <c r="N98" s="5"/>
      <c r="O98" s="5"/>
      <c r="P98" s="5"/>
      <c r="Q98" s="5"/>
    </row>
    <row r="114" spans="18:18">
      <c r="R114" s="11" t="s">
        <v>7</v>
      </c>
    </row>
  </sheetData>
  <mergeCells count="27">
    <mergeCell ref="J6:J7"/>
    <mergeCell ref="B4:C5"/>
    <mergeCell ref="N68:Q68"/>
    <mergeCell ref="N69:Q69"/>
    <mergeCell ref="N70:Q70"/>
    <mergeCell ref="N6:P7"/>
    <mergeCell ref="E6:I6"/>
    <mergeCell ref="C6:C7"/>
    <mergeCell ref="B6:B7"/>
    <mergeCell ref="D6:D7"/>
    <mergeCell ref="L4:M5"/>
    <mergeCell ref="N54:P54"/>
    <mergeCell ref="N63:Q63"/>
    <mergeCell ref="N64:Q64"/>
    <mergeCell ref="N65:Q65"/>
    <mergeCell ref="N66:Q66"/>
    <mergeCell ref="N67:Q67"/>
    <mergeCell ref="A1:F1"/>
    <mergeCell ref="G1:N1"/>
    <mergeCell ref="A3:F3"/>
    <mergeCell ref="M3:N3"/>
    <mergeCell ref="A4:A7"/>
    <mergeCell ref="N38:P38"/>
    <mergeCell ref="D4:K5"/>
    <mergeCell ref="K6:K7"/>
    <mergeCell ref="L6:L7"/>
    <mergeCell ref="M6:M7"/>
  </mergeCells>
  <pageMargins left="0.7" right="0.7" top="0.75" bottom="0.75" header="0.3" footer="0.3"/>
  <pageSetup paperSize="9" orientation="portrait" horizontalDpi="200" verticalDpi="200" r:id="rId1"/>
  <ignoredErrors>
    <ignoredError sqref="D11:D15" formulaRange="1"/>
    <ignoredError sqref="B24" unlockedFormula="1"/>
    <ignoredError sqref="D35:D40 D17:D23 D34 D25:D28 D91 D77 D71 D62 D56 D52 D46" formula="1" formulaRange="1"/>
    <ignoredError sqref="D16:M16 D47:M51 E46:M46 D53:M55 E52:M52 D57:M61 E56:M56 D63:M70 E62:M62 D72:M76 E71:M71 D78:M90 E77:M77 D92:M95 E91:M91 D29:M33 E25:M28 D41:M45 E34:M34 D24:M24 E17:M23 E35:M4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2015-05-08T06:26:32Z</cp:lastPrinted>
  <dcterms:created xsi:type="dcterms:W3CDTF">2015-05-07T09:58:04Z</dcterms:created>
  <dcterms:modified xsi:type="dcterms:W3CDTF">2017-01-19T14:18:35Z</dcterms:modified>
</cp:coreProperties>
</file>