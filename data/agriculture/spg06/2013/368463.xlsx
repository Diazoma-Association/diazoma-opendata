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276" yWindow="-132" windowWidth="14856" windowHeight="576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108" i="1"/>
  <c r="B107"/>
  <c r="B103" s="1"/>
  <c r="B106"/>
  <c r="B105"/>
  <c r="B102"/>
  <c r="B101"/>
  <c r="B100"/>
  <c r="B99"/>
  <c r="B98"/>
  <c r="B97"/>
  <c r="B96"/>
  <c r="B95"/>
  <c r="B94"/>
  <c r="B93"/>
  <c r="B92"/>
  <c r="B91"/>
  <c r="B90"/>
  <c r="B88" s="1"/>
  <c r="B87"/>
  <c r="B86"/>
  <c r="B85"/>
  <c r="B84"/>
  <c r="B83"/>
  <c r="B81" s="1"/>
  <c r="B80"/>
  <c r="B79"/>
  <c r="B78"/>
  <c r="B77"/>
  <c r="B76"/>
  <c r="B75"/>
  <c r="B74"/>
  <c r="B73"/>
  <c r="B71" s="1"/>
  <c r="B70"/>
  <c r="B69"/>
  <c r="B68"/>
  <c r="B67"/>
  <c r="B66"/>
  <c r="B64" s="1"/>
  <c r="B59"/>
  <c r="B63"/>
  <c r="B62"/>
  <c r="B61"/>
  <c r="B58"/>
  <c r="B57"/>
  <c r="B56"/>
  <c r="B55"/>
  <c r="B52" s="1"/>
  <c r="B54"/>
  <c r="B51"/>
  <c r="B50"/>
  <c r="B49"/>
  <c r="B48"/>
  <c r="B45" s="1"/>
  <c r="B47"/>
  <c r="B44"/>
  <c r="B43"/>
  <c r="B42"/>
  <c r="B41"/>
  <c r="B40"/>
  <c r="B38" s="1"/>
  <c r="B37"/>
  <c r="B36"/>
  <c r="B35"/>
  <c r="B34"/>
  <c r="B32" s="1"/>
  <c r="B31"/>
  <c r="B30"/>
  <c r="B29"/>
  <c r="B27" s="1"/>
  <c r="B28"/>
  <c r="B21"/>
  <c r="B22"/>
  <c r="B23"/>
  <c r="B24"/>
  <c r="B25"/>
  <c r="B26"/>
  <c r="B20"/>
  <c r="B18" s="1"/>
  <c r="B13"/>
  <c r="B14"/>
  <c r="B15"/>
  <c r="B16"/>
  <c r="B17"/>
  <c r="B12"/>
  <c r="B10" s="1"/>
  <c r="B8" s="1"/>
  <c r="O38"/>
  <c r="X32"/>
  <c r="X27"/>
  <c r="X18"/>
  <c r="K18"/>
  <c r="L18"/>
  <c r="M18"/>
  <c r="N18"/>
  <c r="O18"/>
  <c r="P18"/>
  <c r="Q18"/>
  <c r="R18"/>
  <c r="S18"/>
  <c r="T18"/>
  <c r="U18"/>
  <c r="V18"/>
  <c r="W18"/>
  <c r="Y18"/>
  <c r="Z18"/>
  <c r="AA18"/>
  <c r="AB18"/>
  <c r="AC18"/>
  <c r="AD18"/>
  <c r="AE18"/>
  <c r="AF18"/>
  <c r="AG18"/>
  <c r="AH18"/>
  <c r="AI18"/>
  <c r="AJ18"/>
  <c r="AK18"/>
  <c r="AL18"/>
  <c r="AM18"/>
  <c r="AN18"/>
  <c r="AO18"/>
  <c r="AP18"/>
  <c r="AQ18"/>
  <c r="AR18"/>
  <c r="AS18"/>
  <c r="AT18"/>
  <c r="AU18"/>
  <c r="AV18"/>
  <c r="AW18"/>
  <c r="AX18"/>
  <c r="D18"/>
  <c r="E18"/>
  <c r="F18"/>
  <c r="G18"/>
  <c r="H18"/>
  <c r="I18"/>
  <c r="J18"/>
  <c r="C18"/>
  <c r="AS10"/>
  <c r="AJ64"/>
  <c r="AK64"/>
  <c r="AL64"/>
  <c r="AM64"/>
  <c r="AN64"/>
  <c r="AO64"/>
  <c r="AP64"/>
  <c r="AQ64"/>
  <c r="AR64"/>
  <c r="AS64"/>
  <c r="AT64"/>
  <c r="AU64"/>
  <c r="AV64"/>
  <c r="AW64"/>
  <c r="AX64"/>
  <c r="AI64"/>
  <c r="AK103"/>
  <c r="AL103"/>
  <c r="AM103"/>
  <c r="AN103"/>
  <c r="AO103"/>
  <c r="AP103"/>
  <c r="AQ103"/>
  <c r="AR103"/>
  <c r="AS103"/>
  <c r="AT103"/>
  <c r="AU103"/>
  <c r="AV103"/>
  <c r="AW103"/>
  <c r="AX103"/>
  <c r="AK88"/>
  <c r="AL88"/>
  <c r="AM88"/>
  <c r="AN88"/>
  <c r="AO88"/>
  <c r="AP88"/>
  <c r="AQ88"/>
  <c r="AR88"/>
  <c r="AS88"/>
  <c r="AT88"/>
  <c r="AU88"/>
  <c r="AV88"/>
  <c r="AW88"/>
  <c r="AX88"/>
  <c r="AK81"/>
  <c r="AL81"/>
  <c r="AM81"/>
  <c r="AN81"/>
  <c r="AO81"/>
  <c r="AP81"/>
  <c r="AQ81"/>
  <c r="AR81"/>
  <c r="AS81"/>
  <c r="AT81"/>
  <c r="AU81"/>
  <c r="AV81"/>
  <c r="AW81"/>
  <c r="AX81"/>
  <c r="AK71"/>
  <c r="AL71"/>
  <c r="AM71"/>
  <c r="AN71"/>
  <c r="AO71"/>
  <c r="AP71"/>
  <c r="AQ71"/>
  <c r="AR71"/>
  <c r="AS71"/>
  <c r="AT71"/>
  <c r="AU71"/>
  <c r="AV71"/>
  <c r="AW71"/>
  <c r="AX71"/>
  <c r="AK59"/>
  <c r="AL59"/>
  <c r="AM59"/>
  <c r="AN59"/>
  <c r="AO59"/>
  <c r="AP59"/>
  <c r="AQ59"/>
  <c r="AR59"/>
  <c r="AS59"/>
  <c r="AT59"/>
  <c r="AU59"/>
  <c r="AV59"/>
  <c r="AW59"/>
  <c r="AX59"/>
  <c r="AK52"/>
  <c r="AL52"/>
  <c r="AM52"/>
  <c r="AN52"/>
  <c r="AO52"/>
  <c r="AP52"/>
  <c r="AQ52"/>
  <c r="AR52"/>
  <c r="AS52"/>
  <c r="AT52"/>
  <c r="AU52"/>
  <c r="AV52"/>
  <c r="AW52"/>
  <c r="AX52"/>
  <c r="AK45"/>
  <c r="AL45"/>
  <c r="AM45"/>
  <c r="AN45"/>
  <c r="AO45"/>
  <c r="AP45"/>
  <c r="AQ45"/>
  <c r="AR45"/>
  <c r="AS45"/>
  <c r="AT45"/>
  <c r="AU45"/>
  <c r="AV45"/>
  <c r="AW45"/>
  <c r="AX45"/>
  <c r="AK38"/>
  <c r="AL38"/>
  <c r="AM38"/>
  <c r="AN38"/>
  <c r="AO38"/>
  <c r="AP38"/>
  <c r="AQ38"/>
  <c r="AR38"/>
  <c r="AS38"/>
  <c r="AT38"/>
  <c r="AU38"/>
  <c r="AV38"/>
  <c r="AW38"/>
  <c r="AX38"/>
  <c r="AK32"/>
  <c r="AL32"/>
  <c r="AM32"/>
  <c r="AN32"/>
  <c r="AO32"/>
  <c r="AP32"/>
  <c r="AQ32"/>
  <c r="AR32"/>
  <c r="AS32"/>
  <c r="AT32"/>
  <c r="AU32"/>
  <c r="AV32"/>
  <c r="AW32"/>
  <c r="AX32"/>
  <c r="AK27"/>
  <c r="AL27"/>
  <c r="AM27"/>
  <c r="AN27"/>
  <c r="AO27"/>
  <c r="AP27"/>
  <c r="AQ27"/>
  <c r="AR27"/>
  <c r="AS27"/>
  <c r="AS8" s="1"/>
  <c r="AT27"/>
  <c r="AU27"/>
  <c r="AV27"/>
  <c r="AW27"/>
  <c r="AX27"/>
  <c r="AK10"/>
  <c r="AL10"/>
  <c r="AL8" s="1"/>
  <c r="AM10"/>
  <c r="AN10"/>
  <c r="AN8" s="1"/>
  <c r="AO10"/>
  <c r="AP10"/>
  <c r="AP8" s="1"/>
  <c r="AQ10"/>
  <c r="AQ8" s="1"/>
  <c r="AR10"/>
  <c r="AR8" s="1"/>
  <c r="AT10"/>
  <c r="AT8" s="1"/>
  <c r="AU10"/>
  <c r="AU8" s="1"/>
  <c r="AV10"/>
  <c r="AV8" s="1"/>
  <c r="AW10"/>
  <c r="AX10"/>
  <c r="AX8" s="1"/>
  <c r="AJ10"/>
  <c r="AJ8"/>
  <c r="T8"/>
  <c r="V8"/>
  <c r="X8"/>
  <c r="Z8"/>
  <c r="AD8"/>
  <c r="AF8"/>
  <c r="AH8"/>
  <c r="G27"/>
  <c r="H27"/>
  <c r="I27"/>
  <c r="J27"/>
  <c r="K27"/>
  <c r="L27"/>
  <c r="M27"/>
  <c r="N27"/>
  <c r="O27"/>
  <c r="P27"/>
  <c r="Q27"/>
  <c r="R27"/>
  <c r="S27"/>
  <c r="T27"/>
  <c r="U27"/>
  <c r="V27"/>
  <c r="W27"/>
  <c r="Y27"/>
  <c r="Z27"/>
  <c r="AA27"/>
  <c r="AB27"/>
  <c r="AC27"/>
  <c r="AD27"/>
  <c r="AE27"/>
  <c r="AF27"/>
  <c r="AG27"/>
  <c r="AH27"/>
  <c r="AI27"/>
  <c r="AJ27"/>
  <c r="D27"/>
  <c r="D8" s="1"/>
  <c r="E27"/>
  <c r="F27"/>
  <c r="C27"/>
  <c r="R103"/>
  <c r="Q103"/>
  <c r="P103"/>
  <c r="O103"/>
  <c r="N103"/>
  <c r="M103"/>
  <c r="L103"/>
  <c r="K103"/>
  <c r="J103"/>
  <c r="I103"/>
  <c r="H103"/>
  <c r="G103"/>
  <c r="F103"/>
  <c r="E103"/>
  <c r="R88"/>
  <c r="Q88"/>
  <c r="P88"/>
  <c r="O88"/>
  <c r="N88"/>
  <c r="M88"/>
  <c r="L88"/>
  <c r="K88"/>
  <c r="J88"/>
  <c r="I88"/>
  <c r="H88"/>
  <c r="G88"/>
  <c r="F88"/>
  <c r="E88"/>
  <c r="D88"/>
  <c r="C88"/>
  <c r="R81"/>
  <c r="Q81"/>
  <c r="P81"/>
  <c r="O81"/>
  <c r="N81"/>
  <c r="M81"/>
  <c r="L81"/>
  <c r="K81"/>
  <c r="J81"/>
  <c r="I81"/>
  <c r="H81"/>
  <c r="G81"/>
  <c r="F81"/>
  <c r="E81"/>
  <c r="R71"/>
  <c r="Q71"/>
  <c r="P71"/>
  <c r="O71"/>
  <c r="O8" s="1"/>
  <c r="N71"/>
  <c r="M71"/>
  <c r="L71"/>
  <c r="K71"/>
  <c r="J71"/>
  <c r="I71"/>
  <c r="H71"/>
  <c r="G71"/>
  <c r="F71"/>
  <c r="E71"/>
  <c r="D71"/>
  <c r="C71"/>
  <c r="R64"/>
  <c r="Q64"/>
  <c r="P64"/>
  <c r="O64"/>
  <c r="N64"/>
  <c r="M64"/>
  <c r="L64"/>
  <c r="K64"/>
  <c r="J64"/>
  <c r="I64"/>
  <c r="H64"/>
  <c r="G64"/>
  <c r="F64"/>
  <c r="E64"/>
  <c r="D64"/>
  <c r="C64"/>
  <c r="R59"/>
  <c r="Q59"/>
  <c r="P59"/>
  <c r="O59"/>
  <c r="N59"/>
  <c r="M59"/>
  <c r="L59"/>
  <c r="K59"/>
  <c r="J59"/>
  <c r="I59"/>
  <c r="H59"/>
  <c r="G59"/>
  <c r="F59"/>
  <c r="E59"/>
  <c r="D59"/>
  <c r="C59"/>
  <c r="R52"/>
  <c r="Q52"/>
  <c r="P52"/>
  <c r="O52"/>
  <c r="N52"/>
  <c r="M52"/>
  <c r="L52"/>
  <c r="K52"/>
  <c r="J52"/>
  <c r="I52"/>
  <c r="H52"/>
  <c r="G52"/>
  <c r="F52"/>
  <c r="E52"/>
  <c r="R45"/>
  <c r="Q45"/>
  <c r="P45"/>
  <c r="O45"/>
  <c r="N45"/>
  <c r="M45"/>
  <c r="L45"/>
  <c r="K45"/>
  <c r="J45"/>
  <c r="I45"/>
  <c r="H45"/>
  <c r="G45"/>
  <c r="F45"/>
  <c r="E45"/>
  <c r="D45"/>
  <c r="C45"/>
  <c r="R38"/>
  <c r="Q38"/>
  <c r="P38"/>
  <c r="N38"/>
  <c r="M38"/>
  <c r="L38"/>
  <c r="K38"/>
  <c r="J38"/>
  <c r="I38"/>
  <c r="H38"/>
  <c r="G38"/>
  <c r="F38"/>
  <c r="E38"/>
  <c r="D38"/>
  <c r="C38"/>
  <c r="R32"/>
  <c r="Q32"/>
  <c r="P32"/>
  <c r="O32"/>
  <c r="N32"/>
  <c r="M32"/>
  <c r="L32"/>
  <c r="K32"/>
  <c r="J32"/>
  <c r="I32"/>
  <c r="H32"/>
  <c r="G32"/>
  <c r="F32"/>
  <c r="E32"/>
  <c r="D32"/>
  <c r="C32"/>
  <c r="R8"/>
  <c r="Q8"/>
  <c r="P8"/>
  <c r="N8"/>
  <c r="M8"/>
  <c r="L8"/>
  <c r="K8"/>
  <c r="J8"/>
  <c r="I8"/>
  <c r="H8"/>
  <c r="F8"/>
  <c r="E8"/>
  <c r="R10"/>
  <c r="Q10"/>
  <c r="P10"/>
  <c r="O10"/>
  <c r="N10"/>
  <c r="M10"/>
  <c r="L10"/>
  <c r="K10"/>
  <c r="J10"/>
  <c r="I10"/>
  <c r="H10"/>
  <c r="G10"/>
  <c r="G8" s="1"/>
  <c r="F10"/>
  <c r="E10"/>
  <c r="D10"/>
  <c r="C10"/>
  <c r="C8" s="1"/>
  <c r="AA88"/>
  <c r="AB10"/>
  <c r="AC10"/>
  <c r="AD10"/>
  <c r="AE10"/>
  <c r="AE8" s="1"/>
  <c r="AF10"/>
  <c r="AG10"/>
  <c r="AH10"/>
  <c r="AI10"/>
  <c r="S10"/>
  <c r="T10"/>
  <c r="U10"/>
  <c r="V10"/>
  <c r="W10"/>
  <c r="X10"/>
  <c r="Y10"/>
  <c r="Z10"/>
  <c r="AB32"/>
  <c r="AC32"/>
  <c r="AD32"/>
  <c r="AE32"/>
  <c r="AF32"/>
  <c r="AG32"/>
  <c r="AH32"/>
  <c r="AI32"/>
  <c r="AJ32"/>
  <c r="S32"/>
  <c r="T32"/>
  <c r="U32"/>
  <c r="V32"/>
  <c r="W32"/>
  <c r="Y32"/>
  <c r="Z32"/>
  <c r="AB38"/>
  <c r="AB8" s="1"/>
  <c r="AC38"/>
  <c r="AC8" s="1"/>
  <c r="AD38"/>
  <c r="AE38"/>
  <c r="AF38"/>
  <c r="AG38"/>
  <c r="AG8" s="1"/>
  <c r="AH38"/>
  <c r="AI38"/>
  <c r="AJ38"/>
  <c r="S38"/>
  <c r="S8" s="1"/>
  <c r="T38"/>
  <c r="U38"/>
  <c r="V38"/>
  <c r="W38"/>
  <c r="X38"/>
  <c r="Y38"/>
  <c r="Z38"/>
  <c r="AB45"/>
  <c r="AC45"/>
  <c r="AD45"/>
  <c r="AE45"/>
  <c r="AF45"/>
  <c r="AG45"/>
  <c r="AH45"/>
  <c r="AI45"/>
  <c r="AJ45"/>
  <c r="S45"/>
  <c r="T45"/>
  <c r="U45"/>
  <c r="U8" s="1"/>
  <c r="V45"/>
  <c r="W45"/>
  <c r="X45"/>
  <c r="Y45"/>
  <c r="Z45"/>
  <c r="AB52"/>
  <c r="AC52"/>
  <c r="AD52"/>
  <c r="AE52"/>
  <c r="AF52"/>
  <c r="AG52"/>
  <c r="AH52"/>
  <c r="AI52"/>
  <c r="AJ52"/>
  <c r="S52"/>
  <c r="T52"/>
  <c r="U52"/>
  <c r="V52"/>
  <c r="W52"/>
  <c r="X52"/>
  <c r="Y52"/>
  <c r="Y8" s="1"/>
  <c r="Z52"/>
  <c r="AB59"/>
  <c r="AC59"/>
  <c r="AD59"/>
  <c r="AE59"/>
  <c r="AF59"/>
  <c r="AG59"/>
  <c r="AH59"/>
  <c r="AI59"/>
  <c r="AJ59"/>
  <c r="S59"/>
  <c r="T59"/>
  <c r="U59"/>
  <c r="V59"/>
  <c r="W59"/>
  <c r="X59"/>
  <c r="Y59"/>
  <c r="Z59"/>
  <c r="S64"/>
  <c r="T64"/>
  <c r="U64"/>
  <c r="V64"/>
  <c r="W64"/>
  <c r="X64"/>
  <c r="Y64"/>
  <c r="Z64"/>
  <c r="AB64"/>
  <c r="AC64"/>
  <c r="AD64"/>
  <c r="AE64"/>
  <c r="AF64"/>
  <c r="AG64"/>
  <c r="AH64"/>
  <c r="S71"/>
  <c r="T71"/>
  <c r="U71"/>
  <c r="V71"/>
  <c r="W71"/>
  <c r="X71"/>
  <c r="Y71"/>
  <c r="Z71"/>
  <c r="AB71"/>
  <c r="AC71"/>
  <c r="AD71"/>
  <c r="AE71"/>
  <c r="AF71"/>
  <c r="AG71"/>
  <c r="AH71"/>
  <c r="AI71"/>
  <c r="AI8" s="1"/>
  <c r="AJ71"/>
  <c r="AB81"/>
  <c r="AC81"/>
  <c r="AD81"/>
  <c r="AE81"/>
  <c r="AF81"/>
  <c r="AG81"/>
  <c r="AH81"/>
  <c r="AI81"/>
  <c r="AJ81"/>
  <c r="S81"/>
  <c r="T81"/>
  <c r="U81"/>
  <c r="V81"/>
  <c r="W81"/>
  <c r="X81"/>
  <c r="Y81"/>
  <c r="Z81"/>
  <c r="Y88"/>
  <c r="AB88"/>
  <c r="AC88"/>
  <c r="AD88"/>
  <c r="AE88"/>
  <c r="AF88"/>
  <c r="AG88"/>
  <c r="AH88"/>
  <c r="AI88"/>
  <c r="AJ88"/>
  <c r="S88"/>
  <c r="T88"/>
  <c r="U88"/>
  <c r="V88"/>
  <c r="W88"/>
  <c r="W8" s="1"/>
  <c r="X88"/>
  <c r="Z88"/>
  <c r="AB103"/>
  <c r="AC103"/>
  <c r="AD103"/>
  <c r="AE103"/>
  <c r="AF103"/>
  <c r="AG103"/>
  <c r="AH103"/>
  <c r="AI103"/>
  <c r="AJ103"/>
  <c r="S103"/>
  <c r="T103"/>
  <c r="U103"/>
  <c r="V103"/>
  <c r="W103"/>
  <c r="X103"/>
  <c r="Y103"/>
  <c r="Z103"/>
  <c r="AA103"/>
  <c r="AA81"/>
  <c r="AA71"/>
  <c r="AA64"/>
  <c r="AA59"/>
  <c r="AA52"/>
  <c r="AA45"/>
  <c r="AA38"/>
  <c r="AA8" s="1"/>
  <c r="AA32"/>
  <c r="AA10"/>
  <c r="AM8" l="1"/>
  <c r="AW8"/>
  <c r="AO8"/>
  <c r="AK8"/>
</calcChain>
</file>

<file path=xl/sharedStrings.xml><?xml version="1.0" encoding="utf-8"?>
<sst xmlns="http://schemas.openxmlformats.org/spreadsheetml/2006/main" count="772" uniqueCount="215">
  <si>
    <t>Εκτάσεις σε στρέμματα, παραγωγή σε τόνους</t>
  </si>
  <si>
    <t>Areas in stremmas, production in tons</t>
  </si>
  <si>
    <t xml:space="preserve">Περιφέρειες και Περιφερειακές Ενότητες     </t>
  </si>
  <si>
    <t>Μπάμιες - Okras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</si>
  <si>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</si>
  <si>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</si>
  <si>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</si>
  <si>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</si>
  <si>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</si>
  <si>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</si>
  <si>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</si>
  <si>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</si>
  <si>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</si>
  <si>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</si>
  <si>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</si>
  <si>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</si>
  <si>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</si>
  <si>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</si>
  <si>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</si>
  <si>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</si>
  <si>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</si>
  <si>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</si>
  <si>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</si>
  <si>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</si>
  <si>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</si>
  <si>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</si>
  <si>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</si>
  <si>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</si>
  <si>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</si>
  <si>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</si>
  <si>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</si>
  <si>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</si>
  <si>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</si>
  <si>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</si>
  <si>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</si>
  <si>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</si>
  <si>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</si>
  <si>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</si>
  <si>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</si>
  <si>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</si>
  <si>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</si>
  <si>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</si>
  <si>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</si>
  <si>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</si>
  <si>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</si>
  <si>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</si>
  <si>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</si>
  <si>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</si>
  <si>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</si>
  <si>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</si>
  <si>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</si>
  <si>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</si>
  <si>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</si>
  <si>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</si>
  <si>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</si>
  <si>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</si>
  <si>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</si>
  <si>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</si>
  <si>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</si>
  <si>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</si>
  <si>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</si>
  <si>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</si>
  <si>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</si>
  <si>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</si>
  <si>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</si>
  <si>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</si>
  <si>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</si>
  <si>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</si>
  <si>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</si>
  <si>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</si>
  <si>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</si>
  <si>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</si>
  <si>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</si>
  <si>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</si>
  <si>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</si>
  <si>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</si>
  <si>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</si>
  <si>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</si>
  <si>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</si>
  <si>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</si>
  <si>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</si>
  <si>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</si>
  <si>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</si>
  <si>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</si>
  <si>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</si>
  <si>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</si>
  <si>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</si>
  <si>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</si>
  <si>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</si>
  <si>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</si>
  <si>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</si>
  <si>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</si>
  <si>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</si>
  <si>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</si>
  <si>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</si>
  <si>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</si>
  <si>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</si>
  <si>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</si>
  <si>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</si>
  <si>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</si>
  <si>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</si>
  <si>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</si>
  <si>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</si>
  <si>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</si>
  <si>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</si>
  <si>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</si>
  <si>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</si>
  <si>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</si>
  <si>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</si>
  <si>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</si>
  <si>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</si>
  <si>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</si>
  <si>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</si>
  <si>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</si>
  <si>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</si>
  <si>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</si>
  <si>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</si>
  <si>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</si>
  <si>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</si>
  <si>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</si>
  <si>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</si>
  <si>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</si>
  <si>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</si>
  <si>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</si>
  <si>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</si>
  <si>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</si>
  <si>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</si>
  <si>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</si>
  <si>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</si>
  <si>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</si>
  <si>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</si>
  <si>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</si>
  <si>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</si>
  <si>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</si>
  <si>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</si>
  <si>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</si>
  <si>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</si>
  <si>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</si>
  <si>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</si>
  <si>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</si>
  <si>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</si>
  <si>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</si>
  <si>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</si>
  <si>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</si>
  <si>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</si>
  <si>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</si>
  <si>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</si>
  <si>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</si>
  <si>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</si>
  <si>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</si>
  <si>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</si>
  <si>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</si>
  <si>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</si>
  <si>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</si>
  <si>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</si>
  <si>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</si>
  <si>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</si>
  <si>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</si>
  <si>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</si>
  <si>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</si>
  <si>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</si>
  <si>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</si>
  <si>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</si>
  <si>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</si>
  <si>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</si>
  <si>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</si>
  <si>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</si>
  <si>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</si>
  <si>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</si>
  <si>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</si>
  <si>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</si>
  <si>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</si>
  <si>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</si>
  <si>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</si>
  <si>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</si>
  <si>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</si>
  <si>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</si>
  <si>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</si>
  <si>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</si>
  <si>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</si>
  <si>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2=production</t>
  </si>
  <si>
    <t xml:space="preserve">Σκόρδα, ξερά                                Onions,dry   </t>
  </si>
  <si>
    <t>Αγκινάρες                                    Artichokes</t>
  </si>
  <si>
    <t>Ραδίκια και αντίδια                            Chicories and endives</t>
  </si>
  <si>
    <t>Σπανάκι                                           Spinach</t>
  </si>
  <si>
    <t>Αρακάς                                                 Peas</t>
  </si>
  <si>
    <t>ποτιστικές                                        irrigated</t>
  </si>
  <si>
    <t>ξερικές                                                   non - irrigated</t>
  </si>
  <si>
    <t>Πράσα                                                    Leeks</t>
  </si>
  <si>
    <t>Μαρούλια                                      Lettuce</t>
  </si>
  <si>
    <t>—</t>
  </si>
  <si>
    <t>Τομάτες - Tomatoes</t>
  </si>
  <si>
    <t>Φασολάκια            Beans, green</t>
  </si>
  <si>
    <t>Λάχανα           Cabbages</t>
  </si>
  <si>
    <t>Κουνουπίδια Cauliflowers</t>
  </si>
  <si>
    <t>Κολοκυθάκια        Squashes</t>
  </si>
  <si>
    <t>Κρεμμύδια, ξερά        Onions, dry</t>
  </si>
  <si>
    <t>Βιομηχανικές      Industrial</t>
  </si>
  <si>
    <t>Επιτραπέζιες - Table</t>
  </si>
  <si>
    <t>υπαίθρου                        grown in the open</t>
  </si>
  <si>
    <t>θερμοκηπίου           grown in greenhouses</t>
  </si>
  <si>
    <t>Σύνολο Εκτάσεων
Total Area</t>
  </si>
  <si>
    <t>Περιφέρεια Δυτικής Μακεδονίας</t>
  </si>
  <si>
    <t>Region of Western Macedonia</t>
  </si>
  <si>
    <t>Αγγούρια υπαίθρου Cucumbers, grown in the open</t>
  </si>
  <si>
    <t>Αγγούρια θερμοκηπίου Cucumbers, grown in greenhouses</t>
  </si>
  <si>
    <t>Μελιτζάνες υπαίθρου Eggplants grown in the open</t>
  </si>
  <si>
    <t>Μελιτζάνες θερμοκηπίου Eggplants grown in greenhouses</t>
  </si>
  <si>
    <t>Σπαράγγια               Asparagus</t>
  </si>
  <si>
    <t>Φράουλες            Strawberries</t>
  </si>
  <si>
    <t>Λοιπά λαχανικά                Other</t>
  </si>
  <si>
    <t>3. Λαχανικά και κηπευτική γη</t>
  </si>
  <si>
    <t>3. Vegetables and garden area</t>
  </si>
  <si>
    <t>3α. Λαχανικά. Εκτάσεις και παραωγή κατά Περιφέρεια και Περιφερειακή Ενότητα: 2013</t>
  </si>
  <si>
    <t>Table 3a. Vegetables. Areas and production by Regions and Regional Unities: 2013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</si>
</sst>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charset val="161"/>
      <scheme val="minor"/>
    </font>
    <font>
      <sz val="8"/>
      <name val="Arial"/>
      <family val="2"/>
      <charset val="161"/>
    </font>
    <font>
      <b/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color rgb="FF000000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11"/>
      <name val="Calibri"/>
      <family val="2"/>
      <charset val="161"/>
      <scheme val="minor"/>
    </font>
    <font>
      <sz val="7"/>
      <name val="Arial"/>
      <family val="2"/>
      <charset val="161"/>
    </font>
    <font>
      <b/>
      <sz val="7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theme="1"/>
      <name val="Calibri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49" fontId="4" fillId="0" borderId="0" xfId="0" applyNumberFormat="1" applyFont="1" applyBorder="1" applyAlignment="1" applyProtection="1">
      <alignment horizontal="left" vertical="center" wrapText="1" indent="2"/>
      <protection locked="0"/>
    </xf>
    <xf numFmtId="0" fontId="5" fillId="0" borderId="0" xfId="0" applyFont="1" applyProtection="1">
      <protection locked="0"/>
    </xf>
    <xf numFmtId="0" fontId="1" fillId="0" borderId="0" xfId="0" applyNumberFormat="1" applyFont="1" applyFill="1" applyBorder="1" applyAlignment="1" applyProtection="1">
      <alignment vertical="center"/>
      <protection locked="0"/>
    </xf>
    <xf numFmtId="0" fontId="1" fillId="0" borderId="1" xfId="0" applyFont="1" applyFill="1" applyBorder="1" applyAlignment="1" applyProtection="1">
      <protection locked="0"/>
    </xf>
    <xf numFmtId="0" fontId="1" fillId="0" borderId="1" xfId="0" applyFont="1" applyFill="1" applyBorder="1" applyAlignment="1" applyProtection="1">
      <alignment horizontal="left"/>
      <protection locked="0"/>
    </xf>
    <xf numFmtId="0" fontId="1" fillId="0" borderId="1" xfId="0" applyNumberFormat="1" applyFont="1" applyFill="1" applyBorder="1" applyAlignment="1" applyProtection="1">
      <protection locked="0"/>
    </xf>
    <xf numFmtId="0" fontId="5" fillId="0" borderId="1" xfId="0" applyFont="1" applyBorder="1" applyProtection="1"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49" fontId="1" fillId="0" borderId="0" xfId="0" applyNumberFormat="1" applyFont="1" applyFill="1" applyBorder="1" applyAlignment="1" applyProtection="1">
      <alignment horizontal="left" wrapText="1" indent="2"/>
      <protection locked="0"/>
    </xf>
    <xf numFmtId="0" fontId="5" fillId="0" borderId="0" xfId="0" applyFont="1" applyBorder="1" applyAlignment="1" applyProtection="1">
      <alignment horizontal="left" indent="2"/>
      <protection locked="0"/>
    </xf>
    <xf numFmtId="0" fontId="5" fillId="0" borderId="0" xfId="0" applyFont="1" applyBorder="1" applyAlignment="1" applyProtection="1">
      <alignment horizontal="left"/>
      <protection locked="0"/>
    </xf>
    <xf numFmtId="49" fontId="1" fillId="0" borderId="1" xfId="0" applyNumberFormat="1" applyFont="1" applyFill="1" applyBorder="1" applyAlignment="1" applyProtection="1">
      <alignment horizontal="left" wrapText="1" indent="2"/>
      <protection locked="0"/>
    </xf>
    <xf numFmtId="0" fontId="5" fillId="0" borderId="1" xfId="0" applyFont="1" applyBorder="1" applyAlignment="1" applyProtection="1">
      <alignment horizontal="left" indent="2"/>
      <protection locked="0"/>
    </xf>
    <xf numFmtId="0" fontId="5" fillId="0" borderId="1" xfId="0" applyFont="1" applyBorder="1" applyAlignment="1" applyProtection="1">
      <alignment horizontal="left"/>
      <protection locked="0"/>
    </xf>
    <xf numFmtId="49" fontId="1" fillId="0" borderId="0" xfId="0" applyNumberFormat="1" applyFont="1" applyFill="1" applyBorder="1" applyAlignment="1" applyProtection="1">
      <alignment vertical="center"/>
      <protection locked="0"/>
    </xf>
    <xf numFmtId="3" fontId="1" fillId="0" borderId="6" xfId="0" applyNumberFormat="1" applyFont="1" applyBorder="1" applyAlignment="1" applyProtection="1">
      <alignment horizontal="right" vertical="center"/>
      <protection locked="0"/>
    </xf>
    <xf numFmtId="0" fontId="6" fillId="0" borderId="0" xfId="0" applyFont="1" applyBorder="1" applyAlignment="1" applyProtection="1">
      <alignment horizontal="left" vertical="center"/>
      <protection locked="0"/>
    </xf>
    <xf numFmtId="49" fontId="2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/>
      <protection locked="0"/>
    </xf>
    <xf numFmtId="3" fontId="1" fillId="2" borderId="0" xfId="0" applyNumberFormat="1" applyFont="1" applyFill="1" applyBorder="1" applyAlignment="1">
      <alignment horizontal="right" vertical="top" wrapText="1"/>
    </xf>
    <xf numFmtId="3" fontId="1" fillId="2" borderId="7" xfId="0" applyNumberFormat="1" applyFont="1" applyFill="1" applyBorder="1" applyAlignment="1">
      <alignment horizontal="right" vertical="top" wrapText="1"/>
    </xf>
    <xf numFmtId="0" fontId="1" fillId="2" borderId="7" xfId="0" applyFont="1" applyFill="1" applyBorder="1" applyAlignment="1">
      <alignment horizontal="right" vertical="top" wrapText="1"/>
    </xf>
    <xf numFmtId="3" fontId="1" fillId="0" borderId="7" xfId="0" applyNumberFormat="1" applyFont="1" applyBorder="1" applyAlignment="1" applyProtection="1">
      <alignment horizontal="right" vertical="center"/>
      <protection locked="0"/>
    </xf>
    <xf numFmtId="3" fontId="1" fillId="0" borderId="7" xfId="0" applyNumberFormat="1" applyFont="1" applyFill="1" applyBorder="1" applyAlignment="1" applyProtection="1">
      <alignment horizontal="right"/>
      <protection locked="0"/>
    </xf>
    <xf numFmtId="3" fontId="1" fillId="2" borderId="6" xfId="0" applyNumberFormat="1" applyFont="1" applyFill="1" applyBorder="1" applyAlignment="1">
      <alignment horizontal="right" vertical="top" wrapText="1"/>
    </xf>
    <xf numFmtId="0" fontId="1" fillId="2" borderId="6" xfId="0" applyFont="1" applyFill="1" applyBorder="1" applyAlignment="1">
      <alignment horizontal="right" vertical="top" wrapText="1"/>
    </xf>
    <xf numFmtId="3" fontId="1" fillId="2" borderId="10" xfId="0" applyNumberFormat="1" applyFont="1" applyFill="1" applyBorder="1" applyAlignment="1">
      <alignment horizontal="right" vertical="top" wrapText="1"/>
    </xf>
    <xf numFmtId="0" fontId="1" fillId="0" borderId="0" xfId="0" applyFont="1" applyFill="1" applyBorder="1" applyAlignment="1" applyProtection="1"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28" xfId="0" applyFont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/>
      <protection locked="0"/>
    </xf>
    <xf numFmtId="0" fontId="1" fillId="0" borderId="31" xfId="0" applyFont="1" applyBorder="1" applyAlignment="1" applyProtection="1">
      <alignment horizontal="center"/>
      <protection locked="0"/>
    </xf>
    <xf numFmtId="3" fontId="8" fillId="2" borderId="7" xfId="0" applyNumberFormat="1" applyFont="1" applyFill="1" applyBorder="1" applyAlignment="1">
      <alignment horizontal="right" vertical="top" wrapText="1"/>
    </xf>
    <xf numFmtId="0" fontId="8" fillId="2" borderId="7" xfId="0" applyFont="1" applyFill="1" applyBorder="1" applyAlignment="1">
      <alignment horizontal="right" vertical="top" wrapText="1"/>
    </xf>
    <xf numFmtId="3" fontId="9" fillId="2" borderId="7" xfId="0" applyNumberFormat="1" applyFont="1" applyFill="1" applyBorder="1" applyAlignment="1">
      <alignment horizontal="right" vertical="center" wrapText="1"/>
    </xf>
    <xf numFmtId="3" fontId="1" fillId="3" borderId="7" xfId="0" quotePrefix="1" applyNumberFormat="1" applyFont="1" applyFill="1" applyBorder="1" applyAlignment="1" applyProtection="1">
      <alignment horizontal="right"/>
      <protection locked="0"/>
    </xf>
    <xf numFmtId="3" fontId="1" fillId="3" borderId="33" xfId="0" quotePrefix="1" applyNumberFormat="1" applyFont="1" applyFill="1" applyBorder="1" applyAlignment="1" applyProtection="1">
      <alignment horizontal="right"/>
      <protection locked="0"/>
    </xf>
    <xf numFmtId="3" fontId="8" fillId="2" borderId="33" xfId="0" applyNumberFormat="1" applyFont="1" applyFill="1" applyBorder="1" applyAlignment="1">
      <alignment horizontal="right" vertical="top" wrapText="1"/>
    </xf>
    <xf numFmtId="3" fontId="9" fillId="2" borderId="14" xfId="0" applyNumberFormat="1" applyFont="1" applyFill="1" applyBorder="1" applyAlignment="1">
      <alignment horizontal="right" vertical="center" wrapText="1"/>
    </xf>
    <xf numFmtId="3" fontId="9" fillId="2" borderId="10" xfId="0" applyNumberFormat="1" applyFont="1" applyFill="1" applyBorder="1" applyAlignment="1">
      <alignment horizontal="right" vertical="center" wrapText="1"/>
    </xf>
    <xf numFmtId="0" fontId="1" fillId="2" borderId="10" xfId="0" applyFont="1" applyFill="1" applyBorder="1" applyAlignment="1">
      <alignment horizontal="right" vertical="top" wrapText="1"/>
    </xf>
    <xf numFmtId="3" fontId="1" fillId="0" borderId="10" xfId="0" applyNumberFormat="1" applyFont="1" applyBorder="1" applyAlignment="1" applyProtection="1">
      <alignment horizontal="right" vertical="center"/>
      <protection locked="0"/>
    </xf>
    <xf numFmtId="3" fontId="9" fillId="2" borderId="0" xfId="0" applyNumberFormat="1" applyFont="1" applyFill="1" applyBorder="1" applyAlignment="1">
      <alignment horizontal="right" vertical="center" wrapText="1"/>
    </xf>
    <xf numFmtId="3" fontId="1" fillId="0" borderId="0" xfId="0" applyNumberFormat="1" applyFont="1" applyBorder="1" applyAlignment="1" applyProtection="1">
      <alignment horizontal="right" vertical="center"/>
      <protection locked="0"/>
    </xf>
    <xf numFmtId="0" fontId="3" fillId="0" borderId="29" xfId="0" applyFont="1" applyBorder="1" applyAlignment="1" applyProtection="1">
      <alignment horizontal="center"/>
      <protection locked="0"/>
    </xf>
    <xf numFmtId="3" fontId="5" fillId="0" borderId="0" xfId="0" applyNumberFormat="1" applyFont="1" applyBorder="1" applyAlignment="1">
      <alignment horizontal="right" vertical="top" wrapText="1"/>
    </xf>
    <xf numFmtId="0" fontId="5" fillId="0" borderId="0" xfId="0" applyFont="1" applyBorder="1" applyAlignment="1">
      <alignment horizontal="right" vertical="top" wrapText="1"/>
    </xf>
    <xf numFmtId="3" fontId="9" fillId="2" borderId="6" xfId="0" applyNumberFormat="1" applyFont="1" applyFill="1" applyBorder="1" applyAlignment="1">
      <alignment horizontal="right" vertical="center" wrapText="1"/>
    </xf>
    <xf numFmtId="3" fontId="5" fillId="0" borderId="7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3" fontId="1" fillId="0" borderId="14" xfId="0" applyNumberFormat="1" applyFont="1" applyBorder="1" applyAlignment="1" applyProtection="1">
      <alignment horizontal="right" vertical="center"/>
      <protection locked="0"/>
    </xf>
    <xf numFmtId="3" fontId="1" fillId="2" borderId="40" xfId="0" applyNumberFormat="1" applyFont="1" applyFill="1" applyBorder="1" applyAlignment="1">
      <alignment horizontal="right" vertical="top" wrapText="1"/>
    </xf>
    <xf numFmtId="3" fontId="1" fillId="2" borderId="33" xfId="0" applyNumberFormat="1" applyFont="1" applyFill="1" applyBorder="1" applyAlignment="1">
      <alignment horizontal="right" vertical="top" wrapText="1"/>
    </xf>
    <xf numFmtId="3" fontId="1" fillId="2" borderId="41" xfId="0" applyNumberFormat="1" applyFont="1" applyFill="1" applyBorder="1" applyAlignment="1">
      <alignment horizontal="right" vertical="top" wrapText="1"/>
    </xf>
    <xf numFmtId="3" fontId="5" fillId="0" borderId="33" xfId="0" applyNumberFormat="1" applyFont="1" applyBorder="1" applyAlignment="1">
      <alignment horizontal="right" vertical="top" wrapText="1"/>
    </xf>
    <xf numFmtId="3" fontId="5" fillId="0" borderId="1" xfId="0" applyNumberFormat="1" applyFont="1" applyBorder="1" applyAlignment="1">
      <alignment horizontal="right" vertical="top" wrapText="1"/>
    </xf>
    <xf numFmtId="0" fontId="5" fillId="0" borderId="33" xfId="0" applyFont="1" applyBorder="1" applyAlignment="1">
      <alignment horizontal="right" vertical="top" wrapText="1"/>
    </xf>
    <xf numFmtId="0" fontId="11" fillId="0" borderId="0" xfId="0" applyFont="1" applyBorder="1" applyAlignment="1" applyProtection="1">
      <alignment horizontal="left"/>
      <protection locked="0"/>
    </xf>
    <xf numFmtId="3" fontId="1" fillId="0" borderId="22" xfId="0" applyNumberFormat="1" applyFont="1" applyFill="1" applyBorder="1" applyAlignment="1" applyProtection="1">
      <alignment horizontal="right" wrapText="1"/>
      <protection locked="0"/>
    </xf>
    <xf numFmtId="3" fontId="1" fillId="0" borderId="7" xfId="0" applyNumberFormat="1" applyFont="1" applyBorder="1" applyAlignment="1">
      <alignment horizontal="right"/>
    </xf>
    <xf numFmtId="3" fontId="5" fillId="0" borderId="14" xfId="0" applyNumberFormat="1" applyFont="1" applyBorder="1" applyAlignment="1">
      <alignment horizontal="right"/>
    </xf>
    <xf numFmtId="3" fontId="2" fillId="0" borderId="22" xfId="0" applyNumberFormat="1" applyFont="1" applyFill="1" applyBorder="1" applyAlignment="1" applyProtection="1">
      <alignment horizontal="right" vertical="center" wrapText="1"/>
      <protection locked="0"/>
    </xf>
    <xf numFmtId="0" fontId="1" fillId="0" borderId="7" xfId="0" applyFont="1" applyBorder="1" applyAlignment="1" applyProtection="1">
      <alignment horizontal="right"/>
      <protection locked="0"/>
    </xf>
    <xf numFmtId="3" fontId="5" fillId="0" borderId="14" xfId="0" applyNumberFormat="1" applyFont="1" applyBorder="1" applyAlignment="1">
      <alignment horizontal="right" vertical="center"/>
    </xf>
    <xf numFmtId="3" fontId="1" fillId="0" borderId="39" xfId="0" applyNumberFormat="1" applyFont="1" applyFill="1" applyBorder="1" applyAlignment="1" applyProtection="1">
      <alignment horizontal="right" wrapText="1"/>
      <protection locked="0"/>
    </xf>
    <xf numFmtId="3" fontId="1" fillId="0" borderId="33" xfId="0" applyNumberFormat="1" applyFont="1" applyBorder="1" applyAlignment="1">
      <alignment horizontal="right"/>
    </xf>
    <xf numFmtId="3" fontId="5" fillId="0" borderId="42" xfId="0" applyNumberFormat="1" applyFont="1" applyBorder="1" applyAlignment="1">
      <alignment horizontal="right"/>
    </xf>
    <xf numFmtId="3" fontId="2" fillId="0" borderId="35" xfId="0" applyNumberFormat="1" applyFont="1" applyFill="1" applyBorder="1" applyAlignment="1" applyProtection="1">
      <alignment horizontal="right" vertical="center" wrapText="1"/>
      <protection locked="0"/>
    </xf>
    <xf numFmtId="3" fontId="2" fillId="0" borderId="37" xfId="0" applyNumberFormat="1" applyFont="1" applyFill="1" applyBorder="1" applyAlignment="1" applyProtection="1">
      <alignment horizontal="right" vertical="center" wrapText="1"/>
      <protection locked="0"/>
    </xf>
    <xf numFmtId="0" fontId="10" fillId="0" borderId="0" xfId="0" applyFont="1" applyAlignment="1" applyProtection="1">
      <alignment horizontal="center" vertical="top"/>
      <protection locked="0"/>
    </xf>
    <xf numFmtId="0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NumberFormat="1" applyFont="1" applyFill="1" applyBorder="1" applyAlignment="1" applyProtection="1">
      <alignment horizontal="left" vertical="center" wrapText="1"/>
      <protection locked="0"/>
    </xf>
    <xf numFmtId="3" fontId="2" fillId="0" borderId="0" xfId="0" applyNumberFormat="1" applyFont="1" applyBorder="1" applyAlignment="1" applyProtection="1">
      <alignment horizontal="right" vertical="center"/>
    </xf>
    <xf numFmtId="3" fontId="2" fillId="0" borderId="7" xfId="0" applyNumberFormat="1" applyFont="1" applyBorder="1" applyAlignment="1" applyProtection="1">
      <alignment horizontal="right" vertical="center"/>
    </xf>
    <xf numFmtId="3" fontId="2" fillId="0" borderId="14" xfId="0" applyNumberFormat="1" applyFont="1" applyBorder="1" applyAlignment="1" applyProtection="1">
      <alignment horizontal="right" vertical="center"/>
    </xf>
    <xf numFmtId="0" fontId="1" fillId="0" borderId="3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35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36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2" xfId="0" applyNumberFormat="1" applyFont="1" applyFill="1" applyBorder="1" applyAlignment="1" applyProtection="1">
      <alignment horizontal="center" vertical="center" wrapText="1"/>
      <protection locked="0"/>
    </xf>
    <xf numFmtId="3" fontId="2" fillId="3" borderId="7" xfId="0" applyNumberFormat="1" applyFont="1" applyFill="1" applyBorder="1" applyAlignment="1" applyProtection="1">
      <alignment horizontal="right" vertical="center"/>
      <protection locked="0"/>
    </xf>
    <xf numFmtId="0" fontId="1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5" xfId="0" applyNumberFormat="1" applyFont="1" applyFill="1" applyBorder="1" applyAlignment="1" applyProtection="1">
      <alignment horizontal="center" vertical="center" wrapText="1"/>
      <protection locked="0"/>
    </xf>
    <xf numFmtId="3" fontId="2" fillId="3" borderId="27" xfId="0" applyNumberFormat="1" applyFont="1" applyFill="1" applyBorder="1" applyAlignment="1" applyProtection="1">
      <alignment horizontal="right" vertical="center" wrapText="1"/>
      <protection locked="0"/>
    </xf>
    <xf numFmtId="0" fontId="2" fillId="3" borderId="7" xfId="0" applyNumberFormat="1" applyFont="1" applyFill="1" applyBorder="1" applyAlignment="1" applyProtection="1">
      <alignment horizontal="right" vertical="center" wrapText="1"/>
      <protection locked="0"/>
    </xf>
    <xf numFmtId="3" fontId="2" fillId="3" borderId="20" xfId="0" applyNumberFormat="1" applyFont="1" applyFill="1" applyBorder="1" applyAlignment="1" applyProtection="1">
      <alignment horizontal="right" vertical="center" wrapText="1"/>
      <protection locked="0"/>
    </xf>
    <xf numFmtId="0" fontId="2" fillId="3" borderId="0" xfId="0" applyNumberFormat="1" applyFont="1" applyFill="1" applyBorder="1" applyAlignment="1" applyProtection="1">
      <alignment horizontal="right" vertical="center" wrapText="1"/>
      <protection locked="0"/>
    </xf>
    <xf numFmtId="3" fontId="2" fillId="3" borderId="38" xfId="0" applyNumberFormat="1" applyFont="1" applyFill="1" applyBorder="1" applyAlignment="1" applyProtection="1">
      <alignment horizontal="right" vertical="center" wrapText="1"/>
      <protection locked="0"/>
    </xf>
    <xf numFmtId="0" fontId="2" fillId="3" borderId="14" xfId="0" applyNumberFormat="1" applyFont="1" applyFill="1" applyBorder="1" applyAlignment="1" applyProtection="1">
      <alignment horizontal="right" vertical="center" wrapText="1"/>
      <protection locked="0"/>
    </xf>
    <xf numFmtId="3" fontId="2" fillId="3" borderId="32" xfId="0" applyNumberFormat="1" applyFont="1" applyFill="1" applyBorder="1" applyAlignment="1" applyProtection="1">
      <alignment horizontal="right" vertical="center"/>
      <protection locked="0"/>
    </xf>
    <xf numFmtId="0" fontId="1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Protection="1">
      <protection locked="0"/>
    </xf>
    <xf numFmtId="0" fontId="7" fillId="0" borderId="6" xfId="0" applyFont="1" applyBorder="1" applyProtection="1">
      <protection locked="0"/>
    </xf>
    <xf numFmtId="0" fontId="7" fillId="0" borderId="10" xfId="0" applyFont="1" applyBorder="1" applyProtection="1">
      <protection locked="0"/>
    </xf>
    <xf numFmtId="0" fontId="7" fillId="0" borderId="11" xfId="0" applyFont="1" applyBorder="1" applyProtection="1">
      <protection locked="0"/>
    </xf>
    <xf numFmtId="0" fontId="7" fillId="0" borderId="12" xfId="0" applyFont="1" applyBorder="1" applyProtection="1">
      <protection locked="0"/>
    </xf>
    <xf numFmtId="0" fontId="1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9" xfId="0" applyFont="1" applyBorder="1" applyAlignment="1" applyProtection="1">
      <alignment horizontal="center" vertical="center"/>
      <protection locked="0"/>
    </xf>
    <xf numFmtId="0" fontId="1" fillId="0" borderId="30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4" xfId="0" applyFont="1" applyBorder="1" applyProtection="1">
      <protection locked="0"/>
    </xf>
    <xf numFmtId="3" fontId="2" fillId="0" borderId="6" xfId="0" applyNumberFormat="1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  <protection locked="0"/>
    </xf>
    <xf numFmtId="49" fontId="2" fillId="0" borderId="0" xfId="0" applyNumberFormat="1" applyFont="1" applyFill="1" applyBorder="1" applyAlignment="1" applyProtection="1">
      <alignment horizontal="left" vertical="center" wrapText="1"/>
      <protection locked="0"/>
    </xf>
    <xf numFmtId="3" fontId="2" fillId="0" borderId="10" xfId="0" applyNumberFormat="1" applyFont="1" applyBorder="1" applyAlignment="1" applyProtection="1">
      <alignment horizontal="right" vertical="center"/>
    </xf>
    <xf numFmtId="3" fontId="1" fillId="0" borderId="7" xfId="0" applyNumberFormat="1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 wrapText="1"/>
      <protection locked="0"/>
    </xf>
    <xf numFmtId="3" fontId="2" fillId="3" borderId="18" xfId="0" applyNumberFormat="1" applyFont="1" applyFill="1" applyBorder="1" applyAlignment="1" applyProtection="1">
      <alignment horizontal="right" vertical="center" wrapText="1"/>
      <protection locked="0"/>
    </xf>
    <xf numFmtId="0" fontId="2" fillId="3" borderId="6" xfId="0" applyNumberFormat="1" applyFont="1" applyFill="1" applyBorder="1" applyAlignment="1" applyProtection="1">
      <alignment horizontal="right" vertical="center" wrapText="1"/>
      <protection locked="0"/>
    </xf>
    <xf numFmtId="49" fontId="2" fillId="0" borderId="20" xfId="0" applyNumberFormat="1" applyFont="1" applyFill="1" applyBorder="1" applyAlignment="1" applyProtection="1">
      <alignment horizontal="left" vertical="center" wrapText="1" indent="1"/>
      <protection locked="0"/>
    </xf>
    <xf numFmtId="49" fontId="2" fillId="0" borderId="0" xfId="0" applyNumberFormat="1" applyFont="1" applyFill="1" applyBorder="1" applyAlignment="1" applyProtection="1">
      <alignment horizontal="left" vertical="center" wrapText="1" indent="1"/>
      <protection locked="0"/>
    </xf>
    <xf numFmtId="3" fontId="2" fillId="3" borderId="19" xfId="0" applyNumberFormat="1" applyFont="1" applyFill="1" applyBorder="1" applyAlignment="1" applyProtection="1">
      <alignment horizontal="right" vertical="center" wrapText="1"/>
      <protection locked="0"/>
    </xf>
    <xf numFmtId="0" fontId="2" fillId="3" borderId="10" xfId="0" applyNumberFormat="1" applyFont="1" applyFill="1" applyBorder="1" applyAlignment="1" applyProtection="1">
      <alignment horizontal="right" vertical="center" wrapText="1"/>
      <protection locked="0"/>
    </xf>
    <xf numFmtId="0" fontId="1" fillId="0" borderId="1" xfId="0" applyNumberFormat="1" applyFont="1" applyFill="1" applyBorder="1" applyAlignment="1" applyProtection="1">
      <alignment horizontal="center"/>
      <protection locked="0"/>
    </xf>
    <xf numFmtId="0" fontId="1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7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109"/>
  <sheetViews>
    <sheetView showGridLines="0" tabSelected="1" workbookViewId="0">
      <selection activeCell="G20" sqref="G20"/>
    </sheetView>
  </sheetViews>
  <sheetFormatPr defaultColWidth="13.44140625" defaultRowHeight="10.199999999999999"/>
  <cols>
    <col min="1" max="1" width="35.44140625" style="2" customWidth="1"/>
    <col min="2" max="2" width="7.33203125" style="2" bestFit="1" customWidth="1"/>
    <col min="3" max="3" width="5.109375" style="2" bestFit="1" customWidth="1"/>
    <col min="4" max="6" width="5.88671875" style="2" bestFit="1" customWidth="1"/>
    <col min="7" max="7" width="5.109375" style="2" bestFit="1" customWidth="1"/>
    <col min="8" max="8" width="5.88671875" style="2" bestFit="1" customWidth="1"/>
    <col min="9" max="11" width="5.109375" style="2" bestFit="1" customWidth="1"/>
    <col min="12" max="12" width="5.88671875" style="2" bestFit="1" customWidth="1"/>
    <col min="13" max="17" width="5.109375" style="2" bestFit="1" customWidth="1"/>
    <col min="18" max="18" width="5.88671875" style="2" bestFit="1" customWidth="1"/>
    <col min="19" max="19" width="5.109375" style="2" bestFit="1" customWidth="1"/>
    <col min="20" max="20" width="4.33203125" style="2" bestFit="1" customWidth="1"/>
    <col min="21" max="30" width="5.109375" style="2" bestFit="1" customWidth="1"/>
    <col min="31" max="31" width="4.33203125" style="2" bestFit="1" customWidth="1"/>
    <col min="32" max="32" width="3.109375" style="2" bestFit="1" customWidth="1"/>
    <col min="33" max="36" width="5.109375" style="2" bestFit="1" customWidth="1"/>
    <col min="37" max="39" width="5.109375" style="2" customWidth="1"/>
    <col min="40" max="40" width="5.88671875" style="2" bestFit="1" customWidth="1"/>
    <col min="41" max="48" width="5.109375" style="2" customWidth="1"/>
    <col min="49" max="50" width="5.88671875" style="2" bestFit="1" customWidth="1"/>
    <col min="51" max="16384" width="13.44140625" style="2"/>
  </cols>
  <sheetData>
    <row r="1" spans="1:53" ht="13.8">
      <c r="A1" s="74" t="s">
        <v>211</v>
      </c>
      <c r="B1" s="74"/>
      <c r="C1" s="74"/>
      <c r="D1" s="74"/>
      <c r="E1" s="74"/>
      <c r="F1" s="74"/>
      <c r="G1" s="74"/>
      <c r="H1" s="74"/>
      <c r="I1" s="74"/>
      <c r="J1" s="74"/>
      <c r="S1" s="3"/>
      <c r="T1" s="3"/>
      <c r="U1" s="3"/>
      <c r="V1" s="3"/>
      <c r="W1" s="3"/>
      <c r="X1" s="3"/>
      <c r="Y1" s="3"/>
      <c r="Z1" s="74" t="s">
        <v>212</v>
      </c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spans="1:53" ht="10.199999999999999" customHeight="1">
      <c r="A2" s="75" t="s">
        <v>213</v>
      </c>
      <c r="B2" s="75"/>
      <c r="C2" s="75"/>
      <c r="D2" s="75"/>
      <c r="E2" s="75"/>
      <c r="F2" s="75"/>
      <c r="G2" s="75"/>
      <c r="H2" s="75"/>
      <c r="I2" s="75"/>
      <c r="J2" s="75"/>
      <c r="S2" s="3"/>
      <c r="T2" s="3"/>
      <c r="U2" s="3"/>
      <c r="V2" s="3"/>
      <c r="W2" s="3"/>
      <c r="X2" s="3"/>
      <c r="Y2" s="3"/>
      <c r="Z2" s="76" t="s">
        <v>214</v>
      </c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</row>
    <row r="3" spans="1:53" ht="10.8" thickBot="1">
      <c r="A3" s="4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T3" s="4"/>
      <c r="U3" s="4"/>
      <c r="V3" s="4"/>
      <c r="W3" s="5"/>
      <c r="Y3" s="6"/>
      <c r="Z3" s="6"/>
      <c r="AA3" s="4"/>
      <c r="AB3" s="6"/>
      <c r="AC3" s="7"/>
      <c r="AD3" s="4"/>
      <c r="AE3" s="4"/>
      <c r="AF3" s="4"/>
      <c r="AG3" s="5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136" t="s">
        <v>1</v>
      </c>
      <c r="AZ3" s="136"/>
      <c r="BA3" s="136"/>
    </row>
    <row r="4" spans="1:53" ht="10.199999999999999" customHeight="1">
      <c r="A4" s="140" t="s">
        <v>2</v>
      </c>
      <c r="B4" s="80" t="s">
        <v>201</v>
      </c>
      <c r="C4" s="100" t="s">
        <v>191</v>
      </c>
      <c r="D4" s="101"/>
      <c r="E4" s="101"/>
      <c r="F4" s="101"/>
      <c r="G4" s="101"/>
      <c r="H4" s="102"/>
      <c r="I4" s="103" t="s">
        <v>192</v>
      </c>
      <c r="J4" s="104"/>
      <c r="K4" s="83" t="s">
        <v>193</v>
      </c>
      <c r="L4" s="109"/>
      <c r="M4" s="83" t="s">
        <v>194</v>
      </c>
      <c r="N4" s="84"/>
      <c r="O4" s="83" t="s">
        <v>195</v>
      </c>
      <c r="P4" s="114"/>
      <c r="Q4" s="83" t="s">
        <v>196</v>
      </c>
      <c r="R4" s="90"/>
      <c r="S4" s="137" t="s">
        <v>181</v>
      </c>
      <c r="T4" s="84"/>
      <c r="U4" s="83" t="s">
        <v>182</v>
      </c>
      <c r="V4" s="84"/>
      <c r="W4" s="83" t="s">
        <v>183</v>
      </c>
      <c r="X4" s="84"/>
      <c r="Y4" s="83" t="s">
        <v>184</v>
      </c>
      <c r="Z4" s="84"/>
      <c r="AA4" s="83" t="s">
        <v>185</v>
      </c>
      <c r="AB4" s="114"/>
      <c r="AC4" s="100" t="s">
        <v>3</v>
      </c>
      <c r="AD4" s="101"/>
      <c r="AE4" s="101"/>
      <c r="AF4" s="102"/>
      <c r="AG4" s="83" t="s">
        <v>188</v>
      </c>
      <c r="AH4" s="84"/>
      <c r="AI4" s="83" t="s">
        <v>189</v>
      </c>
      <c r="AJ4" s="90"/>
      <c r="AK4" s="83" t="s">
        <v>204</v>
      </c>
      <c r="AL4" s="84"/>
      <c r="AM4" s="83" t="s">
        <v>205</v>
      </c>
      <c r="AN4" s="84"/>
      <c r="AO4" s="83" t="s">
        <v>206</v>
      </c>
      <c r="AP4" s="84"/>
      <c r="AQ4" s="83" t="s">
        <v>207</v>
      </c>
      <c r="AR4" s="84"/>
      <c r="AS4" s="83" t="s">
        <v>208</v>
      </c>
      <c r="AT4" s="84"/>
      <c r="AU4" s="83" t="s">
        <v>209</v>
      </c>
      <c r="AV4" s="84"/>
      <c r="AW4" s="83" t="s">
        <v>210</v>
      </c>
      <c r="AX4" s="90"/>
      <c r="AY4" s="140" t="s">
        <v>4</v>
      </c>
      <c r="AZ4" s="140"/>
      <c r="BA4" s="140"/>
    </row>
    <row r="5" spans="1:53" ht="10.199999999999999" customHeight="1">
      <c r="A5" s="75"/>
      <c r="B5" s="81"/>
      <c r="C5" s="117" t="s">
        <v>197</v>
      </c>
      <c r="D5" s="118"/>
      <c r="E5" s="119" t="s">
        <v>198</v>
      </c>
      <c r="F5" s="120"/>
      <c r="G5" s="120"/>
      <c r="H5" s="121"/>
      <c r="I5" s="105"/>
      <c r="J5" s="106"/>
      <c r="K5" s="110"/>
      <c r="L5" s="111"/>
      <c r="M5" s="85"/>
      <c r="N5" s="86"/>
      <c r="O5" s="85"/>
      <c r="P5" s="115"/>
      <c r="Q5" s="85"/>
      <c r="R5" s="91"/>
      <c r="S5" s="138"/>
      <c r="T5" s="86"/>
      <c r="U5" s="85"/>
      <c r="V5" s="86"/>
      <c r="W5" s="85"/>
      <c r="X5" s="86"/>
      <c r="Y5" s="85"/>
      <c r="Z5" s="86"/>
      <c r="AA5" s="85"/>
      <c r="AB5" s="115"/>
      <c r="AC5" s="117" t="s">
        <v>186</v>
      </c>
      <c r="AD5" s="118"/>
      <c r="AE5" s="117" t="s">
        <v>187</v>
      </c>
      <c r="AF5" s="118"/>
      <c r="AG5" s="85"/>
      <c r="AH5" s="86"/>
      <c r="AI5" s="85"/>
      <c r="AJ5" s="91"/>
      <c r="AK5" s="85"/>
      <c r="AL5" s="86"/>
      <c r="AM5" s="85"/>
      <c r="AN5" s="86"/>
      <c r="AO5" s="85"/>
      <c r="AP5" s="86"/>
      <c r="AQ5" s="85"/>
      <c r="AR5" s="86"/>
      <c r="AS5" s="85"/>
      <c r="AT5" s="86"/>
      <c r="AU5" s="85"/>
      <c r="AV5" s="86"/>
      <c r="AW5" s="85"/>
      <c r="AX5" s="91"/>
      <c r="AY5" s="75"/>
      <c r="AZ5" s="75"/>
      <c r="BA5" s="75"/>
    </row>
    <row r="6" spans="1:53" ht="22.8" customHeight="1">
      <c r="A6" s="75"/>
      <c r="B6" s="81"/>
      <c r="C6" s="87"/>
      <c r="D6" s="88"/>
      <c r="E6" s="122" t="s">
        <v>199</v>
      </c>
      <c r="F6" s="123"/>
      <c r="G6" s="122" t="s">
        <v>200</v>
      </c>
      <c r="H6" s="123"/>
      <c r="I6" s="107"/>
      <c r="J6" s="108"/>
      <c r="K6" s="112"/>
      <c r="L6" s="113"/>
      <c r="M6" s="87"/>
      <c r="N6" s="88"/>
      <c r="O6" s="87"/>
      <c r="P6" s="116"/>
      <c r="Q6" s="87"/>
      <c r="R6" s="92"/>
      <c r="S6" s="139"/>
      <c r="T6" s="88"/>
      <c r="U6" s="87"/>
      <c r="V6" s="88"/>
      <c r="W6" s="87"/>
      <c r="X6" s="88"/>
      <c r="Y6" s="87"/>
      <c r="Z6" s="88"/>
      <c r="AA6" s="87"/>
      <c r="AB6" s="116"/>
      <c r="AC6" s="87"/>
      <c r="AD6" s="88"/>
      <c r="AE6" s="87"/>
      <c r="AF6" s="88"/>
      <c r="AG6" s="87"/>
      <c r="AH6" s="88"/>
      <c r="AI6" s="87"/>
      <c r="AJ6" s="92"/>
      <c r="AK6" s="87"/>
      <c r="AL6" s="88"/>
      <c r="AM6" s="87"/>
      <c r="AN6" s="88"/>
      <c r="AO6" s="87"/>
      <c r="AP6" s="88"/>
      <c r="AQ6" s="87"/>
      <c r="AR6" s="88"/>
      <c r="AS6" s="87"/>
      <c r="AT6" s="88"/>
      <c r="AU6" s="87"/>
      <c r="AV6" s="88"/>
      <c r="AW6" s="87"/>
      <c r="AX6" s="92"/>
      <c r="AY6" s="75"/>
      <c r="AZ6" s="75"/>
      <c r="BA6" s="75"/>
    </row>
    <row r="7" spans="1:53">
      <c r="A7" s="141"/>
      <c r="B7" s="82"/>
      <c r="C7" s="33">
        <v>1</v>
      </c>
      <c r="D7" s="33">
        <v>2</v>
      </c>
      <c r="E7" s="33">
        <v>1</v>
      </c>
      <c r="F7" s="33">
        <v>2</v>
      </c>
      <c r="G7" s="33">
        <v>1</v>
      </c>
      <c r="H7" s="33">
        <v>2</v>
      </c>
      <c r="I7" s="34">
        <v>1</v>
      </c>
      <c r="J7" s="34">
        <v>2</v>
      </c>
      <c r="K7" s="33">
        <v>1</v>
      </c>
      <c r="L7" s="33">
        <v>2</v>
      </c>
      <c r="M7" s="33">
        <v>1</v>
      </c>
      <c r="N7" s="33">
        <v>2</v>
      </c>
      <c r="O7" s="35">
        <v>1</v>
      </c>
      <c r="P7" s="34">
        <v>2</v>
      </c>
      <c r="Q7" s="35">
        <v>1</v>
      </c>
      <c r="R7" s="36">
        <v>2</v>
      </c>
      <c r="S7" s="8">
        <v>1</v>
      </c>
      <c r="T7" s="9">
        <v>2</v>
      </c>
      <c r="U7" s="9">
        <v>1</v>
      </c>
      <c r="V7" s="9">
        <v>2</v>
      </c>
      <c r="W7" s="9">
        <v>1</v>
      </c>
      <c r="X7" s="9">
        <v>2</v>
      </c>
      <c r="Y7" s="9">
        <v>1</v>
      </c>
      <c r="Z7" s="9">
        <v>2</v>
      </c>
      <c r="AA7" s="9">
        <v>1</v>
      </c>
      <c r="AB7" s="9">
        <v>2</v>
      </c>
      <c r="AC7" s="9">
        <v>1</v>
      </c>
      <c r="AD7" s="9">
        <v>2</v>
      </c>
      <c r="AE7" s="10">
        <v>1</v>
      </c>
      <c r="AF7" s="9">
        <v>2</v>
      </c>
      <c r="AG7" s="10">
        <v>1</v>
      </c>
      <c r="AH7" s="9">
        <v>2</v>
      </c>
      <c r="AI7" s="9">
        <v>1</v>
      </c>
      <c r="AJ7" s="49">
        <v>2</v>
      </c>
      <c r="AK7" s="9">
        <v>1</v>
      </c>
      <c r="AL7" s="9">
        <v>2</v>
      </c>
      <c r="AM7" s="9">
        <v>1</v>
      </c>
      <c r="AN7" s="9">
        <v>2</v>
      </c>
      <c r="AO7" s="9">
        <v>1</v>
      </c>
      <c r="AP7" s="9">
        <v>2</v>
      </c>
      <c r="AQ7" s="9">
        <v>1</v>
      </c>
      <c r="AR7" s="9">
        <v>2</v>
      </c>
      <c r="AS7" s="9">
        <v>1</v>
      </c>
      <c r="AT7" s="9">
        <v>2</v>
      </c>
      <c r="AU7" s="9">
        <v>1</v>
      </c>
      <c r="AV7" s="9">
        <v>2</v>
      </c>
      <c r="AW7" s="9">
        <v>1</v>
      </c>
      <c r="AX7" s="11">
        <v>2</v>
      </c>
      <c r="AY7" s="141"/>
      <c r="AZ7" s="141"/>
      <c r="BA7" s="141"/>
    </row>
    <row r="8" spans="1:53" s="12" customFormat="1">
      <c r="A8" s="132" t="s">
        <v>5</v>
      </c>
      <c r="B8" s="73">
        <f>SUM(B10,B18,B27,B32,B38,B45,B52,B59,B64,B71,B81,B88,B103)</f>
        <v>1005008</v>
      </c>
      <c r="C8" s="93">
        <f>SUM(C10,C18,C27,C32,C38,C45,C52,C59,C64,C71,C81,C88,C103)</f>
        <v>93625</v>
      </c>
      <c r="D8" s="93">
        <f t="shared" ref="D8:Q8" si="0">SUM(D10,D18,D27,D32,D38,D45,D52,D59,D64,D71,D81,D88,D103)</f>
        <v>583793.12</v>
      </c>
      <c r="E8" s="93">
        <f t="shared" si="0"/>
        <v>138902</v>
      </c>
      <c r="F8" s="93">
        <f t="shared" si="0"/>
        <v>390684.0089999999</v>
      </c>
      <c r="G8" s="93">
        <f t="shared" si="0"/>
        <v>33234</v>
      </c>
      <c r="H8" s="93">
        <f t="shared" si="0"/>
        <v>246690.72499999998</v>
      </c>
      <c r="I8" s="93">
        <f t="shared" si="0"/>
        <v>71480</v>
      </c>
      <c r="J8" s="93">
        <f t="shared" si="0"/>
        <v>64401.148000000001</v>
      </c>
      <c r="K8" s="93">
        <f t="shared" si="0"/>
        <v>67219</v>
      </c>
      <c r="L8" s="93">
        <f t="shared" si="0"/>
        <v>146321.81199999998</v>
      </c>
      <c r="M8" s="93">
        <f t="shared" si="0"/>
        <v>40788</v>
      </c>
      <c r="N8" s="93">
        <f t="shared" si="0"/>
        <v>73524.531000000003</v>
      </c>
      <c r="O8" s="93">
        <f>SUM(O10,O18,O27,O32,O38,O45,O52,O59,O64,O71,O81,O88,O103)</f>
        <v>43472</v>
      </c>
      <c r="P8" s="93">
        <f t="shared" si="0"/>
        <v>77386.600999999995</v>
      </c>
      <c r="Q8" s="93">
        <f t="shared" si="0"/>
        <v>66227</v>
      </c>
      <c r="R8" s="93">
        <f>SUM(R10,R18,R27,R32,R38,R45,R52,R59,R64,R71,R81,R88,R103)</f>
        <v>189506.86300000001</v>
      </c>
      <c r="S8" s="134">
        <f t="shared" ref="S8:AI8" si="1">SUM(S10,S18,S27,S32,S38,S45,S52,S59,S64,S71,S81,S88,S103)</f>
        <v>13459</v>
      </c>
      <c r="T8" s="93">
        <f t="shared" si="1"/>
        <v>9284.0059999999994</v>
      </c>
      <c r="U8" s="93">
        <f t="shared" si="1"/>
        <v>21369</v>
      </c>
      <c r="V8" s="93">
        <f t="shared" si="1"/>
        <v>21594.229999999996</v>
      </c>
      <c r="W8" s="93">
        <f t="shared" si="1"/>
        <v>21974</v>
      </c>
      <c r="X8" s="93">
        <f t="shared" si="1"/>
        <v>32145.114999999998</v>
      </c>
      <c r="Y8" s="93">
        <f t="shared" si="1"/>
        <v>40952</v>
      </c>
      <c r="Z8" s="93">
        <f t="shared" si="1"/>
        <v>45632.57</v>
      </c>
      <c r="AA8" s="93">
        <f t="shared" si="1"/>
        <v>20038</v>
      </c>
      <c r="AB8" s="93">
        <f t="shared" si="1"/>
        <v>12992.710000000003</v>
      </c>
      <c r="AC8" s="93">
        <f t="shared" si="1"/>
        <v>19277</v>
      </c>
      <c r="AD8" s="93">
        <f t="shared" si="1"/>
        <v>13830.284999999998</v>
      </c>
      <c r="AE8" s="93">
        <f t="shared" si="1"/>
        <v>1357</v>
      </c>
      <c r="AF8" s="93">
        <f t="shared" si="1"/>
        <v>706.101</v>
      </c>
      <c r="AG8" s="93">
        <f t="shared" si="1"/>
        <v>20107</v>
      </c>
      <c r="AH8" s="93">
        <f t="shared" si="1"/>
        <v>41216.489000000009</v>
      </c>
      <c r="AI8" s="93">
        <f t="shared" si="1"/>
        <v>56524</v>
      </c>
      <c r="AJ8" s="130">
        <f>SUM(AJ10,AJ18,AJ27,AJ32,AJ38,AJ45,AJ52,AJ59,AJ64,AJ71,AJ81,AJ88,AJ103)</f>
        <v>84859.236999999994</v>
      </c>
      <c r="AK8" s="93">
        <f t="shared" ref="AK8:AX8" si="2">SUM(AK10,AK18,AK27,AK32,AK38,AK45,AK52,AK59,AK64,AK71,AK81,AK88,AK103)</f>
        <v>13573</v>
      </c>
      <c r="AL8" s="95">
        <f t="shared" si="2"/>
        <v>23595.217999999993</v>
      </c>
      <c r="AM8" s="93">
        <f t="shared" si="2"/>
        <v>14877</v>
      </c>
      <c r="AN8" s="95">
        <f t="shared" si="2"/>
        <v>136041.90399999998</v>
      </c>
      <c r="AO8" s="93">
        <f t="shared" si="2"/>
        <v>28797</v>
      </c>
      <c r="AP8" s="95">
        <f t="shared" si="2"/>
        <v>54062.172999999988</v>
      </c>
      <c r="AQ8" s="93">
        <f t="shared" si="2"/>
        <v>3877</v>
      </c>
      <c r="AR8" s="95">
        <f t="shared" si="2"/>
        <v>14911.74</v>
      </c>
      <c r="AS8" s="93">
        <f>SUM(AS10,AS18,AS27,AS32,AS38,AS45,AS52,AS59,AS64,AS71,AS81,AS88,AS103)</f>
        <v>28657</v>
      </c>
      <c r="AT8" s="95">
        <f t="shared" si="2"/>
        <v>14543.490000000002</v>
      </c>
      <c r="AU8" s="93">
        <f t="shared" si="2"/>
        <v>2972</v>
      </c>
      <c r="AV8" s="95">
        <f t="shared" si="2"/>
        <v>6914.2900000000009</v>
      </c>
      <c r="AW8" s="93">
        <f t="shared" si="2"/>
        <v>142251</v>
      </c>
      <c r="AX8" s="97">
        <f t="shared" si="2"/>
        <v>302799.467</v>
      </c>
      <c r="AY8" s="75" t="s">
        <v>6</v>
      </c>
      <c r="AZ8" s="75"/>
      <c r="BA8" s="75"/>
    </row>
    <row r="9" spans="1:53">
      <c r="A9" s="133"/>
      <c r="B9" s="72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135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131"/>
      <c r="AK9" s="94"/>
      <c r="AL9" s="96"/>
      <c r="AM9" s="94"/>
      <c r="AN9" s="96"/>
      <c r="AO9" s="94"/>
      <c r="AP9" s="96"/>
      <c r="AQ9" s="94"/>
      <c r="AR9" s="96"/>
      <c r="AS9" s="94"/>
      <c r="AT9" s="96"/>
      <c r="AU9" s="94"/>
      <c r="AV9" s="96"/>
      <c r="AW9" s="94"/>
      <c r="AX9" s="98"/>
      <c r="AY9" s="75"/>
      <c r="AZ9" s="75"/>
      <c r="BA9" s="75"/>
    </row>
    <row r="10" spans="1:53" ht="10.199999999999999" customHeight="1">
      <c r="A10" s="126" t="s">
        <v>7</v>
      </c>
      <c r="B10" s="72">
        <f>SUM(B12:B17)</f>
        <v>75646</v>
      </c>
      <c r="C10" s="89">
        <f>SUM(C12:C17)</f>
        <v>3022</v>
      </c>
      <c r="D10" s="89">
        <f>SUM(D12:D17)</f>
        <v>14575.699999999999</v>
      </c>
      <c r="E10" s="89">
        <f t="shared" ref="E10:R10" si="3">SUM(E12:E17)</f>
        <v>9535</v>
      </c>
      <c r="F10" s="89">
        <f t="shared" si="3"/>
        <v>25777.26</v>
      </c>
      <c r="G10" s="89">
        <f t="shared" si="3"/>
        <v>685</v>
      </c>
      <c r="H10" s="89">
        <f t="shared" si="3"/>
        <v>3638.2</v>
      </c>
      <c r="I10" s="89">
        <f t="shared" si="3"/>
        <v>6783</v>
      </c>
      <c r="J10" s="89">
        <f t="shared" si="3"/>
        <v>5051.2000000000007</v>
      </c>
      <c r="K10" s="89">
        <f t="shared" si="3"/>
        <v>3752</v>
      </c>
      <c r="L10" s="89">
        <f t="shared" si="3"/>
        <v>8489.8700000000008</v>
      </c>
      <c r="M10" s="89">
        <f t="shared" si="3"/>
        <v>1483</v>
      </c>
      <c r="N10" s="89">
        <f t="shared" si="3"/>
        <v>2757.35</v>
      </c>
      <c r="O10" s="89">
        <f t="shared" si="3"/>
        <v>1329</v>
      </c>
      <c r="P10" s="89">
        <f t="shared" si="3"/>
        <v>2097.7800000000002</v>
      </c>
      <c r="Q10" s="89">
        <f t="shared" si="3"/>
        <v>4965</v>
      </c>
      <c r="R10" s="89">
        <f t="shared" si="3"/>
        <v>7667.7779999999993</v>
      </c>
      <c r="S10" s="127">
        <f t="shared" ref="S10:Z10" si="4">SUM(S12:S17)</f>
        <v>3607</v>
      </c>
      <c r="T10" s="78">
        <f t="shared" si="4"/>
        <v>2208.88</v>
      </c>
      <c r="U10" s="78">
        <f t="shared" si="4"/>
        <v>15</v>
      </c>
      <c r="V10" s="78">
        <f t="shared" si="4"/>
        <v>15</v>
      </c>
      <c r="W10" s="78">
        <f t="shared" si="4"/>
        <v>850</v>
      </c>
      <c r="X10" s="78">
        <f t="shared" si="4"/>
        <v>771.75000000000011</v>
      </c>
      <c r="Y10" s="78">
        <f t="shared" si="4"/>
        <v>1359</v>
      </c>
      <c r="Z10" s="78">
        <f t="shared" si="4"/>
        <v>1221.1099999999999</v>
      </c>
      <c r="AA10" s="78">
        <f>SUM(AA12:AA17)</f>
        <v>3186</v>
      </c>
      <c r="AB10" s="78">
        <f t="shared" ref="AB10:AI10" si="5">SUM(AB12:AB17)</f>
        <v>2052.0700000000002</v>
      </c>
      <c r="AC10" s="78">
        <f t="shared" si="5"/>
        <v>2336</v>
      </c>
      <c r="AD10" s="78">
        <f t="shared" si="5"/>
        <v>1461.95</v>
      </c>
      <c r="AE10" s="78">
        <f t="shared" si="5"/>
        <v>201</v>
      </c>
      <c r="AF10" s="78">
        <f t="shared" si="5"/>
        <v>74.199999999999989</v>
      </c>
      <c r="AG10" s="124">
        <f t="shared" si="5"/>
        <v>1645</v>
      </c>
      <c r="AH10" s="78">
        <f t="shared" si="5"/>
        <v>3062.52</v>
      </c>
      <c r="AI10" s="78">
        <f t="shared" si="5"/>
        <v>1861</v>
      </c>
      <c r="AJ10" s="124">
        <f>SUM(AJ12:AJ17)</f>
        <v>2025.6800000000003</v>
      </c>
      <c r="AK10" s="78">
        <f t="shared" ref="AK10:AX10" si="6">SUM(AK12:AK17)</f>
        <v>597</v>
      </c>
      <c r="AL10" s="77">
        <f t="shared" si="6"/>
        <v>1046.4499999999998</v>
      </c>
      <c r="AM10" s="78">
        <f t="shared" si="6"/>
        <v>193</v>
      </c>
      <c r="AN10" s="77">
        <f t="shared" si="6"/>
        <v>1054.75</v>
      </c>
      <c r="AO10" s="78">
        <f t="shared" si="6"/>
        <v>2059</v>
      </c>
      <c r="AP10" s="77">
        <f t="shared" si="6"/>
        <v>3044.674</v>
      </c>
      <c r="AQ10" s="78">
        <f t="shared" si="6"/>
        <v>97</v>
      </c>
      <c r="AR10" s="77">
        <f t="shared" si="6"/>
        <v>248.39999999999998</v>
      </c>
      <c r="AS10" s="78">
        <f>SUM(AS12:AS17)</f>
        <v>17674</v>
      </c>
      <c r="AT10" s="77">
        <f t="shared" si="6"/>
        <v>10217.620000000001</v>
      </c>
      <c r="AU10" s="78">
        <f t="shared" si="6"/>
        <v>12</v>
      </c>
      <c r="AV10" s="77">
        <f t="shared" si="6"/>
        <v>22.4</v>
      </c>
      <c r="AW10" s="78">
        <f t="shared" si="6"/>
        <v>8400</v>
      </c>
      <c r="AX10" s="79">
        <f t="shared" si="6"/>
        <v>15137.719000000001</v>
      </c>
      <c r="AY10" s="76" t="s">
        <v>8</v>
      </c>
      <c r="AZ10" s="76"/>
      <c r="BA10" s="76"/>
    </row>
    <row r="11" spans="1:53" ht="12" customHeight="1">
      <c r="A11" s="126"/>
      <c r="B11" s="72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127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124"/>
      <c r="AH11" s="78"/>
      <c r="AI11" s="78"/>
      <c r="AJ11" s="124"/>
      <c r="AK11" s="78"/>
      <c r="AL11" s="77"/>
      <c r="AM11" s="78"/>
      <c r="AN11" s="77"/>
      <c r="AO11" s="78"/>
      <c r="AP11" s="77"/>
      <c r="AQ11" s="78"/>
      <c r="AR11" s="77"/>
      <c r="AS11" s="78"/>
      <c r="AT11" s="77"/>
      <c r="AU11" s="78"/>
      <c r="AV11" s="77"/>
      <c r="AW11" s="78"/>
      <c r="AX11" s="79"/>
      <c r="AY11" s="76"/>
      <c r="AZ11" s="76"/>
      <c r="BA11" s="76"/>
    </row>
    <row r="12" spans="1:53">
      <c r="A12" s="13" t="s">
        <v>9</v>
      </c>
      <c r="B12" s="63">
        <f>SUM(C12,E12,G12,I12,K12,M12,O12,Q12,S12,U12,W12,Y12,AA12,AC12,AE12,AG12,AI12,AK12,AM12,AO12,AQ12,AS12,AU12,AW12)</f>
        <v>10017</v>
      </c>
      <c r="C12" s="37">
        <v>304</v>
      </c>
      <c r="D12" s="37">
        <v>1483.4</v>
      </c>
      <c r="E12" s="37">
        <v>1532</v>
      </c>
      <c r="F12" s="37">
        <v>4347.5</v>
      </c>
      <c r="G12" s="37">
        <v>84</v>
      </c>
      <c r="H12" s="37">
        <v>634.4</v>
      </c>
      <c r="I12" s="37">
        <v>464</v>
      </c>
      <c r="J12" s="64">
        <v>396.4</v>
      </c>
      <c r="K12" s="37">
        <v>551</v>
      </c>
      <c r="L12" s="37">
        <v>1123.0999999999999</v>
      </c>
      <c r="M12" s="37">
        <v>285</v>
      </c>
      <c r="N12" s="37">
        <v>562.79999999999995</v>
      </c>
      <c r="O12" s="37">
        <v>227</v>
      </c>
      <c r="P12" s="37">
        <v>310.89999999999998</v>
      </c>
      <c r="Q12" s="37">
        <v>1047</v>
      </c>
      <c r="R12" s="37">
        <v>1269.0999999999999</v>
      </c>
      <c r="S12" s="31">
        <v>156</v>
      </c>
      <c r="T12" s="25">
        <v>90</v>
      </c>
      <c r="U12" s="27" t="s">
        <v>190</v>
      </c>
      <c r="V12" s="27" t="s">
        <v>190</v>
      </c>
      <c r="W12" s="25">
        <v>109</v>
      </c>
      <c r="X12" s="25">
        <v>100.4</v>
      </c>
      <c r="Y12" s="25">
        <v>321</v>
      </c>
      <c r="Z12" s="25">
        <v>314.7</v>
      </c>
      <c r="AA12" s="64">
        <v>37</v>
      </c>
      <c r="AB12" s="64">
        <v>17.12</v>
      </c>
      <c r="AC12" s="25">
        <v>1804</v>
      </c>
      <c r="AD12" s="25">
        <v>1148.8800000000001</v>
      </c>
      <c r="AE12" s="25">
        <v>151</v>
      </c>
      <c r="AF12" s="25">
        <v>63.3</v>
      </c>
      <c r="AG12" s="29">
        <v>342</v>
      </c>
      <c r="AH12" s="25">
        <v>888.5</v>
      </c>
      <c r="AI12" s="25">
        <v>263</v>
      </c>
      <c r="AJ12" s="29">
        <v>356.2</v>
      </c>
      <c r="AK12" s="53">
        <v>112</v>
      </c>
      <c r="AL12" s="50">
        <v>194.2</v>
      </c>
      <c r="AM12" s="53">
        <v>35</v>
      </c>
      <c r="AN12" s="50">
        <v>240.95</v>
      </c>
      <c r="AO12" s="53">
        <v>332</v>
      </c>
      <c r="AP12" s="50">
        <v>666.5</v>
      </c>
      <c r="AQ12" s="53">
        <v>35</v>
      </c>
      <c r="AR12" s="50">
        <v>99.2</v>
      </c>
      <c r="AS12" s="53">
        <v>710</v>
      </c>
      <c r="AT12" s="50">
        <v>209</v>
      </c>
      <c r="AU12" s="54" t="s">
        <v>190</v>
      </c>
      <c r="AV12" s="51" t="s">
        <v>190</v>
      </c>
      <c r="AW12" s="53">
        <v>1116</v>
      </c>
      <c r="AX12" s="65">
        <v>1975.7</v>
      </c>
      <c r="AY12" s="14" t="s">
        <v>10</v>
      </c>
      <c r="AZ12" s="15"/>
      <c r="BA12" s="15"/>
    </row>
    <row r="13" spans="1:53">
      <c r="A13" s="13" t="s">
        <v>11</v>
      </c>
      <c r="B13" s="63">
        <f>SUM(C13,E13,G13,I13,K13,M13,O13,Q13,S13,U13,W13,Y13,AA13,AC13,AE13,AG13,AI13,AK13,AM13,AO13,AQ13,AS13,AU13,AW13)</f>
        <v>8984</v>
      </c>
      <c r="C13" s="37">
        <v>817</v>
      </c>
      <c r="D13" s="37">
        <v>3484.5</v>
      </c>
      <c r="E13" s="37">
        <v>1236</v>
      </c>
      <c r="F13" s="37">
        <v>2276.9</v>
      </c>
      <c r="G13" s="37">
        <v>213</v>
      </c>
      <c r="H13" s="37">
        <v>865.7</v>
      </c>
      <c r="I13" s="37">
        <v>1095</v>
      </c>
      <c r="J13" s="64">
        <v>391.8</v>
      </c>
      <c r="K13" s="37">
        <v>584</v>
      </c>
      <c r="L13" s="37">
        <v>1789.8</v>
      </c>
      <c r="M13" s="37">
        <v>273</v>
      </c>
      <c r="N13" s="37">
        <v>475.1</v>
      </c>
      <c r="O13" s="37">
        <v>111</v>
      </c>
      <c r="P13" s="37">
        <v>132</v>
      </c>
      <c r="Q13" s="37">
        <v>1740</v>
      </c>
      <c r="R13" s="37">
        <v>2901.8980000000001</v>
      </c>
      <c r="S13" s="31">
        <v>43</v>
      </c>
      <c r="T13" s="25">
        <v>21.8</v>
      </c>
      <c r="U13" s="27" t="s">
        <v>190</v>
      </c>
      <c r="V13" s="27" t="s">
        <v>190</v>
      </c>
      <c r="W13" s="25">
        <v>223</v>
      </c>
      <c r="X13" s="25">
        <v>228.8</v>
      </c>
      <c r="Y13" s="25">
        <v>165</v>
      </c>
      <c r="Z13" s="25">
        <v>153.05000000000001</v>
      </c>
      <c r="AA13" s="64">
        <v>79</v>
      </c>
      <c r="AB13" s="64">
        <v>35</v>
      </c>
      <c r="AC13" s="25">
        <v>153</v>
      </c>
      <c r="AD13" s="25">
        <v>120.6</v>
      </c>
      <c r="AE13" s="26" t="s">
        <v>190</v>
      </c>
      <c r="AF13" s="25">
        <v>0</v>
      </c>
      <c r="AG13" s="29">
        <v>231</v>
      </c>
      <c r="AH13" s="25">
        <v>818.95</v>
      </c>
      <c r="AI13" s="25">
        <v>384</v>
      </c>
      <c r="AJ13" s="29">
        <v>447</v>
      </c>
      <c r="AK13" s="53">
        <v>72</v>
      </c>
      <c r="AL13" s="50">
        <v>100.95</v>
      </c>
      <c r="AM13" s="53">
        <v>39</v>
      </c>
      <c r="AN13" s="50">
        <v>132</v>
      </c>
      <c r="AO13" s="53">
        <v>182</v>
      </c>
      <c r="AP13" s="50">
        <v>249.35300000000001</v>
      </c>
      <c r="AQ13" s="53">
        <v>25</v>
      </c>
      <c r="AR13" s="50">
        <v>49</v>
      </c>
      <c r="AS13" s="54" t="s">
        <v>190</v>
      </c>
      <c r="AT13" s="50" t="s">
        <v>190</v>
      </c>
      <c r="AU13" s="54" t="s">
        <v>190</v>
      </c>
      <c r="AV13" s="51" t="s">
        <v>190</v>
      </c>
      <c r="AW13" s="53">
        <v>1319</v>
      </c>
      <c r="AX13" s="65">
        <v>2570.413</v>
      </c>
      <c r="AY13" s="14" t="s">
        <v>12</v>
      </c>
      <c r="AZ13" s="15"/>
      <c r="BA13" s="15"/>
    </row>
    <row r="14" spans="1:53">
      <c r="A14" s="13" t="s">
        <v>13</v>
      </c>
      <c r="B14" s="63">
        <f t="shared" ref="B14:B17" si="7">SUM(C14,E14,G14,I14,K14,M14,O14,Q14,S14,U14,W14,Y14,AA14,AC14,AE14,AG14,AI14,AK14,AM14,AO14,AQ14,AS14,AU14,AW14)</f>
        <v>18340</v>
      </c>
      <c r="C14" s="37">
        <v>336</v>
      </c>
      <c r="D14" s="37">
        <v>1623.4</v>
      </c>
      <c r="E14" s="37">
        <v>1314</v>
      </c>
      <c r="F14" s="37">
        <v>3666.65</v>
      </c>
      <c r="G14" s="37">
        <v>71</v>
      </c>
      <c r="H14" s="37">
        <v>352</v>
      </c>
      <c r="I14" s="37">
        <v>2706</v>
      </c>
      <c r="J14" s="64">
        <v>2143.79</v>
      </c>
      <c r="K14" s="37">
        <v>532</v>
      </c>
      <c r="L14" s="37">
        <v>1502.72</v>
      </c>
      <c r="M14" s="37">
        <v>190</v>
      </c>
      <c r="N14" s="37">
        <v>416.15</v>
      </c>
      <c r="O14" s="37">
        <v>202</v>
      </c>
      <c r="P14" s="37">
        <v>366.48</v>
      </c>
      <c r="Q14" s="37">
        <v>1359</v>
      </c>
      <c r="R14" s="37">
        <v>2975.48</v>
      </c>
      <c r="S14" s="31">
        <v>3333</v>
      </c>
      <c r="T14" s="25">
        <v>2056.96</v>
      </c>
      <c r="U14" s="27" t="s">
        <v>190</v>
      </c>
      <c r="V14" s="27" t="s">
        <v>190</v>
      </c>
      <c r="W14" s="25">
        <v>23</v>
      </c>
      <c r="X14" s="25">
        <v>19.3</v>
      </c>
      <c r="Y14" s="25">
        <v>226</v>
      </c>
      <c r="Z14" s="25">
        <v>242.9</v>
      </c>
      <c r="AA14" s="64">
        <v>3014</v>
      </c>
      <c r="AB14" s="64">
        <v>1965.2</v>
      </c>
      <c r="AC14" s="25">
        <v>210</v>
      </c>
      <c r="AD14" s="25">
        <v>101.08</v>
      </c>
      <c r="AE14" s="25">
        <v>39</v>
      </c>
      <c r="AF14" s="25">
        <v>7.6</v>
      </c>
      <c r="AG14" s="29">
        <v>208</v>
      </c>
      <c r="AH14" s="25">
        <v>406.22</v>
      </c>
      <c r="AI14" s="25">
        <v>132</v>
      </c>
      <c r="AJ14" s="29">
        <v>174.08</v>
      </c>
      <c r="AK14" s="53">
        <v>157</v>
      </c>
      <c r="AL14" s="50">
        <v>363.5</v>
      </c>
      <c r="AM14" s="53">
        <v>42</v>
      </c>
      <c r="AN14" s="50">
        <v>188.2</v>
      </c>
      <c r="AO14" s="53">
        <v>330</v>
      </c>
      <c r="AP14" s="50">
        <v>650.91999999999996</v>
      </c>
      <c r="AQ14" s="53">
        <v>16</v>
      </c>
      <c r="AR14" s="50">
        <v>58.5</v>
      </c>
      <c r="AS14" s="53">
        <v>3087</v>
      </c>
      <c r="AT14" s="50">
        <v>1731.18</v>
      </c>
      <c r="AU14" s="53">
        <v>12</v>
      </c>
      <c r="AV14" s="50">
        <v>22.4</v>
      </c>
      <c r="AW14" s="53">
        <v>801</v>
      </c>
      <c r="AX14" s="65">
        <v>3021.67</v>
      </c>
      <c r="AY14" s="14" t="s">
        <v>14</v>
      </c>
      <c r="AZ14" s="15"/>
      <c r="BA14" s="15"/>
    </row>
    <row r="15" spans="1:53">
      <c r="A15" s="13" t="s">
        <v>15</v>
      </c>
      <c r="B15" s="63">
        <f t="shared" si="7"/>
        <v>787</v>
      </c>
      <c r="C15" s="38" t="s">
        <v>190</v>
      </c>
      <c r="D15" s="37">
        <v>0</v>
      </c>
      <c r="E15" s="37">
        <v>237</v>
      </c>
      <c r="F15" s="37">
        <v>376.5</v>
      </c>
      <c r="G15" s="38" t="s">
        <v>190</v>
      </c>
      <c r="H15" s="37">
        <v>0</v>
      </c>
      <c r="I15" s="37">
        <v>105</v>
      </c>
      <c r="J15" s="64">
        <v>82.3</v>
      </c>
      <c r="K15" s="37">
        <v>42</v>
      </c>
      <c r="L15" s="37">
        <v>68.8</v>
      </c>
      <c r="M15" s="37">
        <v>14</v>
      </c>
      <c r="N15" s="37">
        <v>19.7</v>
      </c>
      <c r="O15" s="37">
        <v>31</v>
      </c>
      <c r="P15" s="37">
        <v>34.299999999999997</v>
      </c>
      <c r="Q15" s="37">
        <v>63</v>
      </c>
      <c r="R15" s="37">
        <v>50.3</v>
      </c>
      <c r="S15" s="31">
        <v>15</v>
      </c>
      <c r="T15" s="25">
        <v>7.25</v>
      </c>
      <c r="U15" s="27" t="s">
        <v>190</v>
      </c>
      <c r="V15" s="27" t="s">
        <v>190</v>
      </c>
      <c r="W15" s="25">
        <v>16</v>
      </c>
      <c r="X15" s="25">
        <v>12.2</v>
      </c>
      <c r="Y15" s="25">
        <v>24</v>
      </c>
      <c r="Z15" s="25">
        <v>23.3</v>
      </c>
      <c r="AA15" s="64">
        <v>6</v>
      </c>
      <c r="AB15" s="64">
        <v>2.6</v>
      </c>
      <c r="AC15" s="25">
        <v>3</v>
      </c>
      <c r="AD15" s="25">
        <v>1.9</v>
      </c>
      <c r="AE15" s="26" t="s">
        <v>190</v>
      </c>
      <c r="AF15" s="25">
        <v>0</v>
      </c>
      <c r="AG15" s="29">
        <v>21</v>
      </c>
      <c r="AH15" s="25">
        <v>21.5</v>
      </c>
      <c r="AI15" s="25">
        <v>62</v>
      </c>
      <c r="AJ15" s="29">
        <v>58.9</v>
      </c>
      <c r="AK15" s="53">
        <v>22</v>
      </c>
      <c r="AL15" s="50">
        <v>28.3</v>
      </c>
      <c r="AM15" s="54" t="s">
        <v>190</v>
      </c>
      <c r="AN15" s="50" t="s">
        <v>190</v>
      </c>
      <c r="AO15" s="53">
        <v>21</v>
      </c>
      <c r="AP15" s="50">
        <v>26.6</v>
      </c>
      <c r="AQ15" s="54" t="s">
        <v>190</v>
      </c>
      <c r="AR15" s="50" t="s">
        <v>190</v>
      </c>
      <c r="AS15" s="54" t="s">
        <v>190</v>
      </c>
      <c r="AT15" s="50" t="s">
        <v>190</v>
      </c>
      <c r="AU15" s="54" t="s">
        <v>190</v>
      </c>
      <c r="AV15" s="51" t="s">
        <v>190</v>
      </c>
      <c r="AW15" s="53">
        <v>105</v>
      </c>
      <c r="AX15" s="65">
        <v>169.75</v>
      </c>
      <c r="AY15" s="14" t="s">
        <v>16</v>
      </c>
      <c r="AZ15" s="15"/>
      <c r="BA15" s="15"/>
    </row>
    <row r="16" spans="1:53">
      <c r="A16" s="13" t="s">
        <v>17</v>
      </c>
      <c r="B16" s="63">
        <f t="shared" si="7"/>
        <v>27412</v>
      </c>
      <c r="C16" s="37">
        <v>1095</v>
      </c>
      <c r="D16" s="37">
        <v>5614.4</v>
      </c>
      <c r="E16" s="37">
        <v>4185</v>
      </c>
      <c r="F16" s="37">
        <v>13724.82</v>
      </c>
      <c r="G16" s="37">
        <v>250</v>
      </c>
      <c r="H16" s="37">
        <v>1501.5</v>
      </c>
      <c r="I16" s="37">
        <v>1870</v>
      </c>
      <c r="J16" s="64">
        <v>1787.15</v>
      </c>
      <c r="K16" s="37">
        <v>1223</v>
      </c>
      <c r="L16" s="37">
        <v>3138</v>
      </c>
      <c r="M16" s="37">
        <v>561</v>
      </c>
      <c r="N16" s="37">
        <v>1115</v>
      </c>
      <c r="O16" s="37">
        <v>588</v>
      </c>
      <c r="P16" s="37">
        <v>1079.8</v>
      </c>
      <c r="Q16" s="37">
        <v>290</v>
      </c>
      <c r="R16" s="37">
        <v>245.8</v>
      </c>
      <c r="S16" s="31">
        <v>32</v>
      </c>
      <c r="T16" s="25">
        <v>22.9</v>
      </c>
      <c r="U16" s="25">
        <v>15</v>
      </c>
      <c r="V16" s="64">
        <v>15</v>
      </c>
      <c r="W16" s="25">
        <v>374</v>
      </c>
      <c r="X16" s="25">
        <v>354.7</v>
      </c>
      <c r="Y16" s="25">
        <v>424</v>
      </c>
      <c r="Z16" s="25">
        <v>370.8</v>
      </c>
      <c r="AA16" s="64">
        <v>39</v>
      </c>
      <c r="AB16" s="64">
        <v>23.65</v>
      </c>
      <c r="AC16" s="25">
        <v>120</v>
      </c>
      <c r="AD16" s="25">
        <v>68.44</v>
      </c>
      <c r="AE16" s="25">
        <v>11</v>
      </c>
      <c r="AF16" s="25">
        <v>3.3</v>
      </c>
      <c r="AG16" s="29">
        <v>482</v>
      </c>
      <c r="AH16" s="25">
        <v>582.20000000000005</v>
      </c>
      <c r="AI16" s="25">
        <v>734</v>
      </c>
      <c r="AJ16" s="29">
        <v>815.6</v>
      </c>
      <c r="AK16" s="53">
        <v>168</v>
      </c>
      <c r="AL16" s="50">
        <v>295.2</v>
      </c>
      <c r="AM16" s="53">
        <v>61</v>
      </c>
      <c r="AN16" s="50">
        <v>445.5</v>
      </c>
      <c r="AO16" s="53">
        <v>367</v>
      </c>
      <c r="AP16" s="50">
        <v>596.79100000000005</v>
      </c>
      <c r="AQ16" s="53">
        <v>1</v>
      </c>
      <c r="AR16" s="50">
        <v>3</v>
      </c>
      <c r="AS16" s="53">
        <v>11902</v>
      </c>
      <c r="AT16" s="50">
        <v>7502.34</v>
      </c>
      <c r="AU16" s="54" t="s">
        <v>190</v>
      </c>
      <c r="AV16" s="51" t="s">
        <v>190</v>
      </c>
      <c r="AW16" s="53">
        <v>2620</v>
      </c>
      <c r="AX16" s="65">
        <v>4632.3059999999996</v>
      </c>
      <c r="AY16" s="14" t="s">
        <v>18</v>
      </c>
      <c r="AZ16" s="15"/>
      <c r="BA16" s="15"/>
    </row>
    <row r="17" spans="1:53">
      <c r="A17" s="13" t="s">
        <v>19</v>
      </c>
      <c r="B17" s="63">
        <f t="shared" si="7"/>
        <v>10106</v>
      </c>
      <c r="C17" s="37">
        <v>470</v>
      </c>
      <c r="D17" s="37">
        <v>2370</v>
      </c>
      <c r="E17" s="37">
        <v>1031</v>
      </c>
      <c r="F17" s="37">
        <v>1384.89</v>
      </c>
      <c r="G17" s="37">
        <v>67</v>
      </c>
      <c r="H17" s="37">
        <v>284.60000000000002</v>
      </c>
      <c r="I17" s="37">
        <v>543</v>
      </c>
      <c r="J17" s="64">
        <v>249.76</v>
      </c>
      <c r="K17" s="37">
        <v>820</v>
      </c>
      <c r="L17" s="37">
        <v>867.45</v>
      </c>
      <c r="M17" s="37">
        <v>160</v>
      </c>
      <c r="N17" s="37">
        <v>168.6</v>
      </c>
      <c r="O17" s="37">
        <v>170</v>
      </c>
      <c r="P17" s="37">
        <v>174.3</v>
      </c>
      <c r="Q17" s="37">
        <v>466</v>
      </c>
      <c r="R17" s="37">
        <v>225.2</v>
      </c>
      <c r="S17" s="31">
        <v>28</v>
      </c>
      <c r="T17" s="25">
        <v>9.9700000000000006</v>
      </c>
      <c r="U17" s="27" t="s">
        <v>190</v>
      </c>
      <c r="V17" s="27" t="s">
        <v>190</v>
      </c>
      <c r="W17" s="25">
        <v>105</v>
      </c>
      <c r="X17" s="25">
        <v>56.35</v>
      </c>
      <c r="Y17" s="25">
        <v>199</v>
      </c>
      <c r="Z17" s="25">
        <v>116.36</v>
      </c>
      <c r="AA17" s="64">
        <v>11</v>
      </c>
      <c r="AB17" s="64">
        <v>8.5</v>
      </c>
      <c r="AC17" s="25">
        <v>46</v>
      </c>
      <c r="AD17" s="25">
        <v>21.05</v>
      </c>
      <c r="AE17" s="26" t="s">
        <v>190</v>
      </c>
      <c r="AF17" s="25">
        <v>0</v>
      </c>
      <c r="AG17" s="29">
        <v>361</v>
      </c>
      <c r="AH17" s="25">
        <v>345.15</v>
      </c>
      <c r="AI17" s="25">
        <v>286</v>
      </c>
      <c r="AJ17" s="29">
        <v>173.9</v>
      </c>
      <c r="AK17" s="53">
        <v>66</v>
      </c>
      <c r="AL17" s="50">
        <v>64.3</v>
      </c>
      <c r="AM17" s="53">
        <v>16</v>
      </c>
      <c r="AN17" s="50">
        <v>48.1</v>
      </c>
      <c r="AO17" s="53">
        <v>827</v>
      </c>
      <c r="AP17" s="50">
        <v>854.51</v>
      </c>
      <c r="AQ17" s="53">
        <v>20</v>
      </c>
      <c r="AR17" s="50">
        <v>38.700000000000003</v>
      </c>
      <c r="AS17" s="53">
        <v>1975</v>
      </c>
      <c r="AT17" s="50">
        <v>775.1</v>
      </c>
      <c r="AU17" s="54" t="s">
        <v>190</v>
      </c>
      <c r="AV17" s="51" t="s">
        <v>190</v>
      </c>
      <c r="AW17" s="53">
        <v>2439</v>
      </c>
      <c r="AX17" s="65">
        <v>2767.88</v>
      </c>
      <c r="AY17" s="14" t="s">
        <v>20</v>
      </c>
      <c r="AZ17" s="15"/>
      <c r="BA17" s="15"/>
    </row>
    <row r="18" spans="1:53" s="12" customFormat="1">
      <c r="A18" s="126" t="s">
        <v>21</v>
      </c>
      <c r="B18" s="72">
        <f>SUM(B20:B26)</f>
        <v>150903</v>
      </c>
      <c r="C18" s="89">
        <f>SUM(C20:C26)</f>
        <v>5355</v>
      </c>
      <c r="D18" s="89">
        <f t="shared" ref="D18:K18" si="8">SUM(D20:D26)</f>
        <v>24422.21</v>
      </c>
      <c r="E18" s="89">
        <f t="shared" si="8"/>
        <v>12324</v>
      </c>
      <c r="F18" s="89">
        <f t="shared" si="8"/>
        <v>47337.684999999998</v>
      </c>
      <c r="G18" s="89">
        <f t="shared" si="8"/>
        <v>4555</v>
      </c>
      <c r="H18" s="89">
        <f t="shared" si="8"/>
        <v>31469.690000000002</v>
      </c>
      <c r="I18" s="89">
        <f t="shared" si="8"/>
        <v>13462</v>
      </c>
      <c r="J18" s="89">
        <f t="shared" si="8"/>
        <v>13848.51</v>
      </c>
      <c r="K18" s="89">
        <f t="shared" si="8"/>
        <v>14343</v>
      </c>
      <c r="L18" s="89">
        <f t="shared" ref="L18:AX18" si="9">SUM(L20:L26)</f>
        <v>48061.119999999995</v>
      </c>
      <c r="M18" s="89">
        <f t="shared" si="9"/>
        <v>7717</v>
      </c>
      <c r="N18" s="89">
        <f t="shared" si="9"/>
        <v>14846.769999999999</v>
      </c>
      <c r="O18" s="89">
        <f t="shared" si="9"/>
        <v>4358</v>
      </c>
      <c r="P18" s="89">
        <f t="shared" si="9"/>
        <v>11354.189999999999</v>
      </c>
      <c r="Q18" s="89">
        <f t="shared" si="9"/>
        <v>4203</v>
      </c>
      <c r="R18" s="89">
        <f t="shared" si="9"/>
        <v>10094.86</v>
      </c>
      <c r="S18" s="89">
        <f t="shared" si="9"/>
        <v>410</v>
      </c>
      <c r="T18" s="89">
        <f t="shared" si="9"/>
        <v>485.96</v>
      </c>
      <c r="U18" s="89">
        <f t="shared" si="9"/>
        <v>26</v>
      </c>
      <c r="V18" s="89">
        <f t="shared" si="9"/>
        <v>37.42</v>
      </c>
      <c r="W18" s="89">
        <f t="shared" si="9"/>
        <v>3051</v>
      </c>
      <c r="X18" s="89">
        <f>SUM(X20:X26)</f>
        <v>3369.04</v>
      </c>
      <c r="Y18" s="89">
        <f t="shared" si="9"/>
        <v>10983</v>
      </c>
      <c r="Z18" s="89">
        <f t="shared" si="9"/>
        <v>12823.05</v>
      </c>
      <c r="AA18" s="89">
        <f t="shared" si="9"/>
        <v>9339</v>
      </c>
      <c r="AB18" s="89">
        <f t="shared" si="9"/>
        <v>6457.9350000000004</v>
      </c>
      <c r="AC18" s="89">
        <f t="shared" si="9"/>
        <v>6528</v>
      </c>
      <c r="AD18" s="89">
        <f t="shared" si="9"/>
        <v>4725.3499999999995</v>
      </c>
      <c r="AE18" s="89">
        <f t="shared" si="9"/>
        <v>216</v>
      </c>
      <c r="AF18" s="89">
        <f t="shared" si="9"/>
        <v>145.29999999999998</v>
      </c>
      <c r="AG18" s="89">
        <f t="shared" si="9"/>
        <v>6752</v>
      </c>
      <c r="AH18" s="89">
        <f t="shared" si="9"/>
        <v>16737.16</v>
      </c>
      <c r="AI18" s="89">
        <f t="shared" si="9"/>
        <v>10328</v>
      </c>
      <c r="AJ18" s="89">
        <f t="shared" si="9"/>
        <v>13461.813000000002</v>
      </c>
      <c r="AK18" s="89">
        <f t="shared" si="9"/>
        <v>1115</v>
      </c>
      <c r="AL18" s="89">
        <f t="shared" si="9"/>
        <v>3345.03</v>
      </c>
      <c r="AM18" s="89">
        <f t="shared" si="9"/>
        <v>2160</v>
      </c>
      <c r="AN18" s="89">
        <f t="shared" si="9"/>
        <v>19987</v>
      </c>
      <c r="AO18" s="89">
        <f t="shared" si="9"/>
        <v>6088</v>
      </c>
      <c r="AP18" s="89">
        <f t="shared" si="9"/>
        <v>14111.689999999999</v>
      </c>
      <c r="AQ18" s="89">
        <f t="shared" si="9"/>
        <v>603</v>
      </c>
      <c r="AR18" s="89">
        <f t="shared" si="9"/>
        <v>2112.16</v>
      </c>
      <c r="AS18" s="89">
        <f t="shared" si="9"/>
        <v>7888</v>
      </c>
      <c r="AT18" s="89">
        <f t="shared" si="9"/>
        <v>2801.71</v>
      </c>
      <c r="AU18" s="89">
        <f t="shared" si="9"/>
        <v>140</v>
      </c>
      <c r="AV18" s="89">
        <f t="shared" si="9"/>
        <v>324.3</v>
      </c>
      <c r="AW18" s="89">
        <f t="shared" si="9"/>
        <v>18959</v>
      </c>
      <c r="AX18" s="99">
        <f t="shared" si="9"/>
        <v>46337.844999999994</v>
      </c>
      <c r="AY18" s="129" t="s">
        <v>22</v>
      </c>
      <c r="AZ18" s="129"/>
      <c r="BA18" s="129"/>
    </row>
    <row r="19" spans="1:53">
      <c r="A19" s="126"/>
      <c r="B19" s="72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99"/>
      <c r="AY19" s="129"/>
      <c r="AZ19" s="129"/>
      <c r="BA19" s="129"/>
    </row>
    <row r="20" spans="1:53">
      <c r="A20" s="13" t="s">
        <v>23</v>
      </c>
      <c r="B20" s="63">
        <f>SUM(C20,E20,G20,I20,K20,M20,O20,Q20,S20,U20,W20,Y20,AA20,AC20,AE20,AG20,AI20,AK20,AM20,AO20,AQ20,AS20,AU20,AW20)</f>
        <v>53996</v>
      </c>
      <c r="C20" s="37">
        <v>956</v>
      </c>
      <c r="D20" s="37">
        <v>4115.5</v>
      </c>
      <c r="E20" s="37">
        <v>3012</v>
      </c>
      <c r="F20" s="37">
        <v>12857.45</v>
      </c>
      <c r="G20" s="37">
        <v>777</v>
      </c>
      <c r="H20" s="37">
        <v>6785.5</v>
      </c>
      <c r="I20" s="37">
        <v>2354</v>
      </c>
      <c r="J20" s="64">
        <v>2714.1</v>
      </c>
      <c r="K20" s="37">
        <v>7971</v>
      </c>
      <c r="L20" s="37">
        <v>31462.400000000001</v>
      </c>
      <c r="M20" s="37">
        <v>4500</v>
      </c>
      <c r="N20" s="37">
        <v>7862.65</v>
      </c>
      <c r="O20" s="37">
        <v>2325</v>
      </c>
      <c r="P20" s="37">
        <v>6992.95</v>
      </c>
      <c r="Q20" s="37">
        <v>407</v>
      </c>
      <c r="R20" s="37">
        <v>760.25</v>
      </c>
      <c r="S20" s="31">
        <v>22</v>
      </c>
      <c r="T20" s="25">
        <v>19.8</v>
      </c>
      <c r="U20" s="25">
        <v>15</v>
      </c>
      <c r="V20" s="64">
        <v>30</v>
      </c>
      <c r="W20" s="25">
        <v>1812</v>
      </c>
      <c r="X20" s="25">
        <v>2055.65</v>
      </c>
      <c r="Y20" s="25">
        <v>3784</v>
      </c>
      <c r="Z20" s="25">
        <v>4768.28</v>
      </c>
      <c r="AA20" s="64">
        <v>5065</v>
      </c>
      <c r="AB20" s="64">
        <v>2945.09</v>
      </c>
      <c r="AC20" s="25">
        <v>121</v>
      </c>
      <c r="AD20" s="25">
        <v>75.03</v>
      </c>
      <c r="AE20" s="25">
        <v>47</v>
      </c>
      <c r="AF20" s="25">
        <v>26.9</v>
      </c>
      <c r="AG20" s="29">
        <v>2752</v>
      </c>
      <c r="AH20" s="25">
        <v>6717</v>
      </c>
      <c r="AI20" s="25">
        <v>5256</v>
      </c>
      <c r="AJ20" s="29">
        <v>6662.7749999999996</v>
      </c>
      <c r="AK20" s="53">
        <v>334</v>
      </c>
      <c r="AL20" s="50">
        <v>1168.55</v>
      </c>
      <c r="AM20" s="53">
        <v>783</v>
      </c>
      <c r="AN20" s="50">
        <v>7532.3</v>
      </c>
      <c r="AO20" s="53">
        <v>2679</v>
      </c>
      <c r="AP20" s="50">
        <v>5671.9</v>
      </c>
      <c r="AQ20" s="53">
        <v>207</v>
      </c>
      <c r="AR20" s="50">
        <v>557</v>
      </c>
      <c r="AS20" s="53">
        <v>46</v>
      </c>
      <c r="AT20" s="50">
        <v>59</v>
      </c>
      <c r="AU20" s="54" t="s">
        <v>190</v>
      </c>
      <c r="AV20" s="51" t="s">
        <v>190</v>
      </c>
      <c r="AW20" s="53">
        <v>8771</v>
      </c>
      <c r="AX20" s="65">
        <v>15665.26</v>
      </c>
      <c r="AY20" s="14" t="s">
        <v>24</v>
      </c>
      <c r="AZ20" s="15"/>
      <c r="BA20" s="15"/>
    </row>
    <row r="21" spans="1:53">
      <c r="A21" s="13" t="s">
        <v>25</v>
      </c>
      <c r="B21" s="63">
        <f t="shared" ref="B21:B31" si="10">SUM(C21,E21,G21,I21,K21,M21,O21,Q21,S21,U21,W21,Y21,AA21,AC21,AE21,AG21,AI21,AK21,AM21,AO21,AQ21,AS21,AU21,AW21)</f>
        <v>18800</v>
      </c>
      <c r="C21" s="37">
        <v>1427</v>
      </c>
      <c r="D21" s="37">
        <v>6824.8</v>
      </c>
      <c r="E21" s="37">
        <v>1306</v>
      </c>
      <c r="F21" s="37">
        <v>6127.4</v>
      </c>
      <c r="G21" s="37">
        <v>391</v>
      </c>
      <c r="H21" s="37">
        <v>2914</v>
      </c>
      <c r="I21" s="37">
        <v>1342</v>
      </c>
      <c r="J21" s="64">
        <v>1432.86</v>
      </c>
      <c r="K21" s="37">
        <v>808</v>
      </c>
      <c r="L21" s="37">
        <v>2515.5</v>
      </c>
      <c r="M21" s="37">
        <v>442</v>
      </c>
      <c r="N21" s="37">
        <v>1016.8</v>
      </c>
      <c r="O21" s="37">
        <v>398</v>
      </c>
      <c r="P21" s="37">
        <v>724.35</v>
      </c>
      <c r="Q21" s="37">
        <v>86</v>
      </c>
      <c r="R21" s="37">
        <v>168.75</v>
      </c>
      <c r="S21" s="31">
        <v>9</v>
      </c>
      <c r="T21" s="25">
        <v>8.6</v>
      </c>
      <c r="U21" s="25">
        <v>1</v>
      </c>
      <c r="V21" s="64">
        <v>1.5</v>
      </c>
      <c r="W21" s="25">
        <v>245</v>
      </c>
      <c r="X21" s="25">
        <v>169.15</v>
      </c>
      <c r="Y21" s="25">
        <v>754</v>
      </c>
      <c r="Z21" s="25">
        <v>776.25</v>
      </c>
      <c r="AA21" s="64">
        <v>647</v>
      </c>
      <c r="AB21" s="64">
        <v>406.5</v>
      </c>
      <c r="AC21" s="25">
        <v>5151</v>
      </c>
      <c r="AD21" s="25">
        <v>3684.9</v>
      </c>
      <c r="AE21" s="26" t="s">
        <v>190</v>
      </c>
      <c r="AF21" s="25">
        <v>0</v>
      </c>
      <c r="AG21" s="29">
        <v>568</v>
      </c>
      <c r="AH21" s="25">
        <v>1403.5</v>
      </c>
      <c r="AI21" s="25">
        <v>777</v>
      </c>
      <c r="AJ21" s="29">
        <v>1136.25</v>
      </c>
      <c r="AK21" s="53">
        <v>131</v>
      </c>
      <c r="AL21" s="50">
        <v>492</v>
      </c>
      <c r="AM21" s="53">
        <v>169</v>
      </c>
      <c r="AN21" s="50">
        <v>1549.45</v>
      </c>
      <c r="AO21" s="53">
        <v>769</v>
      </c>
      <c r="AP21" s="50">
        <v>1770.9</v>
      </c>
      <c r="AQ21" s="53">
        <v>38</v>
      </c>
      <c r="AR21" s="50">
        <v>135.5</v>
      </c>
      <c r="AS21" s="53">
        <v>1169</v>
      </c>
      <c r="AT21" s="50">
        <v>461.75</v>
      </c>
      <c r="AU21" s="54" t="s">
        <v>190</v>
      </c>
      <c r="AV21" s="51" t="s">
        <v>190</v>
      </c>
      <c r="AW21" s="53">
        <v>2172</v>
      </c>
      <c r="AX21" s="65">
        <v>9018.1</v>
      </c>
      <c r="AY21" s="14" t="s">
        <v>26</v>
      </c>
      <c r="AZ21" s="15"/>
      <c r="BA21" s="62"/>
    </row>
    <row r="22" spans="1:53">
      <c r="A22" s="13" t="s">
        <v>27</v>
      </c>
      <c r="B22" s="63">
        <f t="shared" si="10"/>
        <v>6978</v>
      </c>
      <c r="C22" s="37">
        <v>207</v>
      </c>
      <c r="D22" s="37">
        <v>862.55</v>
      </c>
      <c r="E22" s="37">
        <v>569</v>
      </c>
      <c r="F22" s="37">
        <v>1371.415</v>
      </c>
      <c r="G22" s="37">
        <v>67</v>
      </c>
      <c r="H22" s="37">
        <v>190.35</v>
      </c>
      <c r="I22" s="37">
        <v>754</v>
      </c>
      <c r="J22" s="64">
        <v>262.45</v>
      </c>
      <c r="K22" s="37">
        <v>529</v>
      </c>
      <c r="L22" s="37">
        <v>708.79499999999996</v>
      </c>
      <c r="M22" s="37">
        <v>260</v>
      </c>
      <c r="N22" s="37">
        <v>337.67</v>
      </c>
      <c r="O22" s="37">
        <v>98</v>
      </c>
      <c r="P22" s="37">
        <v>80.834999999999994</v>
      </c>
      <c r="Q22" s="37">
        <v>367</v>
      </c>
      <c r="R22" s="37">
        <v>349.24</v>
      </c>
      <c r="S22" s="31">
        <v>28</v>
      </c>
      <c r="T22" s="25">
        <v>19.95</v>
      </c>
      <c r="U22" s="25">
        <v>1</v>
      </c>
      <c r="V22" s="64">
        <v>0.6</v>
      </c>
      <c r="W22" s="25">
        <v>55</v>
      </c>
      <c r="X22" s="25">
        <v>26.05</v>
      </c>
      <c r="Y22" s="25">
        <v>802</v>
      </c>
      <c r="Z22" s="25">
        <v>644.64</v>
      </c>
      <c r="AA22" s="64">
        <v>649</v>
      </c>
      <c r="AB22" s="64">
        <v>252.995</v>
      </c>
      <c r="AC22" s="25">
        <v>383</v>
      </c>
      <c r="AD22" s="25">
        <v>199.87</v>
      </c>
      <c r="AE22" s="25">
        <v>155</v>
      </c>
      <c r="AF22" s="25">
        <v>110.7</v>
      </c>
      <c r="AG22" s="29">
        <v>204</v>
      </c>
      <c r="AH22" s="25">
        <v>223.16</v>
      </c>
      <c r="AI22" s="25">
        <v>860</v>
      </c>
      <c r="AJ22" s="29">
        <v>701.76</v>
      </c>
      <c r="AK22" s="53">
        <v>37</v>
      </c>
      <c r="AL22" s="50">
        <v>26.95</v>
      </c>
      <c r="AM22" s="53">
        <v>7</v>
      </c>
      <c r="AN22" s="50">
        <v>9.1999999999999993</v>
      </c>
      <c r="AO22" s="53">
        <v>138</v>
      </c>
      <c r="AP22" s="50">
        <v>128.44</v>
      </c>
      <c r="AQ22" s="53">
        <v>14</v>
      </c>
      <c r="AR22" s="50">
        <v>35.799999999999997</v>
      </c>
      <c r="AS22" s="54" t="s">
        <v>190</v>
      </c>
      <c r="AT22" s="50" t="s">
        <v>190</v>
      </c>
      <c r="AU22" s="53">
        <v>1</v>
      </c>
      <c r="AV22" s="50">
        <v>0.5</v>
      </c>
      <c r="AW22" s="53">
        <v>793</v>
      </c>
      <c r="AX22" s="65">
        <v>955.09</v>
      </c>
      <c r="AY22" s="14" t="s">
        <v>28</v>
      </c>
      <c r="AZ22" s="15"/>
      <c r="BA22" s="15"/>
    </row>
    <row r="23" spans="1:53">
      <c r="A23" s="13" t="s">
        <v>29</v>
      </c>
      <c r="B23" s="63">
        <f t="shared" si="10"/>
        <v>35327</v>
      </c>
      <c r="C23" s="37">
        <v>1770</v>
      </c>
      <c r="D23" s="37">
        <v>7830.36</v>
      </c>
      <c r="E23" s="37">
        <v>1205</v>
      </c>
      <c r="F23" s="37">
        <v>3396</v>
      </c>
      <c r="G23" s="37">
        <v>2071</v>
      </c>
      <c r="H23" s="37">
        <v>14156.1</v>
      </c>
      <c r="I23" s="37">
        <v>5527</v>
      </c>
      <c r="J23" s="64">
        <v>5523.5</v>
      </c>
      <c r="K23" s="37">
        <v>2398</v>
      </c>
      <c r="L23" s="37">
        <v>5898.88</v>
      </c>
      <c r="M23" s="37">
        <v>1227</v>
      </c>
      <c r="N23" s="37">
        <v>2923.1</v>
      </c>
      <c r="O23" s="37">
        <v>383</v>
      </c>
      <c r="P23" s="37">
        <v>937.9</v>
      </c>
      <c r="Q23" s="37">
        <v>398</v>
      </c>
      <c r="R23" s="37">
        <v>754.67</v>
      </c>
      <c r="S23" s="31">
        <v>61</v>
      </c>
      <c r="T23" s="25">
        <v>35.409999999999997</v>
      </c>
      <c r="U23" s="27" t="s">
        <v>190</v>
      </c>
      <c r="V23" s="27" t="s">
        <v>190</v>
      </c>
      <c r="W23" s="25">
        <v>379</v>
      </c>
      <c r="X23" s="25">
        <v>331.7</v>
      </c>
      <c r="Y23" s="25">
        <v>3910</v>
      </c>
      <c r="Z23" s="25">
        <v>3650.31</v>
      </c>
      <c r="AA23" s="64">
        <v>2663</v>
      </c>
      <c r="AB23" s="64">
        <v>2582.25</v>
      </c>
      <c r="AC23" s="25">
        <v>185</v>
      </c>
      <c r="AD23" s="25">
        <v>137.19999999999999</v>
      </c>
      <c r="AE23" s="26" t="s">
        <v>190</v>
      </c>
      <c r="AF23" s="25">
        <v>0</v>
      </c>
      <c r="AG23" s="29">
        <v>1688</v>
      </c>
      <c r="AH23" s="25">
        <v>4555</v>
      </c>
      <c r="AI23" s="25">
        <v>1068</v>
      </c>
      <c r="AJ23" s="29">
        <v>938.21799999999996</v>
      </c>
      <c r="AK23" s="53">
        <v>149</v>
      </c>
      <c r="AL23" s="50">
        <v>283.3</v>
      </c>
      <c r="AM23" s="53">
        <v>737</v>
      </c>
      <c r="AN23" s="50">
        <v>8136.7</v>
      </c>
      <c r="AO23" s="53">
        <v>807</v>
      </c>
      <c r="AP23" s="50">
        <v>1964.45</v>
      </c>
      <c r="AQ23" s="53">
        <v>83</v>
      </c>
      <c r="AR23" s="50">
        <v>192.9</v>
      </c>
      <c r="AS23" s="53">
        <v>6195</v>
      </c>
      <c r="AT23" s="50">
        <v>1932.66</v>
      </c>
      <c r="AU23" s="53">
        <v>1</v>
      </c>
      <c r="AV23" s="50">
        <v>1.5</v>
      </c>
      <c r="AW23" s="53">
        <v>2422</v>
      </c>
      <c r="AX23" s="65">
        <v>9391.3799999999992</v>
      </c>
      <c r="AY23" s="14" t="s">
        <v>30</v>
      </c>
      <c r="AZ23" s="15"/>
      <c r="BA23" s="15"/>
    </row>
    <row r="24" spans="1:53">
      <c r="A24" s="13" t="s">
        <v>31</v>
      </c>
      <c r="B24" s="63">
        <f t="shared" si="10"/>
        <v>10971</v>
      </c>
      <c r="C24" s="37">
        <v>392</v>
      </c>
      <c r="D24" s="37">
        <v>1759</v>
      </c>
      <c r="E24" s="37">
        <v>1958</v>
      </c>
      <c r="F24" s="37">
        <v>5986.42</v>
      </c>
      <c r="G24" s="37">
        <v>205</v>
      </c>
      <c r="H24" s="37">
        <v>1331.4</v>
      </c>
      <c r="I24" s="37">
        <v>963</v>
      </c>
      <c r="J24" s="64">
        <v>1566.6</v>
      </c>
      <c r="K24" s="37">
        <v>880</v>
      </c>
      <c r="L24" s="37">
        <v>2771.4749999999999</v>
      </c>
      <c r="M24" s="37">
        <v>614</v>
      </c>
      <c r="N24" s="37">
        <v>1220</v>
      </c>
      <c r="O24" s="37">
        <v>291</v>
      </c>
      <c r="P24" s="37">
        <v>804.71</v>
      </c>
      <c r="Q24" s="37">
        <v>749</v>
      </c>
      <c r="R24" s="37">
        <v>1348.6</v>
      </c>
      <c r="S24" s="31">
        <v>44</v>
      </c>
      <c r="T24" s="25">
        <v>43.45</v>
      </c>
      <c r="U24" s="27" t="s">
        <v>190</v>
      </c>
      <c r="V24" s="27" t="s">
        <v>190</v>
      </c>
      <c r="W24" s="25">
        <v>108</v>
      </c>
      <c r="X24" s="25">
        <v>119.4</v>
      </c>
      <c r="Y24" s="25">
        <v>450</v>
      </c>
      <c r="Z24" s="25">
        <v>697.4</v>
      </c>
      <c r="AA24" s="64">
        <v>100</v>
      </c>
      <c r="AB24" s="64">
        <v>91.35</v>
      </c>
      <c r="AC24" s="25">
        <v>321</v>
      </c>
      <c r="AD24" s="25">
        <v>306.89999999999998</v>
      </c>
      <c r="AE24" s="25">
        <v>5</v>
      </c>
      <c r="AF24" s="25">
        <v>2</v>
      </c>
      <c r="AG24" s="29">
        <v>863</v>
      </c>
      <c r="AH24" s="25">
        <v>2304.6999999999998</v>
      </c>
      <c r="AI24" s="25">
        <v>502</v>
      </c>
      <c r="AJ24" s="29">
        <v>1014.95</v>
      </c>
      <c r="AK24" s="53">
        <v>199</v>
      </c>
      <c r="AL24" s="50">
        <v>630.5</v>
      </c>
      <c r="AM24" s="53">
        <v>55</v>
      </c>
      <c r="AN24" s="50">
        <v>331.8</v>
      </c>
      <c r="AO24" s="53">
        <v>600</v>
      </c>
      <c r="AP24" s="50">
        <v>1634.46</v>
      </c>
      <c r="AQ24" s="53">
        <v>24</v>
      </c>
      <c r="AR24" s="50">
        <v>100.3</v>
      </c>
      <c r="AS24" s="53">
        <v>30</v>
      </c>
      <c r="AT24" s="50">
        <v>12.5</v>
      </c>
      <c r="AU24" s="53">
        <v>128</v>
      </c>
      <c r="AV24" s="50">
        <v>316.5</v>
      </c>
      <c r="AW24" s="53">
        <v>1490</v>
      </c>
      <c r="AX24" s="65">
        <v>3728.38</v>
      </c>
      <c r="AY24" s="14" t="s">
        <v>32</v>
      </c>
      <c r="AZ24" s="15"/>
      <c r="BA24" s="15"/>
    </row>
    <row r="25" spans="1:53">
      <c r="A25" s="13" t="s">
        <v>33</v>
      </c>
      <c r="B25" s="63">
        <f t="shared" si="10"/>
        <v>13679</v>
      </c>
      <c r="C25" s="37">
        <v>380</v>
      </c>
      <c r="D25" s="37">
        <v>2001</v>
      </c>
      <c r="E25" s="37">
        <v>2002</v>
      </c>
      <c r="F25" s="37">
        <v>7776.4</v>
      </c>
      <c r="G25" s="37">
        <v>645</v>
      </c>
      <c r="H25" s="37">
        <v>3469.5</v>
      </c>
      <c r="I25" s="37">
        <v>1832</v>
      </c>
      <c r="J25" s="64">
        <v>1837.5</v>
      </c>
      <c r="K25" s="37">
        <v>971</v>
      </c>
      <c r="L25" s="37">
        <v>2773</v>
      </c>
      <c r="M25" s="37">
        <v>313</v>
      </c>
      <c r="N25" s="37">
        <v>826</v>
      </c>
      <c r="O25" s="37">
        <v>490</v>
      </c>
      <c r="P25" s="37">
        <v>1300.5</v>
      </c>
      <c r="Q25" s="37">
        <v>1237</v>
      </c>
      <c r="R25" s="37">
        <v>4192</v>
      </c>
      <c r="S25" s="31">
        <v>174</v>
      </c>
      <c r="T25" s="25">
        <v>305.14999999999998</v>
      </c>
      <c r="U25" s="27" t="s">
        <v>190</v>
      </c>
      <c r="V25" s="27" t="s">
        <v>190</v>
      </c>
      <c r="W25" s="25">
        <v>233</v>
      </c>
      <c r="X25" s="25">
        <v>416.2</v>
      </c>
      <c r="Y25" s="25">
        <v>696</v>
      </c>
      <c r="Z25" s="25">
        <v>1629.3</v>
      </c>
      <c r="AA25" s="64">
        <v>148</v>
      </c>
      <c r="AB25" s="64">
        <v>142.5</v>
      </c>
      <c r="AC25" s="25">
        <v>263</v>
      </c>
      <c r="AD25" s="25">
        <v>260</v>
      </c>
      <c r="AE25" s="25">
        <v>2</v>
      </c>
      <c r="AF25" s="25">
        <v>2</v>
      </c>
      <c r="AG25" s="29">
        <v>447</v>
      </c>
      <c r="AH25" s="25">
        <v>1183.3</v>
      </c>
      <c r="AI25" s="25">
        <v>966</v>
      </c>
      <c r="AJ25" s="29">
        <v>2045</v>
      </c>
      <c r="AK25" s="53">
        <v>167</v>
      </c>
      <c r="AL25" s="50">
        <v>513</v>
      </c>
      <c r="AM25" s="53">
        <v>202</v>
      </c>
      <c r="AN25" s="50">
        <v>1089</v>
      </c>
      <c r="AO25" s="53">
        <v>623</v>
      </c>
      <c r="AP25" s="50">
        <v>1840</v>
      </c>
      <c r="AQ25" s="53">
        <v>200</v>
      </c>
      <c r="AR25" s="50">
        <v>1021</v>
      </c>
      <c r="AS25" s="53">
        <v>448</v>
      </c>
      <c r="AT25" s="50">
        <v>335.8</v>
      </c>
      <c r="AU25" s="53">
        <v>9</v>
      </c>
      <c r="AV25" s="50">
        <v>5.8</v>
      </c>
      <c r="AW25" s="53">
        <v>1231</v>
      </c>
      <c r="AX25" s="65">
        <v>4266.2</v>
      </c>
      <c r="AY25" s="14" t="s">
        <v>34</v>
      </c>
      <c r="AZ25" s="15"/>
      <c r="BA25" s="15"/>
    </row>
    <row r="26" spans="1:53">
      <c r="A26" s="13" t="s">
        <v>35</v>
      </c>
      <c r="B26" s="63">
        <f t="shared" si="10"/>
        <v>11152</v>
      </c>
      <c r="C26" s="37">
        <v>223</v>
      </c>
      <c r="D26" s="37">
        <v>1029</v>
      </c>
      <c r="E26" s="37">
        <v>2272</v>
      </c>
      <c r="F26" s="37">
        <v>9822.6</v>
      </c>
      <c r="G26" s="37">
        <v>399</v>
      </c>
      <c r="H26" s="37">
        <v>2622.84</v>
      </c>
      <c r="I26" s="37">
        <v>690</v>
      </c>
      <c r="J26" s="64">
        <v>511.5</v>
      </c>
      <c r="K26" s="37">
        <v>786</v>
      </c>
      <c r="L26" s="37">
        <v>1931.07</v>
      </c>
      <c r="M26" s="37">
        <v>361</v>
      </c>
      <c r="N26" s="37">
        <v>660.55</v>
      </c>
      <c r="O26" s="37">
        <v>373</v>
      </c>
      <c r="P26" s="37">
        <v>512.94500000000005</v>
      </c>
      <c r="Q26" s="37">
        <v>959</v>
      </c>
      <c r="R26" s="37">
        <v>2521.35</v>
      </c>
      <c r="S26" s="31">
        <v>72</v>
      </c>
      <c r="T26" s="25">
        <v>53.6</v>
      </c>
      <c r="U26" s="25">
        <v>9</v>
      </c>
      <c r="V26" s="64">
        <v>5.32</v>
      </c>
      <c r="W26" s="25">
        <v>219</v>
      </c>
      <c r="X26" s="25">
        <v>250.89</v>
      </c>
      <c r="Y26" s="25">
        <v>587</v>
      </c>
      <c r="Z26" s="25">
        <v>656.87</v>
      </c>
      <c r="AA26" s="64">
        <v>67</v>
      </c>
      <c r="AB26" s="64">
        <v>37.25</v>
      </c>
      <c r="AC26" s="25">
        <v>104</v>
      </c>
      <c r="AD26" s="25">
        <v>61.45</v>
      </c>
      <c r="AE26" s="25">
        <v>7</v>
      </c>
      <c r="AF26" s="25">
        <v>3.7</v>
      </c>
      <c r="AG26" s="29">
        <v>230</v>
      </c>
      <c r="AH26" s="25">
        <v>350.5</v>
      </c>
      <c r="AI26" s="25">
        <v>899</v>
      </c>
      <c r="AJ26" s="29">
        <v>962.86</v>
      </c>
      <c r="AK26" s="53">
        <v>98</v>
      </c>
      <c r="AL26" s="50">
        <v>230.73</v>
      </c>
      <c r="AM26" s="53">
        <v>207</v>
      </c>
      <c r="AN26" s="50">
        <v>1338.55</v>
      </c>
      <c r="AO26" s="53">
        <v>472</v>
      </c>
      <c r="AP26" s="50">
        <v>1101.54</v>
      </c>
      <c r="AQ26" s="53">
        <v>37</v>
      </c>
      <c r="AR26" s="50">
        <v>69.66</v>
      </c>
      <c r="AS26" s="54" t="s">
        <v>190</v>
      </c>
      <c r="AT26" s="50" t="s">
        <v>190</v>
      </c>
      <c r="AU26" s="53">
        <v>1</v>
      </c>
      <c r="AV26" s="50" t="s">
        <v>190</v>
      </c>
      <c r="AW26" s="53">
        <v>2080</v>
      </c>
      <c r="AX26" s="65">
        <v>3313.4349999999999</v>
      </c>
      <c r="AY26" s="14" t="s">
        <v>36</v>
      </c>
      <c r="AZ26" s="15"/>
      <c r="BA26" s="15"/>
    </row>
    <row r="27" spans="1:53" ht="19.8" customHeight="1">
      <c r="A27" s="22" t="s">
        <v>202</v>
      </c>
      <c r="B27" s="66">
        <f>SUM(B28:B31)</f>
        <v>15808</v>
      </c>
      <c r="C27" s="39">
        <f>SUM(C28:C31)</f>
        <v>164</v>
      </c>
      <c r="D27" s="39">
        <f>SUM(D28:D31)</f>
        <v>749.61</v>
      </c>
      <c r="E27" s="39">
        <f t="shared" ref="E27:F27" si="11">SUM(E28:E31)</f>
        <v>4101</v>
      </c>
      <c r="F27" s="39">
        <f t="shared" si="11"/>
        <v>12497.499999999998</v>
      </c>
      <c r="G27" s="39">
        <f t="shared" ref="G27" si="12">SUM(G28:G31)</f>
        <v>171</v>
      </c>
      <c r="H27" s="39">
        <f t="shared" ref="H27" si="13">SUM(H28:H31)</f>
        <v>314.69</v>
      </c>
      <c r="I27" s="39">
        <f t="shared" ref="I27" si="14">SUM(I28:I31)</f>
        <v>1107</v>
      </c>
      <c r="J27" s="39">
        <f t="shared" ref="J27" si="15">SUM(J28:J31)</f>
        <v>806.33900000000006</v>
      </c>
      <c r="K27" s="39">
        <f t="shared" ref="K27" si="16">SUM(K28:K31)</f>
        <v>1558</v>
      </c>
      <c r="L27" s="39">
        <f t="shared" ref="L27" si="17">SUM(L28:L31)</f>
        <v>2716.72</v>
      </c>
      <c r="M27" s="39">
        <f t="shared" ref="M27" si="18">SUM(M28:M31)</f>
        <v>308</v>
      </c>
      <c r="N27" s="39">
        <f t="shared" ref="N27" si="19">SUM(N28:N31)</f>
        <v>479.02499999999998</v>
      </c>
      <c r="O27" s="39">
        <f t="shared" ref="O27" si="20">SUM(O28:O31)</f>
        <v>450</v>
      </c>
      <c r="P27" s="39">
        <f t="shared" ref="P27" si="21">SUM(P28:P31)</f>
        <v>674.68499999999995</v>
      </c>
      <c r="Q27" s="39">
        <f t="shared" ref="Q27" si="22">SUM(Q28:Q31)</f>
        <v>1531</v>
      </c>
      <c r="R27" s="39">
        <f t="shared" ref="R27" si="23">SUM(R28:R31)</f>
        <v>1955.04</v>
      </c>
      <c r="S27" s="44">
        <f t="shared" ref="S27" si="24">SUM(S28:S31)</f>
        <v>181</v>
      </c>
      <c r="T27" s="39">
        <f t="shared" ref="T27" si="25">SUM(T28:T31)</f>
        <v>112.935</v>
      </c>
      <c r="U27" s="39">
        <f t="shared" ref="U27" si="26">SUM(U28:U31)</f>
        <v>0</v>
      </c>
      <c r="V27" s="39">
        <f t="shared" ref="V27" si="27">SUM(V28:V31)</f>
        <v>0</v>
      </c>
      <c r="W27" s="39">
        <f t="shared" ref="W27" si="28">SUM(W28:W31)</f>
        <v>148</v>
      </c>
      <c r="X27" s="39">
        <f>SUM(X28:X31)</f>
        <v>103.61499999999998</v>
      </c>
      <c r="Y27" s="39">
        <f t="shared" ref="Y27" si="29">SUM(Y28:Y31)</f>
        <v>482</v>
      </c>
      <c r="Z27" s="39">
        <f t="shared" ref="Z27" si="30">SUM(Z28:Z31)</f>
        <v>397.89</v>
      </c>
      <c r="AA27" s="39">
        <f t="shared" ref="AA27" si="31">SUM(AA28:AA31)</f>
        <v>35</v>
      </c>
      <c r="AB27" s="39">
        <f t="shared" ref="AB27" si="32">SUM(AB28:AB31)</f>
        <v>10.574999999999999</v>
      </c>
      <c r="AC27" s="39">
        <f t="shared" ref="AC27" si="33">SUM(AC28:AC31)</f>
        <v>124</v>
      </c>
      <c r="AD27" s="39">
        <f t="shared" ref="AD27" si="34">SUM(AD28:AD31)</f>
        <v>86.415000000000006</v>
      </c>
      <c r="AE27" s="39">
        <f t="shared" ref="AE27" si="35">SUM(AE28:AE31)</f>
        <v>26</v>
      </c>
      <c r="AF27" s="39">
        <f t="shared" ref="AF27" si="36">SUM(AF28:AF31)</f>
        <v>0.501</v>
      </c>
      <c r="AG27" s="39">
        <f t="shared" ref="AG27" si="37">SUM(AG28:AG31)</f>
        <v>1087</v>
      </c>
      <c r="AH27" s="39">
        <f t="shared" ref="AH27" si="38">SUM(AH28:AH31)</f>
        <v>1622.5299999999997</v>
      </c>
      <c r="AI27" s="39">
        <f t="shared" ref="AI27" si="39">SUM(AI28:AI31)</f>
        <v>413</v>
      </c>
      <c r="AJ27" s="52">
        <f t="shared" ref="AJ27" si="40">SUM(AJ28:AJ31)</f>
        <v>362.77499999999998</v>
      </c>
      <c r="AK27" s="39">
        <f t="shared" ref="AK27" si="41">SUM(AK28:AK31)</f>
        <v>295</v>
      </c>
      <c r="AL27" s="47">
        <f t="shared" ref="AL27" si="42">SUM(AL28:AL31)</f>
        <v>509.28499999999997</v>
      </c>
      <c r="AM27" s="39">
        <f t="shared" ref="AM27" si="43">SUM(AM28:AM31)</f>
        <v>41</v>
      </c>
      <c r="AN27" s="47">
        <f t="shared" ref="AN27" si="44">SUM(AN28:AN31)</f>
        <v>69.960000000000008</v>
      </c>
      <c r="AO27" s="39">
        <f t="shared" ref="AO27" si="45">SUM(AO28:AO31)</f>
        <v>340</v>
      </c>
      <c r="AP27" s="47">
        <f t="shared" ref="AP27" si="46">SUM(AP28:AP31)</f>
        <v>412.34</v>
      </c>
      <c r="AQ27" s="39">
        <f t="shared" ref="AQ27" si="47">SUM(AQ28:AQ31)</f>
        <v>24</v>
      </c>
      <c r="AR27" s="47">
        <f t="shared" ref="AR27" si="48">SUM(AR28:AR31)</f>
        <v>24.39</v>
      </c>
      <c r="AS27" s="39">
        <f t="shared" ref="AS27" si="49">SUM(AS28:AS31)</f>
        <v>44</v>
      </c>
      <c r="AT27" s="47">
        <f t="shared" ref="AT27" si="50">SUM(AT28:AT31)</f>
        <v>37.799999999999997</v>
      </c>
      <c r="AU27" s="39">
        <f t="shared" ref="AU27" si="51">SUM(AU28:AU31)</f>
        <v>44</v>
      </c>
      <c r="AV27" s="47">
        <f t="shared" ref="AV27" si="52">SUM(AV28:AV31)</f>
        <v>29.169999999999998</v>
      </c>
      <c r="AW27" s="39">
        <f t="shared" ref="AW27" si="53">SUM(AW28:AW31)</f>
        <v>3134</v>
      </c>
      <c r="AX27" s="43">
        <f t="shared" ref="AX27" si="54">SUM(AX28:AX31)</f>
        <v>4533.3450000000003</v>
      </c>
      <c r="AY27" s="21" t="s">
        <v>203</v>
      </c>
      <c r="AZ27" s="15"/>
      <c r="BA27" s="15"/>
    </row>
    <row r="28" spans="1:53">
      <c r="A28" s="13" t="s">
        <v>37</v>
      </c>
      <c r="B28" s="63">
        <f t="shared" si="10"/>
        <v>6049</v>
      </c>
      <c r="C28" s="37">
        <v>99</v>
      </c>
      <c r="D28" s="37">
        <v>388.61</v>
      </c>
      <c r="E28" s="37">
        <v>1093</v>
      </c>
      <c r="F28" s="37">
        <v>1716.28</v>
      </c>
      <c r="G28" s="37">
        <v>129</v>
      </c>
      <c r="H28" s="37">
        <v>242.25</v>
      </c>
      <c r="I28" s="37">
        <v>334</v>
      </c>
      <c r="J28" s="64">
        <v>196.214</v>
      </c>
      <c r="K28" s="37">
        <v>590</v>
      </c>
      <c r="L28" s="37">
        <v>919.11</v>
      </c>
      <c r="M28" s="37">
        <v>105</v>
      </c>
      <c r="N28" s="37">
        <v>171.85</v>
      </c>
      <c r="O28" s="37">
        <v>174</v>
      </c>
      <c r="P28" s="37">
        <v>200.86</v>
      </c>
      <c r="Q28" s="37">
        <v>572</v>
      </c>
      <c r="R28" s="37">
        <v>686.82</v>
      </c>
      <c r="S28" s="31">
        <v>132</v>
      </c>
      <c r="T28" s="25">
        <v>73.349999999999994</v>
      </c>
      <c r="U28" s="27" t="s">
        <v>190</v>
      </c>
      <c r="V28" s="27" t="s">
        <v>190</v>
      </c>
      <c r="W28" s="25">
        <v>70</v>
      </c>
      <c r="X28" s="25">
        <v>56.37</v>
      </c>
      <c r="Y28" s="25">
        <v>306</v>
      </c>
      <c r="Z28" s="25">
        <v>202.75</v>
      </c>
      <c r="AA28" s="64">
        <v>6</v>
      </c>
      <c r="AB28" s="64">
        <v>3.7</v>
      </c>
      <c r="AC28" s="25">
        <v>50</v>
      </c>
      <c r="AD28" s="25">
        <v>49.73</v>
      </c>
      <c r="AE28" s="25">
        <v>1</v>
      </c>
      <c r="AF28" s="25">
        <v>0.5</v>
      </c>
      <c r="AG28" s="29">
        <v>422</v>
      </c>
      <c r="AH28" s="25">
        <v>771.31</v>
      </c>
      <c r="AI28" s="25">
        <v>198</v>
      </c>
      <c r="AJ28" s="29">
        <v>156.54</v>
      </c>
      <c r="AK28" s="53">
        <v>136</v>
      </c>
      <c r="AL28" s="50">
        <v>175.38</v>
      </c>
      <c r="AM28" s="53">
        <v>17</v>
      </c>
      <c r="AN28" s="50">
        <v>17</v>
      </c>
      <c r="AO28" s="53">
        <v>174</v>
      </c>
      <c r="AP28" s="50">
        <v>173.8</v>
      </c>
      <c r="AQ28" s="53">
        <v>21</v>
      </c>
      <c r="AR28" s="50">
        <v>20.16</v>
      </c>
      <c r="AS28" s="53">
        <v>4</v>
      </c>
      <c r="AT28" s="50">
        <v>2.8</v>
      </c>
      <c r="AU28" s="53">
        <v>5</v>
      </c>
      <c r="AV28" s="50">
        <v>1.95</v>
      </c>
      <c r="AW28" s="53">
        <v>1411</v>
      </c>
      <c r="AX28" s="65">
        <v>1794.1690000000001</v>
      </c>
      <c r="AY28" s="14" t="s">
        <v>38</v>
      </c>
      <c r="AZ28" s="15"/>
      <c r="BA28" s="15"/>
    </row>
    <row r="29" spans="1:53">
      <c r="A29" s="13" t="s">
        <v>39</v>
      </c>
      <c r="B29" s="63">
        <f t="shared" si="10"/>
        <v>2037</v>
      </c>
      <c r="C29" s="38" t="s">
        <v>190</v>
      </c>
      <c r="D29" s="37" t="s">
        <v>190</v>
      </c>
      <c r="E29" s="37">
        <v>335</v>
      </c>
      <c r="F29" s="37">
        <v>432.12</v>
      </c>
      <c r="G29" s="37">
        <v>19</v>
      </c>
      <c r="H29" s="37">
        <v>27.04</v>
      </c>
      <c r="I29" s="37">
        <v>329</v>
      </c>
      <c r="J29" s="64">
        <v>66.224999999999994</v>
      </c>
      <c r="K29" s="37">
        <v>140</v>
      </c>
      <c r="L29" s="37">
        <v>170.96</v>
      </c>
      <c r="M29" s="37">
        <v>37</v>
      </c>
      <c r="N29" s="37">
        <v>40.375</v>
      </c>
      <c r="O29" s="37">
        <v>44</v>
      </c>
      <c r="P29" s="37">
        <v>25.225000000000001</v>
      </c>
      <c r="Q29" s="37">
        <v>250</v>
      </c>
      <c r="R29" s="37">
        <v>166.17</v>
      </c>
      <c r="S29" s="31">
        <v>25</v>
      </c>
      <c r="T29" s="25">
        <v>9.6850000000000005</v>
      </c>
      <c r="U29" s="27" t="s">
        <v>190</v>
      </c>
      <c r="V29" s="27" t="s">
        <v>190</v>
      </c>
      <c r="W29" s="25">
        <v>37</v>
      </c>
      <c r="X29" s="25">
        <v>18.045000000000002</v>
      </c>
      <c r="Y29" s="25">
        <v>87</v>
      </c>
      <c r="Z29" s="25">
        <v>52.64</v>
      </c>
      <c r="AA29" s="64">
        <v>28</v>
      </c>
      <c r="AB29" s="64">
        <v>5.875</v>
      </c>
      <c r="AC29" s="25">
        <v>38</v>
      </c>
      <c r="AD29" s="25">
        <v>10.484999999999999</v>
      </c>
      <c r="AE29" s="25">
        <v>25</v>
      </c>
      <c r="AF29" s="25">
        <v>1E-3</v>
      </c>
      <c r="AG29" s="29">
        <v>158</v>
      </c>
      <c r="AH29" s="25">
        <v>149.87</v>
      </c>
      <c r="AI29" s="25">
        <v>70</v>
      </c>
      <c r="AJ29" s="29">
        <v>50.034999999999997</v>
      </c>
      <c r="AK29" s="53">
        <v>37</v>
      </c>
      <c r="AL29" s="50">
        <v>36.005000000000003</v>
      </c>
      <c r="AM29" s="53">
        <v>13</v>
      </c>
      <c r="AN29" s="50">
        <v>23.06</v>
      </c>
      <c r="AO29" s="53">
        <v>37</v>
      </c>
      <c r="AP29" s="50">
        <v>42.14</v>
      </c>
      <c r="AQ29" s="53">
        <v>3</v>
      </c>
      <c r="AR29" s="50">
        <v>4.2300000000000004</v>
      </c>
      <c r="AS29" s="54" t="s">
        <v>190</v>
      </c>
      <c r="AT29" s="50" t="s">
        <v>190</v>
      </c>
      <c r="AU29" s="53">
        <v>4</v>
      </c>
      <c r="AV29" s="50">
        <v>1.02</v>
      </c>
      <c r="AW29" s="53">
        <v>321</v>
      </c>
      <c r="AX29" s="65">
        <v>293.31599999999997</v>
      </c>
      <c r="AY29" s="14" t="s">
        <v>40</v>
      </c>
      <c r="AZ29" s="15"/>
      <c r="BA29" s="15"/>
    </row>
    <row r="30" spans="1:53">
      <c r="A30" s="13" t="s">
        <v>41</v>
      </c>
      <c r="B30" s="63">
        <f t="shared" si="10"/>
        <v>4993</v>
      </c>
      <c r="C30" s="37">
        <v>20</v>
      </c>
      <c r="D30" s="37">
        <v>50</v>
      </c>
      <c r="E30" s="37">
        <v>2210</v>
      </c>
      <c r="F30" s="37">
        <v>9214.2999999999993</v>
      </c>
      <c r="G30" s="37">
        <v>2</v>
      </c>
      <c r="H30" s="37">
        <v>8</v>
      </c>
      <c r="I30" s="37">
        <v>301</v>
      </c>
      <c r="J30" s="64">
        <v>375.3</v>
      </c>
      <c r="K30" s="37">
        <v>480</v>
      </c>
      <c r="L30" s="37">
        <v>874.3</v>
      </c>
      <c r="M30" s="37">
        <v>124</v>
      </c>
      <c r="N30" s="37">
        <v>201.7</v>
      </c>
      <c r="O30" s="37">
        <v>199</v>
      </c>
      <c r="P30" s="37">
        <v>396.7</v>
      </c>
      <c r="Q30" s="37">
        <v>348</v>
      </c>
      <c r="R30" s="37">
        <v>530.95000000000005</v>
      </c>
      <c r="S30" s="31">
        <v>14</v>
      </c>
      <c r="T30" s="25">
        <v>21.9</v>
      </c>
      <c r="U30" s="27" t="s">
        <v>190</v>
      </c>
      <c r="V30" s="27" t="s">
        <v>190</v>
      </c>
      <c r="W30" s="25">
        <v>38</v>
      </c>
      <c r="X30" s="25">
        <v>28.1</v>
      </c>
      <c r="Y30" s="25">
        <v>53</v>
      </c>
      <c r="Z30" s="25">
        <v>92</v>
      </c>
      <c r="AA30" s="64">
        <v>1</v>
      </c>
      <c r="AB30" s="64">
        <v>1</v>
      </c>
      <c r="AC30" s="25">
        <v>26</v>
      </c>
      <c r="AD30" s="25">
        <v>18.5</v>
      </c>
      <c r="AE30" s="27" t="s">
        <v>190</v>
      </c>
      <c r="AF30" s="27" t="s">
        <v>190</v>
      </c>
      <c r="AG30" s="29">
        <v>369</v>
      </c>
      <c r="AH30" s="25">
        <v>512.5</v>
      </c>
      <c r="AI30" s="25">
        <v>131</v>
      </c>
      <c r="AJ30" s="29">
        <v>145.30000000000001</v>
      </c>
      <c r="AK30" s="53">
        <v>104</v>
      </c>
      <c r="AL30" s="50">
        <v>275.39999999999998</v>
      </c>
      <c r="AM30" s="53">
        <v>5</v>
      </c>
      <c r="AN30" s="50">
        <v>20</v>
      </c>
      <c r="AO30" s="53">
        <v>108</v>
      </c>
      <c r="AP30" s="50">
        <v>178</v>
      </c>
      <c r="AQ30" s="54" t="s">
        <v>190</v>
      </c>
      <c r="AR30" s="50" t="s">
        <v>190</v>
      </c>
      <c r="AS30" s="54" t="s">
        <v>190</v>
      </c>
      <c r="AT30" s="50" t="s">
        <v>190</v>
      </c>
      <c r="AU30" s="53">
        <v>5</v>
      </c>
      <c r="AV30" s="50">
        <v>6.8</v>
      </c>
      <c r="AW30" s="53">
        <v>455</v>
      </c>
      <c r="AX30" s="65">
        <v>1032.5</v>
      </c>
      <c r="AY30" s="14" t="s">
        <v>42</v>
      </c>
      <c r="AZ30" s="15"/>
      <c r="BA30" s="15"/>
    </row>
    <row r="31" spans="1:53">
      <c r="A31" s="13" t="s">
        <v>43</v>
      </c>
      <c r="B31" s="63">
        <f t="shared" si="10"/>
        <v>2729</v>
      </c>
      <c r="C31" s="37">
        <v>45</v>
      </c>
      <c r="D31" s="37">
        <v>311</v>
      </c>
      <c r="E31" s="37">
        <v>463</v>
      </c>
      <c r="F31" s="37">
        <v>1134.8</v>
      </c>
      <c r="G31" s="37">
        <v>21</v>
      </c>
      <c r="H31" s="37">
        <v>37.4</v>
      </c>
      <c r="I31" s="37">
        <v>143</v>
      </c>
      <c r="J31" s="64">
        <v>168.6</v>
      </c>
      <c r="K31" s="37">
        <v>348</v>
      </c>
      <c r="L31" s="37">
        <v>752.35</v>
      </c>
      <c r="M31" s="37">
        <v>42</v>
      </c>
      <c r="N31" s="37">
        <v>65.099999999999994</v>
      </c>
      <c r="O31" s="37">
        <v>33</v>
      </c>
      <c r="P31" s="37">
        <v>51.9</v>
      </c>
      <c r="Q31" s="37">
        <v>361</v>
      </c>
      <c r="R31" s="37">
        <v>571.1</v>
      </c>
      <c r="S31" s="31">
        <v>10</v>
      </c>
      <c r="T31" s="25">
        <v>8</v>
      </c>
      <c r="U31" s="27" t="s">
        <v>190</v>
      </c>
      <c r="V31" s="27" t="s">
        <v>190</v>
      </c>
      <c r="W31" s="25">
        <v>3</v>
      </c>
      <c r="X31" s="25">
        <v>1.1000000000000001</v>
      </c>
      <c r="Y31" s="25">
        <v>36</v>
      </c>
      <c r="Z31" s="25">
        <v>50.5</v>
      </c>
      <c r="AA31" s="28" t="s">
        <v>190</v>
      </c>
      <c r="AB31" s="28" t="s">
        <v>190</v>
      </c>
      <c r="AC31" s="25">
        <v>10</v>
      </c>
      <c r="AD31" s="25">
        <v>7.7</v>
      </c>
      <c r="AE31" s="27" t="s">
        <v>190</v>
      </c>
      <c r="AF31" s="27" t="s">
        <v>190</v>
      </c>
      <c r="AG31" s="29">
        <v>138</v>
      </c>
      <c r="AH31" s="25">
        <v>188.85</v>
      </c>
      <c r="AI31" s="25">
        <v>14</v>
      </c>
      <c r="AJ31" s="29">
        <v>10.9</v>
      </c>
      <c r="AK31" s="53">
        <v>18</v>
      </c>
      <c r="AL31" s="50">
        <v>22.5</v>
      </c>
      <c r="AM31" s="53">
        <v>6</v>
      </c>
      <c r="AN31" s="50">
        <v>9.9</v>
      </c>
      <c r="AO31" s="53">
        <v>21</v>
      </c>
      <c r="AP31" s="50">
        <v>18.399999999999999</v>
      </c>
      <c r="AQ31" s="54" t="s">
        <v>190</v>
      </c>
      <c r="AR31" s="50" t="s">
        <v>190</v>
      </c>
      <c r="AS31" s="53">
        <v>40</v>
      </c>
      <c r="AT31" s="50">
        <v>35</v>
      </c>
      <c r="AU31" s="53">
        <v>30</v>
      </c>
      <c r="AV31" s="50">
        <v>19.399999999999999</v>
      </c>
      <c r="AW31" s="53">
        <v>947</v>
      </c>
      <c r="AX31" s="65">
        <v>1413.36</v>
      </c>
      <c r="AY31" s="14" t="s">
        <v>44</v>
      </c>
      <c r="AZ31" s="15"/>
      <c r="BA31" s="15"/>
    </row>
    <row r="32" spans="1:53" s="12" customFormat="1">
      <c r="A32" s="126" t="s">
        <v>45</v>
      </c>
      <c r="B32" s="72">
        <f>SUM(B34:B37)</f>
        <v>27215</v>
      </c>
      <c r="C32" s="89">
        <f>SUM(C34:C37)</f>
        <v>61</v>
      </c>
      <c r="D32" s="89">
        <f>SUM(D34:D37)</f>
        <v>271</v>
      </c>
      <c r="E32" s="89">
        <f t="shared" ref="E32:R32" si="55">SUM(E34:E37)</f>
        <v>5218</v>
      </c>
      <c r="F32" s="89">
        <f>SUM(F34:F37)</f>
        <v>11046.34</v>
      </c>
      <c r="G32" s="89">
        <f t="shared" si="55"/>
        <v>1850</v>
      </c>
      <c r="H32" s="89">
        <f t="shared" si="55"/>
        <v>12762.560000000001</v>
      </c>
      <c r="I32" s="89">
        <f t="shared" si="55"/>
        <v>4388</v>
      </c>
      <c r="J32" s="89">
        <f t="shared" si="55"/>
        <v>2492.06</v>
      </c>
      <c r="K32" s="89">
        <f t="shared" si="55"/>
        <v>1912</v>
      </c>
      <c r="L32" s="89">
        <f t="shared" si="55"/>
        <v>2371.2199999999998</v>
      </c>
      <c r="M32" s="89">
        <f t="shared" si="55"/>
        <v>679</v>
      </c>
      <c r="N32" s="89">
        <f t="shared" si="55"/>
        <v>911.15</v>
      </c>
      <c r="O32" s="89">
        <f t="shared" si="55"/>
        <v>1382</v>
      </c>
      <c r="P32" s="89">
        <f t="shared" si="55"/>
        <v>1747.23</v>
      </c>
      <c r="Q32" s="89">
        <f t="shared" si="55"/>
        <v>3303</v>
      </c>
      <c r="R32" s="89">
        <f t="shared" si="55"/>
        <v>2519.0299999999997</v>
      </c>
      <c r="S32" s="127">
        <f t="shared" ref="S32:Z32" si="56">SUM(S34:S37)</f>
        <v>882</v>
      </c>
      <c r="T32" s="78">
        <f t="shared" si="56"/>
        <v>411.90299999999996</v>
      </c>
      <c r="U32" s="78">
        <f t="shared" si="56"/>
        <v>78</v>
      </c>
      <c r="V32" s="78">
        <f t="shared" si="56"/>
        <v>49.95</v>
      </c>
      <c r="W32" s="78">
        <f t="shared" si="56"/>
        <v>265</v>
      </c>
      <c r="X32" s="78">
        <f>SUM(X34:X37)</f>
        <v>307.45499999999998</v>
      </c>
      <c r="Y32" s="78">
        <f t="shared" si="56"/>
        <v>446</v>
      </c>
      <c r="Z32" s="78">
        <f t="shared" si="56"/>
        <v>310.63</v>
      </c>
      <c r="AA32" s="78">
        <f>SUM(AA34:AA37)</f>
        <v>171</v>
      </c>
      <c r="AB32" s="78">
        <f t="shared" ref="AB32:AI32" si="57">SUM(AB34:AB37)</f>
        <v>94.039999999999992</v>
      </c>
      <c r="AC32" s="78">
        <f t="shared" si="57"/>
        <v>146</v>
      </c>
      <c r="AD32" s="78">
        <f t="shared" si="57"/>
        <v>89.5</v>
      </c>
      <c r="AE32" s="78">
        <f t="shared" si="57"/>
        <v>9</v>
      </c>
      <c r="AF32" s="78">
        <f t="shared" si="57"/>
        <v>5.75</v>
      </c>
      <c r="AG32" s="124">
        <f t="shared" si="57"/>
        <v>747</v>
      </c>
      <c r="AH32" s="78">
        <f t="shared" si="57"/>
        <v>699.15800000000002</v>
      </c>
      <c r="AI32" s="78">
        <f t="shared" si="57"/>
        <v>920</v>
      </c>
      <c r="AJ32" s="124">
        <f>SUM(AJ34:AJ37)</f>
        <v>1059.76</v>
      </c>
      <c r="AK32" s="78">
        <f t="shared" ref="AK32:AX32" si="58">SUM(AK34:AK37)</f>
        <v>490</v>
      </c>
      <c r="AL32" s="77">
        <f t="shared" si="58"/>
        <v>929.28</v>
      </c>
      <c r="AM32" s="78">
        <f t="shared" si="58"/>
        <v>407</v>
      </c>
      <c r="AN32" s="77">
        <f t="shared" si="58"/>
        <v>1478.9499999999998</v>
      </c>
      <c r="AO32" s="78">
        <f t="shared" si="58"/>
        <v>1044</v>
      </c>
      <c r="AP32" s="77">
        <f t="shared" si="58"/>
        <v>1713.9949999999999</v>
      </c>
      <c r="AQ32" s="78">
        <f t="shared" si="58"/>
        <v>53</v>
      </c>
      <c r="AR32" s="77">
        <f t="shared" si="58"/>
        <v>92</v>
      </c>
      <c r="AS32" s="78">
        <f t="shared" si="58"/>
        <v>3</v>
      </c>
      <c r="AT32" s="77">
        <f t="shared" si="58"/>
        <v>2</v>
      </c>
      <c r="AU32" s="78">
        <f t="shared" si="58"/>
        <v>4</v>
      </c>
      <c r="AV32" s="77">
        <f t="shared" si="58"/>
        <v>0.85</v>
      </c>
      <c r="AW32" s="78">
        <f t="shared" si="58"/>
        <v>2757</v>
      </c>
      <c r="AX32" s="79">
        <f t="shared" si="58"/>
        <v>5918.27</v>
      </c>
      <c r="AY32" s="125" t="s">
        <v>46</v>
      </c>
      <c r="AZ32" s="125"/>
      <c r="BA32" s="125"/>
    </row>
    <row r="33" spans="1:53">
      <c r="A33" s="126"/>
      <c r="B33" s="72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127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124"/>
      <c r="AH33" s="78"/>
      <c r="AI33" s="78"/>
      <c r="AJ33" s="124"/>
      <c r="AK33" s="78"/>
      <c r="AL33" s="77"/>
      <c r="AM33" s="78"/>
      <c r="AN33" s="77"/>
      <c r="AO33" s="78"/>
      <c r="AP33" s="77"/>
      <c r="AQ33" s="78"/>
      <c r="AR33" s="77"/>
      <c r="AS33" s="78"/>
      <c r="AT33" s="77"/>
      <c r="AU33" s="78"/>
      <c r="AV33" s="77"/>
      <c r="AW33" s="78"/>
      <c r="AX33" s="79"/>
      <c r="AY33" s="125"/>
      <c r="AZ33" s="125"/>
      <c r="BA33" s="125"/>
    </row>
    <row r="34" spans="1:53">
      <c r="A34" s="13" t="s">
        <v>47</v>
      </c>
      <c r="B34" s="63">
        <f t="shared" ref="B34:B37" si="59">SUM(C34,E34,G34,I34,K34,M34,O34,Q34,S34,U34,W34,Y34,AA34,AC34,AE34,AG34,AI34,AK34,AM34,AO34,AQ34,AS34,AU34,AW34)</f>
        <v>5333</v>
      </c>
      <c r="C34" s="37">
        <v>60</v>
      </c>
      <c r="D34" s="37">
        <v>270</v>
      </c>
      <c r="E34" s="37">
        <v>1264</v>
      </c>
      <c r="F34" s="37">
        <v>2457.56</v>
      </c>
      <c r="G34" s="37">
        <v>68</v>
      </c>
      <c r="H34" s="37">
        <v>418.15</v>
      </c>
      <c r="I34" s="37">
        <v>806</v>
      </c>
      <c r="J34" s="64">
        <v>412.41500000000002</v>
      </c>
      <c r="K34" s="37">
        <v>483</v>
      </c>
      <c r="L34" s="37">
        <v>484.15</v>
      </c>
      <c r="M34" s="37">
        <v>71</v>
      </c>
      <c r="N34" s="37">
        <v>77.33</v>
      </c>
      <c r="O34" s="37">
        <v>151</v>
      </c>
      <c r="P34" s="37">
        <v>127.06</v>
      </c>
      <c r="Q34" s="37">
        <v>924</v>
      </c>
      <c r="R34" s="37">
        <v>667.13</v>
      </c>
      <c r="S34" s="31">
        <v>234</v>
      </c>
      <c r="T34" s="25">
        <v>162.31</v>
      </c>
      <c r="U34" s="27" t="s">
        <v>190</v>
      </c>
      <c r="V34" s="27" t="s">
        <v>190</v>
      </c>
      <c r="W34" s="25">
        <v>18</v>
      </c>
      <c r="X34" s="25">
        <v>25.15</v>
      </c>
      <c r="Y34" s="25">
        <v>100</v>
      </c>
      <c r="Z34" s="25">
        <v>93.01</v>
      </c>
      <c r="AA34" s="64">
        <v>7</v>
      </c>
      <c r="AB34" s="64">
        <v>3.27</v>
      </c>
      <c r="AC34" s="25">
        <v>4</v>
      </c>
      <c r="AD34" s="25">
        <v>1.68</v>
      </c>
      <c r="AE34" s="25">
        <v>5</v>
      </c>
      <c r="AF34" s="25">
        <v>3.75</v>
      </c>
      <c r="AG34" s="29">
        <v>305</v>
      </c>
      <c r="AH34" s="25">
        <v>253.625</v>
      </c>
      <c r="AI34" s="25">
        <v>198</v>
      </c>
      <c r="AJ34" s="29">
        <v>171.02</v>
      </c>
      <c r="AK34" s="53">
        <v>110</v>
      </c>
      <c r="AL34" s="50">
        <v>103.2</v>
      </c>
      <c r="AM34" s="53">
        <v>9</v>
      </c>
      <c r="AN34" s="50">
        <v>29.1</v>
      </c>
      <c r="AO34" s="53">
        <v>87</v>
      </c>
      <c r="AP34" s="50">
        <v>78.775000000000006</v>
      </c>
      <c r="AQ34" s="53">
        <v>1</v>
      </c>
      <c r="AR34" s="50">
        <v>1.8</v>
      </c>
      <c r="AS34" s="54" t="s">
        <v>190</v>
      </c>
      <c r="AT34" s="50" t="s">
        <v>190</v>
      </c>
      <c r="AU34" s="53">
        <v>3</v>
      </c>
      <c r="AV34" s="50">
        <v>0.85</v>
      </c>
      <c r="AW34" s="53">
        <v>425</v>
      </c>
      <c r="AX34" s="65">
        <v>712.34500000000003</v>
      </c>
      <c r="AY34" s="14" t="s">
        <v>48</v>
      </c>
      <c r="AZ34" s="15"/>
      <c r="BA34" s="15"/>
    </row>
    <row r="35" spans="1:53">
      <c r="A35" s="13" t="s">
        <v>49</v>
      </c>
      <c r="B35" s="63">
        <f t="shared" si="59"/>
        <v>9537</v>
      </c>
      <c r="C35" s="37">
        <v>1</v>
      </c>
      <c r="D35" s="37">
        <v>1</v>
      </c>
      <c r="E35" s="37">
        <v>2008</v>
      </c>
      <c r="F35" s="37">
        <v>4306.12</v>
      </c>
      <c r="G35" s="37">
        <v>367</v>
      </c>
      <c r="H35" s="37">
        <v>1487.56</v>
      </c>
      <c r="I35" s="37">
        <v>1661</v>
      </c>
      <c r="J35" s="64">
        <v>1144.6199999999999</v>
      </c>
      <c r="K35" s="37">
        <v>683</v>
      </c>
      <c r="L35" s="37">
        <v>735.67</v>
      </c>
      <c r="M35" s="37">
        <v>170</v>
      </c>
      <c r="N35" s="37">
        <v>188.31</v>
      </c>
      <c r="O35" s="37">
        <v>503</v>
      </c>
      <c r="P35" s="37">
        <v>608.26</v>
      </c>
      <c r="Q35" s="37">
        <v>995</v>
      </c>
      <c r="R35" s="37">
        <v>824.28</v>
      </c>
      <c r="S35" s="31">
        <v>329</v>
      </c>
      <c r="T35" s="25">
        <v>145.76300000000001</v>
      </c>
      <c r="U35" s="25">
        <v>13</v>
      </c>
      <c r="V35" s="64">
        <v>9.5</v>
      </c>
      <c r="W35" s="25">
        <v>79</v>
      </c>
      <c r="X35" s="25">
        <v>97.8</v>
      </c>
      <c r="Y35" s="25">
        <v>179</v>
      </c>
      <c r="Z35" s="25">
        <v>145.6</v>
      </c>
      <c r="AA35" s="64">
        <v>102</v>
      </c>
      <c r="AB35" s="64">
        <v>71.47</v>
      </c>
      <c r="AC35" s="25">
        <v>82</v>
      </c>
      <c r="AD35" s="25">
        <v>62.85</v>
      </c>
      <c r="AE35" s="25">
        <v>1</v>
      </c>
      <c r="AF35" s="25">
        <v>1</v>
      </c>
      <c r="AG35" s="29">
        <v>152</v>
      </c>
      <c r="AH35" s="25">
        <v>165.95</v>
      </c>
      <c r="AI35" s="25">
        <v>322</v>
      </c>
      <c r="AJ35" s="29">
        <v>407.15</v>
      </c>
      <c r="AK35" s="53">
        <v>188</v>
      </c>
      <c r="AL35" s="50">
        <v>621.54999999999995</v>
      </c>
      <c r="AM35" s="53">
        <v>79</v>
      </c>
      <c r="AN35" s="50">
        <v>445.95</v>
      </c>
      <c r="AO35" s="53">
        <v>498</v>
      </c>
      <c r="AP35" s="50">
        <v>1019.9</v>
      </c>
      <c r="AQ35" s="53">
        <v>28</v>
      </c>
      <c r="AR35" s="50">
        <v>47.1</v>
      </c>
      <c r="AS35" s="54" t="s">
        <v>190</v>
      </c>
      <c r="AT35" s="50" t="s">
        <v>190</v>
      </c>
      <c r="AU35" s="53">
        <v>1</v>
      </c>
      <c r="AV35" s="50" t="s">
        <v>190</v>
      </c>
      <c r="AW35" s="53">
        <v>1096</v>
      </c>
      <c r="AX35" s="65">
        <v>3008.34</v>
      </c>
      <c r="AY35" s="14" t="s">
        <v>50</v>
      </c>
      <c r="AZ35" s="15"/>
      <c r="BA35" s="15"/>
    </row>
    <row r="36" spans="1:53">
      <c r="A36" s="13" t="s">
        <v>51</v>
      </c>
      <c r="B36" s="63">
        <f t="shared" si="59"/>
        <v>2880</v>
      </c>
      <c r="C36" s="40" t="s">
        <v>190</v>
      </c>
      <c r="D36" s="40" t="s">
        <v>190</v>
      </c>
      <c r="E36" s="37">
        <v>541</v>
      </c>
      <c r="F36" s="37">
        <v>522.46</v>
      </c>
      <c r="G36" s="37">
        <v>77</v>
      </c>
      <c r="H36" s="37">
        <v>257.14999999999998</v>
      </c>
      <c r="I36" s="37">
        <v>375</v>
      </c>
      <c r="J36" s="64">
        <v>231.58500000000001</v>
      </c>
      <c r="K36" s="37">
        <v>106</v>
      </c>
      <c r="L36" s="37">
        <v>135.99</v>
      </c>
      <c r="M36" s="37">
        <v>53</v>
      </c>
      <c r="N36" s="37">
        <v>74.47</v>
      </c>
      <c r="O36" s="37">
        <v>116</v>
      </c>
      <c r="P36" s="37">
        <v>105.52</v>
      </c>
      <c r="Q36" s="37">
        <v>286</v>
      </c>
      <c r="R36" s="37">
        <v>156.81</v>
      </c>
      <c r="S36" s="31">
        <v>186</v>
      </c>
      <c r="T36" s="25">
        <v>58.18</v>
      </c>
      <c r="U36" s="25">
        <v>25</v>
      </c>
      <c r="V36" s="64">
        <v>20.3</v>
      </c>
      <c r="W36" s="25">
        <v>31</v>
      </c>
      <c r="X36" s="25">
        <v>25.93</v>
      </c>
      <c r="Y36" s="25">
        <v>125</v>
      </c>
      <c r="Z36" s="25">
        <v>59.12</v>
      </c>
      <c r="AA36" s="64">
        <v>9</v>
      </c>
      <c r="AB36" s="64">
        <v>5</v>
      </c>
      <c r="AC36" s="25">
        <v>36</v>
      </c>
      <c r="AD36" s="25">
        <v>13.47</v>
      </c>
      <c r="AE36" s="26" t="s">
        <v>190</v>
      </c>
      <c r="AF36" s="25">
        <v>0</v>
      </c>
      <c r="AG36" s="29">
        <v>175</v>
      </c>
      <c r="AH36" s="25">
        <v>128.733</v>
      </c>
      <c r="AI36" s="25">
        <v>161</v>
      </c>
      <c r="AJ36" s="29">
        <v>144.18</v>
      </c>
      <c r="AK36" s="53">
        <v>88</v>
      </c>
      <c r="AL36" s="50">
        <v>101.91</v>
      </c>
      <c r="AM36" s="53">
        <v>8</v>
      </c>
      <c r="AN36" s="50">
        <v>39.5</v>
      </c>
      <c r="AO36" s="53">
        <v>94</v>
      </c>
      <c r="AP36" s="50">
        <v>67.05</v>
      </c>
      <c r="AQ36" s="53">
        <v>3</v>
      </c>
      <c r="AR36" s="50">
        <v>4.5</v>
      </c>
      <c r="AS36" s="53">
        <v>3</v>
      </c>
      <c r="AT36" s="50">
        <v>2</v>
      </c>
      <c r="AU36" s="54" t="s">
        <v>190</v>
      </c>
      <c r="AV36" s="50" t="s">
        <v>190</v>
      </c>
      <c r="AW36" s="53">
        <v>382</v>
      </c>
      <c r="AX36" s="65">
        <v>473.23500000000001</v>
      </c>
      <c r="AY36" s="14" t="s">
        <v>52</v>
      </c>
      <c r="AZ36" s="15"/>
      <c r="BA36" s="15"/>
    </row>
    <row r="37" spans="1:53">
      <c r="A37" s="13" t="s">
        <v>53</v>
      </c>
      <c r="B37" s="63">
        <f t="shared" si="59"/>
        <v>9465</v>
      </c>
      <c r="C37" s="40" t="s">
        <v>190</v>
      </c>
      <c r="D37" s="40" t="s">
        <v>190</v>
      </c>
      <c r="E37" s="37">
        <v>1405</v>
      </c>
      <c r="F37" s="37">
        <v>3760.2</v>
      </c>
      <c r="G37" s="37">
        <v>1338</v>
      </c>
      <c r="H37" s="37">
        <v>10599.7</v>
      </c>
      <c r="I37" s="37">
        <v>1546</v>
      </c>
      <c r="J37" s="64">
        <v>703.44</v>
      </c>
      <c r="K37" s="37">
        <v>640</v>
      </c>
      <c r="L37" s="37">
        <v>1015.41</v>
      </c>
      <c r="M37" s="37">
        <v>385</v>
      </c>
      <c r="N37" s="37">
        <v>571.04</v>
      </c>
      <c r="O37" s="37">
        <v>612</v>
      </c>
      <c r="P37" s="37">
        <v>906.39</v>
      </c>
      <c r="Q37" s="37">
        <v>1098</v>
      </c>
      <c r="R37" s="37">
        <v>870.81</v>
      </c>
      <c r="S37" s="31">
        <v>133</v>
      </c>
      <c r="T37" s="25">
        <v>45.65</v>
      </c>
      <c r="U37" s="25">
        <v>40</v>
      </c>
      <c r="V37" s="64">
        <v>20.149999999999999</v>
      </c>
      <c r="W37" s="25">
        <v>137</v>
      </c>
      <c r="X37" s="25">
        <v>158.57499999999999</v>
      </c>
      <c r="Y37" s="25">
        <v>42</v>
      </c>
      <c r="Z37" s="25">
        <v>12.9</v>
      </c>
      <c r="AA37" s="64">
        <v>53</v>
      </c>
      <c r="AB37" s="64">
        <v>14.3</v>
      </c>
      <c r="AC37" s="25">
        <v>24</v>
      </c>
      <c r="AD37" s="25">
        <v>11.5</v>
      </c>
      <c r="AE37" s="25">
        <v>3</v>
      </c>
      <c r="AF37" s="25">
        <v>1</v>
      </c>
      <c r="AG37" s="29">
        <v>115</v>
      </c>
      <c r="AH37" s="25">
        <v>150.85</v>
      </c>
      <c r="AI37" s="25">
        <v>239</v>
      </c>
      <c r="AJ37" s="29">
        <v>337.41</v>
      </c>
      <c r="AK37" s="53">
        <v>104</v>
      </c>
      <c r="AL37" s="50">
        <v>102.62</v>
      </c>
      <c r="AM37" s="53">
        <v>311</v>
      </c>
      <c r="AN37" s="50">
        <v>964.4</v>
      </c>
      <c r="AO37" s="53">
        <v>365</v>
      </c>
      <c r="AP37" s="50">
        <v>548.27</v>
      </c>
      <c r="AQ37" s="53">
        <v>21</v>
      </c>
      <c r="AR37" s="50">
        <v>38.6</v>
      </c>
      <c r="AS37" s="54" t="s">
        <v>190</v>
      </c>
      <c r="AT37" s="50" t="s">
        <v>190</v>
      </c>
      <c r="AU37" s="54" t="s">
        <v>190</v>
      </c>
      <c r="AV37" s="50" t="s">
        <v>190</v>
      </c>
      <c r="AW37" s="53">
        <v>854</v>
      </c>
      <c r="AX37" s="65">
        <v>1724.35</v>
      </c>
      <c r="AY37" s="14" t="s">
        <v>54</v>
      </c>
      <c r="AZ37" s="15"/>
      <c r="BA37" s="15"/>
    </row>
    <row r="38" spans="1:53" s="12" customFormat="1">
      <c r="A38" s="126" t="s">
        <v>55</v>
      </c>
      <c r="B38" s="72">
        <f>SUM(B40:B44)</f>
        <v>92828</v>
      </c>
      <c r="C38" s="89">
        <f>SUM(C40:C44)</f>
        <v>31767</v>
      </c>
      <c r="D38" s="89">
        <f>SUM(D40:D44)</f>
        <v>256030.7</v>
      </c>
      <c r="E38" s="89">
        <f t="shared" ref="E38:R38" si="60">SUM(E40:E44)</f>
        <v>9057</v>
      </c>
      <c r="F38" s="89">
        <f t="shared" si="60"/>
        <v>30316.14</v>
      </c>
      <c r="G38" s="89">
        <f>SUM(G40:G44)</f>
        <v>1787</v>
      </c>
      <c r="H38" s="89">
        <f t="shared" si="60"/>
        <v>12370.2</v>
      </c>
      <c r="I38" s="89">
        <f t="shared" si="60"/>
        <v>4525</v>
      </c>
      <c r="J38" s="89">
        <f t="shared" si="60"/>
        <v>3453.0299999999997</v>
      </c>
      <c r="K38" s="89">
        <f t="shared" si="60"/>
        <v>3814</v>
      </c>
      <c r="L38" s="89">
        <f t="shared" si="60"/>
        <v>10382.369999999999</v>
      </c>
      <c r="M38" s="89">
        <f t="shared" si="60"/>
        <v>2673</v>
      </c>
      <c r="N38" s="89">
        <f t="shared" si="60"/>
        <v>5940.74</v>
      </c>
      <c r="O38" s="89">
        <f>SUM(O40:O44)</f>
        <v>2234</v>
      </c>
      <c r="P38" s="89">
        <f t="shared" si="60"/>
        <v>3494.8549999999996</v>
      </c>
      <c r="Q38" s="89">
        <f t="shared" si="60"/>
        <v>3884</v>
      </c>
      <c r="R38" s="89">
        <f t="shared" si="60"/>
        <v>11790.025</v>
      </c>
      <c r="S38" s="127">
        <f t="shared" ref="S38:Z38" si="61">SUM(S40:S44)</f>
        <v>1934</v>
      </c>
      <c r="T38" s="78">
        <f t="shared" si="61"/>
        <v>1761.8999999999999</v>
      </c>
      <c r="U38" s="78">
        <f t="shared" si="61"/>
        <v>100</v>
      </c>
      <c r="V38" s="78">
        <f t="shared" si="61"/>
        <v>88.2</v>
      </c>
      <c r="W38" s="78">
        <f t="shared" si="61"/>
        <v>1056</v>
      </c>
      <c r="X38" s="78">
        <f t="shared" si="61"/>
        <v>1149.6600000000001</v>
      </c>
      <c r="Y38" s="78">
        <f t="shared" si="61"/>
        <v>2052</v>
      </c>
      <c r="Z38" s="78">
        <f t="shared" si="61"/>
        <v>2397.75</v>
      </c>
      <c r="AA38" s="78">
        <f>SUM(AA40:AA44)</f>
        <v>535</v>
      </c>
      <c r="AB38" s="78">
        <f>SUM(AB40:AB44)</f>
        <v>352.11</v>
      </c>
      <c r="AC38" s="128">
        <f t="shared" ref="AC38:AI38" si="62">SUM(AC40:AC44)</f>
        <v>934</v>
      </c>
      <c r="AD38" s="128">
        <f t="shared" si="62"/>
        <v>755.4</v>
      </c>
      <c r="AE38" s="78">
        <f t="shared" si="62"/>
        <v>3</v>
      </c>
      <c r="AF38" s="78">
        <f t="shared" si="62"/>
        <v>3.2</v>
      </c>
      <c r="AG38" s="124">
        <f t="shared" si="62"/>
        <v>2867</v>
      </c>
      <c r="AH38" s="78">
        <f t="shared" si="62"/>
        <v>7089.375</v>
      </c>
      <c r="AI38" s="78">
        <f t="shared" si="62"/>
        <v>3369</v>
      </c>
      <c r="AJ38" s="124">
        <f>SUM(AJ40:AJ44)</f>
        <v>6407.39</v>
      </c>
      <c r="AK38" s="78">
        <f t="shared" ref="AK38:AX38" si="63">SUM(AK40:AK44)</f>
        <v>923</v>
      </c>
      <c r="AL38" s="77">
        <f t="shared" si="63"/>
        <v>2399.85</v>
      </c>
      <c r="AM38" s="78">
        <f t="shared" si="63"/>
        <v>375</v>
      </c>
      <c r="AN38" s="77">
        <f t="shared" si="63"/>
        <v>2075.75</v>
      </c>
      <c r="AO38" s="78">
        <f t="shared" si="63"/>
        <v>2182</v>
      </c>
      <c r="AP38" s="77">
        <f t="shared" si="63"/>
        <v>4665.6100000000006</v>
      </c>
      <c r="AQ38" s="78">
        <f t="shared" si="63"/>
        <v>125</v>
      </c>
      <c r="AR38" s="77">
        <f t="shared" si="63"/>
        <v>346.65</v>
      </c>
      <c r="AS38" s="78">
        <f t="shared" si="63"/>
        <v>0</v>
      </c>
      <c r="AT38" s="77">
        <f t="shared" si="63"/>
        <v>0</v>
      </c>
      <c r="AU38" s="78">
        <f t="shared" si="63"/>
        <v>56</v>
      </c>
      <c r="AV38" s="77">
        <f t="shared" si="63"/>
        <v>57.77</v>
      </c>
      <c r="AW38" s="78">
        <f t="shared" si="63"/>
        <v>16576</v>
      </c>
      <c r="AX38" s="79">
        <f t="shared" si="63"/>
        <v>46221.205000000002</v>
      </c>
      <c r="AY38" s="125" t="s">
        <v>56</v>
      </c>
      <c r="AZ38" s="125"/>
      <c r="BA38" s="125"/>
    </row>
    <row r="39" spans="1:53">
      <c r="A39" s="126"/>
      <c r="B39" s="72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127"/>
      <c r="T39" s="78"/>
      <c r="U39" s="78"/>
      <c r="V39" s="78"/>
      <c r="W39" s="78"/>
      <c r="X39" s="78"/>
      <c r="Y39" s="78"/>
      <c r="Z39" s="78"/>
      <c r="AA39" s="78"/>
      <c r="AB39" s="78"/>
      <c r="AC39" s="128"/>
      <c r="AD39" s="128"/>
      <c r="AE39" s="78"/>
      <c r="AF39" s="78"/>
      <c r="AG39" s="124"/>
      <c r="AH39" s="78"/>
      <c r="AI39" s="78"/>
      <c r="AJ39" s="124"/>
      <c r="AK39" s="78"/>
      <c r="AL39" s="77"/>
      <c r="AM39" s="78"/>
      <c r="AN39" s="77"/>
      <c r="AO39" s="78"/>
      <c r="AP39" s="77"/>
      <c r="AQ39" s="78"/>
      <c r="AR39" s="77"/>
      <c r="AS39" s="78"/>
      <c r="AT39" s="77"/>
      <c r="AU39" s="78"/>
      <c r="AV39" s="77"/>
      <c r="AW39" s="78"/>
      <c r="AX39" s="79"/>
      <c r="AY39" s="125"/>
      <c r="AZ39" s="125"/>
      <c r="BA39" s="125"/>
    </row>
    <row r="40" spans="1:53">
      <c r="A40" s="13" t="s">
        <v>57</v>
      </c>
      <c r="B40" s="63">
        <f t="shared" ref="B40:B44" si="64">SUM(C40,E40,G40,I40,K40,M40,O40,Q40,S40,U40,W40,Y40,AA40,AC40,AE40,AG40,AI40,AK40,AM40,AO40,AQ40,AS40,AU40,AW40)</f>
        <v>37336</v>
      </c>
      <c r="C40" s="37">
        <v>23524</v>
      </c>
      <c r="D40" s="37">
        <v>196039.2</v>
      </c>
      <c r="E40" s="37">
        <v>2562</v>
      </c>
      <c r="F40" s="37">
        <v>9176.5499999999993</v>
      </c>
      <c r="G40" s="37">
        <v>343</v>
      </c>
      <c r="H40" s="37">
        <v>2132.1999999999998</v>
      </c>
      <c r="I40" s="37">
        <v>1049</v>
      </c>
      <c r="J40" s="64">
        <v>925.65</v>
      </c>
      <c r="K40" s="37">
        <v>935</v>
      </c>
      <c r="L40" s="37">
        <v>2757.66</v>
      </c>
      <c r="M40" s="37">
        <v>647</v>
      </c>
      <c r="N40" s="37">
        <v>1590.3</v>
      </c>
      <c r="O40" s="37">
        <v>425</v>
      </c>
      <c r="P40" s="37">
        <v>503.9</v>
      </c>
      <c r="Q40" s="37">
        <v>1884</v>
      </c>
      <c r="R40" s="37">
        <v>7032.1549999999997</v>
      </c>
      <c r="S40" s="31">
        <v>1300</v>
      </c>
      <c r="T40" s="25">
        <v>924.6</v>
      </c>
      <c r="U40" s="27" t="s">
        <v>190</v>
      </c>
      <c r="V40" s="27" t="s">
        <v>190</v>
      </c>
      <c r="W40" s="25">
        <v>87</v>
      </c>
      <c r="X40" s="25">
        <v>72.3</v>
      </c>
      <c r="Y40" s="25">
        <v>473</v>
      </c>
      <c r="Z40" s="25">
        <v>643.95000000000005</v>
      </c>
      <c r="AA40" s="64">
        <v>61</v>
      </c>
      <c r="AB40" s="64">
        <v>43.75</v>
      </c>
      <c r="AC40" s="25">
        <v>431</v>
      </c>
      <c r="AD40" s="25">
        <v>294.02999999999997</v>
      </c>
      <c r="AE40" s="25">
        <v>2</v>
      </c>
      <c r="AF40" s="25">
        <v>2.5</v>
      </c>
      <c r="AG40" s="29">
        <v>513</v>
      </c>
      <c r="AH40" s="25">
        <v>1074.6500000000001</v>
      </c>
      <c r="AI40" s="25">
        <v>453</v>
      </c>
      <c r="AJ40" s="29">
        <v>446.58</v>
      </c>
      <c r="AK40" s="53">
        <v>171</v>
      </c>
      <c r="AL40" s="50">
        <v>268.10000000000002</v>
      </c>
      <c r="AM40" s="53">
        <v>81</v>
      </c>
      <c r="AN40" s="50">
        <v>487.5</v>
      </c>
      <c r="AO40" s="53">
        <v>705</v>
      </c>
      <c r="AP40" s="50">
        <v>1212.6500000000001</v>
      </c>
      <c r="AQ40" s="53">
        <v>51</v>
      </c>
      <c r="AR40" s="50">
        <v>102.95</v>
      </c>
      <c r="AS40" s="54" t="s">
        <v>190</v>
      </c>
      <c r="AT40" s="50" t="s">
        <v>190</v>
      </c>
      <c r="AU40" s="53">
        <v>53</v>
      </c>
      <c r="AV40" s="50">
        <v>55</v>
      </c>
      <c r="AW40" s="53">
        <v>1586</v>
      </c>
      <c r="AX40" s="65">
        <v>3491.2449999999999</v>
      </c>
      <c r="AY40" s="14" t="s">
        <v>58</v>
      </c>
      <c r="AZ40" s="15"/>
      <c r="BA40" s="15"/>
    </row>
    <row r="41" spans="1:53">
      <c r="A41" s="13" t="s">
        <v>59</v>
      </c>
      <c r="B41" s="63">
        <f t="shared" si="64"/>
        <v>17352</v>
      </c>
      <c r="C41" s="37">
        <v>4526</v>
      </c>
      <c r="D41" s="37">
        <v>29533</v>
      </c>
      <c r="E41" s="37">
        <v>1825</v>
      </c>
      <c r="F41" s="37">
        <v>5991.8</v>
      </c>
      <c r="G41" s="37">
        <v>185</v>
      </c>
      <c r="H41" s="37">
        <v>1328.4</v>
      </c>
      <c r="I41" s="37">
        <v>649</v>
      </c>
      <c r="J41" s="64">
        <v>380.97</v>
      </c>
      <c r="K41" s="37">
        <v>540</v>
      </c>
      <c r="L41" s="37">
        <v>1026.57</v>
      </c>
      <c r="M41" s="37">
        <v>266</v>
      </c>
      <c r="N41" s="37">
        <v>535.66</v>
      </c>
      <c r="O41" s="37">
        <v>213</v>
      </c>
      <c r="P41" s="37">
        <v>355.8</v>
      </c>
      <c r="Q41" s="37">
        <v>613</v>
      </c>
      <c r="R41" s="37">
        <v>1033.8900000000001</v>
      </c>
      <c r="S41" s="31">
        <v>146</v>
      </c>
      <c r="T41" s="25">
        <v>123.48</v>
      </c>
      <c r="U41" s="25">
        <v>6</v>
      </c>
      <c r="V41" s="64">
        <v>12.3</v>
      </c>
      <c r="W41" s="25">
        <v>112</v>
      </c>
      <c r="X41" s="25">
        <v>204.4</v>
      </c>
      <c r="Y41" s="25">
        <v>174</v>
      </c>
      <c r="Z41" s="25">
        <v>251.89</v>
      </c>
      <c r="AA41" s="64">
        <v>13</v>
      </c>
      <c r="AB41" s="64">
        <v>10.1</v>
      </c>
      <c r="AC41" s="25">
        <v>111</v>
      </c>
      <c r="AD41" s="25">
        <v>101.86</v>
      </c>
      <c r="AE41" s="25">
        <v>1</v>
      </c>
      <c r="AF41" s="25">
        <v>0.7</v>
      </c>
      <c r="AG41" s="29">
        <v>672</v>
      </c>
      <c r="AH41" s="25">
        <v>1659.16</v>
      </c>
      <c r="AI41" s="25">
        <v>250</v>
      </c>
      <c r="AJ41" s="29">
        <v>304.64</v>
      </c>
      <c r="AK41" s="53">
        <v>98</v>
      </c>
      <c r="AL41" s="50">
        <v>135.04</v>
      </c>
      <c r="AM41" s="53">
        <v>11</v>
      </c>
      <c r="AN41" s="50">
        <v>96.9</v>
      </c>
      <c r="AO41" s="53">
        <v>229</v>
      </c>
      <c r="AP41" s="50">
        <v>352.98</v>
      </c>
      <c r="AQ41" s="53">
        <v>20</v>
      </c>
      <c r="AR41" s="50">
        <v>39.5</v>
      </c>
      <c r="AS41" s="54" t="s">
        <v>190</v>
      </c>
      <c r="AT41" s="50" t="s">
        <v>190</v>
      </c>
      <c r="AU41" s="53">
        <v>3</v>
      </c>
      <c r="AV41" s="50">
        <v>2.77</v>
      </c>
      <c r="AW41" s="53">
        <v>6689</v>
      </c>
      <c r="AX41" s="65">
        <v>21202.69</v>
      </c>
      <c r="AY41" s="14" t="s">
        <v>60</v>
      </c>
      <c r="AZ41" s="15"/>
      <c r="BA41" s="15"/>
    </row>
    <row r="42" spans="1:53">
      <c r="A42" s="13" t="s">
        <v>61</v>
      </c>
      <c r="B42" s="63">
        <f t="shared" si="64"/>
        <v>16825</v>
      </c>
      <c r="C42" s="37">
        <v>3681</v>
      </c>
      <c r="D42" s="37">
        <v>30285</v>
      </c>
      <c r="E42" s="37">
        <v>1971</v>
      </c>
      <c r="F42" s="37">
        <v>6496.5</v>
      </c>
      <c r="G42" s="37">
        <v>389</v>
      </c>
      <c r="H42" s="37">
        <v>2320</v>
      </c>
      <c r="I42" s="37">
        <v>1442</v>
      </c>
      <c r="J42" s="64">
        <v>1120.7</v>
      </c>
      <c r="K42" s="37">
        <v>682</v>
      </c>
      <c r="L42" s="37">
        <v>2023.75</v>
      </c>
      <c r="M42" s="37">
        <v>542</v>
      </c>
      <c r="N42" s="37">
        <v>1514.5</v>
      </c>
      <c r="O42" s="37">
        <v>540</v>
      </c>
      <c r="P42" s="37">
        <v>1197</v>
      </c>
      <c r="Q42" s="37">
        <v>473</v>
      </c>
      <c r="R42" s="37">
        <v>1941.5</v>
      </c>
      <c r="S42" s="31">
        <v>261</v>
      </c>
      <c r="T42" s="25">
        <v>391.5</v>
      </c>
      <c r="U42" s="25">
        <v>25</v>
      </c>
      <c r="V42" s="64">
        <v>23.4</v>
      </c>
      <c r="W42" s="25">
        <v>469</v>
      </c>
      <c r="X42" s="25">
        <v>409.2</v>
      </c>
      <c r="Y42" s="25">
        <v>419</v>
      </c>
      <c r="Z42" s="25">
        <v>556.1</v>
      </c>
      <c r="AA42" s="64">
        <v>82</v>
      </c>
      <c r="AB42" s="64">
        <v>46.5</v>
      </c>
      <c r="AC42" s="25">
        <v>66</v>
      </c>
      <c r="AD42" s="25">
        <v>38.200000000000003</v>
      </c>
      <c r="AE42" s="27" t="s">
        <v>190</v>
      </c>
      <c r="AF42" s="27" t="s">
        <v>190</v>
      </c>
      <c r="AG42" s="29">
        <v>355</v>
      </c>
      <c r="AH42" s="25">
        <v>965</v>
      </c>
      <c r="AI42" s="25">
        <v>1218</v>
      </c>
      <c r="AJ42" s="29">
        <v>3382.8</v>
      </c>
      <c r="AK42" s="53">
        <v>54</v>
      </c>
      <c r="AL42" s="50">
        <v>101</v>
      </c>
      <c r="AM42" s="53">
        <v>160</v>
      </c>
      <c r="AN42" s="50">
        <v>487.5</v>
      </c>
      <c r="AO42" s="53">
        <v>395</v>
      </c>
      <c r="AP42" s="50">
        <v>1062.8</v>
      </c>
      <c r="AQ42" s="54" t="s">
        <v>190</v>
      </c>
      <c r="AR42" s="50" t="s">
        <v>190</v>
      </c>
      <c r="AS42" s="54" t="s">
        <v>190</v>
      </c>
      <c r="AT42" s="50" t="s">
        <v>190</v>
      </c>
      <c r="AU42" s="54" t="s">
        <v>190</v>
      </c>
      <c r="AV42" s="50" t="s">
        <v>190</v>
      </c>
      <c r="AW42" s="53">
        <v>3601</v>
      </c>
      <c r="AX42" s="65">
        <v>9961.4</v>
      </c>
      <c r="AY42" s="14" t="s">
        <v>62</v>
      </c>
      <c r="AZ42" s="15"/>
      <c r="BA42" s="15"/>
    </row>
    <row r="43" spans="1:53">
      <c r="A43" s="13" t="s">
        <v>63</v>
      </c>
      <c r="B43" s="63">
        <f t="shared" si="64"/>
        <v>261</v>
      </c>
      <c r="C43" s="38" t="s">
        <v>190</v>
      </c>
      <c r="D43" s="37">
        <v>0</v>
      </c>
      <c r="E43" s="37">
        <v>83</v>
      </c>
      <c r="F43" s="37">
        <v>184</v>
      </c>
      <c r="G43" s="37">
        <v>4</v>
      </c>
      <c r="H43" s="37">
        <v>40</v>
      </c>
      <c r="I43" s="37">
        <v>12</v>
      </c>
      <c r="J43" s="64">
        <v>17</v>
      </c>
      <c r="K43" s="37">
        <v>7</v>
      </c>
      <c r="L43" s="37">
        <v>14</v>
      </c>
      <c r="M43" s="37">
        <v>4</v>
      </c>
      <c r="N43" s="37">
        <v>3</v>
      </c>
      <c r="O43" s="37">
        <v>23</v>
      </c>
      <c r="P43" s="37">
        <v>35.200000000000003</v>
      </c>
      <c r="Q43" s="38" t="s">
        <v>190</v>
      </c>
      <c r="R43" s="37">
        <v>0</v>
      </c>
      <c r="S43" s="45" t="s">
        <v>190</v>
      </c>
      <c r="T43" s="25">
        <v>0</v>
      </c>
      <c r="U43" s="25">
        <v>68</v>
      </c>
      <c r="V43" s="64">
        <v>50</v>
      </c>
      <c r="W43" s="25">
        <v>4</v>
      </c>
      <c r="X43" s="25">
        <v>1.2</v>
      </c>
      <c r="Y43" s="25">
        <v>2</v>
      </c>
      <c r="Z43" s="25">
        <v>2</v>
      </c>
      <c r="AA43" s="67" t="s">
        <v>190</v>
      </c>
      <c r="AB43" s="67" t="s">
        <v>190</v>
      </c>
      <c r="AC43" s="26" t="s">
        <v>190</v>
      </c>
      <c r="AD43" s="25">
        <v>0</v>
      </c>
      <c r="AE43" s="27" t="s">
        <v>190</v>
      </c>
      <c r="AF43" s="27" t="s">
        <v>190</v>
      </c>
      <c r="AG43" s="30" t="s">
        <v>190</v>
      </c>
      <c r="AH43" s="25">
        <v>0</v>
      </c>
      <c r="AI43" s="25">
        <v>12</v>
      </c>
      <c r="AJ43" s="29">
        <v>22</v>
      </c>
      <c r="AK43" s="53">
        <v>3</v>
      </c>
      <c r="AL43" s="50">
        <v>3</v>
      </c>
      <c r="AM43" s="54" t="s">
        <v>190</v>
      </c>
      <c r="AN43" s="50" t="s">
        <v>190</v>
      </c>
      <c r="AO43" s="53">
        <v>15</v>
      </c>
      <c r="AP43" s="50">
        <v>29</v>
      </c>
      <c r="AQ43" s="54" t="s">
        <v>190</v>
      </c>
      <c r="AR43" s="50" t="s">
        <v>190</v>
      </c>
      <c r="AS43" s="54" t="s">
        <v>190</v>
      </c>
      <c r="AT43" s="50" t="s">
        <v>190</v>
      </c>
      <c r="AU43" s="54" t="s">
        <v>190</v>
      </c>
      <c r="AV43" s="50" t="s">
        <v>190</v>
      </c>
      <c r="AW43" s="53">
        <v>24</v>
      </c>
      <c r="AX43" s="65">
        <v>42</v>
      </c>
      <c r="AY43" s="14" t="s">
        <v>64</v>
      </c>
      <c r="AZ43" s="15"/>
      <c r="BA43" s="15"/>
    </row>
    <row r="44" spans="1:53">
      <c r="A44" s="13" t="s">
        <v>65</v>
      </c>
      <c r="B44" s="63">
        <f t="shared" si="64"/>
        <v>21054</v>
      </c>
      <c r="C44" s="37">
        <v>36</v>
      </c>
      <c r="D44" s="37">
        <v>173.5</v>
      </c>
      <c r="E44" s="37">
        <v>2616</v>
      </c>
      <c r="F44" s="37">
        <v>8467.2900000000009</v>
      </c>
      <c r="G44" s="37">
        <v>866</v>
      </c>
      <c r="H44" s="37">
        <v>6549.6</v>
      </c>
      <c r="I44" s="37">
        <v>1373</v>
      </c>
      <c r="J44" s="64">
        <v>1008.71</v>
      </c>
      <c r="K44" s="37">
        <v>1650</v>
      </c>
      <c r="L44" s="37">
        <v>4560.3900000000003</v>
      </c>
      <c r="M44" s="37">
        <v>1214</v>
      </c>
      <c r="N44" s="37">
        <v>2297.2800000000002</v>
      </c>
      <c r="O44" s="37">
        <v>1033</v>
      </c>
      <c r="P44" s="37">
        <v>1402.9549999999999</v>
      </c>
      <c r="Q44" s="37">
        <v>914</v>
      </c>
      <c r="R44" s="37">
        <v>1782.48</v>
      </c>
      <c r="S44" s="31">
        <v>227</v>
      </c>
      <c r="T44" s="25">
        <v>322.32</v>
      </c>
      <c r="U44" s="25">
        <v>1</v>
      </c>
      <c r="V44" s="64">
        <v>2.5</v>
      </c>
      <c r="W44" s="25">
        <v>384</v>
      </c>
      <c r="X44" s="25">
        <v>462.56</v>
      </c>
      <c r="Y44" s="25">
        <v>984</v>
      </c>
      <c r="Z44" s="25">
        <v>943.81</v>
      </c>
      <c r="AA44" s="64">
        <v>379</v>
      </c>
      <c r="AB44" s="64">
        <v>251.76</v>
      </c>
      <c r="AC44" s="25">
        <v>326</v>
      </c>
      <c r="AD44" s="25">
        <v>321.31</v>
      </c>
      <c r="AE44" s="27" t="s">
        <v>190</v>
      </c>
      <c r="AF44" s="27" t="s">
        <v>190</v>
      </c>
      <c r="AG44" s="29">
        <v>1327</v>
      </c>
      <c r="AH44" s="25">
        <v>3390.5650000000001</v>
      </c>
      <c r="AI44" s="25">
        <v>1436</v>
      </c>
      <c r="AJ44" s="29">
        <v>2251.37</v>
      </c>
      <c r="AK44" s="53">
        <v>597</v>
      </c>
      <c r="AL44" s="50">
        <v>1892.71</v>
      </c>
      <c r="AM44" s="53">
        <v>123</v>
      </c>
      <c r="AN44" s="50">
        <v>1003.85</v>
      </c>
      <c r="AO44" s="53">
        <v>838</v>
      </c>
      <c r="AP44" s="50">
        <v>2008.18</v>
      </c>
      <c r="AQ44" s="53">
        <v>54</v>
      </c>
      <c r="AR44" s="50">
        <v>204.2</v>
      </c>
      <c r="AS44" s="54" t="s">
        <v>190</v>
      </c>
      <c r="AT44" s="50" t="s">
        <v>190</v>
      </c>
      <c r="AU44" s="54" t="s">
        <v>190</v>
      </c>
      <c r="AV44" s="50" t="s">
        <v>190</v>
      </c>
      <c r="AW44" s="53">
        <v>4676</v>
      </c>
      <c r="AX44" s="65">
        <v>11523.87</v>
      </c>
      <c r="AY44" s="14" t="s">
        <v>66</v>
      </c>
      <c r="AZ44" s="15"/>
      <c r="BA44" s="15"/>
    </row>
    <row r="45" spans="1:53" s="12" customFormat="1">
      <c r="A45" s="126" t="s">
        <v>67</v>
      </c>
      <c r="B45" s="72">
        <f>SUM(B47:B51)</f>
        <v>149706</v>
      </c>
      <c r="C45" s="89">
        <f>SUM(C47:C51)</f>
        <v>20398</v>
      </c>
      <c r="D45" s="89">
        <f>SUM(D47:D51)</f>
        <v>133107.6</v>
      </c>
      <c r="E45" s="89">
        <f t="shared" ref="E45:R45" si="65">SUM(E47:E51)</f>
        <v>20416</v>
      </c>
      <c r="F45" s="89">
        <f t="shared" si="65"/>
        <v>77086.876000000004</v>
      </c>
      <c r="G45" s="89">
        <f t="shared" si="65"/>
        <v>410</v>
      </c>
      <c r="H45" s="89">
        <f t="shared" si="65"/>
        <v>1488.9299999999998</v>
      </c>
      <c r="I45" s="89">
        <f t="shared" si="65"/>
        <v>12226</v>
      </c>
      <c r="J45" s="89">
        <f t="shared" si="65"/>
        <v>11450.550000000001</v>
      </c>
      <c r="K45" s="89">
        <f t="shared" si="65"/>
        <v>11424</v>
      </c>
      <c r="L45" s="89">
        <f t="shared" si="65"/>
        <v>21898.179999999997</v>
      </c>
      <c r="M45" s="89">
        <f t="shared" si="65"/>
        <v>5950</v>
      </c>
      <c r="N45" s="89">
        <f t="shared" si="65"/>
        <v>10646.49</v>
      </c>
      <c r="O45" s="89">
        <f t="shared" si="65"/>
        <v>4689</v>
      </c>
      <c r="P45" s="89">
        <f t="shared" si="65"/>
        <v>8992.44</v>
      </c>
      <c r="Q45" s="89">
        <f t="shared" si="65"/>
        <v>23335</v>
      </c>
      <c r="R45" s="89">
        <f t="shared" si="65"/>
        <v>121401.00000000001</v>
      </c>
      <c r="S45" s="127">
        <f t="shared" ref="S45:Z45" si="66">SUM(S47:S51)</f>
        <v>1342</v>
      </c>
      <c r="T45" s="78">
        <f t="shared" si="66"/>
        <v>1431.29</v>
      </c>
      <c r="U45" s="78">
        <f t="shared" si="66"/>
        <v>100</v>
      </c>
      <c r="V45" s="78">
        <f t="shared" si="66"/>
        <v>108.03</v>
      </c>
      <c r="W45" s="78">
        <f t="shared" si="66"/>
        <v>4690</v>
      </c>
      <c r="X45" s="78">
        <f t="shared" si="66"/>
        <v>7818.33</v>
      </c>
      <c r="Y45" s="78">
        <f t="shared" si="66"/>
        <v>7588</v>
      </c>
      <c r="Z45" s="78">
        <f t="shared" si="66"/>
        <v>10765.235000000001</v>
      </c>
      <c r="AA45" s="78">
        <f>SUM(AA47:AA51)</f>
        <v>1379</v>
      </c>
      <c r="AB45" s="78">
        <f t="shared" ref="AB45:AI45" si="67">SUM(AB47:AB51)</f>
        <v>1013.9300000000001</v>
      </c>
      <c r="AC45" s="78">
        <f t="shared" si="67"/>
        <v>2481</v>
      </c>
      <c r="AD45" s="78">
        <f t="shared" si="67"/>
        <v>1875.9099999999999</v>
      </c>
      <c r="AE45" s="78">
        <f t="shared" si="67"/>
        <v>173</v>
      </c>
      <c r="AF45" s="78">
        <f t="shared" si="67"/>
        <v>88.94</v>
      </c>
      <c r="AG45" s="124">
        <f t="shared" si="67"/>
        <v>2183</v>
      </c>
      <c r="AH45" s="78">
        <f t="shared" si="67"/>
        <v>4731.5</v>
      </c>
      <c r="AI45" s="78">
        <f t="shared" si="67"/>
        <v>3126</v>
      </c>
      <c r="AJ45" s="124">
        <f>SUM(AJ47:AJ51)</f>
        <v>4244.0850000000009</v>
      </c>
      <c r="AK45" s="78">
        <f t="shared" ref="AK45:AX45" si="68">SUM(AK47:AK51)</f>
        <v>1550</v>
      </c>
      <c r="AL45" s="77">
        <f t="shared" si="68"/>
        <v>2356.1999999999994</v>
      </c>
      <c r="AM45" s="78">
        <f t="shared" si="68"/>
        <v>110</v>
      </c>
      <c r="AN45" s="77">
        <f t="shared" si="68"/>
        <v>403.7</v>
      </c>
      <c r="AO45" s="78">
        <f t="shared" si="68"/>
        <v>2787</v>
      </c>
      <c r="AP45" s="77">
        <f t="shared" si="68"/>
        <v>5313.78</v>
      </c>
      <c r="AQ45" s="78">
        <f t="shared" si="68"/>
        <v>54</v>
      </c>
      <c r="AR45" s="77">
        <f t="shared" si="68"/>
        <v>83.3</v>
      </c>
      <c r="AS45" s="78">
        <f t="shared" si="68"/>
        <v>8</v>
      </c>
      <c r="AT45" s="77">
        <f t="shared" si="68"/>
        <v>2</v>
      </c>
      <c r="AU45" s="78">
        <f t="shared" si="68"/>
        <v>39</v>
      </c>
      <c r="AV45" s="77">
        <f t="shared" si="68"/>
        <v>45.099999999999994</v>
      </c>
      <c r="AW45" s="78">
        <f t="shared" si="68"/>
        <v>23248</v>
      </c>
      <c r="AX45" s="79">
        <f t="shared" si="68"/>
        <v>71564.654999999999</v>
      </c>
      <c r="AY45" s="125" t="s">
        <v>68</v>
      </c>
      <c r="AZ45" s="125"/>
      <c r="BA45" s="125"/>
    </row>
    <row r="46" spans="1:53">
      <c r="A46" s="126"/>
      <c r="B46" s="72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127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124"/>
      <c r="AH46" s="78"/>
      <c r="AI46" s="78"/>
      <c r="AJ46" s="124"/>
      <c r="AK46" s="78"/>
      <c r="AL46" s="77"/>
      <c r="AM46" s="78"/>
      <c r="AN46" s="77"/>
      <c r="AO46" s="78"/>
      <c r="AP46" s="77"/>
      <c r="AQ46" s="78"/>
      <c r="AR46" s="77"/>
      <c r="AS46" s="78"/>
      <c r="AT46" s="77"/>
      <c r="AU46" s="78"/>
      <c r="AV46" s="77"/>
      <c r="AW46" s="78"/>
      <c r="AX46" s="79"/>
      <c r="AY46" s="125"/>
      <c r="AZ46" s="125"/>
      <c r="BA46" s="125"/>
    </row>
    <row r="47" spans="1:53">
      <c r="A47" s="13" t="s">
        <v>69</v>
      </c>
      <c r="B47" s="63">
        <f t="shared" ref="B47:B51" si="69">SUM(C47,E47,G47,I47,K47,M47,O47,Q47,S47,U47,W47,Y47,AA47,AC47,AE47,AG47,AI47,AK47,AM47,AO47,AQ47,AS47,AU47,AW47)</f>
        <v>33056</v>
      </c>
      <c r="C47" s="37">
        <v>8575</v>
      </c>
      <c r="D47" s="37">
        <v>62450.6</v>
      </c>
      <c r="E47" s="37">
        <v>5352</v>
      </c>
      <c r="F47" s="37">
        <v>16493.45</v>
      </c>
      <c r="G47" s="37">
        <v>180</v>
      </c>
      <c r="H47" s="37">
        <v>571.9</v>
      </c>
      <c r="I47" s="37">
        <v>5516</v>
      </c>
      <c r="J47" s="64">
        <v>6366.25</v>
      </c>
      <c r="K47" s="37">
        <v>1117</v>
      </c>
      <c r="L47" s="37">
        <v>2122.23</v>
      </c>
      <c r="M47" s="37">
        <v>658</v>
      </c>
      <c r="N47" s="37">
        <v>1256.55</v>
      </c>
      <c r="O47" s="37">
        <v>1332</v>
      </c>
      <c r="P47" s="37">
        <v>1821.02</v>
      </c>
      <c r="Q47" s="37">
        <v>2234</v>
      </c>
      <c r="R47" s="37">
        <v>7788.32</v>
      </c>
      <c r="S47" s="31">
        <v>118</v>
      </c>
      <c r="T47" s="25">
        <v>103.92</v>
      </c>
      <c r="U47" s="25">
        <v>59</v>
      </c>
      <c r="V47" s="64">
        <v>54.4</v>
      </c>
      <c r="W47" s="25">
        <v>352</v>
      </c>
      <c r="X47" s="25">
        <v>328.97</v>
      </c>
      <c r="Y47" s="25">
        <v>554</v>
      </c>
      <c r="Z47" s="25">
        <v>647.08000000000004</v>
      </c>
      <c r="AA47" s="64">
        <v>991</v>
      </c>
      <c r="AB47" s="64">
        <v>767.6</v>
      </c>
      <c r="AC47" s="25">
        <v>369</v>
      </c>
      <c r="AD47" s="25">
        <v>267.81</v>
      </c>
      <c r="AE47" s="25">
        <v>53</v>
      </c>
      <c r="AF47" s="25">
        <v>21.09</v>
      </c>
      <c r="AG47" s="29">
        <v>742</v>
      </c>
      <c r="AH47" s="25">
        <v>914.17</v>
      </c>
      <c r="AI47" s="25">
        <v>522</v>
      </c>
      <c r="AJ47" s="29">
        <v>449.1</v>
      </c>
      <c r="AK47" s="53">
        <v>459</v>
      </c>
      <c r="AL47" s="50">
        <v>610.54</v>
      </c>
      <c r="AM47" s="53">
        <v>58</v>
      </c>
      <c r="AN47" s="50">
        <v>253</v>
      </c>
      <c r="AO47" s="53">
        <v>899</v>
      </c>
      <c r="AP47" s="50">
        <v>1754.66</v>
      </c>
      <c r="AQ47" s="53">
        <v>32</v>
      </c>
      <c r="AR47" s="50">
        <v>36.1</v>
      </c>
      <c r="AS47" s="53">
        <v>8</v>
      </c>
      <c r="AT47" s="50">
        <v>2</v>
      </c>
      <c r="AU47" s="53">
        <v>1</v>
      </c>
      <c r="AV47" s="50">
        <v>0.8</v>
      </c>
      <c r="AW47" s="53">
        <v>2875</v>
      </c>
      <c r="AX47" s="65">
        <v>10114.965</v>
      </c>
      <c r="AY47" s="14" t="s">
        <v>70</v>
      </c>
      <c r="AZ47" s="15"/>
      <c r="BA47" s="15"/>
    </row>
    <row r="48" spans="1:53">
      <c r="A48" s="13" t="s">
        <v>71</v>
      </c>
      <c r="B48" s="63">
        <f t="shared" si="69"/>
        <v>74418</v>
      </c>
      <c r="C48" s="37">
        <v>11755</v>
      </c>
      <c r="D48" s="37">
        <v>70555</v>
      </c>
      <c r="E48" s="37">
        <v>5789</v>
      </c>
      <c r="F48" s="37">
        <v>39553</v>
      </c>
      <c r="G48" s="37">
        <v>44</v>
      </c>
      <c r="H48" s="37">
        <v>325</v>
      </c>
      <c r="I48" s="37">
        <v>4552</v>
      </c>
      <c r="J48" s="64">
        <v>3684.35</v>
      </c>
      <c r="K48" s="37">
        <v>1107</v>
      </c>
      <c r="L48" s="37">
        <v>3185.5</v>
      </c>
      <c r="M48" s="37">
        <v>856</v>
      </c>
      <c r="N48" s="37">
        <v>1669.5</v>
      </c>
      <c r="O48" s="37">
        <v>1805</v>
      </c>
      <c r="P48" s="37">
        <v>5278</v>
      </c>
      <c r="Q48" s="37">
        <v>19171</v>
      </c>
      <c r="R48" s="37">
        <v>110629</v>
      </c>
      <c r="S48" s="31">
        <v>52</v>
      </c>
      <c r="T48" s="25">
        <v>26.4</v>
      </c>
      <c r="U48" s="25">
        <v>2</v>
      </c>
      <c r="V48" s="64">
        <v>3</v>
      </c>
      <c r="W48" s="25">
        <v>3972</v>
      </c>
      <c r="X48" s="25">
        <v>7048.4</v>
      </c>
      <c r="Y48" s="25">
        <v>6168</v>
      </c>
      <c r="Z48" s="25">
        <v>9380.6</v>
      </c>
      <c r="AA48" s="64">
        <v>101</v>
      </c>
      <c r="AB48" s="64">
        <v>102.7</v>
      </c>
      <c r="AC48" s="25">
        <v>681</v>
      </c>
      <c r="AD48" s="25">
        <v>666.3</v>
      </c>
      <c r="AE48" s="25">
        <v>40</v>
      </c>
      <c r="AF48" s="25">
        <v>21</v>
      </c>
      <c r="AG48" s="29">
        <v>810</v>
      </c>
      <c r="AH48" s="25">
        <v>2747.5</v>
      </c>
      <c r="AI48" s="25">
        <v>772</v>
      </c>
      <c r="AJ48" s="29">
        <v>1630.2</v>
      </c>
      <c r="AK48" s="53">
        <v>272</v>
      </c>
      <c r="AL48" s="50">
        <v>604</v>
      </c>
      <c r="AM48" s="53">
        <v>13</v>
      </c>
      <c r="AN48" s="50">
        <v>37</v>
      </c>
      <c r="AO48" s="53">
        <v>746</v>
      </c>
      <c r="AP48" s="50">
        <v>2096</v>
      </c>
      <c r="AQ48" s="53">
        <v>12</v>
      </c>
      <c r="AR48" s="50">
        <v>35.5</v>
      </c>
      <c r="AS48" s="54" t="s">
        <v>190</v>
      </c>
      <c r="AT48" s="50" t="s">
        <v>190</v>
      </c>
      <c r="AU48" s="54" t="s">
        <v>190</v>
      </c>
      <c r="AV48" s="50" t="s">
        <v>190</v>
      </c>
      <c r="AW48" s="53">
        <v>15698</v>
      </c>
      <c r="AX48" s="65">
        <v>54441.55</v>
      </c>
      <c r="AY48" s="14" t="s">
        <v>72</v>
      </c>
      <c r="AZ48" s="15"/>
      <c r="BA48" s="15"/>
    </row>
    <row r="49" spans="1:53">
      <c r="A49" s="13" t="s">
        <v>73</v>
      </c>
      <c r="B49" s="63">
        <f t="shared" si="69"/>
        <v>38930</v>
      </c>
      <c r="C49" s="37">
        <v>18</v>
      </c>
      <c r="D49" s="37">
        <v>72</v>
      </c>
      <c r="E49" s="37">
        <v>8505</v>
      </c>
      <c r="F49" s="37">
        <v>20522.400000000001</v>
      </c>
      <c r="G49" s="37">
        <v>165</v>
      </c>
      <c r="H49" s="37">
        <v>570.53</v>
      </c>
      <c r="I49" s="37">
        <v>1651</v>
      </c>
      <c r="J49" s="64">
        <v>1188.3499999999999</v>
      </c>
      <c r="K49" s="37">
        <v>8952</v>
      </c>
      <c r="L49" s="37">
        <v>16457.05</v>
      </c>
      <c r="M49" s="37">
        <v>4418</v>
      </c>
      <c r="N49" s="37">
        <v>7713.11</v>
      </c>
      <c r="O49" s="37">
        <v>1348</v>
      </c>
      <c r="P49" s="37">
        <v>1750.2</v>
      </c>
      <c r="Q49" s="37">
        <v>1479</v>
      </c>
      <c r="R49" s="37">
        <v>2709.09</v>
      </c>
      <c r="S49" s="31">
        <v>1099</v>
      </c>
      <c r="T49" s="25">
        <v>1282.2</v>
      </c>
      <c r="U49" s="25">
        <v>36</v>
      </c>
      <c r="V49" s="64">
        <v>49.6</v>
      </c>
      <c r="W49" s="25">
        <v>337</v>
      </c>
      <c r="X49" s="25">
        <v>431.67</v>
      </c>
      <c r="Y49" s="25">
        <v>834</v>
      </c>
      <c r="Z49" s="25">
        <v>719.875</v>
      </c>
      <c r="AA49" s="64">
        <v>264</v>
      </c>
      <c r="AB49" s="64">
        <v>136.94999999999999</v>
      </c>
      <c r="AC49" s="25">
        <v>1420</v>
      </c>
      <c r="AD49" s="25">
        <v>936.5</v>
      </c>
      <c r="AE49" s="25">
        <v>73</v>
      </c>
      <c r="AF49" s="25">
        <v>46.35</v>
      </c>
      <c r="AG49" s="29">
        <v>494</v>
      </c>
      <c r="AH49" s="25">
        <v>994.35</v>
      </c>
      <c r="AI49" s="25">
        <v>1725</v>
      </c>
      <c r="AJ49" s="29">
        <v>2126.23</v>
      </c>
      <c r="AK49" s="53">
        <v>730</v>
      </c>
      <c r="AL49" s="50">
        <v>1095.45</v>
      </c>
      <c r="AM49" s="53">
        <v>37</v>
      </c>
      <c r="AN49" s="50">
        <v>111.8</v>
      </c>
      <c r="AO49" s="53">
        <v>1063</v>
      </c>
      <c r="AP49" s="50">
        <v>1415.66</v>
      </c>
      <c r="AQ49" s="53">
        <v>10</v>
      </c>
      <c r="AR49" s="50">
        <v>11.7</v>
      </c>
      <c r="AS49" s="54" t="s">
        <v>190</v>
      </c>
      <c r="AT49" s="50" t="s">
        <v>190</v>
      </c>
      <c r="AU49" s="53">
        <v>1</v>
      </c>
      <c r="AV49" s="50">
        <v>1</v>
      </c>
      <c r="AW49" s="53">
        <v>4271</v>
      </c>
      <c r="AX49" s="65">
        <v>6604.77</v>
      </c>
      <c r="AY49" s="14" t="s">
        <v>74</v>
      </c>
      <c r="AZ49" s="15"/>
      <c r="BA49" s="15"/>
    </row>
    <row r="50" spans="1:53">
      <c r="A50" s="13" t="s">
        <v>75</v>
      </c>
      <c r="B50" s="63">
        <f t="shared" si="69"/>
        <v>1836</v>
      </c>
      <c r="C50" s="38" t="s">
        <v>190</v>
      </c>
      <c r="D50" s="37">
        <v>0</v>
      </c>
      <c r="E50" s="37">
        <v>396</v>
      </c>
      <c r="F50" s="37">
        <v>174.11</v>
      </c>
      <c r="G50" s="37">
        <v>6</v>
      </c>
      <c r="H50" s="37">
        <v>4</v>
      </c>
      <c r="I50" s="37">
        <v>319</v>
      </c>
      <c r="J50" s="64">
        <v>114.48</v>
      </c>
      <c r="K50" s="37">
        <v>154</v>
      </c>
      <c r="L50" s="37">
        <v>82.37</v>
      </c>
      <c r="M50" s="37">
        <v>7</v>
      </c>
      <c r="N50" s="37">
        <v>1.73</v>
      </c>
      <c r="O50" s="37">
        <v>105</v>
      </c>
      <c r="P50" s="37">
        <v>76.34</v>
      </c>
      <c r="Q50" s="37">
        <v>277</v>
      </c>
      <c r="R50" s="37">
        <v>198.07</v>
      </c>
      <c r="S50" s="31">
        <v>54</v>
      </c>
      <c r="T50" s="25">
        <v>11.75</v>
      </c>
      <c r="U50" s="26" t="s">
        <v>190</v>
      </c>
      <c r="V50" s="64">
        <v>0</v>
      </c>
      <c r="W50" s="25">
        <v>5</v>
      </c>
      <c r="X50" s="25">
        <v>1.35</v>
      </c>
      <c r="Y50" s="25">
        <v>12</v>
      </c>
      <c r="Z50" s="25">
        <v>4.93</v>
      </c>
      <c r="AA50" s="64">
        <v>17</v>
      </c>
      <c r="AB50" s="64">
        <v>4.58</v>
      </c>
      <c r="AC50" s="26" t="s">
        <v>190</v>
      </c>
      <c r="AD50" s="25">
        <v>0</v>
      </c>
      <c r="AE50" s="26" t="s">
        <v>190</v>
      </c>
      <c r="AF50" s="25">
        <v>0</v>
      </c>
      <c r="AG50" s="29">
        <v>102</v>
      </c>
      <c r="AH50" s="25">
        <v>62.4</v>
      </c>
      <c r="AI50" s="25">
        <v>67</v>
      </c>
      <c r="AJ50" s="29">
        <v>23.535</v>
      </c>
      <c r="AK50" s="53">
        <v>53</v>
      </c>
      <c r="AL50" s="50">
        <v>24.22</v>
      </c>
      <c r="AM50" s="53">
        <v>2</v>
      </c>
      <c r="AN50" s="50">
        <v>1.9</v>
      </c>
      <c r="AO50" s="53">
        <v>24</v>
      </c>
      <c r="AP50" s="50">
        <v>9.2799999999999994</v>
      </c>
      <c r="AQ50" s="54" t="s">
        <v>190</v>
      </c>
      <c r="AR50" s="50" t="s">
        <v>190</v>
      </c>
      <c r="AS50" s="54" t="s">
        <v>190</v>
      </c>
      <c r="AT50" s="50" t="s">
        <v>190</v>
      </c>
      <c r="AU50" s="53">
        <v>1</v>
      </c>
      <c r="AV50" s="50" t="s">
        <v>190</v>
      </c>
      <c r="AW50" s="53">
        <v>235</v>
      </c>
      <c r="AX50" s="65">
        <v>214.01499999999999</v>
      </c>
      <c r="AY50" s="14" t="s">
        <v>76</v>
      </c>
      <c r="AZ50" s="15"/>
      <c r="BA50" s="15"/>
    </row>
    <row r="51" spans="1:53">
      <c r="A51" s="13" t="s">
        <v>77</v>
      </c>
      <c r="B51" s="63">
        <f t="shared" si="69"/>
        <v>1466</v>
      </c>
      <c r="C51" s="37">
        <v>50</v>
      </c>
      <c r="D51" s="37">
        <v>30</v>
      </c>
      <c r="E51" s="37">
        <v>374</v>
      </c>
      <c r="F51" s="37">
        <v>343.916</v>
      </c>
      <c r="G51" s="37">
        <v>15</v>
      </c>
      <c r="H51" s="37">
        <v>17.5</v>
      </c>
      <c r="I51" s="37">
        <v>188</v>
      </c>
      <c r="J51" s="64">
        <v>97.12</v>
      </c>
      <c r="K51" s="37">
        <v>94</v>
      </c>
      <c r="L51" s="37">
        <v>51.03</v>
      </c>
      <c r="M51" s="37">
        <v>11</v>
      </c>
      <c r="N51" s="37">
        <v>5.6</v>
      </c>
      <c r="O51" s="37">
        <v>99</v>
      </c>
      <c r="P51" s="37">
        <v>66.88</v>
      </c>
      <c r="Q51" s="37">
        <v>174</v>
      </c>
      <c r="R51" s="37">
        <v>76.52</v>
      </c>
      <c r="S51" s="31">
        <v>19</v>
      </c>
      <c r="T51" s="25">
        <v>7.02</v>
      </c>
      <c r="U51" s="25">
        <v>3</v>
      </c>
      <c r="V51" s="64">
        <v>1.03</v>
      </c>
      <c r="W51" s="25">
        <v>24</v>
      </c>
      <c r="X51" s="25">
        <v>7.94</v>
      </c>
      <c r="Y51" s="25">
        <v>20</v>
      </c>
      <c r="Z51" s="25">
        <v>12.75</v>
      </c>
      <c r="AA51" s="64">
        <v>6</v>
      </c>
      <c r="AB51" s="64">
        <v>2.1</v>
      </c>
      <c r="AC51" s="25">
        <v>11</v>
      </c>
      <c r="AD51" s="25">
        <v>5.3</v>
      </c>
      <c r="AE51" s="25">
        <v>7</v>
      </c>
      <c r="AF51" s="25">
        <v>0.5</v>
      </c>
      <c r="AG51" s="29">
        <v>35</v>
      </c>
      <c r="AH51" s="25">
        <v>13.08</v>
      </c>
      <c r="AI51" s="25">
        <v>40</v>
      </c>
      <c r="AJ51" s="29">
        <v>15.02</v>
      </c>
      <c r="AK51" s="53">
        <v>36</v>
      </c>
      <c r="AL51" s="50">
        <v>21.99</v>
      </c>
      <c r="AM51" s="54" t="s">
        <v>190</v>
      </c>
      <c r="AN51" s="50" t="s">
        <v>190</v>
      </c>
      <c r="AO51" s="53">
        <v>55</v>
      </c>
      <c r="AP51" s="50">
        <v>38.18</v>
      </c>
      <c r="AQ51" s="54" t="s">
        <v>190</v>
      </c>
      <c r="AR51" s="50" t="s">
        <v>190</v>
      </c>
      <c r="AS51" s="54" t="s">
        <v>190</v>
      </c>
      <c r="AT51" s="50" t="s">
        <v>190</v>
      </c>
      <c r="AU51" s="53">
        <v>36</v>
      </c>
      <c r="AV51" s="50">
        <v>43.3</v>
      </c>
      <c r="AW51" s="53">
        <v>169</v>
      </c>
      <c r="AX51" s="65">
        <v>189.35499999999999</v>
      </c>
      <c r="AY51" s="14" t="s">
        <v>78</v>
      </c>
      <c r="AZ51" s="15"/>
      <c r="BA51" s="15"/>
    </row>
    <row r="52" spans="1:53" s="12" customFormat="1">
      <c r="A52" s="126" t="s">
        <v>79</v>
      </c>
      <c r="B52" s="72">
        <f>SUM(B54:B58)</f>
        <v>23804</v>
      </c>
      <c r="C52" s="89">
        <v>0</v>
      </c>
      <c r="D52" s="89">
        <v>0</v>
      </c>
      <c r="E52" s="89">
        <f t="shared" ref="E52:R52" si="70">SUM(E54:E58)</f>
        <v>5834</v>
      </c>
      <c r="F52" s="89">
        <f>SUM(F54:F58)</f>
        <v>10645.494999999999</v>
      </c>
      <c r="G52" s="89">
        <f t="shared" si="70"/>
        <v>460</v>
      </c>
      <c r="H52" s="89">
        <f t="shared" si="70"/>
        <v>2911.4</v>
      </c>
      <c r="I52" s="89">
        <f t="shared" si="70"/>
        <v>1442</v>
      </c>
      <c r="J52" s="89">
        <f>SUM(J54:J58)</f>
        <v>1165.8810000000003</v>
      </c>
      <c r="K52" s="89">
        <f t="shared" si="70"/>
        <v>1717</v>
      </c>
      <c r="L52" s="89">
        <f t="shared" si="70"/>
        <v>2084.306</v>
      </c>
      <c r="M52" s="89">
        <f t="shared" si="70"/>
        <v>1255</v>
      </c>
      <c r="N52" s="89">
        <f t="shared" si="70"/>
        <v>1238.346</v>
      </c>
      <c r="O52" s="89">
        <f t="shared" si="70"/>
        <v>1616</v>
      </c>
      <c r="P52" s="89">
        <f t="shared" si="70"/>
        <v>1654.5650000000001</v>
      </c>
      <c r="Q52" s="89">
        <f t="shared" si="70"/>
        <v>1851</v>
      </c>
      <c r="R52" s="89">
        <f t="shared" si="70"/>
        <v>1193.748</v>
      </c>
      <c r="S52" s="127">
        <f t="shared" ref="S52:Z52" si="71">SUM(S54:S58)</f>
        <v>903</v>
      </c>
      <c r="T52" s="78">
        <f t="shared" si="71"/>
        <v>336.66500000000002</v>
      </c>
      <c r="U52" s="78">
        <f t="shared" si="71"/>
        <v>1116</v>
      </c>
      <c r="V52" s="78">
        <f t="shared" si="71"/>
        <v>830.87500000000011</v>
      </c>
      <c r="W52" s="78">
        <f t="shared" si="71"/>
        <v>532</v>
      </c>
      <c r="X52" s="78">
        <f t="shared" si="71"/>
        <v>555.44500000000016</v>
      </c>
      <c r="Y52" s="78">
        <f t="shared" si="71"/>
        <v>199</v>
      </c>
      <c r="Z52" s="78">
        <f t="shared" si="71"/>
        <v>141.79999999999998</v>
      </c>
      <c r="AA52" s="78">
        <f>SUM(AA54:AA58)</f>
        <v>377</v>
      </c>
      <c r="AB52" s="78">
        <f>SUM(AB54:AB58)</f>
        <v>175.86999999999998</v>
      </c>
      <c r="AC52" s="78">
        <f t="shared" ref="AC52:AI52" si="72">SUM(AC54:AC58)</f>
        <v>133</v>
      </c>
      <c r="AD52" s="78">
        <f t="shared" si="72"/>
        <v>104.47499999999999</v>
      </c>
      <c r="AE52" s="78">
        <f t="shared" si="72"/>
        <v>39</v>
      </c>
      <c r="AF52" s="78">
        <f t="shared" si="72"/>
        <v>18.75</v>
      </c>
      <c r="AG52" s="124">
        <f t="shared" si="72"/>
        <v>423</v>
      </c>
      <c r="AH52" s="78">
        <f t="shared" si="72"/>
        <v>542.31499999999994</v>
      </c>
      <c r="AI52" s="78">
        <f t="shared" si="72"/>
        <v>739</v>
      </c>
      <c r="AJ52" s="124">
        <f>SUM(AJ54:AJ58)</f>
        <v>620.8420000000001</v>
      </c>
      <c r="AK52" s="78">
        <f t="shared" ref="AK52:AX52" si="73">SUM(AK54:AK58)</f>
        <v>666</v>
      </c>
      <c r="AL52" s="77">
        <f t="shared" si="73"/>
        <v>898.84499999999991</v>
      </c>
      <c r="AM52" s="78">
        <f t="shared" si="73"/>
        <v>74</v>
      </c>
      <c r="AN52" s="77">
        <f t="shared" si="73"/>
        <v>383</v>
      </c>
      <c r="AO52" s="78">
        <f t="shared" si="73"/>
        <v>753</v>
      </c>
      <c r="AP52" s="77">
        <f t="shared" si="73"/>
        <v>637.44499999999994</v>
      </c>
      <c r="AQ52" s="78">
        <f t="shared" si="73"/>
        <v>90</v>
      </c>
      <c r="AR52" s="77">
        <f t="shared" si="73"/>
        <v>198.55</v>
      </c>
      <c r="AS52" s="78">
        <f t="shared" si="73"/>
        <v>7</v>
      </c>
      <c r="AT52" s="77">
        <f t="shared" si="73"/>
        <v>3.0999999999999996</v>
      </c>
      <c r="AU52" s="78">
        <f t="shared" si="73"/>
        <v>10</v>
      </c>
      <c r="AV52" s="77">
        <f t="shared" si="73"/>
        <v>3.85</v>
      </c>
      <c r="AW52" s="78">
        <f t="shared" si="73"/>
        <v>3568</v>
      </c>
      <c r="AX52" s="79">
        <f t="shared" si="73"/>
        <v>3875.5460000000003</v>
      </c>
      <c r="AY52" s="125" t="s">
        <v>80</v>
      </c>
      <c r="AZ52" s="125"/>
      <c r="BA52" s="125"/>
    </row>
    <row r="53" spans="1:53">
      <c r="A53" s="126"/>
      <c r="B53" s="72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127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124"/>
      <c r="AH53" s="78"/>
      <c r="AI53" s="78"/>
      <c r="AJ53" s="124"/>
      <c r="AK53" s="78"/>
      <c r="AL53" s="77"/>
      <c r="AM53" s="78"/>
      <c r="AN53" s="77"/>
      <c r="AO53" s="78"/>
      <c r="AP53" s="77"/>
      <c r="AQ53" s="78"/>
      <c r="AR53" s="77"/>
      <c r="AS53" s="78"/>
      <c r="AT53" s="77"/>
      <c r="AU53" s="78"/>
      <c r="AV53" s="77"/>
      <c r="AW53" s="78"/>
      <c r="AX53" s="79"/>
      <c r="AY53" s="125"/>
      <c r="AZ53" s="125"/>
      <c r="BA53" s="125"/>
    </row>
    <row r="54" spans="1:53">
      <c r="A54" s="13" t="s">
        <v>81</v>
      </c>
      <c r="B54" s="63">
        <f t="shared" ref="B54:B58" si="74">SUM(C54,E54,G54,I54,K54,M54,O54,Q54,S54,U54,W54,Y54,AA54,AC54,AE54,AG54,AI54,AK54,AM54,AO54,AQ54,AS54,AU54,AW54)</f>
        <v>14358</v>
      </c>
      <c r="C54" s="40" t="s">
        <v>190</v>
      </c>
      <c r="D54" s="40" t="s">
        <v>190</v>
      </c>
      <c r="E54" s="37">
        <v>3282</v>
      </c>
      <c r="F54" s="37">
        <v>6155.65</v>
      </c>
      <c r="G54" s="37">
        <v>100</v>
      </c>
      <c r="H54" s="37">
        <v>891.9</v>
      </c>
      <c r="I54" s="37">
        <v>898</v>
      </c>
      <c r="J54" s="64">
        <v>678.19</v>
      </c>
      <c r="K54" s="37">
        <v>1113</v>
      </c>
      <c r="L54" s="37">
        <v>1641.03</v>
      </c>
      <c r="M54" s="37">
        <v>733</v>
      </c>
      <c r="N54" s="37">
        <v>897.9</v>
      </c>
      <c r="O54" s="37">
        <v>995</v>
      </c>
      <c r="P54" s="37">
        <v>1234.75</v>
      </c>
      <c r="Q54" s="37">
        <v>1070</v>
      </c>
      <c r="R54" s="37">
        <v>602.32000000000005</v>
      </c>
      <c r="S54" s="31">
        <v>568</v>
      </c>
      <c r="T54" s="25">
        <v>223.8</v>
      </c>
      <c r="U54" s="25">
        <v>745</v>
      </c>
      <c r="V54" s="64">
        <v>564.55999999999995</v>
      </c>
      <c r="W54" s="25">
        <v>383</v>
      </c>
      <c r="X54" s="25">
        <v>487.19</v>
      </c>
      <c r="Y54" s="25">
        <v>105</v>
      </c>
      <c r="Z54" s="25">
        <v>96.92</v>
      </c>
      <c r="AA54" s="64">
        <v>198</v>
      </c>
      <c r="AB54" s="64">
        <v>112.21</v>
      </c>
      <c r="AC54" s="25">
        <v>85</v>
      </c>
      <c r="AD54" s="25">
        <v>69.400000000000006</v>
      </c>
      <c r="AE54" s="25">
        <v>2</v>
      </c>
      <c r="AF54" s="25">
        <v>2</v>
      </c>
      <c r="AG54" s="29">
        <v>394</v>
      </c>
      <c r="AH54" s="25">
        <v>514.22</v>
      </c>
      <c r="AI54" s="25">
        <v>414</v>
      </c>
      <c r="AJ54" s="29">
        <v>408.57</v>
      </c>
      <c r="AK54" s="53">
        <v>429</v>
      </c>
      <c r="AL54" s="50">
        <v>703.6</v>
      </c>
      <c r="AM54" s="53">
        <v>51</v>
      </c>
      <c r="AN54" s="50">
        <v>344</v>
      </c>
      <c r="AO54" s="53">
        <v>370</v>
      </c>
      <c r="AP54" s="50">
        <v>366.05</v>
      </c>
      <c r="AQ54" s="53">
        <v>24</v>
      </c>
      <c r="AR54" s="50">
        <v>25.25</v>
      </c>
      <c r="AS54" s="53">
        <v>2</v>
      </c>
      <c r="AT54" s="50">
        <v>1.2</v>
      </c>
      <c r="AU54" s="53">
        <v>10</v>
      </c>
      <c r="AV54" s="50">
        <v>3.85</v>
      </c>
      <c r="AW54" s="53">
        <v>2387</v>
      </c>
      <c r="AX54" s="65">
        <v>2734.8850000000002</v>
      </c>
      <c r="AY54" s="14" t="s">
        <v>82</v>
      </c>
      <c r="AZ54" s="15"/>
      <c r="BA54" s="15"/>
    </row>
    <row r="55" spans="1:53">
      <c r="A55" s="13" t="s">
        <v>83</v>
      </c>
      <c r="B55" s="63">
        <f t="shared" si="74"/>
        <v>4656</v>
      </c>
      <c r="C55" s="40" t="s">
        <v>190</v>
      </c>
      <c r="D55" s="40" t="s">
        <v>190</v>
      </c>
      <c r="E55" s="37">
        <v>1080</v>
      </c>
      <c r="F55" s="37">
        <v>3490.5250000000001</v>
      </c>
      <c r="G55" s="37">
        <v>312</v>
      </c>
      <c r="H55" s="37">
        <v>1935</v>
      </c>
      <c r="I55" s="37">
        <v>218</v>
      </c>
      <c r="J55" s="64">
        <v>358.726</v>
      </c>
      <c r="K55" s="37">
        <v>383</v>
      </c>
      <c r="L55" s="37">
        <v>346.06599999999997</v>
      </c>
      <c r="M55" s="37">
        <v>315</v>
      </c>
      <c r="N55" s="37">
        <v>262.44600000000003</v>
      </c>
      <c r="O55" s="37">
        <v>240</v>
      </c>
      <c r="P55" s="37">
        <v>221.22</v>
      </c>
      <c r="Q55" s="37">
        <v>304</v>
      </c>
      <c r="R55" s="37">
        <v>387.27800000000002</v>
      </c>
      <c r="S55" s="31">
        <v>92</v>
      </c>
      <c r="T55" s="25">
        <v>41.8</v>
      </c>
      <c r="U55" s="25">
        <v>159</v>
      </c>
      <c r="V55" s="64">
        <v>170.43</v>
      </c>
      <c r="W55" s="25">
        <v>80</v>
      </c>
      <c r="X55" s="25">
        <v>51.8</v>
      </c>
      <c r="Y55" s="25">
        <v>39</v>
      </c>
      <c r="Z55" s="25">
        <v>30.48</v>
      </c>
      <c r="AA55" s="64">
        <v>132</v>
      </c>
      <c r="AB55" s="64">
        <v>53.9</v>
      </c>
      <c r="AC55" s="25">
        <v>43</v>
      </c>
      <c r="AD55" s="25">
        <v>33.174999999999997</v>
      </c>
      <c r="AE55" s="25">
        <v>31</v>
      </c>
      <c r="AF55" s="25">
        <v>15.45</v>
      </c>
      <c r="AG55" s="29">
        <v>21</v>
      </c>
      <c r="AH55" s="25">
        <v>26.265000000000001</v>
      </c>
      <c r="AI55" s="25">
        <v>175</v>
      </c>
      <c r="AJ55" s="29">
        <v>142.44999999999999</v>
      </c>
      <c r="AK55" s="53">
        <v>117</v>
      </c>
      <c r="AL55" s="50">
        <v>117.27500000000001</v>
      </c>
      <c r="AM55" s="53">
        <v>7</v>
      </c>
      <c r="AN55" s="50">
        <v>29</v>
      </c>
      <c r="AO55" s="53">
        <v>190</v>
      </c>
      <c r="AP55" s="50">
        <v>180.42500000000001</v>
      </c>
      <c r="AQ55" s="53">
        <v>58</v>
      </c>
      <c r="AR55" s="50">
        <v>155.30000000000001</v>
      </c>
      <c r="AS55" s="54" t="s">
        <v>190</v>
      </c>
      <c r="AT55" s="50" t="s">
        <v>190</v>
      </c>
      <c r="AU55" s="54" t="s">
        <v>190</v>
      </c>
      <c r="AV55" s="50">
        <v>0</v>
      </c>
      <c r="AW55" s="53">
        <v>660</v>
      </c>
      <c r="AX55" s="65">
        <v>854.04600000000005</v>
      </c>
      <c r="AY55" s="14" t="s">
        <v>84</v>
      </c>
      <c r="AZ55" s="15"/>
      <c r="BA55" s="15"/>
    </row>
    <row r="56" spans="1:53">
      <c r="A56" s="13" t="s">
        <v>85</v>
      </c>
      <c r="B56" s="63">
        <f t="shared" si="74"/>
        <v>100</v>
      </c>
      <c r="C56" s="40" t="s">
        <v>190</v>
      </c>
      <c r="D56" s="40" t="s">
        <v>190</v>
      </c>
      <c r="E56" s="37">
        <v>17</v>
      </c>
      <c r="F56" s="37">
        <v>0.89</v>
      </c>
      <c r="G56" s="38" t="s">
        <v>190</v>
      </c>
      <c r="H56" s="37">
        <v>0</v>
      </c>
      <c r="I56" s="37">
        <v>3</v>
      </c>
      <c r="J56" s="64">
        <v>4.4999999999999998E-2</v>
      </c>
      <c r="K56" s="37">
        <v>5</v>
      </c>
      <c r="L56" s="37">
        <v>0.43</v>
      </c>
      <c r="M56" s="37">
        <v>7</v>
      </c>
      <c r="N56" s="37">
        <v>0.67</v>
      </c>
      <c r="O56" s="37">
        <v>11</v>
      </c>
      <c r="P56" s="37">
        <v>0.33500000000000002</v>
      </c>
      <c r="Q56" s="37">
        <v>7</v>
      </c>
      <c r="R56" s="37">
        <v>0.49</v>
      </c>
      <c r="S56" s="31">
        <v>3</v>
      </c>
      <c r="T56" s="25">
        <v>0.115</v>
      </c>
      <c r="U56" s="25">
        <v>17</v>
      </c>
      <c r="V56" s="64">
        <v>0.34499999999999997</v>
      </c>
      <c r="W56" s="25">
        <v>8</v>
      </c>
      <c r="X56" s="25">
        <v>6.5000000000000002E-2</v>
      </c>
      <c r="Y56" s="26" t="s">
        <v>190</v>
      </c>
      <c r="Z56" s="25">
        <v>0</v>
      </c>
      <c r="AA56" s="67" t="s">
        <v>190</v>
      </c>
      <c r="AB56" s="67" t="s">
        <v>190</v>
      </c>
      <c r="AC56" s="26" t="s">
        <v>190</v>
      </c>
      <c r="AD56" s="25">
        <v>0</v>
      </c>
      <c r="AE56" s="26" t="s">
        <v>190</v>
      </c>
      <c r="AF56" s="25">
        <v>0</v>
      </c>
      <c r="AG56" s="30" t="s">
        <v>190</v>
      </c>
      <c r="AH56" s="25">
        <v>0</v>
      </c>
      <c r="AI56" s="25">
        <v>6</v>
      </c>
      <c r="AJ56" s="29">
        <v>0.19</v>
      </c>
      <c r="AK56" s="53">
        <v>3</v>
      </c>
      <c r="AL56" s="50">
        <v>0.04</v>
      </c>
      <c r="AM56" s="54" t="s">
        <v>190</v>
      </c>
      <c r="AN56" s="50" t="s">
        <v>190</v>
      </c>
      <c r="AO56" s="53">
        <v>2</v>
      </c>
      <c r="AP56" s="50">
        <v>0.03</v>
      </c>
      <c r="AQ56" s="54" t="s">
        <v>190</v>
      </c>
      <c r="AR56" s="50">
        <v>0</v>
      </c>
      <c r="AS56" s="54" t="s">
        <v>190</v>
      </c>
      <c r="AT56" s="50" t="s">
        <v>190</v>
      </c>
      <c r="AU56" s="54" t="s">
        <v>190</v>
      </c>
      <c r="AV56" s="50">
        <v>0</v>
      </c>
      <c r="AW56" s="53">
        <v>11</v>
      </c>
      <c r="AX56" s="65">
        <v>0.495</v>
      </c>
      <c r="AY56" s="14" t="s">
        <v>86</v>
      </c>
      <c r="AZ56" s="15"/>
      <c r="BA56" s="15"/>
    </row>
    <row r="57" spans="1:53">
      <c r="A57" s="13" t="s">
        <v>87</v>
      </c>
      <c r="B57" s="63">
        <f t="shared" si="74"/>
        <v>3426</v>
      </c>
      <c r="C57" s="40" t="s">
        <v>190</v>
      </c>
      <c r="D57" s="40" t="s">
        <v>190</v>
      </c>
      <c r="E57" s="37">
        <v>1016</v>
      </c>
      <c r="F57" s="37">
        <v>722.93</v>
      </c>
      <c r="G57" s="37">
        <v>13</v>
      </c>
      <c r="H57" s="37">
        <v>42.7</v>
      </c>
      <c r="I57" s="37">
        <v>213</v>
      </c>
      <c r="J57" s="64">
        <v>98.17</v>
      </c>
      <c r="K57" s="37">
        <v>133</v>
      </c>
      <c r="L57" s="37">
        <v>61.87</v>
      </c>
      <c r="M57" s="37">
        <v>138</v>
      </c>
      <c r="N57" s="37">
        <v>57.51</v>
      </c>
      <c r="O57" s="37">
        <v>305</v>
      </c>
      <c r="P57" s="37">
        <v>179.21</v>
      </c>
      <c r="Q57" s="37">
        <v>355</v>
      </c>
      <c r="R57" s="37">
        <v>166.06</v>
      </c>
      <c r="S57" s="31">
        <v>155</v>
      </c>
      <c r="T57" s="25">
        <v>51.05</v>
      </c>
      <c r="U57" s="25">
        <v>169</v>
      </c>
      <c r="V57" s="64">
        <v>91.44</v>
      </c>
      <c r="W57" s="25">
        <v>34</v>
      </c>
      <c r="X57" s="25">
        <v>9.4499999999999993</v>
      </c>
      <c r="Y57" s="25">
        <v>53</v>
      </c>
      <c r="Z57" s="25">
        <v>13.95</v>
      </c>
      <c r="AA57" s="64">
        <v>40</v>
      </c>
      <c r="AB57" s="64">
        <v>9.26</v>
      </c>
      <c r="AC57" s="25">
        <v>3</v>
      </c>
      <c r="AD57" s="25">
        <v>1.6</v>
      </c>
      <c r="AE57" s="25">
        <v>4</v>
      </c>
      <c r="AF57" s="25">
        <v>0.8</v>
      </c>
      <c r="AG57" s="29">
        <v>1</v>
      </c>
      <c r="AH57" s="25">
        <v>0.18</v>
      </c>
      <c r="AI57" s="25">
        <v>110</v>
      </c>
      <c r="AJ57" s="29">
        <v>49.652000000000001</v>
      </c>
      <c r="AK57" s="53">
        <v>95</v>
      </c>
      <c r="AL57" s="50">
        <v>68.38</v>
      </c>
      <c r="AM57" s="53">
        <v>15</v>
      </c>
      <c r="AN57" s="50">
        <v>9</v>
      </c>
      <c r="AO57" s="53">
        <v>160</v>
      </c>
      <c r="AP57" s="50">
        <v>81.64</v>
      </c>
      <c r="AQ57" s="53">
        <v>8</v>
      </c>
      <c r="AR57" s="50">
        <v>18</v>
      </c>
      <c r="AS57" s="53">
        <v>5</v>
      </c>
      <c r="AT57" s="50">
        <v>1.9</v>
      </c>
      <c r="AU57" s="54" t="s">
        <v>190</v>
      </c>
      <c r="AV57" s="50">
        <v>0</v>
      </c>
      <c r="AW57" s="53">
        <v>401</v>
      </c>
      <c r="AX57" s="65">
        <v>225.95</v>
      </c>
      <c r="AY57" s="14" t="s">
        <v>88</v>
      </c>
      <c r="AZ57" s="15"/>
      <c r="BA57" s="15"/>
    </row>
    <row r="58" spans="1:53">
      <c r="A58" s="13" t="s">
        <v>89</v>
      </c>
      <c r="B58" s="63">
        <f t="shared" si="74"/>
        <v>1264</v>
      </c>
      <c r="C58" s="40" t="s">
        <v>190</v>
      </c>
      <c r="D58" s="40" t="s">
        <v>190</v>
      </c>
      <c r="E58" s="37">
        <v>439</v>
      </c>
      <c r="F58" s="37">
        <v>275.5</v>
      </c>
      <c r="G58" s="37">
        <v>35</v>
      </c>
      <c r="H58" s="37">
        <v>41.8</v>
      </c>
      <c r="I58" s="37">
        <v>110</v>
      </c>
      <c r="J58" s="64">
        <v>30.75</v>
      </c>
      <c r="K58" s="37">
        <v>83</v>
      </c>
      <c r="L58" s="37">
        <v>34.909999999999997</v>
      </c>
      <c r="M58" s="37">
        <v>62</v>
      </c>
      <c r="N58" s="37">
        <v>19.82</v>
      </c>
      <c r="O58" s="37">
        <v>65</v>
      </c>
      <c r="P58" s="37">
        <v>19.05</v>
      </c>
      <c r="Q58" s="37">
        <v>115</v>
      </c>
      <c r="R58" s="37">
        <v>37.6</v>
      </c>
      <c r="S58" s="31">
        <v>85</v>
      </c>
      <c r="T58" s="25">
        <v>19.899999999999999</v>
      </c>
      <c r="U58" s="25">
        <v>26</v>
      </c>
      <c r="V58" s="64">
        <v>4.0999999999999996</v>
      </c>
      <c r="W58" s="25">
        <v>27</v>
      </c>
      <c r="X58" s="25">
        <v>6.94</v>
      </c>
      <c r="Y58" s="25">
        <v>2</v>
      </c>
      <c r="Z58" s="25">
        <v>0.45</v>
      </c>
      <c r="AA58" s="64">
        <v>7</v>
      </c>
      <c r="AB58" s="64">
        <v>0.5</v>
      </c>
      <c r="AC58" s="25">
        <v>2</v>
      </c>
      <c r="AD58" s="25">
        <v>0.3</v>
      </c>
      <c r="AE58" s="25">
        <v>2</v>
      </c>
      <c r="AF58" s="25">
        <v>0.5</v>
      </c>
      <c r="AG58" s="29">
        <v>7</v>
      </c>
      <c r="AH58" s="25">
        <v>1.65</v>
      </c>
      <c r="AI58" s="25">
        <v>34</v>
      </c>
      <c r="AJ58" s="29">
        <v>19.98</v>
      </c>
      <c r="AK58" s="53">
        <v>22</v>
      </c>
      <c r="AL58" s="50">
        <v>9.5500000000000007</v>
      </c>
      <c r="AM58" s="53">
        <v>1</v>
      </c>
      <c r="AN58" s="50">
        <v>1</v>
      </c>
      <c r="AO58" s="53">
        <v>31</v>
      </c>
      <c r="AP58" s="50">
        <v>9.3000000000000007</v>
      </c>
      <c r="AQ58" s="54" t="s">
        <v>190</v>
      </c>
      <c r="AR58" s="50">
        <v>0</v>
      </c>
      <c r="AS58" s="54" t="s">
        <v>190</v>
      </c>
      <c r="AT58" s="50" t="s">
        <v>190</v>
      </c>
      <c r="AU58" s="54" t="s">
        <v>190</v>
      </c>
      <c r="AV58" s="50">
        <v>0</v>
      </c>
      <c r="AW58" s="53">
        <v>109</v>
      </c>
      <c r="AX58" s="65">
        <v>60.17</v>
      </c>
      <c r="AY58" s="14" t="s">
        <v>90</v>
      </c>
      <c r="AZ58" s="15"/>
      <c r="BA58" s="15"/>
    </row>
    <row r="59" spans="1:53" s="12" customFormat="1">
      <c r="A59" s="126" t="s">
        <v>91</v>
      </c>
      <c r="B59" s="72">
        <f>SUM(B61:B63)</f>
        <v>153370</v>
      </c>
      <c r="C59" s="89">
        <f>SUM(C61:C63)</f>
        <v>32257</v>
      </c>
      <c r="D59" s="89">
        <f>SUM(D61:D63)</f>
        <v>154078.20000000001</v>
      </c>
      <c r="E59" s="89">
        <f t="shared" ref="E59:R59" si="75">SUM(E61:E63)</f>
        <v>21591</v>
      </c>
      <c r="F59" s="89">
        <f t="shared" si="75"/>
        <v>45145.164999999994</v>
      </c>
      <c r="G59" s="89">
        <f t="shared" si="75"/>
        <v>4022</v>
      </c>
      <c r="H59" s="89">
        <f t="shared" si="75"/>
        <v>15455.14</v>
      </c>
      <c r="I59" s="89">
        <f>SUM(I61:I63)</f>
        <v>11224</v>
      </c>
      <c r="J59" s="89">
        <f t="shared" si="75"/>
        <v>12794.904999999999</v>
      </c>
      <c r="K59" s="89">
        <f t="shared" si="75"/>
        <v>8585</v>
      </c>
      <c r="L59" s="89">
        <f t="shared" si="75"/>
        <v>11030.117</v>
      </c>
      <c r="M59" s="89">
        <f t="shared" si="75"/>
        <v>7253</v>
      </c>
      <c r="N59" s="89">
        <f t="shared" si="75"/>
        <v>12084.97</v>
      </c>
      <c r="O59" s="89">
        <f t="shared" si="75"/>
        <v>10462</v>
      </c>
      <c r="P59" s="89">
        <f t="shared" si="75"/>
        <v>15331.240000000002</v>
      </c>
      <c r="Q59" s="89">
        <f t="shared" si="75"/>
        <v>7236</v>
      </c>
      <c r="R59" s="89">
        <f t="shared" si="75"/>
        <v>6052.5590000000002</v>
      </c>
      <c r="S59" s="127">
        <f t="shared" ref="S59:Z59" si="76">SUM(S61:S63)</f>
        <v>1864</v>
      </c>
      <c r="T59" s="78">
        <f t="shared" si="76"/>
        <v>996.03</v>
      </c>
      <c r="U59" s="78">
        <f t="shared" si="76"/>
        <v>1218</v>
      </c>
      <c r="V59" s="78">
        <f t="shared" si="76"/>
        <v>1149.52</v>
      </c>
      <c r="W59" s="78">
        <f t="shared" si="76"/>
        <v>2106</v>
      </c>
      <c r="X59" s="78">
        <f t="shared" si="76"/>
        <v>1614.3449999999998</v>
      </c>
      <c r="Y59" s="78">
        <f t="shared" si="76"/>
        <v>2172</v>
      </c>
      <c r="Z59" s="78">
        <f t="shared" si="76"/>
        <v>1761.5740000000001</v>
      </c>
      <c r="AA59" s="78">
        <f>SUM(AA61:AA63)</f>
        <v>1374</v>
      </c>
      <c r="AB59" s="78">
        <f t="shared" ref="AB59:AI59" si="77">SUM(AB61:AB63)</f>
        <v>942.98</v>
      </c>
      <c r="AC59" s="78">
        <f t="shared" si="77"/>
        <v>1931</v>
      </c>
      <c r="AD59" s="78">
        <f t="shared" si="77"/>
        <v>1364.2049999999999</v>
      </c>
      <c r="AE59" s="78">
        <f t="shared" si="77"/>
        <v>112</v>
      </c>
      <c r="AF59" s="78">
        <f t="shared" si="77"/>
        <v>77.550000000000011</v>
      </c>
      <c r="AG59" s="124">
        <f t="shared" si="77"/>
        <v>660</v>
      </c>
      <c r="AH59" s="78">
        <f t="shared" si="77"/>
        <v>449.12099999999998</v>
      </c>
      <c r="AI59" s="78">
        <f t="shared" si="77"/>
        <v>6202</v>
      </c>
      <c r="AJ59" s="124">
        <f>SUM(AJ61:AJ63)</f>
        <v>6421.0959999999995</v>
      </c>
      <c r="AK59" s="78">
        <f t="shared" ref="AK59:AX59" si="78">SUM(AK61:AK63)</f>
        <v>2108</v>
      </c>
      <c r="AL59" s="77">
        <f t="shared" si="78"/>
        <v>2131.4580000000001</v>
      </c>
      <c r="AM59" s="78">
        <f t="shared" si="78"/>
        <v>1349</v>
      </c>
      <c r="AN59" s="77">
        <f t="shared" si="78"/>
        <v>9109.16</v>
      </c>
      <c r="AO59" s="78">
        <f t="shared" si="78"/>
        <v>3598</v>
      </c>
      <c r="AP59" s="77">
        <f t="shared" si="78"/>
        <v>4377.2550000000001</v>
      </c>
      <c r="AQ59" s="78">
        <f t="shared" si="78"/>
        <v>539</v>
      </c>
      <c r="AR59" s="77">
        <f t="shared" si="78"/>
        <v>1104.2</v>
      </c>
      <c r="AS59" s="78">
        <f t="shared" si="78"/>
        <v>2917</v>
      </c>
      <c r="AT59" s="77">
        <f t="shared" si="78"/>
        <v>1395.95</v>
      </c>
      <c r="AU59" s="78">
        <f t="shared" si="78"/>
        <v>2359</v>
      </c>
      <c r="AV59" s="77">
        <f t="shared" si="78"/>
        <v>5676.8</v>
      </c>
      <c r="AW59" s="78">
        <f t="shared" si="78"/>
        <v>20231</v>
      </c>
      <c r="AX59" s="79">
        <f t="shared" si="78"/>
        <v>37217.373999999996</v>
      </c>
      <c r="AY59" s="125" t="s">
        <v>92</v>
      </c>
      <c r="AZ59" s="125"/>
      <c r="BA59" s="125"/>
    </row>
    <row r="60" spans="1:53">
      <c r="A60" s="126"/>
      <c r="B60" s="72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127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124"/>
      <c r="AH60" s="78"/>
      <c r="AI60" s="78"/>
      <c r="AJ60" s="124"/>
      <c r="AK60" s="78"/>
      <c r="AL60" s="77"/>
      <c r="AM60" s="78"/>
      <c r="AN60" s="77"/>
      <c r="AO60" s="78"/>
      <c r="AP60" s="77"/>
      <c r="AQ60" s="78"/>
      <c r="AR60" s="77"/>
      <c r="AS60" s="78"/>
      <c r="AT60" s="77"/>
      <c r="AU60" s="78"/>
      <c r="AV60" s="77"/>
      <c r="AW60" s="78"/>
      <c r="AX60" s="79"/>
      <c r="AY60" s="125"/>
      <c r="AZ60" s="125"/>
      <c r="BA60" s="125"/>
    </row>
    <row r="61" spans="1:53">
      <c r="A61" s="13" t="s">
        <v>93</v>
      </c>
      <c r="B61" s="63">
        <f t="shared" ref="B61:B63" si="79">SUM(C61,E61,G61,I61,K61,M61,O61,Q61,S61,U61,W61,Y61,AA61,AC61,AE61,AG61,AI61,AK61,AM61,AO61,AQ61,AS61,AU61,AW61)</f>
        <v>41671</v>
      </c>
      <c r="C61" s="37">
        <v>6413</v>
      </c>
      <c r="D61" s="37">
        <v>44847.7</v>
      </c>
      <c r="E61" s="37">
        <v>7286</v>
      </c>
      <c r="F61" s="37">
        <v>13038.9</v>
      </c>
      <c r="G61" s="37">
        <v>293</v>
      </c>
      <c r="H61" s="37">
        <v>1002.5</v>
      </c>
      <c r="I61" s="37">
        <v>3051</v>
      </c>
      <c r="J61" s="64">
        <v>2507.4499999999998</v>
      </c>
      <c r="K61" s="37">
        <v>2703</v>
      </c>
      <c r="L61" s="37">
        <v>2749.2919999999999</v>
      </c>
      <c r="M61" s="37">
        <v>1251</v>
      </c>
      <c r="N61" s="37">
        <v>1415.56</v>
      </c>
      <c r="O61" s="37">
        <v>2599</v>
      </c>
      <c r="P61" s="37">
        <v>2535.9</v>
      </c>
      <c r="Q61" s="37">
        <v>1855</v>
      </c>
      <c r="R61" s="37">
        <v>1563.64</v>
      </c>
      <c r="S61" s="31">
        <v>818</v>
      </c>
      <c r="T61" s="25">
        <v>431.29</v>
      </c>
      <c r="U61" s="25">
        <v>635</v>
      </c>
      <c r="V61" s="64">
        <v>570.04999999999995</v>
      </c>
      <c r="W61" s="25">
        <v>733</v>
      </c>
      <c r="X61" s="25">
        <v>552.74</v>
      </c>
      <c r="Y61" s="25">
        <v>800</v>
      </c>
      <c r="Z61" s="25">
        <v>609.19000000000005</v>
      </c>
      <c r="AA61" s="64">
        <v>629</v>
      </c>
      <c r="AB61" s="64">
        <v>343.13</v>
      </c>
      <c r="AC61" s="25">
        <v>778</v>
      </c>
      <c r="AD61" s="25">
        <v>630.25</v>
      </c>
      <c r="AE61" s="25">
        <v>58</v>
      </c>
      <c r="AF61" s="25">
        <v>42.6</v>
      </c>
      <c r="AG61" s="29">
        <v>195</v>
      </c>
      <c r="AH61" s="25">
        <v>136.33000000000001</v>
      </c>
      <c r="AI61" s="25">
        <v>2236</v>
      </c>
      <c r="AJ61" s="29">
        <v>2795.99</v>
      </c>
      <c r="AK61" s="53">
        <v>1117</v>
      </c>
      <c r="AL61" s="50">
        <v>1227.05</v>
      </c>
      <c r="AM61" s="53">
        <v>137</v>
      </c>
      <c r="AN61" s="50">
        <v>231.7</v>
      </c>
      <c r="AO61" s="53">
        <v>1238</v>
      </c>
      <c r="AP61" s="50">
        <v>1113.46</v>
      </c>
      <c r="AQ61" s="53">
        <v>114</v>
      </c>
      <c r="AR61" s="50">
        <v>167.88</v>
      </c>
      <c r="AS61" s="53">
        <v>10</v>
      </c>
      <c r="AT61" s="50">
        <v>10</v>
      </c>
      <c r="AU61" s="53">
        <v>1382</v>
      </c>
      <c r="AV61" s="50">
        <v>3394.1</v>
      </c>
      <c r="AW61" s="53">
        <v>5340</v>
      </c>
      <c r="AX61" s="65">
        <v>7008.73</v>
      </c>
      <c r="AY61" s="14" t="s">
        <v>94</v>
      </c>
      <c r="AZ61" s="15"/>
      <c r="BA61" s="15"/>
    </row>
    <row r="62" spans="1:53">
      <c r="A62" s="13" t="s">
        <v>95</v>
      </c>
      <c r="B62" s="63">
        <f t="shared" si="79"/>
        <v>26274</v>
      </c>
      <c r="C62" s="37">
        <v>252</v>
      </c>
      <c r="D62" s="37">
        <v>1231</v>
      </c>
      <c r="E62" s="37">
        <v>6676</v>
      </c>
      <c r="F62" s="37">
        <v>9185.66</v>
      </c>
      <c r="G62" s="37">
        <v>858</v>
      </c>
      <c r="H62" s="37">
        <v>3234.09</v>
      </c>
      <c r="I62" s="37">
        <v>2461</v>
      </c>
      <c r="J62" s="64">
        <v>1896.5</v>
      </c>
      <c r="K62" s="37">
        <v>1949</v>
      </c>
      <c r="L62" s="37">
        <v>2305.87</v>
      </c>
      <c r="M62" s="37">
        <v>795</v>
      </c>
      <c r="N62" s="37">
        <v>1030.8499999999999</v>
      </c>
      <c r="O62" s="37">
        <v>1236</v>
      </c>
      <c r="P62" s="37">
        <v>1028.31</v>
      </c>
      <c r="Q62" s="37">
        <v>2588</v>
      </c>
      <c r="R62" s="37">
        <v>1236.99</v>
      </c>
      <c r="S62" s="31">
        <v>524</v>
      </c>
      <c r="T62" s="25">
        <v>219.65</v>
      </c>
      <c r="U62" s="25">
        <v>59</v>
      </c>
      <c r="V62" s="64">
        <v>39.75</v>
      </c>
      <c r="W62" s="25">
        <v>272</v>
      </c>
      <c r="X62" s="25">
        <v>199.55</v>
      </c>
      <c r="Y62" s="25">
        <v>565</v>
      </c>
      <c r="Z62" s="25">
        <v>534.09</v>
      </c>
      <c r="AA62" s="64">
        <v>117</v>
      </c>
      <c r="AB62" s="64">
        <v>70</v>
      </c>
      <c r="AC62" s="25">
        <v>249</v>
      </c>
      <c r="AD62" s="25">
        <v>152.60499999999999</v>
      </c>
      <c r="AE62" s="25">
        <v>17</v>
      </c>
      <c r="AF62" s="25">
        <v>6.53</v>
      </c>
      <c r="AG62" s="29">
        <v>366</v>
      </c>
      <c r="AH62" s="25">
        <v>258.13600000000002</v>
      </c>
      <c r="AI62" s="25">
        <v>674</v>
      </c>
      <c r="AJ62" s="29">
        <v>437.11</v>
      </c>
      <c r="AK62" s="53">
        <v>474</v>
      </c>
      <c r="AL62" s="50">
        <v>412.65499999999997</v>
      </c>
      <c r="AM62" s="53">
        <v>243</v>
      </c>
      <c r="AN62" s="50">
        <v>566.1</v>
      </c>
      <c r="AO62" s="53">
        <v>813</v>
      </c>
      <c r="AP62" s="50">
        <v>584.66499999999996</v>
      </c>
      <c r="AQ62" s="53">
        <v>64</v>
      </c>
      <c r="AR62" s="50">
        <v>68.45</v>
      </c>
      <c r="AS62" s="53">
        <v>2453</v>
      </c>
      <c r="AT62" s="50">
        <v>1131.95</v>
      </c>
      <c r="AU62" s="53">
        <v>487</v>
      </c>
      <c r="AV62" s="50">
        <v>878.7</v>
      </c>
      <c r="AW62" s="53">
        <v>2082</v>
      </c>
      <c r="AX62" s="68">
        <v>3119.9650000000001</v>
      </c>
      <c r="AY62" s="14" t="s">
        <v>96</v>
      </c>
      <c r="AZ62" s="15"/>
      <c r="BA62" s="15"/>
    </row>
    <row r="63" spans="1:53">
      <c r="A63" s="13" t="s">
        <v>97</v>
      </c>
      <c r="B63" s="63">
        <f t="shared" si="79"/>
        <v>85425</v>
      </c>
      <c r="C63" s="37">
        <v>25592</v>
      </c>
      <c r="D63" s="37">
        <v>107999.5</v>
      </c>
      <c r="E63" s="37">
        <v>7629</v>
      </c>
      <c r="F63" s="37">
        <v>22920.605</v>
      </c>
      <c r="G63" s="37">
        <v>2871</v>
      </c>
      <c r="H63" s="37">
        <v>11218.55</v>
      </c>
      <c r="I63" s="37">
        <v>5712</v>
      </c>
      <c r="J63" s="64">
        <v>8390.9549999999999</v>
      </c>
      <c r="K63" s="37">
        <v>3933</v>
      </c>
      <c r="L63" s="37">
        <v>5974.9549999999999</v>
      </c>
      <c r="M63" s="37">
        <v>5207</v>
      </c>
      <c r="N63" s="37">
        <v>9638.56</v>
      </c>
      <c r="O63" s="37">
        <v>6627</v>
      </c>
      <c r="P63" s="37">
        <v>11767.03</v>
      </c>
      <c r="Q63" s="37">
        <v>2793</v>
      </c>
      <c r="R63" s="37">
        <v>3251.9290000000001</v>
      </c>
      <c r="S63" s="31">
        <v>522</v>
      </c>
      <c r="T63" s="25">
        <v>345.09</v>
      </c>
      <c r="U63" s="25">
        <v>524</v>
      </c>
      <c r="V63" s="64">
        <v>539.72</v>
      </c>
      <c r="W63" s="25">
        <v>1101</v>
      </c>
      <c r="X63" s="25">
        <v>862.05499999999995</v>
      </c>
      <c r="Y63" s="25">
        <v>807</v>
      </c>
      <c r="Z63" s="25">
        <v>618.29399999999998</v>
      </c>
      <c r="AA63" s="64">
        <v>628</v>
      </c>
      <c r="AB63" s="64">
        <v>529.85</v>
      </c>
      <c r="AC63" s="25">
        <v>904</v>
      </c>
      <c r="AD63" s="25">
        <v>581.35</v>
      </c>
      <c r="AE63" s="25">
        <v>37</v>
      </c>
      <c r="AF63" s="25">
        <v>28.42</v>
      </c>
      <c r="AG63" s="29">
        <v>99</v>
      </c>
      <c r="AH63" s="25">
        <v>54.655000000000001</v>
      </c>
      <c r="AI63" s="25">
        <v>3292</v>
      </c>
      <c r="AJ63" s="29">
        <v>3187.9960000000001</v>
      </c>
      <c r="AK63" s="53">
        <v>517</v>
      </c>
      <c r="AL63" s="50">
        <v>491.75299999999999</v>
      </c>
      <c r="AM63" s="53">
        <v>969</v>
      </c>
      <c r="AN63" s="50">
        <v>8311.36</v>
      </c>
      <c r="AO63" s="53">
        <v>1547</v>
      </c>
      <c r="AP63" s="50">
        <v>2679.13</v>
      </c>
      <c r="AQ63" s="53">
        <v>361</v>
      </c>
      <c r="AR63" s="50">
        <v>867.87</v>
      </c>
      <c r="AS63" s="53">
        <v>454</v>
      </c>
      <c r="AT63" s="50">
        <v>254</v>
      </c>
      <c r="AU63" s="53">
        <v>490</v>
      </c>
      <c r="AV63" s="50">
        <v>1404</v>
      </c>
      <c r="AW63" s="53">
        <v>12809</v>
      </c>
      <c r="AX63" s="65">
        <v>27088.679</v>
      </c>
      <c r="AY63" s="14" t="s">
        <v>98</v>
      </c>
      <c r="AZ63" s="15"/>
      <c r="BA63" s="15"/>
    </row>
    <row r="64" spans="1:53" s="12" customFormat="1">
      <c r="A64" s="126" t="s">
        <v>99</v>
      </c>
      <c r="B64" s="72">
        <f>SUM(B66:B70)</f>
        <v>117886</v>
      </c>
      <c r="C64" s="89">
        <f>SUM(C66:C70)</f>
        <v>103</v>
      </c>
      <c r="D64" s="89">
        <f>SUM(D66:D70)</f>
        <v>316.60000000000002</v>
      </c>
      <c r="E64" s="89">
        <f>SUM(E66:E70)</f>
        <v>20714</v>
      </c>
      <c r="F64" s="89">
        <f t="shared" ref="F64:R64" si="80">SUM(F66:F70)</f>
        <v>67695.785000000003</v>
      </c>
      <c r="G64" s="89">
        <f t="shared" si="80"/>
        <v>3486</v>
      </c>
      <c r="H64" s="89">
        <f t="shared" si="80"/>
        <v>27556.325000000001</v>
      </c>
      <c r="I64" s="89">
        <f t="shared" si="80"/>
        <v>8244</v>
      </c>
      <c r="J64" s="89">
        <f t="shared" si="80"/>
        <v>7266.6530000000002</v>
      </c>
      <c r="K64" s="89">
        <f t="shared" si="80"/>
        <v>9435</v>
      </c>
      <c r="L64" s="89">
        <f t="shared" si="80"/>
        <v>20302.759000000002</v>
      </c>
      <c r="M64" s="89">
        <f t="shared" si="80"/>
        <v>6654</v>
      </c>
      <c r="N64" s="89">
        <f t="shared" si="80"/>
        <v>13261.2</v>
      </c>
      <c r="O64" s="89">
        <f t="shared" si="80"/>
        <v>7074</v>
      </c>
      <c r="P64" s="89">
        <f t="shared" si="80"/>
        <v>14743.909999999998</v>
      </c>
      <c r="Q64" s="89">
        <f t="shared" si="80"/>
        <v>6078</v>
      </c>
      <c r="R64" s="89">
        <f t="shared" si="80"/>
        <v>16197.574000000001</v>
      </c>
      <c r="S64" s="127">
        <f t="shared" ref="S64:Z64" si="81">SUM(S66:S70)</f>
        <v>1191</v>
      </c>
      <c r="T64" s="78">
        <f t="shared" si="81"/>
        <v>915.39</v>
      </c>
      <c r="U64" s="78">
        <f t="shared" si="81"/>
        <v>8550</v>
      </c>
      <c r="V64" s="78">
        <f t="shared" si="81"/>
        <v>9769.91</v>
      </c>
      <c r="W64" s="78">
        <f t="shared" si="81"/>
        <v>4043</v>
      </c>
      <c r="X64" s="78">
        <f t="shared" si="81"/>
        <v>4773.1100000000006</v>
      </c>
      <c r="Y64" s="78">
        <f t="shared" si="81"/>
        <v>3760</v>
      </c>
      <c r="Z64" s="78">
        <f t="shared" si="81"/>
        <v>3864.4360000000001</v>
      </c>
      <c r="AA64" s="78">
        <f>SUM(AA66:AA70)</f>
        <v>1999</v>
      </c>
      <c r="AB64" s="78">
        <f t="shared" ref="AB64:AH64" si="82">SUM(AB66:AB70)</f>
        <v>1056.49</v>
      </c>
      <c r="AC64" s="78">
        <f t="shared" si="82"/>
        <v>1937</v>
      </c>
      <c r="AD64" s="78">
        <f t="shared" si="82"/>
        <v>1533.2150000000001</v>
      </c>
      <c r="AE64" s="78">
        <f t="shared" si="82"/>
        <v>109</v>
      </c>
      <c r="AF64" s="78">
        <f t="shared" si="82"/>
        <v>66.210000000000008</v>
      </c>
      <c r="AG64" s="124">
        <f t="shared" si="82"/>
        <v>324</v>
      </c>
      <c r="AH64" s="78">
        <f t="shared" si="82"/>
        <v>568.57000000000005</v>
      </c>
      <c r="AI64" s="78">
        <f>SUM(AI66:AI70)</f>
        <v>15220</v>
      </c>
      <c r="AJ64" s="124">
        <f t="shared" ref="AJ64:AX64" si="83">SUM(AJ66:AJ70)</f>
        <v>30681.345000000001</v>
      </c>
      <c r="AK64" s="78">
        <f t="shared" si="83"/>
        <v>1490</v>
      </c>
      <c r="AL64" s="77">
        <f t="shared" si="83"/>
        <v>2866.6499999999996</v>
      </c>
      <c r="AM64" s="78">
        <f t="shared" si="83"/>
        <v>1843</v>
      </c>
      <c r="AN64" s="77">
        <f t="shared" si="83"/>
        <v>30008.28</v>
      </c>
      <c r="AO64" s="78">
        <f t="shared" si="83"/>
        <v>4910</v>
      </c>
      <c r="AP64" s="77">
        <f t="shared" si="83"/>
        <v>11977.954999999998</v>
      </c>
      <c r="AQ64" s="78">
        <f t="shared" si="83"/>
        <v>674</v>
      </c>
      <c r="AR64" s="77">
        <f t="shared" si="83"/>
        <v>3151.87</v>
      </c>
      <c r="AS64" s="78">
        <f t="shared" si="83"/>
        <v>6</v>
      </c>
      <c r="AT64" s="77">
        <f t="shared" si="83"/>
        <v>3.41</v>
      </c>
      <c r="AU64" s="78">
        <f t="shared" si="83"/>
        <v>40</v>
      </c>
      <c r="AV64" s="77">
        <f t="shared" si="83"/>
        <v>92.05</v>
      </c>
      <c r="AW64" s="78">
        <f t="shared" si="83"/>
        <v>10002</v>
      </c>
      <c r="AX64" s="79">
        <f t="shared" si="83"/>
        <v>22154.535</v>
      </c>
      <c r="AY64" s="125" t="s">
        <v>100</v>
      </c>
      <c r="AZ64" s="125"/>
      <c r="BA64" s="125"/>
    </row>
    <row r="65" spans="1:53">
      <c r="A65" s="126"/>
      <c r="B65" s="72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127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124"/>
      <c r="AH65" s="78"/>
      <c r="AI65" s="78"/>
      <c r="AJ65" s="124"/>
      <c r="AK65" s="78"/>
      <c r="AL65" s="77"/>
      <c r="AM65" s="78"/>
      <c r="AN65" s="77"/>
      <c r="AO65" s="78"/>
      <c r="AP65" s="77"/>
      <c r="AQ65" s="78"/>
      <c r="AR65" s="77"/>
      <c r="AS65" s="78"/>
      <c r="AT65" s="77"/>
      <c r="AU65" s="78"/>
      <c r="AV65" s="77"/>
      <c r="AW65" s="78"/>
      <c r="AX65" s="79"/>
      <c r="AY65" s="125"/>
      <c r="AZ65" s="125"/>
      <c r="BA65" s="125"/>
    </row>
    <row r="66" spans="1:53">
      <c r="A66" s="13" t="s">
        <v>101</v>
      </c>
      <c r="B66" s="63">
        <f t="shared" ref="B66:B70" si="84">SUM(C66,E66,G66,I66,K66,M66,O66,Q66,S66,U66,W66,Y66,AA66,AC66,AE66,AG66,AI66,AK66,AM66,AO66,AQ66,AS66,AU66,AW66)</f>
        <v>14410</v>
      </c>
      <c r="C66" s="37">
        <v>49</v>
      </c>
      <c r="D66" s="37">
        <v>176</v>
      </c>
      <c r="E66" s="37">
        <v>2539</v>
      </c>
      <c r="F66" s="37">
        <v>7143.6350000000002</v>
      </c>
      <c r="G66" s="37">
        <v>453</v>
      </c>
      <c r="H66" s="37">
        <v>5199</v>
      </c>
      <c r="I66" s="37">
        <v>785</v>
      </c>
      <c r="J66" s="64">
        <v>824.73</v>
      </c>
      <c r="K66" s="37">
        <v>1637</v>
      </c>
      <c r="L66" s="37">
        <v>3707.9050000000002</v>
      </c>
      <c r="M66" s="37">
        <v>1624</v>
      </c>
      <c r="N66" s="37">
        <v>3913.03</v>
      </c>
      <c r="O66" s="37">
        <v>937</v>
      </c>
      <c r="P66" s="37">
        <v>2150.2199999999998</v>
      </c>
      <c r="Q66" s="37">
        <v>410</v>
      </c>
      <c r="R66" s="37">
        <v>585.89400000000001</v>
      </c>
      <c r="S66" s="31">
        <v>492</v>
      </c>
      <c r="T66" s="25">
        <v>423.18</v>
      </c>
      <c r="U66" s="25">
        <v>45</v>
      </c>
      <c r="V66" s="64">
        <v>24.65</v>
      </c>
      <c r="W66" s="25">
        <v>169</v>
      </c>
      <c r="X66" s="25">
        <v>168.67</v>
      </c>
      <c r="Y66" s="25">
        <v>267</v>
      </c>
      <c r="Z66" s="25">
        <v>241.3</v>
      </c>
      <c r="AA66" s="64">
        <v>29</v>
      </c>
      <c r="AB66" s="64">
        <v>30.1</v>
      </c>
      <c r="AC66" s="25">
        <v>72</v>
      </c>
      <c r="AD66" s="25">
        <v>44.725000000000001</v>
      </c>
      <c r="AE66" s="25">
        <v>1</v>
      </c>
      <c r="AF66" s="25">
        <v>0.3</v>
      </c>
      <c r="AG66" s="29">
        <v>24</v>
      </c>
      <c r="AH66" s="25">
        <v>53</v>
      </c>
      <c r="AI66" s="25">
        <v>3009</v>
      </c>
      <c r="AJ66" s="29">
        <v>6607.73</v>
      </c>
      <c r="AK66" s="53">
        <v>209</v>
      </c>
      <c r="AL66" s="50">
        <v>371.2</v>
      </c>
      <c r="AM66" s="53">
        <v>47</v>
      </c>
      <c r="AN66" s="50">
        <v>424</v>
      </c>
      <c r="AO66" s="53">
        <v>627</v>
      </c>
      <c r="AP66" s="50">
        <v>2363.91</v>
      </c>
      <c r="AQ66" s="53">
        <v>22</v>
      </c>
      <c r="AR66" s="50">
        <v>154</v>
      </c>
      <c r="AS66" s="54" t="s">
        <v>190</v>
      </c>
      <c r="AT66" s="50" t="s">
        <v>190</v>
      </c>
      <c r="AU66" s="54" t="s">
        <v>190</v>
      </c>
      <c r="AV66" s="50" t="s">
        <v>190</v>
      </c>
      <c r="AW66" s="53">
        <v>963</v>
      </c>
      <c r="AX66" s="65">
        <v>1664.9480000000001</v>
      </c>
      <c r="AY66" s="14" t="s">
        <v>102</v>
      </c>
      <c r="AZ66" s="15"/>
      <c r="BA66" s="15"/>
    </row>
    <row r="67" spans="1:53">
      <c r="A67" s="13" t="s">
        <v>103</v>
      </c>
      <c r="B67" s="63">
        <f t="shared" si="84"/>
        <v>41002</v>
      </c>
      <c r="C67" s="40" t="s">
        <v>190</v>
      </c>
      <c r="D67" s="40" t="s">
        <v>190</v>
      </c>
      <c r="E67" s="37">
        <v>2644</v>
      </c>
      <c r="F67" s="37">
        <v>7016.15</v>
      </c>
      <c r="G67" s="37">
        <v>614</v>
      </c>
      <c r="H67" s="37">
        <v>5000.5</v>
      </c>
      <c r="I67" s="37">
        <v>1902</v>
      </c>
      <c r="J67" s="64">
        <v>1785.9</v>
      </c>
      <c r="K67" s="37">
        <v>4472</v>
      </c>
      <c r="L67" s="37">
        <v>10964</v>
      </c>
      <c r="M67" s="37">
        <v>2614</v>
      </c>
      <c r="N67" s="37">
        <v>5296.9</v>
      </c>
      <c r="O67" s="37">
        <v>2613</v>
      </c>
      <c r="P67" s="37">
        <v>5546.5</v>
      </c>
      <c r="Q67" s="37">
        <v>159</v>
      </c>
      <c r="R67" s="37">
        <v>157.6</v>
      </c>
      <c r="S67" s="31">
        <v>20</v>
      </c>
      <c r="T67" s="25">
        <v>10.4</v>
      </c>
      <c r="U67" s="25">
        <v>6254</v>
      </c>
      <c r="V67" s="64">
        <v>8501.2999999999993</v>
      </c>
      <c r="W67" s="25">
        <v>1721</v>
      </c>
      <c r="X67" s="25">
        <v>1657.95</v>
      </c>
      <c r="Y67" s="25">
        <v>1415</v>
      </c>
      <c r="Z67" s="25">
        <v>1398.1</v>
      </c>
      <c r="AA67" s="64">
        <v>488</v>
      </c>
      <c r="AB67" s="64">
        <v>384.85</v>
      </c>
      <c r="AC67" s="25">
        <v>917</v>
      </c>
      <c r="AD67" s="25">
        <v>658.4</v>
      </c>
      <c r="AE67" s="26" t="s">
        <v>190</v>
      </c>
      <c r="AF67" s="25">
        <v>0</v>
      </c>
      <c r="AG67" s="29">
        <v>203</v>
      </c>
      <c r="AH67" s="25">
        <v>396.6</v>
      </c>
      <c r="AI67" s="25">
        <v>9217</v>
      </c>
      <c r="AJ67" s="29">
        <v>19275</v>
      </c>
      <c r="AK67" s="53">
        <v>427</v>
      </c>
      <c r="AL67" s="50">
        <v>906.9</v>
      </c>
      <c r="AM67" s="53">
        <v>160</v>
      </c>
      <c r="AN67" s="50">
        <v>1238.5</v>
      </c>
      <c r="AO67" s="53">
        <v>1924</v>
      </c>
      <c r="AP67" s="50">
        <v>5031.8999999999996</v>
      </c>
      <c r="AQ67" s="53">
        <v>30</v>
      </c>
      <c r="AR67" s="50">
        <v>139</v>
      </c>
      <c r="AS67" s="54" t="s">
        <v>190</v>
      </c>
      <c r="AT67" s="50" t="s">
        <v>190</v>
      </c>
      <c r="AU67" s="53">
        <v>1</v>
      </c>
      <c r="AV67" s="50">
        <v>1</v>
      </c>
      <c r="AW67" s="53">
        <v>3207</v>
      </c>
      <c r="AX67" s="65">
        <v>6134.12</v>
      </c>
      <c r="AY67" s="14" t="s">
        <v>104</v>
      </c>
      <c r="AZ67" s="15"/>
      <c r="BA67" s="15"/>
    </row>
    <row r="68" spans="1:53">
      <c r="A68" s="13" t="s">
        <v>105</v>
      </c>
      <c r="B68" s="63">
        <f t="shared" si="84"/>
        <v>13515</v>
      </c>
      <c r="C68" s="40" t="s">
        <v>190</v>
      </c>
      <c r="D68" s="40" t="s">
        <v>190</v>
      </c>
      <c r="E68" s="37">
        <v>4544</v>
      </c>
      <c r="F68" s="37">
        <v>14879.1</v>
      </c>
      <c r="G68" s="37">
        <v>162</v>
      </c>
      <c r="H68" s="37">
        <v>1296.5</v>
      </c>
      <c r="I68" s="37">
        <v>956</v>
      </c>
      <c r="J68" s="64">
        <v>865.35</v>
      </c>
      <c r="K68" s="37">
        <v>822</v>
      </c>
      <c r="L68" s="37">
        <v>1765.9</v>
      </c>
      <c r="M68" s="37">
        <v>585</v>
      </c>
      <c r="N68" s="37">
        <v>1217.0999999999999</v>
      </c>
      <c r="O68" s="37">
        <v>1199</v>
      </c>
      <c r="P68" s="37">
        <v>2532.9499999999998</v>
      </c>
      <c r="Q68" s="37">
        <v>212</v>
      </c>
      <c r="R68" s="37">
        <v>204.2</v>
      </c>
      <c r="S68" s="31">
        <v>49</v>
      </c>
      <c r="T68" s="25">
        <v>24.7</v>
      </c>
      <c r="U68" s="25">
        <v>94</v>
      </c>
      <c r="V68" s="64">
        <v>77.05</v>
      </c>
      <c r="W68" s="25">
        <v>541</v>
      </c>
      <c r="X68" s="25">
        <v>709.15</v>
      </c>
      <c r="Y68" s="25">
        <v>1069</v>
      </c>
      <c r="Z68" s="25">
        <v>1081.4860000000001</v>
      </c>
      <c r="AA68" s="64">
        <v>292</v>
      </c>
      <c r="AB68" s="64">
        <v>171.73</v>
      </c>
      <c r="AC68" s="25">
        <v>54</v>
      </c>
      <c r="AD68" s="25">
        <v>35.5</v>
      </c>
      <c r="AE68" s="25">
        <v>7</v>
      </c>
      <c r="AF68" s="25">
        <v>2.8</v>
      </c>
      <c r="AG68" s="29">
        <v>57</v>
      </c>
      <c r="AH68" s="25">
        <v>63.2</v>
      </c>
      <c r="AI68" s="25">
        <v>650</v>
      </c>
      <c r="AJ68" s="29">
        <v>1085.7</v>
      </c>
      <c r="AK68" s="53">
        <v>157</v>
      </c>
      <c r="AL68" s="50">
        <v>257.8</v>
      </c>
      <c r="AM68" s="53">
        <v>27</v>
      </c>
      <c r="AN68" s="50">
        <v>191</v>
      </c>
      <c r="AO68" s="53">
        <v>355</v>
      </c>
      <c r="AP68" s="50">
        <v>544.04999999999995</v>
      </c>
      <c r="AQ68" s="53">
        <v>3</v>
      </c>
      <c r="AR68" s="50">
        <v>24</v>
      </c>
      <c r="AS68" s="54" t="s">
        <v>190</v>
      </c>
      <c r="AT68" s="50" t="s">
        <v>190</v>
      </c>
      <c r="AU68" s="54" t="s">
        <v>190</v>
      </c>
      <c r="AV68" s="50" t="s">
        <v>190</v>
      </c>
      <c r="AW68" s="53">
        <v>1680</v>
      </c>
      <c r="AX68" s="65">
        <v>2641.1689999999999</v>
      </c>
      <c r="AY68" s="14" t="s">
        <v>106</v>
      </c>
      <c r="AZ68" s="15"/>
      <c r="BA68" s="15"/>
    </row>
    <row r="69" spans="1:53">
      <c r="A69" s="13" t="s">
        <v>107</v>
      </c>
      <c r="B69" s="63">
        <f t="shared" si="84"/>
        <v>19428</v>
      </c>
      <c r="C69" s="40" t="s">
        <v>190</v>
      </c>
      <c r="D69" s="40" t="s">
        <v>190</v>
      </c>
      <c r="E69" s="37">
        <v>4828</v>
      </c>
      <c r="F69" s="37">
        <v>21080.75</v>
      </c>
      <c r="G69" s="37">
        <v>808</v>
      </c>
      <c r="H69" s="37">
        <v>5427.125</v>
      </c>
      <c r="I69" s="37">
        <v>631</v>
      </c>
      <c r="J69" s="64">
        <v>711.91300000000001</v>
      </c>
      <c r="K69" s="37">
        <v>1007</v>
      </c>
      <c r="L69" s="37">
        <v>1609.84</v>
      </c>
      <c r="M69" s="37">
        <v>607</v>
      </c>
      <c r="N69" s="37">
        <v>1059.75</v>
      </c>
      <c r="O69" s="37">
        <v>809</v>
      </c>
      <c r="P69" s="37">
        <v>1175.8900000000001</v>
      </c>
      <c r="Q69" s="37">
        <v>4242</v>
      </c>
      <c r="R69" s="37">
        <v>14104.18</v>
      </c>
      <c r="S69" s="31">
        <v>384</v>
      </c>
      <c r="T69" s="25">
        <v>265.2</v>
      </c>
      <c r="U69" s="25">
        <v>508</v>
      </c>
      <c r="V69" s="64">
        <v>444.2</v>
      </c>
      <c r="W69" s="25">
        <v>488</v>
      </c>
      <c r="X69" s="25">
        <v>542.44000000000005</v>
      </c>
      <c r="Y69" s="25">
        <v>464</v>
      </c>
      <c r="Z69" s="25">
        <v>555.15</v>
      </c>
      <c r="AA69" s="64">
        <v>486</v>
      </c>
      <c r="AB69" s="64">
        <v>213.9</v>
      </c>
      <c r="AC69" s="25">
        <v>232</v>
      </c>
      <c r="AD69" s="25">
        <v>208.77</v>
      </c>
      <c r="AE69" s="25">
        <v>55</v>
      </c>
      <c r="AF69" s="25">
        <v>40.5</v>
      </c>
      <c r="AG69" s="29">
        <v>22</v>
      </c>
      <c r="AH69" s="25">
        <v>42.18</v>
      </c>
      <c r="AI69" s="25">
        <v>877</v>
      </c>
      <c r="AJ69" s="29">
        <v>1046.56</v>
      </c>
      <c r="AK69" s="53">
        <v>267</v>
      </c>
      <c r="AL69" s="50">
        <v>362.7</v>
      </c>
      <c r="AM69" s="53">
        <v>125</v>
      </c>
      <c r="AN69" s="50">
        <v>517.48</v>
      </c>
      <c r="AO69" s="53">
        <v>682</v>
      </c>
      <c r="AP69" s="50">
        <v>1052.7950000000001</v>
      </c>
      <c r="AQ69" s="53">
        <v>334</v>
      </c>
      <c r="AR69" s="50">
        <v>1306.7</v>
      </c>
      <c r="AS69" s="53">
        <v>2</v>
      </c>
      <c r="AT69" s="50">
        <v>2</v>
      </c>
      <c r="AU69" s="54" t="s">
        <v>190</v>
      </c>
      <c r="AV69" s="50" t="s">
        <v>190</v>
      </c>
      <c r="AW69" s="53">
        <v>1570</v>
      </c>
      <c r="AX69" s="65">
        <v>3192.953</v>
      </c>
      <c r="AY69" s="14" t="s">
        <v>108</v>
      </c>
      <c r="AZ69" s="15"/>
      <c r="BA69" s="15"/>
    </row>
    <row r="70" spans="1:53">
      <c r="A70" s="13" t="s">
        <v>109</v>
      </c>
      <c r="B70" s="63">
        <f t="shared" si="84"/>
        <v>29531</v>
      </c>
      <c r="C70" s="37">
        <v>54</v>
      </c>
      <c r="D70" s="37">
        <v>140.6</v>
      </c>
      <c r="E70" s="37">
        <v>6159</v>
      </c>
      <c r="F70" s="37">
        <v>17576.150000000001</v>
      </c>
      <c r="G70" s="37">
        <v>1449</v>
      </c>
      <c r="H70" s="37">
        <v>10633.2</v>
      </c>
      <c r="I70" s="37">
        <v>3970</v>
      </c>
      <c r="J70" s="64">
        <v>3078.76</v>
      </c>
      <c r="K70" s="37">
        <v>1497</v>
      </c>
      <c r="L70" s="37">
        <v>2255.114</v>
      </c>
      <c r="M70" s="37">
        <v>1224</v>
      </c>
      <c r="N70" s="37">
        <v>1774.42</v>
      </c>
      <c r="O70" s="37">
        <v>1516</v>
      </c>
      <c r="P70" s="37">
        <v>3338.35</v>
      </c>
      <c r="Q70" s="37">
        <v>1055</v>
      </c>
      <c r="R70" s="37">
        <v>1145.7</v>
      </c>
      <c r="S70" s="31">
        <v>246</v>
      </c>
      <c r="T70" s="25">
        <v>191.91</v>
      </c>
      <c r="U70" s="25">
        <v>1649</v>
      </c>
      <c r="V70" s="64">
        <v>722.71</v>
      </c>
      <c r="W70" s="25">
        <v>1124</v>
      </c>
      <c r="X70" s="25">
        <v>1694.9</v>
      </c>
      <c r="Y70" s="25">
        <v>545</v>
      </c>
      <c r="Z70" s="25">
        <v>588.4</v>
      </c>
      <c r="AA70" s="64">
        <v>704</v>
      </c>
      <c r="AB70" s="64">
        <v>255.91</v>
      </c>
      <c r="AC70" s="25">
        <v>662</v>
      </c>
      <c r="AD70" s="25">
        <v>585.82000000000005</v>
      </c>
      <c r="AE70" s="25">
        <v>46</v>
      </c>
      <c r="AF70" s="25">
        <v>22.61</v>
      </c>
      <c r="AG70" s="29">
        <v>18</v>
      </c>
      <c r="AH70" s="25">
        <v>13.59</v>
      </c>
      <c r="AI70" s="25">
        <v>1467</v>
      </c>
      <c r="AJ70" s="29">
        <v>2666.355</v>
      </c>
      <c r="AK70" s="53">
        <v>430</v>
      </c>
      <c r="AL70" s="50">
        <v>968.05</v>
      </c>
      <c r="AM70" s="53">
        <v>1484</v>
      </c>
      <c r="AN70" s="50">
        <v>27637.3</v>
      </c>
      <c r="AO70" s="53">
        <v>1322</v>
      </c>
      <c r="AP70" s="50">
        <v>2985.3</v>
      </c>
      <c r="AQ70" s="53">
        <v>285</v>
      </c>
      <c r="AR70" s="50">
        <v>1528.17</v>
      </c>
      <c r="AS70" s="53">
        <v>4</v>
      </c>
      <c r="AT70" s="50">
        <v>1.41</v>
      </c>
      <c r="AU70" s="53">
        <v>39</v>
      </c>
      <c r="AV70" s="50">
        <v>91.05</v>
      </c>
      <c r="AW70" s="53">
        <v>2582</v>
      </c>
      <c r="AX70" s="65">
        <v>8521.3449999999993</v>
      </c>
      <c r="AY70" s="14" t="s">
        <v>110</v>
      </c>
      <c r="AZ70" s="15"/>
      <c r="BA70" s="15"/>
    </row>
    <row r="71" spans="1:53" s="12" customFormat="1">
      <c r="A71" s="126" t="s">
        <v>111</v>
      </c>
      <c r="B71" s="72">
        <f>SUM(B73:B80)</f>
        <v>60259</v>
      </c>
      <c r="C71" s="89">
        <f>SUM(C73:C80)</f>
        <v>5</v>
      </c>
      <c r="D71" s="89">
        <f>SUM(D73:D80)</f>
        <v>15</v>
      </c>
      <c r="E71" s="89">
        <f t="shared" ref="E71:R71" si="85">SUM(E73:E80)</f>
        <v>3820</v>
      </c>
      <c r="F71" s="89">
        <f>SUM(F73:F80)</f>
        <v>11381.14</v>
      </c>
      <c r="G71" s="89">
        <f t="shared" si="85"/>
        <v>1019</v>
      </c>
      <c r="H71" s="89">
        <f t="shared" si="85"/>
        <v>6739.6</v>
      </c>
      <c r="I71" s="89">
        <f t="shared" si="85"/>
        <v>633</v>
      </c>
      <c r="J71" s="89">
        <f t="shared" si="85"/>
        <v>746.85</v>
      </c>
      <c r="K71" s="89">
        <f t="shared" si="85"/>
        <v>2774</v>
      </c>
      <c r="L71" s="89">
        <f t="shared" si="85"/>
        <v>7609.6999999999989</v>
      </c>
      <c r="M71" s="89">
        <f t="shared" si="85"/>
        <v>2187</v>
      </c>
      <c r="N71" s="89">
        <f t="shared" si="85"/>
        <v>5372.41</v>
      </c>
      <c r="O71" s="89">
        <f t="shared" si="85"/>
        <v>2601</v>
      </c>
      <c r="P71" s="89">
        <f t="shared" si="85"/>
        <v>6936.65</v>
      </c>
      <c r="Q71" s="89">
        <f t="shared" si="85"/>
        <v>512</v>
      </c>
      <c r="R71" s="89">
        <f t="shared" si="85"/>
        <v>857.7</v>
      </c>
      <c r="S71" s="127">
        <f t="shared" ref="S71:Z71" si="86">SUM(S73:S80)</f>
        <v>14</v>
      </c>
      <c r="T71" s="78">
        <f t="shared" si="86"/>
        <v>9.5500000000000007</v>
      </c>
      <c r="U71" s="78">
        <f t="shared" si="86"/>
        <v>656</v>
      </c>
      <c r="V71" s="78">
        <f t="shared" si="86"/>
        <v>1666.6000000000001</v>
      </c>
      <c r="W71" s="78">
        <f t="shared" si="86"/>
        <v>3839</v>
      </c>
      <c r="X71" s="78">
        <f t="shared" si="86"/>
        <v>10474.85</v>
      </c>
      <c r="Y71" s="78">
        <f t="shared" si="86"/>
        <v>9809</v>
      </c>
      <c r="Z71" s="78">
        <f t="shared" si="86"/>
        <v>10317.02</v>
      </c>
      <c r="AA71" s="78">
        <f>SUM(AA73:AA80)</f>
        <v>815</v>
      </c>
      <c r="AB71" s="78">
        <f t="shared" ref="AB71:AJ71" si="87">SUM(AB73:AB80)</f>
        <v>475.82000000000005</v>
      </c>
      <c r="AC71" s="78">
        <f t="shared" si="87"/>
        <v>56</v>
      </c>
      <c r="AD71" s="78">
        <f t="shared" si="87"/>
        <v>29.6</v>
      </c>
      <c r="AE71" s="78">
        <f t="shared" si="87"/>
        <v>72</v>
      </c>
      <c r="AF71" s="78">
        <f t="shared" si="87"/>
        <v>37.6</v>
      </c>
      <c r="AG71" s="124">
        <f t="shared" si="87"/>
        <v>1723</v>
      </c>
      <c r="AH71" s="78">
        <f t="shared" si="87"/>
        <v>3741.55</v>
      </c>
      <c r="AI71" s="78">
        <f t="shared" si="87"/>
        <v>9708</v>
      </c>
      <c r="AJ71" s="124">
        <f t="shared" si="87"/>
        <v>15076.499999999998</v>
      </c>
      <c r="AK71" s="78">
        <f t="shared" ref="AK71:AX71" si="88">SUM(AK73:AK80)</f>
        <v>822</v>
      </c>
      <c r="AL71" s="77">
        <f t="shared" si="88"/>
        <v>2366.85</v>
      </c>
      <c r="AM71" s="78">
        <f t="shared" si="88"/>
        <v>555</v>
      </c>
      <c r="AN71" s="77">
        <f t="shared" si="88"/>
        <v>2968.4</v>
      </c>
      <c r="AO71" s="78">
        <f t="shared" si="88"/>
        <v>942</v>
      </c>
      <c r="AP71" s="77">
        <f t="shared" si="88"/>
        <v>2522.7800000000002</v>
      </c>
      <c r="AQ71" s="78">
        <f t="shared" si="88"/>
        <v>64</v>
      </c>
      <c r="AR71" s="77">
        <f t="shared" si="88"/>
        <v>163</v>
      </c>
      <c r="AS71" s="78">
        <f t="shared" si="88"/>
        <v>0</v>
      </c>
      <c r="AT71" s="77">
        <f t="shared" si="88"/>
        <v>0</v>
      </c>
      <c r="AU71" s="78">
        <f t="shared" si="88"/>
        <v>0</v>
      </c>
      <c r="AV71" s="77">
        <f t="shared" si="88"/>
        <v>0</v>
      </c>
      <c r="AW71" s="78">
        <f t="shared" si="88"/>
        <v>17633</v>
      </c>
      <c r="AX71" s="79">
        <f t="shared" si="88"/>
        <v>25503.855000000003</v>
      </c>
      <c r="AY71" s="125" t="s">
        <v>112</v>
      </c>
      <c r="AZ71" s="125"/>
      <c r="BA71" s="125"/>
    </row>
    <row r="72" spans="1:53">
      <c r="A72" s="126"/>
      <c r="B72" s="72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127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124"/>
      <c r="AH72" s="78"/>
      <c r="AI72" s="78"/>
      <c r="AJ72" s="124"/>
      <c r="AK72" s="78"/>
      <c r="AL72" s="77"/>
      <c r="AM72" s="78"/>
      <c r="AN72" s="77"/>
      <c r="AO72" s="78"/>
      <c r="AP72" s="77"/>
      <c r="AQ72" s="78"/>
      <c r="AR72" s="77"/>
      <c r="AS72" s="78"/>
      <c r="AT72" s="77"/>
      <c r="AU72" s="78"/>
      <c r="AV72" s="77"/>
      <c r="AW72" s="78"/>
      <c r="AX72" s="79"/>
      <c r="AY72" s="125"/>
      <c r="AZ72" s="125"/>
      <c r="BA72" s="125"/>
    </row>
    <row r="73" spans="1:53">
      <c r="A73" s="1" t="s">
        <v>113</v>
      </c>
      <c r="B73" s="63">
        <f t="shared" ref="B73:B80" si="89">SUM(C73,E73,G73,I73,K73,M73,O73,Q73,S73,U73,W73,Y73,AA73,AC73,AE73,AG73,AI73,AK73,AM73,AO73,AQ73,AS73,AU73,AW73)</f>
        <v>0</v>
      </c>
      <c r="C73" s="40" t="s">
        <v>190</v>
      </c>
      <c r="D73" s="40" t="s">
        <v>190</v>
      </c>
      <c r="E73" s="40" t="s">
        <v>190</v>
      </c>
      <c r="F73" s="40" t="s">
        <v>190</v>
      </c>
      <c r="G73" s="40" t="s">
        <v>190</v>
      </c>
      <c r="H73" s="40" t="s">
        <v>190</v>
      </c>
      <c r="I73" s="40" t="s">
        <v>190</v>
      </c>
      <c r="J73" s="40" t="s">
        <v>190</v>
      </c>
      <c r="K73" s="40" t="s">
        <v>190</v>
      </c>
      <c r="L73" s="40" t="s">
        <v>190</v>
      </c>
      <c r="M73" s="40" t="s">
        <v>190</v>
      </c>
      <c r="N73" s="40" t="s">
        <v>190</v>
      </c>
      <c r="O73" s="40" t="s">
        <v>190</v>
      </c>
      <c r="P73" s="40" t="s">
        <v>190</v>
      </c>
      <c r="Q73" s="40" t="s">
        <v>190</v>
      </c>
      <c r="R73" s="40" t="s">
        <v>190</v>
      </c>
      <c r="S73" s="46" t="s">
        <v>190</v>
      </c>
      <c r="T73" s="27" t="s">
        <v>190</v>
      </c>
      <c r="U73" s="27" t="s">
        <v>190</v>
      </c>
      <c r="V73" s="27" t="s">
        <v>190</v>
      </c>
      <c r="W73" s="27" t="s">
        <v>190</v>
      </c>
      <c r="X73" s="27" t="s">
        <v>190</v>
      </c>
      <c r="Y73" s="27" t="s">
        <v>190</v>
      </c>
      <c r="Z73" s="27" t="s">
        <v>190</v>
      </c>
      <c r="AA73" s="28" t="s">
        <v>190</v>
      </c>
      <c r="AB73" s="28" t="s">
        <v>190</v>
      </c>
      <c r="AC73" s="27" t="s">
        <v>190</v>
      </c>
      <c r="AD73" s="27" t="s">
        <v>190</v>
      </c>
      <c r="AE73" s="27" t="s">
        <v>190</v>
      </c>
      <c r="AF73" s="27" t="s">
        <v>190</v>
      </c>
      <c r="AG73" s="20" t="s">
        <v>190</v>
      </c>
      <c r="AH73" s="27" t="s">
        <v>190</v>
      </c>
      <c r="AI73" s="27" t="s">
        <v>190</v>
      </c>
      <c r="AJ73" s="20" t="s">
        <v>190</v>
      </c>
      <c r="AK73" s="27" t="s">
        <v>190</v>
      </c>
      <c r="AL73" s="48" t="s">
        <v>190</v>
      </c>
      <c r="AM73" s="27" t="s">
        <v>190</v>
      </c>
      <c r="AN73" s="48" t="s">
        <v>190</v>
      </c>
      <c r="AO73" s="27" t="s">
        <v>190</v>
      </c>
      <c r="AP73" s="48" t="s">
        <v>190</v>
      </c>
      <c r="AQ73" s="27" t="s">
        <v>190</v>
      </c>
      <c r="AR73" s="48" t="s">
        <v>190</v>
      </c>
      <c r="AS73" s="27" t="s">
        <v>190</v>
      </c>
      <c r="AT73" s="48" t="s">
        <v>190</v>
      </c>
      <c r="AU73" s="27" t="s">
        <v>190</v>
      </c>
      <c r="AV73" s="48" t="s">
        <v>190</v>
      </c>
      <c r="AW73" s="27" t="s">
        <v>190</v>
      </c>
      <c r="AX73" s="55" t="s">
        <v>190</v>
      </c>
      <c r="AY73" s="14" t="s">
        <v>114</v>
      </c>
      <c r="AZ73" s="15"/>
      <c r="BA73" s="15"/>
    </row>
    <row r="74" spans="1:53">
      <c r="A74" s="1" t="s">
        <v>115</v>
      </c>
      <c r="B74" s="63">
        <f t="shared" si="89"/>
        <v>195</v>
      </c>
      <c r="C74" s="40" t="s">
        <v>190</v>
      </c>
      <c r="D74" s="40" t="s">
        <v>190</v>
      </c>
      <c r="E74" s="37">
        <v>13</v>
      </c>
      <c r="F74" s="37">
        <v>17.64</v>
      </c>
      <c r="G74" s="37">
        <v>5</v>
      </c>
      <c r="H74" s="37">
        <v>50</v>
      </c>
      <c r="I74" s="37">
        <v>5</v>
      </c>
      <c r="J74" s="64">
        <v>7</v>
      </c>
      <c r="K74" s="37">
        <v>41</v>
      </c>
      <c r="L74" s="37">
        <v>81.22</v>
      </c>
      <c r="M74" s="37">
        <v>37</v>
      </c>
      <c r="N74" s="37">
        <v>79.02</v>
      </c>
      <c r="O74" s="37">
        <v>33</v>
      </c>
      <c r="P74" s="37">
        <v>98.2</v>
      </c>
      <c r="Q74" s="37">
        <v>2</v>
      </c>
      <c r="R74" s="37">
        <v>1.02</v>
      </c>
      <c r="S74" s="46" t="s">
        <v>190</v>
      </c>
      <c r="T74" s="27" t="s">
        <v>190</v>
      </c>
      <c r="U74" s="25">
        <v>1</v>
      </c>
      <c r="V74" s="64">
        <v>0.75</v>
      </c>
      <c r="W74" s="25">
        <v>11</v>
      </c>
      <c r="X74" s="25">
        <v>11</v>
      </c>
      <c r="Y74" s="25">
        <v>2</v>
      </c>
      <c r="Z74" s="25">
        <v>1.02</v>
      </c>
      <c r="AA74" s="28" t="s">
        <v>190</v>
      </c>
      <c r="AB74" s="28" t="s">
        <v>190</v>
      </c>
      <c r="AC74" s="27" t="s">
        <v>190</v>
      </c>
      <c r="AD74" s="27" t="s">
        <v>190</v>
      </c>
      <c r="AE74" s="27" t="s">
        <v>190</v>
      </c>
      <c r="AF74" s="27" t="s">
        <v>190</v>
      </c>
      <c r="AG74" s="29">
        <v>10</v>
      </c>
      <c r="AH74" s="25">
        <v>22.8</v>
      </c>
      <c r="AI74" s="25">
        <v>11</v>
      </c>
      <c r="AJ74" s="29">
        <v>11</v>
      </c>
      <c r="AK74" s="53">
        <v>1</v>
      </c>
      <c r="AL74" s="50">
        <v>1</v>
      </c>
      <c r="AM74" s="53">
        <v>2</v>
      </c>
      <c r="AN74" s="50">
        <v>3.5</v>
      </c>
      <c r="AO74" s="53">
        <v>5</v>
      </c>
      <c r="AP74" s="50">
        <v>6.5</v>
      </c>
      <c r="AQ74" s="54" t="s">
        <v>190</v>
      </c>
      <c r="AR74" s="50">
        <v>0</v>
      </c>
      <c r="AS74" s="54" t="s">
        <v>190</v>
      </c>
      <c r="AT74" s="50" t="s">
        <v>190</v>
      </c>
      <c r="AU74" s="54" t="s">
        <v>190</v>
      </c>
      <c r="AV74" s="50" t="s">
        <v>190</v>
      </c>
      <c r="AW74" s="53">
        <v>16</v>
      </c>
      <c r="AX74" s="65">
        <v>22.9</v>
      </c>
      <c r="AY74" s="14" t="s">
        <v>116</v>
      </c>
      <c r="AZ74" s="15"/>
      <c r="BA74" s="15"/>
    </row>
    <row r="75" spans="1:53">
      <c r="A75" s="1" t="s">
        <v>117</v>
      </c>
      <c r="B75" s="63">
        <f t="shared" si="89"/>
        <v>11</v>
      </c>
      <c r="C75" s="40" t="s">
        <v>190</v>
      </c>
      <c r="D75" s="40" t="s">
        <v>190</v>
      </c>
      <c r="E75" s="37">
        <v>2</v>
      </c>
      <c r="F75" s="37">
        <v>2.5</v>
      </c>
      <c r="G75" s="38" t="s">
        <v>190</v>
      </c>
      <c r="H75" s="37">
        <v>0</v>
      </c>
      <c r="I75" s="38" t="s">
        <v>190</v>
      </c>
      <c r="J75" s="64">
        <v>0</v>
      </c>
      <c r="K75" s="37">
        <v>1</v>
      </c>
      <c r="L75" s="37">
        <v>2</v>
      </c>
      <c r="M75" s="37">
        <v>2</v>
      </c>
      <c r="N75" s="37">
        <v>2</v>
      </c>
      <c r="O75" s="37">
        <v>1</v>
      </c>
      <c r="P75" s="37">
        <v>0.8</v>
      </c>
      <c r="Q75" s="37">
        <v>1</v>
      </c>
      <c r="R75" s="37">
        <v>0.5</v>
      </c>
      <c r="S75" s="46" t="s">
        <v>190</v>
      </c>
      <c r="T75" s="27" t="s">
        <v>190</v>
      </c>
      <c r="U75" s="27" t="s">
        <v>190</v>
      </c>
      <c r="V75" s="27" t="s">
        <v>190</v>
      </c>
      <c r="W75" s="27" t="s">
        <v>190</v>
      </c>
      <c r="X75" s="27" t="s">
        <v>190</v>
      </c>
      <c r="Y75" s="25">
        <v>1</v>
      </c>
      <c r="Z75" s="25">
        <v>1.5</v>
      </c>
      <c r="AA75" s="28" t="s">
        <v>190</v>
      </c>
      <c r="AB75" s="28" t="s">
        <v>190</v>
      </c>
      <c r="AC75" s="27" t="s">
        <v>190</v>
      </c>
      <c r="AD75" s="27" t="s">
        <v>190</v>
      </c>
      <c r="AE75" s="27" t="s">
        <v>190</v>
      </c>
      <c r="AF75" s="27" t="s">
        <v>190</v>
      </c>
      <c r="AG75" s="29">
        <v>1</v>
      </c>
      <c r="AH75" s="25">
        <v>0.5</v>
      </c>
      <c r="AI75" s="25">
        <v>1</v>
      </c>
      <c r="AJ75" s="29">
        <v>0.3</v>
      </c>
      <c r="AK75" s="54" t="s">
        <v>190</v>
      </c>
      <c r="AL75" s="50" t="s">
        <v>190</v>
      </c>
      <c r="AM75" s="54" t="s">
        <v>190</v>
      </c>
      <c r="AN75" s="50" t="s">
        <v>190</v>
      </c>
      <c r="AO75" s="53">
        <v>1</v>
      </c>
      <c r="AP75" s="50">
        <v>0.6</v>
      </c>
      <c r="AQ75" s="54" t="s">
        <v>190</v>
      </c>
      <c r="AR75" s="50">
        <v>0</v>
      </c>
      <c r="AS75" s="54" t="s">
        <v>190</v>
      </c>
      <c r="AT75" s="50" t="s">
        <v>190</v>
      </c>
      <c r="AU75" s="54" t="s">
        <v>190</v>
      </c>
      <c r="AV75" s="50" t="s">
        <v>190</v>
      </c>
      <c r="AW75" s="53" t="s">
        <v>190</v>
      </c>
      <c r="AX75" s="65" t="s">
        <v>190</v>
      </c>
      <c r="AY75" s="14" t="s">
        <v>118</v>
      </c>
      <c r="AZ75" s="15"/>
      <c r="BA75" s="15"/>
    </row>
    <row r="76" spans="1:53">
      <c r="A76" s="1" t="s">
        <v>119</v>
      </c>
      <c r="B76" s="63">
        <f t="shared" si="89"/>
        <v>0</v>
      </c>
      <c r="C76" s="40" t="s">
        <v>190</v>
      </c>
      <c r="D76" s="40" t="s">
        <v>190</v>
      </c>
      <c r="E76" s="40" t="s">
        <v>190</v>
      </c>
      <c r="F76" s="40" t="s">
        <v>190</v>
      </c>
      <c r="G76" s="40" t="s">
        <v>190</v>
      </c>
      <c r="H76" s="40" t="s">
        <v>190</v>
      </c>
      <c r="I76" s="40" t="s">
        <v>190</v>
      </c>
      <c r="J76" s="40" t="s">
        <v>190</v>
      </c>
      <c r="K76" s="40" t="s">
        <v>190</v>
      </c>
      <c r="L76" s="40" t="s">
        <v>190</v>
      </c>
      <c r="M76" s="40" t="s">
        <v>190</v>
      </c>
      <c r="N76" s="40" t="s">
        <v>190</v>
      </c>
      <c r="O76" s="40" t="s">
        <v>190</v>
      </c>
      <c r="P76" s="40" t="s">
        <v>190</v>
      </c>
      <c r="Q76" s="40" t="s">
        <v>190</v>
      </c>
      <c r="R76" s="40" t="s">
        <v>190</v>
      </c>
      <c r="S76" s="46" t="s">
        <v>190</v>
      </c>
      <c r="T76" s="27" t="s">
        <v>190</v>
      </c>
      <c r="U76" s="27" t="s">
        <v>190</v>
      </c>
      <c r="V76" s="27" t="s">
        <v>190</v>
      </c>
      <c r="W76" s="27" t="s">
        <v>190</v>
      </c>
      <c r="X76" s="27" t="s">
        <v>190</v>
      </c>
      <c r="Y76" s="27" t="s">
        <v>190</v>
      </c>
      <c r="Z76" s="27" t="s">
        <v>190</v>
      </c>
      <c r="AA76" s="28" t="s">
        <v>190</v>
      </c>
      <c r="AB76" s="28" t="s">
        <v>190</v>
      </c>
      <c r="AC76" s="27" t="s">
        <v>190</v>
      </c>
      <c r="AD76" s="27" t="s">
        <v>190</v>
      </c>
      <c r="AE76" s="27" t="s">
        <v>190</v>
      </c>
      <c r="AF76" s="27" t="s">
        <v>190</v>
      </c>
      <c r="AG76" s="20" t="s">
        <v>190</v>
      </c>
      <c r="AH76" s="27" t="s">
        <v>190</v>
      </c>
      <c r="AI76" s="27" t="s">
        <v>190</v>
      </c>
      <c r="AJ76" s="20" t="s">
        <v>190</v>
      </c>
      <c r="AK76" s="27" t="s">
        <v>190</v>
      </c>
      <c r="AL76" s="48" t="s">
        <v>190</v>
      </c>
      <c r="AM76" s="27" t="s">
        <v>190</v>
      </c>
      <c r="AN76" s="48" t="s">
        <v>190</v>
      </c>
      <c r="AO76" s="27" t="s">
        <v>190</v>
      </c>
      <c r="AP76" s="48" t="s">
        <v>190</v>
      </c>
      <c r="AQ76" s="27" t="s">
        <v>190</v>
      </c>
      <c r="AR76" s="48" t="s">
        <v>190</v>
      </c>
      <c r="AS76" s="27" t="s">
        <v>190</v>
      </c>
      <c r="AT76" s="48" t="s">
        <v>190</v>
      </c>
      <c r="AU76" s="27" t="s">
        <v>190</v>
      </c>
      <c r="AV76" s="48" t="s">
        <v>190</v>
      </c>
      <c r="AW76" s="27" t="s">
        <v>190</v>
      </c>
      <c r="AX76" s="55" t="s">
        <v>190</v>
      </c>
      <c r="AY76" s="14" t="s">
        <v>120</v>
      </c>
      <c r="AZ76" s="15"/>
      <c r="BA76" s="15"/>
    </row>
    <row r="77" spans="1:53">
      <c r="A77" s="1" t="s">
        <v>121</v>
      </c>
      <c r="B77" s="63">
        <f t="shared" si="89"/>
        <v>26735</v>
      </c>
      <c r="C77" s="37">
        <v>5</v>
      </c>
      <c r="D77" s="37">
        <v>15</v>
      </c>
      <c r="E77" s="37">
        <v>3060</v>
      </c>
      <c r="F77" s="37">
        <v>9248.2000000000007</v>
      </c>
      <c r="G77" s="37">
        <v>874</v>
      </c>
      <c r="H77" s="37">
        <v>5145.6000000000004</v>
      </c>
      <c r="I77" s="37">
        <v>524</v>
      </c>
      <c r="J77" s="64">
        <v>651.70000000000005</v>
      </c>
      <c r="K77" s="37">
        <v>2287</v>
      </c>
      <c r="L77" s="37">
        <v>6329.4</v>
      </c>
      <c r="M77" s="37">
        <v>1934</v>
      </c>
      <c r="N77" s="37">
        <v>4744.3999999999996</v>
      </c>
      <c r="O77" s="37">
        <v>2001</v>
      </c>
      <c r="P77" s="37">
        <v>5159.3999999999996</v>
      </c>
      <c r="Q77" s="37">
        <v>277</v>
      </c>
      <c r="R77" s="37">
        <v>542.5</v>
      </c>
      <c r="S77" s="31">
        <v>6</v>
      </c>
      <c r="T77" s="25">
        <v>5.9</v>
      </c>
      <c r="U77" s="25">
        <v>562</v>
      </c>
      <c r="V77" s="64">
        <v>1598</v>
      </c>
      <c r="W77" s="25">
        <v>1740</v>
      </c>
      <c r="X77" s="25">
        <v>3313.9</v>
      </c>
      <c r="Y77" s="25">
        <v>1674</v>
      </c>
      <c r="Z77" s="25">
        <v>3058</v>
      </c>
      <c r="AA77" s="64">
        <v>686</v>
      </c>
      <c r="AB77" s="64">
        <v>419.8</v>
      </c>
      <c r="AC77" s="25">
        <v>45</v>
      </c>
      <c r="AD77" s="25">
        <v>22.6</v>
      </c>
      <c r="AE77" s="25">
        <v>72</v>
      </c>
      <c r="AF77" s="25">
        <v>37.6</v>
      </c>
      <c r="AG77" s="29">
        <v>1168</v>
      </c>
      <c r="AH77" s="25">
        <v>2567.15</v>
      </c>
      <c r="AI77" s="25">
        <v>3248</v>
      </c>
      <c r="AJ77" s="29">
        <v>9401.4</v>
      </c>
      <c r="AK77" s="53">
        <v>657</v>
      </c>
      <c r="AL77" s="50">
        <v>2016</v>
      </c>
      <c r="AM77" s="53">
        <v>481</v>
      </c>
      <c r="AN77" s="50">
        <v>2263.9</v>
      </c>
      <c r="AO77" s="53">
        <v>679</v>
      </c>
      <c r="AP77" s="50">
        <v>1926.4</v>
      </c>
      <c r="AQ77" s="53">
        <v>64</v>
      </c>
      <c r="AR77" s="50">
        <v>163</v>
      </c>
      <c r="AS77" s="54" t="s">
        <v>190</v>
      </c>
      <c r="AT77" s="50" t="s">
        <v>190</v>
      </c>
      <c r="AU77" s="54" t="s">
        <v>190</v>
      </c>
      <c r="AV77" s="50" t="s">
        <v>190</v>
      </c>
      <c r="AW77" s="53">
        <v>4691</v>
      </c>
      <c r="AX77" s="65">
        <v>9870.7000000000007</v>
      </c>
      <c r="AY77" s="14" t="s">
        <v>122</v>
      </c>
      <c r="AZ77" s="15"/>
      <c r="BA77" s="15"/>
    </row>
    <row r="78" spans="1:53">
      <c r="A78" s="1" t="s">
        <v>123</v>
      </c>
      <c r="B78" s="63">
        <f t="shared" si="89"/>
        <v>31881</v>
      </c>
      <c r="C78" s="40" t="s">
        <v>190</v>
      </c>
      <c r="D78" s="40" t="s">
        <v>190</v>
      </c>
      <c r="E78" s="37">
        <v>364</v>
      </c>
      <c r="F78" s="37">
        <v>1341.8</v>
      </c>
      <c r="G78" s="37">
        <v>122</v>
      </c>
      <c r="H78" s="37">
        <v>1382</v>
      </c>
      <c r="I78" s="37">
        <v>6</v>
      </c>
      <c r="J78" s="64">
        <v>8.9</v>
      </c>
      <c r="K78" s="37">
        <v>390</v>
      </c>
      <c r="L78" s="37">
        <v>1130.8499999999999</v>
      </c>
      <c r="M78" s="37">
        <v>164</v>
      </c>
      <c r="N78" s="37">
        <v>489.2</v>
      </c>
      <c r="O78" s="37">
        <v>466</v>
      </c>
      <c r="P78" s="37">
        <v>1556</v>
      </c>
      <c r="Q78" s="37">
        <v>6</v>
      </c>
      <c r="R78" s="37">
        <v>18</v>
      </c>
      <c r="S78" s="46" t="s">
        <v>190</v>
      </c>
      <c r="T78" s="27" t="s">
        <v>190</v>
      </c>
      <c r="U78" s="25">
        <v>16</v>
      </c>
      <c r="V78" s="64">
        <v>44.7</v>
      </c>
      <c r="W78" s="25">
        <v>2056</v>
      </c>
      <c r="X78" s="25">
        <v>7114</v>
      </c>
      <c r="Y78" s="25">
        <v>8109</v>
      </c>
      <c r="Z78" s="25">
        <v>7235.6</v>
      </c>
      <c r="AA78" s="64">
        <v>103</v>
      </c>
      <c r="AB78" s="64">
        <v>45.8</v>
      </c>
      <c r="AC78" s="25">
        <v>6</v>
      </c>
      <c r="AD78" s="25">
        <v>3.7</v>
      </c>
      <c r="AE78" s="27" t="s">
        <v>190</v>
      </c>
      <c r="AF78" s="27" t="s">
        <v>190</v>
      </c>
      <c r="AG78" s="29">
        <v>543</v>
      </c>
      <c r="AH78" s="25">
        <v>1147.5999999999999</v>
      </c>
      <c r="AI78" s="25">
        <v>6381</v>
      </c>
      <c r="AJ78" s="29">
        <v>5567</v>
      </c>
      <c r="AK78" s="53">
        <v>120</v>
      </c>
      <c r="AL78" s="50">
        <v>296</v>
      </c>
      <c r="AM78" s="53">
        <v>68</v>
      </c>
      <c r="AN78" s="50">
        <v>669</v>
      </c>
      <c r="AO78" s="53">
        <v>187</v>
      </c>
      <c r="AP78" s="50">
        <v>505</v>
      </c>
      <c r="AQ78" s="54" t="s">
        <v>190</v>
      </c>
      <c r="AR78" s="50">
        <v>0</v>
      </c>
      <c r="AS78" s="54" t="s">
        <v>190</v>
      </c>
      <c r="AT78" s="50" t="s">
        <v>190</v>
      </c>
      <c r="AU78" s="54" t="s">
        <v>190</v>
      </c>
      <c r="AV78" s="50" t="s">
        <v>190</v>
      </c>
      <c r="AW78" s="53">
        <v>12774</v>
      </c>
      <c r="AX78" s="65">
        <v>15410.45</v>
      </c>
      <c r="AY78" s="14" t="s">
        <v>124</v>
      </c>
      <c r="AZ78" s="15"/>
      <c r="BA78" s="15"/>
    </row>
    <row r="79" spans="1:53">
      <c r="A79" s="1" t="s">
        <v>125</v>
      </c>
      <c r="B79" s="63">
        <f t="shared" si="89"/>
        <v>5</v>
      </c>
      <c r="C79" s="40" t="s">
        <v>190</v>
      </c>
      <c r="D79" s="40" t="s">
        <v>190</v>
      </c>
      <c r="E79" s="40" t="s">
        <v>190</v>
      </c>
      <c r="F79" s="40" t="s">
        <v>190</v>
      </c>
      <c r="G79" s="38" t="s">
        <v>190</v>
      </c>
      <c r="H79" s="37">
        <v>0</v>
      </c>
      <c r="I79" s="38" t="s">
        <v>190</v>
      </c>
      <c r="J79" s="64">
        <v>0</v>
      </c>
      <c r="K79" s="37">
        <v>2</v>
      </c>
      <c r="L79" s="37">
        <v>1.5</v>
      </c>
      <c r="M79" s="38" t="s">
        <v>190</v>
      </c>
      <c r="N79" s="37">
        <v>0</v>
      </c>
      <c r="O79" s="38" t="s">
        <v>190</v>
      </c>
      <c r="P79" s="37">
        <v>0</v>
      </c>
      <c r="Q79" s="38" t="s">
        <v>190</v>
      </c>
      <c r="R79" s="37">
        <v>0</v>
      </c>
      <c r="S79" s="46" t="s">
        <v>190</v>
      </c>
      <c r="T79" s="27" t="s">
        <v>190</v>
      </c>
      <c r="U79" s="27" t="s">
        <v>190</v>
      </c>
      <c r="V79" s="27" t="s">
        <v>190</v>
      </c>
      <c r="W79" s="25">
        <v>3</v>
      </c>
      <c r="X79" s="25">
        <v>3</v>
      </c>
      <c r="Y79" s="26" t="s">
        <v>190</v>
      </c>
      <c r="Z79" s="25">
        <v>0</v>
      </c>
      <c r="AA79" s="28" t="s">
        <v>190</v>
      </c>
      <c r="AB79" s="28" t="s">
        <v>190</v>
      </c>
      <c r="AC79" s="26" t="s">
        <v>190</v>
      </c>
      <c r="AD79" s="25">
        <v>0</v>
      </c>
      <c r="AE79" s="27" t="s">
        <v>190</v>
      </c>
      <c r="AF79" s="27" t="s">
        <v>190</v>
      </c>
      <c r="AG79" s="30" t="s">
        <v>190</v>
      </c>
      <c r="AH79" s="25">
        <v>0</v>
      </c>
      <c r="AI79" s="26" t="s">
        <v>190</v>
      </c>
      <c r="AJ79" s="29">
        <v>0</v>
      </c>
      <c r="AK79" s="54" t="s">
        <v>190</v>
      </c>
      <c r="AL79" s="50">
        <v>0</v>
      </c>
      <c r="AM79" s="54" t="s">
        <v>190</v>
      </c>
      <c r="AN79" s="50">
        <v>0</v>
      </c>
      <c r="AO79" s="54" t="s">
        <v>190</v>
      </c>
      <c r="AP79" s="50">
        <v>0</v>
      </c>
      <c r="AQ79" s="54" t="s">
        <v>190</v>
      </c>
      <c r="AR79" s="50">
        <v>0</v>
      </c>
      <c r="AS79" s="54" t="s">
        <v>190</v>
      </c>
      <c r="AT79" s="50" t="s">
        <v>190</v>
      </c>
      <c r="AU79" s="54" t="s">
        <v>190</v>
      </c>
      <c r="AV79" s="50" t="s">
        <v>190</v>
      </c>
      <c r="AW79" s="53" t="s">
        <v>190</v>
      </c>
      <c r="AX79" s="65" t="s">
        <v>190</v>
      </c>
      <c r="AY79" s="14" t="s">
        <v>126</v>
      </c>
      <c r="AZ79" s="15"/>
      <c r="BA79" s="15"/>
    </row>
    <row r="80" spans="1:53">
      <c r="A80" s="1" t="s">
        <v>127</v>
      </c>
      <c r="B80" s="63">
        <f t="shared" si="89"/>
        <v>1432</v>
      </c>
      <c r="C80" s="40" t="s">
        <v>190</v>
      </c>
      <c r="D80" s="40" t="s">
        <v>190</v>
      </c>
      <c r="E80" s="37">
        <v>381</v>
      </c>
      <c r="F80" s="37">
        <v>771</v>
      </c>
      <c r="G80" s="37">
        <v>18</v>
      </c>
      <c r="H80" s="37">
        <v>162</v>
      </c>
      <c r="I80" s="37">
        <v>98</v>
      </c>
      <c r="J80" s="64">
        <v>79.25</v>
      </c>
      <c r="K80" s="37">
        <v>53</v>
      </c>
      <c r="L80" s="37">
        <v>64.73</v>
      </c>
      <c r="M80" s="37">
        <v>50</v>
      </c>
      <c r="N80" s="37">
        <v>57.79</v>
      </c>
      <c r="O80" s="37">
        <v>100</v>
      </c>
      <c r="P80" s="37">
        <v>122.25</v>
      </c>
      <c r="Q80" s="37">
        <v>226</v>
      </c>
      <c r="R80" s="37">
        <v>295.68</v>
      </c>
      <c r="S80" s="31">
        <v>8</v>
      </c>
      <c r="T80" s="25">
        <v>3.65</v>
      </c>
      <c r="U80" s="25">
        <v>77</v>
      </c>
      <c r="V80" s="64">
        <v>23.15</v>
      </c>
      <c r="W80" s="25">
        <v>29</v>
      </c>
      <c r="X80" s="25">
        <v>32.950000000000003</v>
      </c>
      <c r="Y80" s="25">
        <v>23</v>
      </c>
      <c r="Z80" s="25">
        <v>20.9</v>
      </c>
      <c r="AA80" s="64">
        <v>26</v>
      </c>
      <c r="AB80" s="64">
        <v>10.220000000000001</v>
      </c>
      <c r="AC80" s="25">
        <v>5</v>
      </c>
      <c r="AD80" s="25">
        <v>3.3</v>
      </c>
      <c r="AE80" s="27" t="s">
        <v>190</v>
      </c>
      <c r="AF80" s="27" t="s">
        <v>190</v>
      </c>
      <c r="AG80" s="29">
        <v>1</v>
      </c>
      <c r="AH80" s="25">
        <v>3.5</v>
      </c>
      <c r="AI80" s="25">
        <v>67</v>
      </c>
      <c r="AJ80" s="29">
        <v>96.8</v>
      </c>
      <c r="AK80" s="53">
        <v>44</v>
      </c>
      <c r="AL80" s="50">
        <v>53.85</v>
      </c>
      <c r="AM80" s="53">
        <v>4</v>
      </c>
      <c r="AN80" s="50">
        <v>32</v>
      </c>
      <c r="AO80" s="53">
        <v>70</v>
      </c>
      <c r="AP80" s="50">
        <v>84.28</v>
      </c>
      <c r="AQ80" s="54" t="s">
        <v>190</v>
      </c>
      <c r="AR80" s="50">
        <v>0</v>
      </c>
      <c r="AS80" s="54" t="s">
        <v>190</v>
      </c>
      <c r="AT80" s="50" t="s">
        <v>190</v>
      </c>
      <c r="AU80" s="54" t="s">
        <v>190</v>
      </c>
      <c r="AV80" s="50" t="s">
        <v>190</v>
      </c>
      <c r="AW80" s="53">
        <v>152</v>
      </c>
      <c r="AX80" s="65">
        <v>199.80500000000001</v>
      </c>
      <c r="AY80" s="14" t="s">
        <v>128</v>
      </c>
      <c r="AZ80" s="15"/>
      <c r="BA80" s="15"/>
    </row>
    <row r="81" spans="1:53" s="12" customFormat="1">
      <c r="A81" s="126" t="s">
        <v>129</v>
      </c>
      <c r="B81" s="72">
        <f>SUM(B83:B87)</f>
        <v>24645</v>
      </c>
      <c r="C81" s="89">
        <v>0</v>
      </c>
      <c r="D81" s="89">
        <v>0</v>
      </c>
      <c r="E81" s="89">
        <f t="shared" ref="E81:R81" si="90">SUM(E83:E87)</f>
        <v>7361</v>
      </c>
      <c r="F81" s="89">
        <f t="shared" si="90"/>
        <v>7843.6590000000006</v>
      </c>
      <c r="G81" s="89">
        <f t="shared" si="90"/>
        <v>795</v>
      </c>
      <c r="H81" s="89">
        <f>SUM(H83:H87)</f>
        <v>1840.5</v>
      </c>
      <c r="I81" s="89">
        <f t="shared" si="90"/>
        <v>1310</v>
      </c>
      <c r="J81" s="89">
        <f t="shared" si="90"/>
        <v>551.50800000000004</v>
      </c>
      <c r="K81" s="89">
        <f t="shared" si="90"/>
        <v>1464</v>
      </c>
      <c r="L81" s="89">
        <f t="shared" si="90"/>
        <v>1731.7050000000002</v>
      </c>
      <c r="M81" s="89">
        <f t="shared" si="90"/>
        <v>912</v>
      </c>
      <c r="N81" s="89">
        <f t="shared" si="90"/>
        <v>1040.4949999999999</v>
      </c>
      <c r="O81" s="89">
        <f t="shared" si="90"/>
        <v>1208</v>
      </c>
      <c r="P81" s="89">
        <f t="shared" si="90"/>
        <v>1068.981</v>
      </c>
      <c r="Q81" s="89">
        <f t="shared" si="90"/>
        <v>1861</v>
      </c>
      <c r="R81" s="89">
        <f t="shared" si="90"/>
        <v>1374.5439999999999</v>
      </c>
      <c r="S81" s="127">
        <f t="shared" ref="S81:Z81" si="91">SUM(S83:S87)</f>
        <v>265</v>
      </c>
      <c r="T81" s="78">
        <f t="shared" si="91"/>
        <v>90.016999999999996</v>
      </c>
      <c r="U81" s="78">
        <f t="shared" si="91"/>
        <v>361</v>
      </c>
      <c r="V81" s="78">
        <f t="shared" si="91"/>
        <v>210.88</v>
      </c>
      <c r="W81" s="78">
        <f t="shared" si="91"/>
        <v>485</v>
      </c>
      <c r="X81" s="78">
        <f t="shared" si="91"/>
        <v>342.32499999999999</v>
      </c>
      <c r="Y81" s="78">
        <f t="shared" si="91"/>
        <v>344</v>
      </c>
      <c r="Z81" s="78">
        <f t="shared" si="91"/>
        <v>203.095</v>
      </c>
      <c r="AA81" s="78">
        <f>SUM(AA83:AA87)</f>
        <v>148</v>
      </c>
      <c r="AB81" s="78">
        <f t="shared" ref="AB81:AI81" si="92">SUM(AB83:AB87)</f>
        <v>24.535000000000004</v>
      </c>
      <c r="AC81" s="78">
        <f t="shared" si="92"/>
        <v>416</v>
      </c>
      <c r="AD81" s="78">
        <f t="shared" si="92"/>
        <v>147.19000000000003</v>
      </c>
      <c r="AE81" s="78">
        <f t="shared" si="92"/>
        <v>71</v>
      </c>
      <c r="AF81" s="78">
        <f t="shared" si="92"/>
        <v>23.57</v>
      </c>
      <c r="AG81" s="124">
        <f t="shared" si="92"/>
        <v>569</v>
      </c>
      <c r="AH81" s="78">
        <f t="shared" si="92"/>
        <v>468.55000000000007</v>
      </c>
      <c r="AI81" s="78">
        <f t="shared" si="92"/>
        <v>1022</v>
      </c>
      <c r="AJ81" s="124">
        <f>SUM(AJ83:AJ87)</f>
        <v>806.4</v>
      </c>
      <c r="AK81" s="78">
        <f t="shared" ref="AK81:AX81" si="93">SUM(AK83:AK87)</f>
        <v>623</v>
      </c>
      <c r="AL81" s="77">
        <f t="shared" si="93"/>
        <v>676.57</v>
      </c>
      <c r="AM81" s="78">
        <f t="shared" si="93"/>
        <v>224</v>
      </c>
      <c r="AN81" s="77">
        <f t="shared" si="93"/>
        <v>577.79999999999995</v>
      </c>
      <c r="AO81" s="78">
        <f t="shared" si="93"/>
        <v>1306</v>
      </c>
      <c r="AP81" s="77">
        <f t="shared" si="93"/>
        <v>1449.6640000000002</v>
      </c>
      <c r="AQ81" s="78">
        <f t="shared" si="93"/>
        <v>133</v>
      </c>
      <c r="AR81" s="77">
        <f t="shared" si="93"/>
        <v>260.09000000000003</v>
      </c>
      <c r="AS81" s="78">
        <f t="shared" si="93"/>
        <v>0</v>
      </c>
      <c r="AT81" s="77">
        <f t="shared" si="93"/>
        <v>0</v>
      </c>
      <c r="AU81" s="78">
        <f t="shared" si="93"/>
        <v>16</v>
      </c>
      <c r="AV81" s="77">
        <f t="shared" si="93"/>
        <v>4.3499999999999996</v>
      </c>
      <c r="AW81" s="78">
        <f t="shared" si="93"/>
        <v>3751</v>
      </c>
      <c r="AX81" s="79">
        <f t="shared" si="93"/>
        <v>2647.9169999999999</v>
      </c>
      <c r="AY81" s="125" t="s">
        <v>130</v>
      </c>
      <c r="AZ81" s="125"/>
      <c r="BA81" s="125"/>
    </row>
    <row r="82" spans="1:53">
      <c r="A82" s="126"/>
      <c r="B82" s="72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127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124"/>
      <c r="AH82" s="78"/>
      <c r="AI82" s="78"/>
      <c r="AJ82" s="124"/>
      <c r="AK82" s="78"/>
      <c r="AL82" s="77"/>
      <c r="AM82" s="78"/>
      <c r="AN82" s="77"/>
      <c r="AO82" s="78"/>
      <c r="AP82" s="77"/>
      <c r="AQ82" s="78"/>
      <c r="AR82" s="77"/>
      <c r="AS82" s="78"/>
      <c r="AT82" s="77"/>
      <c r="AU82" s="78"/>
      <c r="AV82" s="77"/>
      <c r="AW82" s="78"/>
      <c r="AX82" s="79"/>
      <c r="AY82" s="125"/>
      <c r="AZ82" s="125"/>
      <c r="BA82" s="125"/>
    </row>
    <row r="83" spans="1:53">
      <c r="A83" s="13" t="s">
        <v>131</v>
      </c>
      <c r="B83" s="63">
        <f t="shared" ref="B83:B87" si="94">SUM(C83,E83,G83,I83,K83,M83,O83,Q83,S83,U83,W83,Y83,AA83,AC83,AE83,AG83,AI83,AK83,AM83,AO83,AQ83,AS83,AU83,AW83)</f>
        <v>12630</v>
      </c>
      <c r="C83" s="40" t="s">
        <v>190</v>
      </c>
      <c r="D83" s="40" t="s">
        <v>190</v>
      </c>
      <c r="E83" s="37">
        <v>4144</v>
      </c>
      <c r="F83" s="37">
        <v>4624.68</v>
      </c>
      <c r="G83" s="37">
        <v>495</v>
      </c>
      <c r="H83" s="37">
        <v>776.67</v>
      </c>
      <c r="I83" s="37">
        <v>587</v>
      </c>
      <c r="J83" s="64">
        <v>232.155</v>
      </c>
      <c r="K83" s="37">
        <v>838</v>
      </c>
      <c r="L83" s="37">
        <v>1119.2</v>
      </c>
      <c r="M83" s="37">
        <v>449</v>
      </c>
      <c r="N83" s="37">
        <v>579.18499999999995</v>
      </c>
      <c r="O83" s="37">
        <v>669</v>
      </c>
      <c r="P83" s="37">
        <v>588.20000000000005</v>
      </c>
      <c r="Q83" s="37">
        <v>498</v>
      </c>
      <c r="R83" s="37">
        <v>264.75</v>
      </c>
      <c r="S83" s="31">
        <v>73</v>
      </c>
      <c r="T83" s="25">
        <v>31.98</v>
      </c>
      <c r="U83" s="25">
        <v>47</v>
      </c>
      <c r="V83" s="64">
        <v>36.36</v>
      </c>
      <c r="W83" s="25">
        <v>284</v>
      </c>
      <c r="X83" s="25">
        <v>223.17</v>
      </c>
      <c r="Y83" s="25">
        <v>142</v>
      </c>
      <c r="Z83" s="25">
        <v>54.094999999999999</v>
      </c>
      <c r="AA83" s="64">
        <v>39</v>
      </c>
      <c r="AB83" s="64">
        <v>5.125</v>
      </c>
      <c r="AC83" s="25">
        <v>244</v>
      </c>
      <c r="AD83" s="25">
        <v>85.34</v>
      </c>
      <c r="AE83" s="25">
        <v>25</v>
      </c>
      <c r="AF83" s="25">
        <v>7.13</v>
      </c>
      <c r="AG83" s="29">
        <v>453</v>
      </c>
      <c r="AH83" s="25">
        <v>383.97</v>
      </c>
      <c r="AI83" s="25">
        <v>611</v>
      </c>
      <c r="AJ83" s="29">
        <v>559.59</v>
      </c>
      <c r="AK83" s="53">
        <v>275</v>
      </c>
      <c r="AL83" s="50">
        <v>255.89</v>
      </c>
      <c r="AM83" s="53">
        <v>155</v>
      </c>
      <c r="AN83" s="50">
        <v>400.12</v>
      </c>
      <c r="AO83" s="53">
        <v>766</v>
      </c>
      <c r="AP83" s="50">
        <v>987.86</v>
      </c>
      <c r="AQ83" s="53">
        <v>94</v>
      </c>
      <c r="AR83" s="50">
        <v>141.13</v>
      </c>
      <c r="AS83" s="54" t="s">
        <v>190</v>
      </c>
      <c r="AT83" s="50" t="s">
        <v>190</v>
      </c>
      <c r="AU83" s="53">
        <v>8</v>
      </c>
      <c r="AV83" s="50">
        <v>1.4</v>
      </c>
      <c r="AW83" s="53">
        <v>1734</v>
      </c>
      <c r="AX83" s="65">
        <v>1270.4349999999999</v>
      </c>
      <c r="AY83" s="14" t="s">
        <v>132</v>
      </c>
      <c r="AZ83" s="15"/>
      <c r="BA83" s="15"/>
    </row>
    <row r="84" spans="1:53">
      <c r="A84" s="13" t="s">
        <v>133</v>
      </c>
      <c r="B84" s="63">
        <f t="shared" si="94"/>
        <v>1544</v>
      </c>
      <c r="C84" s="40" t="s">
        <v>190</v>
      </c>
      <c r="D84" s="40" t="s">
        <v>190</v>
      </c>
      <c r="E84" s="37">
        <v>513</v>
      </c>
      <c r="F84" s="37">
        <v>970.40899999999999</v>
      </c>
      <c r="G84" s="37">
        <v>6</v>
      </c>
      <c r="H84" s="37">
        <v>46.5</v>
      </c>
      <c r="I84" s="37">
        <v>141</v>
      </c>
      <c r="J84" s="64">
        <v>79.477999999999994</v>
      </c>
      <c r="K84" s="37">
        <v>100</v>
      </c>
      <c r="L84" s="37">
        <v>115.56</v>
      </c>
      <c r="M84" s="37">
        <v>28</v>
      </c>
      <c r="N84" s="37">
        <v>33.4</v>
      </c>
      <c r="O84" s="37">
        <v>75</v>
      </c>
      <c r="P84" s="37">
        <v>81.3</v>
      </c>
      <c r="Q84" s="37">
        <v>220</v>
      </c>
      <c r="R84" s="37">
        <v>303.39999999999998</v>
      </c>
      <c r="S84" s="31">
        <v>22</v>
      </c>
      <c r="T84" s="25">
        <v>11.3</v>
      </c>
      <c r="U84" s="25">
        <v>4</v>
      </c>
      <c r="V84" s="64">
        <v>0.45</v>
      </c>
      <c r="W84" s="25">
        <v>3</v>
      </c>
      <c r="X84" s="25">
        <v>2.8</v>
      </c>
      <c r="Y84" s="25">
        <v>13</v>
      </c>
      <c r="Z84" s="25">
        <v>8.6999999999999993</v>
      </c>
      <c r="AA84" s="64">
        <v>26</v>
      </c>
      <c r="AB84" s="64">
        <v>2.42</v>
      </c>
      <c r="AC84" s="25">
        <v>14</v>
      </c>
      <c r="AD84" s="25">
        <v>6.8</v>
      </c>
      <c r="AE84" s="26" t="s">
        <v>190</v>
      </c>
      <c r="AF84" s="25">
        <v>0</v>
      </c>
      <c r="AG84" s="29">
        <v>3</v>
      </c>
      <c r="AH84" s="25">
        <v>3</v>
      </c>
      <c r="AI84" s="25">
        <v>39</v>
      </c>
      <c r="AJ84" s="29">
        <v>34.25</v>
      </c>
      <c r="AK84" s="53">
        <v>51</v>
      </c>
      <c r="AL84" s="50">
        <v>145.08000000000001</v>
      </c>
      <c r="AM84" s="53">
        <v>2</v>
      </c>
      <c r="AN84" s="50">
        <v>7.5</v>
      </c>
      <c r="AO84" s="53">
        <v>52</v>
      </c>
      <c r="AP84" s="50">
        <v>53.3</v>
      </c>
      <c r="AQ84" s="54" t="s">
        <v>190</v>
      </c>
      <c r="AR84" s="50">
        <v>0</v>
      </c>
      <c r="AS84" s="54" t="s">
        <v>190</v>
      </c>
      <c r="AT84" s="50" t="s">
        <v>190</v>
      </c>
      <c r="AU84" s="54" t="s">
        <v>190</v>
      </c>
      <c r="AV84" s="50" t="s">
        <v>190</v>
      </c>
      <c r="AW84" s="53">
        <v>232</v>
      </c>
      <c r="AX84" s="65">
        <v>259.96800000000002</v>
      </c>
      <c r="AY84" s="14" t="s">
        <v>134</v>
      </c>
      <c r="AZ84" s="15"/>
      <c r="BA84" s="15"/>
    </row>
    <row r="85" spans="1:53">
      <c r="A85" s="13" t="s">
        <v>135</v>
      </c>
      <c r="B85" s="63">
        <f t="shared" si="94"/>
        <v>2475</v>
      </c>
      <c r="C85" s="40" t="s">
        <v>190</v>
      </c>
      <c r="D85" s="40" t="s">
        <v>190</v>
      </c>
      <c r="E85" s="37">
        <v>635</v>
      </c>
      <c r="F85" s="37">
        <v>402.72</v>
      </c>
      <c r="G85" s="37">
        <v>51</v>
      </c>
      <c r="H85" s="37">
        <v>89.05</v>
      </c>
      <c r="I85" s="37">
        <v>196</v>
      </c>
      <c r="J85" s="64">
        <v>67.144999999999996</v>
      </c>
      <c r="K85" s="37">
        <v>148</v>
      </c>
      <c r="L85" s="37">
        <v>89.37</v>
      </c>
      <c r="M85" s="37">
        <v>111</v>
      </c>
      <c r="N85" s="37">
        <v>68.19</v>
      </c>
      <c r="O85" s="37">
        <v>116</v>
      </c>
      <c r="P85" s="37">
        <v>74.411000000000001</v>
      </c>
      <c r="Q85" s="37">
        <v>190</v>
      </c>
      <c r="R85" s="37">
        <v>71.715999999999994</v>
      </c>
      <c r="S85" s="31">
        <v>57</v>
      </c>
      <c r="T85" s="25">
        <v>13.804</v>
      </c>
      <c r="U85" s="25">
        <v>3</v>
      </c>
      <c r="V85" s="64">
        <v>0.7</v>
      </c>
      <c r="W85" s="25">
        <v>15</v>
      </c>
      <c r="X85" s="25">
        <v>4.6550000000000002</v>
      </c>
      <c r="Y85" s="25">
        <v>37</v>
      </c>
      <c r="Z85" s="25">
        <v>18.12</v>
      </c>
      <c r="AA85" s="64">
        <v>29</v>
      </c>
      <c r="AB85" s="64">
        <v>8.86</v>
      </c>
      <c r="AC85" s="25">
        <v>53</v>
      </c>
      <c r="AD85" s="25">
        <v>16.34</v>
      </c>
      <c r="AE85" s="25">
        <v>9</v>
      </c>
      <c r="AF85" s="25">
        <v>5.96</v>
      </c>
      <c r="AG85" s="29">
        <v>99</v>
      </c>
      <c r="AH85" s="25">
        <v>76.5</v>
      </c>
      <c r="AI85" s="25">
        <v>78</v>
      </c>
      <c r="AJ85" s="29">
        <v>31.06</v>
      </c>
      <c r="AK85" s="53">
        <v>67</v>
      </c>
      <c r="AL85" s="50">
        <v>53.03</v>
      </c>
      <c r="AM85" s="53">
        <v>25</v>
      </c>
      <c r="AN85" s="50">
        <v>33.700000000000003</v>
      </c>
      <c r="AO85" s="53">
        <v>127</v>
      </c>
      <c r="AP85" s="50">
        <v>75.293999999999997</v>
      </c>
      <c r="AQ85" s="53">
        <v>11</v>
      </c>
      <c r="AR85" s="50">
        <v>10.46</v>
      </c>
      <c r="AS85" s="54" t="s">
        <v>190</v>
      </c>
      <c r="AT85" s="50" t="s">
        <v>190</v>
      </c>
      <c r="AU85" s="54" t="s">
        <v>190</v>
      </c>
      <c r="AV85" s="50" t="s">
        <v>190</v>
      </c>
      <c r="AW85" s="53">
        <v>418</v>
      </c>
      <c r="AX85" s="65">
        <v>244.26</v>
      </c>
      <c r="AY85" s="14" t="s">
        <v>136</v>
      </c>
      <c r="AZ85" s="15"/>
      <c r="BA85" s="15"/>
    </row>
    <row r="86" spans="1:53">
      <c r="A86" s="13" t="s">
        <v>137</v>
      </c>
      <c r="B86" s="63">
        <f t="shared" si="94"/>
        <v>3123</v>
      </c>
      <c r="C86" s="40" t="s">
        <v>190</v>
      </c>
      <c r="D86" s="40" t="s">
        <v>190</v>
      </c>
      <c r="E86" s="37">
        <v>925</v>
      </c>
      <c r="F86" s="37">
        <v>928.85</v>
      </c>
      <c r="G86" s="37">
        <v>189</v>
      </c>
      <c r="H86" s="37">
        <v>682.28</v>
      </c>
      <c r="I86" s="37">
        <v>151</v>
      </c>
      <c r="J86" s="64">
        <v>69.03</v>
      </c>
      <c r="K86" s="37">
        <v>129</v>
      </c>
      <c r="L86" s="37">
        <v>126.02</v>
      </c>
      <c r="M86" s="37">
        <v>93</v>
      </c>
      <c r="N86" s="37">
        <v>92.92</v>
      </c>
      <c r="O86" s="37">
        <v>136</v>
      </c>
      <c r="P86" s="37">
        <v>98.05</v>
      </c>
      <c r="Q86" s="37">
        <v>278</v>
      </c>
      <c r="R86" s="37">
        <v>233.92</v>
      </c>
      <c r="S86" s="31">
        <v>34</v>
      </c>
      <c r="T86" s="25">
        <v>9.4930000000000003</v>
      </c>
      <c r="U86" s="25">
        <v>47</v>
      </c>
      <c r="V86" s="64">
        <v>21.95</v>
      </c>
      <c r="W86" s="25">
        <v>58</v>
      </c>
      <c r="X86" s="25">
        <v>19</v>
      </c>
      <c r="Y86" s="25">
        <v>39</v>
      </c>
      <c r="Z86" s="25">
        <v>16.899999999999999</v>
      </c>
      <c r="AA86" s="64">
        <v>9</v>
      </c>
      <c r="AB86" s="64">
        <v>1.89</v>
      </c>
      <c r="AC86" s="25">
        <v>57</v>
      </c>
      <c r="AD86" s="25">
        <v>20.25</v>
      </c>
      <c r="AE86" s="25">
        <v>11</v>
      </c>
      <c r="AF86" s="25">
        <v>1.83</v>
      </c>
      <c r="AG86" s="29">
        <v>11</v>
      </c>
      <c r="AH86" s="25">
        <v>2.98</v>
      </c>
      <c r="AI86" s="25">
        <v>126</v>
      </c>
      <c r="AJ86" s="29">
        <v>75.209999999999994</v>
      </c>
      <c r="AK86" s="53">
        <v>101</v>
      </c>
      <c r="AL86" s="50">
        <v>90.59</v>
      </c>
      <c r="AM86" s="53">
        <v>31</v>
      </c>
      <c r="AN86" s="50">
        <v>83.98</v>
      </c>
      <c r="AO86" s="53">
        <v>131</v>
      </c>
      <c r="AP86" s="50">
        <v>105.04</v>
      </c>
      <c r="AQ86" s="53">
        <v>13</v>
      </c>
      <c r="AR86" s="50">
        <v>55</v>
      </c>
      <c r="AS86" s="54" t="s">
        <v>190</v>
      </c>
      <c r="AT86" s="50" t="s">
        <v>190</v>
      </c>
      <c r="AU86" s="53">
        <v>6</v>
      </c>
      <c r="AV86" s="50">
        <v>1.75</v>
      </c>
      <c r="AW86" s="53">
        <v>548</v>
      </c>
      <c r="AX86" s="65">
        <v>321.625</v>
      </c>
      <c r="AY86" s="14" t="s">
        <v>138</v>
      </c>
      <c r="AZ86" s="15"/>
      <c r="BA86" s="15"/>
    </row>
    <row r="87" spans="1:53">
      <c r="A87" s="13" t="s">
        <v>139</v>
      </c>
      <c r="B87" s="63">
        <f t="shared" si="94"/>
        <v>4873</v>
      </c>
      <c r="C87" s="40" t="s">
        <v>190</v>
      </c>
      <c r="D87" s="40" t="s">
        <v>190</v>
      </c>
      <c r="E87" s="37">
        <v>1144</v>
      </c>
      <c r="F87" s="37">
        <v>917</v>
      </c>
      <c r="G87" s="37">
        <v>54</v>
      </c>
      <c r="H87" s="37">
        <v>246</v>
      </c>
      <c r="I87" s="37">
        <v>235</v>
      </c>
      <c r="J87" s="64">
        <v>103.7</v>
      </c>
      <c r="K87" s="37">
        <v>249</v>
      </c>
      <c r="L87" s="37">
        <v>281.55500000000001</v>
      </c>
      <c r="M87" s="37">
        <v>231</v>
      </c>
      <c r="N87" s="37">
        <v>266.8</v>
      </c>
      <c r="O87" s="37">
        <v>212</v>
      </c>
      <c r="P87" s="37">
        <v>227.02</v>
      </c>
      <c r="Q87" s="37">
        <v>675</v>
      </c>
      <c r="R87" s="37">
        <v>500.75799999999998</v>
      </c>
      <c r="S87" s="31">
        <v>79</v>
      </c>
      <c r="T87" s="25">
        <v>23.44</v>
      </c>
      <c r="U87" s="25">
        <v>260</v>
      </c>
      <c r="V87" s="64">
        <v>151.41999999999999</v>
      </c>
      <c r="W87" s="25">
        <v>125</v>
      </c>
      <c r="X87" s="25">
        <v>92.7</v>
      </c>
      <c r="Y87" s="25">
        <v>113</v>
      </c>
      <c r="Z87" s="25">
        <v>105.28</v>
      </c>
      <c r="AA87" s="64">
        <v>45</v>
      </c>
      <c r="AB87" s="64">
        <v>6.24</v>
      </c>
      <c r="AC87" s="25">
        <v>48</v>
      </c>
      <c r="AD87" s="25">
        <v>18.46</v>
      </c>
      <c r="AE87" s="25">
        <v>26</v>
      </c>
      <c r="AF87" s="25">
        <v>8.65</v>
      </c>
      <c r="AG87" s="29">
        <v>3</v>
      </c>
      <c r="AH87" s="25">
        <v>2.1</v>
      </c>
      <c r="AI87" s="25">
        <v>168</v>
      </c>
      <c r="AJ87" s="29">
        <v>106.29</v>
      </c>
      <c r="AK87" s="53">
        <v>129</v>
      </c>
      <c r="AL87" s="50">
        <v>131.97999999999999</v>
      </c>
      <c r="AM87" s="53">
        <v>11</v>
      </c>
      <c r="AN87" s="50">
        <v>52.5</v>
      </c>
      <c r="AO87" s="53">
        <v>230</v>
      </c>
      <c r="AP87" s="50">
        <v>228.17</v>
      </c>
      <c r="AQ87" s="53">
        <v>15</v>
      </c>
      <c r="AR87" s="50">
        <v>53.5</v>
      </c>
      <c r="AS87" s="54" t="s">
        <v>190</v>
      </c>
      <c r="AT87" s="50" t="s">
        <v>190</v>
      </c>
      <c r="AU87" s="53">
        <v>2</v>
      </c>
      <c r="AV87" s="50">
        <v>1.2</v>
      </c>
      <c r="AW87" s="53">
        <v>819</v>
      </c>
      <c r="AX87" s="65">
        <v>551.62900000000002</v>
      </c>
      <c r="AY87" s="14" t="s">
        <v>140</v>
      </c>
      <c r="AZ87" s="15"/>
      <c r="BA87" s="15"/>
    </row>
    <row r="88" spans="1:53" s="12" customFormat="1">
      <c r="A88" s="126" t="s">
        <v>141</v>
      </c>
      <c r="B88" s="72">
        <f>SUM(B90:B102)</f>
        <v>23267</v>
      </c>
      <c r="C88" s="89">
        <f>SUM(C90:C102)</f>
        <v>493</v>
      </c>
      <c r="D88" s="89">
        <f>SUM(D90:D102)</f>
        <v>226.5</v>
      </c>
      <c r="E88" s="89">
        <f t="shared" ref="E88:R88" si="95">SUM(E90:E102)</f>
        <v>5620</v>
      </c>
      <c r="F88" s="89">
        <f t="shared" si="95"/>
        <v>11899.853999999999</v>
      </c>
      <c r="G88" s="89">
        <f t="shared" si="95"/>
        <v>974</v>
      </c>
      <c r="H88" s="89">
        <f t="shared" si="95"/>
        <v>6380.7</v>
      </c>
      <c r="I88" s="89">
        <f>SUM(I90:I102)</f>
        <v>1482</v>
      </c>
      <c r="J88" s="89">
        <f t="shared" si="95"/>
        <v>1038.277</v>
      </c>
      <c r="K88" s="89">
        <f t="shared" si="95"/>
        <v>1374</v>
      </c>
      <c r="L88" s="89">
        <f t="shared" si="95"/>
        <v>1711.5000000000002</v>
      </c>
      <c r="M88" s="89">
        <f t="shared" si="95"/>
        <v>922</v>
      </c>
      <c r="N88" s="89">
        <f t="shared" si="95"/>
        <v>941.78500000000008</v>
      </c>
      <c r="O88" s="89">
        <f t="shared" si="95"/>
        <v>1440</v>
      </c>
      <c r="P88" s="89">
        <f t="shared" si="95"/>
        <v>1953.3600000000001</v>
      </c>
      <c r="Q88" s="89">
        <f t="shared" si="95"/>
        <v>2712</v>
      </c>
      <c r="R88" s="89">
        <f t="shared" si="95"/>
        <v>2928.9100000000003</v>
      </c>
      <c r="S88" s="127">
        <f t="shared" ref="S88:Z88" si="96">SUM(S90:S102)</f>
        <v>349</v>
      </c>
      <c r="T88" s="78">
        <f t="shared" si="96"/>
        <v>210.70000000000002</v>
      </c>
      <c r="U88" s="78">
        <f t="shared" si="96"/>
        <v>513</v>
      </c>
      <c r="V88" s="78">
        <f t="shared" si="96"/>
        <v>481.42499999999995</v>
      </c>
      <c r="W88" s="78">
        <f t="shared" si="96"/>
        <v>286</v>
      </c>
      <c r="X88" s="78">
        <f t="shared" si="96"/>
        <v>210.84</v>
      </c>
      <c r="Y88" s="78">
        <f>SUM(Y90:Y102)</f>
        <v>364</v>
      </c>
      <c r="Z88" s="78">
        <f t="shared" si="96"/>
        <v>286.22000000000003</v>
      </c>
      <c r="AA88" s="78">
        <f>SUM(AA90:AA102)</f>
        <v>142</v>
      </c>
      <c r="AB88" s="78">
        <f t="shared" ref="AB88:AI88" si="97">SUM(AB90:AB102)</f>
        <v>53.72</v>
      </c>
      <c r="AC88" s="78">
        <f t="shared" si="97"/>
        <v>258</v>
      </c>
      <c r="AD88" s="78">
        <f t="shared" si="97"/>
        <v>125.09500000000001</v>
      </c>
      <c r="AE88" s="78">
        <f t="shared" si="97"/>
        <v>15</v>
      </c>
      <c r="AF88" s="78">
        <f t="shared" si="97"/>
        <v>10.030000000000001</v>
      </c>
      <c r="AG88" s="124">
        <f t="shared" si="97"/>
        <v>175</v>
      </c>
      <c r="AH88" s="78">
        <f t="shared" si="97"/>
        <v>218.36999999999998</v>
      </c>
      <c r="AI88" s="78">
        <f t="shared" si="97"/>
        <v>1083</v>
      </c>
      <c r="AJ88" s="124">
        <f>SUM(AJ90:AJ102)</f>
        <v>923.8900000000001</v>
      </c>
      <c r="AK88" s="78">
        <f t="shared" ref="AK88:AX88" si="98">SUM(AK90:AK102)</f>
        <v>666</v>
      </c>
      <c r="AL88" s="77">
        <f t="shared" si="98"/>
        <v>805.36</v>
      </c>
      <c r="AM88" s="78">
        <f t="shared" si="98"/>
        <v>358</v>
      </c>
      <c r="AN88" s="77">
        <f t="shared" si="98"/>
        <v>2211.3340000000003</v>
      </c>
      <c r="AO88" s="78">
        <f t="shared" si="98"/>
        <v>946</v>
      </c>
      <c r="AP88" s="77">
        <f t="shared" si="98"/>
        <v>1010.1969999999999</v>
      </c>
      <c r="AQ88" s="78">
        <f t="shared" si="98"/>
        <v>141</v>
      </c>
      <c r="AR88" s="77">
        <f t="shared" si="98"/>
        <v>447.63</v>
      </c>
      <c r="AS88" s="78">
        <f t="shared" si="98"/>
        <v>5</v>
      </c>
      <c r="AT88" s="77">
        <f t="shared" si="98"/>
        <v>0.6</v>
      </c>
      <c r="AU88" s="78">
        <f t="shared" si="98"/>
        <v>152</v>
      </c>
      <c r="AV88" s="77">
        <f t="shared" si="98"/>
        <v>337.1</v>
      </c>
      <c r="AW88" s="78">
        <f t="shared" si="98"/>
        <v>2797</v>
      </c>
      <c r="AX88" s="79">
        <f t="shared" si="98"/>
        <v>3345.5479999999998</v>
      </c>
      <c r="AY88" s="125" t="s">
        <v>142</v>
      </c>
      <c r="AZ88" s="125"/>
      <c r="BA88" s="125"/>
    </row>
    <row r="89" spans="1:53">
      <c r="A89" s="126"/>
      <c r="B89" s="72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127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124"/>
      <c r="AH89" s="78"/>
      <c r="AI89" s="78"/>
      <c r="AJ89" s="124"/>
      <c r="AK89" s="78"/>
      <c r="AL89" s="77"/>
      <c r="AM89" s="78"/>
      <c r="AN89" s="77"/>
      <c r="AO89" s="78"/>
      <c r="AP89" s="77"/>
      <c r="AQ89" s="78"/>
      <c r="AR89" s="77"/>
      <c r="AS89" s="78"/>
      <c r="AT89" s="77"/>
      <c r="AU89" s="78"/>
      <c r="AV89" s="77"/>
      <c r="AW89" s="78"/>
      <c r="AX89" s="79"/>
      <c r="AY89" s="125"/>
      <c r="AZ89" s="125"/>
      <c r="BA89" s="125"/>
    </row>
    <row r="90" spans="1:53">
      <c r="A90" s="13" t="s">
        <v>143</v>
      </c>
      <c r="B90" s="63">
        <f t="shared" ref="B90:B102" si="99">SUM(C90,E90,G90,I90,K90,M90,O90,Q90,S90,U90,W90,Y90,AA90,AC90,AE90,AG90,AI90,AK90,AM90,AO90,AQ90,AS90,AU90,AW90)</f>
        <v>1269</v>
      </c>
      <c r="C90" s="40" t="s">
        <v>190</v>
      </c>
      <c r="D90" s="40" t="s">
        <v>190</v>
      </c>
      <c r="E90" s="37">
        <v>141</v>
      </c>
      <c r="F90" s="37">
        <v>544</v>
      </c>
      <c r="G90" s="37">
        <v>249</v>
      </c>
      <c r="H90" s="37">
        <v>1003</v>
      </c>
      <c r="I90" s="37">
        <v>39</v>
      </c>
      <c r="J90" s="64">
        <v>41</v>
      </c>
      <c r="K90" s="37">
        <v>84</v>
      </c>
      <c r="L90" s="37">
        <v>97</v>
      </c>
      <c r="M90" s="37">
        <v>50</v>
      </c>
      <c r="N90" s="37">
        <v>56.5</v>
      </c>
      <c r="O90" s="37">
        <v>248</v>
      </c>
      <c r="P90" s="37">
        <v>520</v>
      </c>
      <c r="Q90" s="37">
        <v>43</v>
      </c>
      <c r="R90" s="37">
        <v>28</v>
      </c>
      <c r="S90" s="31">
        <v>13</v>
      </c>
      <c r="T90" s="25">
        <v>7.45</v>
      </c>
      <c r="U90" s="25">
        <v>71</v>
      </c>
      <c r="V90" s="64">
        <v>67.5</v>
      </c>
      <c r="W90" s="25">
        <v>19</v>
      </c>
      <c r="X90" s="25">
        <v>13.65</v>
      </c>
      <c r="Y90" s="25">
        <v>13</v>
      </c>
      <c r="Z90" s="25">
        <v>6.5</v>
      </c>
      <c r="AA90" s="64">
        <v>1</v>
      </c>
      <c r="AB90" s="64">
        <v>0.5</v>
      </c>
      <c r="AC90" s="25">
        <v>14</v>
      </c>
      <c r="AD90" s="25">
        <v>10.3</v>
      </c>
      <c r="AE90" s="27" t="s">
        <v>190</v>
      </c>
      <c r="AF90" s="27" t="s">
        <v>190</v>
      </c>
      <c r="AG90" s="30" t="s">
        <v>190</v>
      </c>
      <c r="AH90" s="25">
        <v>0</v>
      </c>
      <c r="AI90" s="25">
        <v>103</v>
      </c>
      <c r="AJ90" s="29">
        <v>90</v>
      </c>
      <c r="AK90" s="53">
        <v>1</v>
      </c>
      <c r="AL90" s="50">
        <v>0.2</v>
      </c>
      <c r="AM90" s="53">
        <v>32</v>
      </c>
      <c r="AN90" s="50">
        <v>83.5</v>
      </c>
      <c r="AO90" s="53">
        <v>34</v>
      </c>
      <c r="AP90" s="50">
        <v>77.599999999999994</v>
      </c>
      <c r="AQ90" s="53">
        <v>5</v>
      </c>
      <c r="AR90" s="50">
        <v>15.5</v>
      </c>
      <c r="AS90" s="54" t="s">
        <v>190</v>
      </c>
      <c r="AT90" s="50" t="s">
        <v>190</v>
      </c>
      <c r="AU90" s="54" t="s">
        <v>190</v>
      </c>
      <c r="AV90" s="50" t="s">
        <v>190</v>
      </c>
      <c r="AW90" s="53">
        <v>109</v>
      </c>
      <c r="AX90" s="65">
        <v>114.7</v>
      </c>
      <c r="AY90" s="14" t="s">
        <v>144</v>
      </c>
      <c r="AZ90" s="15"/>
      <c r="BA90" s="15"/>
    </row>
    <row r="91" spans="1:53">
      <c r="A91" s="13" t="s">
        <v>145</v>
      </c>
      <c r="B91" s="63">
        <f t="shared" si="99"/>
        <v>2493</v>
      </c>
      <c r="C91" s="40" t="s">
        <v>190</v>
      </c>
      <c r="D91" s="40" t="s">
        <v>190</v>
      </c>
      <c r="E91" s="37">
        <v>607</v>
      </c>
      <c r="F91" s="37">
        <v>1003.29</v>
      </c>
      <c r="G91" s="37">
        <v>20</v>
      </c>
      <c r="H91" s="37">
        <v>140</v>
      </c>
      <c r="I91" s="37">
        <v>256</v>
      </c>
      <c r="J91" s="64">
        <v>202.05</v>
      </c>
      <c r="K91" s="37">
        <v>91</v>
      </c>
      <c r="L91" s="37">
        <v>79.8</v>
      </c>
      <c r="M91" s="37">
        <v>84</v>
      </c>
      <c r="N91" s="37">
        <v>73.150000000000006</v>
      </c>
      <c r="O91" s="37">
        <v>129</v>
      </c>
      <c r="P91" s="37">
        <v>130.6</v>
      </c>
      <c r="Q91" s="37">
        <v>354</v>
      </c>
      <c r="R91" s="37">
        <v>603.72</v>
      </c>
      <c r="S91" s="31">
        <v>60</v>
      </c>
      <c r="T91" s="25">
        <v>55.2</v>
      </c>
      <c r="U91" s="25">
        <v>89</v>
      </c>
      <c r="V91" s="64">
        <v>86.9</v>
      </c>
      <c r="W91" s="25">
        <v>34</v>
      </c>
      <c r="X91" s="25">
        <v>31.92</v>
      </c>
      <c r="Y91" s="25">
        <v>16</v>
      </c>
      <c r="Z91" s="25">
        <v>13.2</v>
      </c>
      <c r="AA91" s="64">
        <v>12</v>
      </c>
      <c r="AB91" s="64">
        <v>6.7</v>
      </c>
      <c r="AC91" s="25">
        <v>20</v>
      </c>
      <c r="AD91" s="25">
        <v>10.199999999999999</v>
      </c>
      <c r="AE91" s="25">
        <v>2</v>
      </c>
      <c r="AF91" s="25">
        <v>1</v>
      </c>
      <c r="AG91" s="29">
        <v>37</v>
      </c>
      <c r="AH91" s="25">
        <v>34.9</v>
      </c>
      <c r="AI91" s="25">
        <v>93</v>
      </c>
      <c r="AJ91" s="29">
        <v>89.83</v>
      </c>
      <c r="AK91" s="53">
        <v>100</v>
      </c>
      <c r="AL91" s="50">
        <v>98.2</v>
      </c>
      <c r="AM91" s="54" t="s">
        <v>190</v>
      </c>
      <c r="AN91" s="50" t="s">
        <v>190</v>
      </c>
      <c r="AO91" s="53">
        <v>91</v>
      </c>
      <c r="AP91" s="50">
        <v>80.349999999999994</v>
      </c>
      <c r="AQ91" s="53">
        <v>1</v>
      </c>
      <c r="AR91" s="50">
        <v>0.5</v>
      </c>
      <c r="AS91" s="54" t="s">
        <v>190</v>
      </c>
      <c r="AT91" s="50" t="s">
        <v>190</v>
      </c>
      <c r="AU91" s="54" t="s">
        <v>190</v>
      </c>
      <c r="AV91" s="50" t="s">
        <v>190</v>
      </c>
      <c r="AW91" s="53">
        <v>397</v>
      </c>
      <c r="AX91" s="65">
        <v>511.31</v>
      </c>
      <c r="AY91" s="14" t="s">
        <v>146</v>
      </c>
      <c r="AZ91" s="15"/>
      <c r="BA91" s="15"/>
    </row>
    <row r="92" spans="1:53">
      <c r="A92" s="13" t="s">
        <v>147</v>
      </c>
      <c r="B92" s="63">
        <f t="shared" si="99"/>
        <v>1295</v>
      </c>
      <c r="C92" s="37">
        <v>483</v>
      </c>
      <c r="D92" s="37">
        <v>218.5</v>
      </c>
      <c r="E92" s="37">
        <v>132</v>
      </c>
      <c r="F92" s="37">
        <v>121.4</v>
      </c>
      <c r="G92" s="37">
        <v>13</v>
      </c>
      <c r="H92" s="37">
        <v>40</v>
      </c>
      <c r="I92" s="37">
        <v>19</v>
      </c>
      <c r="J92" s="64">
        <v>17.07</v>
      </c>
      <c r="K92" s="37">
        <v>51</v>
      </c>
      <c r="L92" s="37">
        <v>14.75</v>
      </c>
      <c r="M92" s="37">
        <v>38</v>
      </c>
      <c r="N92" s="37">
        <v>13.35</v>
      </c>
      <c r="O92" s="37">
        <v>102</v>
      </c>
      <c r="P92" s="37">
        <v>46</v>
      </c>
      <c r="Q92" s="37">
        <v>128</v>
      </c>
      <c r="R92" s="37">
        <v>78.900000000000006</v>
      </c>
      <c r="S92" s="31">
        <v>7</v>
      </c>
      <c r="T92" s="25">
        <v>2.4</v>
      </c>
      <c r="U92" s="25">
        <v>10</v>
      </c>
      <c r="V92" s="64">
        <v>0.83</v>
      </c>
      <c r="W92" s="25">
        <v>4</v>
      </c>
      <c r="X92" s="25">
        <v>1.4</v>
      </c>
      <c r="Y92" s="25">
        <v>6</v>
      </c>
      <c r="Z92" s="25">
        <v>4.95</v>
      </c>
      <c r="AA92" s="64">
        <v>47</v>
      </c>
      <c r="AB92" s="64">
        <v>4.5</v>
      </c>
      <c r="AC92" s="25">
        <v>1</v>
      </c>
      <c r="AD92" s="25">
        <v>0.3</v>
      </c>
      <c r="AE92" s="27" t="s">
        <v>190</v>
      </c>
      <c r="AF92" s="27" t="s">
        <v>190</v>
      </c>
      <c r="AG92" s="30" t="s">
        <v>190</v>
      </c>
      <c r="AH92" s="25">
        <v>0</v>
      </c>
      <c r="AI92" s="25">
        <v>18</v>
      </c>
      <c r="AJ92" s="29">
        <v>13.3</v>
      </c>
      <c r="AK92" s="53">
        <v>13</v>
      </c>
      <c r="AL92" s="50">
        <v>11.65</v>
      </c>
      <c r="AM92" s="54" t="s">
        <v>190</v>
      </c>
      <c r="AN92" s="50" t="s">
        <v>190</v>
      </c>
      <c r="AO92" s="53">
        <v>164</v>
      </c>
      <c r="AP92" s="50">
        <v>80.650000000000006</v>
      </c>
      <c r="AQ92" s="54" t="s">
        <v>190</v>
      </c>
      <c r="AR92" s="50">
        <v>0</v>
      </c>
      <c r="AS92" s="54" t="s">
        <v>190</v>
      </c>
      <c r="AT92" s="50" t="s">
        <v>190</v>
      </c>
      <c r="AU92" s="54" t="s">
        <v>190</v>
      </c>
      <c r="AV92" s="50" t="s">
        <v>190</v>
      </c>
      <c r="AW92" s="53">
        <v>59</v>
      </c>
      <c r="AX92" s="65">
        <v>43.69</v>
      </c>
      <c r="AY92" s="14" t="s">
        <v>148</v>
      </c>
      <c r="AZ92" s="15"/>
      <c r="BA92" s="15"/>
    </row>
    <row r="93" spans="1:53">
      <c r="A93" s="13" t="s">
        <v>149</v>
      </c>
      <c r="B93" s="63">
        <f t="shared" si="99"/>
        <v>703</v>
      </c>
      <c r="C93" s="40" t="s">
        <v>190</v>
      </c>
      <c r="D93" s="40" t="s">
        <v>190</v>
      </c>
      <c r="E93" s="37">
        <v>115</v>
      </c>
      <c r="F93" s="37">
        <v>192.6</v>
      </c>
      <c r="G93" s="37">
        <v>41</v>
      </c>
      <c r="H93" s="37">
        <v>150</v>
      </c>
      <c r="I93" s="37">
        <v>25</v>
      </c>
      <c r="J93" s="64">
        <v>9.5</v>
      </c>
      <c r="K93" s="37">
        <v>66</v>
      </c>
      <c r="L93" s="37">
        <v>70</v>
      </c>
      <c r="M93" s="37">
        <v>45</v>
      </c>
      <c r="N93" s="37">
        <v>43</v>
      </c>
      <c r="O93" s="37">
        <v>39</v>
      </c>
      <c r="P93" s="37">
        <v>41.9</v>
      </c>
      <c r="Q93" s="37">
        <v>52</v>
      </c>
      <c r="R93" s="37">
        <v>43.7</v>
      </c>
      <c r="S93" s="31">
        <v>11</v>
      </c>
      <c r="T93" s="25">
        <v>2.8</v>
      </c>
      <c r="U93" s="25">
        <v>6</v>
      </c>
      <c r="V93" s="64">
        <v>6</v>
      </c>
      <c r="W93" s="25">
        <v>21</v>
      </c>
      <c r="X93" s="25">
        <v>17</v>
      </c>
      <c r="Y93" s="25">
        <v>21</v>
      </c>
      <c r="Z93" s="25">
        <v>13</v>
      </c>
      <c r="AA93" s="64">
        <v>28</v>
      </c>
      <c r="AB93" s="64">
        <v>8.5</v>
      </c>
      <c r="AC93" s="25">
        <v>6</v>
      </c>
      <c r="AD93" s="25">
        <v>3.7</v>
      </c>
      <c r="AE93" s="25">
        <v>2</v>
      </c>
      <c r="AF93" s="25">
        <v>4</v>
      </c>
      <c r="AG93" s="29">
        <v>5</v>
      </c>
      <c r="AH93" s="25">
        <v>5</v>
      </c>
      <c r="AI93" s="25">
        <v>55</v>
      </c>
      <c r="AJ93" s="29">
        <v>41</v>
      </c>
      <c r="AK93" s="53">
        <v>18</v>
      </c>
      <c r="AL93" s="50">
        <v>16</v>
      </c>
      <c r="AM93" s="53">
        <v>10</v>
      </c>
      <c r="AN93" s="50">
        <v>41</v>
      </c>
      <c r="AO93" s="53">
        <v>15</v>
      </c>
      <c r="AP93" s="50">
        <v>12.75</v>
      </c>
      <c r="AQ93" s="53">
        <v>10</v>
      </c>
      <c r="AR93" s="50">
        <v>14</v>
      </c>
      <c r="AS93" s="53">
        <v>5</v>
      </c>
      <c r="AT93" s="50">
        <v>0.6</v>
      </c>
      <c r="AU93" s="54" t="s">
        <v>190</v>
      </c>
      <c r="AV93" s="50" t="s">
        <v>190</v>
      </c>
      <c r="AW93" s="53">
        <v>107</v>
      </c>
      <c r="AX93" s="65">
        <v>84.9</v>
      </c>
      <c r="AY93" s="14" t="s">
        <v>150</v>
      </c>
      <c r="AZ93" s="15"/>
      <c r="BA93" s="15"/>
    </row>
    <row r="94" spans="1:53">
      <c r="A94" s="13" t="s">
        <v>151</v>
      </c>
      <c r="B94" s="63">
        <f t="shared" si="99"/>
        <v>31</v>
      </c>
      <c r="C94" s="40" t="s">
        <v>190</v>
      </c>
      <c r="D94" s="40" t="s">
        <v>190</v>
      </c>
      <c r="E94" s="37">
        <v>10</v>
      </c>
      <c r="F94" s="37">
        <v>10</v>
      </c>
      <c r="G94" s="38" t="s">
        <v>190</v>
      </c>
      <c r="H94" s="37">
        <v>0</v>
      </c>
      <c r="I94" s="37">
        <v>1</v>
      </c>
      <c r="J94" s="64">
        <v>0.6</v>
      </c>
      <c r="K94" s="38" t="s">
        <v>190</v>
      </c>
      <c r="L94" s="37">
        <v>0</v>
      </c>
      <c r="M94" s="38" t="s">
        <v>190</v>
      </c>
      <c r="N94" s="37">
        <v>0</v>
      </c>
      <c r="O94" s="37">
        <v>1</v>
      </c>
      <c r="P94" s="37">
        <v>1</v>
      </c>
      <c r="Q94" s="37">
        <v>5</v>
      </c>
      <c r="R94" s="37">
        <v>3</v>
      </c>
      <c r="S94" s="31">
        <v>2</v>
      </c>
      <c r="T94" s="25">
        <v>1</v>
      </c>
      <c r="U94" s="25">
        <v>5</v>
      </c>
      <c r="V94" s="64">
        <v>6</v>
      </c>
      <c r="W94" s="26" t="s">
        <v>190</v>
      </c>
      <c r="X94" s="25">
        <v>0</v>
      </c>
      <c r="Y94" s="26" t="s">
        <v>190</v>
      </c>
      <c r="Z94" s="25">
        <v>0</v>
      </c>
      <c r="AA94" s="64">
        <v>1</v>
      </c>
      <c r="AB94" s="64">
        <v>0.5</v>
      </c>
      <c r="AC94" s="25">
        <v>1</v>
      </c>
      <c r="AD94" s="25">
        <v>0.4</v>
      </c>
      <c r="AE94" s="27" t="s">
        <v>190</v>
      </c>
      <c r="AF94" s="27" t="s">
        <v>190</v>
      </c>
      <c r="AG94" s="30" t="s">
        <v>190</v>
      </c>
      <c r="AH94" s="25">
        <v>0</v>
      </c>
      <c r="AI94" s="26" t="s">
        <v>190</v>
      </c>
      <c r="AJ94" s="29">
        <v>0</v>
      </c>
      <c r="AK94" s="53">
        <v>1</v>
      </c>
      <c r="AL94" s="50">
        <v>1</v>
      </c>
      <c r="AM94" s="54" t="s">
        <v>190</v>
      </c>
      <c r="AN94" s="50" t="s">
        <v>190</v>
      </c>
      <c r="AO94" s="53">
        <v>1</v>
      </c>
      <c r="AP94" s="50">
        <v>0.4</v>
      </c>
      <c r="AQ94" s="54" t="s">
        <v>190</v>
      </c>
      <c r="AR94" s="50">
        <v>0</v>
      </c>
      <c r="AS94" s="54" t="s">
        <v>190</v>
      </c>
      <c r="AT94" s="50" t="s">
        <v>190</v>
      </c>
      <c r="AU94" s="54" t="s">
        <v>190</v>
      </c>
      <c r="AV94" s="50" t="s">
        <v>190</v>
      </c>
      <c r="AW94" s="53">
        <v>3</v>
      </c>
      <c r="AX94" s="65">
        <v>3</v>
      </c>
      <c r="AY94" s="14" t="s">
        <v>152</v>
      </c>
      <c r="AZ94" s="15"/>
      <c r="BA94" s="15"/>
    </row>
    <row r="95" spans="1:53">
      <c r="A95" s="13" t="s">
        <v>153</v>
      </c>
      <c r="B95" s="63">
        <f t="shared" si="99"/>
        <v>766</v>
      </c>
      <c r="C95" s="40" t="s">
        <v>190</v>
      </c>
      <c r="D95" s="40" t="s">
        <v>190</v>
      </c>
      <c r="E95" s="37">
        <v>428</v>
      </c>
      <c r="F95" s="37">
        <v>484.5</v>
      </c>
      <c r="G95" s="38" t="s">
        <v>190</v>
      </c>
      <c r="H95" s="37">
        <v>0</v>
      </c>
      <c r="I95" s="37">
        <v>37</v>
      </c>
      <c r="J95" s="64">
        <v>33</v>
      </c>
      <c r="K95" s="37">
        <v>48</v>
      </c>
      <c r="L95" s="37">
        <v>41</v>
      </c>
      <c r="M95" s="37">
        <v>24</v>
      </c>
      <c r="N95" s="37">
        <v>18.899999999999999</v>
      </c>
      <c r="O95" s="37">
        <v>44</v>
      </c>
      <c r="P95" s="37">
        <v>58</v>
      </c>
      <c r="Q95" s="37">
        <v>41</v>
      </c>
      <c r="R95" s="37">
        <v>67.5</v>
      </c>
      <c r="S95" s="31">
        <v>2</v>
      </c>
      <c r="T95" s="25">
        <v>1</v>
      </c>
      <c r="U95" s="26" t="s">
        <v>190</v>
      </c>
      <c r="V95" s="64">
        <v>0</v>
      </c>
      <c r="W95" s="26" t="s">
        <v>190</v>
      </c>
      <c r="X95" s="25">
        <v>0</v>
      </c>
      <c r="Y95" s="25">
        <v>4</v>
      </c>
      <c r="Z95" s="25">
        <v>2.8</v>
      </c>
      <c r="AA95" s="64">
        <v>2</v>
      </c>
      <c r="AB95" s="64">
        <v>0.8</v>
      </c>
      <c r="AC95" s="25">
        <v>35</v>
      </c>
      <c r="AD95" s="25">
        <v>9.6</v>
      </c>
      <c r="AE95" s="27" t="s">
        <v>190</v>
      </c>
      <c r="AF95" s="27" t="s">
        <v>190</v>
      </c>
      <c r="AG95" s="29">
        <v>18</v>
      </c>
      <c r="AH95" s="25">
        <v>30</v>
      </c>
      <c r="AI95" s="25">
        <v>1</v>
      </c>
      <c r="AJ95" s="29">
        <v>1</v>
      </c>
      <c r="AK95" s="53">
        <v>4</v>
      </c>
      <c r="AL95" s="50">
        <v>4</v>
      </c>
      <c r="AM95" s="54" t="s">
        <v>190</v>
      </c>
      <c r="AN95" s="50" t="s">
        <v>190</v>
      </c>
      <c r="AO95" s="53">
        <v>49</v>
      </c>
      <c r="AP95" s="50">
        <v>52.5</v>
      </c>
      <c r="AQ95" s="54" t="s">
        <v>190</v>
      </c>
      <c r="AR95" s="50">
        <v>0</v>
      </c>
      <c r="AS95" s="54" t="s">
        <v>190</v>
      </c>
      <c r="AT95" s="50" t="s">
        <v>190</v>
      </c>
      <c r="AU95" s="54" t="s">
        <v>190</v>
      </c>
      <c r="AV95" s="50" t="s">
        <v>190</v>
      </c>
      <c r="AW95" s="53">
        <v>29</v>
      </c>
      <c r="AX95" s="65">
        <v>40.299999999999997</v>
      </c>
      <c r="AY95" s="14" t="s">
        <v>154</v>
      </c>
      <c r="AZ95" s="15"/>
      <c r="BA95" s="15"/>
    </row>
    <row r="96" spans="1:53">
      <c r="A96" s="13" t="s">
        <v>155</v>
      </c>
      <c r="B96" s="63">
        <f t="shared" si="99"/>
        <v>2646</v>
      </c>
      <c r="C96" s="40" t="s">
        <v>190</v>
      </c>
      <c r="D96" s="40" t="s">
        <v>190</v>
      </c>
      <c r="E96" s="37">
        <v>842</v>
      </c>
      <c r="F96" s="37">
        <v>3676.5</v>
      </c>
      <c r="G96" s="37">
        <v>57</v>
      </c>
      <c r="H96" s="37">
        <v>392</v>
      </c>
      <c r="I96" s="37">
        <v>82</v>
      </c>
      <c r="J96" s="64">
        <v>88.35</v>
      </c>
      <c r="K96" s="37">
        <v>200</v>
      </c>
      <c r="L96" s="37">
        <v>388.75</v>
      </c>
      <c r="M96" s="37">
        <v>85</v>
      </c>
      <c r="N96" s="37">
        <v>148.69999999999999</v>
      </c>
      <c r="O96" s="37">
        <v>102</v>
      </c>
      <c r="P96" s="37">
        <v>105.6</v>
      </c>
      <c r="Q96" s="37">
        <v>283</v>
      </c>
      <c r="R96" s="37">
        <v>234.11</v>
      </c>
      <c r="S96" s="31">
        <v>70</v>
      </c>
      <c r="T96" s="25">
        <v>37</v>
      </c>
      <c r="U96" s="25">
        <v>28</v>
      </c>
      <c r="V96" s="64">
        <v>13.625</v>
      </c>
      <c r="W96" s="25">
        <v>45</v>
      </c>
      <c r="X96" s="25">
        <v>30</v>
      </c>
      <c r="Y96" s="25">
        <v>65</v>
      </c>
      <c r="Z96" s="25">
        <v>81.25</v>
      </c>
      <c r="AA96" s="28" t="s">
        <v>190</v>
      </c>
      <c r="AB96" s="28" t="s">
        <v>190</v>
      </c>
      <c r="AC96" s="26" t="s">
        <v>190</v>
      </c>
      <c r="AD96" s="25">
        <v>0</v>
      </c>
      <c r="AE96" s="27" t="s">
        <v>190</v>
      </c>
      <c r="AF96" s="27" t="s">
        <v>190</v>
      </c>
      <c r="AG96" s="29">
        <v>45</v>
      </c>
      <c r="AH96" s="25">
        <v>98</v>
      </c>
      <c r="AI96" s="25">
        <v>171</v>
      </c>
      <c r="AJ96" s="29">
        <v>177.52</v>
      </c>
      <c r="AK96" s="53">
        <v>182</v>
      </c>
      <c r="AL96" s="50">
        <v>268.10000000000002</v>
      </c>
      <c r="AM96" s="53">
        <v>10</v>
      </c>
      <c r="AN96" s="50">
        <v>10</v>
      </c>
      <c r="AO96" s="53">
        <v>95</v>
      </c>
      <c r="AP96" s="50">
        <v>93.5</v>
      </c>
      <c r="AQ96" s="53">
        <v>10</v>
      </c>
      <c r="AR96" s="50">
        <v>15</v>
      </c>
      <c r="AS96" s="54" t="s">
        <v>190</v>
      </c>
      <c r="AT96" s="50" t="s">
        <v>190</v>
      </c>
      <c r="AU96" s="54" t="s">
        <v>190</v>
      </c>
      <c r="AV96" s="50" t="s">
        <v>190</v>
      </c>
      <c r="AW96" s="53">
        <v>274</v>
      </c>
      <c r="AX96" s="65">
        <v>336.07499999999999</v>
      </c>
      <c r="AY96" s="14" t="s">
        <v>156</v>
      </c>
      <c r="AZ96" s="15"/>
      <c r="BA96" s="15"/>
    </row>
    <row r="97" spans="1:53">
      <c r="A97" s="13" t="s">
        <v>157</v>
      </c>
      <c r="B97" s="63">
        <f t="shared" si="99"/>
        <v>1198</v>
      </c>
      <c r="C97" s="40" t="s">
        <v>190</v>
      </c>
      <c r="D97" s="40" t="s">
        <v>190</v>
      </c>
      <c r="E97" s="37">
        <v>380</v>
      </c>
      <c r="F97" s="37">
        <v>638.45000000000005</v>
      </c>
      <c r="G97" s="37">
        <v>4</v>
      </c>
      <c r="H97" s="37">
        <v>24</v>
      </c>
      <c r="I97" s="37">
        <v>222</v>
      </c>
      <c r="J97" s="64">
        <v>65.400000000000006</v>
      </c>
      <c r="K97" s="37">
        <v>60</v>
      </c>
      <c r="L97" s="37">
        <v>143.55000000000001</v>
      </c>
      <c r="M97" s="37">
        <v>45</v>
      </c>
      <c r="N97" s="37">
        <v>59.5</v>
      </c>
      <c r="O97" s="37">
        <v>38</v>
      </c>
      <c r="P97" s="37">
        <v>64.930000000000007</v>
      </c>
      <c r="Q97" s="37">
        <v>220</v>
      </c>
      <c r="R97" s="37">
        <v>193.78</v>
      </c>
      <c r="S97" s="45" t="s">
        <v>190</v>
      </c>
      <c r="T97" s="25">
        <v>0</v>
      </c>
      <c r="U97" s="25">
        <v>3</v>
      </c>
      <c r="V97" s="64">
        <v>2</v>
      </c>
      <c r="W97" s="25">
        <v>11</v>
      </c>
      <c r="X97" s="25">
        <v>11</v>
      </c>
      <c r="Y97" s="25">
        <v>9</v>
      </c>
      <c r="Z97" s="25">
        <v>9</v>
      </c>
      <c r="AA97" s="28" t="s">
        <v>190</v>
      </c>
      <c r="AB97" s="28" t="s">
        <v>190</v>
      </c>
      <c r="AC97" s="25">
        <v>9</v>
      </c>
      <c r="AD97" s="25">
        <v>1.86</v>
      </c>
      <c r="AE97" s="25">
        <v>1</v>
      </c>
      <c r="AF97" s="25">
        <v>0.15</v>
      </c>
      <c r="AG97" s="29">
        <v>2</v>
      </c>
      <c r="AH97" s="25">
        <v>1</v>
      </c>
      <c r="AI97" s="25">
        <v>20</v>
      </c>
      <c r="AJ97" s="29">
        <v>31.95</v>
      </c>
      <c r="AK97" s="53">
        <v>19</v>
      </c>
      <c r="AL97" s="50">
        <v>30.9</v>
      </c>
      <c r="AM97" s="54" t="s">
        <v>190</v>
      </c>
      <c r="AN97" s="50" t="s">
        <v>190</v>
      </c>
      <c r="AO97" s="53">
        <v>25</v>
      </c>
      <c r="AP97" s="50">
        <v>45.68</v>
      </c>
      <c r="AQ97" s="54" t="s">
        <v>190</v>
      </c>
      <c r="AR97" s="50">
        <v>0</v>
      </c>
      <c r="AS97" s="54" t="s">
        <v>190</v>
      </c>
      <c r="AT97" s="50" t="s">
        <v>190</v>
      </c>
      <c r="AU97" s="54" t="s">
        <v>190</v>
      </c>
      <c r="AV97" s="50" t="s">
        <v>190</v>
      </c>
      <c r="AW97" s="53">
        <v>130</v>
      </c>
      <c r="AX97" s="65">
        <v>241.465</v>
      </c>
      <c r="AY97" s="14" t="s">
        <v>158</v>
      </c>
      <c r="AZ97" s="15"/>
      <c r="BA97" s="15"/>
    </row>
    <row r="98" spans="1:53">
      <c r="A98" s="13" t="s">
        <v>159</v>
      </c>
      <c r="B98" s="63">
        <f t="shared" si="99"/>
        <v>578</v>
      </c>
      <c r="C98" s="40" t="s">
        <v>190</v>
      </c>
      <c r="D98" s="40" t="s">
        <v>190</v>
      </c>
      <c r="E98" s="37">
        <v>260</v>
      </c>
      <c r="F98" s="37">
        <v>988</v>
      </c>
      <c r="G98" s="37">
        <v>13</v>
      </c>
      <c r="H98" s="37">
        <v>80</v>
      </c>
      <c r="I98" s="37">
        <v>42</v>
      </c>
      <c r="J98" s="64">
        <v>34.9</v>
      </c>
      <c r="K98" s="37">
        <v>14</v>
      </c>
      <c r="L98" s="37">
        <v>14</v>
      </c>
      <c r="M98" s="37">
        <v>12</v>
      </c>
      <c r="N98" s="37">
        <v>10</v>
      </c>
      <c r="O98" s="37">
        <v>17</v>
      </c>
      <c r="P98" s="37">
        <v>32.299999999999997</v>
      </c>
      <c r="Q98" s="37">
        <v>80</v>
      </c>
      <c r="R98" s="37">
        <v>75</v>
      </c>
      <c r="S98" s="45" t="s">
        <v>190</v>
      </c>
      <c r="T98" s="25">
        <v>0</v>
      </c>
      <c r="U98" s="26" t="s">
        <v>190</v>
      </c>
      <c r="V98" s="64">
        <v>0</v>
      </c>
      <c r="W98" s="26" t="s">
        <v>190</v>
      </c>
      <c r="X98" s="25">
        <v>0</v>
      </c>
      <c r="Y98" s="25">
        <v>8</v>
      </c>
      <c r="Z98" s="25">
        <v>7.6</v>
      </c>
      <c r="AA98" s="64">
        <v>15</v>
      </c>
      <c r="AB98" s="64">
        <v>13</v>
      </c>
      <c r="AC98" s="25">
        <v>5</v>
      </c>
      <c r="AD98" s="25">
        <v>3</v>
      </c>
      <c r="AE98" s="27" t="s">
        <v>190</v>
      </c>
      <c r="AF98" s="27" t="s">
        <v>190</v>
      </c>
      <c r="AG98" s="30" t="s">
        <v>190</v>
      </c>
      <c r="AH98" s="25">
        <v>0</v>
      </c>
      <c r="AI98" s="25">
        <v>30</v>
      </c>
      <c r="AJ98" s="29">
        <v>30</v>
      </c>
      <c r="AK98" s="53">
        <v>7</v>
      </c>
      <c r="AL98" s="50">
        <v>14</v>
      </c>
      <c r="AM98" s="53">
        <v>3</v>
      </c>
      <c r="AN98" s="50">
        <v>12</v>
      </c>
      <c r="AO98" s="53">
        <v>12</v>
      </c>
      <c r="AP98" s="50">
        <v>4.8</v>
      </c>
      <c r="AQ98" s="53">
        <v>3</v>
      </c>
      <c r="AR98" s="50">
        <v>1.5</v>
      </c>
      <c r="AS98" s="54" t="s">
        <v>190</v>
      </c>
      <c r="AT98" s="50" t="s">
        <v>190</v>
      </c>
      <c r="AU98" s="54" t="s">
        <v>190</v>
      </c>
      <c r="AV98" s="50" t="s">
        <v>190</v>
      </c>
      <c r="AW98" s="53">
        <v>57</v>
      </c>
      <c r="AX98" s="65">
        <v>90.1</v>
      </c>
      <c r="AY98" s="14" t="s">
        <v>160</v>
      </c>
      <c r="AZ98" s="15"/>
      <c r="BA98" s="15"/>
    </row>
    <row r="99" spans="1:53">
      <c r="A99" s="13" t="s">
        <v>161</v>
      </c>
      <c r="B99" s="63">
        <f t="shared" si="99"/>
        <v>3941</v>
      </c>
      <c r="C99" s="40" t="s">
        <v>190</v>
      </c>
      <c r="D99" s="40" t="s">
        <v>190</v>
      </c>
      <c r="E99" s="37">
        <v>958</v>
      </c>
      <c r="F99" s="37">
        <v>754.15</v>
      </c>
      <c r="G99" s="37">
        <v>58</v>
      </c>
      <c r="H99" s="37">
        <v>111.75</v>
      </c>
      <c r="I99" s="37">
        <v>407</v>
      </c>
      <c r="J99" s="64">
        <v>262.85000000000002</v>
      </c>
      <c r="K99" s="37">
        <v>226</v>
      </c>
      <c r="L99" s="37">
        <v>201.15</v>
      </c>
      <c r="M99" s="37">
        <v>201</v>
      </c>
      <c r="N99" s="37">
        <v>160.05000000000001</v>
      </c>
      <c r="O99" s="37">
        <v>242</v>
      </c>
      <c r="P99" s="37">
        <v>317.14999999999998</v>
      </c>
      <c r="Q99" s="37">
        <v>641</v>
      </c>
      <c r="R99" s="37">
        <v>862.65</v>
      </c>
      <c r="S99" s="31">
        <v>32</v>
      </c>
      <c r="T99" s="25">
        <v>15.14</v>
      </c>
      <c r="U99" s="25">
        <v>89</v>
      </c>
      <c r="V99" s="64">
        <v>61.97</v>
      </c>
      <c r="W99" s="25">
        <v>38</v>
      </c>
      <c r="X99" s="25">
        <v>26.48</v>
      </c>
      <c r="Y99" s="25">
        <v>50</v>
      </c>
      <c r="Z99" s="25">
        <v>31.8</v>
      </c>
      <c r="AA99" s="28" t="s">
        <v>190</v>
      </c>
      <c r="AB99" s="28" t="s">
        <v>190</v>
      </c>
      <c r="AC99" s="25">
        <v>28</v>
      </c>
      <c r="AD99" s="25">
        <v>13.1</v>
      </c>
      <c r="AE99" s="27" t="s">
        <v>190</v>
      </c>
      <c r="AF99" s="27" t="s">
        <v>190</v>
      </c>
      <c r="AG99" s="29">
        <v>9</v>
      </c>
      <c r="AH99" s="25">
        <v>4.8499999999999996</v>
      </c>
      <c r="AI99" s="25">
        <v>200</v>
      </c>
      <c r="AJ99" s="29">
        <v>150.61000000000001</v>
      </c>
      <c r="AK99" s="53">
        <v>136</v>
      </c>
      <c r="AL99" s="50">
        <v>175.3</v>
      </c>
      <c r="AM99" s="53">
        <v>17</v>
      </c>
      <c r="AN99" s="50">
        <v>30.6</v>
      </c>
      <c r="AO99" s="53">
        <v>150</v>
      </c>
      <c r="AP99" s="50">
        <v>137.80000000000001</v>
      </c>
      <c r="AQ99" s="53">
        <v>8</v>
      </c>
      <c r="AR99" s="50">
        <v>11.2</v>
      </c>
      <c r="AS99" s="54" t="s">
        <v>190</v>
      </c>
      <c r="AT99" s="50" t="s">
        <v>190</v>
      </c>
      <c r="AU99" s="53">
        <v>5</v>
      </c>
      <c r="AV99" s="50">
        <v>3</v>
      </c>
      <c r="AW99" s="53">
        <v>446</v>
      </c>
      <c r="AX99" s="65">
        <v>603.61</v>
      </c>
      <c r="AY99" s="14" t="s">
        <v>162</v>
      </c>
      <c r="AZ99" s="15"/>
      <c r="BA99" s="15"/>
    </row>
    <row r="100" spans="1:53">
      <c r="A100" s="13" t="s">
        <v>163</v>
      </c>
      <c r="B100" s="63">
        <f t="shared" si="99"/>
        <v>1517</v>
      </c>
      <c r="C100" s="40" t="s">
        <v>190</v>
      </c>
      <c r="D100" s="40" t="s">
        <v>190</v>
      </c>
      <c r="E100" s="37">
        <v>518</v>
      </c>
      <c r="F100" s="37">
        <v>724.5</v>
      </c>
      <c r="G100" s="37">
        <v>32</v>
      </c>
      <c r="H100" s="37">
        <v>89.5</v>
      </c>
      <c r="I100" s="37">
        <v>66</v>
      </c>
      <c r="J100" s="64">
        <v>31.7</v>
      </c>
      <c r="K100" s="37">
        <v>55</v>
      </c>
      <c r="L100" s="37">
        <v>60.44</v>
      </c>
      <c r="M100" s="37">
        <v>46</v>
      </c>
      <c r="N100" s="37">
        <v>47.3</v>
      </c>
      <c r="O100" s="37">
        <v>70</v>
      </c>
      <c r="P100" s="37">
        <v>95.4</v>
      </c>
      <c r="Q100" s="37">
        <v>285</v>
      </c>
      <c r="R100" s="37">
        <v>245</v>
      </c>
      <c r="S100" s="31">
        <v>24</v>
      </c>
      <c r="T100" s="25">
        <v>9.1</v>
      </c>
      <c r="U100" s="25">
        <v>51</v>
      </c>
      <c r="V100" s="64">
        <v>34.799999999999997</v>
      </c>
      <c r="W100" s="25">
        <v>25</v>
      </c>
      <c r="X100" s="25">
        <v>18.09</v>
      </c>
      <c r="Y100" s="25">
        <v>19</v>
      </c>
      <c r="Z100" s="25">
        <v>13.1</v>
      </c>
      <c r="AA100" s="28" t="s">
        <v>190</v>
      </c>
      <c r="AB100" s="28" t="s">
        <v>190</v>
      </c>
      <c r="AC100" s="25">
        <v>17</v>
      </c>
      <c r="AD100" s="25">
        <v>8.0500000000000007</v>
      </c>
      <c r="AE100" s="27" t="s">
        <v>190</v>
      </c>
      <c r="AF100" s="27" t="s">
        <v>190</v>
      </c>
      <c r="AG100" s="30" t="s">
        <v>190</v>
      </c>
      <c r="AH100" s="25">
        <v>0</v>
      </c>
      <c r="AI100" s="25">
        <v>47</v>
      </c>
      <c r="AJ100" s="29">
        <v>31.36</v>
      </c>
      <c r="AK100" s="53">
        <v>37</v>
      </c>
      <c r="AL100" s="50">
        <v>22.3</v>
      </c>
      <c r="AM100" s="53">
        <v>9</v>
      </c>
      <c r="AN100" s="50">
        <v>18.7</v>
      </c>
      <c r="AO100" s="53">
        <v>73</v>
      </c>
      <c r="AP100" s="50">
        <v>117.3</v>
      </c>
      <c r="AQ100" s="53">
        <v>2</v>
      </c>
      <c r="AR100" s="50">
        <v>2.6</v>
      </c>
      <c r="AS100" s="54" t="s">
        <v>190</v>
      </c>
      <c r="AT100" s="50" t="s">
        <v>190</v>
      </c>
      <c r="AU100" s="54" t="s">
        <v>190</v>
      </c>
      <c r="AV100" s="50" t="s">
        <v>190</v>
      </c>
      <c r="AW100" s="53">
        <v>141</v>
      </c>
      <c r="AX100" s="65">
        <v>137.33000000000001</v>
      </c>
      <c r="AY100" s="14" t="s">
        <v>164</v>
      </c>
      <c r="AZ100" s="15"/>
      <c r="BA100" s="15"/>
    </row>
    <row r="101" spans="1:53">
      <c r="A101" s="13" t="s">
        <v>165</v>
      </c>
      <c r="B101" s="63">
        <f t="shared" si="99"/>
        <v>6011</v>
      </c>
      <c r="C101" s="37">
        <v>10</v>
      </c>
      <c r="D101" s="37">
        <v>8</v>
      </c>
      <c r="E101" s="37">
        <v>1089</v>
      </c>
      <c r="F101" s="37">
        <v>2564.4639999999999</v>
      </c>
      <c r="G101" s="37">
        <v>475</v>
      </c>
      <c r="H101" s="37">
        <v>4335.45</v>
      </c>
      <c r="I101" s="37">
        <v>253</v>
      </c>
      <c r="J101" s="64">
        <v>228.857</v>
      </c>
      <c r="K101" s="37">
        <v>436</v>
      </c>
      <c r="L101" s="37">
        <v>564.36</v>
      </c>
      <c r="M101" s="37">
        <v>265</v>
      </c>
      <c r="N101" s="37">
        <v>296.58499999999998</v>
      </c>
      <c r="O101" s="37">
        <v>358</v>
      </c>
      <c r="P101" s="37">
        <v>500.33</v>
      </c>
      <c r="Q101" s="37">
        <v>456</v>
      </c>
      <c r="R101" s="37">
        <v>390.25</v>
      </c>
      <c r="S101" s="31">
        <v>118</v>
      </c>
      <c r="T101" s="25">
        <v>75.06</v>
      </c>
      <c r="U101" s="25">
        <v>42</v>
      </c>
      <c r="V101" s="64">
        <v>26.7</v>
      </c>
      <c r="W101" s="25">
        <v>85</v>
      </c>
      <c r="X101" s="25">
        <v>58.2</v>
      </c>
      <c r="Y101" s="25">
        <v>137</v>
      </c>
      <c r="Z101" s="25">
        <v>97.42</v>
      </c>
      <c r="AA101" s="64">
        <v>36</v>
      </c>
      <c r="AB101" s="64">
        <v>19.22</v>
      </c>
      <c r="AC101" s="25">
        <v>107</v>
      </c>
      <c r="AD101" s="25">
        <v>57.134999999999998</v>
      </c>
      <c r="AE101" s="25">
        <v>1</v>
      </c>
      <c r="AF101" s="25">
        <v>0.08</v>
      </c>
      <c r="AG101" s="29">
        <v>53</v>
      </c>
      <c r="AH101" s="25">
        <v>42.2</v>
      </c>
      <c r="AI101" s="25">
        <v>318</v>
      </c>
      <c r="AJ101" s="29">
        <v>251.72</v>
      </c>
      <c r="AK101" s="53">
        <v>100</v>
      </c>
      <c r="AL101" s="50">
        <v>130.21</v>
      </c>
      <c r="AM101" s="53">
        <v>272</v>
      </c>
      <c r="AN101" s="50">
        <v>2010.7339999999999</v>
      </c>
      <c r="AO101" s="53">
        <v>198</v>
      </c>
      <c r="AP101" s="50">
        <v>264.56700000000001</v>
      </c>
      <c r="AQ101" s="53">
        <v>101</v>
      </c>
      <c r="AR101" s="50">
        <v>386.13</v>
      </c>
      <c r="AS101" s="54" t="s">
        <v>190</v>
      </c>
      <c r="AT101" s="50" t="s">
        <v>190</v>
      </c>
      <c r="AU101" s="53">
        <v>147</v>
      </c>
      <c r="AV101" s="50">
        <v>334.1</v>
      </c>
      <c r="AW101" s="53">
        <v>954</v>
      </c>
      <c r="AX101" s="65">
        <v>1064.748</v>
      </c>
      <c r="AY101" s="14" t="s">
        <v>166</v>
      </c>
      <c r="AZ101" s="15"/>
      <c r="BA101" s="15"/>
    </row>
    <row r="102" spans="1:53">
      <c r="A102" s="13" t="s">
        <v>167</v>
      </c>
      <c r="B102" s="63">
        <f t="shared" si="99"/>
        <v>819</v>
      </c>
      <c r="C102" s="40" t="s">
        <v>190</v>
      </c>
      <c r="D102" s="40" t="s">
        <v>190</v>
      </c>
      <c r="E102" s="37">
        <v>140</v>
      </c>
      <c r="F102" s="37">
        <v>198</v>
      </c>
      <c r="G102" s="37">
        <v>12</v>
      </c>
      <c r="H102" s="37">
        <v>15</v>
      </c>
      <c r="I102" s="37">
        <v>33</v>
      </c>
      <c r="J102" s="64">
        <v>23</v>
      </c>
      <c r="K102" s="37">
        <v>43</v>
      </c>
      <c r="L102" s="37">
        <v>36.700000000000003</v>
      </c>
      <c r="M102" s="37">
        <v>27</v>
      </c>
      <c r="N102" s="37">
        <v>14.75</v>
      </c>
      <c r="O102" s="37">
        <v>50</v>
      </c>
      <c r="P102" s="37">
        <v>40.15</v>
      </c>
      <c r="Q102" s="37">
        <v>124</v>
      </c>
      <c r="R102" s="37">
        <v>103.3</v>
      </c>
      <c r="S102" s="31">
        <v>10</v>
      </c>
      <c r="T102" s="25">
        <v>4.55</v>
      </c>
      <c r="U102" s="25">
        <v>119</v>
      </c>
      <c r="V102" s="64">
        <v>175.1</v>
      </c>
      <c r="W102" s="25">
        <v>4</v>
      </c>
      <c r="X102" s="25">
        <v>3.1</v>
      </c>
      <c r="Y102" s="25">
        <v>16</v>
      </c>
      <c r="Z102" s="25">
        <v>5.6</v>
      </c>
      <c r="AA102" s="28" t="s">
        <v>190</v>
      </c>
      <c r="AB102" s="28" t="s">
        <v>190</v>
      </c>
      <c r="AC102" s="25">
        <v>15</v>
      </c>
      <c r="AD102" s="25">
        <v>7.45</v>
      </c>
      <c r="AE102" s="25">
        <v>9</v>
      </c>
      <c r="AF102" s="25">
        <v>4.8</v>
      </c>
      <c r="AG102" s="29">
        <v>6</v>
      </c>
      <c r="AH102" s="25">
        <v>2.42</v>
      </c>
      <c r="AI102" s="25">
        <v>27</v>
      </c>
      <c r="AJ102" s="29">
        <v>15.6</v>
      </c>
      <c r="AK102" s="53">
        <v>48</v>
      </c>
      <c r="AL102" s="50">
        <v>33.5</v>
      </c>
      <c r="AM102" s="53">
        <v>5</v>
      </c>
      <c r="AN102" s="50">
        <v>4.8</v>
      </c>
      <c r="AO102" s="53">
        <v>39</v>
      </c>
      <c r="AP102" s="50">
        <v>42.3</v>
      </c>
      <c r="AQ102" s="53">
        <v>1</v>
      </c>
      <c r="AR102" s="50">
        <v>1.2</v>
      </c>
      <c r="AS102" s="54" t="s">
        <v>190</v>
      </c>
      <c r="AT102" s="50" t="s">
        <v>190</v>
      </c>
      <c r="AU102" s="54" t="s">
        <v>190</v>
      </c>
      <c r="AV102" s="50" t="s">
        <v>190</v>
      </c>
      <c r="AW102" s="53">
        <v>91</v>
      </c>
      <c r="AX102" s="65">
        <v>74.319999999999993</v>
      </c>
      <c r="AY102" s="14" t="s">
        <v>168</v>
      </c>
      <c r="AZ102" s="15"/>
      <c r="BA102" s="15"/>
    </row>
    <row r="103" spans="1:53" s="12" customFormat="1">
      <c r="A103" s="126" t="s">
        <v>169</v>
      </c>
      <c r="B103" s="72">
        <f>SUM(B105:B108)</f>
        <v>89671</v>
      </c>
      <c r="C103" s="89">
        <v>0</v>
      </c>
      <c r="D103" s="89">
        <v>0</v>
      </c>
      <c r="E103" s="89">
        <f t="shared" ref="E103:R103" si="100">SUM(E105:E108)</f>
        <v>13311</v>
      </c>
      <c r="F103" s="89">
        <f t="shared" si="100"/>
        <v>32011.11</v>
      </c>
      <c r="G103" s="89">
        <f t="shared" si="100"/>
        <v>13020</v>
      </c>
      <c r="H103" s="89">
        <f t="shared" si="100"/>
        <v>123762.79</v>
      </c>
      <c r="I103" s="89">
        <f t="shared" si="100"/>
        <v>4654</v>
      </c>
      <c r="J103" s="89">
        <f t="shared" si="100"/>
        <v>3735.3849999999993</v>
      </c>
      <c r="K103" s="89">
        <f>SUM(K105:K108)</f>
        <v>5067</v>
      </c>
      <c r="L103" s="89">
        <f t="shared" si="100"/>
        <v>7932.2449999999999</v>
      </c>
      <c r="M103" s="89">
        <f t="shared" si="100"/>
        <v>2795</v>
      </c>
      <c r="N103" s="89">
        <f t="shared" si="100"/>
        <v>4003.7999999999997</v>
      </c>
      <c r="O103" s="89">
        <f t="shared" si="100"/>
        <v>4629</v>
      </c>
      <c r="P103" s="89">
        <f t="shared" si="100"/>
        <v>7336.7149999999992</v>
      </c>
      <c r="Q103" s="89">
        <f t="shared" si="100"/>
        <v>4756</v>
      </c>
      <c r="R103" s="89">
        <f t="shared" si="100"/>
        <v>5474.0950000000003</v>
      </c>
      <c r="S103" s="127">
        <f t="shared" ref="S103:Z103" si="101">SUM(S105:S108)</f>
        <v>517</v>
      </c>
      <c r="T103" s="78">
        <f t="shared" si="101"/>
        <v>312.786</v>
      </c>
      <c r="U103" s="78">
        <f t="shared" si="101"/>
        <v>8636</v>
      </c>
      <c r="V103" s="78">
        <f t="shared" si="101"/>
        <v>7186.4199999999992</v>
      </c>
      <c r="W103" s="78">
        <f t="shared" si="101"/>
        <v>623</v>
      </c>
      <c r="X103" s="78">
        <f t="shared" si="101"/>
        <v>654.35</v>
      </c>
      <c r="Y103" s="78">
        <f t="shared" si="101"/>
        <v>1394</v>
      </c>
      <c r="Z103" s="78">
        <f t="shared" si="101"/>
        <v>1142.76</v>
      </c>
      <c r="AA103" s="78">
        <f>SUM(AA105:AA108)</f>
        <v>538</v>
      </c>
      <c r="AB103" s="78">
        <f t="shared" ref="AB103:AI103" si="102">SUM(AB105:AB108)</f>
        <v>282.63499999999999</v>
      </c>
      <c r="AC103" s="78">
        <f t="shared" si="102"/>
        <v>1997</v>
      </c>
      <c r="AD103" s="78">
        <f t="shared" si="102"/>
        <v>1531.98</v>
      </c>
      <c r="AE103" s="78">
        <f t="shared" si="102"/>
        <v>311</v>
      </c>
      <c r="AF103" s="78">
        <f t="shared" si="102"/>
        <v>154.5</v>
      </c>
      <c r="AG103" s="124">
        <f t="shared" si="102"/>
        <v>952</v>
      </c>
      <c r="AH103" s="78">
        <f t="shared" si="102"/>
        <v>1285.7700000000002</v>
      </c>
      <c r="AI103" s="78">
        <f t="shared" si="102"/>
        <v>2533</v>
      </c>
      <c r="AJ103" s="124">
        <f>SUM(AJ105:AJ108)</f>
        <v>2767.6609999999996</v>
      </c>
      <c r="AK103" s="78">
        <f t="shared" ref="AK103:AX103" si="103">SUM(AK105:AK108)</f>
        <v>2228</v>
      </c>
      <c r="AL103" s="77">
        <f t="shared" si="103"/>
        <v>3263.3900000000003</v>
      </c>
      <c r="AM103" s="78">
        <f t="shared" si="103"/>
        <v>7188</v>
      </c>
      <c r="AN103" s="77">
        <f t="shared" si="103"/>
        <v>65713.819999999992</v>
      </c>
      <c r="AO103" s="78">
        <f t="shared" si="103"/>
        <v>1842</v>
      </c>
      <c r="AP103" s="77">
        <f t="shared" si="103"/>
        <v>2824.788</v>
      </c>
      <c r="AQ103" s="78">
        <f t="shared" si="103"/>
        <v>1280</v>
      </c>
      <c r="AR103" s="77">
        <f t="shared" si="103"/>
        <v>6679.5</v>
      </c>
      <c r="AS103" s="78">
        <f t="shared" si="103"/>
        <v>105</v>
      </c>
      <c r="AT103" s="77">
        <f t="shared" si="103"/>
        <v>79.3</v>
      </c>
      <c r="AU103" s="78">
        <f t="shared" si="103"/>
        <v>100</v>
      </c>
      <c r="AV103" s="77">
        <f t="shared" si="103"/>
        <v>320.54999999999995</v>
      </c>
      <c r="AW103" s="78">
        <f t="shared" si="103"/>
        <v>11195</v>
      </c>
      <c r="AX103" s="79">
        <f t="shared" si="103"/>
        <v>18341.652999999998</v>
      </c>
      <c r="AY103" s="125" t="s">
        <v>170</v>
      </c>
      <c r="AZ103" s="125"/>
      <c r="BA103" s="125"/>
    </row>
    <row r="104" spans="1:53">
      <c r="A104" s="126"/>
      <c r="B104" s="72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127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124"/>
      <c r="AH104" s="78"/>
      <c r="AI104" s="78"/>
      <c r="AJ104" s="124"/>
      <c r="AK104" s="78"/>
      <c r="AL104" s="77"/>
      <c r="AM104" s="78"/>
      <c r="AN104" s="77"/>
      <c r="AO104" s="78"/>
      <c r="AP104" s="77"/>
      <c r="AQ104" s="78"/>
      <c r="AR104" s="77"/>
      <c r="AS104" s="78"/>
      <c r="AT104" s="77"/>
      <c r="AU104" s="78"/>
      <c r="AV104" s="77"/>
      <c r="AW104" s="78"/>
      <c r="AX104" s="79"/>
      <c r="AY104" s="125"/>
      <c r="AZ104" s="125"/>
      <c r="BA104" s="125"/>
    </row>
    <row r="105" spans="1:53">
      <c r="A105" s="13" t="s">
        <v>171</v>
      </c>
      <c r="B105" s="63">
        <f t="shared" ref="B105:B108" si="104">SUM(C105,E105,G105,I105,K105,M105,O105,Q105,S105,U105,W105,Y105,AA105,AC105,AE105,AG105,AI105,AK105,AM105,AO105,AQ105,AS105,AU105,AW105)</f>
        <v>39267</v>
      </c>
      <c r="C105" s="40" t="s">
        <v>190</v>
      </c>
      <c r="D105" s="40" t="s">
        <v>190</v>
      </c>
      <c r="E105" s="37">
        <v>6541</v>
      </c>
      <c r="F105" s="37">
        <v>22418.55</v>
      </c>
      <c r="G105" s="37">
        <v>4651</v>
      </c>
      <c r="H105" s="37">
        <v>40534.44</v>
      </c>
      <c r="I105" s="37">
        <v>1740</v>
      </c>
      <c r="J105" s="64">
        <v>1751.925</v>
      </c>
      <c r="K105" s="37">
        <v>2621</v>
      </c>
      <c r="L105" s="37">
        <v>5642.31</v>
      </c>
      <c r="M105" s="37">
        <v>1601</v>
      </c>
      <c r="N105" s="37">
        <v>2953.72</v>
      </c>
      <c r="O105" s="37">
        <v>1927</v>
      </c>
      <c r="P105" s="37">
        <v>4188.1899999999996</v>
      </c>
      <c r="Q105" s="37">
        <v>2149</v>
      </c>
      <c r="R105" s="37">
        <v>3295.63</v>
      </c>
      <c r="S105" s="31">
        <v>145</v>
      </c>
      <c r="T105" s="25">
        <v>143.47999999999999</v>
      </c>
      <c r="U105" s="25">
        <v>3784</v>
      </c>
      <c r="V105" s="64">
        <v>4081.47</v>
      </c>
      <c r="W105" s="25">
        <v>286</v>
      </c>
      <c r="X105" s="25">
        <v>415.9</v>
      </c>
      <c r="Y105" s="25">
        <v>336</v>
      </c>
      <c r="Z105" s="25">
        <v>467.31</v>
      </c>
      <c r="AA105" s="64">
        <v>370</v>
      </c>
      <c r="AB105" s="64">
        <v>193.32499999999999</v>
      </c>
      <c r="AC105" s="25">
        <v>874</v>
      </c>
      <c r="AD105" s="25">
        <v>831.47</v>
      </c>
      <c r="AE105" s="25">
        <v>74</v>
      </c>
      <c r="AF105" s="25">
        <v>19.77</v>
      </c>
      <c r="AG105" s="29">
        <v>551</v>
      </c>
      <c r="AH105" s="25">
        <v>937.11</v>
      </c>
      <c r="AI105" s="25">
        <v>1145</v>
      </c>
      <c r="AJ105" s="29">
        <v>1586.6</v>
      </c>
      <c r="AK105" s="53">
        <v>972</v>
      </c>
      <c r="AL105" s="50">
        <v>2030.01</v>
      </c>
      <c r="AM105" s="53">
        <v>3923</v>
      </c>
      <c r="AN105" s="50">
        <v>45095.34</v>
      </c>
      <c r="AO105" s="53">
        <v>934</v>
      </c>
      <c r="AP105" s="50">
        <v>2074.2600000000002</v>
      </c>
      <c r="AQ105" s="53">
        <v>241</v>
      </c>
      <c r="AR105" s="50">
        <v>1436</v>
      </c>
      <c r="AS105" s="53">
        <v>30</v>
      </c>
      <c r="AT105" s="50">
        <v>30</v>
      </c>
      <c r="AU105" s="53">
        <v>85</v>
      </c>
      <c r="AV105" s="50">
        <v>303.2</v>
      </c>
      <c r="AW105" s="53">
        <v>4287</v>
      </c>
      <c r="AX105" s="65">
        <v>8465.2250000000004</v>
      </c>
      <c r="AY105" s="14" t="s">
        <v>172</v>
      </c>
      <c r="AZ105" s="15"/>
      <c r="BA105" s="15"/>
    </row>
    <row r="106" spans="1:53">
      <c r="A106" s="13" t="s">
        <v>173</v>
      </c>
      <c r="B106" s="63">
        <f t="shared" si="104"/>
        <v>22230</v>
      </c>
      <c r="C106" s="40" t="s">
        <v>190</v>
      </c>
      <c r="D106" s="40" t="s">
        <v>190</v>
      </c>
      <c r="E106" s="37">
        <v>1320</v>
      </c>
      <c r="F106" s="37">
        <v>2094.4899999999998</v>
      </c>
      <c r="G106" s="37">
        <v>5813</v>
      </c>
      <c r="H106" s="37">
        <v>54346.400000000001</v>
      </c>
      <c r="I106" s="37">
        <v>1078</v>
      </c>
      <c r="J106" s="64">
        <v>864.77</v>
      </c>
      <c r="K106" s="37">
        <v>1288</v>
      </c>
      <c r="L106" s="37">
        <v>1338.54</v>
      </c>
      <c r="M106" s="37">
        <v>383</v>
      </c>
      <c r="N106" s="37">
        <v>404.18</v>
      </c>
      <c r="O106" s="37">
        <v>847</v>
      </c>
      <c r="P106" s="37">
        <v>1429.77</v>
      </c>
      <c r="Q106" s="37">
        <v>715</v>
      </c>
      <c r="R106" s="37">
        <v>592.755</v>
      </c>
      <c r="S106" s="31">
        <v>72</v>
      </c>
      <c r="T106" s="25">
        <v>45.756</v>
      </c>
      <c r="U106" s="25">
        <v>1662</v>
      </c>
      <c r="V106" s="64">
        <v>1226.3399999999999</v>
      </c>
      <c r="W106" s="25">
        <v>156</v>
      </c>
      <c r="X106" s="25">
        <v>121.25</v>
      </c>
      <c r="Y106" s="25">
        <v>279</v>
      </c>
      <c r="Z106" s="25">
        <v>190.2</v>
      </c>
      <c r="AA106" s="64">
        <v>111</v>
      </c>
      <c r="AB106" s="64">
        <v>61.5</v>
      </c>
      <c r="AC106" s="25">
        <v>347</v>
      </c>
      <c r="AD106" s="25">
        <v>226.45</v>
      </c>
      <c r="AE106" s="25">
        <v>46</v>
      </c>
      <c r="AF106" s="25">
        <v>24.7</v>
      </c>
      <c r="AG106" s="29">
        <v>258</v>
      </c>
      <c r="AH106" s="25">
        <v>243</v>
      </c>
      <c r="AI106" s="25">
        <v>507</v>
      </c>
      <c r="AJ106" s="29">
        <v>545.22</v>
      </c>
      <c r="AK106" s="53">
        <v>375</v>
      </c>
      <c r="AL106" s="50">
        <v>398.08</v>
      </c>
      <c r="AM106" s="53">
        <v>2873</v>
      </c>
      <c r="AN106" s="50">
        <v>16969</v>
      </c>
      <c r="AO106" s="53">
        <v>294</v>
      </c>
      <c r="AP106" s="50">
        <v>230.41</v>
      </c>
      <c r="AQ106" s="53">
        <v>909</v>
      </c>
      <c r="AR106" s="50">
        <v>4650</v>
      </c>
      <c r="AS106" s="53">
        <v>74</v>
      </c>
      <c r="AT106" s="50">
        <v>47.5</v>
      </c>
      <c r="AU106" s="53">
        <v>7</v>
      </c>
      <c r="AV106" s="50">
        <v>6.15</v>
      </c>
      <c r="AW106" s="53">
        <v>2816</v>
      </c>
      <c r="AX106" s="65">
        <v>4922.6710000000003</v>
      </c>
      <c r="AY106" s="14" t="s">
        <v>174</v>
      </c>
      <c r="AZ106" s="15"/>
      <c r="BA106" s="15"/>
    </row>
    <row r="107" spans="1:53">
      <c r="A107" s="13" t="s">
        <v>175</v>
      </c>
      <c r="B107" s="63">
        <f t="shared" si="104"/>
        <v>10632</v>
      </c>
      <c r="C107" s="40" t="s">
        <v>190</v>
      </c>
      <c r="D107" s="40" t="s">
        <v>190</v>
      </c>
      <c r="E107" s="37">
        <v>2192</v>
      </c>
      <c r="F107" s="37">
        <v>2937.37</v>
      </c>
      <c r="G107" s="37">
        <v>221</v>
      </c>
      <c r="H107" s="37">
        <v>1051.9000000000001</v>
      </c>
      <c r="I107" s="37">
        <v>804</v>
      </c>
      <c r="J107" s="64">
        <v>479.39</v>
      </c>
      <c r="K107" s="37">
        <v>414</v>
      </c>
      <c r="L107" s="37">
        <v>337.02499999999998</v>
      </c>
      <c r="M107" s="37">
        <v>430</v>
      </c>
      <c r="N107" s="37">
        <v>352.08</v>
      </c>
      <c r="O107" s="37">
        <v>592</v>
      </c>
      <c r="P107" s="37">
        <v>518.29999999999995</v>
      </c>
      <c r="Q107" s="37">
        <v>584</v>
      </c>
      <c r="R107" s="37">
        <v>361.74</v>
      </c>
      <c r="S107" s="31">
        <v>86</v>
      </c>
      <c r="T107" s="25">
        <v>35.5</v>
      </c>
      <c r="U107" s="25">
        <v>1692</v>
      </c>
      <c r="V107" s="64">
        <v>821.49</v>
      </c>
      <c r="W107" s="25">
        <v>71</v>
      </c>
      <c r="X107" s="25">
        <v>36.58</v>
      </c>
      <c r="Y107" s="25">
        <v>396</v>
      </c>
      <c r="Z107" s="25">
        <v>234.55</v>
      </c>
      <c r="AA107" s="64">
        <v>24</v>
      </c>
      <c r="AB107" s="64">
        <v>15.05</v>
      </c>
      <c r="AC107" s="25">
        <v>409</v>
      </c>
      <c r="AD107" s="25">
        <v>255.79</v>
      </c>
      <c r="AE107" s="25">
        <v>122</v>
      </c>
      <c r="AF107" s="29">
        <v>67.08</v>
      </c>
      <c r="AG107" s="24">
        <v>97</v>
      </c>
      <c r="AH107" s="31">
        <v>75.88</v>
      </c>
      <c r="AI107" s="25">
        <v>323</v>
      </c>
      <c r="AJ107" s="29">
        <v>237.11099999999999</v>
      </c>
      <c r="AK107" s="53">
        <v>376</v>
      </c>
      <c r="AL107" s="50">
        <v>350.98</v>
      </c>
      <c r="AM107" s="53">
        <v>121</v>
      </c>
      <c r="AN107" s="50">
        <v>525.04999999999995</v>
      </c>
      <c r="AO107" s="53">
        <v>244</v>
      </c>
      <c r="AP107" s="50">
        <v>168.48</v>
      </c>
      <c r="AQ107" s="53">
        <v>22</v>
      </c>
      <c r="AR107" s="50">
        <v>53.5</v>
      </c>
      <c r="AS107" s="53">
        <v>1</v>
      </c>
      <c r="AT107" s="50">
        <v>1.8</v>
      </c>
      <c r="AU107" s="54" t="s">
        <v>190</v>
      </c>
      <c r="AV107" s="50" t="s">
        <v>190</v>
      </c>
      <c r="AW107" s="53">
        <v>1411</v>
      </c>
      <c r="AX107" s="65">
        <v>1227.1569999999999</v>
      </c>
      <c r="AY107" s="14" t="s">
        <v>176</v>
      </c>
      <c r="AZ107" s="15"/>
      <c r="BA107" s="15"/>
    </row>
    <row r="108" spans="1:53" ht="10.8" thickBot="1">
      <c r="A108" s="16" t="s">
        <v>177</v>
      </c>
      <c r="B108" s="69">
        <f t="shared" si="104"/>
        <v>17542</v>
      </c>
      <c r="C108" s="41" t="s">
        <v>190</v>
      </c>
      <c r="D108" s="41" t="s">
        <v>190</v>
      </c>
      <c r="E108" s="42">
        <v>3258</v>
      </c>
      <c r="F108" s="42">
        <v>4560.7</v>
      </c>
      <c r="G108" s="42">
        <v>2335</v>
      </c>
      <c r="H108" s="42">
        <v>27830.05</v>
      </c>
      <c r="I108" s="42">
        <v>1032</v>
      </c>
      <c r="J108" s="70">
        <v>639.29999999999995</v>
      </c>
      <c r="K108" s="42">
        <v>744</v>
      </c>
      <c r="L108" s="42">
        <v>614.37</v>
      </c>
      <c r="M108" s="42">
        <v>381</v>
      </c>
      <c r="N108" s="42">
        <v>293.82</v>
      </c>
      <c r="O108" s="42">
        <v>1263</v>
      </c>
      <c r="P108" s="42">
        <v>1200.4549999999999</v>
      </c>
      <c r="Q108" s="42">
        <v>1308</v>
      </c>
      <c r="R108" s="42">
        <v>1223.97</v>
      </c>
      <c r="S108" s="56">
        <v>214</v>
      </c>
      <c r="T108" s="57">
        <v>88.05</v>
      </c>
      <c r="U108" s="57">
        <v>1498</v>
      </c>
      <c r="V108" s="70">
        <v>1057.1199999999999</v>
      </c>
      <c r="W108" s="57">
        <v>110</v>
      </c>
      <c r="X108" s="57">
        <v>80.62</v>
      </c>
      <c r="Y108" s="57">
        <v>383</v>
      </c>
      <c r="Z108" s="57">
        <v>250.7</v>
      </c>
      <c r="AA108" s="70">
        <v>33</v>
      </c>
      <c r="AB108" s="70">
        <v>12.76</v>
      </c>
      <c r="AC108" s="57">
        <v>367</v>
      </c>
      <c r="AD108" s="57">
        <v>218.27</v>
      </c>
      <c r="AE108" s="57">
        <v>69</v>
      </c>
      <c r="AF108" s="57">
        <v>42.95</v>
      </c>
      <c r="AG108" s="57">
        <v>46</v>
      </c>
      <c r="AH108" s="57">
        <v>29.78</v>
      </c>
      <c r="AI108" s="57">
        <v>558</v>
      </c>
      <c r="AJ108" s="58">
        <v>398.73</v>
      </c>
      <c r="AK108" s="59">
        <v>505</v>
      </c>
      <c r="AL108" s="60">
        <v>484.32</v>
      </c>
      <c r="AM108" s="59">
        <v>271</v>
      </c>
      <c r="AN108" s="60">
        <v>3124.43</v>
      </c>
      <c r="AO108" s="59">
        <v>370</v>
      </c>
      <c r="AP108" s="60">
        <v>351.63799999999998</v>
      </c>
      <c r="AQ108" s="59">
        <v>108</v>
      </c>
      <c r="AR108" s="60">
        <v>540</v>
      </c>
      <c r="AS108" s="61" t="s">
        <v>190</v>
      </c>
      <c r="AT108" s="60" t="s">
        <v>190</v>
      </c>
      <c r="AU108" s="59">
        <v>8</v>
      </c>
      <c r="AV108" s="60">
        <v>11.2</v>
      </c>
      <c r="AW108" s="59">
        <v>2681</v>
      </c>
      <c r="AX108" s="71">
        <v>3726.6</v>
      </c>
      <c r="AY108" s="17" t="s">
        <v>178</v>
      </c>
      <c r="AZ108" s="18"/>
      <c r="BA108" s="18"/>
    </row>
    <row r="109" spans="1:53">
      <c r="A109" s="19" t="s">
        <v>179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AY109" s="2" t="s">
        <v>180</v>
      </c>
    </row>
  </sheetData>
  <mergeCells count="698">
    <mergeCell ref="AY3:BA3"/>
    <mergeCell ref="A4:A7"/>
    <mergeCell ref="S4:T6"/>
    <mergeCell ref="U4:V6"/>
    <mergeCell ref="W4:X6"/>
    <mergeCell ref="Y4:Z6"/>
    <mergeCell ref="AA4:AB6"/>
    <mergeCell ref="AC4:AF4"/>
    <mergeCell ref="AG4:AH6"/>
    <mergeCell ref="AI4:AJ6"/>
    <mergeCell ref="AY4:BA7"/>
    <mergeCell ref="AC5:AD6"/>
    <mergeCell ref="AE5:AF6"/>
    <mergeCell ref="A8:A9"/>
    <mergeCell ref="S8:S9"/>
    <mergeCell ref="T8:T9"/>
    <mergeCell ref="U8:U9"/>
    <mergeCell ref="V8:V9"/>
    <mergeCell ref="AI8:AI9"/>
    <mergeCell ref="AJ8:AJ9"/>
    <mergeCell ref="AY8:BA9"/>
    <mergeCell ref="A10:A11"/>
    <mergeCell ref="S10:S11"/>
    <mergeCell ref="T10:T11"/>
    <mergeCell ref="U10:U11"/>
    <mergeCell ref="V10:V11"/>
    <mergeCell ref="W10:W11"/>
    <mergeCell ref="X10:X11"/>
    <mergeCell ref="AC8:AC9"/>
    <mergeCell ref="AD8:AD9"/>
    <mergeCell ref="AE8:AE9"/>
    <mergeCell ref="AF8:AF9"/>
    <mergeCell ref="AG8:AG9"/>
    <mergeCell ref="AH8:AH9"/>
    <mergeCell ref="W8:W9"/>
    <mergeCell ref="X8:X9"/>
    <mergeCell ref="Y8:Y9"/>
    <mergeCell ref="Z8:Z9"/>
    <mergeCell ref="AA8:AA9"/>
    <mergeCell ref="AB8:AB9"/>
    <mergeCell ref="AY10:BA11"/>
    <mergeCell ref="A18:A19"/>
    <mergeCell ref="S18:S19"/>
    <mergeCell ref="T18:T19"/>
    <mergeCell ref="U18:U19"/>
    <mergeCell ref="V18:V19"/>
    <mergeCell ref="W18:W19"/>
    <mergeCell ref="X18:X19"/>
    <mergeCell ref="Y18:Y19"/>
    <mergeCell ref="Z18:Z19"/>
    <mergeCell ref="AE10:AE11"/>
    <mergeCell ref="AF10:AF11"/>
    <mergeCell ref="AG10:AG11"/>
    <mergeCell ref="AH10:AH11"/>
    <mergeCell ref="AI10:AI11"/>
    <mergeCell ref="AJ10:AJ11"/>
    <mergeCell ref="Y10:Y11"/>
    <mergeCell ref="Z10:Z11"/>
    <mergeCell ref="AA10:AA11"/>
    <mergeCell ref="AB10:AB11"/>
    <mergeCell ref="AC10:AC11"/>
    <mergeCell ref="AD10:AD11"/>
    <mergeCell ref="AG18:AG19"/>
    <mergeCell ref="AH18:AH19"/>
    <mergeCell ref="AI18:AI19"/>
    <mergeCell ref="AJ18:AJ19"/>
    <mergeCell ref="AY18:BA19"/>
    <mergeCell ref="A32:A33"/>
    <mergeCell ref="S32:S33"/>
    <mergeCell ref="T32:T33"/>
    <mergeCell ref="U32:U33"/>
    <mergeCell ref="V32:V33"/>
    <mergeCell ref="AA18:AA19"/>
    <mergeCell ref="AB18:AB19"/>
    <mergeCell ref="AC18:AC19"/>
    <mergeCell ref="AD18:AD19"/>
    <mergeCell ref="AE18:AE19"/>
    <mergeCell ref="AF18:AF19"/>
    <mergeCell ref="AY32:BA33"/>
    <mergeCell ref="A38:A39"/>
    <mergeCell ref="S38:S39"/>
    <mergeCell ref="T38:T39"/>
    <mergeCell ref="U38:U39"/>
    <mergeCell ref="V38:V39"/>
    <mergeCell ref="W38:W39"/>
    <mergeCell ref="X38:X39"/>
    <mergeCell ref="AC32:AC33"/>
    <mergeCell ref="AD32:AD33"/>
    <mergeCell ref="AE32:AE33"/>
    <mergeCell ref="AF32:AF33"/>
    <mergeCell ref="AG32:AG33"/>
    <mergeCell ref="AH32:AH33"/>
    <mergeCell ref="W32:W33"/>
    <mergeCell ref="X32:X33"/>
    <mergeCell ref="Y32:Y33"/>
    <mergeCell ref="Z32:Z33"/>
    <mergeCell ref="AA32:AA33"/>
    <mergeCell ref="AB32:AB33"/>
    <mergeCell ref="AY38:BA39"/>
    <mergeCell ref="A45:A46"/>
    <mergeCell ref="S45:S46"/>
    <mergeCell ref="T45:T46"/>
    <mergeCell ref="U45:U46"/>
    <mergeCell ref="V45:V46"/>
    <mergeCell ref="W45:W46"/>
    <mergeCell ref="X45:X46"/>
    <mergeCell ref="Y45:Y46"/>
    <mergeCell ref="Z45:Z46"/>
    <mergeCell ref="AE38:AE39"/>
    <mergeCell ref="AF38:AF39"/>
    <mergeCell ref="AG38:AG39"/>
    <mergeCell ref="AH38:AH39"/>
    <mergeCell ref="AI38:AI39"/>
    <mergeCell ref="AJ38:AJ39"/>
    <mergeCell ref="Y38:Y39"/>
    <mergeCell ref="Z38:Z39"/>
    <mergeCell ref="AA38:AA39"/>
    <mergeCell ref="AB38:AB39"/>
    <mergeCell ref="AC38:AC39"/>
    <mergeCell ref="AD38:AD39"/>
    <mergeCell ref="AY45:BA46"/>
    <mergeCell ref="A52:A53"/>
    <mergeCell ref="S52:S53"/>
    <mergeCell ref="T52:T53"/>
    <mergeCell ref="U52:U53"/>
    <mergeCell ref="V52:V53"/>
    <mergeCell ref="AA45:AA46"/>
    <mergeCell ref="AB45:AB46"/>
    <mergeCell ref="AC45:AC46"/>
    <mergeCell ref="AD45:AD46"/>
    <mergeCell ref="AE45:AE46"/>
    <mergeCell ref="AF45:AF46"/>
    <mergeCell ref="AY52:BA53"/>
    <mergeCell ref="A59:A60"/>
    <mergeCell ref="S59:S60"/>
    <mergeCell ref="T59:T60"/>
    <mergeCell ref="U59:U60"/>
    <mergeCell ref="V59:V60"/>
    <mergeCell ref="W59:W60"/>
    <mergeCell ref="X59:X60"/>
    <mergeCell ref="AC52:AC53"/>
    <mergeCell ref="AD52:AD53"/>
    <mergeCell ref="AE52:AE53"/>
    <mergeCell ref="AF52:AF53"/>
    <mergeCell ref="AG52:AG53"/>
    <mergeCell ref="AH52:AH53"/>
    <mergeCell ref="W52:W53"/>
    <mergeCell ref="X52:X53"/>
    <mergeCell ref="Y52:Y53"/>
    <mergeCell ref="Z52:Z53"/>
    <mergeCell ref="AA52:AA53"/>
    <mergeCell ref="AB52:AB53"/>
    <mergeCell ref="AY59:BA60"/>
    <mergeCell ref="A64:A65"/>
    <mergeCell ref="S64:S65"/>
    <mergeCell ref="T64:T65"/>
    <mergeCell ref="U64:U65"/>
    <mergeCell ref="V64:V65"/>
    <mergeCell ref="W64:W65"/>
    <mergeCell ref="X64:X65"/>
    <mergeCell ref="Y64:Y65"/>
    <mergeCell ref="Z64:Z65"/>
    <mergeCell ref="AE59:AE60"/>
    <mergeCell ref="AF59:AF60"/>
    <mergeCell ref="AG59:AG60"/>
    <mergeCell ref="AH59:AH60"/>
    <mergeCell ref="AI59:AI60"/>
    <mergeCell ref="AJ59:AJ60"/>
    <mergeCell ref="Y59:Y60"/>
    <mergeCell ref="Z59:Z60"/>
    <mergeCell ref="AA59:AA60"/>
    <mergeCell ref="AB59:AB60"/>
    <mergeCell ref="AC59:AC60"/>
    <mergeCell ref="AD59:AD60"/>
    <mergeCell ref="AY64:BA65"/>
    <mergeCell ref="A71:A72"/>
    <mergeCell ref="S71:S72"/>
    <mergeCell ref="T71:T72"/>
    <mergeCell ref="U71:U72"/>
    <mergeCell ref="V71:V72"/>
    <mergeCell ref="AA64:AA65"/>
    <mergeCell ref="AB64:AB65"/>
    <mergeCell ref="AC64:AC65"/>
    <mergeCell ref="AD64:AD65"/>
    <mergeCell ref="AE64:AE65"/>
    <mergeCell ref="AF64:AF65"/>
    <mergeCell ref="AI71:AI72"/>
    <mergeCell ref="AJ71:AJ72"/>
    <mergeCell ref="AY71:BA72"/>
    <mergeCell ref="A81:A82"/>
    <mergeCell ref="S81:S82"/>
    <mergeCell ref="T81:T82"/>
    <mergeCell ref="U81:U82"/>
    <mergeCell ref="V81:V82"/>
    <mergeCell ref="W81:W82"/>
    <mergeCell ref="X81:X82"/>
    <mergeCell ref="AC71:AC72"/>
    <mergeCell ref="AD71:AD72"/>
    <mergeCell ref="AE71:AE72"/>
    <mergeCell ref="AF71:AF72"/>
    <mergeCell ref="AG71:AG72"/>
    <mergeCell ref="AH71:AH72"/>
    <mergeCell ref="W71:W72"/>
    <mergeCell ref="X71:X72"/>
    <mergeCell ref="Y71:Y72"/>
    <mergeCell ref="Z71:Z72"/>
    <mergeCell ref="AA71:AA72"/>
    <mergeCell ref="AB71:AB72"/>
    <mergeCell ref="AY81:BA82"/>
    <mergeCell ref="A88:A89"/>
    <mergeCell ref="S88:S89"/>
    <mergeCell ref="T88:T89"/>
    <mergeCell ref="U88:U89"/>
    <mergeCell ref="V88:V89"/>
    <mergeCell ref="W88:W89"/>
    <mergeCell ref="X88:X89"/>
    <mergeCell ref="Y88:Y89"/>
    <mergeCell ref="Z88:Z89"/>
    <mergeCell ref="AE81:AE82"/>
    <mergeCell ref="AF81:AF82"/>
    <mergeCell ref="AG81:AG82"/>
    <mergeCell ref="AH81:AH82"/>
    <mergeCell ref="AI81:AI82"/>
    <mergeCell ref="AJ81:AJ82"/>
    <mergeCell ref="Y81:Y82"/>
    <mergeCell ref="Z81:Z82"/>
    <mergeCell ref="AA81:AA82"/>
    <mergeCell ref="AB81:AB82"/>
    <mergeCell ref="AC81:AC82"/>
    <mergeCell ref="AD81:AD82"/>
    <mergeCell ref="AJ88:AJ89"/>
    <mergeCell ref="AY88:BA89"/>
    <mergeCell ref="A103:A104"/>
    <mergeCell ref="S103:S104"/>
    <mergeCell ref="T103:T104"/>
    <mergeCell ref="U103:U104"/>
    <mergeCell ref="V103:V104"/>
    <mergeCell ref="AA88:AA89"/>
    <mergeCell ref="AB88:AB89"/>
    <mergeCell ref="AC88:AC89"/>
    <mergeCell ref="AD88:AD89"/>
    <mergeCell ref="AE88:AE89"/>
    <mergeCell ref="AF88:AF89"/>
    <mergeCell ref="W103:W104"/>
    <mergeCell ref="X103:X104"/>
    <mergeCell ref="Y103:Y104"/>
    <mergeCell ref="Z103:Z104"/>
    <mergeCell ref="AA103:AA104"/>
    <mergeCell ref="AB103:AB104"/>
    <mergeCell ref="AG88:AG89"/>
    <mergeCell ref="AH88:AH89"/>
    <mergeCell ref="AI88:AI89"/>
    <mergeCell ref="AI103:AI104"/>
    <mergeCell ref="AJ103:AJ104"/>
    <mergeCell ref="AY103:BA104"/>
    <mergeCell ref="AC103:AC104"/>
    <mergeCell ref="AD103:AD104"/>
    <mergeCell ref="AE103:AE104"/>
    <mergeCell ref="AF103:AF104"/>
    <mergeCell ref="AG103:AG104"/>
    <mergeCell ref="AH103:AH104"/>
    <mergeCell ref="AS103:AS104"/>
    <mergeCell ref="C4:H4"/>
    <mergeCell ref="I4:J6"/>
    <mergeCell ref="K4:L6"/>
    <mergeCell ref="M4:N6"/>
    <mergeCell ref="O4:P6"/>
    <mergeCell ref="Q4:R6"/>
    <mergeCell ref="C5:D6"/>
    <mergeCell ref="E5:H5"/>
    <mergeCell ref="E6:F6"/>
    <mergeCell ref="G6:H6"/>
    <mergeCell ref="O8:O9"/>
    <mergeCell ref="P8:P9"/>
    <mergeCell ref="Q8:Q9"/>
    <mergeCell ref="R8:R9"/>
    <mergeCell ref="C10:C11"/>
    <mergeCell ref="D10:D11"/>
    <mergeCell ref="E10:E11"/>
    <mergeCell ref="F10:F11"/>
    <mergeCell ref="G10:G11"/>
    <mergeCell ref="H10:H11"/>
    <mergeCell ref="I8:I9"/>
    <mergeCell ref="J8:J9"/>
    <mergeCell ref="K8:K9"/>
    <mergeCell ref="L8:L9"/>
    <mergeCell ref="M8:M9"/>
    <mergeCell ref="N8:N9"/>
    <mergeCell ref="C8:C9"/>
    <mergeCell ref="D8:D9"/>
    <mergeCell ref="E8:E9"/>
    <mergeCell ref="F8:F9"/>
    <mergeCell ref="G8:G9"/>
    <mergeCell ref="H8:H9"/>
    <mergeCell ref="O10:O11"/>
    <mergeCell ref="P10:P11"/>
    <mergeCell ref="Q10:Q11"/>
    <mergeCell ref="R10:R11"/>
    <mergeCell ref="C18:C19"/>
    <mergeCell ref="D18:D19"/>
    <mergeCell ref="E18:E19"/>
    <mergeCell ref="F18:F19"/>
    <mergeCell ref="G18:G19"/>
    <mergeCell ref="H18:H19"/>
    <mergeCell ref="I10:I11"/>
    <mergeCell ref="J10:J11"/>
    <mergeCell ref="K10:K11"/>
    <mergeCell ref="L10:L11"/>
    <mergeCell ref="M10:M11"/>
    <mergeCell ref="N10:N11"/>
    <mergeCell ref="O18:O19"/>
    <mergeCell ref="P18:P19"/>
    <mergeCell ref="Q18:Q19"/>
    <mergeCell ref="R18:R19"/>
    <mergeCell ref="AS64:AS65"/>
    <mergeCell ref="AT64:AT65"/>
    <mergeCell ref="I18:I19"/>
    <mergeCell ref="J18:J19"/>
    <mergeCell ref="K18:K19"/>
    <mergeCell ref="L18:L19"/>
    <mergeCell ref="M18:M19"/>
    <mergeCell ref="N18:N19"/>
    <mergeCell ref="AG64:AG65"/>
    <mergeCell ref="AH64:AH65"/>
    <mergeCell ref="AI64:AI65"/>
    <mergeCell ref="AJ64:AJ65"/>
    <mergeCell ref="AI52:AI53"/>
    <mergeCell ref="AJ52:AJ53"/>
    <mergeCell ref="AG45:AG46"/>
    <mergeCell ref="AH45:AH46"/>
    <mergeCell ref="AI45:AI46"/>
    <mergeCell ref="AJ45:AJ46"/>
    <mergeCell ref="AI32:AI33"/>
    <mergeCell ref="AJ32:AJ33"/>
    <mergeCell ref="AS59:AS60"/>
    <mergeCell ref="AT59:AT60"/>
    <mergeCell ref="AU59:AU60"/>
    <mergeCell ref="AV59:AV60"/>
    <mergeCell ref="AW59:AW60"/>
    <mergeCell ref="AX59:AX60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K59:AK60"/>
    <mergeCell ref="AL59:AL60"/>
    <mergeCell ref="AM59:AM60"/>
    <mergeCell ref="AN59:AN60"/>
    <mergeCell ref="AO59:AO60"/>
    <mergeCell ref="AP59:AP60"/>
    <mergeCell ref="AQ59:AQ60"/>
    <mergeCell ref="AR59:AR60"/>
    <mergeCell ref="I38:I39"/>
    <mergeCell ref="J38:J39"/>
    <mergeCell ref="K38:K39"/>
    <mergeCell ref="L38:L39"/>
    <mergeCell ref="AT52:AT53"/>
    <mergeCell ref="I45:I46"/>
    <mergeCell ref="J45:J46"/>
    <mergeCell ref="K45:K46"/>
    <mergeCell ref="L45:L46"/>
    <mergeCell ref="AU52:AU53"/>
    <mergeCell ref="AV52:AV53"/>
    <mergeCell ref="AW52:AW53"/>
    <mergeCell ref="AX52:AX53"/>
    <mergeCell ref="AW38:AW39"/>
    <mergeCell ref="AX38:AX39"/>
    <mergeCell ref="AO45:AO46"/>
    <mergeCell ref="AP45:AP46"/>
    <mergeCell ref="AQ45:AQ46"/>
    <mergeCell ref="AR45:AR46"/>
    <mergeCell ref="AS45:AS46"/>
    <mergeCell ref="AT45:AT46"/>
    <mergeCell ref="AU45:AU46"/>
    <mergeCell ref="AV45:AV46"/>
    <mergeCell ref="AW45:AW46"/>
    <mergeCell ref="AX45:AX46"/>
    <mergeCell ref="AT38:AT39"/>
    <mergeCell ref="I59:I60"/>
    <mergeCell ref="J59:J60"/>
    <mergeCell ref="K59:K60"/>
    <mergeCell ref="L59:L60"/>
    <mergeCell ref="AU38:AU39"/>
    <mergeCell ref="AV38:AV39"/>
    <mergeCell ref="AK45:AK46"/>
    <mergeCell ref="AL45:AL46"/>
    <mergeCell ref="AM45:AM46"/>
    <mergeCell ref="AN45:AN46"/>
    <mergeCell ref="I52:I53"/>
    <mergeCell ref="J52:J53"/>
    <mergeCell ref="K52:K53"/>
    <mergeCell ref="L52:L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W18:AW19"/>
    <mergeCell ref="AX18:AX19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T18:AT19"/>
    <mergeCell ref="I71:I72"/>
    <mergeCell ref="J71:J72"/>
    <mergeCell ref="K71:K72"/>
    <mergeCell ref="L71:L72"/>
    <mergeCell ref="AU18:AU19"/>
    <mergeCell ref="AV18:AV19"/>
    <mergeCell ref="AK32:AK33"/>
    <mergeCell ref="AL32:AL33"/>
    <mergeCell ref="AM32:AM33"/>
    <mergeCell ref="AN32:AN33"/>
    <mergeCell ref="I64:I65"/>
    <mergeCell ref="J64:J65"/>
    <mergeCell ref="K64:K65"/>
    <mergeCell ref="L64:L65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K18:AK19"/>
    <mergeCell ref="AL18:AL19"/>
    <mergeCell ref="AM18:AM19"/>
    <mergeCell ref="AN18:AN19"/>
    <mergeCell ref="AO18:AO19"/>
    <mergeCell ref="AP18:AP19"/>
    <mergeCell ref="AQ18:AQ19"/>
    <mergeCell ref="AR18:AR19"/>
    <mergeCell ref="AS18:AS19"/>
    <mergeCell ref="AM10:AM11"/>
    <mergeCell ref="AN10:AN11"/>
    <mergeCell ref="AW8:AW9"/>
    <mergeCell ref="AX8:AX9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I103:I104"/>
    <mergeCell ref="J103:J104"/>
    <mergeCell ref="K103:K104"/>
    <mergeCell ref="L103:L104"/>
    <mergeCell ref="AU4:AV6"/>
    <mergeCell ref="AW4:AX6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I88:I89"/>
    <mergeCell ref="J88:J89"/>
    <mergeCell ref="K88:K89"/>
    <mergeCell ref="L88:L89"/>
    <mergeCell ref="AU8:AU9"/>
    <mergeCell ref="AV8:AV9"/>
    <mergeCell ref="AK10:AK11"/>
    <mergeCell ref="AL10:AL11"/>
    <mergeCell ref="M32:M33"/>
    <mergeCell ref="N32:N33"/>
    <mergeCell ref="O32:O33"/>
    <mergeCell ref="P32:P33"/>
    <mergeCell ref="Q32:Q33"/>
    <mergeCell ref="R32:R33"/>
    <mergeCell ref="C32:C33"/>
    <mergeCell ref="D32:D33"/>
    <mergeCell ref="E32:E33"/>
    <mergeCell ref="F32:F33"/>
    <mergeCell ref="G32:G33"/>
    <mergeCell ref="H32:H33"/>
    <mergeCell ref="I32:I33"/>
    <mergeCell ref="J32:J33"/>
    <mergeCell ref="K32:K33"/>
    <mergeCell ref="L32:L33"/>
    <mergeCell ref="M38:M39"/>
    <mergeCell ref="N38:N39"/>
    <mergeCell ref="O38:O39"/>
    <mergeCell ref="P38:P39"/>
    <mergeCell ref="Q38:Q39"/>
    <mergeCell ref="R38:R39"/>
    <mergeCell ref="C38:C39"/>
    <mergeCell ref="D38:D39"/>
    <mergeCell ref="E38:E39"/>
    <mergeCell ref="F38:F39"/>
    <mergeCell ref="G38:G39"/>
    <mergeCell ref="H38:H39"/>
    <mergeCell ref="M45:M46"/>
    <mergeCell ref="N45:N46"/>
    <mergeCell ref="O45:O46"/>
    <mergeCell ref="P45:P46"/>
    <mergeCell ref="Q45:Q46"/>
    <mergeCell ref="R45:R46"/>
    <mergeCell ref="C45:C46"/>
    <mergeCell ref="D45:D46"/>
    <mergeCell ref="E45:E46"/>
    <mergeCell ref="F45:F46"/>
    <mergeCell ref="G45:G46"/>
    <mergeCell ref="H45:H46"/>
    <mergeCell ref="M52:M53"/>
    <mergeCell ref="N52:N53"/>
    <mergeCell ref="O52:O53"/>
    <mergeCell ref="P52:P53"/>
    <mergeCell ref="Q52:Q53"/>
    <mergeCell ref="R52:R53"/>
    <mergeCell ref="C52:C53"/>
    <mergeCell ref="D52:D53"/>
    <mergeCell ref="E52:E53"/>
    <mergeCell ref="F52:F53"/>
    <mergeCell ref="G52:G53"/>
    <mergeCell ref="H52:H53"/>
    <mergeCell ref="R64:R65"/>
    <mergeCell ref="C64:C65"/>
    <mergeCell ref="D64:D65"/>
    <mergeCell ref="E64:E65"/>
    <mergeCell ref="F64:F65"/>
    <mergeCell ref="G64:G65"/>
    <mergeCell ref="H64:H65"/>
    <mergeCell ref="M59:M60"/>
    <mergeCell ref="N59:N60"/>
    <mergeCell ref="O59:O60"/>
    <mergeCell ref="P59:P60"/>
    <mergeCell ref="Q59:Q60"/>
    <mergeCell ref="R59:R60"/>
    <mergeCell ref="C59:C60"/>
    <mergeCell ref="D59:D60"/>
    <mergeCell ref="E59:E60"/>
    <mergeCell ref="F59:F60"/>
    <mergeCell ref="G59:G60"/>
    <mergeCell ref="H59:H60"/>
    <mergeCell ref="C71:C72"/>
    <mergeCell ref="D71:D72"/>
    <mergeCell ref="E71:E72"/>
    <mergeCell ref="F71:F72"/>
    <mergeCell ref="G71:G72"/>
    <mergeCell ref="H71:H72"/>
    <mergeCell ref="M64:M65"/>
    <mergeCell ref="N64:N65"/>
    <mergeCell ref="O64:O65"/>
    <mergeCell ref="G88:G89"/>
    <mergeCell ref="H88:H89"/>
    <mergeCell ref="M81:M82"/>
    <mergeCell ref="N81:N82"/>
    <mergeCell ref="O81:O82"/>
    <mergeCell ref="P81:P82"/>
    <mergeCell ref="Q81:Q82"/>
    <mergeCell ref="R81:R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AM4:AN6"/>
    <mergeCell ref="AO4:AP6"/>
    <mergeCell ref="AQ4:AR6"/>
    <mergeCell ref="AS4:AT6"/>
    <mergeCell ref="M103:M104"/>
    <mergeCell ref="N103:N104"/>
    <mergeCell ref="O103:O104"/>
    <mergeCell ref="P103:P104"/>
    <mergeCell ref="Q103:Q104"/>
    <mergeCell ref="R103:R104"/>
    <mergeCell ref="M88:M89"/>
    <mergeCell ref="N88:N89"/>
    <mergeCell ref="O88:O89"/>
    <mergeCell ref="P88:P89"/>
    <mergeCell ref="Q88:Q89"/>
    <mergeCell ref="R88:R89"/>
    <mergeCell ref="M71:M72"/>
    <mergeCell ref="N71:N72"/>
    <mergeCell ref="O71:O72"/>
    <mergeCell ref="P71:P72"/>
    <mergeCell ref="Q71:Q72"/>
    <mergeCell ref="R71:R72"/>
    <mergeCell ref="P64:P65"/>
    <mergeCell ref="Q64:Q65"/>
    <mergeCell ref="AU64:AU65"/>
    <mergeCell ref="AV64:AV65"/>
    <mergeCell ref="AW64:AW65"/>
    <mergeCell ref="AX64:AX65"/>
    <mergeCell ref="AK71:AK72"/>
    <mergeCell ref="AL71:AL72"/>
    <mergeCell ref="AM71:AM72"/>
    <mergeCell ref="AN71:AN72"/>
    <mergeCell ref="AO71:AO72"/>
    <mergeCell ref="AP71:AP72"/>
    <mergeCell ref="AW81:AW82"/>
    <mergeCell ref="AX81:AX82"/>
    <mergeCell ref="AW71:AW72"/>
    <mergeCell ref="AX71:AX72"/>
    <mergeCell ref="AK81:AK82"/>
    <mergeCell ref="AL81:AL82"/>
    <mergeCell ref="AM81:AM82"/>
    <mergeCell ref="AN81:AN82"/>
    <mergeCell ref="AO81:AO82"/>
    <mergeCell ref="AP81:AP82"/>
    <mergeCell ref="AQ81:AQ82"/>
    <mergeCell ref="AR81:AR82"/>
    <mergeCell ref="AQ71:AQ72"/>
    <mergeCell ref="AR71:AR72"/>
    <mergeCell ref="AS71:AS72"/>
    <mergeCell ref="AT71:AT72"/>
    <mergeCell ref="AU71:AU72"/>
    <mergeCell ref="AV71:AV72"/>
    <mergeCell ref="AU88:AU89"/>
    <mergeCell ref="AV88:AV89"/>
    <mergeCell ref="AK88:AK89"/>
    <mergeCell ref="AL88:AL89"/>
    <mergeCell ref="AM88:AM89"/>
    <mergeCell ref="AN88:AN89"/>
    <mergeCell ref="AO88:AO89"/>
    <mergeCell ref="AP88:AP89"/>
    <mergeCell ref="AS81:AS82"/>
    <mergeCell ref="AT81:AT82"/>
    <mergeCell ref="AU81:AU82"/>
    <mergeCell ref="AV81:AV82"/>
    <mergeCell ref="AT103:AT104"/>
    <mergeCell ref="AU103:AU104"/>
    <mergeCell ref="AV103:AV104"/>
    <mergeCell ref="AW103:AW104"/>
    <mergeCell ref="AX103:AX104"/>
    <mergeCell ref="B10:B11"/>
    <mergeCell ref="B18:B19"/>
    <mergeCell ref="B32:B33"/>
    <mergeCell ref="B38:B39"/>
    <mergeCell ref="B45:B46"/>
    <mergeCell ref="AW88:AW89"/>
    <mergeCell ref="AX88:AX89"/>
    <mergeCell ref="AK103:AK104"/>
    <mergeCell ref="AL103:AL104"/>
    <mergeCell ref="AM103:AM104"/>
    <mergeCell ref="AN103:AN104"/>
    <mergeCell ref="AO103:AO104"/>
    <mergeCell ref="AP103:AP104"/>
    <mergeCell ref="AQ103:AQ104"/>
    <mergeCell ref="AR103:AR104"/>
    <mergeCell ref="AQ88:AQ89"/>
    <mergeCell ref="AR88:AR89"/>
    <mergeCell ref="AS88:AS89"/>
    <mergeCell ref="AT88:AT89"/>
    <mergeCell ref="B103:B104"/>
    <mergeCell ref="B8:B9"/>
    <mergeCell ref="A1:J1"/>
    <mergeCell ref="A2:J2"/>
    <mergeCell ref="Z2:AL2"/>
    <mergeCell ref="Z1:AK1"/>
    <mergeCell ref="B52:B53"/>
    <mergeCell ref="B59:B60"/>
    <mergeCell ref="B64:B65"/>
    <mergeCell ref="B71:B72"/>
    <mergeCell ref="B81:B82"/>
    <mergeCell ref="B88:B89"/>
    <mergeCell ref="B4:B7"/>
    <mergeCell ref="AK4:AL6"/>
    <mergeCell ref="C103:C104"/>
    <mergeCell ref="D103:D104"/>
    <mergeCell ref="E103:E104"/>
    <mergeCell ref="F103:F104"/>
    <mergeCell ref="G103:G104"/>
    <mergeCell ref="H103:H104"/>
    <mergeCell ref="C88:C89"/>
    <mergeCell ref="D88:D89"/>
    <mergeCell ref="E88:E89"/>
    <mergeCell ref="F88:F89"/>
  </mergeCells>
  <pageMargins left="0.7" right="0.7" top="0.75" bottom="0.75" header="0.3" footer="0.3"/>
  <pageSetup paperSize="9" orientation="portrait" r:id="rId1"/>
  <ignoredErrors>
    <ignoredError sqref="B8:AW11 B28:AW28 C27:AW27 B14:AW14 B12:AT12 AW12 B13:AD13 AF13:AR13 AW13 B18:AW19 B15 D15:F15 H15:AD15 AF15:AL15 AO15:AP15 AW15 B16:AT16 AW16 B17:AD17 AF17:AT17 AW17 B24:AW25 B20:AT20 AW20 B21:AD21 AF21:AT21 AW21 B22:AR22 AU22:AW22 B23:AD23 AF23:AW23 B26:AR26 AU26 AW26 B32:AW33 B29 E29:AR29 AU29:AW29 B30:AP30 AU30:AW30 B31:AP31 AS31:AW31 B38:AW39 B34:AR34 AU34:AW34 B35:AR35 AU35 AW35 B36:AD36 AF36:AT36 AW36 B37:AR37 AW37 B45:AW47 B40:AR40 AU40:AW40 B41:AR41 AU41:AW41 B42:AP42 AW42 B43 D43:P43 R43 T43:Z43 AD43:AF43 AH43:AL43 AO43:AP43 AW43 B44:AR44 AW44 B52:AW54 B48:AR48 AW48 B49:AR49 AU49:AW49 B50 D50:T50 V50:AB50 AD50 AF50:AP50 AU50 AW50 B51:AL51 AO51:AP51 AU51:AW51 B59:AW65 B55:AR55 AV55:AW55 B56:F56 H56:X56 Z56 AD56 AF56 AH56:AL56 AO56:AP56 AR56 AV56:AW56 B57:AT57 AV57:AW57 B58:AP58 AR58 AV58:AW58 B70:AW72 B66:AR66 AW66 B67:AD67 AF67:AR67 AU67:AW67 B68:AR68 AW68 B69:AT69 AW69 B81:AW82 B73:AJ73 B74:AP74 AR74 AW74 B75:F75 H75 J75:AJ75 AO75:AP75 AR75 B76:AJ76 B77:AR77 AW77 B78:AP78 AR78 AW78 B79:F79 H79 J79:L79 N79 P79 R79:X79 Z79:AB79 AD79:AF79 AH79 AJ79 AL79 AN79 AP79 AR79 B80:AP80 AR80 AW80 B88:AW89 B83:AR83 AU83:AW83 B84:AD84 AF84:AP84 AR84 AW84 B85:AR85 AW85 B86:AR86 AU86:AW86 B87:AR87 AU87:AW87 B103:AW106 B90:AF90 AH90:AR90 AW90 B91:AL91 AO91:AR91 AW91 B92:AF92 AH92:AL92 AO92:AP92 AR92 AW92 B93:AT93 AW93 B94:F94 H94:J94 L94 N94:V94 X94 Z94:AF94 AH94 AJ94:AL94 AO94:AP94 AR94 AW94 B95:F95 H95:T95 V95 X95:AL95 AO95:AP95 AR95 AW95 B96:AB96 AD96:AR96 AW96 B97:R97 T97:AL97 AO97:AP97 AR97 AW97 B98:R98 T98 V98 X98:AF98 AH98:AR98 AW98 B99:AR99 AU99:AW99 B100:AF100 AH100:AR100 AW100 B101:AR101 AU101:AW101 B102:AR102 AW102 B108:AR108 B107:AT107 AW107 AU108:AW108" unlockedFormula="1"/>
    <ignoredError sqref="B27" formula="1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2015-05-22T06:23:02Z</dcterms:created>
  <dcterms:modified xsi:type="dcterms:W3CDTF">2017-01-20T15:06:10Z</dcterms:modified>
</cp:coreProperties>
</file>