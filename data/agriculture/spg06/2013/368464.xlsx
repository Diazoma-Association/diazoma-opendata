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48" yWindow="288" windowWidth="14856" windowHeight="5760" firstSheet="1" activeTab="1"/>
  </bookViews>
  <sheets>
    <sheet name="ListOfValues" sheetId="2" state="hidden" r:id="rId1"/>
    <sheet name="ΠΙΝΑΚΑΣ 2(η)" sheetId="1" r:id="rId2"/>
  </sheets>
  <calcPr calcId="124519"/>
</workbook>
</file>

<file path=xl/calcChain.xml><?xml version="1.0" encoding="utf-8"?>
<calcChain xmlns="http://schemas.openxmlformats.org/spreadsheetml/2006/main">
  <c r="E8" i="1"/>
  <c r="C103"/>
  <c r="E81"/>
  <c r="F81"/>
  <c r="G81"/>
  <c r="H81"/>
  <c r="I81"/>
  <c r="J81"/>
  <c r="D81"/>
  <c r="L71"/>
  <c r="F71"/>
  <c r="I71"/>
  <c r="H71"/>
  <c r="L32"/>
  <c r="P27"/>
  <c r="O27"/>
  <c r="J27"/>
  <c r="L27"/>
  <c r="E27"/>
  <c r="F27"/>
  <c r="G27"/>
  <c r="H27"/>
  <c r="I27"/>
  <c r="K27"/>
  <c r="C27"/>
  <c r="D27"/>
  <c r="P18"/>
  <c r="O18"/>
  <c r="L18"/>
  <c r="D18"/>
  <c r="E18"/>
  <c r="F18"/>
  <c r="G18"/>
  <c r="H18"/>
  <c r="I18"/>
  <c r="J18"/>
  <c r="K18"/>
  <c r="C18"/>
  <c r="B80"/>
  <c r="N80"/>
  <c r="M80"/>
  <c r="N42"/>
  <c r="N108"/>
  <c r="N107"/>
  <c r="N106"/>
  <c r="N105"/>
  <c r="N102"/>
  <c r="N101"/>
  <c r="N100"/>
  <c r="N99"/>
  <c r="N98"/>
  <c r="N97"/>
  <c r="N96"/>
  <c r="N95"/>
  <c r="N94"/>
  <c r="N93"/>
  <c r="N92"/>
  <c r="N91"/>
  <c r="N90"/>
  <c r="N87"/>
  <c r="N86"/>
  <c r="N85"/>
  <c r="N84"/>
  <c r="N83"/>
  <c r="N79"/>
  <c r="N78"/>
  <c r="N77"/>
  <c r="N76"/>
  <c r="N75"/>
  <c r="N74"/>
  <c r="N73"/>
  <c r="N70"/>
  <c r="N69"/>
  <c r="N68"/>
  <c r="N67"/>
  <c r="N66"/>
  <c r="N63"/>
  <c r="N62"/>
  <c r="N61"/>
  <c r="N58"/>
  <c r="N57"/>
  <c r="N56"/>
  <c r="N55"/>
  <c r="N54"/>
  <c r="N51"/>
  <c r="N50"/>
  <c r="N49"/>
  <c r="N48"/>
  <c r="N47"/>
  <c r="N44"/>
  <c r="N43"/>
  <c r="N41"/>
  <c r="N40"/>
  <c r="N37"/>
  <c r="N36"/>
  <c r="N35"/>
  <c r="N34"/>
  <c r="M108"/>
  <c r="M107"/>
  <c r="M106"/>
  <c r="M105"/>
  <c r="M102"/>
  <c r="M101"/>
  <c r="M100"/>
  <c r="M99"/>
  <c r="M98"/>
  <c r="M97"/>
  <c r="M96"/>
  <c r="M95"/>
  <c r="M94"/>
  <c r="M93"/>
  <c r="M92"/>
  <c r="M91"/>
  <c r="M90"/>
  <c r="M87"/>
  <c r="M86"/>
  <c r="M85"/>
  <c r="M84"/>
  <c r="M83"/>
  <c r="M79"/>
  <c r="M78"/>
  <c r="M77"/>
  <c r="M76"/>
  <c r="M75"/>
  <c r="M74"/>
  <c r="M73"/>
  <c r="M70"/>
  <c r="M69"/>
  <c r="M68"/>
  <c r="M67"/>
  <c r="M66"/>
  <c r="M63"/>
  <c r="M62"/>
  <c r="M61"/>
  <c r="M58"/>
  <c r="M57"/>
  <c r="M56"/>
  <c r="M55"/>
  <c r="M54"/>
  <c r="M51"/>
  <c r="M50"/>
  <c r="M49"/>
  <c r="M48"/>
  <c r="M47"/>
  <c r="M44"/>
  <c r="M43"/>
  <c r="M42"/>
  <c r="M41"/>
  <c r="M40"/>
  <c r="M37"/>
  <c r="M36"/>
  <c r="M35"/>
  <c r="M34"/>
  <c r="N31"/>
  <c r="N30"/>
  <c r="N29"/>
  <c r="N28"/>
  <c r="N26"/>
  <c r="N25"/>
  <c r="N24"/>
  <c r="N23"/>
  <c r="N22"/>
  <c r="N21"/>
  <c r="N20"/>
  <c r="M31"/>
  <c r="M30"/>
  <c r="M29"/>
  <c r="M28"/>
  <c r="M26"/>
  <c r="M25"/>
  <c r="M24"/>
  <c r="M23"/>
  <c r="M22"/>
  <c r="M21"/>
  <c r="M20"/>
  <c r="N13"/>
  <c r="N14"/>
  <c r="N15"/>
  <c r="N16"/>
  <c r="N17"/>
  <c r="N12"/>
  <c r="M13"/>
  <c r="M14"/>
  <c r="M15"/>
  <c r="M16"/>
  <c r="M17"/>
  <c r="M12"/>
  <c r="B12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79"/>
  <c r="B78"/>
  <c r="B77"/>
  <c r="B76"/>
  <c r="B75"/>
  <c r="B74"/>
  <c r="B73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8"/>
  <c r="B26"/>
  <c r="B25"/>
  <c r="B24"/>
  <c r="B23"/>
  <c r="B22"/>
  <c r="B21"/>
  <c r="B20"/>
  <c r="B17"/>
  <c r="B16"/>
  <c r="B15"/>
  <c r="B14"/>
  <c r="B13"/>
  <c r="P103"/>
  <c r="O103"/>
  <c r="L103"/>
  <c r="K103"/>
  <c r="J103"/>
  <c r="I103"/>
  <c r="H103"/>
  <c r="N103" s="1"/>
  <c r="G103"/>
  <c r="M103" s="1"/>
  <c r="F103"/>
  <c r="E103"/>
  <c r="B103" s="1"/>
  <c r="D103"/>
  <c r="P88"/>
  <c r="O88"/>
  <c r="L88"/>
  <c r="K88"/>
  <c r="J88"/>
  <c r="I88"/>
  <c r="H88"/>
  <c r="N88" s="1"/>
  <c r="G88"/>
  <c r="M88" s="1"/>
  <c r="F88"/>
  <c r="E88"/>
  <c r="D88"/>
  <c r="C88"/>
  <c r="P81"/>
  <c r="O81"/>
  <c r="L81"/>
  <c r="N81" s="1"/>
  <c r="K81"/>
  <c r="C81"/>
  <c r="P71"/>
  <c r="O71"/>
  <c r="K71"/>
  <c r="J71"/>
  <c r="N71" s="1"/>
  <c r="G71"/>
  <c r="M71" s="1"/>
  <c r="E71"/>
  <c r="D71"/>
  <c r="C71"/>
  <c r="P64"/>
  <c r="O64"/>
  <c r="L64"/>
  <c r="K64"/>
  <c r="J64"/>
  <c r="I64"/>
  <c r="H64"/>
  <c r="N64" s="1"/>
  <c r="G64"/>
  <c r="M64" s="1"/>
  <c r="F64"/>
  <c r="E64"/>
  <c r="D64"/>
  <c r="C64"/>
  <c r="P59"/>
  <c r="O59"/>
  <c r="L59"/>
  <c r="K59"/>
  <c r="J59"/>
  <c r="I59"/>
  <c r="H59"/>
  <c r="N59" s="1"/>
  <c r="G59"/>
  <c r="M59" s="1"/>
  <c r="F59"/>
  <c r="E59"/>
  <c r="D59"/>
  <c r="C59"/>
  <c r="P52"/>
  <c r="O52"/>
  <c r="L52"/>
  <c r="K52"/>
  <c r="J52"/>
  <c r="I52"/>
  <c r="H52"/>
  <c r="N52" s="1"/>
  <c r="G52"/>
  <c r="M52" s="1"/>
  <c r="F52"/>
  <c r="E52"/>
  <c r="D52"/>
  <c r="C52"/>
  <c r="P45"/>
  <c r="O45"/>
  <c r="L45"/>
  <c r="K45"/>
  <c r="J45"/>
  <c r="I45"/>
  <c r="H45"/>
  <c r="N45" s="1"/>
  <c r="G45"/>
  <c r="M45" s="1"/>
  <c r="F45"/>
  <c r="E45"/>
  <c r="D45"/>
  <c r="C45"/>
  <c r="P38"/>
  <c r="O38"/>
  <c r="L38"/>
  <c r="K38"/>
  <c r="J38"/>
  <c r="I38"/>
  <c r="H38"/>
  <c r="N38" s="1"/>
  <c r="G38"/>
  <c r="M38" s="1"/>
  <c r="F38"/>
  <c r="E38"/>
  <c r="D38"/>
  <c r="C38"/>
  <c r="P32"/>
  <c r="O32"/>
  <c r="K32"/>
  <c r="J32"/>
  <c r="I32"/>
  <c r="H32"/>
  <c r="N32" s="1"/>
  <c r="G32"/>
  <c r="M32" s="1"/>
  <c r="F32"/>
  <c r="E32"/>
  <c r="D32"/>
  <c r="C32"/>
  <c r="P10"/>
  <c r="O10"/>
  <c r="L10"/>
  <c r="K10"/>
  <c r="J10"/>
  <c r="I10"/>
  <c r="H10"/>
  <c r="N10" s="1"/>
  <c r="G10"/>
  <c r="M10" s="1"/>
  <c r="F10"/>
  <c r="E10"/>
  <c r="D10"/>
  <c r="C10"/>
  <c r="B10" s="1"/>
  <c r="O8"/>
  <c r="B81" l="1"/>
  <c r="M18"/>
  <c r="B18"/>
  <c r="N18"/>
  <c r="D8"/>
  <c r="J8"/>
  <c r="B38"/>
  <c r="B45"/>
  <c r="B52"/>
  <c r="B59"/>
  <c r="B64"/>
  <c r="B71"/>
  <c r="I8"/>
  <c r="G8"/>
  <c r="B27"/>
  <c r="C8"/>
  <c r="B32"/>
  <c r="P8"/>
  <c r="L8"/>
  <c r="B88"/>
  <c r="K8"/>
  <c r="H8"/>
  <c r="N8" s="1"/>
  <c r="F8"/>
  <c r="M8"/>
  <c r="M27"/>
  <c r="M81"/>
  <c r="N27"/>
  <c r="B8" l="1"/>
</calcChain>
</file>

<file path=xl/sharedStrings.xml><?xml version="1.0" encoding="utf-8"?>
<sst xmlns="http://schemas.openxmlformats.org/spreadsheetml/2006/main" count="520" uniqueCount="299">
  <si>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</si>
  <si>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</si>
  <si>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</si>
  <si>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</si>
  <si>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</si>
  <si>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</si>
  <si>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</si>
  <si>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</si>
  <si>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</si>
  <si>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</si>
  <si>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</si>
  <si>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</si>
  <si>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</si>
  <si>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</si>
  <si>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</si>
  <si>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</si>
  <si>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</si>
  <si>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</si>
  <si>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</si>
  <si>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</si>
  <si>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</si>
  <si>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</si>
  <si>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</si>
  <si>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</si>
  <si>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</si>
  <si>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</si>
  <si>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</si>
  <si>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</si>
  <si>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</si>
  <si>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</si>
  <si>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</si>
  <si>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</si>
  <si>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</si>
  <si>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</si>
  <si>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</si>
  <si>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</si>
  <si>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</si>
  <si>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</si>
  <si>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</si>
  <si>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</si>
  <si>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</si>
  <si>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</si>
  <si>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</si>
  <si>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</si>
  <si>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</si>
  <si>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</si>
  <si>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</si>
  <si>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</si>
  <si>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</si>
  <si>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</si>
  <si>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</si>
  <si>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</si>
  <si>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</si>
  <si>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</si>
  <si>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</si>
  <si>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</si>
  <si>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</si>
  <si>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</si>
  <si>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</si>
  <si>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</si>
  <si>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</si>
  <si>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</si>
  <si>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</si>
  <si>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</si>
  <si>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</si>
  <si>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</si>
  <si>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</si>
  <si>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</si>
  <si>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</si>
  <si>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</si>
  <si>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</si>
  <si>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</si>
  <si>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</si>
  <si>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</si>
  <si>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</si>
  <si>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</si>
  <si>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</si>
  <si>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</si>
  <si>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</si>
  <si>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</si>
  <si>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</si>
  <si>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</si>
  <si>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</si>
  <si>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</si>
  <si>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</si>
  <si>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</si>
  <si>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</si>
  <si>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</si>
  <si>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</si>
  <si>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</si>
  <si>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</si>
  <si>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</si>
  <si>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</si>
  <si>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</si>
  <si>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</si>
  <si>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</si>
  <si>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</si>
  <si>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</si>
  <si>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</si>
  <si>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</si>
  <si>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</si>
  <si>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</si>
  <si>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</si>
  <si>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</si>
  <si>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</si>
  <si>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</si>
  <si>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</si>
  <si>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</si>
  <si>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</si>
  <si>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</si>
  <si>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</si>
  <si>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</si>
  <si>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</si>
  <si>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</si>
  <si>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</si>
  <si>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</si>
  <si>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</si>
  <si>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</si>
  <si>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</si>
  <si>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</si>
  <si>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</si>
  <si>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</si>
  <si>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</si>
  <si>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</si>
  <si>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</si>
  <si>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</si>
  <si>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</si>
  <si>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</si>
  <si>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</si>
  <si>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</si>
  <si>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</si>
  <si>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</si>
  <si>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</si>
  <si>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</si>
  <si>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</si>
  <si>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</si>
  <si>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</si>
  <si>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</si>
  <si>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</si>
  <si>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</si>
  <si>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</si>
  <si>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</si>
  <si>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</si>
  <si>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</si>
  <si>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</si>
  <si>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</si>
  <si>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</si>
  <si>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</si>
  <si>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</si>
  <si>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</si>
  <si>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</si>
  <si>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</si>
  <si>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</si>
  <si>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</si>
  <si>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</si>
  <si>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</si>
  <si>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</si>
  <si>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</si>
  <si>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</si>
  <si>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</si>
  <si>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</si>
  <si>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</si>
  <si>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</si>
  <si>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</si>
  <si>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</si>
  <si>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</si>
  <si>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</si>
  <si>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</si>
  <si>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</si>
  <si>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</si>
  <si>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</si>
  <si>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</si>
  <si>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</si>
  <si>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</si>
  <si>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</si>
  <si>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</si>
  <si>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</si>
  <si>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</si>
  <si>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</si>
  <si>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</si>
  <si>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</si>
  <si>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</si>
  <si>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</si>
  <si>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</si>
  <si>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</si>
  <si>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</si>
  <si>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</si>
  <si>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</si>
  <si>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</si>
  <si>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</si>
  <si>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</si>
  <si>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</si>
  <si>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</si>
  <si>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</si>
  <si>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</si>
  <si>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</si>
  <si>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</si>
  <si>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</si>
  <si>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</si>
  <si>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</si>
  <si>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</si>
  <si>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</si>
  <si>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</si>
  <si>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</si>
  <si>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</si>
  <si>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</si>
  <si>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</si>
  <si>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</si>
  <si>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</si>
  <si>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</si>
  <si>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</si>
  <si>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</si>
  <si>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</si>
  <si>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</si>
  <si>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</si>
  <si>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</si>
  <si>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</si>
  <si>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</si>
  <si>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</si>
  <si>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</si>
  <si>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</si>
  <si>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</si>
  <si>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</si>
  <si>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</si>
  <si>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</si>
  <si>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</si>
  <si>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</si>
  <si>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</si>
  <si>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</si>
  <si>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</si>
  <si>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</si>
  <si>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</si>
  <si>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</si>
  <si>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</si>
  <si>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</si>
  <si>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</si>
  <si>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</si>
  <si>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</si>
  <si>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</si>
  <si>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</si>
  <si>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</si>
  <si>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</si>
  <si>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</si>
  <si>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</si>
  <si>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</si>
  <si>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</si>
  <si>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</si>
  <si>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</si>
  <si>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</si>
  <si>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</si>
  <si>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</si>
  <si>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</si>
  <si>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</si>
  <si>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</si>
  <si>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</si>
  <si>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</si>
  <si>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</si>
  <si>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</si>
  <si>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</si>
  <si>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</si>
  <si>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</si>
  <si>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</si>
  <si>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</si>
  <si>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</si>
  <si>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</si>
  <si>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</si>
  <si>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</si>
  <si>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</si>
  <si>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</si>
  <si>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</si>
  <si>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</si>
  <si>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</si>
  <si>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</si>
  <si>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</si>
  <si>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</si>
  <si>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</si>
  <si>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</si>
  <si>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</si>
  <si>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</si>
  <si>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</si>
  <si>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</si>
  <si>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</si>
  <si>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</si>
  <si>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</si>
  <si>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 xml:space="preserve"> Σύνολο     Εκτάσεων  Total     Area</t>
  </si>
  <si>
    <t>Potatoes harvested</t>
  </si>
  <si>
    <t>το φθινόπωρο ή χειμώνα in autumn or winter</t>
  </si>
  <si>
    <t>Σύνολο Total</t>
  </si>
  <si>
    <t>Γλυκοπατάτες Sweet potatoes</t>
  </si>
  <si>
    <t>Πεπόνια               Melons</t>
  </si>
  <si>
    <t>Καρπούζια     Watermelons</t>
  </si>
  <si>
    <t>την άνοιξη                               in spring</t>
  </si>
  <si>
    <t>—</t>
  </si>
  <si>
    <t>το καλοκαίρι             in summer</t>
  </si>
  <si>
    <t>Table 2h. Melons, watermelons and potatoes. Areas and production, by Region and Regional Unities: 2013</t>
  </si>
  <si>
    <t>Πίνακας 2η. Πεπονοειδή και πατάτες. Εκτάσεις και παραγωγή, κατά Περιφέρεια και Περιφερειακή Ενότητα: 2013.</t>
  </si>
  <si>
    <t>Πατάτες συγκομιζόμενες</t>
  </si>
  <si>
    <t>Περιφέρεια Δυτικής Μακεδονίας</t>
  </si>
  <si>
    <t>Region of Western Macedonia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</si>
</sst>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11"/>
      <color theme="1"/>
      <name val="Arial"/>
      <family val="2"/>
      <charset val="161"/>
    </font>
    <font>
      <b/>
      <sz val="8"/>
      <color theme="1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12" fillId="0" borderId="0" xfId="0" applyFont="1" applyProtection="1">
      <protection locked="0"/>
    </xf>
    <xf numFmtId="0" fontId="2" fillId="0" borderId="1" xfId="0" applyNumberFormat="1" applyFont="1" applyFill="1" applyBorder="1" applyAlignme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0" fontId="12" fillId="0" borderId="0" xfId="0" applyFont="1" applyBorder="1" applyAlignment="1" applyProtection="1"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1" xfId="0" applyFont="1" applyBorder="1" applyAlignment="1" applyProtection="1">
      <protection locked="0"/>
    </xf>
    <xf numFmtId="49" fontId="12" fillId="0" borderId="0" xfId="0" applyNumberFormat="1" applyFont="1" applyAlignment="1" applyProtection="1">
      <alignment wrapText="1"/>
      <protection locked="0"/>
    </xf>
    <xf numFmtId="49" fontId="12" fillId="0" borderId="0" xfId="0" applyNumberFormat="1" applyFont="1" applyProtection="1">
      <protection locked="0"/>
    </xf>
    <xf numFmtId="49" fontId="4" fillId="2" borderId="5" xfId="0" applyNumberFormat="1" applyFont="1" applyFill="1" applyBorder="1"/>
    <xf numFmtId="49" fontId="4" fillId="2" borderId="4" xfId="0" applyNumberFormat="1" applyFont="1" applyFill="1" applyBorder="1" applyAlignment="1">
      <alignment horizontal="left"/>
    </xf>
    <xf numFmtId="0" fontId="5" fillId="2" borderId="4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4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4" xfId="0" applyNumberFormat="1" applyFont="1" applyFill="1" applyBorder="1"/>
    <xf numFmtId="0" fontId="5" fillId="10" borderId="4" xfId="0" applyNumberFormat="1" applyFont="1" applyFill="1" applyBorder="1" applyAlignment="1" applyProtection="1"/>
    <xf numFmtId="49" fontId="6" fillId="10" borderId="4" xfId="0" applyNumberFormat="1" applyFont="1" applyFill="1" applyBorder="1"/>
    <xf numFmtId="49" fontId="6" fillId="10" borderId="4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6" fillId="6" borderId="4" xfId="0" applyNumberFormat="1" applyFont="1" applyFill="1" applyBorder="1"/>
    <xf numFmtId="0" fontId="8" fillId="6" borderId="4" xfId="0" applyNumberFormat="1" applyFont="1" applyFill="1" applyBorder="1" applyAlignment="1" applyProtection="1"/>
    <xf numFmtId="49" fontId="6" fillId="6" borderId="4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4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4" xfId="0" applyNumberFormat="1" applyFont="1" applyFill="1" applyBorder="1"/>
    <xf numFmtId="49" fontId="6" fillId="2" borderId="4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4" xfId="0" applyNumberFormat="1" applyFont="1" applyFill="1" applyBorder="1" applyAlignment="1" applyProtection="1"/>
    <xf numFmtId="49" fontId="6" fillId="8" borderId="4" xfId="0" applyNumberFormat="1" applyFont="1" applyFill="1" applyBorder="1"/>
    <xf numFmtId="49" fontId="4" fillId="8" borderId="4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13" fillId="0" borderId="0" xfId="0" applyNumberFormat="1" applyFont="1" applyBorder="1" applyAlignment="1" applyProtection="1">
      <alignment horizontal="left" vertical="center" wrapText="1" indent="2"/>
      <protection locked="0"/>
    </xf>
    <xf numFmtId="0" fontId="12" fillId="0" borderId="0" xfId="0" applyFont="1" applyBorder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6" xfId="0" applyFont="1" applyBorder="1" applyAlignment="1" applyProtection="1">
      <alignment horizontal="center"/>
      <protection locked="0"/>
    </xf>
    <xf numFmtId="3" fontId="2" fillId="0" borderId="17" xfId="0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  <protection locked="0"/>
    </xf>
    <xf numFmtId="3" fontId="2" fillId="15" borderId="18" xfId="0" applyNumberFormat="1" applyFont="1" applyFill="1" applyBorder="1" applyAlignment="1">
      <alignment horizontal="right" vertical="top" wrapText="1"/>
    </xf>
    <xf numFmtId="0" fontId="2" fillId="15" borderId="18" xfId="0" applyFont="1" applyFill="1" applyBorder="1" applyAlignment="1">
      <alignment horizontal="right" vertical="top" wrapText="1"/>
    </xf>
    <xf numFmtId="3" fontId="2" fillId="0" borderId="18" xfId="0" applyNumberFormat="1" applyFont="1" applyFill="1" applyBorder="1" applyAlignment="1" applyProtection="1">
      <alignment horizontal="right"/>
    </xf>
    <xf numFmtId="3" fontId="2" fillId="15" borderId="18" xfId="0" applyNumberFormat="1" applyFont="1" applyFill="1" applyBorder="1" applyAlignment="1">
      <alignment horizontal="right" wrapText="1"/>
    </xf>
    <xf numFmtId="0" fontId="12" fillId="0" borderId="0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49" fontId="6" fillId="16" borderId="4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4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4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3" fontId="1" fillId="0" borderId="18" xfId="0" applyNumberFormat="1" applyFont="1" applyBorder="1" applyAlignment="1" applyProtection="1">
      <alignment horizontal="right" vertical="center"/>
    </xf>
    <xf numFmtId="0" fontId="15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4" xfId="0" applyFont="1" applyBorder="1" applyAlignment="1" applyProtection="1">
      <alignment horizontal="right" vertical="center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Protection="1">
      <protection locked="0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29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1" fillId="0" borderId="23" xfId="0" applyNumberFormat="1" applyFont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0" fontId="12" fillId="0" borderId="25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2" fillId="0" borderId="31" xfId="0" applyFont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3" fontId="1" fillId="0" borderId="28" xfId="0" applyNumberFormat="1" applyFont="1" applyBorder="1" applyAlignment="1" applyProtection="1">
      <alignment horizontal="right" vertical="center"/>
    </xf>
    <xf numFmtId="3" fontId="1" fillId="0" borderId="25" xfId="0" applyNumberFormat="1" applyFont="1" applyBorder="1" applyAlignment="1" applyProtection="1">
      <alignment horizontal="right" vertical="center"/>
    </xf>
    <xf numFmtId="0" fontId="1" fillId="0" borderId="29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7" xfId="0" applyNumberFormat="1" applyFont="1" applyFill="1" applyBorder="1" applyAlignment="1" applyProtection="1">
      <alignment horizontal="center" vertical="center" wrapText="1"/>
      <protection locked="0"/>
    </xf>
    <xf numFmtId="3" fontId="1" fillId="15" borderId="18" xfId="0" applyNumberFormat="1" applyFont="1" applyFill="1" applyBorder="1" applyAlignment="1">
      <alignment horizontal="right" vertical="center" wrapText="1"/>
    </xf>
    <xf numFmtId="3" fontId="1" fillId="0" borderId="18" xfId="0" applyNumberFormat="1" applyFont="1" applyFill="1" applyBorder="1" applyAlignment="1" applyProtection="1">
      <alignment horizontal="right" vertical="center"/>
    </xf>
    <xf numFmtId="3" fontId="1" fillId="0" borderId="17" xfId="0" applyNumberFormat="1" applyFont="1" applyFill="1" applyBorder="1" applyAlignment="1" applyProtection="1">
      <alignment horizontal="right" vertical="center"/>
    </xf>
    <xf numFmtId="49" fontId="15" fillId="0" borderId="0" xfId="0" applyNumberFormat="1" applyFont="1" applyAlignment="1" applyProtection="1">
      <alignment vertical="center" wrapTex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3" fontId="1" fillId="0" borderId="33" xfId="0" applyNumberFormat="1" applyFont="1" applyBorder="1" applyAlignment="1" applyProtection="1">
      <alignment horizontal="right" vertical="center"/>
    </xf>
    <xf numFmtId="3" fontId="1" fillId="0" borderId="21" xfId="0" applyNumberFormat="1" applyFont="1" applyBorder="1" applyAlignment="1" applyProtection="1">
      <alignment horizontal="right" vertical="center"/>
    </xf>
    <xf numFmtId="3" fontId="1" fillId="0" borderId="34" xfId="0" applyNumberFormat="1" applyFont="1" applyBorder="1" applyAlignment="1" applyProtection="1">
      <alignment horizontal="right" vertical="center"/>
    </xf>
    <xf numFmtId="3" fontId="2" fillId="0" borderId="21" xfId="0" applyNumberFormat="1" applyFont="1" applyBorder="1" applyAlignment="1" applyProtection="1">
      <alignment horizontal="right" vertical="center"/>
    </xf>
    <xf numFmtId="3" fontId="2" fillId="0" borderId="34" xfId="0" quotePrefix="1" applyNumberFormat="1" applyFont="1" applyFill="1" applyBorder="1" applyAlignment="1" applyProtection="1">
      <alignment horizontal="right"/>
      <protection locked="0"/>
    </xf>
    <xf numFmtId="3" fontId="2" fillId="0" borderId="34" xfId="0" applyNumberFormat="1" applyFont="1" applyBorder="1"/>
    <xf numFmtId="3" fontId="1" fillId="0" borderId="21" xfId="0" applyNumberFormat="1" applyFont="1" applyBorder="1" applyAlignment="1" applyProtection="1">
      <alignment horizontal="right" vertical="center"/>
    </xf>
    <xf numFmtId="3" fontId="1" fillId="15" borderId="34" xfId="0" applyNumberFormat="1" applyFont="1" applyFill="1" applyBorder="1" applyAlignment="1">
      <alignment horizontal="right" vertical="center" wrapText="1"/>
    </xf>
    <xf numFmtId="3" fontId="2" fillId="0" borderId="35" xfId="0" applyNumberFormat="1" applyFont="1" applyBorder="1" applyAlignment="1" applyProtection="1">
      <alignment horizontal="right" vertical="center"/>
    </xf>
    <xf numFmtId="3" fontId="2" fillId="15" borderId="36" xfId="0" applyNumberFormat="1" applyFont="1" applyFill="1" applyBorder="1" applyAlignment="1">
      <alignment horizontal="right" vertical="top" wrapText="1"/>
    </xf>
    <xf numFmtId="3" fontId="2" fillId="0" borderId="36" xfId="0" applyNumberFormat="1" applyFont="1" applyFill="1" applyBorder="1" applyAlignment="1" applyProtection="1">
      <alignment horizontal="right"/>
    </xf>
    <xf numFmtId="3" fontId="2" fillId="0" borderId="37" xfId="0" applyNumberFormat="1" applyFont="1" applyFill="1" applyBorder="1" applyAlignment="1" applyProtection="1">
      <alignment horizontal="right"/>
    </xf>
    <xf numFmtId="3" fontId="2" fillId="0" borderId="38" xfId="0" applyNumberFormat="1" applyFont="1" applyBorder="1"/>
    <xf numFmtId="3" fontId="12" fillId="0" borderId="0" xfId="0" applyNumberFormat="1" applyFont="1" applyBorder="1" applyAlignment="1" applyProtection="1">
      <protection locked="0"/>
    </xf>
    <xf numFmtId="3" fontId="1" fillId="0" borderId="39" xfId="0" applyNumberFormat="1" applyFont="1" applyBorder="1" applyAlignment="1" applyProtection="1">
      <alignment horizontal="right" vertical="center"/>
    </xf>
    <xf numFmtId="3" fontId="1" fillId="0" borderId="7" xfId="0" applyNumberFormat="1" applyFont="1" applyBorder="1" applyAlignment="1" applyProtection="1">
      <alignment horizontal="right" vertical="center"/>
    </xf>
    <xf numFmtId="0" fontId="0" fillId="0" borderId="8" xfId="0" applyBorder="1"/>
    <xf numFmtId="0" fontId="0" fillId="0" borderId="19" xfId="0" applyBorder="1"/>
    <xf numFmtId="0" fontId="12" fillId="0" borderId="0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IV65536"/>
    </sheetView>
  </sheetViews>
  <sheetFormatPr defaultRowHeight="14.4"/>
  <sheetData>
    <row r="1" spans="1:13">
      <c r="A1" s="11" t="s">
        <v>179</v>
      </c>
      <c r="B1" s="12" t="s">
        <v>7</v>
      </c>
      <c r="C1" s="13"/>
      <c r="D1" s="14"/>
      <c r="E1" s="14"/>
      <c r="F1" s="14"/>
      <c r="G1" s="14"/>
      <c r="H1" s="147" t="s">
        <v>180</v>
      </c>
      <c r="I1" s="15"/>
      <c r="J1" s="13"/>
      <c r="K1" s="13"/>
      <c r="L1" s="13"/>
      <c r="M1" s="16"/>
    </row>
    <row r="2" spans="1:13">
      <c r="A2" s="17" t="s">
        <v>181</v>
      </c>
      <c r="B2" s="18" t="s">
        <v>9</v>
      </c>
      <c r="C2" s="19"/>
      <c r="D2" s="19"/>
      <c r="E2" s="19"/>
      <c r="F2" s="19"/>
      <c r="G2" s="19"/>
      <c r="H2" s="148"/>
      <c r="I2" s="20"/>
      <c r="J2" s="19"/>
      <c r="K2" s="19"/>
      <c r="L2" s="19"/>
      <c r="M2" s="21"/>
    </row>
    <row r="3" spans="1:13">
      <c r="A3" s="17" t="s">
        <v>182</v>
      </c>
      <c r="B3" s="18" t="s">
        <v>11</v>
      </c>
      <c r="C3" s="19"/>
      <c r="D3" s="150" t="s">
        <v>183</v>
      </c>
      <c r="E3" s="150"/>
      <c r="F3" s="150"/>
      <c r="G3" s="150"/>
      <c r="H3" s="148"/>
      <c r="I3" s="20"/>
      <c r="J3" s="19"/>
      <c r="K3" s="19"/>
      <c r="L3" s="19"/>
      <c r="M3" s="21"/>
    </row>
    <row r="4" spans="1:13">
      <c r="A4" s="17" t="s">
        <v>184</v>
      </c>
      <c r="B4" s="18" t="s">
        <v>13</v>
      </c>
      <c r="C4" s="19"/>
      <c r="D4" s="22" t="s">
        <v>185</v>
      </c>
      <c r="E4" s="19"/>
      <c r="F4" s="19"/>
      <c r="G4" s="19"/>
      <c r="H4" s="148"/>
      <c r="I4" s="20"/>
      <c r="J4" s="19"/>
      <c r="K4" s="19"/>
      <c r="L4" s="19"/>
      <c r="M4" s="21"/>
    </row>
    <row r="5" spans="1:13">
      <c r="A5" s="17" t="s">
        <v>186</v>
      </c>
      <c r="B5" s="18" t="s">
        <v>15</v>
      </c>
      <c r="C5" s="19"/>
      <c r="D5" s="19"/>
      <c r="E5" s="19"/>
      <c r="F5" s="19"/>
      <c r="G5" s="19"/>
      <c r="H5" s="148"/>
      <c r="I5" s="20"/>
      <c r="J5" s="19"/>
      <c r="K5" s="19"/>
      <c r="L5" s="19"/>
      <c r="M5" s="21"/>
    </row>
    <row r="6" spans="1:13">
      <c r="A6" s="17" t="s">
        <v>187</v>
      </c>
      <c r="B6" s="18" t="s">
        <v>17</v>
      </c>
      <c r="C6" s="19"/>
      <c r="D6" s="19"/>
      <c r="E6" s="19"/>
      <c r="F6" s="19"/>
      <c r="G6" s="19"/>
      <c r="H6" s="148"/>
      <c r="I6" s="20"/>
      <c r="J6" s="19"/>
      <c r="K6" s="19"/>
      <c r="L6" s="19"/>
      <c r="M6" s="21"/>
    </row>
    <row r="7" spans="1:13">
      <c r="A7" s="23" t="s">
        <v>188</v>
      </c>
      <c r="B7" s="24" t="s">
        <v>21</v>
      </c>
      <c r="C7" s="25"/>
      <c r="D7" s="26"/>
      <c r="E7" s="25"/>
      <c r="F7" s="25"/>
      <c r="G7" s="25"/>
      <c r="H7" s="148"/>
      <c r="I7" s="27"/>
      <c r="J7" s="25"/>
      <c r="K7" s="25"/>
      <c r="L7" s="25"/>
      <c r="M7" s="28"/>
    </row>
    <row r="8" spans="1:13">
      <c r="A8" s="23" t="s">
        <v>189</v>
      </c>
      <c r="B8" s="29" t="s">
        <v>23</v>
      </c>
      <c r="C8" s="25"/>
      <c r="D8" s="25"/>
      <c r="E8" s="25"/>
      <c r="F8" s="25"/>
      <c r="G8" s="25"/>
      <c r="H8" s="148"/>
      <c r="I8" s="27"/>
      <c r="J8" s="29"/>
      <c r="K8" s="30"/>
      <c r="L8" s="25"/>
      <c r="M8" s="28"/>
    </row>
    <row r="9" spans="1:13">
      <c r="A9" s="23" t="s">
        <v>190</v>
      </c>
      <c r="B9" s="29" t="s">
        <v>25</v>
      </c>
      <c r="C9" s="25"/>
      <c r="D9" s="25"/>
      <c r="E9" s="25"/>
      <c r="F9" s="25"/>
      <c r="G9" s="25"/>
      <c r="H9" s="148"/>
      <c r="I9" s="27"/>
      <c r="J9" s="25"/>
      <c r="K9" s="25"/>
      <c r="L9" s="25"/>
      <c r="M9" s="28"/>
    </row>
    <row r="10" spans="1:13">
      <c r="A10" s="23" t="s">
        <v>191</v>
      </c>
      <c r="B10" s="29" t="s">
        <v>27</v>
      </c>
      <c r="C10" s="25"/>
      <c r="D10" s="25"/>
      <c r="E10" s="25"/>
      <c r="F10" s="25"/>
      <c r="G10" s="25"/>
      <c r="H10" s="148"/>
      <c r="I10" s="27"/>
      <c r="J10" s="25"/>
      <c r="K10" s="25"/>
      <c r="L10" s="25"/>
      <c r="M10" s="28"/>
    </row>
    <row r="11" spans="1:13">
      <c r="A11" s="23" t="s">
        <v>192</v>
      </c>
      <c r="B11" s="29" t="s">
        <v>29</v>
      </c>
      <c r="C11" s="25"/>
      <c r="D11" s="31" t="s">
        <v>193</v>
      </c>
      <c r="E11" s="25"/>
      <c r="F11" s="25"/>
      <c r="G11" s="25"/>
      <c r="H11" s="148"/>
      <c r="I11" s="27"/>
      <c r="J11" s="25"/>
      <c r="K11" s="25"/>
      <c r="L11" s="25"/>
      <c r="M11" s="28"/>
    </row>
    <row r="12" spans="1:13">
      <c r="A12" s="23" t="s">
        <v>194</v>
      </c>
      <c r="B12" s="29" t="s">
        <v>31</v>
      </c>
      <c r="C12" s="25"/>
      <c r="D12" s="25"/>
      <c r="E12" s="25"/>
      <c r="F12" s="25"/>
      <c r="G12" s="25"/>
      <c r="H12" s="148"/>
      <c r="I12" s="27"/>
      <c r="J12" s="25"/>
      <c r="K12" s="25"/>
      <c r="L12" s="25"/>
      <c r="M12" s="28"/>
    </row>
    <row r="13" spans="1:13">
      <c r="A13" s="23" t="s">
        <v>195</v>
      </c>
      <c r="B13" s="29" t="s">
        <v>33</v>
      </c>
      <c r="C13" s="25"/>
      <c r="D13" s="25"/>
      <c r="E13" s="25"/>
      <c r="F13" s="25"/>
      <c r="G13" s="25"/>
      <c r="H13" s="148"/>
      <c r="I13" s="27"/>
      <c r="J13" s="25"/>
      <c r="K13" s="25"/>
      <c r="L13" s="25"/>
      <c r="M13" s="28"/>
    </row>
    <row r="14" spans="1:13">
      <c r="A14" s="23" t="s">
        <v>196</v>
      </c>
      <c r="B14" s="29" t="s">
        <v>35</v>
      </c>
      <c r="C14" s="25"/>
      <c r="D14" s="25"/>
      <c r="E14" s="25"/>
      <c r="F14" s="25"/>
      <c r="G14" s="25"/>
      <c r="H14" s="148"/>
      <c r="I14" s="27"/>
      <c r="J14" s="25"/>
      <c r="K14" s="25"/>
      <c r="L14" s="25"/>
      <c r="M14" s="28"/>
    </row>
    <row r="15" spans="1:13">
      <c r="A15" s="23" t="s">
        <v>197</v>
      </c>
      <c r="B15" s="29" t="s">
        <v>37</v>
      </c>
      <c r="C15" s="25"/>
      <c r="D15" s="25"/>
      <c r="E15" s="25"/>
      <c r="F15" s="25"/>
      <c r="G15" s="25"/>
      <c r="H15" s="148"/>
      <c r="I15" s="27"/>
      <c r="J15" s="25"/>
      <c r="K15" s="25"/>
      <c r="L15" s="25"/>
      <c r="M15" s="28"/>
    </row>
    <row r="16" spans="1:13">
      <c r="A16" s="23" t="s">
        <v>198</v>
      </c>
      <c r="B16" s="29" t="s">
        <v>39</v>
      </c>
      <c r="C16" s="25"/>
      <c r="D16" s="25"/>
      <c r="E16" s="25"/>
      <c r="F16" s="25"/>
      <c r="G16" s="25"/>
      <c r="H16" s="148"/>
      <c r="I16" s="27"/>
      <c r="J16" s="25"/>
      <c r="K16" s="25"/>
      <c r="L16" s="25"/>
      <c r="M16" s="28"/>
    </row>
    <row r="17" spans="1:13">
      <c r="A17" s="23" t="s">
        <v>199</v>
      </c>
      <c r="B17" s="29" t="s">
        <v>41</v>
      </c>
      <c r="C17" s="25"/>
      <c r="D17" s="25"/>
      <c r="E17" s="25"/>
      <c r="F17" s="25"/>
      <c r="G17" s="25"/>
      <c r="H17" s="148"/>
      <c r="I17" s="27"/>
      <c r="J17" s="25"/>
      <c r="K17" s="25"/>
      <c r="L17" s="25"/>
      <c r="M17" s="28"/>
    </row>
    <row r="18" spans="1:13">
      <c r="A18" s="32" t="s">
        <v>200</v>
      </c>
      <c r="B18" s="33" t="s">
        <v>45</v>
      </c>
      <c r="C18" s="34"/>
      <c r="D18" s="35"/>
      <c r="E18" s="34"/>
      <c r="F18" s="34"/>
      <c r="G18" s="34"/>
      <c r="H18" s="148"/>
      <c r="I18" s="36"/>
      <c r="J18" s="33"/>
      <c r="K18" s="33"/>
      <c r="L18" s="34"/>
      <c r="M18" s="37"/>
    </row>
    <row r="19" spans="1:13">
      <c r="A19" s="32" t="s">
        <v>201</v>
      </c>
      <c r="B19" s="33" t="s">
        <v>47</v>
      </c>
      <c r="C19" s="34"/>
      <c r="D19" s="34"/>
      <c r="E19" s="34"/>
      <c r="F19" s="34"/>
      <c r="G19" s="34"/>
      <c r="H19" s="148"/>
      <c r="I19" s="36"/>
      <c r="J19" s="33"/>
      <c r="K19" s="33"/>
      <c r="L19" s="34"/>
      <c r="M19" s="37"/>
    </row>
    <row r="20" spans="1:13">
      <c r="A20" s="32" t="s">
        <v>202</v>
      </c>
      <c r="B20" s="33" t="s">
        <v>49</v>
      </c>
      <c r="C20" s="34"/>
      <c r="D20" s="38" t="s">
        <v>203</v>
      </c>
      <c r="E20" s="34"/>
      <c r="F20" s="34"/>
      <c r="G20" s="34"/>
      <c r="H20" s="148"/>
      <c r="I20" s="36"/>
      <c r="J20" s="33"/>
      <c r="K20" s="33"/>
      <c r="L20" s="34"/>
      <c r="M20" s="37"/>
    </row>
    <row r="21" spans="1:13" ht="15" thickBot="1">
      <c r="A21" s="39" t="s">
        <v>204</v>
      </c>
      <c r="B21" s="40" t="s">
        <v>51</v>
      </c>
      <c r="C21" s="41"/>
      <c r="D21" s="41"/>
      <c r="E21" s="41"/>
      <c r="F21" s="41"/>
      <c r="G21" s="41"/>
      <c r="H21" s="149"/>
      <c r="I21" s="42"/>
      <c r="J21" s="40"/>
      <c r="K21" s="40"/>
      <c r="L21" s="41"/>
      <c r="M21" s="43"/>
    </row>
    <row r="22" spans="1:13">
      <c r="A22" s="44" t="s">
        <v>205</v>
      </c>
      <c r="B22" s="45" t="s">
        <v>55</v>
      </c>
      <c r="C22" s="46"/>
      <c r="D22" s="47"/>
      <c r="E22" s="46"/>
      <c r="F22" s="46"/>
      <c r="G22" s="48"/>
      <c r="H22" s="151" t="s">
        <v>206</v>
      </c>
      <c r="I22" s="46"/>
      <c r="J22" s="45"/>
      <c r="K22" s="45"/>
      <c r="L22" s="46"/>
      <c r="M22" s="49"/>
    </row>
    <row r="23" spans="1:13">
      <c r="A23" s="50" t="s">
        <v>207</v>
      </c>
      <c r="B23" s="51" t="s">
        <v>57</v>
      </c>
      <c r="C23" s="52"/>
      <c r="D23" s="52"/>
      <c r="E23" s="52"/>
      <c r="F23" s="52"/>
      <c r="G23" s="53"/>
      <c r="H23" s="152"/>
      <c r="I23" s="52"/>
      <c r="J23" s="51"/>
      <c r="K23" s="51"/>
      <c r="L23" s="52"/>
      <c r="M23" s="54"/>
    </row>
    <row r="24" spans="1:13">
      <c r="A24" s="50" t="s">
        <v>208</v>
      </c>
      <c r="B24" s="51" t="s">
        <v>59</v>
      </c>
      <c r="C24" s="52"/>
      <c r="D24" s="55" t="s">
        <v>209</v>
      </c>
      <c r="E24" s="52"/>
      <c r="F24" s="52"/>
      <c r="G24" s="53"/>
      <c r="H24" s="152"/>
      <c r="I24" s="52"/>
      <c r="J24" s="51"/>
      <c r="K24" s="51"/>
      <c r="L24" s="52"/>
      <c r="M24" s="54"/>
    </row>
    <row r="25" spans="1:13">
      <c r="A25" s="50" t="s">
        <v>210</v>
      </c>
      <c r="B25" s="51" t="s">
        <v>61</v>
      </c>
      <c r="C25" s="52"/>
      <c r="D25" s="52"/>
      <c r="E25" s="52"/>
      <c r="F25" s="52"/>
      <c r="G25" s="53"/>
      <c r="H25" s="152"/>
      <c r="I25" s="52"/>
      <c r="J25" s="51"/>
      <c r="K25" s="51"/>
      <c r="L25" s="52"/>
      <c r="M25" s="54"/>
    </row>
    <row r="26" spans="1:13">
      <c r="A26" s="50" t="s">
        <v>211</v>
      </c>
      <c r="B26" s="51" t="s">
        <v>63</v>
      </c>
      <c r="C26" s="52"/>
      <c r="D26" s="52"/>
      <c r="E26" s="52"/>
      <c r="F26" s="52"/>
      <c r="G26" s="53"/>
      <c r="H26" s="152"/>
      <c r="I26" s="52"/>
      <c r="J26" s="51"/>
      <c r="K26" s="51"/>
      <c r="L26" s="52"/>
      <c r="M26" s="54"/>
    </row>
    <row r="27" spans="1:13">
      <c r="A27" s="56" t="s">
        <v>212</v>
      </c>
      <c r="B27" s="57" t="s">
        <v>67</v>
      </c>
      <c r="C27" s="58"/>
      <c r="D27" s="59"/>
      <c r="E27" s="58"/>
      <c r="F27" s="58"/>
      <c r="G27" s="60"/>
      <c r="H27" s="152"/>
      <c r="I27" s="58"/>
      <c r="J27" s="57"/>
      <c r="K27" s="57"/>
      <c r="L27" s="58"/>
      <c r="M27" s="61"/>
    </row>
    <row r="28" spans="1:13">
      <c r="A28" s="56" t="s">
        <v>213</v>
      </c>
      <c r="B28" s="57" t="s">
        <v>69</v>
      </c>
      <c r="C28" s="58"/>
      <c r="D28" s="58"/>
      <c r="E28" s="58"/>
      <c r="F28" s="58"/>
      <c r="G28" s="60"/>
      <c r="H28" s="152"/>
      <c r="I28" s="58"/>
      <c r="J28" s="57"/>
      <c r="K28" s="57"/>
      <c r="L28" s="58"/>
      <c r="M28" s="61"/>
    </row>
    <row r="29" spans="1:13">
      <c r="A29" s="56" t="s">
        <v>214</v>
      </c>
      <c r="B29" s="57" t="s">
        <v>71</v>
      </c>
      <c r="C29" s="58"/>
      <c r="D29" s="62" t="s">
        <v>215</v>
      </c>
      <c r="E29" s="58"/>
      <c r="F29" s="58"/>
      <c r="G29" s="60"/>
      <c r="H29" s="152"/>
      <c r="I29" s="58"/>
      <c r="J29" s="57"/>
      <c r="K29" s="57"/>
      <c r="L29" s="58"/>
      <c r="M29" s="61"/>
    </row>
    <row r="30" spans="1:13">
      <c r="A30" s="56" t="s">
        <v>216</v>
      </c>
      <c r="B30" s="57" t="s">
        <v>73</v>
      </c>
      <c r="C30" s="58"/>
      <c r="D30" s="58"/>
      <c r="E30" s="58"/>
      <c r="F30" s="58"/>
      <c r="G30" s="60"/>
      <c r="H30" s="152"/>
      <c r="I30" s="58"/>
      <c r="J30" s="57"/>
      <c r="K30" s="57"/>
      <c r="L30" s="58"/>
      <c r="M30" s="61"/>
    </row>
    <row r="31" spans="1:13" ht="15" thickBot="1">
      <c r="A31" s="63" t="s">
        <v>217</v>
      </c>
      <c r="B31" s="64" t="s">
        <v>75</v>
      </c>
      <c r="C31" s="65"/>
      <c r="D31" s="65"/>
      <c r="E31" s="65"/>
      <c r="F31" s="65"/>
      <c r="G31" s="66"/>
      <c r="H31" s="153"/>
      <c r="I31" s="65"/>
      <c r="J31" s="64"/>
      <c r="K31" s="64"/>
      <c r="L31" s="65"/>
      <c r="M31" s="67"/>
    </row>
    <row r="32" spans="1:13">
      <c r="A32" s="68" t="s">
        <v>218</v>
      </c>
      <c r="B32" s="69" t="s">
        <v>79</v>
      </c>
      <c r="C32" s="70"/>
      <c r="D32" s="71"/>
      <c r="E32" s="72"/>
      <c r="F32" s="72"/>
      <c r="G32" s="73"/>
      <c r="H32" s="154" t="s">
        <v>219</v>
      </c>
      <c r="I32" s="72"/>
      <c r="J32" s="71"/>
      <c r="K32" s="71"/>
      <c r="L32" s="72"/>
      <c r="M32" s="74"/>
    </row>
    <row r="33" spans="1:13">
      <c r="A33" s="75" t="s">
        <v>220</v>
      </c>
      <c r="B33" s="76" t="s">
        <v>81</v>
      </c>
      <c r="C33" s="77"/>
      <c r="D33" s="77"/>
      <c r="E33" s="77"/>
      <c r="F33" s="77"/>
      <c r="G33" s="78"/>
      <c r="H33" s="155"/>
      <c r="I33" s="77"/>
      <c r="J33" s="76"/>
      <c r="K33" s="76"/>
      <c r="L33" s="77"/>
      <c r="M33" s="79"/>
    </row>
    <row r="34" spans="1:13">
      <c r="A34" s="75" t="s">
        <v>221</v>
      </c>
      <c r="B34" s="76" t="s">
        <v>83</v>
      </c>
      <c r="C34" s="77"/>
      <c r="D34" s="80" t="s">
        <v>222</v>
      </c>
      <c r="E34" s="77"/>
      <c r="F34" s="77"/>
      <c r="G34" s="78"/>
      <c r="H34" s="155"/>
      <c r="I34" s="77"/>
      <c r="J34" s="76"/>
      <c r="K34" s="76"/>
      <c r="L34" s="77"/>
      <c r="M34" s="79"/>
    </row>
    <row r="35" spans="1:13">
      <c r="A35" s="75" t="s">
        <v>223</v>
      </c>
      <c r="B35" s="76" t="s">
        <v>85</v>
      </c>
      <c r="C35" s="77"/>
      <c r="D35" s="77"/>
      <c r="E35" s="77"/>
      <c r="F35" s="77"/>
      <c r="G35" s="78"/>
      <c r="H35" s="155"/>
      <c r="I35" s="77"/>
      <c r="J35" s="76"/>
      <c r="K35" s="76"/>
      <c r="L35" s="77"/>
      <c r="M35" s="79"/>
    </row>
    <row r="36" spans="1:13">
      <c r="A36" s="75" t="s">
        <v>224</v>
      </c>
      <c r="B36" s="76" t="s">
        <v>87</v>
      </c>
      <c r="C36" s="77"/>
      <c r="D36" s="77"/>
      <c r="E36" s="77"/>
      <c r="F36" s="77"/>
      <c r="G36" s="78"/>
      <c r="H36" s="155"/>
      <c r="I36" s="77"/>
      <c r="J36" s="76"/>
      <c r="K36" s="76"/>
      <c r="L36" s="77"/>
      <c r="M36" s="79"/>
    </row>
    <row r="37" spans="1:13">
      <c r="A37" s="81" t="s">
        <v>225</v>
      </c>
      <c r="B37" s="82" t="s">
        <v>91</v>
      </c>
      <c r="C37" s="83"/>
      <c r="D37" s="84"/>
      <c r="E37" s="83"/>
      <c r="F37" s="83"/>
      <c r="G37" s="85"/>
      <c r="H37" s="155"/>
      <c r="I37" s="83"/>
      <c r="J37" s="82"/>
      <c r="K37" s="82"/>
      <c r="L37" s="83"/>
      <c r="M37" s="86"/>
    </row>
    <row r="38" spans="1:13">
      <c r="A38" s="81" t="s">
        <v>226</v>
      </c>
      <c r="B38" s="82" t="s">
        <v>93</v>
      </c>
      <c r="C38" s="83"/>
      <c r="D38" s="87" t="s">
        <v>227</v>
      </c>
      <c r="E38" s="83"/>
      <c r="F38" s="83"/>
      <c r="G38" s="85"/>
      <c r="H38" s="155"/>
      <c r="I38" s="83"/>
      <c r="J38" s="82"/>
      <c r="K38" s="82"/>
      <c r="L38" s="83"/>
      <c r="M38" s="86"/>
    </row>
    <row r="39" spans="1:13">
      <c r="A39" s="81" t="s">
        <v>228</v>
      </c>
      <c r="B39" s="82" t="s">
        <v>95</v>
      </c>
      <c r="C39" s="83"/>
      <c r="D39" s="83"/>
      <c r="E39" s="83"/>
      <c r="F39" s="83"/>
      <c r="G39" s="85"/>
      <c r="H39" s="155"/>
      <c r="I39" s="83"/>
      <c r="J39" s="82"/>
      <c r="K39" s="82"/>
      <c r="L39" s="83"/>
      <c r="M39" s="86"/>
    </row>
    <row r="40" spans="1:13">
      <c r="A40" s="88" t="s">
        <v>229</v>
      </c>
      <c r="B40" s="89" t="s">
        <v>99</v>
      </c>
      <c r="C40" s="90"/>
      <c r="D40" s="91"/>
      <c r="E40" s="92"/>
      <c r="F40" s="92"/>
      <c r="G40" s="93"/>
      <c r="H40" s="155"/>
      <c r="I40" s="90"/>
      <c r="J40" s="89"/>
      <c r="K40" s="89"/>
      <c r="L40" s="90"/>
      <c r="M40" s="94"/>
    </row>
    <row r="41" spans="1:13">
      <c r="A41" s="88" t="s">
        <v>230</v>
      </c>
      <c r="B41" s="89" t="s">
        <v>101</v>
      </c>
      <c r="C41" s="90"/>
      <c r="D41" s="90"/>
      <c r="E41" s="90"/>
      <c r="F41" s="90"/>
      <c r="G41" s="93"/>
      <c r="H41" s="155"/>
      <c r="I41" s="90"/>
      <c r="J41" s="89"/>
      <c r="K41" s="89"/>
      <c r="L41" s="90"/>
      <c r="M41" s="94"/>
    </row>
    <row r="42" spans="1:13">
      <c r="A42" s="88" t="s">
        <v>231</v>
      </c>
      <c r="B42" s="89" t="s">
        <v>103</v>
      </c>
      <c r="C42" s="90"/>
      <c r="D42" s="91" t="s">
        <v>232</v>
      </c>
      <c r="E42" s="90"/>
      <c r="F42" s="90"/>
      <c r="G42" s="93"/>
      <c r="H42" s="155"/>
      <c r="I42" s="90"/>
      <c r="J42" s="89"/>
      <c r="K42" s="89"/>
      <c r="L42" s="90"/>
      <c r="M42" s="94"/>
    </row>
    <row r="43" spans="1:13">
      <c r="A43" s="88" t="s">
        <v>233</v>
      </c>
      <c r="B43" s="89" t="s">
        <v>105</v>
      </c>
      <c r="C43" s="90"/>
      <c r="D43" s="90"/>
      <c r="E43" s="90"/>
      <c r="F43" s="90"/>
      <c r="G43" s="93"/>
      <c r="H43" s="155"/>
      <c r="I43" s="90"/>
      <c r="J43" s="89"/>
      <c r="K43" s="89"/>
      <c r="L43" s="90"/>
      <c r="M43" s="94"/>
    </row>
    <row r="44" spans="1:13" ht="15" thickBot="1">
      <c r="A44" s="95" t="s">
        <v>234</v>
      </c>
      <c r="B44" s="96" t="s">
        <v>107</v>
      </c>
      <c r="C44" s="97"/>
      <c r="D44" s="97"/>
      <c r="E44" s="97"/>
      <c r="F44" s="97"/>
      <c r="G44" s="98"/>
      <c r="H44" s="156"/>
      <c r="I44" s="97"/>
      <c r="J44" s="96"/>
      <c r="K44" s="96"/>
      <c r="L44" s="97"/>
      <c r="M44" s="99"/>
    </row>
    <row r="45" spans="1:13">
      <c r="A45" s="68" t="s">
        <v>235</v>
      </c>
      <c r="B45" s="69" t="s">
        <v>236</v>
      </c>
      <c r="C45" s="70"/>
      <c r="D45" s="70"/>
      <c r="E45" s="100"/>
      <c r="F45" s="70"/>
      <c r="G45" s="70"/>
      <c r="H45" s="147" t="s">
        <v>237</v>
      </c>
      <c r="I45" s="70"/>
      <c r="J45" s="69"/>
      <c r="K45" s="69"/>
      <c r="L45" s="70"/>
      <c r="M45" s="101"/>
    </row>
    <row r="46" spans="1:13">
      <c r="A46" s="75" t="s">
        <v>238</v>
      </c>
      <c r="B46" s="76" t="s">
        <v>239</v>
      </c>
      <c r="C46" s="77"/>
      <c r="D46" s="77"/>
      <c r="E46" s="77"/>
      <c r="F46" s="77"/>
      <c r="G46" s="77"/>
      <c r="H46" s="148"/>
      <c r="I46" s="77"/>
      <c r="J46" s="76"/>
      <c r="K46" s="76"/>
      <c r="L46" s="77"/>
      <c r="M46" s="79"/>
    </row>
    <row r="47" spans="1:13">
      <c r="A47" s="75" t="s">
        <v>240</v>
      </c>
      <c r="B47" s="76" t="s">
        <v>115</v>
      </c>
      <c r="C47" s="77"/>
      <c r="D47" s="77"/>
      <c r="E47" s="77"/>
      <c r="F47" s="77"/>
      <c r="G47" s="77"/>
      <c r="H47" s="148"/>
      <c r="I47" s="77"/>
      <c r="J47" s="76"/>
      <c r="K47" s="76"/>
      <c r="L47" s="77"/>
      <c r="M47" s="79"/>
    </row>
    <row r="48" spans="1:13">
      <c r="A48" s="75" t="s">
        <v>241</v>
      </c>
      <c r="B48" s="76" t="s">
        <v>117</v>
      </c>
      <c r="C48" s="77"/>
      <c r="D48" s="77"/>
      <c r="E48" s="77"/>
      <c r="F48" s="77"/>
      <c r="G48" s="77"/>
      <c r="H48" s="148"/>
      <c r="I48" s="77"/>
      <c r="J48" s="76"/>
      <c r="K48" s="76"/>
      <c r="L48" s="77"/>
      <c r="M48" s="79"/>
    </row>
    <row r="49" spans="1:13">
      <c r="A49" s="75" t="s">
        <v>242</v>
      </c>
      <c r="B49" s="76" t="s">
        <v>119</v>
      </c>
      <c r="C49" s="77"/>
      <c r="D49" s="77"/>
      <c r="E49" s="102" t="s">
        <v>243</v>
      </c>
      <c r="F49" s="77"/>
      <c r="G49" s="77"/>
      <c r="H49" s="148"/>
      <c r="I49" s="77"/>
      <c r="J49" s="76"/>
      <c r="K49" s="76"/>
      <c r="L49" s="77"/>
      <c r="M49" s="79"/>
    </row>
    <row r="50" spans="1:13">
      <c r="A50" s="75" t="s">
        <v>244</v>
      </c>
      <c r="B50" s="76" t="s">
        <v>121</v>
      </c>
      <c r="C50" s="77"/>
      <c r="D50" s="77"/>
      <c r="E50" s="77"/>
      <c r="F50" s="77"/>
      <c r="G50" s="77"/>
      <c r="H50" s="148"/>
      <c r="I50" s="77"/>
      <c r="J50" s="76"/>
      <c r="K50" s="76"/>
      <c r="L50" s="77"/>
      <c r="M50" s="79"/>
    </row>
    <row r="51" spans="1:13">
      <c r="A51" s="75" t="s">
        <v>245</v>
      </c>
      <c r="B51" s="76" t="s">
        <v>123</v>
      </c>
      <c r="C51" s="77"/>
      <c r="D51" s="77"/>
      <c r="E51" s="77"/>
      <c r="F51" s="77"/>
      <c r="G51" s="77"/>
      <c r="H51" s="148"/>
      <c r="I51" s="77"/>
      <c r="J51" s="76"/>
      <c r="K51" s="76"/>
      <c r="L51" s="77"/>
      <c r="M51" s="79"/>
    </row>
    <row r="52" spans="1:13" ht="15" thickBot="1">
      <c r="A52" s="103" t="s">
        <v>246</v>
      </c>
      <c r="B52" s="104" t="s">
        <v>125</v>
      </c>
      <c r="C52" s="105"/>
      <c r="D52" s="105"/>
      <c r="E52" s="105"/>
      <c r="F52" s="105"/>
      <c r="G52" s="105"/>
      <c r="H52" s="149"/>
      <c r="I52" s="105"/>
      <c r="J52" s="104"/>
      <c r="K52" s="104"/>
      <c r="L52" s="105"/>
      <c r="M52" s="106"/>
    </row>
    <row r="53" spans="1:13">
      <c r="A53" s="11" t="s">
        <v>247</v>
      </c>
      <c r="B53" s="107" t="s">
        <v>129</v>
      </c>
      <c r="C53" s="13"/>
      <c r="D53" s="108"/>
      <c r="E53" s="13"/>
      <c r="F53" s="13"/>
      <c r="G53" s="13"/>
      <c r="H53" s="144" t="s">
        <v>248</v>
      </c>
      <c r="I53" s="13"/>
      <c r="J53" s="107"/>
      <c r="K53" s="107"/>
      <c r="L53" s="13"/>
      <c r="M53" s="16"/>
    </row>
    <row r="54" spans="1:13">
      <c r="A54" s="17" t="s">
        <v>249</v>
      </c>
      <c r="B54" s="109" t="s">
        <v>131</v>
      </c>
      <c r="C54" s="19"/>
      <c r="D54" s="19"/>
      <c r="E54" s="19"/>
      <c r="F54" s="19"/>
      <c r="G54" s="19"/>
      <c r="H54" s="145"/>
      <c r="I54" s="19"/>
      <c r="J54" s="109"/>
      <c r="K54" s="109"/>
      <c r="L54" s="19"/>
      <c r="M54" s="21"/>
    </row>
    <row r="55" spans="1:13">
      <c r="A55" s="17" t="s">
        <v>250</v>
      </c>
      <c r="B55" s="109" t="s">
        <v>133</v>
      </c>
      <c r="C55" s="19"/>
      <c r="D55" s="110" t="s">
        <v>251</v>
      </c>
      <c r="E55" s="19"/>
      <c r="F55" s="19"/>
      <c r="G55" s="19"/>
      <c r="H55" s="145"/>
      <c r="I55" s="19"/>
      <c r="J55" s="109"/>
      <c r="K55" s="109"/>
      <c r="L55" s="19"/>
      <c r="M55" s="21"/>
    </row>
    <row r="56" spans="1:13">
      <c r="A56" s="17" t="s">
        <v>252</v>
      </c>
      <c r="B56" s="109" t="s">
        <v>135</v>
      </c>
      <c r="C56" s="19"/>
      <c r="D56" s="19"/>
      <c r="E56" s="19"/>
      <c r="F56" s="19"/>
      <c r="G56" s="19"/>
      <c r="H56" s="145"/>
      <c r="I56" s="19"/>
      <c r="J56" s="109"/>
      <c r="K56" s="109"/>
      <c r="L56" s="19"/>
      <c r="M56" s="21"/>
    </row>
    <row r="57" spans="1:13">
      <c r="A57" s="17" t="s">
        <v>253</v>
      </c>
      <c r="B57" s="109" t="s">
        <v>137</v>
      </c>
      <c r="C57" s="19"/>
      <c r="D57" s="19"/>
      <c r="E57" s="19"/>
      <c r="F57" s="19"/>
      <c r="G57" s="19"/>
      <c r="H57" s="145"/>
      <c r="I57" s="19"/>
      <c r="J57" s="109"/>
      <c r="K57" s="109"/>
      <c r="L57" s="19"/>
      <c r="M57" s="21"/>
    </row>
    <row r="58" spans="1:13">
      <c r="A58" s="56" t="s">
        <v>254</v>
      </c>
      <c r="B58" s="57" t="s">
        <v>141</v>
      </c>
      <c r="C58" s="58"/>
      <c r="D58" s="59"/>
      <c r="E58" s="58"/>
      <c r="F58" s="58"/>
      <c r="G58" s="58"/>
      <c r="H58" s="145"/>
      <c r="I58" s="58"/>
      <c r="J58" s="57"/>
      <c r="K58" s="57"/>
      <c r="L58" s="58"/>
      <c r="M58" s="61"/>
    </row>
    <row r="59" spans="1:13">
      <c r="A59" s="56" t="s">
        <v>255</v>
      </c>
      <c r="B59" s="57" t="s">
        <v>143</v>
      </c>
      <c r="C59" s="58"/>
      <c r="D59" s="58"/>
      <c r="E59" s="58"/>
      <c r="F59" s="58"/>
      <c r="G59" s="58"/>
      <c r="H59" s="145"/>
      <c r="I59" s="58"/>
      <c r="J59" s="57"/>
      <c r="K59" s="57"/>
      <c r="L59" s="58"/>
      <c r="M59" s="61"/>
    </row>
    <row r="60" spans="1:13">
      <c r="A60" s="56" t="s">
        <v>256</v>
      </c>
      <c r="B60" s="57" t="s">
        <v>145</v>
      </c>
      <c r="C60" s="58"/>
      <c r="D60" s="58"/>
      <c r="E60" s="58"/>
      <c r="F60" s="58"/>
      <c r="G60" s="58"/>
      <c r="H60" s="145"/>
      <c r="I60" s="58"/>
      <c r="J60" s="57"/>
      <c r="K60" s="57"/>
      <c r="L60" s="58"/>
      <c r="M60" s="61"/>
    </row>
    <row r="61" spans="1:13">
      <c r="A61" s="56" t="s">
        <v>257</v>
      </c>
      <c r="B61" s="57" t="s">
        <v>147</v>
      </c>
      <c r="C61" s="58"/>
      <c r="D61" s="58"/>
      <c r="E61" s="58"/>
      <c r="F61" s="58"/>
      <c r="G61" s="58"/>
      <c r="H61" s="145"/>
      <c r="I61" s="58"/>
      <c r="J61" s="57"/>
      <c r="K61" s="57"/>
      <c r="L61" s="58"/>
      <c r="M61" s="61"/>
    </row>
    <row r="62" spans="1:13">
      <c r="A62" s="56" t="s">
        <v>258</v>
      </c>
      <c r="B62" s="57" t="s">
        <v>149</v>
      </c>
      <c r="C62" s="58"/>
      <c r="D62" s="58"/>
      <c r="E62" s="58"/>
      <c r="F62" s="58"/>
      <c r="G62" s="58"/>
      <c r="H62" s="145"/>
      <c r="I62" s="58"/>
      <c r="J62" s="57"/>
      <c r="K62" s="57"/>
      <c r="L62" s="58"/>
      <c r="M62" s="61"/>
    </row>
    <row r="63" spans="1:13">
      <c r="A63" s="56" t="s">
        <v>259</v>
      </c>
      <c r="B63" s="57" t="s">
        <v>151</v>
      </c>
      <c r="C63" s="58"/>
      <c r="D63" s="62" t="s">
        <v>260</v>
      </c>
      <c r="E63" s="58"/>
      <c r="F63" s="58"/>
      <c r="G63" s="58"/>
      <c r="H63" s="145"/>
      <c r="I63" s="58"/>
      <c r="J63" s="57"/>
      <c r="K63" s="57"/>
      <c r="L63" s="58"/>
      <c r="M63" s="61"/>
    </row>
    <row r="64" spans="1:13">
      <c r="A64" s="56" t="s">
        <v>261</v>
      </c>
      <c r="B64" s="57" t="s">
        <v>153</v>
      </c>
      <c r="C64" s="58"/>
      <c r="D64" s="58"/>
      <c r="E64" s="58"/>
      <c r="F64" s="58"/>
      <c r="G64" s="58"/>
      <c r="H64" s="145"/>
      <c r="I64" s="58"/>
      <c r="J64" s="57"/>
      <c r="K64" s="57"/>
      <c r="L64" s="58"/>
      <c r="M64" s="61"/>
    </row>
    <row r="65" spans="1:13">
      <c r="A65" s="56" t="s">
        <v>262</v>
      </c>
      <c r="B65" s="57" t="s">
        <v>155</v>
      </c>
      <c r="C65" s="58"/>
      <c r="D65" s="58"/>
      <c r="E65" s="58"/>
      <c r="F65" s="58"/>
      <c r="G65" s="58"/>
      <c r="H65" s="145"/>
      <c r="I65" s="58"/>
      <c r="J65" s="57"/>
      <c r="K65" s="57"/>
      <c r="L65" s="58"/>
      <c r="M65" s="61"/>
    </row>
    <row r="66" spans="1:13">
      <c r="A66" s="56" t="s">
        <v>263</v>
      </c>
      <c r="B66" s="57" t="s">
        <v>157</v>
      </c>
      <c r="C66" s="58"/>
      <c r="D66" s="58"/>
      <c r="E66" s="58"/>
      <c r="F66" s="58"/>
      <c r="G66" s="58"/>
      <c r="H66" s="145"/>
      <c r="I66" s="58"/>
      <c r="J66" s="57"/>
      <c r="K66" s="57"/>
      <c r="L66" s="58"/>
      <c r="M66" s="61"/>
    </row>
    <row r="67" spans="1:13">
      <c r="A67" s="56" t="s">
        <v>264</v>
      </c>
      <c r="B67" s="57" t="s">
        <v>159</v>
      </c>
      <c r="C67" s="58"/>
      <c r="D67" s="58"/>
      <c r="E67" s="58"/>
      <c r="F67" s="58"/>
      <c r="G67" s="58"/>
      <c r="H67" s="145"/>
      <c r="I67" s="58"/>
      <c r="J67" s="57"/>
      <c r="K67" s="57"/>
      <c r="L67" s="58"/>
      <c r="M67" s="61"/>
    </row>
    <row r="68" spans="1:13">
      <c r="A68" s="56" t="s">
        <v>265</v>
      </c>
      <c r="B68" s="57" t="s">
        <v>161</v>
      </c>
      <c r="C68" s="58"/>
      <c r="D68" s="58"/>
      <c r="E68" s="58"/>
      <c r="F68" s="58"/>
      <c r="G68" s="58"/>
      <c r="H68" s="145"/>
      <c r="I68" s="58"/>
      <c r="J68" s="57"/>
      <c r="K68" s="57"/>
      <c r="L68" s="58"/>
      <c r="M68" s="61"/>
    </row>
    <row r="69" spans="1:13">
      <c r="A69" s="56" t="s">
        <v>266</v>
      </c>
      <c r="B69" s="57" t="s">
        <v>163</v>
      </c>
      <c r="C69" s="58"/>
      <c r="D69" s="58"/>
      <c r="E69" s="58"/>
      <c r="F69" s="58"/>
      <c r="G69" s="58"/>
      <c r="H69" s="145"/>
      <c r="I69" s="58"/>
      <c r="J69" s="57"/>
      <c r="K69" s="57"/>
      <c r="L69" s="58"/>
      <c r="M69" s="61"/>
    </row>
    <row r="70" spans="1:13" ht="15" thickBot="1">
      <c r="A70" s="63" t="s">
        <v>267</v>
      </c>
      <c r="B70" s="64" t="s">
        <v>165</v>
      </c>
      <c r="C70" s="65"/>
      <c r="D70" s="65"/>
      <c r="E70" s="65"/>
      <c r="F70" s="65"/>
      <c r="G70" s="65"/>
      <c r="H70" s="146"/>
      <c r="I70" s="65"/>
      <c r="J70" s="64"/>
      <c r="K70" s="64"/>
      <c r="L70" s="65"/>
      <c r="M70" s="67"/>
    </row>
    <row r="71" spans="1:13">
      <c r="A71" s="111" t="s">
        <v>268</v>
      </c>
      <c r="B71" s="112" t="s">
        <v>169</v>
      </c>
      <c r="C71" s="113"/>
      <c r="D71" s="114"/>
      <c r="E71" s="113"/>
      <c r="F71" s="113"/>
      <c r="G71" s="25"/>
      <c r="H71" s="113"/>
      <c r="I71" s="113"/>
      <c r="J71" s="115"/>
      <c r="K71" s="115"/>
      <c r="L71" s="113"/>
      <c r="M71" s="116"/>
    </row>
    <row r="72" spans="1:13">
      <c r="A72" s="23" t="s">
        <v>269</v>
      </c>
      <c r="B72" s="112" t="s">
        <v>171</v>
      </c>
      <c r="C72" s="25"/>
      <c r="D72" s="25"/>
      <c r="E72" s="25"/>
      <c r="F72" s="25"/>
      <c r="G72" s="25"/>
      <c r="H72" s="117" t="s">
        <v>270</v>
      </c>
      <c r="I72" s="118"/>
      <c r="J72" s="119"/>
      <c r="K72" s="119"/>
      <c r="L72" s="25"/>
      <c r="M72" s="28"/>
    </row>
    <row r="73" spans="1:13">
      <c r="A73" s="23" t="s">
        <v>271</v>
      </c>
      <c r="B73" s="112" t="s">
        <v>173</v>
      </c>
      <c r="C73" s="25"/>
      <c r="D73" s="31" t="s">
        <v>272</v>
      </c>
      <c r="E73" s="25"/>
      <c r="F73" s="30"/>
      <c r="G73" s="25"/>
      <c r="H73" s="25"/>
      <c r="I73" s="25"/>
      <c r="J73" s="29"/>
      <c r="K73" s="29"/>
      <c r="L73" s="25"/>
      <c r="M73" s="28"/>
    </row>
    <row r="74" spans="1:13" ht="15" thickBot="1">
      <c r="A74" s="120" t="s">
        <v>273</v>
      </c>
      <c r="B74" s="112" t="s">
        <v>175</v>
      </c>
      <c r="C74" s="121"/>
      <c r="D74" s="121"/>
      <c r="E74" s="121"/>
      <c r="F74" s="121"/>
      <c r="G74" s="121"/>
      <c r="H74" s="121"/>
      <c r="I74" s="121"/>
      <c r="J74" s="122"/>
      <c r="K74" s="122"/>
      <c r="L74" s="121"/>
      <c r="M74" s="123"/>
    </row>
    <row r="75" spans="1:13" ht="15" thickBot="1">
      <c r="A75" s="124" t="s">
        <v>274</v>
      </c>
      <c r="B75" s="125" t="s">
        <v>275</v>
      </c>
      <c r="C75" s="126"/>
      <c r="D75" s="127" t="s">
        <v>276</v>
      </c>
      <c r="E75" s="126"/>
      <c r="F75" s="126"/>
      <c r="G75" s="126"/>
      <c r="H75" s="126"/>
      <c r="I75" s="126"/>
      <c r="J75" s="128"/>
      <c r="K75" s="128"/>
      <c r="L75" s="126"/>
      <c r="M75" s="12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0"/>
  <sheetViews>
    <sheetView showGridLines="0" tabSelected="1" zoomScale="120" zoomScaleNormal="120" workbookViewId="0">
      <selection activeCell="C14" sqref="C14"/>
    </sheetView>
  </sheetViews>
  <sheetFormatPr defaultRowHeight="10.199999999999999"/>
  <cols>
    <col min="1" max="1" width="36.6640625" style="1" customWidth="1"/>
    <col min="2" max="2" width="8.21875" style="1" customWidth="1"/>
    <col min="3" max="3" width="8.33203125" style="1" customWidth="1"/>
    <col min="4" max="4" width="9.21875" style="1" customWidth="1"/>
    <col min="5" max="5" width="6.6640625" style="1" customWidth="1"/>
    <col min="6" max="6" width="6.21875" style="1" customWidth="1"/>
    <col min="7" max="7" width="7.6640625" style="1" customWidth="1"/>
    <col min="8" max="8" width="7" style="1" customWidth="1"/>
    <col min="9" max="9" width="6.5546875" style="1" customWidth="1"/>
    <col min="10" max="10" width="6.88671875" style="1" customWidth="1"/>
    <col min="11" max="11" width="9.109375" style="1" customWidth="1"/>
    <col min="12" max="12" width="8" style="1" customWidth="1"/>
    <col min="13" max="13" width="7.88671875" style="1" customWidth="1"/>
    <col min="14" max="14" width="7.109375" style="1" customWidth="1"/>
    <col min="15" max="17" width="6.44140625" style="1" customWidth="1"/>
    <col min="18" max="18" width="7.6640625" style="1" customWidth="1"/>
    <col min="19" max="19" width="10" style="1" customWidth="1"/>
    <col min="20" max="20" width="6.44140625" style="1" customWidth="1"/>
    <col min="21" max="16384" width="8.88671875" style="1"/>
  </cols>
  <sheetData>
    <row r="1" spans="1:22" ht="14.4" customHeight="1">
      <c r="A1" s="188" t="s">
        <v>295</v>
      </c>
      <c r="B1" s="188"/>
      <c r="C1" s="188"/>
      <c r="D1" s="188"/>
      <c r="E1" s="188"/>
      <c r="F1" s="188"/>
      <c r="G1" s="188"/>
      <c r="H1" s="188"/>
      <c r="I1" s="188" t="s">
        <v>294</v>
      </c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33"/>
      <c r="U1" s="133"/>
    </row>
    <row r="2" spans="1:22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33"/>
      <c r="U2" s="133"/>
    </row>
    <row r="3" spans="1:22" ht="10.8" thickBot="1">
      <c r="A3" s="189" t="s">
        <v>0</v>
      </c>
      <c r="B3" s="189"/>
      <c r="C3" s="189"/>
      <c r="D3" s="189"/>
      <c r="E3" s="189"/>
      <c r="F3" s="189"/>
      <c r="G3" s="2"/>
      <c r="H3" s="2"/>
      <c r="I3" s="2"/>
      <c r="J3" s="2"/>
      <c r="K3" s="2"/>
      <c r="L3" s="2"/>
      <c r="M3" s="190" t="s">
        <v>1</v>
      </c>
      <c r="N3" s="190"/>
      <c r="O3" s="190"/>
      <c r="P3" s="190"/>
      <c r="Q3" s="191"/>
      <c r="R3" s="191"/>
      <c r="S3" s="191"/>
      <c r="T3" s="131"/>
    </row>
    <row r="4" spans="1:22" ht="13.8" customHeight="1">
      <c r="A4" s="202" t="s">
        <v>277</v>
      </c>
      <c r="B4" s="199" t="s">
        <v>284</v>
      </c>
      <c r="C4" s="176" t="s">
        <v>290</v>
      </c>
      <c r="D4" s="177"/>
      <c r="E4" s="182" t="s">
        <v>289</v>
      </c>
      <c r="F4" s="183"/>
      <c r="G4" s="176" t="s">
        <v>296</v>
      </c>
      <c r="H4" s="169"/>
      <c r="I4" s="169"/>
      <c r="J4" s="169"/>
      <c r="K4" s="169"/>
      <c r="L4" s="169"/>
      <c r="M4" s="169"/>
      <c r="N4" s="177"/>
      <c r="O4" s="176" t="s">
        <v>288</v>
      </c>
      <c r="P4" s="196"/>
      <c r="Q4" s="203" t="s">
        <v>2</v>
      </c>
      <c r="R4" s="203"/>
      <c r="S4" s="203"/>
      <c r="T4" s="131"/>
      <c r="U4" s="131"/>
      <c r="V4" s="131"/>
    </row>
    <row r="5" spans="1:22" ht="10.199999999999999" customHeight="1">
      <c r="A5" s="227"/>
      <c r="B5" s="200"/>
      <c r="C5" s="178"/>
      <c r="D5" s="179"/>
      <c r="E5" s="184"/>
      <c r="F5" s="185"/>
      <c r="G5" s="180" t="s">
        <v>285</v>
      </c>
      <c r="H5" s="171"/>
      <c r="I5" s="171"/>
      <c r="J5" s="171"/>
      <c r="K5" s="171"/>
      <c r="L5" s="171"/>
      <c r="M5" s="171"/>
      <c r="N5" s="181"/>
      <c r="O5" s="178"/>
      <c r="P5" s="197"/>
      <c r="Q5" s="204"/>
      <c r="R5" s="204"/>
      <c r="S5" s="204"/>
      <c r="T5" s="131"/>
      <c r="U5" s="131"/>
      <c r="V5" s="131"/>
    </row>
    <row r="6" spans="1:22" ht="40.799999999999997" customHeight="1">
      <c r="A6" s="227"/>
      <c r="B6" s="170"/>
      <c r="C6" s="180"/>
      <c r="D6" s="181"/>
      <c r="E6" s="186"/>
      <c r="F6" s="187"/>
      <c r="G6" s="164" t="s">
        <v>291</v>
      </c>
      <c r="H6" s="165"/>
      <c r="I6" s="164" t="s">
        <v>293</v>
      </c>
      <c r="J6" s="165"/>
      <c r="K6" s="164" t="s">
        <v>286</v>
      </c>
      <c r="L6" s="165"/>
      <c r="M6" s="164" t="s">
        <v>287</v>
      </c>
      <c r="N6" s="166"/>
      <c r="O6" s="180"/>
      <c r="P6" s="198"/>
      <c r="Q6" s="204"/>
      <c r="R6" s="204"/>
      <c r="S6" s="204"/>
      <c r="T6" s="131"/>
      <c r="U6" s="131"/>
      <c r="V6" s="131"/>
    </row>
    <row r="7" spans="1:22" ht="10.199999999999999" customHeight="1">
      <c r="A7" s="228"/>
      <c r="B7" s="201"/>
      <c r="C7" s="3">
        <v>1</v>
      </c>
      <c r="D7" s="3">
        <v>2</v>
      </c>
      <c r="E7" s="3">
        <v>1</v>
      </c>
      <c r="F7" s="3">
        <v>2</v>
      </c>
      <c r="G7" s="4">
        <v>1</v>
      </c>
      <c r="H7" s="4">
        <v>2</v>
      </c>
      <c r="I7" s="3">
        <v>1</v>
      </c>
      <c r="J7" s="3">
        <v>2</v>
      </c>
      <c r="K7" s="3">
        <v>1</v>
      </c>
      <c r="L7" s="4">
        <v>2</v>
      </c>
      <c r="M7" s="134">
        <v>1</v>
      </c>
      <c r="N7" s="4">
        <v>2</v>
      </c>
      <c r="O7" s="4">
        <v>1</v>
      </c>
      <c r="P7" s="210">
        <v>2</v>
      </c>
      <c r="Q7" s="205"/>
      <c r="R7" s="205"/>
      <c r="S7" s="205"/>
      <c r="T7" s="131"/>
      <c r="U7" s="131"/>
      <c r="V7" s="131"/>
    </row>
    <row r="8" spans="1:22" ht="11.4" customHeight="1">
      <c r="A8" s="172" t="s">
        <v>3</v>
      </c>
      <c r="B8" s="225">
        <f>SUM(B10,B18,B27,B32,B38,B45,B52,B59,B64,B71,B81,B88,B103)</f>
        <v>668978</v>
      </c>
      <c r="C8" s="192">
        <f t="shared" ref="C8:L8" si="0">SUM(C10,C18,C27,C32,C38,C45,C52,C59,C64,C71,C81,C88,C103)</f>
        <v>157056</v>
      </c>
      <c r="D8" s="192">
        <f t="shared" si="0"/>
        <v>588282.02899999986</v>
      </c>
      <c r="E8" s="192">
        <f>SUM(E10,E18,E27,E32,E38,E45,E52,E59,E64,E71,E81,E88,E103)</f>
        <v>77320</v>
      </c>
      <c r="F8" s="192">
        <f t="shared" si="0"/>
        <v>169092.31400000001</v>
      </c>
      <c r="G8" s="192">
        <f t="shared" si="0"/>
        <v>156230</v>
      </c>
      <c r="H8" s="192">
        <f t="shared" si="0"/>
        <v>298866.08100000001</v>
      </c>
      <c r="I8" s="192">
        <f t="shared" si="0"/>
        <v>165167</v>
      </c>
      <c r="J8" s="192">
        <f t="shared" si="0"/>
        <v>373835.64899999998</v>
      </c>
      <c r="K8" s="192">
        <f t="shared" si="0"/>
        <v>110851</v>
      </c>
      <c r="L8" s="192">
        <f t="shared" si="0"/>
        <v>221131.40899999999</v>
      </c>
      <c r="M8" s="192">
        <f>SUM(G8,I8,K8)</f>
        <v>432248</v>
      </c>
      <c r="N8" s="192">
        <f>SUM(H8,J8,L8)</f>
        <v>893833.13899999997</v>
      </c>
      <c r="O8" s="174">
        <f>SUM(O10,O18,O32,O38,O45,O52,O59,O64,O71,O81,O88,O103)</f>
        <v>2310</v>
      </c>
      <c r="P8" s="211">
        <f>SUM(P10,P18,P32,P38,P45,P52,P59,P64,P71,P81,P88,P103)</f>
        <v>5204.6079999999993</v>
      </c>
      <c r="Q8" s="194" t="s">
        <v>4</v>
      </c>
      <c r="R8" s="194"/>
      <c r="S8" s="194"/>
      <c r="T8" s="6"/>
      <c r="U8" s="131"/>
      <c r="V8" s="131"/>
    </row>
    <row r="9" spans="1:22" ht="10.199999999999999" customHeight="1">
      <c r="A9" s="173"/>
      <c r="B9" s="226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57"/>
      <c r="P9" s="213"/>
      <c r="Q9" s="195"/>
      <c r="R9" s="195"/>
      <c r="S9" s="195"/>
      <c r="T9" s="6"/>
      <c r="U9" s="131"/>
      <c r="V9" s="131"/>
    </row>
    <row r="10" spans="1:22" ht="11.4" customHeight="1">
      <c r="A10" s="168" t="s">
        <v>5</v>
      </c>
      <c r="B10" s="212">
        <f>SUM(C10,E10,G10,I10,K10,O10)</f>
        <v>57719</v>
      </c>
      <c r="C10" s="157">
        <f>SUM(C12:C17)</f>
        <v>6502</v>
      </c>
      <c r="D10" s="157">
        <f t="shared" ref="D10:P10" si="1">SUM(D12:D17)</f>
        <v>19469.95</v>
      </c>
      <c r="E10" s="157">
        <f t="shared" si="1"/>
        <v>4872</v>
      </c>
      <c r="F10" s="157">
        <f t="shared" si="1"/>
        <v>9155.7899999999991</v>
      </c>
      <c r="G10" s="157">
        <f t="shared" si="1"/>
        <v>2458</v>
      </c>
      <c r="H10" s="157">
        <f t="shared" si="1"/>
        <v>7832.3</v>
      </c>
      <c r="I10" s="157">
        <f t="shared" si="1"/>
        <v>43254</v>
      </c>
      <c r="J10" s="157">
        <f t="shared" si="1"/>
        <v>107632.35</v>
      </c>
      <c r="K10" s="157">
        <f t="shared" si="1"/>
        <v>633</v>
      </c>
      <c r="L10" s="157">
        <f t="shared" si="1"/>
        <v>1020.7</v>
      </c>
      <c r="M10" s="157">
        <f>SUM(G10,I10,K10)</f>
        <v>46345</v>
      </c>
      <c r="N10" s="157">
        <f>SUM(H10,J10,L10)</f>
        <v>116485.35</v>
      </c>
      <c r="O10" s="157">
        <f t="shared" si="1"/>
        <v>0</v>
      </c>
      <c r="P10" s="213">
        <f t="shared" si="1"/>
        <v>0</v>
      </c>
      <c r="Q10" s="175" t="s">
        <v>6</v>
      </c>
      <c r="R10" s="175"/>
      <c r="S10" s="175"/>
      <c r="T10" s="133"/>
      <c r="U10" s="131"/>
      <c r="V10" s="131"/>
    </row>
    <row r="11" spans="1:22" ht="15" customHeight="1">
      <c r="A11" s="168"/>
      <c r="B11" s="212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213"/>
      <c r="Q11" s="175"/>
      <c r="R11" s="175"/>
      <c r="S11" s="175"/>
      <c r="T11" s="133"/>
      <c r="U11" s="131"/>
      <c r="V11" s="131"/>
    </row>
    <row r="12" spans="1:22" ht="11.4" customHeight="1">
      <c r="A12" s="5" t="s">
        <v>7</v>
      </c>
      <c r="B12" s="214">
        <f t="shared" ref="B12:B18" si="2">SUM(C12,E12,G12,I12,K12,O12)</f>
        <v>3135</v>
      </c>
      <c r="C12" s="137">
        <v>639</v>
      </c>
      <c r="D12" s="137">
        <v>1305</v>
      </c>
      <c r="E12" s="137">
        <v>367</v>
      </c>
      <c r="F12" s="137">
        <v>414.6</v>
      </c>
      <c r="G12" s="137">
        <v>131</v>
      </c>
      <c r="H12" s="137">
        <v>179.2</v>
      </c>
      <c r="I12" s="137">
        <v>1989</v>
      </c>
      <c r="J12" s="137">
        <v>3692.1</v>
      </c>
      <c r="K12" s="137">
        <v>9</v>
      </c>
      <c r="L12" s="137">
        <v>19</v>
      </c>
      <c r="M12" s="139">
        <f t="shared" ref="M12:N17" si="3">SUM(G12,I12,K12)</f>
        <v>2129</v>
      </c>
      <c r="N12" s="135">
        <f t="shared" si="3"/>
        <v>3890.2999999999997</v>
      </c>
      <c r="O12" s="136" t="s">
        <v>292</v>
      </c>
      <c r="P12" s="215" t="s">
        <v>292</v>
      </c>
      <c r="Q12" s="141" t="s">
        <v>8</v>
      </c>
      <c r="R12" s="6"/>
      <c r="S12" s="6"/>
      <c r="T12" s="6"/>
      <c r="U12" s="131"/>
      <c r="V12" s="131"/>
    </row>
    <row r="13" spans="1:22">
      <c r="A13" s="5" t="s">
        <v>9</v>
      </c>
      <c r="B13" s="214">
        <f t="shared" si="2"/>
        <v>33844</v>
      </c>
      <c r="C13" s="137">
        <v>140</v>
      </c>
      <c r="D13" s="137">
        <v>471</v>
      </c>
      <c r="E13" s="137">
        <v>85</v>
      </c>
      <c r="F13" s="137">
        <v>205.5</v>
      </c>
      <c r="G13" s="137">
        <v>394</v>
      </c>
      <c r="H13" s="137">
        <v>1190.0999999999999</v>
      </c>
      <c r="I13" s="137">
        <v>33067</v>
      </c>
      <c r="J13" s="137">
        <v>92844</v>
      </c>
      <c r="K13" s="137">
        <v>158</v>
      </c>
      <c r="L13" s="137">
        <v>279</v>
      </c>
      <c r="M13" s="139">
        <f t="shared" si="3"/>
        <v>33619</v>
      </c>
      <c r="N13" s="135">
        <f t="shared" si="3"/>
        <v>94313.1</v>
      </c>
      <c r="O13" s="136" t="s">
        <v>292</v>
      </c>
      <c r="P13" s="215" t="s">
        <v>292</v>
      </c>
      <c r="Q13" s="141" t="s">
        <v>10</v>
      </c>
      <c r="R13" s="6"/>
      <c r="S13" s="224"/>
      <c r="T13" s="6"/>
      <c r="U13" s="131"/>
      <c r="V13" s="131"/>
    </row>
    <row r="14" spans="1:22">
      <c r="A14" s="5" t="s">
        <v>11</v>
      </c>
      <c r="B14" s="214">
        <f t="shared" si="2"/>
        <v>6353</v>
      </c>
      <c r="C14" s="137">
        <v>1691</v>
      </c>
      <c r="D14" s="137">
        <v>4689.7</v>
      </c>
      <c r="E14" s="137">
        <v>3087</v>
      </c>
      <c r="F14" s="137">
        <v>6076.99</v>
      </c>
      <c r="G14" s="138"/>
      <c r="H14" s="137">
        <v>0</v>
      </c>
      <c r="I14" s="137">
        <v>1159</v>
      </c>
      <c r="J14" s="137">
        <v>3217</v>
      </c>
      <c r="K14" s="137">
        <v>416</v>
      </c>
      <c r="L14" s="137">
        <v>666.7</v>
      </c>
      <c r="M14" s="139">
        <f t="shared" si="3"/>
        <v>1575</v>
      </c>
      <c r="N14" s="135">
        <f t="shared" si="3"/>
        <v>3883.7</v>
      </c>
      <c r="O14" s="136" t="s">
        <v>292</v>
      </c>
      <c r="P14" s="215" t="s">
        <v>292</v>
      </c>
      <c r="Q14" s="141" t="s">
        <v>12</v>
      </c>
      <c r="R14" s="6"/>
      <c r="S14" s="6"/>
      <c r="T14" s="6"/>
      <c r="U14" s="131"/>
      <c r="V14" s="131"/>
    </row>
    <row r="15" spans="1:22">
      <c r="A15" s="5" t="s">
        <v>13</v>
      </c>
      <c r="B15" s="214">
        <f t="shared" si="2"/>
        <v>110</v>
      </c>
      <c r="C15" s="137">
        <v>3</v>
      </c>
      <c r="D15" s="137">
        <v>4.8</v>
      </c>
      <c r="E15" s="137">
        <v>1</v>
      </c>
      <c r="F15" s="137">
        <v>1</v>
      </c>
      <c r="G15" s="137">
        <v>58</v>
      </c>
      <c r="H15" s="137">
        <v>84</v>
      </c>
      <c r="I15" s="137">
        <v>48</v>
      </c>
      <c r="J15" s="137">
        <v>55.8</v>
      </c>
      <c r="K15" s="138"/>
      <c r="L15" s="137">
        <v>0</v>
      </c>
      <c r="M15" s="139">
        <f t="shared" si="3"/>
        <v>106</v>
      </c>
      <c r="N15" s="135">
        <f t="shared" si="3"/>
        <v>139.80000000000001</v>
      </c>
      <c r="O15" s="136" t="s">
        <v>292</v>
      </c>
      <c r="P15" s="215" t="s">
        <v>292</v>
      </c>
      <c r="Q15" s="141" t="s">
        <v>14</v>
      </c>
      <c r="R15" s="6"/>
      <c r="S15" s="6"/>
      <c r="T15" s="6"/>
      <c r="U15" s="131"/>
      <c r="V15" s="131"/>
    </row>
    <row r="16" spans="1:22">
      <c r="A16" s="5" t="s">
        <v>15</v>
      </c>
      <c r="B16" s="214">
        <f t="shared" si="2"/>
        <v>6774</v>
      </c>
      <c r="C16" s="137">
        <v>3589</v>
      </c>
      <c r="D16" s="137">
        <v>12245.25</v>
      </c>
      <c r="E16" s="137">
        <v>1246</v>
      </c>
      <c r="F16" s="137">
        <v>2351.8000000000002</v>
      </c>
      <c r="G16" s="137">
        <v>30</v>
      </c>
      <c r="H16" s="137">
        <v>60</v>
      </c>
      <c r="I16" s="137">
        <v>1909</v>
      </c>
      <c r="J16" s="137">
        <v>3838.2</v>
      </c>
      <c r="K16" s="138"/>
      <c r="L16" s="137">
        <v>0</v>
      </c>
      <c r="M16" s="139">
        <f t="shared" si="3"/>
        <v>1939</v>
      </c>
      <c r="N16" s="135">
        <f t="shared" si="3"/>
        <v>3898.2</v>
      </c>
      <c r="O16" s="136" t="s">
        <v>292</v>
      </c>
      <c r="P16" s="215" t="s">
        <v>292</v>
      </c>
      <c r="Q16" s="141" t="s">
        <v>16</v>
      </c>
      <c r="R16" s="6"/>
      <c r="S16" s="6"/>
      <c r="T16" s="6"/>
      <c r="U16" s="131"/>
      <c r="V16" s="131"/>
    </row>
    <row r="17" spans="1:22">
      <c r="A17" s="5" t="s">
        <v>17</v>
      </c>
      <c r="B17" s="214">
        <f t="shared" si="2"/>
        <v>7503</v>
      </c>
      <c r="C17" s="137">
        <v>440</v>
      </c>
      <c r="D17" s="137">
        <v>754.2</v>
      </c>
      <c r="E17" s="137">
        <v>86</v>
      </c>
      <c r="F17" s="137">
        <v>105.9</v>
      </c>
      <c r="G17" s="137">
        <v>1845</v>
      </c>
      <c r="H17" s="137">
        <v>6319</v>
      </c>
      <c r="I17" s="137">
        <v>5082</v>
      </c>
      <c r="J17" s="137">
        <v>3985.25</v>
      </c>
      <c r="K17" s="137">
        <v>50</v>
      </c>
      <c r="L17" s="137">
        <v>56</v>
      </c>
      <c r="M17" s="139">
        <f t="shared" si="3"/>
        <v>6977</v>
      </c>
      <c r="N17" s="135">
        <f t="shared" si="3"/>
        <v>10360.25</v>
      </c>
      <c r="O17" s="136" t="s">
        <v>292</v>
      </c>
      <c r="P17" s="215" t="s">
        <v>292</v>
      </c>
      <c r="Q17" s="141" t="s">
        <v>18</v>
      </c>
      <c r="R17" s="6"/>
      <c r="S17" s="6"/>
      <c r="T17" s="6"/>
      <c r="U17" s="131"/>
      <c r="V17" s="131"/>
    </row>
    <row r="18" spans="1:22">
      <c r="A18" s="167" t="s">
        <v>19</v>
      </c>
      <c r="B18" s="212">
        <f>SUM(C18,E18,G18,I18,K18,O18)</f>
        <v>36079</v>
      </c>
      <c r="C18" s="157">
        <f>SUM(C20:C26)</f>
        <v>14452</v>
      </c>
      <c r="D18" s="157">
        <f t="shared" ref="D18:L18" si="4">SUM(D20:D26)</f>
        <v>67103.31</v>
      </c>
      <c r="E18" s="157">
        <f t="shared" si="4"/>
        <v>4746</v>
      </c>
      <c r="F18" s="157">
        <f t="shared" si="4"/>
        <v>10648.91</v>
      </c>
      <c r="G18" s="157">
        <f t="shared" si="4"/>
        <v>677</v>
      </c>
      <c r="H18" s="157">
        <f t="shared" si="4"/>
        <v>1734.15</v>
      </c>
      <c r="I18" s="157">
        <f t="shared" si="4"/>
        <v>15077</v>
      </c>
      <c r="J18" s="157">
        <f t="shared" si="4"/>
        <v>41238</v>
      </c>
      <c r="K18" s="157">
        <f t="shared" si="4"/>
        <v>612</v>
      </c>
      <c r="L18" s="157">
        <f>SUM(L20:L26)</f>
        <v>1567.8</v>
      </c>
      <c r="M18" s="157">
        <f>SUM(G18,I18,K18)</f>
        <v>16366</v>
      </c>
      <c r="N18" s="157">
        <f>SUM(H18,J18,L18)</f>
        <v>44539.950000000004</v>
      </c>
      <c r="O18" s="157">
        <f>SUM(O20:O26)</f>
        <v>515</v>
      </c>
      <c r="P18" s="213">
        <f>SUM(P20:P26)</f>
        <v>1571.3</v>
      </c>
      <c r="Q18" s="159" t="s">
        <v>20</v>
      </c>
      <c r="R18" s="159"/>
      <c r="S18" s="159"/>
      <c r="T18" s="6"/>
      <c r="U18" s="131"/>
      <c r="V18" s="131"/>
    </row>
    <row r="19" spans="1:22">
      <c r="A19" s="167"/>
      <c r="B19" s="212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213"/>
      <c r="Q19" s="159"/>
      <c r="R19" s="159"/>
      <c r="S19" s="159"/>
      <c r="T19" s="6"/>
      <c r="U19" s="131"/>
      <c r="V19" s="131"/>
    </row>
    <row r="20" spans="1:22">
      <c r="A20" s="5" t="s">
        <v>21</v>
      </c>
      <c r="B20" s="214">
        <f t="shared" ref="B20:B31" si="5">SUM(C20,E20,G20,I20,K20,O20)</f>
        <v>10176</v>
      </c>
      <c r="C20" s="137">
        <v>7043</v>
      </c>
      <c r="D20" s="137">
        <v>39226.9</v>
      </c>
      <c r="E20" s="137">
        <v>2243</v>
      </c>
      <c r="F20" s="137">
        <v>4788.3500000000004</v>
      </c>
      <c r="G20" s="137">
        <v>55</v>
      </c>
      <c r="H20" s="137">
        <v>165</v>
      </c>
      <c r="I20" s="137">
        <v>769</v>
      </c>
      <c r="J20" s="137">
        <v>2260.6</v>
      </c>
      <c r="K20" s="137">
        <v>66</v>
      </c>
      <c r="L20" s="137">
        <v>193</v>
      </c>
      <c r="M20" s="139">
        <f t="shared" ref="M20:N31" si="6">SUM(G20,I20,K20)</f>
        <v>890</v>
      </c>
      <c r="N20" s="135">
        <f t="shared" si="6"/>
        <v>2618.6</v>
      </c>
      <c r="O20" s="136" t="s">
        <v>292</v>
      </c>
      <c r="P20" s="215" t="s">
        <v>292</v>
      </c>
      <c r="Q20" s="141" t="s">
        <v>22</v>
      </c>
      <c r="R20" s="6"/>
      <c r="S20" s="6"/>
      <c r="T20" s="6"/>
      <c r="U20" s="131"/>
      <c r="V20" s="131"/>
    </row>
    <row r="21" spans="1:22">
      <c r="A21" s="5" t="s">
        <v>23</v>
      </c>
      <c r="B21" s="214">
        <f t="shared" si="5"/>
        <v>927</v>
      </c>
      <c r="C21" s="137">
        <v>302</v>
      </c>
      <c r="D21" s="137">
        <v>1295</v>
      </c>
      <c r="E21" s="137">
        <v>57</v>
      </c>
      <c r="F21" s="137">
        <v>208</v>
      </c>
      <c r="G21" s="137">
        <v>168</v>
      </c>
      <c r="H21" s="137">
        <v>567</v>
      </c>
      <c r="I21" s="137">
        <v>397</v>
      </c>
      <c r="J21" s="137">
        <v>1546.9</v>
      </c>
      <c r="K21" s="137">
        <v>3</v>
      </c>
      <c r="L21" s="137">
        <v>6</v>
      </c>
      <c r="M21" s="139">
        <f t="shared" si="6"/>
        <v>568</v>
      </c>
      <c r="N21" s="135">
        <f t="shared" si="6"/>
        <v>2119.9</v>
      </c>
      <c r="O21" s="136" t="s">
        <v>292</v>
      </c>
      <c r="P21" s="215" t="s">
        <v>292</v>
      </c>
      <c r="Q21" s="141" t="s">
        <v>24</v>
      </c>
      <c r="R21" s="6"/>
      <c r="S21" s="6"/>
      <c r="T21" s="6"/>
      <c r="U21" s="131"/>
      <c r="V21" s="131"/>
    </row>
    <row r="22" spans="1:22">
      <c r="A22" s="5" t="s">
        <v>25</v>
      </c>
      <c r="B22" s="214">
        <f t="shared" si="5"/>
        <v>2426</v>
      </c>
      <c r="C22" s="137">
        <v>1357</v>
      </c>
      <c r="D22" s="137">
        <v>4243.82</v>
      </c>
      <c r="E22" s="137">
        <v>184</v>
      </c>
      <c r="F22" s="137">
        <v>395.62</v>
      </c>
      <c r="G22" s="137">
        <v>44</v>
      </c>
      <c r="H22" s="137">
        <v>73.8</v>
      </c>
      <c r="I22" s="137">
        <v>52</v>
      </c>
      <c r="J22" s="137">
        <v>151.1</v>
      </c>
      <c r="K22" s="137">
        <v>274</v>
      </c>
      <c r="L22" s="137">
        <v>649.29999999999995</v>
      </c>
      <c r="M22" s="139">
        <f t="shared" si="6"/>
        <v>370</v>
      </c>
      <c r="N22" s="135">
        <f t="shared" si="6"/>
        <v>874.19999999999993</v>
      </c>
      <c r="O22" s="137">
        <v>515</v>
      </c>
      <c r="P22" s="216">
        <v>1571.3</v>
      </c>
      <c r="Q22" s="141" t="s">
        <v>26</v>
      </c>
      <c r="R22" s="6"/>
      <c r="S22" s="6"/>
      <c r="T22" s="6"/>
      <c r="U22" s="131"/>
      <c r="V22" s="131"/>
    </row>
    <row r="23" spans="1:22">
      <c r="A23" s="5" t="s">
        <v>27</v>
      </c>
      <c r="B23" s="214">
        <f t="shared" si="5"/>
        <v>9631</v>
      </c>
      <c r="C23" s="137">
        <v>1633</v>
      </c>
      <c r="D23" s="137">
        <v>5873.74</v>
      </c>
      <c r="E23" s="137">
        <v>345</v>
      </c>
      <c r="F23" s="137">
        <v>664.95</v>
      </c>
      <c r="G23" s="138"/>
      <c r="H23" s="137">
        <v>0</v>
      </c>
      <c r="I23" s="137">
        <v>7653</v>
      </c>
      <c r="J23" s="137">
        <v>14992</v>
      </c>
      <c r="K23" s="138"/>
      <c r="L23" s="137">
        <v>0</v>
      </c>
      <c r="M23" s="139">
        <f t="shared" si="6"/>
        <v>7653</v>
      </c>
      <c r="N23" s="135">
        <f t="shared" si="6"/>
        <v>14992</v>
      </c>
      <c r="O23" s="136" t="s">
        <v>292</v>
      </c>
      <c r="P23" s="215" t="s">
        <v>292</v>
      </c>
      <c r="Q23" s="141" t="s">
        <v>28</v>
      </c>
      <c r="R23" s="6"/>
      <c r="S23" s="6"/>
      <c r="T23" s="6"/>
      <c r="U23" s="131"/>
      <c r="V23" s="131"/>
    </row>
    <row r="24" spans="1:22">
      <c r="A24" s="5" t="s">
        <v>29</v>
      </c>
      <c r="B24" s="214">
        <f t="shared" si="5"/>
        <v>2109</v>
      </c>
      <c r="C24" s="137">
        <v>974</v>
      </c>
      <c r="D24" s="137">
        <v>3860.9</v>
      </c>
      <c r="E24" s="137">
        <v>366</v>
      </c>
      <c r="F24" s="137">
        <v>649.99</v>
      </c>
      <c r="G24" s="137">
        <v>175</v>
      </c>
      <c r="H24" s="137">
        <v>494.6</v>
      </c>
      <c r="I24" s="137">
        <v>469</v>
      </c>
      <c r="J24" s="137">
        <v>1125.4000000000001</v>
      </c>
      <c r="K24" s="137">
        <v>125</v>
      </c>
      <c r="L24" s="137">
        <v>438.5</v>
      </c>
      <c r="M24" s="139">
        <f t="shared" si="6"/>
        <v>769</v>
      </c>
      <c r="N24" s="135">
        <f t="shared" si="6"/>
        <v>2058.5</v>
      </c>
      <c r="O24" s="136" t="s">
        <v>292</v>
      </c>
      <c r="P24" s="215" t="s">
        <v>292</v>
      </c>
      <c r="Q24" s="141" t="s">
        <v>30</v>
      </c>
      <c r="R24" s="6"/>
      <c r="S24" s="6"/>
      <c r="T24" s="6"/>
      <c r="U24" s="131"/>
      <c r="V24" s="131"/>
    </row>
    <row r="25" spans="1:22">
      <c r="A25" s="5" t="s">
        <v>31</v>
      </c>
      <c r="B25" s="214">
        <f t="shared" si="5"/>
        <v>7579</v>
      </c>
      <c r="C25" s="137">
        <v>1775</v>
      </c>
      <c r="D25" s="137">
        <v>8492.4</v>
      </c>
      <c r="E25" s="137">
        <v>518</v>
      </c>
      <c r="F25" s="137">
        <v>1703.5</v>
      </c>
      <c r="G25" s="138"/>
      <c r="H25" s="137">
        <v>0</v>
      </c>
      <c r="I25" s="137">
        <v>5286</v>
      </c>
      <c r="J25" s="137">
        <v>20403.5</v>
      </c>
      <c r="K25" s="138"/>
      <c r="L25" s="137">
        <v>0</v>
      </c>
      <c r="M25" s="139">
        <f t="shared" si="6"/>
        <v>5286</v>
      </c>
      <c r="N25" s="135">
        <f t="shared" si="6"/>
        <v>20403.5</v>
      </c>
      <c r="O25" s="136" t="s">
        <v>292</v>
      </c>
      <c r="P25" s="215" t="s">
        <v>292</v>
      </c>
      <c r="Q25" s="141" t="s">
        <v>32</v>
      </c>
      <c r="R25" s="6"/>
      <c r="S25" s="6"/>
      <c r="T25" s="6"/>
      <c r="U25" s="131"/>
      <c r="V25" s="131"/>
    </row>
    <row r="26" spans="1:22">
      <c r="A26" s="5" t="s">
        <v>33</v>
      </c>
      <c r="B26" s="214">
        <f t="shared" si="5"/>
        <v>3231</v>
      </c>
      <c r="C26" s="137">
        <v>1368</v>
      </c>
      <c r="D26" s="137">
        <v>4110.55</v>
      </c>
      <c r="E26" s="137">
        <v>1033</v>
      </c>
      <c r="F26" s="137">
        <v>2238.5</v>
      </c>
      <c r="G26" s="137">
        <v>235</v>
      </c>
      <c r="H26" s="137">
        <v>433.75</v>
      </c>
      <c r="I26" s="137">
        <v>451</v>
      </c>
      <c r="J26" s="137">
        <v>758.5</v>
      </c>
      <c r="K26" s="137">
        <v>144</v>
      </c>
      <c r="L26" s="137">
        <v>281</v>
      </c>
      <c r="M26" s="139">
        <f t="shared" si="6"/>
        <v>830</v>
      </c>
      <c r="N26" s="135">
        <f t="shared" si="6"/>
        <v>1473.25</v>
      </c>
      <c r="O26" s="136" t="s">
        <v>292</v>
      </c>
      <c r="P26" s="215" t="s">
        <v>292</v>
      </c>
      <c r="Q26" s="141" t="s">
        <v>34</v>
      </c>
      <c r="R26" s="6"/>
      <c r="S26" s="6"/>
      <c r="T26" s="6"/>
      <c r="U26" s="131"/>
      <c r="V26" s="131"/>
    </row>
    <row r="27" spans="1:22" ht="28.2" customHeight="1">
      <c r="A27" s="209" t="s">
        <v>297</v>
      </c>
      <c r="B27" s="217">
        <f>SUM(C27,E27,G27,I27,K27,O27)</f>
        <v>20965</v>
      </c>
      <c r="C27" s="206">
        <f>SUM(C28:C31)</f>
        <v>877</v>
      </c>
      <c r="D27" s="206">
        <f>SUM(D28:D31)</f>
        <v>1909.7</v>
      </c>
      <c r="E27" s="206">
        <f t="shared" ref="E27:K27" si="7">SUM(E28:E31)</f>
        <v>797</v>
      </c>
      <c r="F27" s="206">
        <f t="shared" si="7"/>
        <v>984.60500000000002</v>
      </c>
      <c r="G27" s="206">
        <f t="shared" si="7"/>
        <v>566</v>
      </c>
      <c r="H27" s="206">
        <f t="shared" si="7"/>
        <v>852.18</v>
      </c>
      <c r="I27" s="206">
        <f t="shared" si="7"/>
        <v>17170</v>
      </c>
      <c r="J27" s="206">
        <f>SUM(J28:J31)</f>
        <v>51799.45</v>
      </c>
      <c r="K27" s="206">
        <f t="shared" si="7"/>
        <v>1511</v>
      </c>
      <c r="L27" s="206">
        <f>SUM(L28:L31)</f>
        <v>3398.9</v>
      </c>
      <c r="M27" s="207">
        <f>SUM(G27,I27,K27)</f>
        <v>19247</v>
      </c>
      <c r="N27" s="208">
        <f>SUM(H27,J27,L27)</f>
        <v>56050.53</v>
      </c>
      <c r="O27" s="206">
        <f t="shared" ref="O27:P27" si="8">SUM(O28:O31)</f>
        <v>44</v>
      </c>
      <c r="P27" s="218">
        <f t="shared" si="8"/>
        <v>12.85</v>
      </c>
      <c r="Q27" s="143" t="s">
        <v>298</v>
      </c>
      <c r="R27" s="229"/>
      <c r="S27" s="229"/>
      <c r="T27" s="6"/>
      <c r="U27" s="131"/>
      <c r="V27" s="131"/>
    </row>
    <row r="28" spans="1:22">
      <c r="A28" s="5" t="s">
        <v>35</v>
      </c>
      <c r="B28" s="214">
        <f t="shared" si="5"/>
        <v>7459</v>
      </c>
      <c r="C28" s="137">
        <v>452</v>
      </c>
      <c r="D28" s="137">
        <v>945.91</v>
      </c>
      <c r="E28" s="137">
        <v>389</v>
      </c>
      <c r="F28" s="137">
        <v>509.89</v>
      </c>
      <c r="G28" s="137">
        <v>541</v>
      </c>
      <c r="H28" s="137">
        <v>837.18</v>
      </c>
      <c r="I28" s="137">
        <v>5409</v>
      </c>
      <c r="J28" s="137">
        <v>17561.36</v>
      </c>
      <c r="K28" s="137">
        <v>624</v>
      </c>
      <c r="L28" s="137">
        <v>1404.4</v>
      </c>
      <c r="M28" s="139">
        <f t="shared" si="6"/>
        <v>6574</v>
      </c>
      <c r="N28" s="135">
        <f t="shared" si="6"/>
        <v>19802.940000000002</v>
      </c>
      <c r="O28" s="137">
        <v>44</v>
      </c>
      <c r="P28" s="216">
        <v>12.85</v>
      </c>
      <c r="Q28" s="141" t="s">
        <v>36</v>
      </c>
      <c r="R28" s="6"/>
      <c r="S28" s="6"/>
      <c r="T28" s="6"/>
      <c r="U28" s="131"/>
      <c r="V28" s="131"/>
    </row>
    <row r="29" spans="1:22">
      <c r="A29" s="5" t="s">
        <v>37</v>
      </c>
      <c r="B29" s="214">
        <f t="shared" si="5"/>
        <v>1350</v>
      </c>
      <c r="C29" s="137">
        <v>155</v>
      </c>
      <c r="D29" s="137">
        <v>257.79000000000002</v>
      </c>
      <c r="E29" s="137">
        <v>143</v>
      </c>
      <c r="F29" s="137">
        <v>160.41499999999999</v>
      </c>
      <c r="G29" s="137">
        <v>25</v>
      </c>
      <c r="H29" s="137">
        <v>15</v>
      </c>
      <c r="I29" s="137">
        <v>997</v>
      </c>
      <c r="J29" s="137">
        <v>1266.79</v>
      </c>
      <c r="K29" s="137">
        <v>30</v>
      </c>
      <c r="L29" s="137">
        <v>2</v>
      </c>
      <c r="M29" s="139">
        <f t="shared" si="6"/>
        <v>1052</v>
      </c>
      <c r="N29" s="135">
        <f t="shared" si="6"/>
        <v>1283.79</v>
      </c>
      <c r="O29" s="136" t="s">
        <v>292</v>
      </c>
      <c r="P29" s="215" t="s">
        <v>292</v>
      </c>
      <c r="Q29" s="141" t="s">
        <v>38</v>
      </c>
      <c r="R29" s="6"/>
      <c r="S29" s="6"/>
      <c r="T29" s="6"/>
      <c r="U29" s="131"/>
      <c r="V29" s="131"/>
    </row>
    <row r="30" spans="1:22">
      <c r="A30" s="5" t="s">
        <v>39</v>
      </c>
      <c r="B30" s="214">
        <f t="shared" si="5"/>
        <v>6477</v>
      </c>
      <c r="C30" s="137">
        <v>139</v>
      </c>
      <c r="D30" s="137">
        <v>235</v>
      </c>
      <c r="E30" s="137">
        <v>95</v>
      </c>
      <c r="F30" s="137">
        <v>144.30000000000001</v>
      </c>
      <c r="G30" s="138"/>
      <c r="H30" s="137">
        <v>0</v>
      </c>
      <c r="I30" s="137">
        <v>5587</v>
      </c>
      <c r="J30" s="137">
        <v>15469</v>
      </c>
      <c r="K30" s="137">
        <v>656</v>
      </c>
      <c r="L30" s="137">
        <v>1330.5</v>
      </c>
      <c r="M30" s="139">
        <f t="shared" si="6"/>
        <v>6243</v>
      </c>
      <c r="N30" s="135">
        <f t="shared" si="6"/>
        <v>16799.5</v>
      </c>
      <c r="O30" s="136" t="s">
        <v>292</v>
      </c>
      <c r="P30" s="215" t="s">
        <v>292</v>
      </c>
      <c r="Q30" s="141" t="s">
        <v>40</v>
      </c>
      <c r="R30" s="6"/>
      <c r="S30" s="6"/>
      <c r="T30" s="6"/>
      <c r="U30" s="131"/>
      <c r="V30" s="131"/>
    </row>
    <row r="31" spans="1:22">
      <c r="A31" s="5" t="s">
        <v>41</v>
      </c>
      <c r="B31" s="214">
        <f t="shared" si="5"/>
        <v>5679</v>
      </c>
      <c r="C31" s="137">
        <v>131</v>
      </c>
      <c r="D31" s="137">
        <v>471</v>
      </c>
      <c r="E31" s="137">
        <v>170</v>
      </c>
      <c r="F31" s="137">
        <v>170</v>
      </c>
      <c r="G31" s="138"/>
      <c r="H31" s="137">
        <v>0</v>
      </c>
      <c r="I31" s="137">
        <v>5177</v>
      </c>
      <c r="J31" s="137">
        <v>17502.3</v>
      </c>
      <c r="K31" s="137">
        <v>201</v>
      </c>
      <c r="L31" s="137">
        <v>662</v>
      </c>
      <c r="M31" s="139">
        <f t="shared" si="6"/>
        <v>5378</v>
      </c>
      <c r="N31" s="135">
        <f t="shared" si="6"/>
        <v>18164.3</v>
      </c>
      <c r="O31" s="136" t="s">
        <v>292</v>
      </c>
      <c r="P31" s="215" t="s">
        <v>292</v>
      </c>
      <c r="Q31" s="141" t="s">
        <v>42</v>
      </c>
      <c r="R31" s="6"/>
      <c r="S31" s="6"/>
      <c r="T31" s="6"/>
      <c r="U31" s="131"/>
      <c r="V31" s="131"/>
    </row>
    <row r="32" spans="1:22">
      <c r="A32" s="167" t="s">
        <v>43</v>
      </c>
      <c r="B32" s="212">
        <f>SUM(C32,E32,G32,I32,K32,O32)</f>
        <v>23235</v>
      </c>
      <c r="C32" s="157">
        <f>SUM(C34:C37)</f>
        <v>2339</v>
      </c>
      <c r="D32" s="157">
        <f t="shared" ref="D32:P32" si="9">SUM(D34:D37)</f>
        <v>5844.65</v>
      </c>
      <c r="E32" s="157">
        <f t="shared" si="9"/>
        <v>1460</v>
      </c>
      <c r="F32" s="157">
        <f t="shared" si="9"/>
        <v>2036.9</v>
      </c>
      <c r="G32" s="157">
        <f t="shared" si="9"/>
        <v>8299</v>
      </c>
      <c r="H32" s="157">
        <f t="shared" si="9"/>
        <v>8923.56</v>
      </c>
      <c r="I32" s="157">
        <f t="shared" si="9"/>
        <v>8936</v>
      </c>
      <c r="J32" s="157">
        <f t="shared" si="9"/>
        <v>14218.14</v>
      </c>
      <c r="K32" s="157">
        <f t="shared" si="9"/>
        <v>2201</v>
      </c>
      <c r="L32" s="157">
        <f>SUM(L34:L37)</f>
        <v>6242.5099999999993</v>
      </c>
      <c r="M32" s="157">
        <f>SUM(G32,I32,K32)</f>
        <v>19436</v>
      </c>
      <c r="N32" s="157">
        <f>SUM(H32,J32,L32)</f>
        <v>29384.209999999995</v>
      </c>
      <c r="O32" s="157">
        <f t="shared" si="9"/>
        <v>0</v>
      </c>
      <c r="P32" s="213">
        <f t="shared" si="9"/>
        <v>0</v>
      </c>
      <c r="Q32" s="158" t="s">
        <v>44</v>
      </c>
      <c r="R32" s="158"/>
      <c r="S32" s="158"/>
      <c r="T32" s="6"/>
      <c r="U32" s="131"/>
      <c r="V32" s="131"/>
    </row>
    <row r="33" spans="1:22">
      <c r="A33" s="167"/>
      <c r="B33" s="212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213"/>
      <c r="Q33" s="158"/>
      <c r="R33" s="158"/>
      <c r="S33" s="158"/>
      <c r="T33" s="6"/>
      <c r="U33" s="131"/>
      <c r="V33" s="131"/>
    </row>
    <row r="34" spans="1:22">
      <c r="A34" s="5" t="s">
        <v>45</v>
      </c>
      <c r="B34" s="214">
        <f>SUM(C34,E34,G34,I34,K34,O34)</f>
        <v>8436</v>
      </c>
      <c r="C34" s="137">
        <v>20</v>
      </c>
      <c r="D34" s="137">
        <v>55.45</v>
      </c>
      <c r="E34" s="137">
        <v>135</v>
      </c>
      <c r="F34" s="137">
        <v>114</v>
      </c>
      <c r="G34" s="137">
        <v>998</v>
      </c>
      <c r="H34" s="137">
        <v>851.34</v>
      </c>
      <c r="I34" s="137">
        <v>5799</v>
      </c>
      <c r="J34" s="137">
        <v>10344.6</v>
      </c>
      <c r="K34" s="137">
        <v>1484</v>
      </c>
      <c r="L34" s="137">
        <v>5083.3999999999996</v>
      </c>
      <c r="M34" s="139">
        <f t="shared" ref="M34:N37" si="10">SUM(G34,I34,K34)</f>
        <v>8281</v>
      </c>
      <c r="N34" s="135">
        <f t="shared" si="10"/>
        <v>16279.34</v>
      </c>
      <c r="O34" s="136" t="s">
        <v>292</v>
      </c>
      <c r="P34" s="215" t="s">
        <v>292</v>
      </c>
      <c r="Q34" s="141" t="s">
        <v>46</v>
      </c>
      <c r="R34" s="6"/>
      <c r="S34" s="6"/>
      <c r="T34" s="6"/>
      <c r="U34" s="131"/>
      <c r="V34" s="131"/>
    </row>
    <row r="35" spans="1:22">
      <c r="A35" s="5" t="s">
        <v>47</v>
      </c>
      <c r="B35" s="214">
        <f>SUM(C35,E35,G35,I35,K35,O35)</f>
        <v>5942</v>
      </c>
      <c r="C35" s="137">
        <v>201</v>
      </c>
      <c r="D35" s="137">
        <v>679.5</v>
      </c>
      <c r="E35" s="137">
        <v>72</v>
      </c>
      <c r="F35" s="137">
        <v>176</v>
      </c>
      <c r="G35" s="137">
        <v>4157</v>
      </c>
      <c r="H35" s="137">
        <v>4406</v>
      </c>
      <c r="I35" s="137">
        <v>1492</v>
      </c>
      <c r="J35" s="137">
        <v>1274.81</v>
      </c>
      <c r="K35" s="137">
        <v>20</v>
      </c>
      <c r="L35" s="137">
        <v>25</v>
      </c>
      <c r="M35" s="139">
        <f t="shared" si="10"/>
        <v>5669</v>
      </c>
      <c r="N35" s="135">
        <f t="shared" si="10"/>
        <v>5705.8099999999995</v>
      </c>
      <c r="O35" s="136" t="s">
        <v>292</v>
      </c>
      <c r="P35" s="215" t="s">
        <v>292</v>
      </c>
      <c r="Q35" s="141" t="s">
        <v>48</v>
      </c>
      <c r="R35" s="6"/>
      <c r="S35" s="6"/>
      <c r="T35" s="6"/>
      <c r="U35" s="131"/>
      <c r="V35" s="131"/>
    </row>
    <row r="36" spans="1:22">
      <c r="A36" s="5" t="s">
        <v>49</v>
      </c>
      <c r="B36" s="214">
        <f>SUM(C36,E36,G36,I36,K36,O36)</f>
        <v>2194</v>
      </c>
      <c r="C36" s="137">
        <v>946</v>
      </c>
      <c r="D36" s="137">
        <v>1884</v>
      </c>
      <c r="E36" s="137">
        <v>316</v>
      </c>
      <c r="F36" s="137">
        <v>491</v>
      </c>
      <c r="G36" s="137">
        <v>458</v>
      </c>
      <c r="H36" s="137">
        <v>344.91</v>
      </c>
      <c r="I36" s="137">
        <v>425</v>
      </c>
      <c r="J36" s="137">
        <v>347.43</v>
      </c>
      <c r="K36" s="137">
        <v>49</v>
      </c>
      <c r="L36" s="137">
        <v>26.11</v>
      </c>
      <c r="M36" s="139">
        <f t="shared" si="10"/>
        <v>932</v>
      </c>
      <c r="N36" s="135">
        <f t="shared" si="10"/>
        <v>718.45</v>
      </c>
      <c r="O36" s="136" t="s">
        <v>292</v>
      </c>
      <c r="P36" s="215" t="s">
        <v>292</v>
      </c>
      <c r="Q36" s="141" t="s">
        <v>50</v>
      </c>
      <c r="R36" s="6"/>
      <c r="S36" s="6"/>
      <c r="T36" s="6"/>
      <c r="U36" s="131"/>
      <c r="V36" s="131"/>
    </row>
    <row r="37" spans="1:22">
      <c r="A37" s="5" t="s">
        <v>51</v>
      </c>
      <c r="B37" s="214">
        <f>SUM(C37,E37,G37,I37,K37,O37)</f>
        <v>6663</v>
      </c>
      <c r="C37" s="137">
        <v>1172</v>
      </c>
      <c r="D37" s="137">
        <v>3225.7</v>
      </c>
      <c r="E37" s="137">
        <v>937</v>
      </c>
      <c r="F37" s="137">
        <v>1255.9000000000001</v>
      </c>
      <c r="G37" s="137">
        <v>2686</v>
      </c>
      <c r="H37" s="137">
        <v>3321.31</v>
      </c>
      <c r="I37" s="137">
        <v>1220</v>
      </c>
      <c r="J37" s="137">
        <v>2251.3000000000002</v>
      </c>
      <c r="K37" s="137">
        <v>648</v>
      </c>
      <c r="L37" s="137">
        <v>1108</v>
      </c>
      <c r="M37" s="139">
        <f t="shared" si="10"/>
        <v>4554</v>
      </c>
      <c r="N37" s="135">
        <f t="shared" si="10"/>
        <v>6680.6100000000006</v>
      </c>
      <c r="O37" s="136" t="s">
        <v>292</v>
      </c>
      <c r="P37" s="215" t="s">
        <v>292</v>
      </c>
      <c r="Q37" s="141" t="s">
        <v>52</v>
      </c>
      <c r="R37" s="6"/>
      <c r="S37" s="6"/>
      <c r="T37" s="6"/>
      <c r="U37" s="131"/>
      <c r="V37" s="131"/>
    </row>
    <row r="38" spans="1:22">
      <c r="A38" s="167" t="s">
        <v>53</v>
      </c>
      <c r="B38" s="212">
        <f>SUM(C38,E38,G38,I38,K38,O38)</f>
        <v>33851</v>
      </c>
      <c r="C38" s="157">
        <f>SUM(C40:C44)</f>
        <v>12746</v>
      </c>
      <c r="D38" s="157">
        <f t="shared" ref="D38:P38" si="11">SUM(D40:D44)</f>
        <v>80658.81</v>
      </c>
      <c r="E38" s="157">
        <f t="shared" si="11"/>
        <v>10994</v>
      </c>
      <c r="F38" s="157">
        <f t="shared" si="11"/>
        <v>36328.03</v>
      </c>
      <c r="G38" s="157">
        <f t="shared" si="11"/>
        <v>1570</v>
      </c>
      <c r="H38" s="157">
        <f t="shared" si="11"/>
        <v>3242.35</v>
      </c>
      <c r="I38" s="157">
        <f t="shared" si="11"/>
        <v>5230</v>
      </c>
      <c r="J38" s="157">
        <f t="shared" si="11"/>
        <v>9796.84</v>
      </c>
      <c r="K38" s="157">
        <f t="shared" si="11"/>
        <v>3291</v>
      </c>
      <c r="L38" s="157">
        <f t="shared" si="11"/>
        <v>7182.5100000000011</v>
      </c>
      <c r="M38" s="157">
        <f>SUM(G38,I38,K38)</f>
        <v>10091</v>
      </c>
      <c r="N38" s="157">
        <f>SUM(H38,J38,L38)</f>
        <v>20221.7</v>
      </c>
      <c r="O38" s="157">
        <f t="shared" si="11"/>
        <v>20</v>
      </c>
      <c r="P38" s="213">
        <f t="shared" si="11"/>
        <v>50</v>
      </c>
      <c r="Q38" s="158" t="s">
        <v>54</v>
      </c>
      <c r="R38" s="158"/>
      <c r="S38" s="158"/>
      <c r="T38" s="6"/>
      <c r="U38" s="131"/>
      <c r="V38" s="131"/>
    </row>
    <row r="39" spans="1:22">
      <c r="A39" s="167"/>
      <c r="B39" s="212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213"/>
      <c r="Q39" s="158"/>
      <c r="R39" s="158"/>
      <c r="S39" s="158"/>
      <c r="T39" s="6"/>
      <c r="U39" s="131"/>
      <c r="V39" s="131"/>
    </row>
    <row r="40" spans="1:22">
      <c r="A40" s="5" t="s">
        <v>55</v>
      </c>
      <c r="B40" s="214">
        <f t="shared" ref="B40:B44" si="12">SUM(C40,E40,G40,I40,K40,O40)</f>
        <v>12758</v>
      </c>
      <c r="C40" s="137">
        <v>6132</v>
      </c>
      <c r="D40" s="137">
        <v>45241.91</v>
      </c>
      <c r="E40" s="137">
        <v>1119</v>
      </c>
      <c r="F40" s="137">
        <v>3562.48</v>
      </c>
      <c r="G40" s="137">
        <v>981</v>
      </c>
      <c r="H40" s="137">
        <v>2035.5</v>
      </c>
      <c r="I40" s="137">
        <v>1719</v>
      </c>
      <c r="J40" s="137">
        <v>4581.75</v>
      </c>
      <c r="K40" s="137">
        <v>2787</v>
      </c>
      <c r="L40" s="137">
        <v>6115.6</v>
      </c>
      <c r="M40" s="139">
        <f t="shared" ref="M40:N44" si="13">SUM(G40,I40,K40)</f>
        <v>5487</v>
      </c>
      <c r="N40" s="135">
        <f t="shared" si="13"/>
        <v>12732.85</v>
      </c>
      <c r="O40" s="137">
        <v>20</v>
      </c>
      <c r="P40" s="216">
        <v>50</v>
      </c>
      <c r="Q40" s="141" t="s">
        <v>56</v>
      </c>
      <c r="R40" s="6"/>
      <c r="S40" s="6"/>
      <c r="T40" s="6"/>
      <c r="U40" s="131"/>
      <c r="V40" s="131"/>
    </row>
    <row r="41" spans="1:22">
      <c r="A41" s="5" t="s">
        <v>57</v>
      </c>
      <c r="B41" s="214">
        <f t="shared" si="12"/>
        <v>6926</v>
      </c>
      <c r="C41" s="137">
        <v>1394</v>
      </c>
      <c r="D41" s="137">
        <v>7157.8</v>
      </c>
      <c r="E41" s="137">
        <v>3661</v>
      </c>
      <c r="F41" s="137">
        <v>12871.3</v>
      </c>
      <c r="G41" s="137">
        <v>288</v>
      </c>
      <c r="H41" s="137">
        <v>466.2</v>
      </c>
      <c r="I41" s="137">
        <v>1449</v>
      </c>
      <c r="J41" s="137">
        <v>1544.7</v>
      </c>
      <c r="K41" s="137">
        <v>134</v>
      </c>
      <c r="L41" s="137">
        <v>87.06</v>
      </c>
      <c r="M41" s="139">
        <f t="shared" si="13"/>
        <v>1871</v>
      </c>
      <c r="N41" s="135">
        <f t="shared" si="13"/>
        <v>2097.96</v>
      </c>
      <c r="O41" s="136" t="s">
        <v>292</v>
      </c>
      <c r="P41" s="215" t="s">
        <v>292</v>
      </c>
      <c r="Q41" s="141" t="s">
        <v>58</v>
      </c>
      <c r="R41" s="6"/>
      <c r="S41" s="6"/>
      <c r="T41" s="6"/>
      <c r="U41" s="131"/>
      <c r="V41" s="131"/>
    </row>
    <row r="42" spans="1:22">
      <c r="A42" s="5" t="s">
        <v>59</v>
      </c>
      <c r="B42" s="214">
        <f t="shared" si="12"/>
        <v>2591</v>
      </c>
      <c r="C42" s="137">
        <v>618</v>
      </c>
      <c r="D42" s="137">
        <v>2796</v>
      </c>
      <c r="E42" s="137">
        <v>1085</v>
      </c>
      <c r="F42" s="137">
        <v>5675</v>
      </c>
      <c r="G42" s="137">
        <v>50</v>
      </c>
      <c r="H42" s="137">
        <v>75</v>
      </c>
      <c r="I42" s="137">
        <v>608</v>
      </c>
      <c r="J42" s="137">
        <v>1019.3</v>
      </c>
      <c r="K42" s="137">
        <v>230</v>
      </c>
      <c r="L42" s="137">
        <v>532</v>
      </c>
      <c r="M42" s="139">
        <f t="shared" si="13"/>
        <v>888</v>
      </c>
      <c r="N42" s="135">
        <f>SUM(H42,J42,L42)</f>
        <v>1626.3</v>
      </c>
      <c r="O42" s="136" t="s">
        <v>292</v>
      </c>
      <c r="P42" s="215" t="s">
        <v>292</v>
      </c>
      <c r="Q42" s="141" t="s">
        <v>60</v>
      </c>
      <c r="R42" s="6"/>
      <c r="S42" s="6"/>
      <c r="T42" s="6"/>
      <c r="U42" s="131"/>
      <c r="V42" s="131"/>
    </row>
    <row r="43" spans="1:22">
      <c r="A43" s="5" t="s">
        <v>61</v>
      </c>
      <c r="B43" s="214">
        <f t="shared" si="12"/>
        <v>10</v>
      </c>
      <c r="C43" s="137">
        <v>3</v>
      </c>
      <c r="D43" s="137">
        <v>4</v>
      </c>
      <c r="E43" s="137">
        <v>2</v>
      </c>
      <c r="F43" s="137">
        <v>4.5</v>
      </c>
      <c r="G43" s="137">
        <v>5</v>
      </c>
      <c r="H43" s="137">
        <v>18</v>
      </c>
      <c r="I43" s="138"/>
      <c r="J43" s="137">
        <v>0</v>
      </c>
      <c r="K43" s="138"/>
      <c r="L43" s="137">
        <v>0</v>
      </c>
      <c r="M43" s="139">
        <f t="shared" si="13"/>
        <v>5</v>
      </c>
      <c r="N43" s="135">
        <f t="shared" si="13"/>
        <v>18</v>
      </c>
      <c r="O43" s="136" t="s">
        <v>292</v>
      </c>
      <c r="P43" s="215" t="s">
        <v>292</v>
      </c>
      <c r="Q43" s="161" t="s">
        <v>62</v>
      </c>
      <c r="R43" s="161"/>
      <c r="S43" s="161"/>
      <c r="T43" s="6"/>
      <c r="U43" s="131"/>
      <c r="V43" s="131"/>
    </row>
    <row r="44" spans="1:22">
      <c r="A44" s="5" t="s">
        <v>63</v>
      </c>
      <c r="B44" s="214">
        <f t="shared" si="12"/>
        <v>11566</v>
      </c>
      <c r="C44" s="137">
        <v>4599</v>
      </c>
      <c r="D44" s="137">
        <v>25459.1</v>
      </c>
      <c r="E44" s="137">
        <v>5127</v>
      </c>
      <c r="F44" s="137">
        <v>14214.75</v>
      </c>
      <c r="G44" s="137">
        <v>246</v>
      </c>
      <c r="H44" s="137">
        <v>647.65</v>
      </c>
      <c r="I44" s="137">
        <v>1454</v>
      </c>
      <c r="J44" s="137">
        <v>2651.09</v>
      </c>
      <c r="K44" s="137">
        <v>140</v>
      </c>
      <c r="L44" s="137">
        <v>447.85</v>
      </c>
      <c r="M44" s="139">
        <f t="shared" si="13"/>
        <v>1840</v>
      </c>
      <c r="N44" s="135">
        <f t="shared" si="13"/>
        <v>3746.59</v>
      </c>
      <c r="O44" s="136" t="s">
        <v>292</v>
      </c>
      <c r="P44" s="215" t="s">
        <v>292</v>
      </c>
      <c r="Q44" s="141" t="s">
        <v>64</v>
      </c>
      <c r="R44" s="6"/>
      <c r="S44" s="6"/>
      <c r="T44" s="6"/>
      <c r="U44" s="131"/>
      <c r="V44" s="131"/>
    </row>
    <row r="45" spans="1:22">
      <c r="A45" s="168" t="s">
        <v>65</v>
      </c>
      <c r="B45" s="212">
        <f>SUM(C45,E45,G45,I45,K45,O45)</f>
        <v>59839</v>
      </c>
      <c r="C45" s="157">
        <f>SUM(C47:C51)</f>
        <v>9664</v>
      </c>
      <c r="D45" s="157">
        <f t="shared" ref="D45:P45" si="14">SUM(D47:D51)</f>
        <v>35274.233</v>
      </c>
      <c r="E45" s="157">
        <f t="shared" si="14"/>
        <v>9038</v>
      </c>
      <c r="F45" s="157">
        <f t="shared" si="14"/>
        <v>18704.149999999998</v>
      </c>
      <c r="G45" s="157">
        <f t="shared" si="14"/>
        <v>13839</v>
      </c>
      <c r="H45" s="157">
        <f t="shared" si="14"/>
        <v>30124.000000000004</v>
      </c>
      <c r="I45" s="157">
        <f t="shared" si="14"/>
        <v>8821</v>
      </c>
      <c r="J45" s="157">
        <f t="shared" si="14"/>
        <v>19344.149999999998</v>
      </c>
      <c r="K45" s="157">
        <f t="shared" si="14"/>
        <v>18477</v>
      </c>
      <c r="L45" s="157">
        <f t="shared" si="14"/>
        <v>35601.494999999995</v>
      </c>
      <c r="M45" s="157">
        <f>SUM(G45,I45,K45)</f>
        <v>41137</v>
      </c>
      <c r="N45" s="157">
        <f>SUM(H45,J45,L45)</f>
        <v>85069.64499999999</v>
      </c>
      <c r="O45" s="157">
        <f t="shared" si="14"/>
        <v>0</v>
      </c>
      <c r="P45" s="213">
        <f t="shared" si="14"/>
        <v>0</v>
      </c>
      <c r="Q45" s="160" t="s">
        <v>66</v>
      </c>
      <c r="R45" s="160"/>
      <c r="S45" s="160"/>
      <c r="T45" s="6"/>
      <c r="U45" s="131"/>
      <c r="V45" s="131"/>
    </row>
    <row r="46" spans="1:22">
      <c r="A46" s="168"/>
      <c r="B46" s="212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213"/>
      <c r="Q46" s="160"/>
      <c r="R46" s="160"/>
      <c r="S46" s="160"/>
      <c r="T46" s="6"/>
      <c r="U46" s="131"/>
      <c r="V46" s="131"/>
    </row>
    <row r="47" spans="1:22">
      <c r="A47" s="5" t="s">
        <v>67</v>
      </c>
      <c r="B47" s="214">
        <f t="shared" ref="B47:B51" si="15">SUM(C47,E47,G47,I47,K47,O47)</f>
        <v>10292</v>
      </c>
      <c r="C47" s="137">
        <v>2030</v>
      </c>
      <c r="D47" s="137">
        <v>7562.52</v>
      </c>
      <c r="E47" s="137">
        <v>1748</v>
      </c>
      <c r="F47" s="137">
        <v>3304.1</v>
      </c>
      <c r="G47" s="137">
        <v>2870</v>
      </c>
      <c r="H47" s="137">
        <v>6049.6</v>
      </c>
      <c r="I47" s="137">
        <v>1897</v>
      </c>
      <c r="J47" s="137">
        <v>5165.3</v>
      </c>
      <c r="K47" s="137">
        <v>1747</v>
      </c>
      <c r="L47" s="137">
        <v>3260.66</v>
      </c>
      <c r="M47" s="139">
        <f t="shared" ref="M47:N51" si="16">SUM(G47,I47,K47)</f>
        <v>6514</v>
      </c>
      <c r="N47" s="135">
        <f t="shared" si="16"/>
        <v>14475.560000000001</v>
      </c>
      <c r="O47" s="136" t="s">
        <v>292</v>
      </c>
      <c r="P47" s="215" t="s">
        <v>292</v>
      </c>
      <c r="Q47" s="141" t="s">
        <v>68</v>
      </c>
      <c r="R47" s="6"/>
      <c r="S47" s="6"/>
      <c r="T47" s="6"/>
      <c r="U47" s="131"/>
      <c r="V47" s="131"/>
    </row>
    <row r="48" spans="1:22">
      <c r="A48" s="5" t="s">
        <v>69</v>
      </c>
      <c r="B48" s="214">
        <f t="shared" si="15"/>
        <v>22018</v>
      </c>
      <c r="C48" s="137">
        <v>4232</v>
      </c>
      <c r="D48" s="137">
        <v>20061.5</v>
      </c>
      <c r="E48" s="137">
        <v>4674</v>
      </c>
      <c r="F48" s="137">
        <v>10315</v>
      </c>
      <c r="G48" s="137">
        <v>550</v>
      </c>
      <c r="H48" s="137">
        <v>1379</v>
      </c>
      <c r="I48" s="137">
        <v>4095</v>
      </c>
      <c r="J48" s="137">
        <v>11214</v>
      </c>
      <c r="K48" s="137">
        <v>8467</v>
      </c>
      <c r="L48" s="137">
        <v>18604</v>
      </c>
      <c r="M48" s="139">
        <f t="shared" si="16"/>
        <v>13112</v>
      </c>
      <c r="N48" s="135">
        <f t="shared" si="16"/>
        <v>31197</v>
      </c>
      <c r="O48" s="136" t="s">
        <v>292</v>
      </c>
      <c r="P48" s="215" t="s">
        <v>292</v>
      </c>
      <c r="Q48" s="141" t="s">
        <v>70</v>
      </c>
      <c r="R48" s="6"/>
      <c r="S48" s="6"/>
      <c r="T48" s="6"/>
      <c r="U48" s="131"/>
      <c r="V48" s="131"/>
    </row>
    <row r="49" spans="1:22">
      <c r="A49" s="5" t="s">
        <v>71</v>
      </c>
      <c r="B49" s="214">
        <f t="shared" si="15"/>
        <v>26033</v>
      </c>
      <c r="C49" s="137">
        <v>3398</v>
      </c>
      <c r="D49" s="137">
        <v>7642.6130000000003</v>
      </c>
      <c r="E49" s="137">
        <v>2608</v>
      </c>
      <c r="F49" s="137">
        <v>5075.2</v>
      </c>
      <c r="G49" s="137">
        <v>10279</v>
      </c>
      <c r="H49" s="137">
        <v>22595.8</v>
      </c>
      <c r="I49" s="137">
        <v>1542</v>
      </c>
      <c r="J49" s="137">
        <v>2031.75</v>
      </c>
      <c r="K49" s="137">
        <v>8206</v>
      </c>
      <c r="L49" s="137">
        <v>13714.385</v>
      </c>
      <c r="M49" s="139">
        <f t="shared" si="16"/>
        <v>20027</v>
      </c>
      <c r="N49" s="135">
        <f t="shared" si="16"/>
        <v>38341.934999999998</v>
      </c>
      <c r="O49" s="136" t="s">
        <v>292</v>
      </c>
      <c r="P49" s="215" t="s">
        <v>292</v>
      </c>
      <c r="Q49" s="141" t="s">
        <v>72</v>
      </c>
      <c r="R49" s="6"/>
      <c r="S49" s="6"/>
      <c r="T49" s="6"/>
      <c r="U49" s="131"/>
      <c r="V49" s="131"/>
    </row>
    <row r="50" spans="1:22">
      <c r="A50" s="5" t="s">
        <v>73</v>
      </c>
      <c r="B50" s="214">
        <f t="shared" si="15"/>
        <v>1045</v>
      </c>
      <c r="C50" s="137">
        <v>2</v>
      </c>
      <c r="D50" s="137">
        <v>0.6</v>
      </c>
      <c r="E50" s="137">
        <v>3</v>
      </c>
      <c r="F50" s="137">
        <v>0.75</v>
      </c>
      <c r="G50" s="137">
        <v>47</v>
      </c>
      <c r="H50" s="137">
        <v>12.4</v>
      </c>
      <c r="I50" s="137">
        <v>993</v>
      </c>
      <c r="J50" s="137">
        <v>590.5</v>
      </c>
      <c r="K50" s="138"/>
      <c r="L50" s="137">
        <v>0</v>
      </c>
      <c r="M50" s="139">
        <f t="shared" si="16"/>
        <v>1040</v>
      </c>
      <c r="N50" s="135">
        <f t="shared" si="16"/>
        <v>602.9</v>
      </c>
      <c r="O50" s="136" t="s">
        <v>292</v>
      </c>
      <c r="P50" s="215" t="s">
        <v>292</v>
      </c>
      <c r="Q50" s="141" t="s">
        <v>74</v>
      </c>
      <c r="R50" s="6"/>
      <c r="S50" s="6"/>
      <c r="T50" s="6"/>
      <c r="U50" s="131"/>
      <c r="V50" s="131"/>
    </row>
    <row r="51" spans="1:22">
      <c r="A51" s="5" t="s">
        <v>75</v>
      </c>
      <c r="B51" s="214">
        <f t="shared" si="15"/>
        <v>451</v>
      </c>
      <c r="C51" s="137">
        <v>2</v>
      </c>
      <c r="D51" s="137">
        <v>7</v>
      </c>
      <c r="E51" s="137">
        <v>5</v>
      </c>
      <c r="F51" s="137">
        <v>9.1</v>
      </c>
      <c r="G51" s="137">
        <v>93</v>
      </c>
      <c r="H51" s="137">
        <v>87.2</v>
      </c>
      <c r="I51" s="137">
        <v>294</v>
      </c>
      <c r="J51" s="137">
        <v>342.6</v>
      </c>
      <c r="K51" s="137">
        <v>57</v>
      </c>
      <c r="L51" s="137">
        <v>22.45</v>
      </c>
      <c r="M51" s="139">
        <f t="shared" si="16"/>
        <v>444</v>
      </c>
      <c r="N51" s="135">
        <f t="shared" si="16"/>
        <v>452.25</v>
      </c>
      <c r="O51" s="136" t="s">
        <v>292</v>
      </c>
      <c r="P51" s="215" t="s">
        <v>292</v>
      </c>
      <c r="Q51" s="141" t="s">
        <v>76</v>
      </c>
      <c r="R51" s="6"/>
      <c r="S51" s="6"/>
      <c r="T51" s="6"/>
      <c r="U51" s="131"/>
      <c r="V51" s="131"/>
    </row>
    <row r="52" spans="1:22">
      <c r="A52" s="167" t="s">
        <v>77</v>
      </c>
      <c r="B52" s="212">
        <f>SUM(C52,E52,G52,I52,K52,O52)</f>
        <v>22726</v>
      </c>
      <c r="C52" s="157">
        <f>SUM(C54:C58)</f>
        <v>1839</v>
      </c>
      <c r="D52" s="157">
        <f t="shared" ref="D52:P52" si="17">SUM(D54:D58)</f>
        <v>2792.808</v>
      </c>
      <c r="E52" s="157">
        <f t="shared" si="17"/>
        <v>1519</v>
      </c>
      <c r="F52" s="157">
        <f t="shared" si="17"/>
        <v>1832.9489999999998</v>
      </c>
      <c r="G52" s="157">
        <f t="shared" si="17"/>
        <v>13690</v>
      </c>
      <c r="H52" s="157">
        <f t="shared" si="17"/>
        <v>15094.594999999999</v>
      </c>
      <c r="I52" s="157">
        <f t="shared" si="17"/>
        <v>1931</v>
      </c>
      <c r="J52" s="157">
        <f t="shared" si="17"/>
        <v>1623.4</v>
      </c>
      <c r="K52" s="157">
        <f t="shared" si="17"/>
        <v>3581</v>
      </c>
      <c r="L52" s="157">
        <f t="shared" si="17"/>
        <v>2847.7330000000002</v>
      </c>
      <c r="M52" s="157">
        <f>SUM(G52,I52,K52)</f>
        <v>19202</v>
      </c>
      <c r="N52" s="157">
        <f>SUM(H52,J52,L52)</f>
        <v>19565.727999999999</v>
      </c>
      <c r="O52" s="157">
        <f t="shared" si="17"/>
        <v>166</v>
      </c>
      <c r="P52" s="213">
        <f t="shared" si="17"/>
        <v>80.08</v>
      </c>
      <c r="Q52" s="158" t="s">
        <v>78</v>
      </c>
      <c r="R52" s="158"/>
      <c r="S52" s="158"/>
      <c r="T52" s="6"/>
      <c r="U52" s="131"/>
      <c r="V52" s="131"/>
    </row>
    <row r="53" spans="1:22">
      <c r="A53" s="167"/>
      <c r="B53" s="212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213"/>
      <c r="Q53" s="158"/>
      <c r="R53" s="158"/>
      <c r="S53" s="158"/>
      <c r="T53" s="6"/>
      <c r="U53" s="131"/>
      <c r="V53" s="131"/>
    </row>
    <row r="54" spans="1:22">
      <c r="A54" s="5" t="s">
        <v>79</v>
      </c>
      <c r="B54" s="214">
        <f t="shared" ref="B54:B58" si="18">SUM(C54,E54,G54,I54,K54,O54)</f>
        <v>15199</v>
      </c>
      <c r="C54" s="137">
        <v>685</v>
      </c>
      <c r="D54" s="137">
        <v>1239.07</v>
      </c>
      <c r="E54" s="137">
        <v>280</v>
      </c>
      <c r="F54" s="137">
        <v>292.85000000000002</v>
      </c>
      <c r="G54" s="137">
        <v>10257</v>
      </c>
      <c r="H54" s="137">
        <v>11885.9</v>
      </c>
      <c r="I54" s="137">
        <v>1251</v>
      </c>
      <c r="J54" s="137">
        <v>1001.91</v>
      </c>
      <c r="K54" s="137">
        <v>2604</v>
      </c>
      <c r="L54" s="137">
        <v>1940.81</v>
      </c>
      <c r="M54" s="139">
        <f t="shared" ref="M54:N58" si="19">SUM(G54,I54,K54)</f>
        <v>14112</v>
      </c>
      <c r="N54" s="135">
        <f t="shared" si="19"/>
        <v>14828.619999999999</v>
      </c>
      <c r="O54" s="137">
        <v>122</v>
      </c>
      <c r="P54" s="216">
        <v>52</v>
      </c>
      <c r="Q54" s="141" t="s">
        <v>80</v>
      </c>
      <c r="R54" s="6"/>
      <c r="S54" s="6"/>
      <c r="T54" s="6"/>
      <c r="U54" s="131"/>
      <c r="V54" s="131"/>
    </row>
    <row r="55" spans="1:22">
      <c r="A55" s="5" t="s">
        <v>81</v>
      </c>
      <c r="B55" s="214">
        <f t="shared" si="18"/>
        <v>3904</v>
      </c>
      <c r="C55" s="137">
        <v>814</v>
      </c>
      <c r="D55" s="137">
        <v>1178.4380000000001</v>
      </c>
      <c r="E55" s="137">
        <v>921</v>
      </c>
      <c r="F55" s="137">
        <v>1250.3389999999999</v>
      </c>
      <c r="G55" s="137">
        <v>1135</v>
      </c>
      <c r="H55" s="137">
        <v>1474.845</v>
      </c>
      <c r="I55" s="137">
        <v>461</v>
      </c>
      <c r="J55" s="137">
        <v>516.86</v>
      </c>
      <c r="K55" s="137">
        <v>563</v>
      </c>
      <c r="L55" s="137">
        <v>654.81299999999999</v>
      </c>
      <c r="M55" s="139">
        <f t="shared" si="19"/>
        <v>2159</v>
      </c>
      <c r="N55" s="135">
        <f t="shared" si="19"/>
        <v>2646.518</v>
      </c>
      <c r="O55" s="137">
        <v>10</v>
      </c>
      <c r="P55" s="216">
        <v>9</v>
      </c>
      <c r="Q55" s="141" t="s">
        <v>82</v>
      </c>
      <c r="R55" s="6"/>
      <c r="S55" s="6"/>
      <c r="T55" s="6"/>
      <c r="U55" s="131"/>
      <c r="V55" s="131"/>
    </row>
    <row r="56" spans="1:22">
      <c r="A56" s="5" t="s">
        <v>83</v>
      </c>
      <c r="B56" s="214">
        <f t="shared" si="18"/>
        <v>15</v>
      </c>
      <c r="C56" s="138"/>
      <c r="D56" s="137">
        <v>0</v>
      </c>
      <c r="E56" s="138"/>
      <c r="F56" s="137">
        <v>0</v>
      </c>
      <c r="G56" s="137">
        <v>9</v>
      </c>
      <c r="H56" s="137">
        <v>1.05</v>
      </c>
      <c r="I56" s="137">
        <v>6</v>
      </c>
      <c r="J56" s="137">
        <v>1</v>
      </c>
      <c r="K56" s="138"/>
      <c r="L56" s="137">
        <v>0</v>
      </c>
      <c r="M56" s="139">
        <f t="shared" si="19"/>
        <v>15</v>
      </c>
      <c r="N56" s="135">
        <f t="shared" si="19"/>
        <v>2.0499999999999998</v>
      </c>
      <c r="O56" s="136" t="s">
        <v>292</v>
      </c>
      <c r="P56" s="215" t="s">
        <v>292</v>
      </c>
      <c r="Q56" s="141" t="s">
        <v>84</v>
      </c>
      <c r="R56" s="6"/>
      <c r="S56" s="6"/>
      <c r="T56" s="6"/>
      <c r="U56" s="131"/>
      <c r="V56" s="131"/>
    </row>
    <row r="57" spans="1:22">
      <c r="A57" s="5" t="s">
        <v>85</v>
      </c>
      <c r="B57" s="214">
        <f t="shared" si="18"/>
        <v>2489</v>
      </c>
      <c r="C57" s="137">
        <v>300</v>
      </c>
      <c r="D57" s="137">
        <v>324.3</v>
      </c>
      <c r="E57" s="137">
        <v>293</v>
      </c>
      <c r="F57" s="137">
        <v>263.45999999999998</v>
      </c>
      <c r="G57" s="137">
        <v>1379</v>
      </c>
      <c r="H57" s="137">
        <v>1140.5999999999999</v>
      </c>
      <c r="I57" s="137">
        <v>176</v>
      </c>
      <c r="J57" s="137">
        <v>81.23</v>
      </c>
      <c r="K57" s="137">
        <v>325</v>
      </c>
      <c r="L57" s="137">
        <v>206.71</v>
      </c>
      <c r="M57" s="139">
        <f t="shared" si="19"/>
        <v>1880</v>
      </c>
      <c r="N57" s="135">
        <f t="shared" si="19"/>
        <v>1428.54</v>
      </c>
      <c r="O57" s="137">
        <v>16</v>
      </c>
      <c r="P57" s="216">
        <v>6.58</v>
      </c>
      <c r="Q57" s="141" t="s">
        <v>86</v>
      </c>
      <c r="R57" s="6"/>
      <c r="S57" s="6"/>
      <c r="T57" s="6"/>
      <c r="U57" s="131"/>
      <c r="V57" s="131"/>
    </row>
    <row r="58" spans="1:22">
      <c r="A58" s="5" t="s">
        <v>87</v>
      </c>
      <c r="B58" s="214">
        <f t="shared" si="18"/>
        <v>1119</v>
      </c>
      <c r="C58" s="137">
        <v>40</v>
      </c>
      <c r="D58" s="137">
        <v>51</v>
      </c>
      <c r="E58" s="137">
        <v>25</v>
      </c>
      <c r="F58" s="137">
        <v>26.3</v>
      </c>
      <c r="G58" s="137">
        <v>910</v>
      </c>
      <c r="H58" s="137">
        <v>592.20000000000005</v>
      </c>
      <c r="I58" s="137">
        <v>37</v>
      </c>
      <c r="J58" s="137">
        <v>22.4</v>
      </c>
      <c r="K58" s="137">
        <v>89</v>
      </c>
      <c r="L58" s="137">
        <v>45.4</v>
      </c>
      <c r="M58" s="139">
        <f t="shared" si="19"/>
        <v>1036</v>
      </c>
      <c r="N58" s="135">
        <f t="shared" si="19"/>
        <v>660</v>
      </c>
      <c r="O58" s="137">
        <v>18</v>
      </c>
      <c r="P58" s="216">
        <v>12.5</v>
      </c>
      <c r="Q58" s="141" t="s">
        <v>88</v>
      </c>
      <c r="R58" s="6"/>
      <c r="S58" s="6"/>
      <c r="T58" s="6"/>
      <c r="U58" s="131"/>
      <c r="V58" s="131"/>
    </row>
    <row r="59" spans="1:22">
      <c r="A59" s="168" t="s">
        <v>89</v>
      </c>
      <c r="B59" s="212">
        <f>SUM(C59,E59,G59,I59,K59,O59)</f>
        <v>228985</v>
      </c>
      <c r="C59" s="157">
        <f>SUM(C61:C63)</f>
        <v>73351</v>
      </c>
      <c r="D59" s="157">
        <f t="shared" ref="D59:P59" si="20">SUM(D61:D63)</f>
        <v>272910.83999999997</v>
      </c>
      <c r="E59" s="157">
        <f t="shared" si="20"/>
        <v>24296</v>
      </c>
      <c r="F59" s="157">
        <f t="shared" si="20"/>
        <v>53458.405000000006</v>
      </c>
      <c r="G59" s="157">
        <f t="shared" si="20"/>
        <v>61798</v>
      </c>
      <c r="H59" s="157">
        <f t="shared" si="20"/>
        <v>138119.59100000001</v>
      </c>
      <c r="I59" s="157">
        <f t="shared" si="20"/>
        <v>9807</v>
      </c>
      <c r="J59" s="157">
        <f t="shared" si="20"/>
        <v>18791.436000000002</v>
      </c>
      <c r="K59" s="157">
        <f t="shared" si="20"/>
        <v>58319</v>
      </c>
      <c r="L59" s="157">
        <f t="shared" si="20"/>
        <v>131375.62</v>
      </c>
      <c r="M59" s="157">
        <f>SUM(G59,I59,K59)</f>
        <v>129924</v>
      </c>
      <c r="N59" s="157">
        <f>SUM(H59,J59,L59)</f>
        <v>288286.647</v>
      </c>
      <c r="O59" s="157">
        <f t="shared" si="20"/>
        <v>1414</v>
      </c>
      <c r="P59" s="213">
        <f t="shared" si="20"/>
        <v>3208.6</v>
      </c>
      <c r="Q59" s="160" t="s">
        <v>90</v>
      </c>
      <c r="R59" s="160"/>
      <c r="S59" s="160"/>
      <c r="T59" s="6"/>
      <c r="U59" s="131"/>
      <c r="V59" s="131"/>
    </row>
    <row r="60" spans="1:22">
      <c r="A60" s="168"/>
      <c r="B60" s="212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213"/>
      <c r="Q60" s="160"/>
      <c r="R60" s="160"/>
      <c r="S60" s="160"/>
      <c r="T60" s="6"/>
      <c r="U60" s="131"/>
      <c r="V60" s="131"/>
    </row>
    <row r="61" spans="1:22">
      <c r="A61" s="5" t="s">
        <v>91</v>
      </c>
      <c r="B61" s="214">
        <f>SUM(C61,E61,G61,I61,K61,O61)</f>
        <v>63403</v>
      </c>
      <c r="C61" s="137">
        <v>7429</v>
      </c>
      <c r="D61" s="137">
        <v>34804.839999999997</v>
      </c>
      <c r="E61" s="137">
        <v>2550</v>
      </c>
      <c r="F61" s="137">
        <v>7480.02</v>
      </c>
      <c r="G61" s="137">
        <v>25652</v>
      </c>
      <c r="H61" s="137">
        <v>66215.88</v>
      </c>
      <c r="I61" s="137">
        <v>2892</v>
      </c>
      <c r="J61" s="137">
        <v>4979.1000000000004</v>
      </c>
      <c r="K61" s="137">
        <v>24880</v>
      </c>
      <c r="L61" s="137">
        <v>65508.45</v>
      </c>
      <c r="M61" s="139">
        <f t="shared" ref="M61:N63" si="21">SUM(G61,I61,K61)</f>
        <v>53424</v>
      </c>
      <c r="N61" s="135">
        <f t="shared" si="21"/>
        <v>136703.43</v>
      </c>
      <c r="O61" s="136" t="s">
        <v>292</v>
      </c>
      <c r="P61" s="215" t="s">
        <v>292</v>
      </c>
      <c r="Q61" s="141" t="s">
        <v>92</v>
      </c>
      <c r="R61" s="6"/>
      <c r="S61" s="6"/>
      <c r="T61" s="6"/>
      <c r="U61" s="131"/>
      <c r="V61" s="131"/>
    </row>
    <row r="62" spans="1:22">
      <c r="A62" s="5" t="s">
        <v>93</v>
      </c>
      <c r="B62" s="214">
        <f>SUM(C62,E62,G62,I62,K62,O62)</f>
        <v>22556</v>
      </c>
      <c r="C62" s="137">
        <v>6155</v>
      </c>
      <c r="D62" s="137">
        <v>16885.5</v>
      </c>
      <c r="E62" s="137">
        <v>5411</v>
      </c>
      <c r="F62" s="137">
        <v>8919.4050000000007</v>
      </c>
      <c r="G62" s="137">
        <v>8356</v>
      </c>
      <c r="H62" s="137">
        <v>7905.06</v>
      </c>
      <c r="I62" s="137">
        <v>1779</v>
      </c>
      <c r="J62" s="137">
        <v>1772.78</v>
      </c>
      <c r="K62" s="137">
        <v>851</v>
      </c>
      <c r="L62" s="137">
        <v>778.97</v>
      </c>
      <c r="M62" s="139">
        <f t="shared" si="21"/>
        <v>10986</v>
      </c>
      <c r="N62" s="135">
        <f t="shared" si="21"/>
        <v>10456.81</v>
      </c>
      <c r="O62" s="140">
        <v>4</v>
      </c>
      <c r="P62" s="216">
        <v>2.1</v>
      </c>
      <c r="Q62" s="161" t="s">
        <v>94</v>
      </c>
      <c r="R62" s="161"/>
      <c r="S62" s="161"/>
      <c r="T62" s="6"/>
      <c r="U62" s="131"/>
      <c r="V62" s="131"/>
    </row>
    <row r="63" spans="1:22">
      <c r="A63" s="5" t="s">
        <v>95</v>
      </c>
      <c r="B63" s="214">
        <f>SUM(C63,E63,G63,I63,K63,O63)</f>
        <v>143026</v>
      </c>
      <c r="C63" s="137">
        <v>59767</v>
      </c>
      <c r="D63" s="137">
        <v>221220.5</v>
      </c>
      <c r="E63" s="137">
        <v>16335</v>
      </c>
      <c r="F63" s="137">
        <v>37058.980000000003</v>
      </c>
      <c r="G63" s="137">
        <v>27790</v>
      </c>
      <c r="H63" s="137">
        <v>63998.650999999998</v>
      </c>
      <c r="I63" s="137">
        <v>5136</v>
      </c>
      <c r="J63" s="137">
        <v>12039.556</v>
      </c>
      <c r="K63" s="137">
        <v>32588</v>
      </c>
      <c r="L63" s="137">
        <v>65088.2</v>
      </c>
      <c r="M63" s="139">
        <f t="shared" si="21"/>
        <v>65514</v>
      </c>
      <c r="N63" s="135">
        <f t="shared" si="21"/>
        <v>141126.40700000001</v>
      </c>
      <c r="O63" s="137">
        <v>1410</v>
      </c>
      <c r="P63" s="216">
        <v>3206.5</v>
      </c>
      <c r="Q63" s="141" t="s">
        <v>96</v>
      </c>
      <c r="R63" s="6"/>
      <c r="S63" s="6"/>
      <c r="T63" s="6"/>
      <c r="U63" s="131"/>
      <c r="V63" s="131"/>
    </row>
    <row r="64" spans="1:22">
      <c r="A64" s="168" t="s">
        <v>97</v>
      </c>
      <c r="B64" s="212">
        <f>SUM(C64,E64,G64,I64,K64,O64)</f>
        <v>63285</v>
      </c>
      <c r="C64" s="157">
        <f>SUM(C66:C70)</f>
        <v>13757</v>
      </c>
      <c r="D64" s="157">
        <f t="shared" ref="D64:P64" si="22">SUM(D66:D70)</f>
        <v>55374.2</v>
      </c>
      <c r="E64" s="157">
        <f t="shared" si="22"/>
        <v>6401</v>
      </c>
      <c r="F64" s="157">
        <f t="shared" si="22"/>
        <v>14524</v>
      </c>
      <c r="G64" s="157">
        <f t="shared" si="22"/>
        <v>15515</v>
      </c>
      <c r="H64" s="157">
        <f t="shared" si="22"/>
        <v>34242.300000000003</v>
      </c>
      <c r="I64" s="157">
        <f t="shared" si="22"/>
        <v>21199</v>
      </c>
      <c r="J64" s="157">
        <f t="shared" si="22"/>
        <v>56928.17</v>
      </c>
      <c r="K64" s="157">
        <f t="shared" si="22"/>
        <v>6413</v>
      </c>
      <c r="L64" s="157">
        <f t="shared" si="22"/>
        <v>10791.76</v>
      </c>
      <c r="M64" s="157">
        <f>SUM(G64,I64,K64)</f>
        <v>43127</v>
      </c>
      <c r="N64" s="157">
        <f>SUM(H64,J64,L64)</f>
        <v>101962.23</v>
      </c>
      <c r="O64" s="157">
        <f t="shared" si="22"/>
        <v>0</v>
      </c>
      <c r="P64" s="213">
        <f t="shared" si="22"/>
        <v>0</v>
      </c>
      <c r="Q64" s="160" t="s">
        <v>98</v>
      </c>
      <c r="R64" s="160"/>
      <c r="S64" s="160"/>
      <c r="T64" s="6"/>
      <c r="U64" s="131"/>
      <c r="V64" s="131"/>
    </row>
    <row r="65" spans="1:22">
      <c r="A65" s="168"/>
      <c r="B65" s="212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213"/>
      <c r="Q65" s="160"/>
      <c r="R65" s="160"/>
      <c r="S65" s="160"/>
      <c r="T65" s="6"/>
      <c r="U65" s="131"/>
      <c r="V65" s="131"/>
    </row>
    <row r="66" spans="1:22">
      <c r="A66" s="5" t="s">
        <v>99</v>
      </c>
      <c r="B66" s="214">
        <f t="shared" ref="B66:B70" si="23">SUM(C66,E66,G66,I66,K66,O66)</f>
        <v>11630</v>
      </c>
      <c r="C66" s="137">
        <v>373</v>
      </c>
      <c r="D66" s="137">
        <v>1356.5</v>
      </c>
      <c r="E66" s="137">
        <v>156</v>
      </c>
      <c r="F66" s="137">
        <v>291.10000000000002</v>
      </c>
      <c r="G66" s="137">
        <v>249</v>
      </c>
      <c r="H66" s="137">
        <v>364.5</v>
      </c>
      <c r="I66" s="137">
        <v>10742</v>
      </c>
      <c r="J66" s="137">
        <v>33099.949999999997</v>
      </c>
      <c r="K66" s="137">
        <v>110</v>
      </c>
      <c r="L66" s="137">
        <v>269.5</v>
      </c>
      <c r="M66" s="139">
        <f t="shared" ref="M66:N70" si="24">SUM(G66,I66,K66)</f>
        <v>11101</v>
      </c>
      <c r="N66" s="135">
        <f t="shared" si="24"/>
        <v>33733.949999999997</v>
      </c>
      <c r="O66" s="136" t="s">
        <v>292</v>
      </c>
      <c r="P66" s="215" t="s">
        <v>292</v>
      </c>
      <c r="Q66" s="141" t="s">
        <v>100</v>
      </c>
      <c r="R66" s="6"/>
      <c r="S66" s="6"/>
      <c r="T66" s="6"/>
      <c r="U66" s="131"/>
      <c r="V66" s="131"/>
    </row>
    <row r="67" spans="1:22">
      <c r="A67" s="5" t="s">
        <v>101</v>
      </c>
      <c r="B67" s="214">
        <f t="shared" si="23"/>
        <v>5060</v>
      </c>
      <c r="C67" s="137">
        <v>630</v>
      </c>
      <c r="D67" s="137">
        <v>2000.6</v>
      </c>
      <c r="E67" s="137">
        <v>2107</v>
      </c>
      <c r="F67" s="137">
        <v>4515.2</v>
      </c>
      <c r="G67" s="137">
        <v>955</v>
      </c>
      <c r="H67" s="137">
        <v>1964.5</v>
      </c>
      <c r="I67" s="137">
        <v>902</v>
      </c>
      <c r="J67" s="137">
        <v>1565.5</v>
      </c>
      <c r="K67" s="137">
        <v>466</v>
      </c>
      <c r="L67" s="137">
        <v>863.75</v>
      </c>
      <c r="M67" s="139">
        <f t="shared" si="24"/>
        <v>2323</v>
      </c>
      <c r="N67" s="135">
        <f t="shared" si="24"/>
        <v>4393.75</v>
      </c>
      <c r="O67" s="136" t="s">
        <v>292</v>
      </c>
      <c r="P67" s="215" t="s">
        <v>292</v>
      </c>
      <c r="Q67" s="141" t="s">
        <v>102</v>
      </c>
      <c r="R67" s="6"/>
      <c r="S67" s="6"/>
      <c r="T67" s="6"/>
      <c r="U67" s="131"/>
      <c r="V67" s="131"/>
    </row>
    <row r="68" spans="1:22">
      <c r="A68" s="5" t="s">
        <v>103</v>
      </c>
      <c r="B68" s="214">
        <f t="shared" si="23"/>
        <v>3170</v>
      </c>
      <c r="C68" s="137">
        <v>95</v>
      </c>
      <c r="D68" s="137">
        <v>331.5</v>
      </c>
      <c r="E68" s="137">
        <v>780</v>
      </c>
      <c r="F68" s="137">
        <v>1672.9</v>
      </c>
      <c r="G68" s="137">
        <v>3</v>
      </c>
      <c r="H68" s="137">
        <v>5</v>
      </c>
      <c r="I68" s="137">
        <v>2093</v>
      </c>
      <c r="J68" s="137">
        <v>6848</v>
      </c>
      <c r="K68" s="137">
        <v>199</v>
      </c>
      <c r="L68" s="137">
        <v>479</v>
      </c>
      <c r="M68" s="139">
        <f t="shared" si="24"/>
        <v>2295</v>
      </c>
      <c r="N68" s="135">
        <f t="shared" si="24"/>
        <v>7332</v>
      </c>
      <c r="O68" s="136" t="s">
        <v>292</v>
      </c>
      <c r="P68" s="215" t="s">
        <v>292</v>
      </c>
      <c r="Q68" s="141" t="s">
        <v>104</v>
      </c>
      <c r="R68" s="6"/>
      <c r="S68" s="6"/>
      <c r="T68" s="6"/>
      <c r="U68" s="131"/>
      <c r="V68" s="131"/>
    </row>
    <row r="69" spans="1:22">
      <c r="A69" s="5" t="s">
        <v>105</v>
      </c>
      <c r="B69" s="214">
        <f t="shared" si="23"/>
        <v>8648</v>
      </c>
      <c r="C69" s="137">
        <v>2217</v>
      </c>
      <c r="D69" s="137">
        <v>6926.9</v>
      </c>
      <c r="E69" s="137">
        <v>1386</v>
      </c>
      <c r="F69" s="137">
        <v>3142.3</v>
      </c>
      <c r="G69" s="137">
        <v>1730</v>
      </c>
      <c r="H69" s="137">
        <v>2971.35</v>
      </c>
      <c r="I69" s="137">
        <v>1788</v>
      </c>
      <c r="J69" s="137">
        <v>2744.82</v>
      </c>
      <c r="K69" s="137">
        <v>1527</v>
      </c>
      <c r="L69" s="137">
        <v>2627.29</v>
      </c>
      <c r="M69" s="139">
        <f t="shared" si="24"/>
        <v>5045</v>
      </c>
      <c r="N69" s="135">
        <f t="shared" si="24"/>
        <v>8343.4599999999991</v>
      </c>
      <c r="O69" s="136" t="s">
        <v>292</v>
      </c>
      <c r="P69" s="215" t="s">
        <v>292</v>
      </c>
      <c r="Q69" s="141" t="s">
        <v>106</v>
      </c>
      <c r="R69" s="6"/>
      <c r="S69" s="6"/>
      <c r="T69" s="6"/>
      <c r="U69" s="131"/>
      <c r="V69" s="131"/>
    </row>
    <row r="70" spans="1:22">
      <c r="A70" s="5" t="s">
        <v>107</v>
      </c>
      <c r="B70" s="214">
        <f t="shared" si="23"/>
        <v>34777</v>
      </c>
      <c r="C70" s="137">
        <v>10442</v>
      </c>
      <c r="D70" s="137">
        <v>44758.7</v>
      </c>
      <c r="E70" s="137">
        <v>1972</v>
      </c>
      <c r="F70" s="137">
        <v>4902.5</v>
      </c>
      <c r="G70" s="137">
        <v>12578</v>
      </c>
      <c r="H70" s="137">
        <v>28936.95</v>
      </c>
      <c r="I70" s="137">
        <v>5674</v>
      </c>
      <c r="J70" s="137">
        <v>12669.9</v>
      </c>
      <c r="K70" s="137">
        <v>4111</v>
      </c>
      <c r="L70" s="137">
        <v>6552.22</v>
      </c>
      <c r="M70" s="139">
        <f t="shared" si="24"/>
        <v>22363</v>
      </c>
      <c r="N70" s="135">
        <f t="shared" si="24"/>
        <v>48159.07</v>
      </c>
      <c r="O70" s="136" t="s">
        <v>292</v>
      </c>
      <c r="P70" s="215" t="s">
        <v>292</v>
      </c>
      <c r="Q70" s="141" t="s">
        <v>108</v>
      </c>
      <c r="R70" s="6"/>
      <c r="S70" s="6"/>
      <c r="T70" s="6"/>
      <c r="U70" s="131"/>
      <c r="V70" s="131"/>
    </row>
    <row r="71" spans="1:22">
      <c r="A71" s="167" t="s">
        <v>109</v>
      </c>
      <c r="B71" s="212">
        <f>SUM(C71,E71,G71,I71,K71,O71)</f>
        <v>3149</v>
      </c>
      <c r="C71" s="157">
        <f>SUM(C73:C80)</f>
        <v>315</v>
      </c>
      <c r="D71" s="157">
        <f t="shared" ref="D71:P71" si="25">SUM(D73:D80)</f>
        <v>405.53</v>
      </c>
      <c r="E71" s="157">
        <f t="shared" si="25"/>
        <v>427</v>
      </c>
      <c r="F71" s="157">
        <f>SUM(F73:F80)</f>
        <v>443.34999999999997</v>
      </c>
      <c r="G71" s="157">
        <f t="shared" si="25"/>
        <v>822</v>
      </c>
      <c r="H71" s="157">
        <f>SUM(H73:H80)</f>
        <v>1523.6000000000001</v>
      </c>
      <c r="I71" s="157">
        <f>SUM(I73:I80)</f>
        <v>999</v>
      </c>
      <c r="J71" s="157">
        <f t="shared" si="25"/>
        <v>2585.1</v>
      </c>
      <c r="K71" s="157">
        <f>SUM(K73:K80)</f>
        <v>586</v>
      </c>
      <c r="L71" s="157">
        <f>SUM(L73:L80)</f>
        <v>1233.7</v>
      </c>
      <c r="M71" s="157">
        <f>SUM(G71,I71,K71)</f>
        <v>2407</v>
      </c>
      <c r="N71" s="157">
        <f>SUM(H71,J71,L71)</f>
        <v>5342.4</v>
      </c>
      <c r="O71" s="157">
        <f t="shared" si="25"/>
        <v>0</v>
      </c>
      <c r="P71" s="213">
        <f t="shared" si="25"/>
        <v>0</v>
      </c>
      <c r="Q71" s="158" t="s">
        <v>110</v>
      </c>
      <c r="R71" s="158"/>
      <c r="S71" s="158"/>
      <c r="T71" s="6"/>
      <c r="U71" s="131"/>
      <c r="V71" s="131"/>
    </row>
    <row r="72" spans="1:22" ht="6.6" customHeight="1">
      <c r="A72" s="167"/>
      <c r="B72" s="212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213"/>
      <c r="Q72" s="158"/>
      <c r="R72" s="158"/>
      <c r="S72" s="158"/>
      <c r="T72" s="6"/>
      <c r="U72" s="131"/>
      <c r="V72" s="131"/>
    </row>
    <row r="73" spans="1:22">
      <c r="A73" s="130" t="s">
        <v>111</v>
      </c>
      <c r="B73" s="214">
        <f t="shared" ref="B73:B79" si="26">SUM(C73,E73,G73,I73,K73,O73)</f>
        <v>0</v>
      </c>
      <c r="C73" s="136" t="s">
        <v>292</v>
      </c>
      <c r="D73" s="136" t="s">
        <v>292</v>
      </c>
      <c r="E73" s="136" t="s">
        <v>292</v>
      </c>
      <c r="F73" s="136" t="s">
        <v>292</v>
      </c>
      <c r="G73" s="136" t="s">
        <v>292</v>
      </c>
      <c r="H73" s="136" t="s">
        <v>292</v>
      </c>
      <c r="I73" s="136" t="s">
        <v>292</v>
      </c>
      <c r="J73" s="136" t="s">
        <v>292</v>
      </c>
      <c r="K73" s="136" t="s">
        <v>292</v>
      </c>
      <c r="L73" s="136" t="s">
        <v>292</v>
      </c>
      <c r="M73" s="139">
        <f t="shared" ref="M73:N79" si="27">SUM(G73,I73,K73)</f>
        <v>0</v>
      </c>
      <c r="N73" s="135">
        <f t="shared" si="27"/>
        <v>0</v>
      </c>
      <c r="O73" s="136" t="s">
        <v>292</v>
      </c>
      <c r="P73" s="215" t="s">
        <v>292</v>
      </c>
      <c r="Q73" s="161" t="s">
        <v>112</v>
      </c>
      <c r="R73" s="161"/>
      <c r="S73" s="161"/>
      <c r="T73" s="161"/>
      <c r="U73" s="131"/>
      <c r="V73" s="131"/>
    </row>
    <row r="74" spans="1:22">
      <c r="A74" s="130" t="s">
        <v>113</v>
      </c>
      <c r="B74" s="214">
        <f t="shared" si="26"/>
        <v>1</v>
      </c>
      <c r="C74" s="136" t="s">
        <v>292</v>
      </c>
      <c r="D74" s="136" t="s">
        <v>292</v>
      </c>
      <c r="E74" s="136" t="s">
        <v>292</v>
      </c>
      <c r="F74" s="136" t="s">
        <v>292</v>
      </c>
      <c r="G74" s="137">
        <v>1</v>
      </c>
      <c r="H74" s="137">
        <v>0.2</v>
      </c>
      <c r="I74" s="138"/>
      <c r="J74" s="137">
        <v>0</v>
      </c>
      <c r="K74" s="137" t="s">
        <v>292</v>
      </c>
      <c r="L74" s="137" t="s">
        <v>292</v>
      </c>
      <c r="M74" s="139">
        <f t="shared" si="27"/>
        <v>1</v>
      </c>
      <c r="N74" s="135">
        <f t="shared" si="27"/>
        <v>0.2</v>
      </c>
      <c r="O74" s="136" t="s">
        <v>292</v>
      </c>
      <c r="P74" s="215" t="s">
        <v>292</v>
      </c>
      <c r="Q74" s="161" t="s">
        <v>114</v>
      </c>
      <c r="R74" s="161"/>
      <c r="S74" s="161"/>
      <c r="T74" s="161"/>
      <c r="U74" s="131"/>
      <c r="V74" s="131"/>
    </row>
    <row r="75" spans="1:22">
      <c r="A75" s="130" t="s">
        <v>278</v>
      </c>
      <c r="B75" s="214">
        <f t="shared" si="26"/>
        <v>0</v>
      </c>
      <c r="C75" s="136" t="s">
        <v>292</v>
      </c>
      <c r="D75" s="136" t="s">
        <v>292</v>
      </c>
      <c r="E75" s="136" t="s">
        <v>292</v>
      </c>
      <c r="F75" s="136" t="s">
        <v>292</v>
      </c>
      <c r="G75" s="136" t="s">
        <v>292</v>
      </c>
      <c r="H75" s="136" t="s">
        <v>292</v>
      </c>
      <c r="I75" s="136" t="s">
        <v>292</v>
      </c>
      <c r="J75" s="136" t="s">
        <v>292</v>
      </c>
      <c r="K75" s="136" t="s">
        <v>292</v>
      </c>
      <c r="L75" s="136" t="s">
        <v>292</v>
      </c>
      <c r="M75" s="139">
        <f t="shared" si="27"/>
        <v>0</v>
      </c>
      <c r="N75" s="135">
        <f t="shared" si="27"/>
        <v>0</v>
      </c>
      <c r="O75" s="136" t="s">
        <v>292</v>
      </c>
      <c r="P75" s="215" t="s">
        <v>292</v>
      </c>
      <c r="Q75" s="161" t="s">
        <v>116</v>
      </c>
      <c r="R75" s="161"/>
      <c r="S75" s="161"/>
      <c r="T75" s="161"/>
      <c r="U75" s="131"/>
      <c r="V75" s="131"/>
    </row>
    <row r="76" spans="1:22">
      <c r="A76" s="130" t="s">
        <v>279</v>
      </c>
      <c r="B76" s="214">
        <f t="shared" si="26"/>
        <v>0</v>
      </c>
      <c r="C76" s="136" t="s">
        <v>292</v>
      </c>
      <c r="D76" s="136" t="s">
        <v>292</v>
      </c>
      <c r="E76" s="136" t="s">
        <v>292</v>
      </c>
      <c r="F76" s="136" t="s">
        <v>292</v>
      </c>
      <c r="G76" s="136" t="s">
        <v>292</v>
      </c>
      <c r="H76" s="136" t="s">
        <v>292</v>
      </c>
      <c r="I76" s="136" t="s">
        <v>292</v>
      </c>
      <c r="J76" s="136" t="s">
        <v>292</v>
      </c>
      <c r="K76" s="136" t="s">
        <v>292</v>
      </c>
      <c r="L76" s="136" t="s">
        <v>292</v>
      </c>
      <c r="M76" s="139">
        <f t="shared" si="27"/>
        <v>0</v>
      </c>
      <c r="N76" s="135">
        <f t="shared" si="27"/>
        <v>0</v>
      </c>
      <c r="O76" s="136" t="s">
        <v>292</v>
      </c>
      <c r="P76" s="215" t="s">
        <v>292</v>
      </c>
      <c r="Q76" s="161" t="s">
        <v>118</v>
      </c>
      <c r="R76" s="161"/>
      <c r="S76" s="161"/>
      <c r="T76" s="161"/>
      <c r="U76" s="131"/>
      <c r="V76" s="131"/>
    </row>
    <row r="77" spans="1:22">
      <c r="A77" s="130" t="s">
        <v>280</v>
      </c>
      <c r="B77" s="214">
        <f>SUM(C77,E77,G77,I77,K78,O77)</f>
        <v>1244</v>
      </c>
      <c r="C77" s="137">
        <v>120</v>
      </c>
      <c r="D77" s="137">
        <v>187.4</v>
      </c>
      <c r="E77" s="137">
        <v>86</v>
      </c>
      <c r="F77" s="137">
        <v>98.1</v>
      </c>
      <c r="G77" s="137">
        <v>165</v>
      </c>
      <c r="H77" s="137">
        <v>312.5</v>
      </c>
      <c r="I77" s="137">
        <v>871</v>
      </c>
      <c r="J77" s="137">
        <v>2464.5</v>
      </c>
      <c r="K77" s="137">
        <v>358</v>
      </c>
      <c r="L77" s="137">
        <v>882.5</v>
      </c>
      <c r="M77" s="139">
        <f>SUM(G77,I77,K78)</f>
        <v>1038</v>
      </c>
      <c r="N77" s="135">
        <f>SUM(H77,J77,L78)</f>
        <v>2781</v>
      </c>
      <c r="O77" s="136" t="s">
        <v>292</v>
      </c>
      <c r="P77" s="215" t="s">
        <v>292</v>
      </c>
      <c r="Q77" s="161" t="s">
        <v>120</v>
      </c>
      <c r="R77" s="161"/>
      <c r="S77" s="161"/>
      <c r="T77" s="161"/>
      <c r="U77" s="131"/>
      <c r="V77" s="131"/>
    </row>
    <row r="78" spans="1:22">
      <c r="A78" s="130" t="s">
        <v>281</v>
      </c>
      <c r="B78" s="214">
        <f>SUM(C78,E78,G78,I78,K80,O78)</f>
        <v>549</v>
      </c>
      <c r="C78" s="137">
        <v>73</v>
      </c>
      <c r="D78" s="137">
        <v>136.5</v>
      </c>
      <c r="E78" s="137">
        <v>230</v>
      </c>
      <c r="F78" s="137">
        <v>271.7</v>
      </c>
      <c r="G78" s="137">
        <v>10</v>
      </c>
      <c r="H78" s="137">
        <v>15</v>
      </c>
      <c r="I78" s="137">
        <v>10</v>
      </c>
      <c r="J78" s="137">
        <v>10</v>
      </c>
      <c r="K78" s="137">
        <v>2</v>
      </c>
      <c r="L78" s="137">
        <v>4</v>
      </c>
      <c r="M78" s="139">
        <f>SUM(G78,I78,K80)</f>
        <v>246</v>
      </c>
      <c r="N78" s="135">
        <f>SUM(H78,J78,L80)</f>
        <v>372.2</v>
      </c>
      <c r="O78" s="136" t="s">
        <v>292</v>
      </c>
      <c r="P78" s="215" t="s">
        <v>292</v>
      </c>
      <c r="Q78" s="161" t="s">
        <v>122</v>
      </c>
      <c r="R78" s="161"/>
      <c r="S78" s="161"/>
      <c r="T78" s="161"/>
      <c r="U78" s="131"/>
      <c r="V78" s="131"/>
    </row>
    <row r="79" spans="1:22">
      <c r="A79" s="130" t="s">
        <v>282</v>
      </c>
      <c r="B79" s="214">
        <f t="shared" si="26"/>
        <v>0</v>
      </c>
      <c r="C79" s="136" t="s">
        <v>292</v>
      </c>
      <c r="D79" s="136" t="s">
        <v>292</v>
      </c>
      <c r="E79" s="136" t="s">
        <v>292</v>
      </c>
      <c r="F79" s="136" t="s">
        <v>292</v>
      </c>
      <c r="G79" s="136" t="s">
        <v>292</v>
      </c>
      <c r="H79" s="136" t="s">
        <v>292</v>
      </c>
      <c r="I79" s="136" t="s">
        <v>292</v>
      </c>
      <c r="J79" s="136" t="s">
        <v>292</v>
      </c>
      <c r="K79" s="136" t="s">
        <v>292</v>
      </c>
      <c r="L79" s="136" t="s">
        <v>292</v>
      </c>
      <c r="M79" s="139">
        <f t="shared" si="27"/>
        <v>0</v>
      </c>
      <c r="N79" s="135">
        <f t="shared" si="27"/>
        <v>0</v>
      </c>
      <c r="O79" s="136" t="s">
        <v>292</v>
      </c>
      <c r="P79" s="215" t="s">
        <v>292</v>
      </c>
      <c r="Q79" s="161" t="s">
        <v>124</v>
      </c>
      <c r="R79" s="161"/>
      <c r="S79" s="161"/>
      <c r="T79" s="161"/>
      <c r="U79" s="131"/>
      <c r="V79" s="131"/>
    </row>
    <row r="80" spans="1:22">
      <c r="A80" s="130" t="s">
        <v>283</v>
      </c>
      <c r="B80" s="214">
        <f>SUM(C80,E80,G80,I80,K80,O80)</f>
        <v>1223</v>
      </c>
      <c r="C80" s="137">
        <v>122</v>
      </c>
      <c r="D80" s="137">
        <v>81.63</v>
      </c>
      <c r="E80" s="137">
        <v>111</v>
      </c>
      <c r="F80" s="137">
        <v>73.55</v>
      </c>
      <c r="G80" s="137">
        <v>646</v>
      </c>
      <c r="H80" s="137">
        <v>1195.9000000000001</v>
      </c>
      <c r="I80" s="137">
        <v>118</v>
      </c>
      <c r="J80" s="137">
        <v>110.6</v>
      </c>
      <c r="K80" s="137">
        <v>226</v>
      </c>
      <c r="L80" s="137">
        <v>347.2</v>
      </c>
      <c r="M80" s="139">
        <f>G80+I80+K80</f>
        <v>990</v>
      </c>
      <c r="N80" s="135">
        <f>H80+J80+L80</f>
        <v>1653.7</v>
      </c>
      <c r="O80" s="136" t="s">
        <v>292</v>
      </c>
      <c r="P80" s="215" t="s">
        <v>292</v>
      </c>
      <c r="Q80" s="161" t="s">
        <v>126</v>
      </c>
      <c r="R80" s="161"/>
      <c r="S80" s="161"/>
      <c r="T80" s="161"/>
      <c r="U80" s="131"/>
      <c r="V80" s="131"/>
    </row>
    <row r="81" spans="1:22" ht="19.8" customHeight="1">
      <c r="A81" s="167" t="s">
        <v>127</v>
      </c>
      <c r="B81" s="212">
        <f>SUM(C81,E81,G81,I81,K81,O81)</f>
        <v>12179</v>
      </c>
      <c r="C81" s="157">
        <f>SUM(C83:C87)</f>
        <v>3289</v>
      </c>
      <c r="D81" s="157">
        <f>SUM(D83:D87)</f>
        <v>4268.1099999999997</v>
      </c>
      <c r="E81" s="157">
        <f t="shared" ref="E81:J81" si="28">SUM(E83:E87)</f>
        <v>2370</v>
      </c>
      <c r="F81" s="157">
        <f t="shared" si="28"/>
        <v>2233.0749999999998</v>
      </c>
      <c r="G81" s="157">
        <f t="shared" si="28"/>
        <v>3875</v>
      </c>
      <c r="H81" s="157">
        <f t="shared" si="28"/>
        <v>5304.616</v>
      </c>
      <c r="I81" s="157">
        <f t="shared" si="28"/>
        <v>1338</v>
      </c>
      <c r="J81" s="157">
        <f t="shared" si="28"/>
        <v>1330.9</v>
      </c>
      <c r="K81" s="157">
        <f t="shared" ref="K81:P81" si="29">SUM(K83:K87)</f>
        <v>1281</v>
      </c>
      <c r="L81" s="157">
        <f t="shared" si="29"/>
        <v>1740.86</v>
      </c>
      <c r="M81" s="157">
        <f>SUM(G81,I81,K81)</f>
        <v>6494</v>
      </c>
      <c r="N81" s="157">
        <f>SUM(H81,J81,L81)</f>
        <v>8376.3760000000002</v>
      </c>
      <c r="O81" s="157">
        <f t="shared" si="29"/>
        <v>26</v>
      </c>
      <c r="P81" s="213">
        <f t="shared" si="29"/>
        <v>30.547999999999998</v>
      </c>
      <c r="Q81" s="160" t="s">
        <v>128</v>
      </c>
      <c r="R81" s="160"/>
      <c r="S81" s="160"/>
      <c r="T81" s="132"/>
      <c r="U81" s="131"/>
      <c r="V81" s="131"/>
    </row>
    <row r="82" spans="1:22" ht="13.8">
      <c r="A82" s="167"/>
      <c r="B82" s="212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213"/>
      <c r="Q82" s="160"/>
      <c r="R82" s="160"/>
      <c r="S82" s="160"/>
      <c r="T82" s="132"/>
      <c r="U82" s="131"/>
      <c r="V82" s="131"/>
    </row>
    <row r="83" spans="1:22">
      <c r="A83" s="5" t="s">
        <v>129</v>
      </c>
      <c r="B83" s="214">
        <f t="shared" ref="B83:B87" si="30">SUM(C83,E83,G83,I83,K83,O83)</f>
        <v>4803</v>
      </c>
      <c r="C83" s="137">
        <v>1362</v>
      </c>
      <c r="D83" s="137">
        <v>2060.98</v>
      </c>
      <c r="E83" s="137">
        <v>953</v>
      </c>
      <c r="F83" s="137">
        <v>1168.0999999999999</v>
      </c>
      <c r="G83" s="137">
        <v>1533</v>
      </c>
      <c r="H83" s="137">
        <v>2013.5</v>
      </c>
      <c r="I83" s="137">
        <v>461</v>
      </c>
      <c r="J83" s="137">
        <v>469.04</v>
      </c>
      <c r="K83" s="137">
        <v>484</v>
      </c>
      <c r="L83" s="137">
        <v>710.4</v>
      </c>
      <c r="M83" s="139">
        <f t="shared" ref="M83:N87" si="31">SUM(G83,I83,K83)</f>
        <v>2478</v>
      </c>
      <c r="N83" s="135">
        <f t="shared" si="31"/>
        <v>3192.94</v>
      </c>
      <c r="O83" s="137">
        <v>10</v>
      </c>
      <c r="P83" s="216">
        <v>17.899999999999999</v>
      </c>
      <c r="Q83" s="141" t="s">
        <v>130</v>
      </c>
      <c r="R83" s="6"/>
      <c r="S83" s="6"/>
      <c r="T83" s="6"/>
      <c r="U83" s="131"/>
      <c r="V83" s="131"/>
    </row>
    <row r="84" spans="1:22">
      <c r="A84" s="5" t="s">
        <v>131</v>
      </c>
      <c r="B84" s="214">
        <f t="shared" si="30"/>
        <v>407</v>
      </c>
      <c r="C84" s="137">
        <v>37</v>
      </c>
      <c r="D84" s="137">
        <v>62.2</v>
      </c>
      <c r="E84" s="137">
        <v>28</v>
      </c>
      <c r="F84" s="137">
        <v>24.5</v>
      </c>
      <c r="G84" s="137">
        <v>275</v>
      </c>
      <c r="H84" s="137">
        <v>408.8</v>
      </c>
      <c r="I84" s="137">
        <v>60</v>
      </c>
      <c r="J84" s="137">
        <v>60.9</v>
      </c>
      <c r="K84" s="138"/>
      <c r="L84" s="137">
        <v>0</v>
      </c>
      <c r="M84" s="139">
        <f t="shared" si="31"/>
        <v>335</v>
      </c>
      <c r="N84" s="135">
        <f t="shared" si="31"/>
        <v>469.7</v>
      </c>
      <c r="O84" s="137">
        <v>7</v>
      </c>
      <c r="P84" s="216">
        <v>2.3479999999999999</v>
      </c>
      <c r="Q84" s="141" t="s">
        <v>132</v>
      </c>
      <c r="R84" s="6"/>
      <c r="S84" s="6"/>
      <c r="T84" s="6"/>
      <c r="U84" s="131"/>
      <c r="V84" s="131"/>
    </row>
    <row r="85" spans="1:22">
      <c r="A85" s="5" t="s">
        <v>133</v>
      </c>
      <c r="B85" s="214">
        <f t="shared" si="30"/>
        <v>1615</v>
      </c>
      <c r="C85" s="137">
        <v>629</v>
      </c>
      <c r="D85" s="137">
        <v>374.63</v>
      </c>
      <c r="E85" s="137">
        <v>557</v>
      </c>
      <c r="F85" s="137">
        <v>281.185</v>
      </c>
      <c r="G85" s="137">
        <v>231</v>
      </c>
      <c r="H85" s="137">
        <v>244.816</v>
      </c>
      <c r="I85" s="137">
        <v>187</v>
      </c>
      <c r="J85" s="137">
        <v>96.16</v>
      </c>
      <c r="K85" s="137">
        <v>11</v>
      </c>
      <c r="L85" s="137">
        <v>4.5</v>
      </c>
      <c r="M85" s="139">
        <f t="shared" si="31"/>
        <v>429</v>
      </c>
      <c r="N85" s="135">
        <f t="shared" si="31"/>
        <v>345.476</v>
      </c>
      <c r="O85" s="136" t="s">
        <v>292</v>
      </c>
      <c r="P85" s="215" t="s">
        <v>292</v>
      </c>
      <c r="Q85" s="141" t="s">
        <v>134</v>
      </c>
      <c r="R85" s="6"/>
      <c r="S85" s="6"/>
      <c r="T85" s="6"/>
      <c r="U85" s="131"/>
      <c r="V85" s="131"/>
    </row>
    <row r="86" spans="1:22">
      <c r="A86" s="5" t="s">
        <v>135</v>
      </c>
      <c r="B86" s="214">
        <f t="shared" si="30"/>
        <v>2288</v>
      </c>
      <c r="C86" s="137">
        <v>690</v>
      </c>
      <c r="D86" s="137">
        <v>866</v>
      </c>
      <c r="E86" s="137">
        <v>462</v>
      </c>
      <c r="F86" s="137">
        <v>343.19</v>
      </c>
      <c r="G86" s="137">
        <v>519</v>
      </c>
      <c r="H86" s="137">
        <v>677.8</v>
      </c>
      <c r="I86" s="137">
        <v>256</v>
      </c>
      <c r="J86" s="137">
        <v>325.8</v>
      </c>
      <c r="K86" s="137">
        <v>352</v>
      </c>
      <c r="L86" s="137">
        <v>487.26</v>
      </c>
      <c r="M86" s="139">
        <f t="shared" si="31"/>
        <v>1127</v>
      </c>
      <c r="N86" s="135">
        <f t="shared" si="31"/>
        <v>1490.86</v>
      </c>
      <c r="O86" s="137">
        <v>9</v>
      </c>
      <c r="P86" s="216">
        <v>10.3</v>
      </c>
      <c r="Q86" s="141" t="s">
        <v>136</v>
      </c>
      <c r="R86" s="6"/>
      <c r="S86" s="6"/>
      <c r="T86" s="6"/>
      <c r="U86" s="131"/>
      <c r="V86" s="131"/>
    </row>
    <row r="87" spans="1:22">
      <c r="A87" s="5" t="s">
        <v>137</v>
      </c>
      <c r="B87" s="214">
        <f t="shared" si="30"/>
        <v>3066</v>
      </c>
      <c r="C87" s="137">
        <v>571</v>
      </c>
      <c r="D87" s="137">
        <v>904.3</v>
      </c>
      <c r="E87" s="137">
        <v>370</v>
      </c>
      <c r="F87" s="137">
        <v>416.1</v>
      </c>
      <c r="G87" s="137">
        <v>1317</v>
      </c>
      <c r="H87" s="137">
        <v>1959.7</v>
      </c>
      <c r="I87" s="137">
        <v>374</v>
      </c>
      <c r="J87" s="137">
        <v>379</v>
      </c>
      <c r="K87" s="137">
        <v>434</v>
      </c>
      <c r="L87" s="137">
        <v>538.70000000000005</v>
      </c>
      <c r="M87" s="139">
        <f t="shared" si="31"/>
        <v>2125</v>
      </c>
      <c r="N87" s="135">
        <f t="shared" si="31"/>
        <v>2877.3999999999996</v>
      </c>
      <c r="O87" s="136" t="s">
        <v>292</v>
      </c>
      <c r="P87" s="215" t="s">
        <v>292</v>
      </c>
      <c r="Q87" s="141" t="s">
        <v>138</v>
      </c>
      <c r="R87" s="6"/>
      <c r="S87" s="6"/>
      <c r="T87" s="6"/>
      <c r="U87" s="131"/>
      <c r="V87" s="131"/>
    </row>
    <row r="88" spans="1:22">
      <c r="A88" s="167" t="s">
        <v>139</v>
      </c>
      <c r="B88" s="212">
        <f>SUM(C88,E88,G88,I88,K88,O88)</f>
        <v>30037</v>
      </c>
      <c r="C88" s="157">
        <f>SUM(C90:C102)</f>
        <v>6475</v>
      </c>
      <c r="D88" s="157">
        <f t="shared" ref="D88:P88" si="32">SUM(D90:D102)</f>
        <v>8271.58</v>
      </c>
      <c r="E88" s="157">
        <f t="shared" si="32"/>
        <v>3560</v>
      </c>
      <c r="F88" s="157">
        <f t="shared" si="32"/>
        <v>3344.0699999999997</v>
      </c>
      <c r="G88" s="157">
        <f t="shared" si="32"/>
        <v>11873</v>
      </c>
      <c r="H88" s="157">
        <f t="shared" si="32"/>
        <v>19461.120999999999</v>
      </c>
      <c r="I88" s="157">
        <f t="shared" si="32"/>
        <v>2938</v>
      </c>
      <c r="J88" s="157">
        <f t="shared" si="32"/>
        <v>3069.1000000000004</v>
      </c>
      <c r="K88" s="157">
        <f t="shared" si="32"/>
        <v>5026</v>
      </c>
      <c r="L88" s="157">
        <f t="shared" si="32"/>
        <v>7286.37</v>
      </c>
      <c r="M88" s="157">
        <f>SUM(G88,I88,K88)</f>
        <v>19837</v>
      </c>
      <c r="N88" s="157">
        <f>SUM(H88,J88,L88)</f>
        <v>29816.590999999997</v>
      </c>
      <c r="O88" s="157">
        <f t="shared" si="32"/>
        <v>165</v>
      </c>
      <c r="P88" s="213">
        <f t="shared" si="32"/>
        <v>259.58</v>
      </c>
      <c r="Q88" s="159" t="s">
        <v>140</v>
      </c>
      <c r="R88" s="159"/>
      <c r="S88" s="159"/>
      <c r="T88" s="6"/>
      <c r="U88" s="131"/>
      <c r="V88" s="131"/>
    </row>
    <row r="89" spans="1:22">
      <c r="A89" s="167"/>
      <c r="B89" s="212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213"/>
      <c r="Q89" s="159"/>
      <c r="R89" s="159"/>
      <c r="S89" s="159"/>
      <c r="T89" s="6"/>
      <c r="U89" s="131"/>
      <c r="V89" s="131"/>
    </row>
    <row r="90" spans="1:22">
      <c r="A90" s="5" t="s">
        <v>141</v>
      </c>
      <c r="B90" s="214">
        <f t="shared" ref="B90:B102" si="33">SUM(C90,E90,G90,I90,K90,O90)</f>
        <v>746</v>
      </c>
      <c r="C90" s="137">
        <v>43</v>
      </c>
      <c r="D90" s="137">
        <v>43</v>
      </c>
      <c r="E90" s="137">
        <v>95</v>
      </c>
      <c r="F90" s="137">
        <v>94</v>
      </c>
      <c r="G90" s="137">
        <v>389</v>
      </c>
      <c r="H90" s="137">
        <v>720</v>
      </c>
      <c r="I90" s="137">
        <v>15</v>
      </c>
      <c r="J90" s="137">
        <v>45</v>
      </c>
      <c r="K90" s="137">
        <v>204</v>
      </c>
      <c r="L90" s="137">
        <v>235</v>
      </c>
      <c r="M90" s="139">
        <f t="shared" ref="M90:N102" si="34">SUM(G90,I90,K90)</f>
        <v>608</v>
      </c>
      <c r="N90" s="135">
        <f t="shared" si="34"/>
        <v>1000</v>
      </c>
      <c r="O90" s="136" t="s">
        <v>292</v>
      </c>
      <c r="P90" s="215" t="s">
        <v>292</v>
      </c>
      <c r="Q90" s="141" t="s">
        <v>142</v>
      </c>
      <c r="R90" s="6"/>
      <c r="S90" s="6"/>
      <c r="T90" s="6"/>
      <c r="U90" s="131"/>
      <c r="V90" s="131"/>
    </row>
    <row r="91" spans="1:22">
      <c r="A91" s="5" t="s">
        <v>143</v>
      </c>
      <c r="B91" s="214">
        <f t="shared" si="33"/>
        <v>2064</v>
      </c>
      <c r="C91" s="137">
        <v>72</v>
      </c>
      <c r="D91" s="137">
        <v>115.9</v>
      </c>
      <c r="E91" s="137">
        <v>108</v>
      </c>
      <c r="F91" s="137">
        <v>118.75</v>
      </c>
      <c r="G91" s="137">
        <v>948</v>
      </c>
      <c r="H91" s="137">
        <v>1262.7</v>
      </c>
      <c r="I91" s="137">
        <v>576</v>
      </c>
      <c r="J91" s="137">
        <v>837.2</v>
      </c>
      <c r="K91" s="137">
        <v>360</v>
      </c>
      <c r="L91" s="137">
        <v>367.1</v>
      </c>
      <c r="M91" s="139">
        <f t="shared" si="34"/>
        <v>1884</v>
      </c>
      <c r="N91" s="135">
        <f t="shared" si="34"/>
        <v>2467</v>
      </c>
      <c r="O91" s="136" t="s">
        <v>292</v>
      </c>
      <c r="P91" s="215" t="s">
        <v>292</v>
      </c>
      <c r="Q91" s="141" t="s">
        <v>144</v>
      </c>
      <c r="R91" s="6"/>
      <c r="S91" s="6"/>
      <c r="T91" s="6"/>
      <c r="U91" s="131"/>
      <c r="V91" s="131"/>
    </row>
    <row r="92" spans="1:22">
      <c r="A92" s="5" t="s">
        <v>145</v>
      </c>
      <c r="B92" s="214">
        <f t="shared" si="33"/>
        <v>638</v>
      </c>
      <c r="C92" s="137">
        <v>30</v>
      </c>
      <c r="D92" s="137">
        <v>52.15</v>
      </c>
      <c r="E92" s="137">
        <v>15</v>
      </c>
      <c r="F92" s="137">
        <v>23.75</v>
      </c>
      <c r="G92" s="137">
        <v>509</v>
      </c>
      <c r="H92" s="137">
        <v>262.5</v>
      </c>
      <c r="I92" s="137">
        <v>13</v>
      </c>
      <c r="J92" s="137">
        <v>7</v>
      </c>
      <c r="K92" s="137">
        <v>71</v>
      </c>
      <c r="L92" s="137">
        <v>44.4</v>
      </c>
      <c r="M92" s="139">
        <f t="shared" si="34"/>
        <v>593</v>
      </c>
      <c r="N92" s="135">
        <f t="shared" si="34"/>
        <v>313.89999999999998</v>
      </c>
      <c r="O92" s="136" t="s">
        <v>292</v>
      </c>
      <c r="P92" s="215" t="s">
        <v>292</v>
      </c>
      <c r="Q92" s="141" t="s">
        <v>146</v>
      </c>
      <c r="R92" s="6"/>
      <c r="S92" s="6"/>
      <c r="T92" s="6"/>
      <c r="U92" s="131"/>
      <c r="V92" s="131"/>
    </row>
    <row r="93" spans="1:22">
      <c r="A93" s="5" t="s">
        <v>147</v>
      </c>
      <c r="B93" s="214">
        <f t="shared" si="33"/>
        <v>374</v>
      </c>
      <c r="C93" s="137">
        <v>47</v>
      </c>
      <c r="D93" s="137">
        <v>58</v>
      </c>
      <c r="E93" s="137">
        <v>38</v>
      </c>
      <c r="F93" s="137">
        <v>18</v>
      </c>
      <c r="G93" s="137">
        <v>176</v>
      </c>
      <c r="H93" s="137">
        <v>204.8</v>
      </c>
      <c r="I93" s="137">
        <v>5</v>
      </c>
      <c r="J93" s="137">
        <v>7.5</v>
      </c>
      <c r="K93" s="137">
        <v>91</v>
      </c>
      <c r="L93" s="137">
        <v>117</v>
      </c>
      <c r="M93" s="139">
        <f t="shared" si="34"/>
        <v>272</v>
      </c>
      <c r="N93" s="135">
        <f t="shared" si="34"/>
        <v>329.3</v>
      </c>
      <c r="O93" s="137">
        <v>17</v>
      </c>
      <c r="P93" s="216">
        <v>7</v>
      </c>
      <c r="Q93" s="141" t="s">
        <v>148</v>
      </c>
      <c r="R93" s="6"/>
      <c r="S93" s="6"/>
      <c r="T93" s="6"/>
      <c r="U93" s="131"/>
      <c r="V93" s="131"/>
    </row>
    <row r="94" spans="1:22">
      <c r="A94" s="5" t="s">
        <v>149</v>
      </c>
      <c r="B94" s="214">
        <f t="shared" si="33"/>
        <v>3</v>
      </c>
      <c r="C94" s="138"/>
      <c r="D94" s="137">
        <v>0</v>
      </c>
      <c r="E94" s="138"/>
      <c r="F94" s="137">
        <v>0</v>
      </c>
      <c r="G94" s="138"/>
      <c r="H94" s="137">
        <v>0</v>
      </c>
      <c r="I94" s="137">
        <v>2</v>
      </c>
      <c r="J94" s="137">
        <v>0.2</v>
      </c>
      <c r="K94" s="137">
        <v>1</v>
      </c>
      <c r="L94" s="137">
        <v>0.1</v>
      </c>
      <c r="M94" s="139">
        <f t="shared" si="34"/>
        <v>3</v>
      </c>
      <c r="N94" s="135">
        <f t="shared" si="34"/>
        <v>0.30000000000000004</v>
      </c>
      <c r="O94" s="136" t="s">
        <v>292</v>
      </c>
      <c r="P94" s="215" t="s">
        <v>292</v>
      </c>
      <c r="Q94" s="141" t="s">
        <v>150</v>
      </c>
      <c r="R94" s="6"/>
      <c r="S94" s="6"/>
      <c r="T94" s="6"/>
      <c r="U94" s="131"/>
      <c r="V94" s="131"/>
    </row>
    <row r="95" spans="1:22">
      <c r="A95" s="5" t="s">
        <v>151</v>
      </c>
      <c r="B95" s="214">
        <f t="shared" si="33"/>
        <v>1286</v>
      </c>
      <c r="C95" s="137">
        <v>283</v>
      </c>
      <c r="D95" s="137">
        <v>427.5</v>
      </c>
      <c r="E95" s="137">
        <v>184</v>
      </c>
      <c r="F95" s="137">
        <v>332.8</v>
      </c>
      <c r="G95" s="137">
        <v>322</v>
      </c>
      <c r="H95" s="137">
        <v>639</v>
      </c>
      <c r="I95" s="137">
        <v>160</v>
      </c>
      <c r="J95" s="137">
        <v>230</v>
      </c>
      <c r="K95" s="137">
        <v>337</v>
      </c>
      <c r="L95" s="137">
        <v>684.6</v>
      </c>
      <c r="M95" s="139">
        <f t="shared" si="34"/>
        <v>819</v>
      </c>
      <c r="N95" s="135">
        <f t="shared" si="34"/>
        <v>1553.6</v>
      </c>
      <c r="O95" s="136" t="s">
        <v>292</v>
      </c>
      <c r="P95" s="215" t="s">
        <v>292</v>
      </c>
      <c r="Q95" s="141" t="s">
        <v>152</v>
      </c>
      <c r="R95" s="6"/>
      <c r="S95" s="6"/>
      <c r="T95" s="6"/>
      <c r="U95" s="131"/>
      <c r="V95" s="131"/>
    </row>
    <row r="96" spans="1:22">
      <c r="A96" s="5" t="s">
        <v>153</v>
      </c>
      <c r="B96" s="214">
        <f t="shared" si="33"/>
        <v>3945</v>
      </c>
      <c r="C96" s="137">
        <v>2086</v>
      </c>
      <c r="D96" s="137">
        <v>2282.6999999999998</v>
      </c>
      <c r="E96" s="137">
        <v>782</v>
      </c>
      <c r="F96" s="137">
        <v>769.9</v>
      </c>
      <c r="G96" s="137">
        <v>769</v>
      </c>
      <c r="H96" s="137">
        <v>1246.5</v>
      </c>
      <c r="I96" s="137">
        <v>290</v>
      </c>
      <c r="J96" s="137">
        <v>208.9</v>
      </c>
      <c r="K96" s="137">
        <v>18</v>
      </c>
      <c r="L96" s="137">
        <v>5.36</v>
      </c>
      <c r="M96" s="139">
        <f t="shared" si="34"/>
        <v>1077</v>
      </c>
      <c r="N96" s="135">
        <f t="shared" si="34"/>
        <v>1460.76</v>
      </c>
      <c r="O96" s="136" t="s">
        <v>292</v>
      </c>
      <c r="P96" s="215" t="s">
        <v>292</v>
      </c>
      <c r="Q96" s="141" t="s">
        <v>154</v>
      </c>
      <c r="R96" s="6"/>
      <c r="S96" s="6"/>
      <c r="T96" s="6"/>
      <c r="U96" s="131"/>
      <c r="V96" s="131"/>
    </row>
    <row r="97" spans="1:22">
      <c r="A97" s="5" t="s">
        <v>155</v>
      </c>
      <c r="B97" s="214">
        <f t="shared" si="33"/>
        <v>2436</v>
      </c>
      <c r="C97" s="137">
        <v>1008</v>
      </c>
      <c r="D97" s="137">
        <v>819.5</v>
      </c>
      <c r="E97" s="137">
        <v>823</v>
      </c>
      <c r="F97" s="137">
        <v>490.5</v>
      </c>
      <c r="G97" s="137">
        <v>354</v>
      </c>
      <c r="H97" s="137">
        <v>582.9</v>
      </c>
      <c r="I97" s="137">
        <v>155</v>
      </c>
      <c r="J97" s="137">
        <v>218</v>
      </c>
      <c r="K97" s="137">
        <v>96</v>
      </c>
      <c r="L97" s="137">
        <v>82.81</v>
      </c>
      <c r="M97" s="139">
        <f t="shared" si="34"/>
        <v>605</v>
      </c>
      <c r="N97" s="135">
        <f t="shared" si="34"/>
        <v>883.71</v>
      </c>
      <c r="O97" s="136" t="s">
        <v>292</v>
      </c>
      <c r="P97" s="215" t="s">
        <v>292</v>
      </c>
      <c r="Q97" s="141" t="s">
        <v>156</v>
      </c>
      <c r="R97" s="6"/>
      <c r="S97" s="6"/>
      <c r="T97" s="6"/>
      <c r="U97" s="131"/>
      <c r="V97" s="131"/>
    </row>
    <row r="98" spans="1:22">
      <c r="A98" s="5" t="s">
        <v>157</v>
      </c>
      <c r="B98" s="214">
        <f t="shared" si="33"/>
        <v>210</v>
      </c>
      <c r="C98" s="137">
        <v>120</v>
      </c>
      <c r="D98" s="137">
        <v>220</v>
      </c>
      <c r="E98" s="137">
        <v>60</v>
      </c>
      <c r="F98" s="137">
        <v>127</v>
      </c>
      <c r="G98" s="138"/>
      <c r="H98" s="137">
        <v>0</v>
      </c>
      <c r="I98" s="138"/>
      <c r="J98" s="137">
        <v>0</v>
      </c>
      <c r="K98" s="137">
        <v>20</v>
      </c>
      <c r="L98" s="137">
        <v>20</v>
      </c>
      <c r="M98" s="139">
        <f t="shared" si="34"/>
        <v>20</v>
      </c>
      <c r="N98" s="135">
        <f t="shared" si="34"/>
        <v>20</v>
      </c>
      <c r="O98" s="137">
        <v>10</v>
      </c>
      <c r="P98" s="216">
        <v>10</v>
      </c>
      <c r="Q98" s="141" t="s">
        <v>158</v>
      </c>
      <c r="R98" s="6"/>
      <c r="S98" s="6"/>
      <c r="T98" s="6"/>
      <c r="U98" s="131"/>
      <c r="V98" s="131"/>
    </row>
    <row r="99" spans="1:22">
      <c r="A99" s="5" t="s">
        <v>159</v>
      </c>
      <c r="B99" s="214">
        <f t="shared" si="33"/>
        <v>8306</v>
      </c>
      <c r="C99" s="137">
        <v>815</v>
      </c>
      <c r="D99" s="137">
        <v>931.8</v>
      </c>
      <c r="E99" s="137">
        <v>295</v>
      </c>
      <c r="F99" s="137">
        <v>209.6</v>
      </c>
      <c r="G99" s="137">
        <v>4279</v>
      </c>
      <c r="H99" s="137">
        <v>9304</v>
      </c>
      <c r="I99" s="137">
        <v>380</v>
      </c>
      <c r="J99" s="137">
        <v>413.3</v>
      </c>
      <c r="K99" s="137">
        <v>2445</v>
      </c>
      <c r="L99" s="137">
        <v>3859.5</v>
      </c>
      <c r="M99" s="139">
        <f t="shared" si="34"/>
        <v>7104</v>
      </c>
      <c r="N99" s="135">
        <f t="shared" si="34"/>
        <v>13576.8</v>
      </c>
      <c r="O99" s="137">
        <v>92</v>
      </c>
      <c r="P99" s="216">
        <v>202.2</v>
      </c>
      <c r="Q99" s="141" t="s">
        <v>160</v>
      </c>
      <c r="R99" s="6"/>
      <c r="S99" s="6"/>
      <c r="T99" s="6"/>
      <c r="U99" s="131"/>
      <c r="V99" s="131"/>
    </row>
    <row r="100" spans="1:22">
      <c r="A100" s="5" t="s">
        <v>161</v>
      </c>
      <c r="B100" s="214">
        <f t="shared" si="33"/>
        <v>1304</v>
      </c>
      <c r="C100" s="137">
        <v>261</v>
      </c>
      <c r="D100" s="137">
        <v>267</v>
      </c>
      <c r="E100" s="137">
        <v>307</v>
      </c>
      <c r="F100" s="137">
        <v>158.6</v>
      </c>
      <c r="G100" s="137">
        <v>404</v>
      </c>
      <c r="H100" s="137">
        <v>644.5</v>
      </c>
      <c r="I100" s="137">
        <v>40</v>
      </c>
      <c r="J100" s="137">
        <v>58</v>
      </c>
      <c r="K100" s="137">
        <v>265</v>
      </c>
      <c r="L100" s="137">
        <v>407</v>
      </c>
      <c r="M100" s="139">
        <f t="shared" si="34"/>
        <v>709</v>
      </c>
      <c r="N100" s="135">
        <f t="shared" si="34"/>
        <v>1109.5</v>
      </c>
      <c r="O100" s="137">
        <v>27</v>
      </c>
      <c r="P100" s="216">
        <v>24</v>
      </c>
      <c r="Q100" s="141" t="s">
        <v>162</v>
      </c>
      <c r="R100" s="6"/>
      <c r="S100" s="6"/>
      <c r="T100" s="6"/>
      <c r="U100" s="131"/>
      <c r="V100" s="131"/>
    </row>
    <row r="101" spans="1:22">
      <c r="A101" s="5" t="s">
        <v>163</v>
      </c>
      <c r="B101" s="214">
        <f t="shared" si="33"/>
        <v>8040</v>
      </c>
      <c r="C101" s="137">
        <v>1656</v>
      </c>
      <c r="D101" s="137">
        <v>2983.13</v>
      </c>
      <c r="E101" s="137">
        <v>811</v>
      </c>
      <c r="F101" s="137">
        <v>940.17</v>
      </c>
      <c r="G101" s="137">
        <v>3344</v>
      </c>
      <c r="H101" s="137">
        <v>4023.6210000000001</v>
      </c>
      <c r="I101" s="137">
        <v>1280</v>
      </c>
      <c r="J101" s="137">
        <v>1014</v>
      </c>
      <c r="K101" s="137">
        <v>930</v>
      </c>
      <c r="L101" s="137">
        <v>1205.2</v>
      </c>
      <c r="M101" s="139">
        <f t="shared" si="34"/>
        <v>5554</v>
      </c>
      <c r="N101" s="135">
        <f t="shared" si="34"/>
        <v>6242.8209999999999</v>
      </c>
      <c r="O101" s="137">
        <v>19</v>
      </c>
      <c r="P101" s="216">
        <v>16.38</v>
      </c>
      <c r="Q101" s="141" t="s">
        <v>164</v>
      </c>
      <c r="R101" s="6"/>
      <c r="S101" s="6"/>
      <c r="T101" s="6"/>
      <c r="U101" s="131"/>
      <c r="V101" s="131"/>
    </row>
    <row r="102" spans="1:22">
      <c r="A102" s="5" t="s">
        <v>165</v>
      </c>
      <c r="B102" s="214">
        <f t="shared" si="33"/>
        <v>685</v>
      </c>
      <c r="C102" s="137">
        <v>54</v>
      </c>
      <c r="D102" s="137">
        <v>70.900000000000006</v>
      </c>
      <c r="E102" s="137">
        <v>42</v>
      </c>
      <c r="F102" s="137">
        <v>61</v>
      </c>
      <c r="G102" s="137">
        <v>379</v>
      </c>
      <c r="H102" s="137">
        <v>570.6</v>
      </c>
      <c r="I102" s="137">
        <v>22</v>
      </c>
      <c r="J102" s="137">
        <v>30</v>
      </c>
      <c r="K102" s="137">
        <v>188</v>
      </c>
      <c r="L102" s="137">
        <v>258.3</v>
      </c>
      <c r="M102" s="139">
        <f t="shared" si="34"/>
        <v>589</v>
      </c>
      <c r="N102" s="135">
        <f t="shared" si="34"/>
        <v>858.90000000000009</v>
      </c>
      <c r="O102" s="136" t="s">
        <v>292</v>
      </c>
      <c r="P102" s="215" t="s">
        <v>292</v>
      </c>
      <c r="Q102" s="141" t="s">
        <v>166</v>
      </c>
      <c r="R102" s="6"/>
      <c r="S102" s="6"/>
      <c r="T102" s="6"/>
      <c r="U102" s="131"/>
      <c r="V102" s="131"/>
    </row>
    <row r="103" spans="1:22">
      <c r="A103" s="167" t="s">
        <v>167</v>
      </c>
      <c r="B103" s="212">
        <f>SUM(C103,E103,G103,I103,K103,O103)</f>
        <v>76929</v>
      </c>
      <c r="C103" s="157">
        <f>SUM(C105:C108)</f>
        <v>11450</v>
      </c>
      <c r="D103" s="157">
        <f t="shared" ref="D103:P103" si="35">SUM(D105:D108)</f>
        <v>33998.308000000005</v>
      </c>
      <c r="E103" s="157">
        <f t="shared" si="35"/>
        <v>6840</v>
      </c>
      <c r="F103" s="157">
        <f t="shared" si="35"/>
        <v>15398.080000000002</v>
      </c>
      <c r="G103" s="157">
        <f t="shared" si="35"/>
        <v>21248</v>
      </c>
      <c r="H103" s="157">
        <f t="shared" si="35"/>
        <v>32411.717999999997</v>
      </c>
      <c r="I103" s="157">
        <f t="shared" si="35"/>
        <v>28467</v>
      </c>
      <c r="J103" s="157">
        <f t="shared" si="35"/>
        <v>45478.613000000005</v>
      </c>
      <c r="K103" s="157">
        <f t="shared" si="35"/>
        <v>8920</v>
      </c>
      <c r="L103" s="157">
        <f t="shared" si="35"/>
        <v>10841.451000000001</v>
      </c>
      <c r="M103" s="157">
        <f>SUM(G103,I103,K103)</f>
        <v>58635</v>
      </c>
      <c r="N103" s="157">
        <f>SUM(H103,J103,L103)</f>
        <v>88731.782000000007</v>
      </c>
      <c r="O103" s="157">
        <f t="shared" si="35"/>
        <v>4</v>
      </c>
      <c r="P103" s="213">
        <f t="shared" si="35"/>
        <v>4.5</v>
      </c>
      <c r="Q103" s="158" t="s">
        <v>168</v>
      </c>
      <c r="R103" s="158"/>
      <c r="S103" s="158"/>
      <c r="T103" s="6"/>
      <c r="U103" s="131"/>
      <c r="V103" s="131"/>
    </row>
    <row r="104" spans="1:22">
      <c r="A104" s="167"/>
      <c r="B104" s="212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213"/>
      <c r="Q104" s="158"/>
      <c r="R104" s="158"/>
      <c r="S104" s="158"/>
      <c r="T104" s="6"/>
      <c r="U104" s="131"/>
      <c r="V104" s="131"/>
    </row>
    <row r="105" spans="1:22">
      <c r="A105" s="5" t="s">
        <v>169</v>
      </c>
      <c r="B105" s="214">
        <f>SUM(C105,E105,G105,I105,K105,O105)</f>
        <v>35631</v>
      </c>
      <c r="C105" s="137">
        <v>6339</v>
      </c>
      <c r="D105" s="137">
        <v>23336.82</v>
      </c>
      <c r="E105" s="137">
        <v>3486</v>
      </c>
      <c r="F105" s="137">
        <v>9111.85</v>
      </c>
      <c r="G105" s="137">
        <v>11454</v>
      </c>
      <c r="H105" s="137">
        <v>23037.636999999999</v>
      </c>
      <c r="I105" s="137">
        <v>8364</v>
      </c>
      <c r="J105" s="137">
        <v>12896.835999999999</v>
      </c>
      <c r="K105" s="137">
        <v>5988</v>
      </c>
      <c r="L105" s="137">
        <v>8539.44</v>
      </c>
      <c r="M105" s="139">
        <f t="shared" ref="M105:N108" si="36">SUM(G105,I105,K105)</f>
        <v>25806</v>
      </c>
      <c r="N105" s="135">
        <f t="shared" si="36"/>
        <v>44473.913</v>
      </c>
      <c r="O105" s="136" t="s">
        <v>292</v>
      </c>
      <c r="P105" s="215" t="s">
        <v>292</v>
      </c>
      <c r="Q105" s="141" t="s">
        <v>170</v>
      </c>
      <c r="R105" s="6"/>
      <c r="S105" s="6"/>
      <c r="T105" s="6"/>
      <c r="U105" s="131"/>
      <c r="V105" s="131"/>
    </row>
    <row r="106" spans="1:22" ht="12" customHeight="1">
      <c r="A106" s="5" t="s">
        <v>171</v>
      </c>
      <c r="B106" s="214">
        <f>SUM(C106,E106,G106,I106,K106,O106)</f>
        <v>23019</v>
      </c>
      <c r="C106" s="137">
        <v>589</v>
      </c>
      <c r="D106" s="137">
        <v>785.9</v>
      </c>
      <c r="E106" s="137">
        <v>1348</v>
      </c>
      <c r="F106" s="137">
        <v>3233.9</v>
      </c>
      <c r="G106" s="137">
        <v>4062</v>
      </c>
      <c r="H106" s="137">
        <v>3678.07</v>
      </c>
      <c r="I106" s="137">
        <v>15986</v>
      </c>
      <c r="J106" s="137">
        <v>28946.7</v>
      </c>
      <c r="K106" s="137">
        <v>1034</v>
      </c>
      <c r="L106" s="137">
        <v>654.13</v>
      </c>
      <c r="M106" s="139">
        <f t="shared" si="36"/>
        <v>21082</v>
      </c>
      <c r="N106" s="135">
        <f t="shared" si="36"/>
        <v>33278.9</v>
      </c>
      <c r="O106" s="136" t="s">
        <v>292</v>
      </c>
      <c r="P106" s="215" t="s">
        <v>292</v>
      </c>
      <c r="Q106" s="141" t="s">
        <v>172</v>
      </c>
      <c r="R106" s="6"/>
      <c r="S106" s="6"/>
      <c r="T106" s="6"/>
      <c r="U106" s="131"/>
      <c r="V106" s="131"/>
    </row>
    <row r="107" spans="1:22">
      <c r="A107" s="5" t="s">
        <v>173</v>
      </c>
      <c r="B107" s="214">
        <f>SUM(C107,E107,G107,I107,K107,O107)</f>
        <v>6522</v>
      </c>
      <c r="C107" s="137">
        <v>1469</v>
      </c>
      <c r="D107" s="137">
        <v>3048.43</v>
      </c>
      <c r="E107" s="137">
        <v>722</v>
      </c>
      <c r="F107" s="137">
        <v>819.03</v>
      </c>
      <c r="G107" s="137">
        <v>1937</v>
      </c>
      <c r="H107" s="137">
        <v>1780.23</v>
      </c>
      <c r="I107" s="137">
        <v>1927</v>
      </c>
      <c r="J107" s="137">
        <v>1553.16</v>
      </c>
      <c r="K107" s="137">
        <v>466</v>
      </c>
      <c r="L107" s="137">
        <v>360.26</v>
      </c>
      <c r="M107" s="139">
        <f t="shared" si="36"/>
        <v>4330</v>
      </c>
      <c r="N107" s="135">
        <f t="shared" si="36"/>
        <v>3693.6500000000005</v>
      </c>
      <c r="O107" s="137">
        <v>1</v>
      </c>
      <c r="P107" s="216">
        <v>1.9</v>
      </c>
      <c r="Q107" s="141" t="s">
        <v>174</v>
      </c>
      <c r="R107" s="6"/>
      <c r="S107" s="6"/>
      <c r="T107" s="6"/>
      <c r="U107" s="131"/>
      <c r="V107" s="131"/>
    </row>
    <row r="108" spans="1:22" ht="10.8" thickBot="1">
      <c r="A108" s="7" t="s">
        <v>175</v>
      </c>
      <c r="B108" s="219">
        <f>SUM(C108,E108,G108,I108,K108,O108)</f>
        <v>11757</v>
      </c>
      <c r="C108" s="220">
        <v>3053</v>
      </c>
      <c r="D108" s="220">
        <v>6827.1580000000004</v>
      </c>
      <c r="E108" s="220">
        <v>1284</v>
      </c>
      <c r="F108" s="220">
        <v>2233.3000000000002</v>
      </c>
      <c r="G108" s="220">
        <v>3795</v>
      </c>
      <c r="H108" s="220">
        <v>3915.7809999999999</v>
      </c>
      <c r="I108" s="220">
        <v>2190</v>
      </c>
      <c r="J108" s="220">
        <v>2081.9169999999999</v>
      </c>
      <c r="K108" s="220">
        <v>1432</v>
      </c>
      <c r="L108" s="220">
        <v>1287.6210000000001</v>
      </c>
      <c r="M108" s="221">
        <f t="shared" si="36"/>
        <v>7417</v>
      </c>
      <c r="N108" s="222">
        <f t="shared" si="36"/>
        <v>7285.3190000000004</v>
      </c>
      <c r="O108" s="220">
        <v>3</v>
      </c>
      <c r="P108" s="223">
        <v>2.6</v>
      </c>
      <c r="Q108" s="142" t="s">
        <v>176</v>
      </c>
      <c r="R108" s="8"/>
      <c r="S108" s="8"/>
      <c r="T108" s="6"/>
      <c r="U108" s="131"/>
      <c r="V108" s="131"/>
    </row>
    <row r="109" spans="1:22">
      <c r="A109" s="9" t="s">
        <v>177</v>
      </c>
      <c r="L109" s="6"/>
      <c r="N109" s="6"/>
      <c r="O109" s="6"/>
      <c r="P109" s="162" t="s">
        <v>178</v>
      </c>
      <c r="Q109" s="163"/>
      <c r="R109" s="163"/>
      <c r="S109" s="163"/>
    </row>
    <row r="110" spans="1:22">
      <c r="A110" s="10"/>
    </row>
  </sheetData>
  <mergeCells count="248">
    <mergeCell ref="A4:A7"/>
    <mergeCell ref="B4:B7"/>
    <mergeCell ref="A1:H2"/>
    <mergeCell ref="F8:F9"/>
    <mergeCell ref="G8:G9"/>
    <mergeCell ref="H8:H9"/>
    <mergeCell ref="I1:S2"/>
    <mergeCell ref="A3:F3"/>
    <mergeCell ref="M3:S3"/>
    <mergeCell ref="O4:P6"/>
    <mergeCell ref="L8:L9"/>
    <mergeCell ref="M8:M9"/>
    <mergeCell ref="N8:N9"/>
    <mergeCell ref="O8:O9"/>
    <mergeCell ref="P8:P9"/>
    <mergeCell ref="Q8:S9"/>
    <mergeCell ref="I8:I9"/>
    <mergeCell ref="J8:J9"/>
    <mergeCell ref="K8:K9"/>
    <mergeCell ref="C4:D6"/>
    <mergeCell ref="E4:F6"/>
    <mergeCell ref="G4:N4"/>
    <mergeCell ref="G5:N5"/>
    <mergeCell ref="C8:C9"/>
    <mergeCell ref="D8:D9"/>
    <mergeCell ref="E8:E9"/>
    <mergeCell ref="Q4:S7"/>
    <mergeCell ref="A8:A9"/>
    <mergeCell ref="B8:B9"/>
    <mergeCell ref="M10:M11"/>
    <mergeCell ref="N10:N11"/>
    <mergeCell ref="O10:O11"/>
    <mergeCell ref="P10:P11"/>
    <mergeCell ref="Q10:S11"/>
    <mergeCell ref="H10:H11"/>
    <mergeCell ref="I10:I11"/>
    <mergeCell ref="A18:A19"/>
    <mergeCell ref="B18:B19"/>
    <mergeCell ref="C18:C19"/>
    <mergeCell ref="D18:D19"/>
    <mergeCell ref="E18:E19"/>
    <mergeCell ref="G10:G11"/>
    <mergeCell ref="F18:F19"/>
    <mergeCell ref="G18:G19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L18:L19"/>
    <mergeCell ref="M18:M19"/>
    <mergeCell ref="N18:N19"/>
    <mergeCell ref="O18:O19"/>
    <mergeCell ref="P18:P19"/>
    <mergeCell ref="Q18:S19"/>
    <mergeCell ref="H18:H19"/>
    <mergeCell ref="I18:I19"/>
    <mergeCell ref="J18:J19"/>
    <mergeCell ref="K18:K19"/>
    <mergeCell ref="M32:M33"/>
    <mergeCell ref="N32:N33"/>
    <mergeCell ref="I32:I33"/>
    <mergeCell ref="J32:J33"/>
    <mergeCell ref="K32:K33"/>
    <mergeCell ref="L32:L33"/>
    <mergeCell ref="O32:O33"/>
    <mergeCell ref="P32:P33"/>
    <mergeCell ref="Q32:S33"/>
    <mergeCell ref="A38:A39"/>
    <mergeCell ref="B38:B39"/>
    <mergeCell ref="C38:C39"/>
    <mergeCell ref="D38:D39"/>
    <mergeCell ref="E38:E39"/>
    <mergeCell ref="G32:G33"/>
    <mergeCell ref="H32:H33"/>
    <mergeCell ref="A32:A33"/>
    <mergeCell ref="B32:B33"/>
    <mergeCell ref="C32:C33"/>
    <mergeCell ref="D32:D33"/>
    <mergeCell ref="E32:E33"/>
    <mergeCell ref="F32:F33"/>
    <mergeCell ref="L38:L39"/>
    <mergeCell ref="M38:M39"/>
    <mergeCell ref="O52:O53"/>
    <mergeCell ref="P52:P53"/>
    <mergeCell ref="Q52:S53"/>
    <mergeCell ref="K52:K53"/>
    <mergeCell ref="N38:N39"/>
    <mergeCell ref="O38:O39"/>
    <mergeCell ref="P38:P39"/>
    <mergeCell ref="Q38:S39"/>
    <mergeCell ref="F38:F39"/>
    <mergeCell ref="G38:G39"/>
    <mergeCell ref="H38:H39"/>
    <mergeCell ref="I38:I39"/>
    <mergeCell ref="J38:J39"/>
    <mergeCell ref="K38:K39"/>
    <mergeCell ref="Q43:S43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P45:P46"/>
    <mergeCell ref="Q45:S46"/>
    <mergeCell ref="K45:K46"/>
    <mergeCell ref="L45:L46"/>
    <mergeCell ref="M45:M46"/>
    <mergeCell ref="N45:N46"/>
    <mergeCell ref="O45:O46"/>
    <mergeCell ref="J45:J46"/>
    <mergeCell ref="L52:L53"/>
    <mergeCell ref="M52:M53"/>
    <mergeCell ref="N52:N53"/>
    <mergeCell ref="N59:N60"/>
    <mergeCell ref="O59:O60"/>
    <mergeCell ref="J52:J53"/>
    <mergeCell ref="J59:J60"/>
    <mergeCell ref="K59:K60"/>
    <mergeCell ref="L59:L60"/>
    <mergeCell ref="P59:P60"/>
    <mergeCell ref="Q59:S60"/>
    <mergeCell ref="A52:A53"/>
    <mergeCell ref="B52:B53"/>
    <mergeCell ref="C52:C53"/>
    <mergeCell ref="D52:D53"/>
    <mergeCell ref="E52:E53"/>
    <mergeCell ref="F52:F53"/>
    <mergeCell ref="A59:A60"/>
    <mergeCell ref="B59:B60"/>
    <mergeCell ref="C59:C60"/>
    <mergeCell ref="D59:D60"/>
    <mergeCell ref="E59:E60"/>
    <mergeCell ref="F59:F60"/>
    <mergeCell ref="G59:G60"/>
    <mergeCell ref="I52:I53"/>
    <mergeCell ref="G52:G53"/>
    <mergeCell ref="H52:H53"/>
    <mergeCell ref="H59:H60"/>
    <mergeCell ref="I59:I60"/>
    <mergeCell ref="Q62:S62"/>
    <mergeCell ref="A64:A65"/>
    <mergeCell ref="B64:B65"/>
    <mergeCell ref="C64:C65"/>
    <mergeCell ref="D64:D65"/>
    <mergeCell ref="E64:E65"/>
    <mergeCell ref="P64:P65"/>
    <mergeCell ref="Q64:S65"/>
    <mergeCell ref="F64:F65"/>
    <mergeCell ref="G64:G65"/>
    <mergeCell ref="M59:M60"/>
    <mergeCell ref="N64:N65"/>
    <mergeCell ref="O64:O65"/>
    <mergeCell ref="H64:H65"/>
    <mergeCell ref="I64:I65"/>
    <mergeCell ref="J64:J65"/>
    <mergeCell ref="K64:K65"/>
    <mergeCell ref="L64:L65"/>
    <mergeCell ref="M64:M65"/>
    <mergeCell ref="Q73:T73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A71:A72"/>
    <mergeCell ref="B71:B72"/>
    <mergeCell ref="C71:C72"/>
    <mergeCell ref="D71:D72"/>
    <mergeCell ref="E71:E72"/>
    <mergeCell ref="F71:F72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103:A104"/>
    <mergeCell ref="B103:B104"/>
    <mergeCell ref="C103:C104"/>
    <mergeCell ref="D103:D104"/>
    <mergeCell ref="E103:E104"/>
    <mergeCell ref="F103:F104"/>
    <mergeCell ref="G103:G104"/>
    <mergeCell ref="J88:J89"/>
    <mergeCell ref="A88:A89"/>
    <mergeCell ref="B88:B89"/>
    <mergeCell ref="C88:C89"/>
    <mergeCell ref="D88:D89"/>
    <mergeCell ref="E88:E89"/>
    <mergeCell ref="F88:F89"/>
    <mergeCell ref="G88:G89"/>
    <mergeCell ref="H88:H89"/>
    <mergeCell ref="H103:H104"/>
    <mergeCell ref="I103:I104"/>
    <mergeCell ref="J103:J104"/>
    <mergeCell ref="M103:M104"/>
    <mergeCell ref="O88:O89"/>
    <mergeCell ref="K88:K89"/>
    <mergeCell ref="L88:L89"/>
    <mergeCell ref="M88:M89"/>
    <mergeCell ref="N88:N89"/>
    <mergeCell ref="I88:I89"/>
    <mergeCell ref="I6:J6"/>
    <mergeCell ref="G6:H6"/>
    <mergeCell ref="M6:N6"/>
    <mergeCell ref="N103:N104"/>
    <mergeCell ref="O103:O104"/>
    <mergeCell ref="P103:P104"/>
    <mergeCell ref="P88:P89"/>
    <mergeCell ref="J81:J82"/>
    <mergeCell ref="K81:K82"/>
    <mergeCell ref="L81:L82"/>
    <mergeCell ref="Q76:T76"/>
    <mergeCell ref="Q77:T77"/>
    <mergeCell ref="Q78:T78"/>
    <mergeCell ref="Q79:T79"/>
    <mergeCell ref="P109:S109"/>
    <mergeCell ref="K6:L6"/>
    <mergeCell ref="Q103:S104"/>
    <mergeCell ref="M81:M82"/>
    <mergeCell ref="N81:N82"/>
    <mergeCell ref="O81:O82"/>
    <mergeCell ref="P71:P72"/>
    <mergeCell ref="Q71:S72"/>
    <mergeCell ref="K103:K104"/>
    <mergeCell ref="L103:L104"/>
    <mergeCell ref="Q88:S89"/>
    <mergeCell ref="P81:P82"/>
    <mergeCell ref="Q81:S82"/>
    <mergeCell ref="Q80:T80"/>
    <mergeCell ref="Q74:T74"/>
    <mergeCell ref="Q75:T75"/>
  </mergeCells>
  <pageMargins left="0.7" right="0.7" top="0.75" bottom="0.75" header="0.3" footer="0.3"/>
  <pageSetup paperSize="9" orientation="portrait" horizontalDpi="200" verticalDpi="200" r:id="rId1"/>
  <ignoredErrors>
    <ignoredError sqref="B28:B31 B83:B87 B13:B17 B19:B26 B104:B108 B33:B37 B39:B44 B46:B51 B53:B58 B60:B63 B65:B70 B72:B79 B89:B10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2017-01-19T11:19:27Z</dcterms:modified>
</cp:coreProperties>
</file>