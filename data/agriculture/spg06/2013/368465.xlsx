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" yWindow="144" windowWidth="15144" windowHeight="6000" firstSheet="1" activeTab="1"/>
  </bookViews>
  <sheets>
    <sheet name="ListOfValues" sheetId="2" state="hidden" r:id="rId1"/>
    <sheet name="ΠΙΝΑΚΑΣ 2(ζ)" sheetId="1" r:id="rId2"/>
  </sheets>
  <calcPr calcId="124519"/>
</workbook>
</file>

<file path=xl/calcChain.xml><?xml version="1.0" encoding="utf-8"?>
<calcChain xmlns="http://schemas.openxmlformats.org/spreadsheetml/2006/main">
  <c r="G18" i="1"/>
  <c r="F18"/>
  <c r="E18"/>
  <c r="D18"/>
  <c r="C18"/>
  <c r="E8"/>
  <c r="B27"/>
  <c r="D27"/>
  <c r="E27"/>
  <c r="F27"/>
  <c r="G27"/>
  <c r="C27"/>
  <c r="B18"/>
  <c r="C10"/>
  <c r="D10"/>
  <c r="D8" s="1"/>
  <c r="E10"/>
  <c r="F10"/>
  <c r="G10"/>
  <c r="G8" s="1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6"/>
  <c r="B85"/>
  <c r="B84"/>
  <c r="B83"/>
  <c r="B80"/>
  <c r="B79"/>
  <c r="B78"/>
  <c r="B77"/>
  <c r="B76"/>
  <c r="B75"/>
  <c r="B74"/>
  <c r="B73"/>
  <c r="B70"/>
  <c r="B69"/>
  <c r="B68"/>
  <c r="B67"/>
  <c r="B66"/>
  <c r="B63"/>
  <c r="B62"/>
  <c r="B61"/>
  <c r="B58"/>
  <c r="B57"/>
  <c r="B56"/>
  <c r="B55"/>
  <c r="B54"/>
  <c r="B51"/>
  <c r="B50"/>
  <c r="B49"/>
  <c r="B48"/>
  <c r="B47"/>
  <c r="B44"/>
  <c r="B43"/>
  <c r="B42"/>
  <c r="B41"/>
  <c r="B40"/>
  <c r="B37"/>
  <c r="B36"/>
  <c r="B35"/>
  <c r="B34"/>
  <c r="B31"/>
  <c r="B30"/>
  <c r="B29"/>
  <c r="B28"/>
  <c r="B26"/>
  <c r="B25"/>
  <c r="B24"/>
  <c r="B23"/>
  <c r="B22"/>
  <c r="B21"/>
  <c r="B20"/>
  <c r="B13"/>
  <c r="B14"/>
  <c r="B15"/>
  <c r="B16"/>
  <c r="B17"/>
  <c r="B12"/>
  <c r="G103"/>
  <c r="F103"/>
  <c r="E103"/>
  <c r="D103"/>
  <c r="C103"/>
  <c r="G88"/>
  <c r="F88"/>
  <c r="E88"/>
  <c r="D88"/>
  <c r="C88"/>
  <c r="C8" s="1"/>
  <c r="G81"/>
  <c r="F81"/>
  <c r="E81"/>
  <c r="D81"/>
  <c r="C81"/>
  <c r="G71"/>
  <c r="F71"/>
  <c r="E71"/>
  <c r="D71"/>
  <c r="C71"/>
  <c r="G64"/>
  <c r="F64"/>
  <c r="E64"/>
  <c r="D64"/>
  <c r="C64"/>
  <c r="G59"/>
  <c r="F59"/>
  <c r="E59"/>
  <c r="D59"/>
  <c r="C59"/>
  <c r="B59"/>
  <c r="G52"/>
  <c r="F52"/>
  <c r="B52"/>
  <c r="E52"/>
  <c r="D52"/>
  <c r="C52"/>
  <c r="G45"/>
  <c r="B45"/>
  <c r="F45"/>
  <c r="E45"/>
  <c r="D45"/>
  <c r="C45"/>
  <c r="G38"/>
  <c r="F38"/>
  <c r="B38" s="1"/>
  <c r="E38"/>
  <c r="D38"/>
  <c r="C38"/>
  <c r="G32"/>
  <c r="F32"/>
  <c r="E32"/>
  <c r="D32"/>
  <c r="C32"/>
  <c r="B32"/>
  <c r="B64"/>
  <c r="B71"/>
  <c r="B81"/>
  <c r="B103"/>
  <c r="B10"/>
  <c r="F8" l="1"/>
  <c r="B88"/>
  <c r="B8" s="1"/>
</calcChain>
</file>

<file path=xl/sharedStrings.xml><?xml version="1.0" encoding="utf-8"?>
<sst xmlns="http://schemas.openxmlformats.org/spreadsheetml/2006/main" count="488" uniqueCount="295">
  <si>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</si>
  <si>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</si>
  <si>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</si>
  <si>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</si>
  <si>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</si>
  <si>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</si>
  <si>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</si>
  <si>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</si>
  <si>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</si>
  <si>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</si>
  <si>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</si>
  <si>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</si>
  <si>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</si>
  <si>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</si>
  <si>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</si>
  <si>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</si>
  <si>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</si>
  <si>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</si>
  <si>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</si>
  <si>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</si>
  <si>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</si>
  <si>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</si>
  <si>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</si>
  <si>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</si>
  <si>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</si>
  <si>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</si>
  <si>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</si>
  <si>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</si>
  <si>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</si>
  <si>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</si>
  <si>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</si>
  <si>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</si>
  <si>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</si>
  <si>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</si>
  <si>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</si>
  <si>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</si>
  <si>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</si>
  <si>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</si>
  <si>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</si>
  <si>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</si>
  <si>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</si>
  <si>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</si>
  <si>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</si>
  <si>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</si>
  <si>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</si>
  <si>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</si>
  <si>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</si>
  <si>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</si>
  <si>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</si>
  <si>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</si>
  <si>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</si>
  <si>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</si>
  <si>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</si>
  <si>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</si>
  <si>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</si>
  <si>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</si>
  <si>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</si>
  <si>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</si>
  <si>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</si>
  <si>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</si>
  <si>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</si>
  <si>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</si>
  <si>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</si>
  <si>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</si>
  <si>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</si>
  <si>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</si>
  <si>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</si>
  <si>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</si>
  <si>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</si>
  <si>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</si>
  <si>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</si>
  <si>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</si>
  <si>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</si>
  <si>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</si>
  <si>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</si>
  <si>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</si>
  <si>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</si>
  <si>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</si>
  <si>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</si>
  <si>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</si>
  <si>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</si>
  <si>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</si>
  <si>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</si>
  <si>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</si>
  <si>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</si>
  <si>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</si>
  <si>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</si>
  <si>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</si>
  <si>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</si>
  <si>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</si>
  <si>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</si>
  <si>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</si>
  <si>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</si>
  <si>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</si>
  <si>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</si>
  <si>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</si>
  <si>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</si>
  <si>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</si>
  <si>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</si>
  <si>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</si>
  <si>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</si>
  <si>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</si>
  <si>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</si>
  <si>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</si>
  <si>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</si>
  <si>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</si>
  <si>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</si>
  <si>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</si>
  <si>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</si>
  <si>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</si>
  <si>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</si>
  <si>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</si>
  <si>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</si>
  <si>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</si>
  <si>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</si>
  <si>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</si>
  <si>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</si>
  <si>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</si>
  <si>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</si>
  <si>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</si>
  <si>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</si>
  <si>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</si>
  <si>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</si>
  <si>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</si>
  <si>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</si>
  <si>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</si>
  <si>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</si>
  <si>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</si>
  <si>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</si>
  <si>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</si>
  <si>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</si>
  <si>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</si>
  <si>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</si>
  <si>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</si>
  <si>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</si>
  <si>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</si>
  <si>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</si>
  <si>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</si>
  <si>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</si>
  <si>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</si>
  <si>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</si>
  <si>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</si>
  <si>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</si>
  <si>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</si>
  <si>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</si>
  <si>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</si>
  <si>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</si>
  <si>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</si>
  <si>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</si>
  <si>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</si>
  <si>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</si>
  <si>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</si>
  <si>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</si>
  <si>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</si>
  <si>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</si>
  <si>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</si>
  <si>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</si>
  <si>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</si>
  <si>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</si>
  <si>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</si>
  <si>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</si>
  <si>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</si>
  <si>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</si>
  <si>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</si>
  <si>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</si>
  <si>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</si>
  <si>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</si>
  <si>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</si>
  <si>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Κριθάρι Barley</t>
  </si>
  <si>
    <t xml:space="preserve"> Βρώμη    Oats</t>
  </si>
  <si>
    <t>Λαθούρι Veltching (Lathyrus)</t>
  </si>
  <si>
    <t>Τεχνητοί λειμώνες Cultivated meadows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</si>
  <si>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</si>
  <si>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</si>
  <si>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</si>
  <si>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</si>
  <si>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</si>
  <si>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</si>
  <si>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</si>
  <si>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</si>
  <si>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</si>
  <si>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</si>
  <si>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</si>
  <si>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</si>
  <si>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</si>
  <si>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</si>
  <si>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</si>
  <si>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</si>
  <si>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</si>
  <si>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</si>
  <si>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</si>
  <si>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</si>
  <si>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</si>
  <si>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</si>
  <si>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</si>
  <si>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</si>
  <si>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</si>
  <si>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</si>
  <si>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</si>
  <si>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</si>
  <si>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</si>
  <si>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</si>
  <si>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</si>
  <si>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</si>
  <si>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</si>
  <si>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</si>
  <si>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</si>
  <si>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</si>
  <si>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</si>
  <si>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</si>
  <si>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</si>
  <si>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</si>
  <si>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</si>
  <si>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</si>
  <si>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</si>
  <si>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</si>
  <si>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</si>
  <si>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</si>
  <si>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</si>
  <si>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</si>
  <si>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</si>
  <si>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</si>
  <si>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</si>
  <si>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</si>
  <si>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</si>
  <si>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</si>
  <si>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</si>
  <si>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</si>
  <si>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</si>
  <si>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</si>
  <si>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</si>
  <si>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</si>
  <si>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</si>
  <si>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</si>
  <si>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</si>
  <si>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</si>
  <si>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</si>
  <si>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</si>
  <si>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</si>
  <si>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</si>
  <si>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</si>
  <si>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</si>
  <si>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</si>
  <si>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</si>
  <si>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</si>
  <si>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</si>
  <si>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</si>
  <si>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</si>
  <si>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</si>
  <si>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</si>
  <si>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</si>
  <si>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</si>
  <si>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</si>
  <si>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</si>
  <si>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</si>
  <si>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</si>
  <si>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</si>
  <si>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</si>
  <si>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</si>
  <si>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</si>
  <si>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</si>
  <si>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</si>
  <si>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</si>
  <si>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</si>
  <si>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</si>
  <si>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</si>
  <si>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</si>
  <si>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</si>
  <si>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</si>
  <si>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</si>
  <si>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</si>
  <si>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 xml:space="preserve"> Σύνολο     Total</t>
  </si>
  <si>
    <t>Περιφέρειες και Περιφερειακές Ενότητες</t>
  </si>
  <si>
    <t>Areas in stremmas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</si>
  <si>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</si>
  <si>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</si>
  <si>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</si>
  <si>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</si>
  <si>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</si>
  <si>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</si>
  <si>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</si>
  <si>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</si>
  <si>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</si>
  <si>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</si>
  <si>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</si>
  <si>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</si>
  <si>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</si>
  <si>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</si>
  <si>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</si>
  <si>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Βίκος Veltch</t>
  </si>
  <si>
    <t>1=εκτάσεις,  2=παραγωγή</t>
  </si>
  <si>
    <t>1=areas  2=production</t>
  </si>
  <si>
    <t>Περιφέρεια Δυτικής Μακεδονίας</t>
  </si>
  <si>
    <t>Region of Western Macedonia</t>
  </si>
  <si>
    <t>Πίνακας 2ζ. Κτηνοτροφικά φυτά για γρασίδια. Εκτάσεις κατά περιφέρεια και περιφερειακή ενότητα:  2013
Table 2g. Fodder plants for grazing. Areas by Region and Regional Unities: 2013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</si>
</sst>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1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1" xfId="0" applyNumberFormat="1" applyFont="1" applyFill="1" applyBorder="1" applyAlignment="1" applyProtection="1"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11" fillId="0" borderId="0" xfId="0" applyFont="1" applyBorder="1" applyProtection="1">
      <protection locked="0"/>
    </xf>
    <xf numFmtId="0" fontId="0" fillId="0" borderId="0" xfId="0" applyAlignment="1">
      <alignment vertical="center"/>
    </xf>
    <xf numFmtId="49" fontId="11" fillId="0" borderId="0" xfId="0" applyNumberFormat="1" applyFont="1" applyAlignment="1" applyProtection="1">
      <alignment horizontal="left" vertical="center" wrapText="1" indent="1"/>
      <protection locked="0"/>
    </xf>
    <xf numFmtId="49" fontId="11" fillId="0" borderId="0" xfId="0" applyNumberFormat="1" applyFont="1" applyAlignment="1" applyProtection="1">
      <alignment horizontal="left" vertical="center" wrapText="1" indent="2"/>
      <protection locked="0"/>
    </xf>
    <xf numFmtId="0" fontId="11" fillId="0" borderId="0" xfId="0" applyFont="1" applyBorder="1" applyAlignment="1" applyProtection="1">
      <alignment vertical="center"/>
      <protection locked="0"/>
    </xf>
    <xf numFmtId="49" fontId="11" fillId="0" borderId="1" xfId="0" applyNumberFormat="1" applyFont="1" applyBorder="1" applyAlignment="1" applyProtection="1">
      <alignment horizontal="left" vertical="center" wrapText="1" inden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49" fontId="3" fillId="2" borderId="2" xfId="0" applyNumberFormat="1" applyFont="1" applyFill="1" applyBorder="1"/>
    <xf numFmtId="49" fontId="3" fillId="2" borderId="3" xfId="0" applyNumberFormat="1" applyFont="1" applyFill="1" applyBorder="1" applyAlignment="1">
      <alignment horizontal="left"/>
    </xf>
    <xf numFmtId="0" fontId="4" fillId="2" borderId="3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3" xfId="0" applyNumberFormat="1" applyFont="1" applyFill="1" applyBorder="1" applyAlignment="1">
      <alignment vertical="center" textRotation="90"/>
    </xf>
    <xf numFmtId="0" fontId="4" fillId="2" borderId="4" xfId="0" applyNumberFormat="1" applyFont="1" applyFill="1" applyBorder="1" applyAlignment="1" applyProtection="1"/>
    <xf numFmtId="49" fontId="3" fillId="2" borderId="5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6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5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6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5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6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7" xfId="0" applyNumberFormat="1" applyFont="1" applyFill="1" applyBorder="1"/>
    <xf numFmtId="49" fontId="3" fillId="4" borderId="1" xfId="0" applyNumberFormat="1" applyFont="1" applyFill="1" applyBorder="1"/>
    <xf numFmtId="0" fontId="4" fillId="4" borderId="1" xfId="0" applyNumberFormat="1" applyFont="1" applyFill="1" applyBorder="1" applyAlignment="1" applyProtection="1"/>
    <xf numFmtId="49" fontId="5" fillId="9" borderId="1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3" xfId="0" applyNumberFormat="1" applyFont="1" applyFill="1" applyBorder="1"/>
    <xf numFmtId="0" fontId="4" fillId="10" borderId="3" xfId="0" applyNumberFormat="1" applyFont="1" applyFill="1" applyBorder="1" applyAlignment="1" applyProtection="1"/>
    <xf numFmtId="49" fontId="5" fillId="10" borderId="3" xfId="0" applyNumberFormat="1" applyFont="1" applyFill="1" applyBorder="1"/>
    <xf numFmtId="49" fontId="5" fillId="10" borderId="3" xfId="0" applyNumberFormat="1" applyFont="1" applyFill="1" applyBorder="1" applyAlignment="1">
      <alignment vertical="center" textRotation="90"/>
    </xf>
    <xf numFmtId="0" fontId="4" fillId="10" borderId="4" xfId="0" applyNumberFormat="1" applyFont="1" applyFill="1" applyBorder="1" applyAlignment="1" applyProtection="1"/>
    <xf numFmtId="49" fontId="3" fillId="10" borderId="5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6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5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6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7" xfId="0" applyNumberFormat="1" applyFont="1" applyFill="1" applyBorder="1"/>
    <xf numFmtId="49" fontId="3" fillId="5" borderId="1" xfId="0" applyNumberFormat="1" applyFont="1" applyFill="1" applyBorder="1"/>
    <xf numFmtId="0" fontId="4" fillId="5" borderId="1" xfId="0" applyNumberFormat="1" applyFont="1" applyFill="1" applyBorder="1" applyAlignment="1" applyProtection="1"/>
    <xf numFmtId="49" fontId="5" fillId="5" borderId="1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2" xfId="0" applyNumberFormat="1" applyFont="1" applyFill="1" applyBorder="1"/>
    <xf numFmtId="49" fontId="3" fillId="6" borderId="3" xfId="0" applyNumberFormat="1" applyFont="1" applyFill="1" applyBorder="1"/>
    <xf numFmtId="0" fontId="4" fillId="6" borderId="3" xfId="0" applyNumberFormat="1" applyFont="1" applyFill="1" applyBorder="1" applyAlignment="1" applyProtection="1"/>
    <xf numFmtId="49" fontId="5" fillId="6" borderId="3" xfId="0" applyNumberFormat="1" applyFont="1" applyFill="1" applyBorder="1"/>
    <xf numFmtId="0" fontId="7" fillId="6" borderId="3" xfId="0" applyNumberFormat="1" applyFont="1" applyFill="1" applyBorder="1" applyAlignment="1" applyProtection="1"/>
    <xf numFmtId="49" fontId="5" fillId="6" borderId="3" xfId="0" applyNumberFormat="1" applyFont="1" applyFill="1" applyBorder="1" applyAlignment="1">
      <alignment vertical="center" textRotation="90"/>
    </xf>
    <xf numFmtId="0" fontId="7" fillId="6" borderId="4" xfId="0" applyNumberFormat="1" applyFont="1" applyFill="1" applyBorder="1" applyAlignment="1" applyProtection="1"/>
    <xf numFmtId="49" fontId="3" fillId="6" borderId="5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6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5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6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3" fillId="12" borderId="5" xfId="0" applyNumberFormat="1" applyFont="1" applyFill="1" applyBorder="1"/>
    <xf numFmtId="49" fontId="3" fillId="12" borderId="0" xfId="0" applyNumberFormat="1" applyFont="1" applyFill="1" applyBorder="1"/>
    <xf numFmtId="0" fontId="4" fillId="12" borderId="0" xfId="0" applyNumberFormat="1" applyFont="1" applyFill="1" applyBorder="1" applyAlignment="1" applyProtection="1"/>
    <xf numFmtId="49" fontId="5" fillId="12" borderId="0" xfId="0" applyNumberFormat="1" applyFont="1" applyFill="1" applyBorder="1"/>
    <xf numFmtId="0" fontId="7" fillId="12" borderId="0" xfId="0" applyNumberFormat="1" applyFont="1" applyFill="1" applyBorder="1" applyAlignment="1" applyProtection="1"/>
    <xf numFmtId="49" fontId="5" fillId="12" borderId="0" xfId="0" applyNumberFormat="1" applyFont="1" applyFill="1" applyBorder="1" applyAlignment="1">
      <alignment vertical="center" textRotation="90"/>
    </xf>
    <xf numFmtId="0" fontId="4" fillId="12" borderId="6" xfId="0" applyNumberFormat="1" applyFont="1" applyFill="1" applyBorder="1" applyAlignment="1" applyProtection="1"/>
    <xf numFmtId="49" fontId="3" fillId="12" borderId="7" xfId="0" applyNumberFormat="1" applyFont="1" applyFill="1" applyBorder="1"/>
    <xf numFmtId="49" fontId="3" fillId="12" borderId="1" xfId="0" applyNumberFormat="1" applyFont="1" applyFill="1" applyBorder="1"/>
    <xf numFmtId="0" fontId="4" fillId="12" borderId="1" xfId="0" applyNumberFormat="1" applyFont="1" applyFill="1" applyBorder="1" applyAlignment="1" applyProtection="1"/>
    <xf numFmtId="49" fontId="5" fillId="12" borderId="1" xfId="0" applyNumberFormat="1" applyFont="1" applyFill="1" applyBorder="1" applyAlignment="1">
      <alignment vertical="center" textRotation="90"/>
    </xf>
    <xf numFmtId="0" fontId="4" fillId="12" borderId="8" xfId="0" applyNumberFormat="1" applyFont="1" applyFill="1" applyBorder="1" applyAlignment="1" applyProtection="1"/>
    <xf numFmtId="0" fontId="8" fillId="6" borderId="3" xfId="0" applyNumberFormat="1" applyFont="1" applyFill="1" applyBorder="1" applyAlignment="1" applyProtection="1"/>
    <xf numFmtId="0" fontId="4" fillId="6" borderId="4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7" xfId="0" applyNumberFormat="1" applyFont="1" applyFill="1" applyBorder="1"/>
    <xf numFmtId="49" fontId="3" fillId="6" borderId="1" xfId="0" applyNumberFormat="1" applyFont="1" applyFill="1" applyBorder="1"/>
    <xf numFmtId="0" fontId="4" fillId="6" borderId="1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3" xfId="0" applyNumberFormat="1" applyFont="1" applyFill="1" applyBorder="1"/>
    <xf numFmtId="49" fontId="5" fillId="2" borderId="3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2" xfId="0" applyNumberFormat="1" applyFont="1" applyFill="1" applyBorder="1"/>
    <xf numFmtId="49" fontId="9" fillId="8" borderId="0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5" fillId="8" borderId="3" xfId="0" applyNumberFormat="1" applyFont="1" applyFill="1" applyBorder="1"/>
    <xf numFmtId="49" fontId="3" fillId="8" borderId="3" xfId="0" applyNumberFormat="1" applyFont="1" applyFill="1" applyBorder="1"/>
    <xf numFmtId="0" fontId="4" fillId="8" borderId="4" xfId="0" applyNumberFormat="1" applyFont="1" applyFill="1" applyBorder="1" applyAlignment="1" applyProtection="1"/>
    <xf numFmtId="49" fontId="6" fillId="13" borderId="0" xfId="0" applyNumberFormat="1" applyFont="1" applyFill="1" applyBorder="1" applyAlignment="1">
      <alignment horizontal="left"/>
    </xf>
    <xf numFmtId="0" fontId="4" fillId="13" borderId="0" xfId="0" applyNumberFormat="1" applyFont="1" applyFill="1" applyBorder="1" applyAlignment="1" applyProtection="1">
      <alignment horizontal="left"/>
    </xf>
    <xf numFmtId="49" fontId="10" fillId="13" borderId="0" xfId="0" applyNumberFormat="1" applyFont="1" applyFill="1" applyBorder="1" applyAlignment="1">
      <alignment horizontal="left"/>
    </xf>
    <xf numFmtId="49" fontId="3" fillId="8" borderId="7" xfId="0" applyNumberFormat="1" applyFont="1" applyFill="1" applyBorder="1"/>
    <xf numFmtId="0" fontId="4" fillId="8" borderId="1" xfId="0" applyNumberFormat="1" applyFont="1" applyFill="1" applyBorder="1" applyAlignment="1" applyProtection="1"/>
    <xf numFmtId="49" fontId="3" fillId="8" borderId="1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9" fillId="14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0" fontId="11" fillId="0" borderId="0" xfId="0" applyFont="1" applyBorder="1" applyAlignment="1" applyProtection="1">
      <alignment horizontal="left" vertical="center" indent="1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0" xfId="0" applyBorder="1" applyAlignment="1">
      <alignment vertical="center"/>
    </xf>
    <xf numFmtId="0" fontId="13" fillId="0" borderId="0" xfId="0" applyFont="1" applyBorder="1" applyAlignment="1" applyProtection="1">
      <alignment vertical="center" wrapText="1"/>
      <protection locked="0"/>
    </xf>
    <xf numFmtId="0" fontId="13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protection locked="0"/>
    </xf>
    <xf numFmtId="3" fontId="2" fillId="0" borderId="13" xfId="0" quotePrefix="1" applyNumberFormat="1" applyFont="1" applyFill="1" applyBorder="1" applyAlignment="1" applyProtection="1">
      <alignment horizontal="right" vertical="center"/>
    </xf>
    <xf numFmtId="3" fontId="2" fillId="15" borderId="13" xfId="0" applyNumberFormat="1" applyFont="1" applyFill="1" applyBorder="1" applyAlignment="1">
      <alignment horizontal="right" vertical="top" wrapText="1"/>
    </xf>
    <xf numFmtId="0" fontId="2" fillId="15" borderId="13" xfId="0" applyFont="1" applyFill="1" applyBorder="1" applyAlignment="1">
      <alignment horizontal="right" vertical="top" wrapText="1"/>
    </xf>
    <xf numFmtId="49" fontId="13" fillId="0" borderId="0" xfId="0" applyNumberFormat="1" applyFont="1" applyAlignment="1" applyProtection="1">
      <alignment vertical="center" wrapText="1"/>
      <protection locked="0"/>
    </xf>
    <xf numFmtId="3" fontId="1" fillId="15" borderId="13" xfId="0" applyNumberFormat="1" applyFont="1" applyFill="1" applyBorder="1" applyAlignment="1">
      <alignment horizontal="right" vertical="center" wrapText="1"/>
    </xf>
    <xf numFmtId="0" fontId="14" fillId="0" borderId="0" xfId="0" applyFont="1" applyBorder="1" applyAlignment="1">
      <alignment vertical="center"/>
    </xf>
    <xf numFmtId="0" fontId="11" fillId="0" borderId="0" xfId="0" applyFont="1" applyBorder="1" applyAlignment="1" applyProtection="1">
      <alignment horizontal="left" vertical="center" wrapText="1" indent="2"/>
      <protection locked="0"/>
    </xf>
    <xf numFmtId="3" fontId="2" fillId="0" borderId="27" xfId="0" applyNumberFormat="1" applyFont="1" applyBorder="1" applyAlignment="1" applyProtection="1">
      <alignment horizontal="right" vertical="center"/>
      <protection locked="0"/>
    </xf>
    <xf numFmtId="3" fontId="2" fillId="15" borderId="23" xfId="0" applyNumberFormat="1" applyFont="1" applyFill="1" applyBorder="1" applyAlignment="1">
      <alignment horizontal="right" vertical="top" wrapText="1"/>
    </xf>
    <xf numFmtId="0" fontId="2" fillId="15" borderId="23" xfId="0" applyFont="1" applyFill="1" applyBorder="1" applyAlignment="1">
      <alignment horizontal="right" vertical="top" wrapText="1"/>
    </xf>
    <xf numFmtId="3" fontId="2" fillId="0" borderId="23" xfId="0" quotePrefix="1" applyNumberFormat="1" applyFont="1" applyFill="1" applyBorder="1" applyAlignment="1" applyProtection="1">
      <alignment horizontal="right" vertical="center"/>
    </xf>
    <xf numFmtId="3" fontId="1" fillId="0" borderId="27" xfId="0" applyNumberFormat="1" applyFont="1" applyBorder="1" applyAlignment="1" applyProtection="1">
      <alignment horizontal="right" vertical="center"/>
      <protection locked="0"/>
    </xf>
    <xf numFmtId="3" fontId="1" fillId="15" borderId="23" xfId="0" applyNumberFormat="1" applyFont="1" applyFill="1" applyBorder="1" applyAlignment="1">
      <alignment horizontal="right" vertical="center" wrapText="1"/>
    </xf>
    <xf numFmtId="3" fontId="2" fillId="0" borderId="23" xfId="0" quotePrefix="1" applyNumberFormat="1" applyFont="1" applyFill="1" applyBorder="1" applyAlignment="1" applyProtection="1">
      <alignment horizontal="right"/>
    </xf>
    <xf numFmtId="3" fontId="2" fillId="0" borderId="28" xfId="0" applyNumberFormat="1" applyFont="1" applyBorder="1" applyAlignment="1" applyProtection="1">
      <alignment horizontal="right" vertical="center"/>
      <protection locked="0"/>
    </xf>
    <xf numFmtId="3" fontId="2" fillId="15" borderId="29" xfId="0" applyNumberFormat="1" applyFont="1" applyFill="1" applyBorder="1" applyAlignment="1">
      <alignment horizontal="right" vertical="top" wrapText="1"/>
    </xf>
    <xf numFmtId="3" fontId="2" fillId="15" borderId="30" xfId="0" applyNumberFormat="1" applyFont="1" applyFill="1" applyBorder="1" applyAlignment="1">
      <alignment horizontal="right" vertical="top" wrapText="1"/>
    </xf>
    <xf numFmtId="49" fontId="5" fillId="16" borderId="3" xfId="0" applyNumberFormat="1" applyFont="1" applyFill="1" applyBorder="1" applyAlignment="1">
      <alignment horizontal="center" vertical="center" textRotation="90"/>
    </xf>
    <xf numFmtId="49" fontId="5" fillId="16" borderId="0" xfId="0" applyNumberFormat="1" applyFont="1" applyFill="1" applyBorder="1" applyAlignment="1">
      <alignment horizontal="center" vertical="center" textRotation="90"/>
    </xf>
    <xf numFmtId="49" fontId="5" fillId="16" borderId="1" xfId="0" applyNumberFormat="1" applyFont="1" applyFill="1" applyBorder="1" applyAlignment="1">
      <alignment horizontal="center" vertical="center" textRotation="90"/>
    </xf>
    <xf numFmtId="49" fontId="5" fillId="3" borderId="3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1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1" xfId="0" applyNumberFormat="1" applyFont="1" applyFill="1" applyBorder="1" applyAlignment="1">
      <alignment horizontal="center" vertical="center" textRotation="90" wrapText="1"/>
    </xf>
    <xf numFmtId="49" fontId="5" fillId="7" borderId="3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1" xfId="0" applyNumberFormat="1" applyFont="1" applyFill="1" applyBorder="1" applyAlignment="1">
      <alignment horizontal="center" vertical="center" textRotation="90" wrapText="1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0" xfId="0" applyFont="1" applyBorder="1" applyAlignment="1" applyProtection="1">
      <alignment horizontal="left" vertical="center" wrapText="1" indent="2"/>
      <protection locked="0"/>
    </xf>
    <xf numFmtId="0" fontId="11" fillId="0" borderId="0" xfId="0" applyFont="1" applyBorder="1" applyAlignment="1" applyProtection="1">
      <alignment horizontal="left" vertical="center" wrapText="1" indent="1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3" fontId="1" fillId="0" borderId="23" xfId="0" applyNumberFormat="1" applyFont="1" applyBorder="1" applyAlignment="1" applyProtection="1">
      <alignment horizontal="right" vertical="center"/>
    </xf>
    <xf numFmtId="3" fontId="1" fillId="0" borderId="13" xfId="0" applyNumberFormat="1" applyFont="1" applyBorder="1" applyAlignment="1" applyProtection="1">
      <alignment horizontal="right" vertical="center"/>
    </xf>
    <xf numFmtId="3" fontId="1" fillId="0" borderId="19" xfId="0" applyNumberFormat="1" applyFont="1" applyBorder="1" applyAlignment="1" applyProtection="1">
      <alignment horizontal="right" vertical="center"/>
    </xf>
    <xf numFmtId="49" fontId="13" fillId="0" borderId="0" xfId="0" applyNumberFormat="1" applyFont="1" applyAlignment="1" applyProtection="1">
      <alignment horizontal="left" vertical="center" wrapText="1"/>
      <protection locked="0"/>
    </xf>
    <xf numFmtId="3" fontId="1" fillId="0" borderId="27" xfId="0" applyNumberFormat="1" applyFont="1" applyBorder="1" applyAlignment="1" applyProtection="1">
      <alignment horizontal="right" vertical="center"/>
    </xf>
    <xf numFmtId="49" fontId="13" fillId="0" borderId="0" xfId="0" applyNumberFormat="1" applyFont="1" applyBorder="1" applyAlignment="1" applyProtection="1">
      <alignment horizontal="left" vertical="center" wrapText="1"/>
      <protection locked="0"/>
    </xf>
    <xf numFmtId="3" fontId="1" fillId="0" borderId="26" xfId="0" applyNumberFormat="1" applyFont="1" applyBorder="1" applyAlignment="1" applyProtection="1">
      <alignment horizontal="right" vertical="center"/>
    </xf>
    <xf numFmtId="0" fontId="2" fillId="0" borderId="7" xfId="0" applyNumberFormat="1" applyFont="1" applyFill="1" applyBorder="1" applyAlignment="1" applyProtection="1">
      <alignment horizontal="left"/>
      <protection locked="0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21" xfId="0" applyNumberFormat="1" applyFont="1" applyBorder="1" applyAlignment="1" applyProtection="1">
      <alignment horizontal="left" vertical="center"/>
      <protection locked="0"/>
    </xf>
    <xf numFmtId="49" fontId="13" fillId="0" borderId="0" xfId="0" applyNumberFormat="1" applyFont="1" applyBorder="1" applyAlignment="1" applyProtection="1">
      <alignment horizontal="left" vertical="center"/>
      <protection locked="0"/>
    </xf>
    <xf numFmtId="3" fontId="1" fillId="0" borderId="25" xfId="0" applyNumberFormat="1" applyFont="1" applyBorder="1" applyAlignment="1" applyProtection="1">
      <alignment horizontal="right" vertical="center"/>
    </xf>
    <xf numFmtId="49" fontId="11" fillId="0" borderId="3" xfId="0" applyNumberFormat="1" applyFont="1" applyBorder="1" applyAlignment="1" applyProtection="1">
      <alignment horizontal="left" wrapText="1"/>
      <protection locked="0"/>
    </xf>
    <xf numFmtId="49" fontId="11" fillId="0" borderId="0" xfId="0" applyNumberFormat="1" applyFont="1" applyBorder="1" applyAlignment="1" applyProtection="1">
      <alignment horizontal="left" wrapText="1"/>
      <protection locked="0"/>
    </xf>
    <xf numFmtId="0" fontId="11" fillId="0" borderId="0" xfId="0" applyFont="1" applyBorder="1" applyAlignment="1" applyProtection="1">
      <alignment horizontal="right" vertical="center"/>
      <protection locked="0"/>
    </xf>
    <xf numFmtId="0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topLeftCell="A31" workbookViewId="0">
      <selection activeCell="A31" sqref="A1:IV65536"/>
    </sheetView>
  </sheetViews>
  <sheetFormatPr defaultRowHeight="14.4"/>
  <cols>
    <col min="2" max="2" width="20.109375" bestFit="1" customWidth="1"/>
  </cols>
  <sheetData>
    <row r="1" spans="1:13">
      <c r="A1" s="12" t="s">
        <v>172</v>
      </c>
      <c r="B1" s="13" t="s">
        <v>5</v>
      </c>
      <c r="C1" s="14"/>
      <c r="D1" s="15"/>
      <c r="E1" s="15"/>
      <c r="F1" s="15"/>
      <c r="G1" s="15"/>
      <c r="H1" s="159" t="s">
        <v>173</v>
      </c>
      <c r="I1" s="16"/>
      <c r="J1" s="14"/>
      <c r="K1" s="14"/>
      <c r="L1" s="14"/>
      <c r="M1" s="17"/>
    </row>
    <row r="2" spans="1:13">
      <c r="A2" s="18" t="s">
        <v>174</v>
      </c>
      <c r="B2" s="19" t="s">
        <v>7</v>
      </c>
      <c r="C2" s="20"/>
      <c r="D2" s="20"/>
      <c r="E2" s="20"/>
      <c r="F2" s="20"/>
      <c r="G2" s="20"/>
      <c r="H2" s="160"/>
      <c r="I2" s="21"/>
      <c r="J2" s="20"/>
      <c r="K2" s="20"/>
      <c r="L2" s="20"/>
      <c r="M2" s="22"/>
    </row>
    <row r="3" spans="1:13">
      <c r="A3" s="18" t="s">
        <v>175</v>
      </c>
      <c r="B3" s="19" t="s">
        <v>9</v>
      </c>
      <c r="C3" s="20"/>
      <c r="D3" s="162" t="s">
        <v>176</v>
      </c>
      <c r="E3" s="162"/>
      <c r="F3" s="162"/>
      <c r="G3" s="162"/>
      <c r="H3" s="160"/>
      <c r="I3" s="21"/>
      <c r="J3" s="20"/>
      <c r="K3" s="20"/>
      <c r="L3" s="20"/>
      <c r="M3" s="22"/>
    </row>
    <row r="4" spans="1:13">
      <c r="A4" s="18" t="s">
        <v>177</v>
      </c>
      <c r="B4" s="19" t="s">
        <v>11</v>
      </c>
      <c r="C4" s="20"/>
      <c r="D4" s="23" t="s">
        <v>178</v>
      </c>
      <c r="E4" s="20"/>
      <c r="F4" s="20"/>
      <c r="G4" s="20"/>
      <c r="H4" s="160"/>
      <c r="I4" s="21"/>
      <c r="J4" s="20"/>
      <c r="K4" s="20"/>
      <c r="L4" s="20"/>
      <c r="M4" s="22"/>
    </row>
    <row r="5" spans="1:13">
      <c r="A5" s="18" t="s">
        <v>179</v>
      </c>
      <c r="B5" s="19" t="s">
        <v>13</v>
      </c>
      <c r="C5" s="20"/>
      <c r="D5" s="20"/>
      <c r="E5" s="20"/>
      <c r="F5" s="20"/>
      <c r="G5" s="20"/>
      <c r="H5" s="160"/>
      <c r="I5" s="21"/>
      <c r="J5" s="20"/>
      <c r="K5" s="20"/>
      <c r="L5" s="20"/>
      <c r="M5" s="22"/>
    </row>
    <row r="6" spans="1:13">
      <c r="A6" s="18" t="s">
        <v>180</v>
      </c>
      <c r="B6" s="19" t="s">
        <v>15</v>
      </c>
      <c r="C6" s="20"/>
      <c r="D6" s="20"/>
      <c r="E6" s="20"/>
      <c r="F6" s="20"/>
      <c r="G6" s="20"/>
      <c r="H6" s="160"/>
      <c r="I6" s="21"/>
      <c r="J6" s="20"/>
      <c r="K6" s="20"/>
      <c r="L6" s="20"/>
      <c r="M6" s="22"/>
    </row>
    <row r="7" spans="1:13">
      <c r="A7" s="24" t="s">
        <v>181</v>
      </c>
      <c r="B7" s="25" t="s">
        <v>19</v>
      </c>
      <c r="C7" s="26"/>
      <c r="D7" s="27"/>
      <c r="E7" s="26"/>
      <c r="F7" s="26"/>
      <c r="G7" s="26"/>
      <c r="H7" s="160"/>
      <c r="I7" s="28"/>
      <c r="J7" s="26"/>
      <c r="K7" s="26"/>
      <c r="L7" s="26"/>
      <c r="M7" s="29"/>
    </row>
    <row r="8" spans="1:13">
      <c r="A8" s="24" t="s">
        <v>182</v>
      </c>
      <c r="B8" s="30" t="s">
        <v>21</v>
      </c>
      <c r="C8" s="26"/>
      <c r="D8" s="26"/>
      <c r="E8" s="26"/>
      <c r="F8" s="26"/>
      <c r="G8" s="26"/>
      <c r="H8" s="160"/>
      <c r="I8" s="28"/>
      <c r="J8" s="30"/>
      <c r="K8" s="31"/>
      <c r="L8" s="26"/>
      <c r="M8" s="29"/>
    </row>
    <row r="9" spans="1:13">
      <c r="A9" s="24" t="s">
        <v>183</v>
      </c>
      <c r="B9" s="30" t="s">
        <v>23</v>
      </c>
      <c r="C9" s="26"/>
      <c r="D9" s="26"/>
      <c r="E9" s="26"/>
      <c r="F9" s="26"/>
      <c r="G9" s="26"/>
      <c r="H9" s="160"/>
      <c r="I9" s="28"/>
      <c r="J9" s="26"/>
      <c r="K9" s="26"/>
      <c r="L9" s="26"/>
      <c r="M9" s="29"/>
    </row>
    <row r="10" spans="1:13">
      <c r="A10" s="24" t="s">
        <v>184</v>
      </c>
      <c r="B10" s="30" t="s">
        <v>25</v>
      </c>
      <c r="C10" s="26"/>
      <c r="D10" s="26"/>
      <c r="E10" s="26"/>
      <c r="F10" s="26"/>
      <c r="G10" s="26"/>
      <c r="H10" s="160"/>
      <c r="I10" s="28"/>
      <c r="J10" s="26"/>
      <c r="K10" s="26"/>
      <c r="L10" s="26"/>
      <c r="M10" s="29"/>
    </row>
    <row r="11" spans="1:13">
      <c r="A11" s="24" t="s">
        <v>185</v>
      </c>
      <c r="B11" s="30" t="s">
        <v>27</v>
      </c>
      <c r="C11" s="26"/>
      <c r="D11" s="32" t="s">
        <v>186</v>
      </c>
      <c r="E11" s="26"/>
      <c r="F11" s="26"/>
      <c r="G11" s="26"/>
      <c r="H11" s="160"/>
      <c r="I11" s="28"/>
      <c r="J11" s="26"/>
      <c r="K11" s="26"/>
      <c r="L11" s="26"/>
      <c r="M11" s="29"/>
    </row>
    <row r="12" spans="1:13">
      <c r="A12" s="24" t="s">
        <v>187</v>
      </c>
      <c r="B12" s="30" t="s">
        <v>29</v>
      </c>
      <c r="C12" s="26"/>
      <c r="D12" s="26"/>
      <c r="E12" s="26"/>
      <c r="F12" s="26"/>
      <c r="G12" s="26"/>
      <c r="H12" s="160"/>
      <c r="I12" s="28"/>
      <c r="J12" s="26"/>
      <c r="K12" s="26"/>
      <c r="L12" s="26"/>
      <c r="M12" s="29"/>
    </row>
    <row r="13" spans="1:13">
      <c r="A13" s="24" t="s">
        <v>188</v>
      </c>
      <c r="B13" s="30" t="s">
        <v>31</v>
      </c>
      <c r="C13" s="26"/>
      <c r="D13" s="26"/>
      <c r="E13" s="26"/>
      <c r="F13" s="26"/>
      <c r="G13" s="26"/>
      <c r="H13" s="160"/>
      <c r="I13" s="28"/>
      <c r="J13" s="26"/>
      <c r="K13" s="26"/>
      <c r="L13" s="26"/>
      <c r="M13" s="29"/>
    </row>
    <row r="14" spans="1:13">
      <c r="A14" s="24" t="s">
        <v>189</v>
      </c>
      <c r="B14" s="30" t="s">
        <v>33</v>
      </c>
      <c r="C14" s="26"/>
      <c r="D14" s="26"/>
      <c r="E14" s="26"/>
      <c r="F14" s="26"/>
      <c r="G14" s="26"/>
      <c r="H14" s="160"/>
      <c r="I14" s="28"/>
      <c r="J14" s="26"/>
      <c r="K14" s="26"/>
      <c r="L14" s="26"/>
      <c r="M14" s="29"/>
    </row>
    <row r="15" spans="1:13">
      <c r="A15" s="24" t="s">
        <v>190</v>
      </c>
      <c r="B15" s="30" t="s">
        <v>35</v>
      </c>
      <c r="C15" s="26"/>
      <c r="D15" s="26"/>
      <c r="E15" s="26"/>
      <c r="F15" s="26"/>
      <c r="G15" s="26"/>
      <c r="H15" s="160"/>
      <c r="I15" s="28"/>
      <c r="J15" s="26"/>
      <c r="K15" s="26"/>
      <c r="L15" s="26"/>
      <c r="M15" s="29"/>
    </row>
    <row r="16" spans="1:13">
      <c r="A16" s="24" t="s">
        <v>191</v>
      </c>
      <c r="B16" s="30" t="s">
        <v>37</v>
      </c>
      <c r="C16" s="26"/>
      <c r="D16" s="26"/>
      <c r="E16" s="26"/>
      <c r="F16" s="26"/>
      <c r="G16" s="26"/>
      <c r="H16" s="160"/>
      <c r="I16" s="28"/>
      <c r="J16" s="26"/>
      <c r="K16" s="26"/>
      <c r="L16" s="26"/>
      <c r="M16" s="29"/>
    </row>
    <row r="17" spans="1:13">
      <c r="A17" s="24" t="s">
        <v>192</v>
      </c>
      <c r="B17" s="30" t="s">
        <v>39</v>
      </c>
      <c r="C17" s="26"/>
      <c r="D17" s="26"/>
      <c r="E17" s="26"/>
      <c r="F17" s="26"/>
      <c r="G17" s="26"/>
      <c r="H17" s="160"/>
      <c r="I17" s="28"/>
      <c r="J17" s="26"/>
      <c r="K17" s="26"/>
      <c r="L17" s="26"/>
      <c r="M17" s="29"/>
    </row>
    <row r="18" spans="1:13">
      <c r="A18" s="33" t="s">
        <v>193</v>
      </c>
      <c r="B18" s="34" t="s">
        <v>43</v>
      </c>
      <c r="C18" s="35"/>
      <c r="D18" s="36"/>
      <c r="E18" s="35"/>
      <c r="F18" s="35"/>
      <c r="G18" s="35"/>
      <c r="H18" s="160"/>
      <c r="I18" s="37"/>
      <c r="J18" s="34"/>
      <c r="K18" s="34"/>
      <c r="L18" s="35"/>
      <c r="M18" s="38"/>
    </row>
    <row r="19" spans="1:13">
      <c r="A19" s="33" t="s">
        <v>194</v>
      </c>
      <c r="B19" s="34" t="s">
        <v>45</v>
      </c>
      <c r="C19" s="35"/>
      <c r="D19" s="35"/>
      <c r="E19" s="35"/>
      <c r="F19" s="35"/>
      <c r="G19" s="35"/>
      <c r="H19" s="160"/>
      <c r="I19" s="37"/>
      <c r="J19" s="34"/>
      <c r="K19" s="34"/>
      <c r="L19" s="35"/>
      <c r="M19" s="38"/>
    </row>
    <row r="20" spans="1:13">
      <c r="A20" s="33" t="s">
        <v>195</v>
      </c>
      <c r="B20" s="34" t="s">
        <v>47</v>
      </c>
      <c r="C20" s="35"/>
      <c r="D20" s="39" t="s">
        <v>196</v>
      </c>
      <c r="E20" s="35"/>
      <c r="F20" s="35"/>
      <c r="G20" s="35"/>
      <c r="H20" s="160"/>
      <c r="I20" s="37"/>
      <c r="J20" s="34"/>
      <c r="K20" s="34"/>
      <c r="L20" s="35"/>
      <c r="M20" s="38"/>
    </row>
    <row r="21" spans="1:13" ht="15" thickBot="1">
      <c r="A21" s="40" t="s">
        <v>197</v>
      </c>
      <c r="B21" s="41" t="s">
        <v>49</v>
      </c>
      <c r="C21" s="42"/>
      <c r="D21" s="42"/>
      <c r="E21" s="42"/>
      <c r="F21" s="42"/>
      <c r="G21" s="42"/>
      <c r="H21" s="161"/>
      <c r="I21" s="43"/>
      <c r="J21" s="41"/>
      <c r="K21" s="41"/>
      <c r="L21" s="42"/>
      <c r="M21" s="44"/>
    </row>
    <row r="22" spans="1:13">
      <c r="A22" s="45" t="s">
        <v>198</v>
      </c>
      <c r="B22" s="46" t="s">
        <v>53</v>
      </c>
      <c r="C22" s="47"/>
      <c r="D22" s="48"/>
      <c r="E22" s="47"/>
      <c r="F22" s="47"/>
      <c r="G22" s="49"/>
      <c r="H22" s="163" t="s">
        <v>199</v>
      </c>
      <c r="I22" s="47"/>
      <c r="J22" s="46"/>
      <c r="K22" s="46"/>
      <c r="L22" s="47"/>
      <c r="M22" s="50"/>
    </row>
    <row r="23" spans="1:13">
      <c r="A23" s="51" t="s">
        <v>200</v>
      </c>
      <c r="B23" s="52" t="s">
        <v>55</v>
      </c>
      <c r="C23" s="53"/>
      <c r="D23" s="53"/>
      <c r="E23" s="53"/>
      <c r="F23" s="53"/>
      <c r="G23" s="54"/>
      <c r="H23" s="164"/>
      <c r="I23" s="53"/>
      <c r="J23" s="52"/>
      <c r="K23" s="52"/>
      <c r="L23" s="53"/>
      <c r="M23" s="55"/>
    </row>
    <row r="24" spans="1:13">
      <c r="A24" s="51" t="s">
        <v>201</v>
      </c>
      <c r="B24" s="52" t="s">
        <v>57</v>
      </c>
      <c r="C24" s="53"/>
      <c r="D24" s="56" t="s">
        <v>202</v>
      </c>
      <c r="E24" s="53"/>
      <c r="F24" s="53"/>
      <c r="G24" s="54"/>
      <c r="H24" s="164"/>
      <c r="I24" s="53"/>
      <c r="J24" s="52"/>
      <c r="K24" s="52"/>
      <c r="L24" s="53"/>
      <c r="M24" s="55"/>
    </row>
    <row r="25" spans="1:13">
      <c r="A25" s="51" t="s">
        <v>203</v>
      </c>
      <c r="B25" s="52" t="s">
        <v>59</v>
      </c>
      <c r="C25" s="53"/>
      <c r="D25" s="53"/>
      <c r="E25" s="53"/>
      <c r="F25" s="53"/>
      <c r="G25" s="54"/>
      <c r="H25" s="164"/>
      <c r="I25" s="53"/>
      <c r="J25" s="52"/>
      <c r="K25" s="52"/>
      <c r="L25" s="53"/>
      <c r="M25" s="55"/>
    </row>
    <row r="26" spans="1:13">
      <c r="A26" s="51" t="s">
        <v>204</v>
      </c>
      <c r="B26" s="52" t="s">
        <v>61</v>
      </c>
      <c r="C26" s="53"/>
      <c r="D26" s="53"/>
      <c r="E26" s="53"/>
      <c r="F26" s="53"/>
      <c r="G26" s="54"/>
      <c r="H26" s="164"/>
      <c r="I26" s="53"/>
      <c r="J26" s="52"/>
      <c r="K26" s="52"/>
      <c r="L26" s="53"/>
      <c r="M26" s="55"/>
    </row>
    <row r="27" spans="1:13">
      <c r="A27" s="57" t="s">
        <v>205</v>
      </c>
      <c r="B27" s="58" t="s">
        <v>65</v>
      </c>
      <c r="C27" s="59"/>
      <c r="D27" s="60"/>
      <c r="E27" s="59"/>
      <c r="F27" s="59"/>
      <c r="G27" s="61"/>
      <c r="H27" s="164"/>
      <c r="I27" s="59"/>
      <c r="J27" s="58"/>
      <c r="K27" s="58"/>
      <c r="L27" s="59"/>
      <c r="M27" s="62"/>
    </row>
    <row r="28" spans="1:13">
      <c r="A28" s="57" t="s">
        <v>206</v>
      </c>
      <c r="B28" s="58" t="s">
        <v>67</v>
      </c>
      <c r="C28" s="59"/>
      <c r="D28" s="59"/>
      <c r="E28" s="59"/>
      <c r="F28" s="59"/>
      <c r="G28" s="61"/>
      <c r="H28" s="164"/>
      <c r="I28" s="59"/>
      <c r="J28" s="58"/>
      <c r="K28" s="58"/>
      <c r="L28" s="59"/>
      <c r="M28" s="62"/>
    </row>
    <row r="29" spans="1:13">
      <c r="A29" s="57" t="s">
        <v>207</v>
      </c>
      <c r="B29" s="58" t="s">
        <v>69</v>
      </c>
      <c r="C29" s="59"/>
      <c r="D29" s="63" t="s">
        <v>208</v>
      </c>
      <c r="E29" s="59"/>
      <c r="F29" s="59"/>
      <c r="G29" s="61"/>
      <c r="H29" s="164"/>
      <c r="I29" s="59"/>
      <c r="J29" s="58"/>
      <c r="K29" s="58"/>
      <c r="L29" s="59"/>
      <c r="M29" s="62"/>
    </row>
    <row r="30" spans="1:13">
      <c r="A30" s="57" t="s">
        <v>209</v>
      </c>
      <c r="B30" s="58" t="s">
        <v>71</v>
      </c>
      <c r="C30" s="59"/>
      <c r="D30" s="59"/>
      <c r="E30" s="59"/>
      <c r="F30" s="59"/>
      <c r="G30" s="61"/>
      <c r="H30" s="164"/>
      <c r="I30" s="59"/>
      <c r="J30" s="58"/>
      <c r="K30" s="58"/>
      <c r="L30" s="59"/>
      <c r="M30" s="62"/>
    </row>
    <row r="31" spans="1:13" ht="15" thickBot="1">
      <c r="A31" s="64" t="s">
        <v>210</v>
      </c>
      <c r="B31" s="65" t="s">
        <v>73</v>
      </c>
      <c r="C31" s="66"/>
      <c r="D31" s="66"/>
      <c r="E31" s="66"/>
      <c r="F31" s="66"/>
      <c r="G31" s="67"/>
      <c r="H31" s="165"/>
      <c r="I31" s="66"/>
      <c r="J31" s="65"/>
      <c r="K31" s="65"/>
      <c r="L31" s="66"/>
      <c r="M31" s="68"/>
    </row>
    <row r="32" spans="1:13">
      <c r="A32" s="69" t="s">
        <v>211</v>
      </c>
      <c r="B32" s="70" t="s">
        <v>77</v>
      </c>
      <c r="C32" s="71"/>
      <c r="D32" s="72"/>
      <c r="E32" s="73"/>
      <c r="F32" s="73"/>
      <c r="G32" s="74"/>
      <c r="H32" s="166" t="s">
        <v>212</v>
      </c>
      <c r="I32" s="73"/>
      <c r="J32" s="72"/>
      <c r="K32" s="72"/>
      <c r="L32" s="73"/>
      <c r="M32" s="75"/>
    </row>
    <row r="33" spans="1:13">
      <c r="A33" s="76" t="s">
        <v>213</v>
      </c>
      <c r="B33" s="77" t="s">
        <v>79</v>
      </c>
      <c r="C33" s="78"/>
      <c r="D33" s="78"/>
      <c r="E33" s="78"/>
      <c r="F33" s="78"/>
      <c r="G33" s="79"/>
      <c r="H33" s="167"/>
      <c r="I33" s="78"/>
      <c r="J33" s="77"/>
      <c r="K33" s="77"/>
      <c r="L33" s="78"/>
      <c r="M33" s="80"/>
    </row>
    <row r="34" spans="1:13">
      <c r="A34" s="76" t="s">
        <v>214</v>
      </c>
      <c r="B34" s="77" t="s">
        <v>81</v>
      </c>
      <c r="C34" s="78"/>
      <c r="D34" s="81" t="s">
        <v>215</v>
      </c>
      <c r="E34" s="78"/>
      <c r="F34" s="78"/>
      <c r="G34" s="79"/>
      <c r="H34" s="167"/>
      <c r="I34" s="78"/>
      <c r="J34" s="77"/>
      <c r="K34" s="77"/>
      <c r="L34" s="78"/>
      <c r="M34" s="80"/>
    </row>
    <row r="35" spans="1:13">
      <c r="A35" s="76" t="s">
        <v>216</v>
      </c>
      <c r="B35" s="77" t="s">
        <v>83</v>
      </c>
      <c r="C35" s="78"/>
      <c r="D35" s="78"/>
      <c r="E35" s="78"/>
      <c r="F35" s="78"/>
      <c r="G35" s="79"/>
      <c r="H35" s="167"/>
      <c r="I35" s="78"/>
      <c r="J35" s="77"/>
      <c r="K35" s="77"/>
      <c r="L35" s="78"/>
      <c r="M35" s="80"/>
    </row>
    <row r="36" spans="1:13">
      <c r="A36" s="76" t="s">
        <v>217</v>
      </c>
      <c r="B36" s="77" t="s">
        <v>85</v>
      </c>
      <c r="C36" s="78"/>
      <c r="D36" s="78"/>
      <c r="E36" s="78"/>
      <c r="F36" s="78"/>
      <c r="G36" s="79"/>
      <c r="H36" s="167"/>
      <c r="I36" s="78"/>
      <c r="J36" s="77"/>
      <c r="K36" s="77"/>
      <c r="L36" s="78"/>
      <c r="M36" s="80"/>
    </row>
    <row r="37" spans="1:13">
      <c r="A37" s="82" t="s">
        <v>218</v>
      </c>
      <c r="B37" s="83" t="s">
        <v>89</v>
      </c>
      <c r="C37" s="84"/>
      <c r="D37" s="85"/>
      <c r="E37" s="84"/>
      <c r="F37" s="84"/>
      <c r="G37" s="86"/>
      <c r="H37" s="167"/>
      <c r="I37" s="84"/>
      <c r="J37" s="83"/>
      <c r="K37" s="83"/>
      <c r="L37" s="84"/>
      <c r="M37" s="87"/>
    </row>
    <row r="38" spans="1:13">
      <c r="A38" s="82" t="s">
        <v>219</v>
      </c>
      <c r="B38" s="83" t="s">
        <v>91</v>
      </c>
      <c r="C38" s="84"/>
      <c r="D38" s="88" t="s">
        <v>220</v>
      </c>
      <c r="E38" s="84"/>
      <c r="F38" s="84"/>
      <c r="G38" s="86"/>
      <c r="H38" s="167"/>
      <c r="I38" s="84"/>
      <c r="J38" s="83"/>
      <c r="K38" s="83"/>
      <c r="L38" s="84"/>
      <c r="M38" s="87"/>
    </row>
    <row r="39" spans="1:13">
      <c r="A39" s="82" t="s">
        <v>221</v>
      </c>
      <c r="B39" s="83" t="s">
        <v>93</v>
      </c>
      <c r="C39" s="84"/>
      <c r="D39" s="84"/>
      <c r="E39" s="84"/>
      <c r="F39" s="84"/>
      <c r="G39" s="86"/>
      <c r="H39" s="167"/>
      <c r="I39" s="84"/>
      <c r="J39" s="83"/>
      <c r="K39" s="83"/>
      <c r="L39" s="84"/>
      <c r="M39" s="87"/>
    </row>
    <row r="40" spans="1:13">
      <c r="A40" s="89" t="s">
        <v>222</v>
      </c>
      <c r="B40" s="90" t="s">
        <v>97</v>
      </c>
      <c r="C40" s="91"/>
      <c r="D40" s="92"/>
      <c r="E40" s="93"/>
      <c r="F40" s="93"/>
      <c r="G40" s="94"/>
      <c r="H40" s="167"/>
      <c r="I40" s="91"/>
      <c r="J40" s="90"/>
      <c r="K40" s="90"/>
      <c r="L40" s="91"/>
      <c r="M40" s="95"/>
    </row>
    <row r="41" spans="1:13">
      <c r="A41" s="89" t="s">
        <v>223</v>
      </c>
      <c r="B41" s="90" t="s">
        <v>99</v>
      </c>
      <c r="C41" s="91"/>
      <c r="D41" s="91"/>
      <c r="E41" s="91"/>
      <c r="F41" s="91"/>
      <c r="G41" s="94"/>
      <c r="H41" s="167"/>
      <c r="I41" s="91"/>
      <c r="J41" s="90"/>
      <c r="K41" s="90"/>
      <c r="L41" s="91"/>
      <c r="M41" s="95"/>
    </row>
    <row r="42" spans="1:13">
      <c r="A42" s="89" t="s">
        <v>224</v>
      </c>
      <c r="B42" s="90" t="s">
        <v>101</v>
      </c>
      <c r="C42" s="91"/>
      <c r="D42" s="92" t="s">
        <v>225</v>
      </c>
      <c r="E42" s="91"/>
      <c r="F42" s="91"/>
      <c r="G42" s="94"/>
      <c r="H42" s="167"/>
      <c r="I42" s="91"/>
      <c r="J42" s="90"/>
      <c r="K42" s="90"/>
      <c r="L42" s="91"/>
      <c r="M42" s="95"/>
    </row>
    <row r="43" spans="1:13">
      <c r="A43" s="89" t="s">
        <v>226</v>
      </c>
      <c r="B43" s="90" t="s">
        <v>103</v>
      </c>
      <c r="C43" s="91"/>
      <c r="D43" s="91"/>
      <c r="E43" s="91"/>
      <c r="F43" s="91"/>
      <c r="G43" s="94"/>
      <c r="H43" s="167"/>
      <c r="I43" s="91"/>
      <c r="J43" s="90"/>
      <c r="K43" s="90"/>
      <c r="L43" s="91"/>
      <c r="M43" s="95"/>
    </row>
    <row r="44" spans="1:13" ht="15" thickBot="1">
      <c r="A44" s="96" t="s">
        <v>227</v>
      </c>
      <c r="B44" s="97" t="s">
        <v>105</v>
      </c>
      <c r="C44" s="98"/>
      <c r="D44" s="98"/>
      <c r="E44" s="98"/>
      <c r="F44" s="98"/>
      <c r="G44" s="99"/>
      <c r="H44" s="168"/>
      <c r="I44" s="98"/>
      <c r="J44" s="97"/>
      <c r="K44" s="97"/>
      <c r="L44" s="98"/>
      <c r="M44" s="100"/>
    </row>
    <row r="45" spans="1:13">
      <c r="A45" s="69" t="s">
        <v>228</v>
      </c>
      <c r="B45" s="70" t="s">
        <v>229</v>
      </c>
      <c r="C45" s="71"/>
      <c r="D45" s="71"/>
      <c r="E45" s="101"/>
      <c r="F45" s="71"/>
      <c r="G45" s="71"/>
      <c r="H45" s="159" t="s">
        <v>230</v>
      </c>
      <c r="I45" s="71"/>
      <c r="J45" s="70"/>
      <c r="K45" s="70"/>
      <c r="L45" s="71"/>
      <c r="M45" s="102"/>
    </row>
    <row r="46" spans="1:13">
      <c r="A46" s="76" t="s">
        <v>231</v>
      </c>
      <c r="B46" s="77" t="s">
        <v>232</v>
      </c>
      <c r="C46" s="78"/>
      <c r="D46" s="78"/>
      <c r="E46" s="78"/>
      <c r="F46" s="78"/>
      <c r="G46" s="78"/>
      <c r="H46" s="160"/>
      <c r="I46" s="78"/>
      <c r="J46" s="77"/>
      <c r="K46" s="77"/>
      <c r="L46" s="78"/>
      <c r="M46" s="80"/>
    </row>
    <row r="47" spans="1:13">
      <c r="A47" s="76" t="s">
        <v>233</v>
      </c>
      <c r="B47" s="77" t="s">
        <v>111</v>
      </c>
      <c r="C47" s="78"/>
      <c r="D47" s="78"/>
      <c r="E47" s="78"/>
      <c r="F47" s="78"/>
      <c r="G47" s="78"/>
      <c r="H47" s="160"/>
      <c r="I47" s="78"/>
      <c r="J47" s="77"/>
      <c r="K47" s="77"/>
      <c r="L47" s="78"/>
      <c r="M47" s="80"/>
    </row>
    <row r="48" spans="1:13">
      <c r="A48" s="76" t="s">
        <v>234</v>
      </c>
      <c r="B48" s="77" t="s">
        <v>112</v>
      </c>
      <c r="C48" s="78"/>
      <c r="D48" s="78"/>
      <c r="E48" s="78"/>
      <c r="F48" s="78"/>
      <c r="G48" s="78"/>
      <c r="H48" s="160"/>
      <c r="I48" s="78"/>
      <c r="J48" s="77"/>
      <c r="K48" s="77"/>
      <c r="L48" s="78"/>
      <c r="M48" s="80"/>
    </row>
    <row r="49" spans="1:13">
      <c r="A49" s="76" t="s">
        <v>235</v>
      </c>
      <c r="B49" s="77" t="s">
        <v>113</v>
      </c>
      <c r="C49" s="78"/>
      <c r="D49" s="78"/>
      <c r="E49" s="103" t="s">
        <v>236</v>
      </c>
      <c r="F49" s="78"/>
      <c r="G49" s="78"/>
      <c r="H49" s="160"/>
      <c r="I49" s="78"/>
      <c r="J49" s="77"/>
      <c r="K49" s="77"/>
      <c r="L49" s="78"/>
      <c r="M49" s="80"/>
    </row>
    <row r="50" spans="1:13">
      <c r="A50" s="76" t="s">
        <v>237</v>
      </c>
      <c r="B50" s="77" t="s">
        <v>114</v>
      </c>
      <c r="C50" s="78"/>
      <c r="D50" s="78"/>
      <c r="E50" s="78"/>
      <c r="F50" s="78"/>
      <c r="G50" s="78"/>
      <c r="H50" s="160"/>
      <c r="I50" s="78"/>
      <c r="J50" s="77"/>
      <c r="K50" s="77"/>
      <c r="L50" s="78"/>
      <c r="M50" s="80"/>
    </row>
    <row r="51" spans="1:13">
      <c r="A51" s="76" t="s">
        <v>238</v>
      </c>
      <c r="B51" s="77" t="s">
        <v>115</v>
      </c>
      <c r="C51" s="78"/>
      <c r="D51" s="78"/>
      <c r="E51" s="78"/>
      <c r="F51" s="78"/>
      <c r="G51" s="78"/>
      <c r="H51" s="160"/>
      <c r="I51" s="78"/>
      <c r="J51" s="77"/>
      <c r="K51" s="77"/>
      <c r="L51" s="78"/>
      <c r="M51" s="80"/>
    </row>
    <row r="52" spans="1:13" ht="15" thickBot="1">
      <c r="A52" s="104" t="s">
        <v>239</v>
      </c>
      <c r="B52" s="105" t="s">
        <v>116</v>
      </c>
      <c r="C52" s="106"/>
      <c r="D52" s="106"/>
      <c r="E52" s="106"/>
      <c r="F52" s="106"/>
      <c r="G52" s="106"/>
      <c r="H52" s="161"/>
      <c r="I52" s="106"/>
      <c r="J52" s="105"/>
      <c r="K52" s="105"/>
      <c r="L52" s="106"/>
      <c r="M52" s="107"/>
    </row>
    <row r="53" spans="1:13">
      <c r="A53" s="12" t="s">
        <v>240</v>
      </c>
      <c r="B53" s="108" t="s">
        <v>119</v>
      </c>
      <c r="C53" s="14"/>
      <c r="D53" s="109"/>
      <c r="E53" s="14"/>
      <c r="F53" s="14"/>
      <c r="G53" s="14"/>
      <c r="H53" s="156" t="s">
        <v>241</v>
      </c>
      <c r="I53" s="14"/>
      <c r="J53" s="108"/>
      <c r="K53" s="108"/>
      <c r="L53" s="14"/>
      <c r="M53" s="17"/>
    </row>
    <row r="54" spans="1:13">
      <c r="A54" s="18" t="s">
        <v>242</v>
      </c>
      <c r="B54" s="110" t="s">
        <v>121</v>
      </c>
      <c r="C54" s="20"/>
      <c r="D54" s="20"/>
      <c r="E54" s="20"/>
      <c r="F54" s="20"/>
      <c r="G54" s="20"/>
      <c r="H54" s="157"/>
      <c r="I54" s="20"/>
      <c r="J54" s="110"/>
      <c r="K54" s="110"/>
      <c r="L54" s="20"/>
      <c r="M54" s="22"/>
    </row>
    <row r="55" spans="1:13">
      <c r="A55" s="18" t="s">
        <v>243</v>
      </c>
      <c r="B55" s="110" t="s">
        <v>123</v>
      </c>
      <c r="C55" s="20"/>
      <c r="D55" s="111" t="s">
        <v>244</v>
      </c>
      <c r="E55" s="20"/>
      <c r="F55" s="20"/>
      <c r="G55" s="20"/>
      <c r="H55" s="157"/>
      <c r="I55" s="20"/>
      <c r="J55" s="110"/>
      <c r="K55" s="110"/>
      <c r="L55" s="20"/>
      <c r="M55" s="22"/>
    </row>
    <row r="56" spans="1:13">
      <c r="A56" s="18" t="s">
        <v>245</v>
      </c>
      <c r="B56" s="110" t="s">
        <v>125</v>
      </c>
      <c r="C56" s="20"/>
      <c r="D56" s="20"/>
      <c r="E56" s="20"/>
      <c r="F56" s="20"/>
      <c r="G56" s="20"/>
      <c r="H56" s="157"/>
      <c r="I56" s="20"/>
      <c r="J56" s="110"/>
      <c r="K56" s="110"/>
      <c r="L56" s="20"/>
      <c r="M56" s="22"/>
    </row>
    <row r="57" spans="1:13">
      <c r="A57" s="18" t="s">
        <v>246</v>
      </c>
      <c r="B57" s="110" t="s">
        <v>127</v>
      </c>
      <c r="C57" s="20"/>
      <c r="D57" s="20"/>
      <c r="E57" s="20"/>
      <c r="F57" s="20"/>
      <c r="G57" s="20"/>
      <c r="H57" s="157"/>
      <c r="I57" s="20"/>
      <c r="J57" s="110"/>
      <c r="K57" s="110"/>
      <c r="L57" s="20"/>
      <c r="M57" s="22"/>
    </row>
    <row r="58" spans="1:13">
      <c r="A58" s="57" t="s">
        <v>247</v>
      </c>
      <c r="B58" s="58" t="s">
        <v>131</v>
      </c>
      <c r="C58" s="59"/>
      <c r="D58" s="60"/>
      <c r="E58" s="59"/>
      <c r="F58" s="59"/>
      <c r="G58" s="59"/>
      <c r="H58" s="157"/>
      <c r="I58" s="59"/>
      <c r="J58" s="58"/>
      <c r="K58" s="58"/>
      <c r="L58" s="59"/>
      <c r="M58" s="62"/>
    </row>
    <row r="59" spans="1:13">
      <c r="A59" s="57" t="s">
        <v>248</v>
      </c>
      <c r="B59" s="58" t="s">
        <v>133</v>
      </c>
      <c r="C59" s="59"/>
      <c r="D59" s="59"/>
      <c r="E59" s="59"/>
      <c r="F59" s="59"/>
      <c r="G59" s="59"/>
      <c r="H59" s="157"/>
      <c r="I59" s="59"/>
      <c r="J59" s="58"/>
      <c r="K59" s="58"/>
      <c r="L59" s="59"/>
      <c r="M59" s="62"/>
    </row>
    <row r="60" spans="1:13">
      <c r="A60" s="57" t="s">
        <v>249</v>
      </c>
      <c r="B60" s="58" t="s">
        <v>135</v>
      </c>
      <c r="C60" s="59"/>
      <c r="D60" s="59"/>
      <c r="E60" s="59"/>
      <c r="F60" s="59"/>
      <c r="G60" s="59"/>
      <c r="H60" s="157"/>
      <c r="I60" s="59"/>
      <c r="J60" s="58"/>
      <c r="K60" s="58"/>
      <c r="L60" s="59"/>
      <c r="M60" s="62"/>
    </row>
    <row r="61" spans="1:13">
      <c r="A61" s="57" t="s">
        <v>250</v>
      </c>
      <c r="B61" s="58" t="s">
        <v>137</v>
      </c>
      <c r="C61" s="59"/>
      <c r="D61" s="59"/>
      <c r="E61" s="59"/>
      <c r="F61" s="59"/>
      <c r="G61" s="59"/>
      <c r="H61" s="157"/>
      <c r="I61" s="59"/>
      <c r="J61" s="58"/>
      <c r="K61" s="58"/>
      <c r="L61" s="59"/>
      <c r="M61" s="62"/>
    </row>
    <row r="62" spans="1:13">
      <c r="A62" s="57" t="s">
        <v>251</v>
      </c>
      <c r="B62" s="58" t="s">
        <v>139</v>
      </c>
      <c r="C62" s="59"/>
      <c r="D62" s="59"/>
      <c r="E62" s="59"/>
      <c r="F62" s="59"/>
      <c r="G62" s="59"/>
      <c r="H62" s="157"/>
      <c r="I62" s="59"/>
      <c r="J62" s="58"/>
      <c r="K62" s="58"/>
      <c r="L62" s="59"/>
      <c r="M62" s="62"/>
    </row>
    <row r="63" spans="1:13">
      <c r="A63" s="57" t="s">
        <v>252</v>
      </c>
      <c r="B63" s="58" t="s">
        <v>141</v>
      </c>
      <c r="C63" s="59"/>
      <c r="D63" s="63" t="s">
        <v>253</v>
      </c>
      <c r="E63" s="59"/>
      <c r="F63" s="59"/>
      <c r="G63" s="59"/>
      <c r="H63" s="157"/>
      <c r="I63" s="59"/>
      <c r="J63" s="58"/>
      <c r="K63" s="58"/>
      <c r="L63" s="59"/>
      <c r="M63" s="62"/>
    </row>
    <row r="64" spans="1:13">
      <c r="A64" s="57" t="s">
        <v>254</v>
      </c>
      <c r="B64" s="58" t="s">
        <v>143</v>
      </c>
      <c r="C64" s="59"/>
      <c r="D64" s="59"/>
      <c r="E64" s="59"/>
      <c r="F64" s="59"/>
      <c r="G64" s="59"/>
      <c r="H64" s="157"/>
      <c r="I64" s="59"/>
      <c r="J64" s="58"/>
      <c r="K64" s="58"/>
      <c r="L64" s="59"/>
      <c r="M64" s="62"/>
    </row>
    <row r="65" spans="1:13">
      <c r="A65" s="57" t="s">
        <v>255</v>
      </c>
      <c r="B65" s="58" t="s">
        <v>145</v>
      </c>
      <c r="C65" s="59"/>
      <c r="D65" s="59"/>
      <c r="E65" s="59"/>
      <c r="F65" s="59"/>
      <c r="G65" s="59"/>
      <c r="H65" s="157"/>
      <c r="I65" s="59"/>
      <c r="J65" s="58"/>
      <c r="K65" s="58"/>
      <c r="L65" s="59"/>
      <c r="M65" s="62"/>
    </row>
    <row r="66" spans="1:13">
      <c r="A66" s="57" t="s">
        <v>256</v>
      </c>
      <c r="B66" s="58" t="s">
        <v>147</v>
      </c>
      <c r="C66" s="59"/>
      <c r="D66" s="59"/>
      <c r="E66" s="59"/>
      <c r="F66" s="59"/>
      <c r="G66" s="59"/>
      <c r="H66" s="157"/>
      <c r="I66" s="59"/>
      <c r="J66" s="58"/>
      <c r="K66" s="58"/>
      <c r="L66" s="59"/>
      <c r="M66" s="62"/>
    </row>
    <row r="67" spans="1:13">
      <c r="A67" s="57" t="s">
        <v>257</v>
      </c>
      <c r="B67" s="58" t="s">
        <v>149</v>
      </c>
      <c r="C67" s="59"/>
      <c r="D67" s="59"/>
      <c r="E67" s="59"/>
      <c r="F67" s="59"/>
      <c r="G67" s="59"/>
      <c r="H67" s="157"/>
      <c r="I67" s="59"/>
      <c r="J67" s="58"/>
      <c r="K67" s="58"/>
      <c r="L67" s="59"/>
      <c r="M67" s="62"/>
    </row>
    <row r="68" spans="1:13">
      <c r="A68" s="57" t="s">
        <v>258</v>
      </c>
      <c r="B68" s="58" t="s">
        <v>151</v>
      </c>
      <c r="C68" s="59"/>
      <c r="D68" s="59"/>
      <c r="E68" s="59"/>
      <c r="F68" s="59"/>
      <c r="G68" s="59"/>
      <c r="H68" s="157"/>
      <c r="I68" s="59"/>
      <c r="J68" s="58"/>
      <c r="K68" s="58"/>
      <c r="L68" s="59"/>
      <c r="M68" s="62"/>
    </row>
    <row r="69" spans="1:13">
      <c r="A69" s="57" t="s">
        <v>259</v>
      </c>
      <c r="B69" s="58" t="s">
        <v>153</v>
      </c>
      <c r="C69" s="59"/>
      <c r="D69" s="59"/>
      <c r="E69" s="59"/>
      <c r="F69" s="59"/>
      <c r="G69" s="59"/>
      <c r="H69" s="157"/>
      <c r="I69" s="59"/>
      <c r="J69" s="58"/>
      <c r="K69" s="58"/>
      <c r="L69" s="59"/>
      <c r="M69" s="62"/>
    </row>
    <row r="70" spans="1:13" ht="15" thickBot="1">
      <c r="A70" s="64" t="s">
        <v>260</v>
      </c>
      <c r="B70" s="65" t="s">
        <v>155</v>
      </c>
      <c r="C70" s="66"/>
      <c r="D70" s="66"/>
      <c r="E70" s="66"/>
      <c r="F70" s="66"/>
      <c r="G70" s="66"/>
      <c r="H70" s="158"/>
      <c r="I70" s="66"/>
      <c r="J70" s="65"/>
      <c r="K70" s="65"/>
      <c r="L70" s="66"/>
      <c r="M70" s="68"/>
    </row>
    <row r="71" spans="1:13">
      <c r="A71" s="112" t="s">
        <v>261</v>
      </c>
      <c r="B71" s="113" t="s">
        <v>159</v>
      </c>
      <c r="C71" s="114"/>
      <c r="D71" s="115"/>
      <c r="E71" s="114"/>
      <c r="F71" s="114"/>
      <c r="G71" s="26"/>
      <c r="H71" s="114"/>
      <c r="I71" s="114"/>
      <c r="J71" s="116"/>
      <c r="K71" s="116"/>
      <c r="L71" s="114"/>
      <c r="M71" s="117"/>
    </row>
    <row r="72" spans="1:13">
      <c r="A72" s="24" t="s">
        <v>262</v>
      </c>
      <c r="B72" s="113" t="s">
        <v>161</v>
      </c>
      <c r="C72" s="26"/>
      <c r="D72" s="26"/>
      <c r="E72" s="26"/>
      <c r="F72" s="26"/>
      <c r="G72" s="26"/>
      <c r="H72" s="118" t="s">
        <v>263</v>
      </c>
      <c r="I72" s="119"/>
      <c r="J72" s="120"/>
      <c r="K72" s="120"/>
      <c r="L72" s="26"/>
      <c r="M72" s="29"/>
    </row>
    <row r="73" spans="1:13">
      <c r="A73" s="24" t="s">
        <v>264</v>
      </c>
      <c r="B73" s="113" t="s">
        <v>163</v>
      </c>
      <c r="C73" s="26"/>
      <c r="D73" s="32" t="s">
        <v>265</v>
      </c>
      <c r="E73" s="26"/>
      <c r="F73" s="31"/>
      <c r="G73" s="26"/>
      <c r="H73" s="26"/>
      <c r="I73" s="26"/>
      <c r="J73" s="30"/>
      <c r="K73" s="30"/>
      <c r="L73" s="26"/>
      <c r="M73" s="29"/>
    </row>
    <row r="74" spans="1:13" ht="15" thickBot="1">
      <c r="A74" s="121" t="s">
        <v>266</v>
      </c>
      <c r="B74" s="113" t="s">
        <v>165</v>
      </c>
      <c r="C74" s="122"/>
      <c r="D74" s="122"/>
      <c r="E74" s="122"/>
      <c r="F74" s="122"/>
      <c r="G74" s="122"/>
      <c r="H74" s="122"/>
      <c r="I74" s="122"/>
      <c r="J74" s="123"/>
      <c r="K74" s="123"/>
      <c r="L74" s="122"/>
      <c r="M74" s="124"/>
    </row>
    <row r="75" spans="1:13" ht="15" thickBot="1">
      <c r="A75" s="125" t="s">
        <v>267</v>
      </c>
      <c r="B75" s="126" t="s">
        <v>268</v>
      </c>
      <c r="C75" s="127"/>
      <c r="D75" s="128" t="s">
        <v>269</v>
      </c>
      <c r="E75" s="127"/>
      <c r="F75" s="127"/>
      <c r="G75" s="127"/>
      <c r="H75" s="127"/>
      <c r="I75" s="127"/>
      <c r="J75" s="129"/>
      <c r="K75" s="129"/>
      <c r="L75" s="127"/>
      <c r="M75" s="130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1"/>
  <sheetViews>
    <sheetView showGridLines="0" tabSelected="1" zoomScale="115" zoomScaleNormal="115" workbookViewId="0">
      <selection activeCell="D108" sqref="D108"/>
    </sheetView>
  </sheetViews>
  <sheetFormatPr defaultRowHeight="14.4"/>
  <cols>
    <col min="1" max="1" width="34.44140625" customWidth="1"/>
    <col min="2" max="2" width="7.6640625" customWidth="1"/>
    <col min="3" max="4" width="9.33203125" customWidth="1"/>
    <col min="5" max="5" width="7.88671875" customWidth="1"/>
    <col min="6" max="7" width="9.33203125" customWidth="1"/>
    <col min="8" max="8" width="19" customWidth="1"/>
    <col min="9" max="9" width="9.5546875" customWidth="1"/>
    <col min="10" max="10" width="9.33203125" customWidth="1"/>
  </cols>
  <sheetData>
    <row r="1" spans="1:19" s="1" customFormat="1" ht="14.4" customHeight="1">
      <c r="A1" s="174" t="s">
        <v>294</v>
      </c>
      <c r="B1" s="174"/>
      <c r="C1" s="174"/>
      <c r="D1" s="174"/>
      <c r="E1" s="174"/>
      <c r="F1" s="174"/>
      <c r="G1" s="174"/>
      <c r="H1" s="174"/>
      <c r="I1" s="174"/>
      <c r="J1" s="2"/>
      <c r="K1" s="2"/>
      <c r="L1" s="2"/>
      <c r="M1" s="2"/>
      <c r="N1" s="2"/>
      <c r="O1" s="2"/>
      <c r="P1" s="2"/>
      <c r="Q1" s="2"/>
      <c r="R1" s="2"/>
    </row>
    <row r="2" spans="1:19" s="1" customFormat="1" ht="9" customHeight="1">
      <c r="A2" s="174"/>
      <c r="B2" s="174"/>
      <c r="C2" s="174"/>
      <c r="D2" s="174"/>
      <c r="E2" s="174"/>
      <c r="F2" s="174"/>
      <c r="G2" s="174"/>
      <c r="H2" s="174"/>
      <c r="I2" s="174"/>
      <c r="J2" s="2"/>
      <c r="K2" s="2"/>
      <c r="L2" s="2"/>
      <c r="M2" s="2"/>
      <c r="N2" s="2"/>
      <c r="O2" s="2"/>
      <c r="P2" s="2"/>
      <c r="Q2" s="2"/>
      <c r="R2" s="2"/>
    </row>
    <row r="3" spans="1:19" s="1" customFormat="1" ht="11.4" customHeight="1" thickBot="1">
      <c r="A3" s="197" t="s">
        <v>274</v>
      </c>
      <c r="B3" s="198"/>
      <c r="C3" s="198"/>
      <c r="D3" s="198"/>
      <c r="E3" s="198"/>
      <c r="F3" s="198"/>
      <c r="G3" s="3"/>
      <c r="H3" s="3" t="s">
        <v>273</v>
      </c>
      <c r="I3" s="3"/>
      <c r="J3" s="4"/>
      <c r="K3" s="4"/>
      <c r="L3" s="4"/>
      <c r="M3" s="5"/>
      <c r="N3" s="5"/>
      <c r="O3" s="5"/>
      <c r="P3" s="4"/>
      <c r="Q3" s="4"/>
      <c r="R3" s="4"/>
      <c r="S3" s="5"/>
    </row>
    <row r="4" spans="1:19" ht="14.4" customHeight="1">
      <c r="A4" s="174" t="s">
        <v>272</v>
      </c>
      <c r="B4" s="199" t="s">
        <v>271</v>
      </c>
      <c r="C4" s="178" t="s">
        <v>167</v>
      </c>
      <c r="D4" s="179"/>
      <c r="E4" s="179"/>
      <c r="F4" s="179"/>
      <c r="G4" s="187" t="s">
        <v>171</v>
      </c>
      <c r="H4" s="174" t="s">
        <v>0</v>
      </c>
      <c r="I4" s="174"/>
      <c r="J4" s="11"/>
      <c r="K4" s="5"/>
      <c r="L4" s="133"/>
    </row>
    <row r="5" spans="1:19">
      <c r="A5" s="174"/>
      <c r="B5" s="200"/>
      <c r="C5" s="180"/>
      <c r="D5" s="175"/>
      <c r="E5" s="175"/>
      <c r="F5" s="175"/>
      <c r="G5" s="188"/>
      <c r="H5" s="174"/>
      <c r="I5" s="174"/>
      <c r="J5" s="11"/>
      <c r="K5" s="5"/>
      <c r="L5" s="133"/>
    </row>
    <row r="6" spans="1:19">
      <c r="A6" s="174"/>
      <c r="B6" s="200"/>
      <c r="C6" s="185" t="s">
        <v>168</v>
      </c>
      <c r="D6" s="185" t="s">
        <v>169</v>
      </c>
      <c r="E6" s="183" t="s">
        <v>289</v>
      </c>
      <c r="F6" s="181" t="s">
        <v>170</v>
      </c>
      <c r="G6" s="188"/>
      <c r="H6" s="174"/>
      <c r="I6" s="174"/>
      <c r="J6" s="11"/>
      <c r="K6" s="5"/>
      <c r="L6" s="133"/>
    </row>
    <row r="7" spans="1:19" ht="21" customHeight="1">
      <c r="A7" s="208"/>
      <c r="B7" s="201"/>
      <c r="C7" s="186"/>
      <c r="D7" s="186"/>
      <c r="E7" s="184"/>
      <c r="F7" s="182"/>
      <c r="G7" s="189"/>
      <c r="H7" s="208"/>
      <c r="I7" s="208"/>
      <c r="J7" s="11"/>
      <c r="K7" s="5"/>
      <c r="L7" s="133"/>
    </row>
    <row r="8" spans="1:19" s="6" customFormat="1" ht="12.6" customHeight="1">
      <c r="A8" s="202" t="s">
        <v>1</v>
      </c>
      <c r="B8" s="204">
        <f>SUM(B10,B18,B27,B32,B38,B45,B52,B59,B64,B71,B81,B88,B103)</f>
        <v>751438</v>
      </c>
      <c r="C8" s="192">
        <f>SUM(C10,C18,C27,C32,C38,C45,C52,C59,C64,C71,C81,C88,C103)</f>
        <v>267907</v>
      </c>
      <c r="D8" s="192">
        <f t="shared" ref="D8:G8" si="0">SUM(D10,D18,D27,D32,D38,D45,D52,D59,D64,D71,D81,D88,D103)</f>
        <v>317253</v>
      </c>
      <c r="E8" s="192">
        <f t="shared" si="0"/>
        <v>110074</v>
      </c>
      <c r="F8" s="192">
        <f t="shared" si="0"/>
        <v>8002</v>
      </c>
      <c r="G8" s="196">
        <f t="shared" si="0"/>
        <v>48202</v>
      </c>
      <c r="H8" s="176" t="s">
        <v>2</v>
      </c>
      <c r="I8" s="176"/>
      <c r="J8" s="2"/>
      <c r="K8" s="9"/>
      <c r="L8" s="134"/>
    </row>
    <row r="9" spans="1:19" s="6" customFormat="1" ht="12.6" customHeight="1">
      <c r="A9" s="203"/>
      <c r="B9" s="194"/>
      <c r="C9" s="191"/>
      <c r="D9" s="191"/>
      <c r="E9" s="191"/>
      <c r="F9" s="191"/>
      <c r="G9" s="190"/>
      <c r="H9" s="177"/>
      <c r="I9" s="177"/>
      <c r="J9" s="2"/>
      <c r="K9" s="9"/>
      <c r="L9" s="134"/>
    </row>
    <row r="10" spans="1:19" s="6" customFormat="1" ht="12.6" customHeight="1">
      <c r="A10" s="195" t="s">
        <v>3</v>
      </c>
      <c r="B10" s="194">
        <f>SUM(C10:G11)</f>
        <v>18071</v>
      </c>
      <c r="C10" s="191">
        <f>SUM(C12:C17)</f>
        <v>10701</v>
      </c>
      <c r="D10" s="191">
        <f>SUM(D12:D17)</f>
        <v>617</v>
      </c>
      <c r="E10" s="191">
        <f>SUM(E12:E17)</f>
        <v>2201</v>
      </c>
      <c r="F10" s="191">
        <f>SUM(F12:F17)</f>
        <v>75</v>
      </c>
      <c r="G10" s="190">
        <f>SUM(G12:G17)</f>
        <v>4477</v>
      </c>
      <c r="H10" s="177" t="s">
        <v>4</v>
      </c>
      <c r="I10" s="177"/>
      <c r="J10" s="2"/>
      <c r="K10" s="2"/>
      <c r="L10" s="134"/>
    </row>
    <row r="11" spans="1:19" s="6" customFormat="1" ht="12.6" customHeight="1">
      <c r="A11" s="195"/>
      <c r="B11" s="194"/>
      <c r="C11" s="191"/>
      <c r="D11" s="191"/>
      <c r="E11" s="191"/>
      <c r="F11" s="191"/>
      <c r="G11" s="190"/>
      <c r="H11" s="177"/>
      <c r="I11" s="177"/>
      <c r="J11" s="2"/>
      <c r="K11" s="2"/>
      <c r="L11" s="134"/>
    </row>
    <row r="12" spans="1:19" s="6" customFormat="1" ht="12.6" customHeight="1">
      <c r="A12" s="7" t="s">
        <v>5</v>
      </c>
      <c r="B12" s="146">
        <f t="shared" ref="B12:B17" si="1">SUM(C12:G12)</f>
        <v>5360</v>
      </c>
      <c r="C12" s="140">
        <v>2588</v>
      </c>
      <c r="D12" s="140">
        <v>300</v>
      </c>
      <c r="E12" s="140">
        <v>1652</v>
      </c>
      <c r="F12" s="141" t="s">
        <v>270</v>
      </c>
      <c r="G12" s="147">
        <v>820</v>
      </c>
      <c r="H12" s="131" t="s">
        <v>6</v>
      </c>
      <c r="I12" s="131"/>
      <c r="J12" s="9"/>
      <c r="K12" s="9"/>
      <c r="L12" s="134"/>
    </row>
    <row r="13" spans="1:19" s="6" customFormat="1" ht="12.6" customHeight="1">
      <c r="A13" s="7" t="s">
        <v>7</v>
      </c>
      <c r="B13" s="146">
        <f t="shared" si="1"/>
        <v>2697</v>
      </c>
      <c r="C13" s="140">
        <v>2242</v>
      </c>
      <c r="D13" s="140">
        <v>145</v>
      </c>
      <c r="E13" s="140">
        <v>50</v>
      </c>
      <c r="F13" s="140">
        <v>75</v>
      </c>
      <c r="G13" s="147">
        <v>185</v>
      </c>
      <c r="H13" s="131" t="s">
        <v>8</v>
      </c>
      <c r="I13" s="131"/>
      <c r="J13" s="9"/>
      <c r="K13" s="9"/>
      <c r="L13" s="134"/>
    </row>
    <row r="14" spans="1:19" s="6" customFormat="1" ht="12.6" customHeight="1">
      <c r="A14" s="7" t="s">
        <v>9</v>
      </c>
      <c r="B14" s="146">
        <f t="shared" si="1"/>
        <v>7336</v>
      </c>
      <c r="C14" s="140">
        <v>3801</v>
      </c>
      <c r="D14" s="139" t="s">
        <v>270</v>
      </c>
      <c r="E14" s="140">
        <v>63</v>
      </c>
      <c r="F14" s="139" t="s">
        <v>270</v>
      </c>
      <c r="G14" s="147">
        <v>3472</v>
      </c>
      <c r="H14" s="131" t="s">
        <v>10</v>
      </c>
      <c r="I14" s="131"/>
      <c r="J14" s="9"/>
      <c r="K14" s="9"/>
      <c r="L14" s="134"/>
    </row>
    <row r="15" spans="1:19" s="6" customFormat="1" ht="12.6" customHeight="1">
      <c r="A15" s="7" t="s">
        <v>11</v>
      </c>
      <c r="B15" s="146">
        <f t="shared" si="1"/>
        <v>0</v>
      </c>
      <c r="C15" s="140" t="s">
        <v>270</v>
      </c>
      <c r="D15" s="140" t="s">
        <v>270</v>
      </c>
      <c r="E15" s="140" t="s">
        <v>270</v>
      </c>
      <c r="F15" s="141" t="s">
        <v>270</v>
      </c>
      <c r="G15" s="148" t="s">
        <v>270</v>
      </c>
      <c r="H15" s="131" t="s">
        <v>12</v>
      </c>
      <c r="I15" s="131"/>
      <c r="J15" s="9"/>
      <c r="K15" s="9"/>
      <c r="L15" s="134"/>
    </row>
    <row r="16" spans="1:19" s="6" customFormat="1" ht="12.6" customHeight="1">
      <c r="A16" s="7" t="s">
        <v>13</v>
      </c>
      <c r="B16" s="146">
        <f t="shared" si="1"/>
        <v>532</v>
      </c>
      <c r="C16" s="140">
        <v>235</v>
      </c>
      <c r="D16" s="140">
        <v>172</v>
      </c>
      <c r="E16" s="140">
        <v>125</v>
      </c>
      <c r="F16" s="141" t="s">
        <v>270</v>
      </c>
      <c r="G16" s="148" t="s">
        <v>270</v>
      </c>
      <c r="H16" s="131" t="s">
        <v>14</v>
      </c>
      <c r="I16" s="131"/>
      <c r="J16" s="9"/>
      <c r="K16" s="9"/>
      <c r="L16" s="134"/>
    </row>
    <row r="17" spans="1:12" s="6" customFormat="1" ht="12.6" customHeight="1">
      <c r="A17" s="7" t="s">
        <v>15</v>
      </c>
      <c r="B17" s="146">
        <f t="shared" si="1"/>
        <v>2146</v>
      </c>
      <c r="C17" s="140">
        <v>1835</v>
      </c>
      <c r="D17" s="139" t="s">
        <v>270</v>
      </c>
      <c r="E17" s="140">
        <v>311</v>
      </c>
      <c r="F17" s="139" t="s">
        <v>270</v>
      </c>
      <c r="G17" s="149" t="s">
        <v>270</v>
      </c>
      <c r="H17" s="131" t="s">
        <v>16</v>
      </c>
      <c r="I17" s="131"/>
      <c r="J17" s="9"/>
      <c r="K17" s="9"/>
      <c r="L17" s="134"/>
    </row>
    <row r="18" spans="1:12" s="6" customFormat="1" ht="12.6" customHeight="1">
      <c r="A18" s="193" t="s">
        <v>17</v>
      </c>
      <c r="B18" s="194">
        <f>SUM(C18:G19)</f>
        <v>51893</v>
      </c>
      <c r="C18" s="191">
        <f>SUM(C20:C26)</f>
        <v>19951</v>
      </c>
      <c r="D18" s="191">
        <f>SUM(D20:D26)</f>
        <v>13827</v>
      </c>
      <c r="E18" s="191">
        <f>SUM(E20:E26)</f>
        <v>15077</v>
      </c>
      <c r="F18" s="191">
        <f>SUM(F20:F26)</f>
        <v>0</v>
      </c>
      <c r="G18" s="190">
        <f>SUM(G20:G26)</f>
        <v>3038</v>
      </c>
      <c r="H18" s="169" t="s">
        <v>18</v>
      </c>
      <c r="I18" s="169"/>
      <c r="J18" s="135"/>
      <c r="K18" s="9"/>
      <c r="L18" s="134"/>
    </row>
    <row r="19" spans="1:12" s="6" customFormat="1" ht="12.6" customHeight="1">
      <c r="A19" s="193"/>
      <c r="B19" s="194"/>
      <c r="C19" s="191"/>
      <c r="D19" s="191"/>
      <c r="E19" s="191"/>
      <c r="F19" s="191"/>
      <c r="G19" s="190"/>
      <c r="H19" s="169"/>
      <c r="I19" s="169"/>
      <c r="J19" s="135"/>
      <c r="K19" s="9"/>
      <c r="L19" s="134"/>
    </row>
    <row r="20" spans="1:12" s="6" customFormat="1" ht="12.6" customHeight="1">
      <c r="A20" s="7" t="s">
        <v>19</v>
      </c>
      <c r="B20" s="146">
        <f t="shared" ref="B20:B31" si="2">SUM(C20:G20)</f>
        <v>25794</v>
      </c>
      <c r="C20" s="140">
        <v>8855</v>
      </c>
      <c r="D20" s="140">
        <v>8349</v>
      </c>
      <c r="E20" s="140">
        <v>7690</v>
      </c>
      <c r="F20" s="139" t="s">
        <v>270</v>
      </c>
      <c r="G20" s="147">
        <v>900</v>
      </c>
      <c r="H20" s="131" t="s">
        <v>20</v>
      </c>
      <c r="I20" s="131"/>
      <c r="J20" s="9"/>
      <c r="K20" s="9"/>
      <c r="L20" s="134"/>
    </row>
    <row r="21" spans="1:12" s="6" customFormat="1" ht="12.6" customHeight="1">
      <c r="A21" s="7" t="s">
        <v>21</v>
      </c>
      <c r="B21" s="146">
        <f t="shared" si="2"/>
        <v>33</v>
      </c>
      <c r="C21" s="140">
        <v>13</v>
      </c>
      <c r="D21" s="139" t="s">
        <v>270</v>
      </c>
      <c r="E21" s="140">
        <v>20</v>
      </c>
      <c r="F21" s="139" t="s">
        <v>270</v>
      </c>
      <c r="G21" s="149" t="s">
        <v>270</v>
      </c>
      <c r="H21" s="131" t="s">
        <v>22</v>
      </c>
      <c r="I21" s="131"/>
      <c r="J21" s="9"/>
      <c r="K21" s="9"/>
      <c r="L21" s="134"/>
    </row>
    <row r="22" spans="1:12" s="6" customFormat="1" ht="12.6" customHeight="1">
      <c r="A22" s="7" t="s">
        <v>23</v>
      </c>
      <c r="B22" s="146">
        <f t="shared" si="2"/>
        <v>14</v>
      </c>
      <c r="C22" s="140">
        <v>14</v>
      </c>
      <c r="D22" s="139" t="s">
        <v>270</v>
      </c>
      <c r="E22" s="139" t="s">
        <v>270</v>
      </c>
      <c r="F22" s="139" t="s">
        <v>270</v>
      </c>
      <c r="G22" s="149" t="s">
        <v>270</v>
      </c>
      <c r="H22" s="131" t="s">
        <v>24</v>
      </c>
      <c r="I22" s="131"/>
      <c r="J22" s="9"/>
      <c r="K22" s="9"/>
      <c r="L22" s="134"/>
    </row>
    <row r="23" spans="1:12" s="6" customFormat="1" ht="12.6" customHeight="1">
      <c r="A23" s="7" t="s">
        <v>25</v>
      </c>
      <c r="B23" s="146">
        <f t="shared" si="2"/>
        <v>838</v>
      </c>
      <c r="C23" s="140">
        <v>32</v>
      </c>
      <c r="D23" s="139" t="s">
        <v>270</v>
      </c>
      <c r="E23" s="140">
        <v>6</v>
      </c>
      <c r="F23" s="139" t="s">
        <v>270</v>
      </c>
      <c r="G23" s="147">
        <v>800</v>
      </c>
      <c r="H23" s="131" t="s">
        <v>26</v>
      </c>
      <c r="I23" s="131"/>
      <c r="J23" s="9"/>
      <c r="K23" s="9"/>
      <c r="L23" s="134"/>
    </row>
    <row r="24" spans="1:12" s="6" customFormat="1" ht="12.6" customHeight="1">
      <c r="A24" s="7" t="s">
        <v>27</v>
      </c>
      <c r="B24" s="146">
        <f t="shared" si="2"/>
        <v>12395</v>
      </c>
      <c r="C24" s="140">
        <v>5771</v>
      </c>
      <c r="D24" s="140">
        <v>3386</v>
      </c>
      <c r="E24" s="140">
        <v>3154</v>
      </c>
      <c r="F24" s="141" t="s">
        <v>270</v>
      </c>
      <c r="G24" s="147">
        <v>84</v>
      </c>
      <c r="H24" s="131" t="s">
        <v>28</v>
      </c>
      <c r="I24" s="131"/>
      <c r="J24" s="9"/>
      <c r="K24" s="9"/>
      <c r="L24" s="134"/>
    </row>
    <row r="25" spans="1:12" s="6" customFormat="1" ht="12.6" customHeight="1">
      <c r="A25" s="7" t="s">
        <v>29</v>
      </c>
      <c r="B25" s="146">
        <f t="shared" si="2"/>
        <v>194</v>
      </c>
      <c r="C25" s="140">
        <v>180</v>
      </c>
      <c r="D25" s="139" t="s">
        <v>270</v>
      </c>
      <c r="E25" s="140">
        <v>10</v>
      </c>
      <c r="F25" s="139" t="s">
        <v>270</v>
      </c>
      <c r="G25" s="147">
        <v>4</v>
      </c>
      <c r="H25" s="131" t="s">
        <v>30</v>
      </c>
      <c r="I25" s="131"/>
      <c r="J25" s="9"/>
      <c r="K25" s="9"/>
      <c r="L25" s="134"/>
    </row>
    <row r="26" spans="1:12" s="6" customFormat="1" ht="12.6" customHeight="1">
      <c r="A26" s="7" t="s">
        <v>31</v>
      </c>
      <c r="B26" s="146">
        <f t="shared" si="2"/>
        <v>12625</v>
      </c>
      <c r="C26" s="140">
        <v>5086</v>
      </c>
      <c r="D26" s="140">
        <v>2092</v>
      </c>
      <c r="E26" s="140">
        <v>4197</v>
      </c>
      <c r="F26" s="141" t="s">
        <v>270</v>
      </c>
      <c r="G26" s="147">
        <v>1250</v>
      </c>
      <c r="H26" s="131" t="s">
        <v>32</v>
      </c>
      <c r="I26" s="131"/>
      <c r="J26" s="9"/>
      <c r="K26" s="9"/>
      <c r="L26" s="134"/>
    </row>
    <row r="27" spans="1:12" s="6" customFormat="1">
      <c r="A27" s="142" t="s">
        <v>292</v>
      </c>
      <c r="B27" s="150">
        <f>SUM(C27:G27)</f>
        <v>12528</v>
      </c>
      <c r="C27" s="143">
        <f>SUM(C28:C31)</f>
        <v>6264</v>
      </c>
      <c r="D27" s="143">
        <f>SUM(D28:D31)</f>
        <v>3960</v>
      </c>
      <c r="E27" s="143">
        <f t="shared" ref="E27:G27" si="3">SUM(E28:E31)</f>
        <v>734</v>
      </c>
      <c r="F27" s="143">
        <f t="shared" si="3"/>
        <v>40</v>
      </c>
      <c r="G27" s="151">
        <f t="shared" si="3"/>
        <v>1530</v>
      </c>
      <c r="H27" s="136" t="s">
        <v>293</v>
      </c>
      <c r="I27" s="131"/>
      <c r="J27" s="9"/>
      <c r="K27" s="9"/>
      <c r="L27" s="134"/>
    </row>
    <row r="28" spans="1:12" s="6" customFormat="1" ht="12.6" customHeight="1">
      <c r="A28" s="7" t="s">
        <v>33</v>
      </c>
      <c r="B28" s="146">
        <f t="shared" si="2"/>
        <v>4012</v>
      </c>
      <c r="C28" s="140">
        <v>2160</v>
      </c>
      <c r="D28" s="140">
        <v>1290</v>
      </c>
      <c r="E28" s="140">
        <v>322</v>
      </c>
      <c r="F28" s="140">
        <v>40</v>
      </c>
      <c r="G28" s="147">
        <v>200</v>
      </c>
      <c r="H28" s="131" t="s">
        <v>34</v>
      </c>
      <c r="I28" s="131"/>
      <c r="J28" s="9"/>
      <c r="K28" s="9"/>
      <c r="L28" s="134"/>
    </row>
    <row r="29" spans="1:12" s="6" customFormat="1" ht="12.6" customHeight="1">
      <c r="A29" s="7" t="s">
        <v>35</v>
      </c>
      <c r="B29" s="146">
        <f t="shared" si="2"/>
        <v>6836</v>
      </c>
      <c r="C29" s="140">
        <v>2954</v>
      </c>
      <c r="D29" s="140">
        <v>2270</v>
      </c>
      <c r="E29" s="140">
        <v>282</v>
      </c>
      <c r="F29" s="141" t="s">
        <v>270</v>
      </c>
      <c r="G29" s="147">
        <v>1330</v>
      </c>
      <c r="H29" s="131" t="s">
        <v>36</v>
      </c>
      <c r="I29" s="131"/>
      <c r="J29" s="9"/>
      <c r="K29" s="9"/>
      <c r="L29" s="134"/>
    </row>
    <row r="30" spans="1:12" s="6" customFormat="1" ht="12.6" customHeight="1">
      <c r="A30" s="7" t="s">
        <v>37</v>
      </c>
      <c r="B30" s="146">
        <f t="shared" si="2"/>
        <v>1680</v>
      </c>
      <c r="C30" s="140">
        <v>1150</v>
      </c>
      <c r="D30" s="140">
        <v>400</v>
      </c>
      <c r="E30" s="140">
        <v>130</v>
      </c>
      <c r="F30" s="139" t="s">
        <v>270</v>
      </c>
      <c r="G30" s="149" t="s">
        <v>270</v>
      </c>
      <c r="H30" s="131" t="s">
        <v>38</v>
      </c>
      <c r="I30" s="131"/>
      <c r="J30" s="9"/>
      <c r="K30" s="9"/>
      <c r="L30" s="134"/>
    </row>
    <row r="31" spans="1:12" s="6" customFormat="1" ht="12.6" customHeight="1">
      <c r="A31" s="7" t="s">
        <v>39</v>
      </c>
      <c r="B31" s="146">
        <f t="shared" si="2"/>
        <v>0</v>
      </c>
      <c r="C31" s="139" t="s">
        <v>270</v>
      </c>
      <c r="D31" s="139" t="s">
        <v>270</v>
      </c>
      <c r="E31" s="139" t="s">
        <v>270</v>
      </c>
      <c r="F31" s="139" t="s">
        <v>270</v>
      </c>
      <c r="G31" s="152" t="s">
        <v>270</v>
      </c>
      <c r="H31" s="131" t="s">
        <v>40</v>
      </c>
      <c r="I31" s="131"/>
      <c r="J31" s="9"/>
      <c r="K31" s="9"/>
      <c r="L31" s="134"/>
    </row>
    <row r="32" spans="1:12" s="6" customFormat="1" ht="12.6" customHeight="1">
      <c r="A32" s="193" t="s">
        <v>41</v>
      </c>
      <c r="B32" s="194">
        <f>SUM(C32:G33)</f>
        <v>42115</v>
      </c>
      <c r="C32" s="191">
        <f>SUM(C34:C37)</f>
        <v>4780</v>
      </c>
      <c r="D32" s="191">
        <f>SUM(D34:D37)</f>
        <v>21303</v>
      </c>
      <c r="E32" s="191">
        <f>SUM(E34:E37)</f>
        <v>2347</v>
      </c>
      <c r="F32" s="191">
        <f>SUM(F34:F37)</f>
        <v>70</v>
      </c>
      <c r="G32" s="190">
        <f>SUM(G34:G37)</f>
        <v>13615</v>
      </c>
      <c r="H32" s="170" t="s">
        <v>42</v>
      </c>
      <c r="I32" s="170"/>
      <c r="J32" s="136"/>
      <c r="K32" s="9"/>
      <c r="L32" s="134"/>
    </row>
    <row r="33" spans="1:12" s="6" customFormat="1" ht="12.6" customHeight="1">
      <c r="A33" s="193"/>
      <c r="B33" s="194"/>
      <c r="C33" s="191"/>
      <c r="D33" s="191"/>
      <c r="E33" s="191"/>
      <c r="F33" s="191"/>
      <c r="G33" s="190"/>
      <c r="H33" s="170"/>
      <c r="I33" s="170"/>
      <c r="J33" s="136"/>
      <c r="K33" s="9"/>
      <c r="L33" s="134"/>
    </row>
    <row r="34" spans="1:12" s="6" customFormat="1" ht="12.6" customHeight="1">
      <c r="A34" s="7" t="s">
        <v>43</v>
      </c>
      <c r="B34" s="146">
        <f>SUM(C34:G34)</f>
        <v>11315</v>
      </c>
      <c r="C34" s="140">
        <v>1740</v>
      </c>
      <c r="D34" s="140">
        <v>2325</v>
      </c>
      <c r="E34" s="140">
        <v>225</v>
      </c>
      <c r="F34" s="140">
        <v>20</v>
      </c>
      <c r="G34" s="147">
        <v>7005</v>
      </c>
      <c r="H34" s="131" t="s">
        <v>44</v>
      </c>
      <c r="I34" s="9"/>
      <c r="J34" s="9"/>
      <c r="K34" s="9"/>
      <c r="L34" s="134"/>
    </row>
    <row r="35" spans="1:12" s="6" customFormat="1" ht="12.6" customHeight="1">
      <c r="A35" s="7" t="s">
        <v>45</v>
      </c>
      <c r="B35" s="146">
        <f>SUM(C35:G35)</f>
        <v>12733</v>
      </c>
      <c r="C35" s="140">
        <v>1605</v>
      </c>
      <c r="D35" s="140">
        <v>7098</v>
      </c>
      <c r="E35" s="140">
        <v>710</v>
      </c>
      <c r="F35" s="140">
        <v>50</v>
      </c>
      <c r="G35" s="147">
        <v>3270</v>
      </c>
      <c r="H35" s="131" t="s">
        <v>46</v>
      </c>
      <c r="I35" s="9"/>
      <c r="J35" s="9"/>
      <c r="K35" s="9"/>
      <c r="L35" s="134"/>
    </row>
    <row r="36" spans="1:12" s="6" customFormat="1" ht="12.6" customHeight="1">
      <c r="A36" s="7" t="s">
        <v>47</v>
      </c>
      <c r="B36" s="146">
        <f>SUM(C36:G36)</f>
        <v>5333</v>
      </c>
      <c r="C36" s="140">
        <v>442</v>
      </c>
      <c r="D36" s="140">
        <v>3363</v>
      </c>
      <c r="E36" s="140">
        <v>725</v>
      </c>
      <c r="F36" s="141" t="s">
        <v>270</v>
      </c>
      <c r="G36" s="147">
        <v>803</v>
      </c>
      <c r="H36" s="131" t="s">
        <v>48</v>
      </c>
      <c r="I36" s="9"/>
      <c r="J36" s="9"/>
      <c r="K36" s="9"/>
      <c r="L36" s="134"/>
    </row>
    <row r="37" spans="1:12" s="6" customFormat="1" ht="12.6" customHeight="1">
      <c r="A37" s="7" t="s">
        <v>49</v>
      </c>
      <c r="B37" s="146">
        <f>SUM(C37:G37)</f>
        <v>12734</v>
      </c>
      <c r="C37" s="140">
        <v>993</v>
      </c>
      <c r="D37" s="140">
        <v>8517</v>
      </c>
      <c r="E37" s="140">
        <v>687</v>
      </c>
      <c r="F37" s="139" t="s">
        <v>270</v>
      </c>
      <c r="G37" s="147">
        <v>2537</v>
      </c>
      <c r="H37" s="131" t="s">
        <v>50</v>
      </c>
      <c r="I37" s="9"/>
      <c r="J37" s="9"/>
      <c r="K37" s="9"/>
      <c r="L37" s="134"/>
    </row>
    <row r="38" spans="1:12" s="6" customFormat="1" ht="12.6" customHeight="1">
      <c r="A38" s="193" t="s">
        <v>51</v>
      </c>
      <c r="B38" s="194">
        <f>SUM(C38:G39)</f>
        <v>43694</v>
      </c>
      <c r="C38" s="191">
        <f>SUM(C40:C44)</f>
        <v>22262</v>
      </c>
      <c r="D38" s="191">
        <f>SUM(D40:D44)</f>
        <v>7586</v>
      </c>
      <c r="E38" s="191">
        <f>SUM(E40:E44)</f>
        <v>4332</v>
      </c>
      <c r="F38" s="191">
        <f>SUM(F40:F44)</f>
        <v>0</v>
      </c>
      <c r="G38" s="190">
        <f>SUM(G40:G44)</f>
        <v>9514</v>
      </c>
      <c r="H38" s="169" t="s">
        <v>52</v>
      </c>
      <c r="I38" s="169"/>
      <c r="J38" s="136"/>
      <c r="K38" s="9"/>
      <c r="L38" s="134"/>
    </row>
    <row r="39" spans="1:12" s="6" customFormat="1" ht="12.6" customHeight="1">
      <c r="A39" s="193"/>
      <c r="B39" s="194"/>
      <c r="C39" s="191"/>
      <c r="D39" s="191"/>
      <c r="E39" s="191"/>
      <c r="F39" s="191"/>
      <c r="G39" s="190"/>
      <c r="H39" s="169"/>
      <c r="I39" s="169"/>
      <c r="J39" s="136"/>
      <c r="K39" s="9"/>
      <c r="L39" s="134"/>
    </row>
    <row r="40" spans="1:12" s="6" customFormat="1" ht="12.6" customHeight="1">
      <c r="A40" s="7" t="s">
        <v>53</v>
      </c>
      <c r="B40" s="146">
        <f>SUM(C40:G40)</f>
        <v>25487</v>
      </c>
      <c r="C40" s="140">
        <v>13447</v>
      </c>
      <c r="D40" s="140">
        <v>5201</v>
      </c>
      <c r="E40" s="140">
        <v>2155</v>
      </c>
      <c r="F40" s="139" t="s">
        <v>270</v>
      </c>
      <c r="G40" s="147">
        <v>4684</v>
      </c>
      <c r="H40" s="131" t="s">
        <v>54</v>
      </c>
      <c r="I40" s="131"/>
      <c r="J40" s="131"/>
      <c r="K40" s="9"/>
      <c r="L40" s="134"/>
    </row>
    <row r="41" spans="1:12" s="6" customFormat="1" ht="12.6" customHeight="1">
      <c r="A41" s="7" t="s">
        <v>55</v>
      </c>
      <c r="B41" s="146">
        <f>SUM(C41:G41)</f>
        <v>5296</v>
      </c>
      <c r="C41" s="140">
        <v>1160</v>
      </c>
      <c r="D41" s="140">
        <v>1655</v>
      </c>
      <c r="E41" s="140">
        <v>443</v>
      </c>
      <c r="F41" s="139" t="s">
        <v>270</v>
      </c>
      <c r="G41" s="147">
        <v>2038</v>
      </c>
      <c r="H41" s="131" t="s">
        <v>56</v>
      </c>
      <c r="I41" s="131"/>
      <c r="J41" s="131"/>
      <c r="K41" s="9"/>
      <c r="L41" s="134"/>
    </row>
    <row r="42" spans="1:12" s="6" customFormat="1" ht="12.6" customHeight="1">
      <c r="A42" s="7" t="s">
        <v>57</v>
      </c>
      <c r="B42" s="146">
        <f>SUM(C42:G42)</f>
        <v>6310</v>
      </c>
      <c r="C42" s="140">
        <v>6030</v>
      </c>
      <c r="D42" s="139" t="s">
        <v>270</v>
      </c>
      <c r="E42" s="140">
        <v>100</v>
      </c>
      <c r="F42" s="139" t="s">
        <v>270</v>
      </c>
      <c r="G42" s="147">
        <v>180</v>
      </c>
      <c r="H42" s="131" t="s">
        <v>58</v>
      </c>
      <c r="I42" s="131"/>
      <c r="J42" s="131"/>
      <c r="K42" s="9"/>
      <c r="L42" s="134"/>
    </row>
    <row r="43" spans="1:12" s="6" customFormat="1" ht="12.6" customHeight="1">
      <c r="A43" s="7" t="s">
        <v>59</v>
      </c>
      <c r="B43" s="146">
        <f>SUM(C43:G43)</f>
        <v>0</v>
      </c>
      <c r="C43" s="139" t="s">
        <v>270</v>
      </c>
      <c r="D43" s="139" t="s">
        <v>270</v>
      </c>
      <c r="E43" s="139" t="s">
        <v>270</v>
      </c>
      <c r="F43" s="139" t="s">
        <v>270</v>
      </c>
      <c r="G43" s="152" t="s">
        <v>270</v>
      </c>
      <c r="H43" s="173" t="s">
        <v>60</v>
      </c>
      <c r="I43" s="173"/>
      <c r="J43" s="131"/>
      <c r="K43" s="9"/>
      <c r="L43" s="134"/>
    </row>
    <row r="44" spans="1:12" s="6" customFormat="1" ht="12.6" customHeight="1">
      <c r="A44" s="7" t="s">
        <v>61</v>
      </c>
      <c r="B44" s="146">
        <f>SUM(C44:G44)</f>
        <v>6601</v>
      </c>
      <c r="C44" s="140">
        <v>1625</v>
      </c>
      <c r="D44" s="140">
        <v>730</v>
      </c>
      <c r="E44" s="140">
        <v>1634</v>
      </c>
      <c r="F44" s="141" t="s">
        <v>270</v>
      </c>
      <c r="G44" s="147">
        <v>2612</v>
      </c>
      <c r="H44" s="131" t="s">
        <v>62</v>
      </c>
      <c r="I44" s="131"/>
      <c r="J44" s="131"/>
      <c r="K44" s="9"/>
      <c r="L44" s="134"/>
    </row>
    <row r="45" spans="1:12" s="6" customFormat="1" ht="12.6" customHeight="1">
      <c r="A45" s="195" t="s">
        <v>63</v>
      </c>
      <c r="B45" s="194">
        <f>SUM(C45:G46)</f>
        <v>47569</v>
      </c>
      <c r="C45" s="191">
        <f>SUM(C47:C51)</f>
        <v>20533</v>
      </c>
      <c r="D45" s="191">
        <f>SUM(D47:D51)</f>
        <v>14332</v>
      </c>
      <c r="E45" s="191">
        <f>SUM(E47:E51)</f>
        <v>10110</v>
      </c>
      <c r="F45" s="191">
        <f>SUM(F47:F51)</f>
        <v>233</v>
      </c>
      <c r="G45" s="190">
        <f>SUM(G47:G51)</f>
        <v>2361</v>
      </c>
      <c r="H45" s="169" t="s">
        <v>64</v>
      </c>
      <c r="I45" s="169"/>
      <c r="J45" s="135"/>
      <c r="K45" s="9"/>
      <c r="L45" s="134"/>
    </row>
    <row r="46" spans="1:12" s="6" customFormat="1" ht="12.6" customHeight="1">
      <c r="A46" s="195"/>
      <c r="B46" s="194"/>
      <c r="C46" s="191"/>
      <c r="D46" s="191"/>
      <c r="E46" s="191"/>
      <c r="F46" s="191"/>
      <c r="G46" s="190"/>
      <c r="H46" s="169"/>
      <c r="I46" s="169"/>
      <c r="J46" s="135"/>
      <c r="K46" s="9"/>
      <c r="L46" s="134"/>
    </row>
    <row r="47" spans="1:12" s="6" customFormat="1" ht="12.6" customHeight="1">
      <c r="A47" s="7" t="s">
        <v>65</v>
      </c>
      <c r="B47" s="146">
        <f>SUM(C47:G47)</f>
        <v>11292</v>
      </c>
      <c r="C47" s="140">
        <v>4038</v>
      </c>
      <c r="D47" s="140">
        <v>3394</v>
      </c>
      <c r="E47" s="140">
        <v>3019</v>
      </c>
      <c r="F47" s="139" t="s">
        <v>270</v>
      </c>
      <c r="G47" s="147">
        <v>841</v>
      </c>
      <c r="H47" s="131" t="s">
        <v>66</v>
      </c>
      <c r="I47" s="9"/>
      <c r="J47" s="9"/>
      <c r="K47" s="9"/>
      <c r="L47" s="134"/>
    </row>
    <row r="48" spans="1:12" s="6" customFormat="1" ht="12.6" customHeight="1">
      <c r="A48" s="7" t="s">
        <v>67</v>
      </c>
      <c r="B48" s="146">
        <f>SUM(C48:G48)</f>
        <v>19662</v>
      </c>
      <c r="C48" s="140">
        <v>8022</v>
      </c>
      <c r="D48" s="140">
        <v>5470</v>
      </c>
      <c r="E48" s="140">
        <v>4750</v>
      </c>
      <c r="F48" s="139" t="s">
        <v>270</v>
      </c>
      <c r="G48" s="147">
        <v>1420</v>
      </c>
      <c r="H48" s="131" t="s">
        <v>68</v>
      </c>
      <c r="I48" s="9"/>
      <c r="J48" s="9"/>
      <c r="K48" s="9"/>
      <c r="L48" s="134"/>
    </row>
    <row r="49" spans="1:12" s="6" customFormat="1" ht="12.6" customHeight="1">
      <c r="A49" s="7" t="s">
        <v>69</v>
      </c>
      <c r="B49" s="146">
        <f>SUM(C49:G49)</f>
        <v>12144</v>
      </c>
      <c r="C49" s="140">
        <v>6876</v>
      </c>
      <c r="D49" s="140">
        <v>3682</v>
      </c>
      <c r="E49" s="140">
        <v>1473</v>
      </c>
      <c r="F49" s="140">
        <v>63</v>
      </c>
      <c r="G49" s="147">
        <v>50</v>
      </c>
      <c r="H49" s="131" t="s">
        <v>70</v>
      </c>
      <c r="I49" s="9"/>
      <c r="J49" s="9"/>
      <c r="K49" s="9"/>
      <c r="L49" s="134"/>
    </row>
    <row r="50" spans="1:12" s="6" customFormat="1" ht="12.6" customHeight="1">
      <c r="A50" s="7" t="s">
        <v>71</v>
      </c>
      <c r="B50" s="146">
        <f>SUM(C50:G50)</f>
        <v>1439</v>
      </c>
      <c r="C50" s="140">
        <v>502</v>
      </c>
      <c r="D50" s="140">
        <v>782</v>
      </c>
      <c r="E50" s="140">
        <v>155</v>
      </c>
      <c r="F50" s="139" t="s">
        <v>270</v>
      </c>
      <c r="G50" s="149" t="s">
        <v>270</v>
      </c>
      <c r="H50" s="131" t="s">
        <v>72</v>
      </c>
      <c r="I50" s="9"/>
      <c r="J50" s="9"/>
      <c r="K50" s="9"/>
      <c r="L50" s="134"/>
    </row>
    <row r="51" spans="1:12" s="6" customFormat="1" ht="12.6" customHeight="1">
      <c r="A51" s="7" t="s">
        <v>73</v>
      </c>
      <c r="B51" s="146">
        <f>SUM(C51:G51)</f>
        <v>3032</v>
      </c>
      <c r="C51" s="140">
        <v>1095</v>
      </c>
      <c r="D51" s="140">
        <v>1004</v>
      </c>
      <c r="E51" s="140">
        <v>713</v>
      </c>
      <c r="F51" s="140">
        <v>170</v>
      </c>
      <c r="G51" s="147">
        <v>50</v>
      </c>
      <c r="H51" s="131" t="s">
        <v>74</v>
      </c>
      <c r="I51" s="9"/>
      <c r="J51" s="9"/>
      <c r="K51" s="9"/>
      <c r="L51" s="134"/>
    </row>
    <row r="52" spans="1:12" s="6" customFormat="1" ht="12.6" customHeight="1">
      <c r="A52" s="193" t="s">
        <v>75</v>
      </c>
      <c r="B52" s="194">
        <f>SUM(C52:G53)</f>
        <v>18081</v>
      </c>
      <c r="C52" s="191">
        <f>SUM(C54:C58)</f>
        <v>1981</v>
      </c>
      <c r="D52" s="191">
        <f>SUM(D54:D58)</f>
        <v>13870</v>
      </c>
      <c r="E52" s="191">
        <f>SUM(E54:E58)</f>
        <v>1636</v>
      </c>
      <c r="F52" s="191">
        <f>SUM(F54:F58)</f>
        <v>194</v>
      </c>
      <c r="G52" s="190">
        <f>SUM(G54:G58)</f>
        <v>400</v>
      </c>
      <c r="H52" s="169" t="s">
        <v>76</v>
      </c>
      <c r="I52" s="169"/>
      <c r="J52" s="136"/>
      <c r="K52" s="9"/>
      <c r="L52" s="134"/>
    </row>
    <row r="53" spans="1:12" s="6" customFormat="1" ht="12.6" customHeight="1">
      <c r="A53" s="193"/>
      <c r="B53" s="194"/>
      <c r="C53" s="191"/>
      <c r="D53" s="191"/>
      <c r="E53" s="191"/>
      <c r="F53" s="191"/>
      <c r="G53" s="190"/>
      <c r="H53" s="169"/>
      <c r="I53" s="169"/>
      <c r="J53" s="136"/>
      <c r="K53" s="9"/>
      <c r="L53" s="134"/>
    </row>
    <row r="54" spans="1:12" s="6" customFormat="1" ht="12.6" customHeight="1">
      <c r="A54" s="7" t="s">
        <v>77</v>
      </c>
      <c r="B54" s="146">
        <f>SUM(C54:G54)</f>
        <v>924</v>
      </c>
      <c r="C54" s="140">
        <v>119</v>
      </c>
      <c r="D54" s="140">
        <v>275</v>
      </c>
      <c r="E54" s="140">
        <v>75</v>
      </c>
      <c r="F54" s="140">
        <v>55</v>
      </c>
      <c r="G54" s="147">
        <v>400</v>
      </c>
      <c r="H54" s="131" t="s">
        <v>78</v>
      </c>
      <c r="I54" s="131"/>
      <c r="J54" s="9"/>
      <c r="K54" s="9"/>
      <c r="L54" s="134"/>
    </row>
    <row r="55" spans="1:12" s="6" customFormat="1" ht="12.6" customHeight="1">
      <c r="A55" s="7" t="s">
        <v>79</v>
      </c>
      <c r="B55" s="146">
        <f>SUM(C55:G55)</f>
        <v>474</v>
      </c>
      <c r="C55" s="140">
        <v>118</v>
      </c>
      <c r="D55" s="140">
        <v>262</v>
      </c>
      <c r="E55" s="140">
        <v>60</v>
      </c>
      <c r="F55" s="140">
        <v>34</v>
      </c>
      <c r="G55" s="149" t="s">
        <v>270</v>
      </c>
      <c r="H55" s="131" t="s">
        <v>80</v>
      </c>
      <c r="I55" s="131"/>
      <c r="J55" s="9"/>
      <c r="K55" s="9"/>
      <c r="L55" s="134"/>
    </row>
    <row r="56" spans="1:12" s="6" customFormat="1" ht="12.6" customHeight="1">
      <c r="A56" s="7" t="s">
        <v>81</v>
      </c>
      <c r="B56" s="146">
        <f>SUM(C56:G56)</f>
        <v>55</v>
      </c>
      <c r="C56" s="140">
        <v>25</v>
      </c>
      <c r="D56" s="140">
        <v>20</v>
      </c>
      <c r="E56" s="140">
        <v>10</v>
      </c>
      <c r="F56" s="139" t="s">
        <v>270</v>
      </c>
      <c r="G56" s="149" t="s">
        <v>270</v>
      </c>
      <c r="H56" s="131" t="s">
        <v>82</v>
      </c>
      <c r="I56" s="131"/>
      <c r="J56" s="9"/>
      <c r="K56" s="9"/>
      <c r="L56" s="134"/>
    </row>
    <row r="57" spans="1:12" s="6" customFormat="1" ht="12.6" customHeight="1">
      <c r="A57" s="7" t="s">
        <v>83</v>
      </c>
      <c r="B57" s="146">
        <f>SUM(C57:G57)</f>
        <v>16075</v>
      </c>
      <c r="C57" s="140">
        <v>1540</v>
      </c>
      <c r="D57" s="140">
        <v>12975</v>
      </c>
      <c r="E57" s="140">
        <v>1460</v>
      </c>
      <c r="F57" s="140">
        <v>100</v>
      </c>
      <c r="G57" s="149" t="s">
        <v>270</v>
      </c>
      <c r="H57" s="131" t="s">
        <v>84</v>
      </c>
      <c r="I57" s="131"/>
      <c r="J57" s="9"/>
      <c r="K57" s="9"/>
      <c r="L57" s="134"/>
    </row>
    <row r="58" spans="1:12" s="6" customFormat="1" ht="12.6" customHeight="1">
      <c r="A58" s="7" t="s">
        <v>85</v>
      </c>
      <c r="B58" s="146">
        <f>SUM(C58:G58)</f>
        <v>553</v>
      </c>
      <c r="C58" s="140">
        <v>179</v>
      </c>
      <c r="D58" s="140">
        <v>338</v>
      </c>
      <c r="E58" s="140">
        <v>31</v>
      </c>
      <c r="F58" s="140">
        <v>5</v>
      </c>
      <c r="G58" s="149" t="s">
        <v>270</v>
      </c>
      <c r="H58" s="131" t="s">
        <v>86</v>
      </c>
      <c r="I58" s="131"/>
      <c r="J58" s="9"/>
      <c r="K58" s="9"/>
      <c r="L58" s="134"/>
    </row>
    <row r="59" spans="1:12" s="6" customFormat="1" ht="12.6" customHeight="1">
      <c r="A59" s="195" t="s">
        <v>87</v>
      </c>
      <c r="B59" s="194">
        <f>SUM(C59:G60)</f>
        <v>253388</v>
      </c>
      <c r="C59" s="191">
        <f>SUM(C61:C63)</f>
        <v>69137</v>
      </c>
      <c r="D59" s="191">
        <f>SUM(D61:D63)</f>
        <v>139609</v>
      </c>
      <c r="E59" s="191">
        <f>SUM(E61:E63)</f>
        <v>32237</v>
      </c>
      <c r="F59" s="191">
        <f>SUM(F61:F63)</f>
        <v>4044</v>
      </c>
      <c r="G59" s="190">
        <f>SUM(G61:G63)</f>
        <v>8361</v>
      </c>
      <c r="H59" s="169" t="s">
        <v>88</v>
      </c>
      <c r="I59" s="169"/>
      <c r="J59" s="135"/>
      <c r="K59" s="9"/>
      <c r="L59" s="134"/>
    </row>
    <row r="60" spans="1:12" s="6" customFormat="1" ht="12.6" customHeight="1">
      <c r="A60" s="195"/>
      <c r="B60" s="194"/>
      <c r="C60" s="191"/>
      <c r="D60" s="191"/>
      <c r="E60" s="191"/>
      <c r="F60" s="191"/>
      <c r="G60" s="190"/>
      <c r="H60" s="169"/>
      <c r="I60" s="169"/>
      <c r="J60" s="135"/>
      <c r="K60" s="9"/>
      <c r="L60" s="134"/>
    </row>
    <row r="61" spans="1:12" s="6" customFormat="1" ht="12.6" customHeight="1">
      <c r="A61" s="7" t="s">
        <v>89</v>
      </c>
      <c r="B61" s="146">
        <f>SUM(C61:G61)</f>
        <v>71703</v>
      </c>
      <c r="C61" s="140">
        <v>24680</v>
      </c>
      <c r="D61" s="140">
        <v>32487</v>
      </c>
      <c r="E61" s="140">
        <v>11625</v>
      </c>
      <c r="F61" s="140">
        <v>1813</v>
      </c>
      <c r="G61" s="147">
        <v>1098</v>
      </c>
      <c r="H61" s="131" t="s">
        <v>90</v>
      </c>
      <c r="I61" s="131"/>
      <c r="J61" s="131"/>
      <c r="K61" s="9"/>
      <c r="L61" s="134"/>
    </row>
    <row r="62" spans="1:12" s="6" customFormat="1" ht="12.6" customHeight="1">
      <c r="A62" s="7" t="s">
        <v>91</v>
      </c>
      <c r="B62" s="146">
        <f>SUM(C62:G62)</f>
        <v>113109</v>
      </c>
      <c r="C62" s="140">
        <v>24210</v>
      </c>
      <c r="D62" s="140">
        <v>70869</v>
      </c>
      <c r="E62" s="140">
        <v>11809</v>
      </c>
      <c r="F62" s="140">
        <v>1123</v>
      </c>
      <c r="G62" s="147">
        <v>5098</v>
      </c>
      <c r="H62" s="172" t="s">
        <v>92</v>
      </c>
      <c r="I62" s="172"/>
      <c r="J62" s="137"/>
      <c r="K62" s="9"/>
      <c r="L62" s="134"/>
    </row>
    <row r="63" spans="1:12" s="6" customFormat="1" ht="12.6" customHeight="1">
      <c r="A63" s="7" t="s">
        <v>93</v>
      </c>
      <c r="B63" s="146">
        <f>SUM(C63:G63)</f>
        <v>68576</v>
      </c>
      <c r="C63" s="140">
        <v>20247</v>
      </c>
      <c r="D63" s="140">
        <v>36253</v>
      </c>
      <c r="E63" s="140">
        <v>8803</v>
      </c>
      <c r="F63" s="140">
        <v>1108</v>
      </c>
      <c r="G63" s="147">
        <v>2165</v>
      </c>
      <c r="H63" s="131" t="s">
        <v>94</v>
      </c>
      <c r="I63" s="131"/>
      <c r="J63" s="131"/>
      <c r="K63" s="9"/>
      <c r="L63" s="134"/>
    </row>
    <row r="64" spans="1:12" s="6" customFormat="1" ht="12.6" customHeight="1">
      <c r="A64" s="195" t="s">
        <v>95</v>
      </c>
      <c r="B64" s="194">
        <f>SUM(C64:G65)</f>
        <v>159606</v>
      </c>
      <c r="C64" s="191">
        <f>SUM(C66:C70)</f>
        <v>56295</v>
      </c>
      <c r="D64" s="191">
        <f>SUM(D66:D70)</f>
        <v>68171</v>
      </c>
      <c r="E64" s="191">
        <f>SUM(E66:E70)</f>
        <v>28666</v>
      </c>
      <c r="F64" s="191">
        <f>SUM(F66:F70)</f>
        <v>2242</v>
      </c>
      <c r="G64" s="190">
        <f>SUM(G66:G70)</f>
        <v>4232</v>
      </c>
      <c r="H64" s="169" t="s">
        <v>96</v>
      </c>
      <c r="I64" s="169"/>
      <c r="J64" s="135"/>
      <c r="K64" s="9"/>
      <c r="L64" s="134"/>
    </row>
    <row r="65" spans="1:12" s="6" customFormat="1" ht="12.6" customHeight="1">
      <c r="A65" s="195"/>
      <c r="B65" s="194"/>
      <c r="C65" s="191"/>
      <c r="D65" s="191"/>
      <c r="E65" s="191"/>
      <c r="F65" s="191"/>
      <c r="G65" s="190"/>
      <c r="H65" s="169"/>
      <c r="I65" s="169"/>
      <c r="J65" s="135"/>
      <c r="K65" s="9"/>
      <c r="L65" s="134"/>
    </row>
    <row r="66" spans="1:12" s="6" customFormat="1" ht="12.6" customHeight="1">
      <c r="A66" s="7" t="s">
        <v>97</v>
      </c>
      <c r="B66" s="146">
        <f>SUM(C66:G66)</f>
        <v>21818</v>
      </c>
      <c r="C66" s="140">
        <v>9136</v>
      </c>
      <c r="D66" s="140">
        <v>8505</v>
      </c>
      <c r="E66" s="140">
        <v>3421</v>
      </c>
      <c r="F66" s="140">
        <v>226</v>
      </c>
      <c r="G66" s="147">
        <v>530</v>
      </c>
      <c r="H66" s="131" t="s">
        <v>98</v>
      </c>
      <c r="I66" s="9"/>
      <c r="J66" s="9"/>
      <c r="K66" s="9"/>
      <c r="L66" s="134"/>
    </row>
    <row r="67" spans="1:12" s="6" customFormat="1" ht="12.6" customHeight="1">
      <c r="A67" s="7" t="s">
        <v>99</v>
      </c>
      <c r="B67" s="146">
        <f>SUM(C67:G67)</f>
        <v>99888</v>
      </c>
      <c r="C67" s="140">
        <v>34445</v>
      </c>
      <c r="D67" s="140">
        <v>44312</v>
      </c>
      <c r="E67" s="140">
        <v>19596</v>
      </c>
      <c r="F67" s="140">
        <v>1505</v>
      </c>
      <c r="G67" s="147">
        <v>30</v>
      </c>
      <c r="H67" s="131" t="s">
        <v>100</v>
      </c>
      <c r="I67" s="9"/>
      <c r="J67" s="9"/>
      <c r="K67" s="9"/>
      <c r="L67" s="134"/>
    </row>
    <row r="68" spans="1:12" s="6" customFormat="1" ht="12.6" customHeight="1">
      <c r="A68" s="7" t="s">
        <v>101</v>
      </c>
      <c r="B68" s="146">
        <f>SUM(C68:G68)</f>
        <v>5452</v>
      </c>
      <c r="C68" s="140">
        <v>1999</v>
      </c>
      <c r="D68" s="140">
        <v>2290</v>
      </c>
      <c r="E68" s="140">
        <v>948</v>
      </c>
      <c r="F68" s="140">
        <v>215</v>
      </c>
      <c r="G68" s="149" t="s">
        <v>270</v>
      </c>
      <c r="H68" s="131" t="s">
        <v>102</v>
      </c>
      <c r="I68" s="9"/>
      <c r="J68" s="9"/>
      <c r="K68" s="9"/>
      <c r="L68" s="134"/>
    </row>
    <row r="69" spans="1:12" s="6" customFormat="1" ht="12.6" customHeight="1">
      <c r="A69" s="7" t="s">
        <v>103</v>
      </c>
      <c r="B69" s="146">
        <f>SUM(C69:G69)</f>
        <v>12949</v>
      </c>
      <c r="C69" s="140">
        <v>5463</v>
      </c>
      <c r="D69" s="140">
        <v>4542</v>
      </c>
      <c r="E69" s="140">
        <v>2549</v>
      </c>
      <c r="F69" s="140">
        <v>85</v>
      </c>
      <c r="G69" s="147">
        <v>310</v>
      </c>
      <c r="H69" s="131" t="s">
        <v>104</v>
      </c>
      <c r="I69" s="9"/>
      <c r="J69" s="9"/>
      <c r="K69" s="9"/>
      <c r="L69" s="134"/>
    </row>
    <row r="70" spans="1:12" s="6" customFormat="1" ht="12.6" customHeight="1">
      <c r="A70" s="7" t="s">
        <v>105</v>
      </c>
      <c r="B70" s="146">
        <f>SUM(C70:G70)</f>
        <v>19499</v>
      </c>
      <c r="C70" s="140">
        <v>5252</v>
      </c>
      <c r="D70" s="140">
        <v>8522</v>
      </c>
      <c r="E70" s="140">
        <v>2152</v>
      </c>
      <c r="F70" s="140">
        <v>211</v>
      </c>
      <c r="G70" s="147">
        <v>3362</v>
      </c>
      <c r="H70" s="131" t="s">
        <v>106</v>
      </c>
      <c r="I70" s="9"/>
      <c r="J70" s="9"/>
      <c r="K70" s="9"/>
      <c r="L70" s="134"/>
    </row>
    <row r="71" spans="1:12" s="6" customFormat="1" ht="12.6" customHeight="1">
      <c r="A71" s="193" t="s">
        <v>107</v>
      </c>
      <c r="B71" s="194">
        <f>SUM(C71:G72)</f>
        <v>4123</v>
      </c>
      <c r="C71" s="191">
        <f>SUM(C73:C80)</f>
        <v>1973</v>
      </c>
      <c r="D71" s="191">
        <f>SUM(D73:D80)</f>
        <v>815</v>
      </c>
      <c r="E71" s="191">
        <f>SUM(E73:E80)</f>
        <v>1275</v>
      </c>
      <c r="F71" s="191">
        <f>SUM(F73:F80)</f>
        <v>15</v>
      </c>
      <c r="G71" s="190">
        <f>SUM(G73:G80)</f>
        <v>45</v>
      </c>
      <c r="H71" s="170" t="s">
        <v>108</v>
      </c>
      <c r="I71" s="170"/>
      <c r="J71" s="136"/>
      <c r="K71" s="9"/>
      <c r="L71" s="134"/>
    </row>
    <row r="72" spans="1:12" s="6" customFormat="1" ht="12.6" customHeight="1">
      <c r="A72" s="193"/>
      <c r="B72" s="194"/>
      <c r="C72" s="191"/>
      <c r="D72" s="191"/>
      <c r="E72" s="191"/>
      <c r="F72" s="191"/>
      <c r="G72" s="190"/>
      <c r="H72" s="170"/>
      <c r="I72" s="170"/>
      <c r="J72" s="136"/>
      <c r="K72" s="9"/>
      <c r="L72" s="134"/>
    </row>
    <row r="73" spans="1:12" s="6" customFormat="1" ht="12.6" customHeight="1">
      <c r="A73" s="8" t="s">
        <v>109</v>
      </c>
      <c r="B73" s="146">
        <f t="shared" ref="B73:B80" si="4">SUM(C73:G73)</f>
        <v>0</v>
      </c>
      <c r="C73" s="139" t="s">
        <v>270</v>
      </c>
      <c r="D73" s="139" t="s">
        <v>270</v>
      </c>
      <c r="E73" s="139" t="s">
        <v>270</v>
      </c>
      <c r="F73" s="139" t="s">
        <v>270</v>
      </c>
      <c r="G73" s="149" t="s">
        <v>270</v>
      </c>
      <c r="H73" s="145" t="s">
        <v>281</v>
      </c>
      <c r="I73" s="137"/>
      <c r="J73" s="137"/>
      <c r="K73" s="137"/>
      <c r="L73" s="134"/>
    </row>
    <row r="74" spans="1:12" s="6" customFormat="1" ht="12.6" customHeight="1">
      <c r="A74" s="8" t="s">
        <v>110</v>
      </c>
      <c r="B74" s="146">
        <f t="shared" si="4"/>
        <v>0</v>
      </c>
      <c r="C74" s="139" t="s">
        <v>270</v>
      </c>
      <c r="D74" s="139" t="s">
        <v>270</v>
      </c>
      <c r="E74" s="139" t="s">
        <v>270</v>
      </c>
      <c r="F74" s="139" t="s">
        <v>270</v>
      </c>
      <c r="G74" s="149" t="s">
        <v>270</v>
      </c>
      <c r="H74" s="145" t="s">
        <v>282</v>
      </c>
      <c r="I74" s="137"/>
      <c r="J74" s="137"/>
      <c r="K74" s="137"/>
      <c r="L74" s="134"/>
    </row>
    <row r="75" spans="1:12" s="6" customFormat="1" ht="12.6" customHeight="1">
      <c r="A75" s="8" t="s">
        <v>275</v>
      </c>
      <c r="B75" s="146">
        <f t="shared" si="4"/>
        <v>0</v>
      </c>
      <c r="C75" s="139" t="s">
        <v>270</v>
      </c>
      <c r="D75" s="139" t="s">
        <v>270</v>
      </c>
      <c r="E75" s="139" t="s">
        <v>270</v>
      </c>
      <c r="F75" s="139" t="s">
        <v>270</v>
      </c>
      <c r="G75" s="149" t="s">
        <v>270</v>
      </c>
      <c r="H75" s="145" t="s">
        <v>283</v>
      </c>
      <c r="I75" s="137"/>
      <c r="J75" s="137"/>
      <c r="K75" s="137"/>
      <c r="L75" s="134"/>
    </row>
    <row r="76" spans="1:12" s="6" customFormat="1" ht="12.6" customHeight="1">
      <c r="A76" s="8" t="s">
        <v>276</v>
      </c>
      <c r="B76" s="146">
        <f t="shared" si="4"/>
        <v>0</v>
      </c>
      <c r="C76" s="139" t="s">
        <v>270</v>
      </c>
      <c r="D76" s="139" t="s">
        <v>270</v>
      </c>
      <c r="E76" s="139" t="s">
        <v>270</v>
      </c>
      <c r="F76" s="139" t="s">
        <v>270</v>
      </c>
      <c r="G76" s="149" t="s">
        <v>270</v>
      </c>
      <c r="H76" s="145" t="s">
        <v>284</v>
      </c>
      <c r="I76" s="137"/>
      <c r="J76" s="137"/>
      <c r="K76" s="137"/>
      <c r="L76" s="134"/>
    </row>
    <row r="77" spans="1:12" s="6" customFormat="1" ht="12.6" customHeight="1">
      <c r="A77" s="8" t="s">
        <v>277</v>
      </c>
      <c r="B77" s="146">
        <f t="shared" si="4"/>
        <v>510</v>
      </c>
      <c r="C77" s="140">
        <v>203</v>
      </c>
      <c r="D77" s="140">
        <v>127</v>
      </c>
      <c r="E77" s="140">
        <v>150</v>
      </c>
      <c r="F77" s="139" t="s">
        <v>270</v>
      </c>
      <c r="G77" s="147">
        <v>30</v>
      </c>
      <c r="H77" s="145" t="s">
        <v>285</v>
      </c>
      <c r="I77" s="137"/>
      <c r="J77" s="137"/>
      <c r="K77" s="137"/>
      <c r="L77" s="134"/>
    </row>
    <row r="78" spans="1:12" s="6" customFormat="1" ht="12.6" customHeight="1">
      <c r="A78" s="8" t="s">
        <v>278</v>
      </c>
      <c r="B78" s="146">
        <f t="shared" si="4"/>
        <v>2660</v>
      </c>
      <c r="C78" s="140">
        <v>1160</v>
      </c>
      <c r="D78" s="140">
        <v>550</v>
      </c>
      <c r="E78" s="140">
        <v>950</v>
      </c>
      <c r="F78" s="139" t="s">
        <v>270</v>
      </c>
      <c r="G78" s="148" t="s">
        <v>270</v>
      </c>
      <c r="H78" s="145" t="s">
        <v>286</v>
      </c>
      <c r="I78" s="137"/>
      <c r="J78" s="137"/>
      <c r="K78" s="137"/>
      <c r="L78" s="134"/>
    </row>
    <row r="79" spans="1:12" s="6" customFormat="1" ht="12.6" customHeight="1">
      <c r="A79" s="8" t="s">
        <v>279</v>
      </c>
      <c r="B79" s="146">
        <f t="shared" si="4"/>
        <v>0</v>
      </c>
      <c r="C79" s="139" t="s">
        <v>270</v>
      </c>
      <c r="D79" s="139" t="s">
        <v>270</v>
      </c>
      <c r="E79" s="139" t="s">
        <v>270</v>
      </c>
      <c r="F79" s="139" t="s">
        <v>270</v>
      </c>
      <c r="G79" s="149" t="s">
        <v>270</v>
      </c>
      <c r="H79" s="171" t="s">
        <v>287</v>
      </c>
      <c r="I79" s="171"/>
      <c r="J79" s="137"/>
      <c r="K79" s="137"/>
      <c r="L79" s="134"/>
    </row>
    <row r="80" spans="1:12" s="6" customFormat="1" ht="12.6" customHeight="1">
      <c r="A80" s="8" t="s">
        <v>280</v>
      </c>
      <c r="B80" s="146">
        <f t="shared" si="4"/>
        <v>953</v>
      </c>
      <c r="C80" s="140">
        <v>610</v>
      </c>
      <c r="D80" s="140">
        <v>138</v>
      </c>
      <c r="E80" s="140">
        <v>175</v>
      </c>
      <c r="F80" s="140">
        <v>15</v>
      </c>
      <c r="G80" s="147">
        <v>15</v>
      </c>
      <c r="H80" s="171" t="s">
        <v>288</v>
      </c>
      <c r="I80" s="171"/>
      <c r="J80" s="137"/>
      <c r="K80" s="137"/>
      <c r="L80" s="134"/>
    </row>
    <row r="81" spans="1:12" s="6" customFormat="1" ht="12.6" customHeight="1">
      <c r="A81" s="193" t="s">
        <v>117</v>
      </c>
      <c r="B81" s="194">
        <f>SUM(C81:G82)</f>
        <v>5895</v>
      </c>
      <c r="C81" s="191">
        <f>SUM(C83:C87)</f>
        <v>3278</v>
      </c>
      <c r="D81" s="191">
        <f>SUM(D83:D87)</f>
        <v>1824</v>
      </c>
      <c r="E81" s="191">
        <f>SUM(E83:E87)</f>
        <v>648</v>
      </c>
      <c r="F81" s="191">
        <f>SUM(F83:F87)</f>
        <v>78</v>
      </c>
      <c r="G81" s="190">
        <f>SUM(G83:G87)</f>
        <v>67</v>
      </c>
      <c r="H81" s="169" t="s">
        <v>118</v>
      </c>
      <c r="I81" s="169"/>
      <c r="J81" s="135"/>
      <c r="K81" s="132"/>
      <c r="L81" s="134"/>
    </row>
    <row r="82" spans="1:12" s="6" customFormat="1" ht="12.6" customHeight="1">
      <c r="A82" s="193"/>
      <c r="B82" s="194"/>
      <c r="C82" s="191"/>
      <c r="D82" s="191"/>
      <c r="E82" s="191"/>
      <c r="F82" s="191"/>
      <c r="G82" s="190"/>
      <c r="H82" s="169"/>
      <c r="I82" s="169"/>
      <c r="J82" s="135"/>
      <c r="K82" s="132"/>
      <c r="L82" s="134"/>
    </row>
    <row r="83" spans="1:12" s="6" customFormat="1" ht="12.6" customHeight="1">
      <c r="A83" s="7" t="s">
        <v>119</v>
      </c>
      <c r="B83" s="146">
        <f>SUM(C83:G83)</f>
        <v>1576</v>
      </c>
      <c r="C83" s="140">
        <v>814</v>
      </c>
      <c r="D83" s="140">
        <v>399</v>
      </c>
      <c r="E83" s="140">
        <v>246</v>
      </c>
      <c r="F83" s="140">
        <v>50</v>
      </c>
      <c r="G83" s="147">
        <v>67</v>
      </c>
      <c r="H83" s="131" t="s">
        <v>120</v>
      </c>
      <c r="I83" s="9"/>
      <c r="J83" s="9"/>
      <c r="K83" s="9"/>
      <c r="L83" s="134"/>
    </row>
    <row r="84" spans="1:12" s="6" customFormat="1" ht="12.6" customHeight="1">
      <c r="A84" s="7" t="s">
        <v>121</v>
      </c>
      <c r="B84" s="146">
        <f>SUM(C84:G84)</f>
        <v>0</v>
      </c>
      <c r="C84" s="139" t="s">
        <v>270</v>
      </c>
      <c r="D84" s="139" t="s">
        <v>270</v>
      </c>
      <c r="E84" s="139" t="s">
        <v>270</v>
      </c>
      <c r="F84" s="139" t="s">
        <v>270</v>
      </c>
      <c r="G84" s="149" t="s">
        <v>270</v>
      </c>
      <c r="H84" s="131" t="s">
        <v>122</v>
      </c>
      <c r="I84" s="9"/>
      <c r="J84" s="9"/>
      <c r="K84" s="9"/>
      <c r="L84" s="134"/>
    </row>
    <row r="85" spans="1:12" s="6" customFormat="1" ht="12.6" customHeight="1">
      <c r="A85" s="7" t="s">
        <v>123</v>
      </c>
      <c r="B85" s="146">
        <f>SUM(C85:G85)</f>
        <v>3283</v>
      </c>
      <c r="C85" s="140">
        <v>2062</v>
      </c>
      <c r="D85" s="140">
        <v>1104</v>
      </c>
      <c r="E85" s="140">
        <v>117</v>
      </c>
      <c r="F85" s="139" t="s">
        <v>270</v>
      </c>
      <c r="G85" s="149" t="s">
        <v>270</v>
      </c>
      <c r="H85" s="131" t="s">
        <v>124</v>
      </c>
      <c r="I85" s="9"/>
      <c r="J85" s="9"/>
      <c r="K85" s="9"/>
      <c r="L85" s="144" t="s">
        <v>270</v>
      </c>
    </row>
    <row r="86" spans="1:12" s="6" customFormat="1" ht="12.6" customHeight="1">
      <c r="A86" s="7" t="s">
        <v>125</v>
      </c>
      <c r="B86" s="146">
        <f>SUM(C86:G86)</f>
        <v>192</v>
      </c>
      <c r="C86" s="140">
        <v>67</v>
      </c>
      <c r="D86" s="140">
        <v>58</v>
      </c>
      <c r="E86" s="140">
        <v>44</v>
      </c>
      <c r="F86" s="140">
        <v>23</v>
      </c>
      <c r="G86" s="149" t="s">
        <v>270</v>
      </c>
      <c r="H86" s="131" t="s">
        <v>126</v>
      </c>
      <c r="I86" s="9"/>
      <c r="J86" s="9"/>
      <c r="K86" s="9"/>
      <c r="L86" s="134"/>
    </row>
    <row r="87" spans="1:12" s="6" customFormat="1" ht="12.6" customHeight="1">
      <c r="A87" s="7" t="s">
        <v>127</v>
      </c>
      <c r="B87" s="146">
        <f>SUM(C87:G87)</f>
        <v>844</v>
      </c>
      <c r="C87" s="140">
        <v>335</v>
      </c>
      <c r="D87" s="140">
        <v>263</v>
      </c>
      <c r="E87" s="140">
        <v>241</v>
      </c>
      <c r="F87" s="140">
        <v>5</v>
      </c>
      <c r="G87" s="149" t="s">
        <v>270</v>
      </c>
      <c r="H87" s="131" t="s">
        <v>128</v>
      </c>
      <c r="I87" s="9"/>
      <c r="J87" s="9"/>
      <c r="K87" s="9"/>
      <c r="L87" s="134"/>
    </row>
    <row r="88" spans="1:12" s="6" customFormat="1" ht="12.6" customHeight="1">
      <c r="A88" s="193" t="s">
        <v>129</v>
      </c>
      <c r="B88" s="194">
        <f>SUM(C88:G89)</f>
        <v>35528</v>
      </c>
      <c r="C88" s="191">
        <f>SUM(C90:C102)</f>
        <v>25173</v>
      </c>
      <c r="D88" s="191">
        <f>SUM(D90:D102)</f>
        <v>7086</v>
      </c>
      <c r="E88" s="191">
        <f>SUM(E90:E102)</f>
        <v>2852</v>
      </c>
      <c r="F88" s="191">
        <f>SUM(F90:F102)</f>
        <v>80</v>
      </c>
      <c r="G88" s="190">
        <f>SUM(G90:G102)</f>
        <v>337</v>
      </c>
      <c r="H88" s="169" t="s">
        <v>130</v>
      </c>
      <c r="I88" s="169"/>
      <c r="J88" s="135"/>
      <c r="K88" s="9"/>
      <c r="L88" s="134"/>
    </row>
    <row r="89" spans="1:12" s="6" customFormat="1" ht="12.6" customHeight="1">
      <c r="A89" s="193"/>
      <c r="B89" s="194"/>
      <c r="C89" s="191"/>
      <c r="D89" s="191"/>
      <c r="E89" s="191"/>
      <c r="F89" s="191"/>
      <c r="G89" s="190"/>
      <c r="H89" s="169"/>
      <c r="I89" s="169"/>
      <c r="J89" s="135"/>
      <c r="K89" s="9"/>
      <c r="L89" s="134"/>
    </row>
    <row r="90" spans="1:12" s="6" customFormat="1" ht="12.6" customHeight="1">
      <c r="A90" s="7" t="s">
        <v>131</v>
      </c>
      <c r="B90" s="146">
        <f t="shared" ref="B90:B102" si="5">SUM(C90:G90)</f>
        <v>1151</v>
      </c>
      <c r="C90" s="140">
        <v>1133</v>
      </c>
      <c r="D90" s="140">
        <v>18</v>
      </c>
      <c r="E90" s="141" t="s">
        <v>270</v>
      </c>
      <c r="F90" s="141" t="s">
        <v>270</v>
      </c>
      <c r="G90" s="148" t="s">
        <v>270</v>
      </c>
      <c r="H90" s="131" t="s">
        <v>132</v>
      </c>
      <c r="I90" s="9"/>
      <c r="J90" s="9"/>
      <c r="K90" s="9"/>
      <c r="L90" s="134"/>
    </row>
    <row r="91" spans="1:12" s="6" customFormat="1" ht="12.6" customHeight="1">
      <c r="A91" s="7" t="s">
        <v>133</v>
      </c>
      <c r="B91" s="146">
        <f t="shared" si="5"/>
        <v>2128</v>
      </c>
      <c r="C91" s="140">
        <v>894</v>
      </c>
      <c r="D91" s="140">
        <v>572</v>
      </c>
      <c r="E91" s="140">
        <v>535</v>
      </c>
      <c r="F91" s="140">
        <v>50</v>
      </c>
      <c r="G91" s="147">
        <v>77</v>
      </c>
      <c r="H91" s="131" t="s">
        <v>134</v>
      </c>
      <c r="I91" s="9"/>
      <c r="J91" s="9"/>
      <c r="K91" s="9"/>
      <c r="L91" s="134"/>
    </row>
    <row r="92" spans="1:12" s="6" customFormat="1" ht="12.6" customHeight="1">
      <c r="A92" s="7" t="s">
        <v>135</v>
      </c>
      <c r="B92" s="146">
        <f t="shared" si="5"/>
        <v>660</v>
      </c>
      <c r="C92" s="140">
        <v>660</v>
      </c>
      <c r="D92" s="141" t="s">
        <v>270</v>
      </c>
      <c r="E92" s="139" t="s">
        <v>270</v>
      </c>
      <c r="F92" s="139" t="s">
        <v>270</v>
      </c>
      <c r="G92" s="149" t="s">
        <v>270</v>
      </c>
      <c r="H92" s="131" t="s">
        <v>136</v>
      </c>
      <c r="I92" s="9"/>
      <c r="J92" s="9"/>
      <c r="K92" s="9"/>
      <c r="L92" s="134"/>
    </row>
    <row r="93" spans="1:12" s="6" customFormat="1" ht="12.6" customHeight="1">
      <c r="A93" s="7" t="s">
        <v>137</v>
      </c>
      <c r="B93" s="146">
        <f t="shared" si="5"/>
        <v>450</v>
      </c>
      <c r="C93" s="140">
        <v>200</v>
      </c>
      <c r="D93" s="140">
        <v>200</v>
      </c>
      <c r="E93" s="139" t="s">
        <v>270</v>
      </c>
      <c r="F93" s="139" t="s">
        <v>270</v>
      </c>
      <c r="G93" s="147">
        <v>50</v>
      </c>
      <c r="H93" s="131" t="s">
        <v>138</v>
      </c>
      <c r="I93" s="9"/>
      <c r="J93" s="9"/>
      <c r="K93" s="9"/>
      <c r="L93" s="134"/>
    </row>
    <row r="94" spans="1:12" s="6" customFormat="1" ht="12.6" customHeight="1">
      <c r="A94" s="7" t="s">
        <v>139</v>
      </c>
      <c r="B94" s="146">
        <f t="shared" si="5"/>
        <v>0</v>
      </c>
      <c r="C94" s="139" t="s">
        <v>270</v>
      </c>
      <c r="D94" s="139" t="s">
        <v>270</v>
      </c>
      <c r="E94" s="139" t="s">
        <v>270</v>
      </c>
      <c r="F94" s="139" t="s">
        <v>270</v>
      </c>
      <c r="G94" s="152" t="s">
        <v>270</v>
      </c>
      <c r="H94" s="131" t="s">
        <v>140</v>
      </c>
      <c r="I94" s="9"/>
      <c r="J94" s="9"/>
      <c r="K94" s="9"/>
      <c r="L94" s="134"/>
    </row>
    <row r="95" spans="1:12" s="6" customFormat="1" ht="12.6" customHeight="1">
      <c r="A95" s="7" t="s">
        <v>141</v>
      </c>
      <c r="B95" s="146">
        <f t="shared" si="5"/>
        <v>4020</v>
      </c>
      <c r="C95" s="140">
        <v>3390</v>
      </c>
      <c r="D95" s="140">
        <v>380</v>
      </c>
      <c r="E95" s="140">
        <v>100</v>
      </c>
      <c r="F95" s="141" t="s">
        <v>270</v>
      </c>
      <c r="G95" s="147">
        <v>150</v>
      </c>
      <c r="H95" s="131" t="s">
        <v>142</v>
      </c>
      <c r="I95" s="9"/>
      <c r="J95" s="9"/>
      <c r="K95" s="9"/>
      <c r="L95" s="134"/>
    </row>
    <row r="96" spans="1:12" s="6" customFormat="1" ht="12.6" customHeight="1">
      <c r="A96" s="7" t="s">
        <v>143</v>
      </c>
      <c r="B96" s="146">
        <f t="shared" si="5"/>
        <v>2660</v>
      </c>
      <c r="C96" s="140">
        <v>1860</v>
      </c>
      <c r="D96" s="140">
        <v>800</v>
      </c>
      <c r="E96" s="141" t="s">
        <v>270</v>
      </c>
      <c r="F96" s="141" t="s">
        <v>270</v>
      </c>
      <c r="G96" s="148" t="s">
        <v>270</v>
      </c>
      <c r="H96" s="131" t="s">
        <v>144</v>
      </c>
      <c r="I96" s="9"/>
      <c r="J96" s="9"/>
      <c r="K96" s="9"/>
      <c r="L96" s="134"/>
    </row>
    <row r="97" spans="1:15" s="6" customFormat="1" ht="12.6" customHeight="1">
      <c r="A97" s="7" t="s">
        <v>145</v>
      </c>
      <c r="B97" s="146">
        <f t="shared" si="5"/>
        <v>4104</v>
      </c>
      <c r="C97" s="140">
        <v>2745</v>
      </c>
      <c r="D97" s="140">
        <v>1354</v>
      </c>
      <c r="E97" s="140">
        <v>5</v>
      </c>
      <c r="F97" s="139" t="s">
        <v>270</v>
      </c>
      <c r="G97" s="149" t="s">
        <v>270</v>
      </c>
      <c r="H97" s="131" t="s">
        <v>146</v>
      </c>
      <c r="I97" s="9"/>
      <c r="J97" s="9"/>
      <c r="K97" s="9"/>
      <c r="L97" s="134"/>
    </row>
    <row r="98" spans="1:15" s="6" customFormat="1" ht="12.6" customHeight="1">
      <c r="A98" s="7" t="s">
        <v>147</v>
      </c>
      <c r="B98" s="146">
        <f t="shared" si="5"/>
        <v>600</v>
      </c>
      <c r="C98" s="140">
        <v>600</v>
      </c>
      <c r="D98" s="141" t="s">
        <v>270</v>
      </c>
      <c r="E98" s="141" t="s">
        <v>270</v>
      </c>
      <c r="F98" s="141" t="s">
        <v>270</v>
      </c>
      <c r="G98" s="148" t="s">
        <v>270</v>
      </c>
      <c r="H98" s="131" t="s">
        <v>148</v>
      </c>
      <c r="I98" s="9"/>
      <c r="J98" s="9"/>
      <c r="K98" s="9"/>
      <c r="L98" s="134"/>
    </row>
    <row r="99" spans="1:15" s="6" customFormat="1" ht="12.6" customHeight="1">
      <c r="A99" s="7" t="s">
        <v>149</v>
      </c>
      <c r="B99" s="146">
        <f t="shared" si="5"/>
        <v>15003</v>
      </c>
      <c r="C99" s="140">
        <v>9673</v>
      </c>
      <c r="D99" s="140">
        <v>3590</v>
      </c>
      <c r="E99" s="140">
        <v>1660</v>
      </c>
      <c r="F99" s="140">
        <v>30</v>
      </c>
      <c r="G99" s="147">
        <v>50</v>
      </c>
      <c r="H99" s="131" t="s">
        <v>150</v>
      </c>
      <c r="I99" s="9"/>
      <c r="J99" s="9"/>
      <c r="K99" s="9"/>
      <c r="L99" s="134"/>
    </row>
    <row r="100" spans="1:15" s="6" customFormat="1" ht="12.6" customHeight="1">
      <c r="A100" s="7" t="s">
        <v>151</v>
      </c>
      <c r="B100" s="146">
        <f t="shared" si="5"/>
        <v>4010</v>
      </c>
      <c r="C100" s="140">
        <v>3730</v>
      </c>
      <c r="D100" s="140">
        <v>80</v>
      </c>
      <c r="E100" s="140">
        <v>200</v>
      </c>
      <c r="F100" s="139" t="s">
        <v>270</v>
      </c>
      <c r="G100" s="149" t="s">
        <v>270</v>
      </c>
      <c r="H100" s="131" t="s">
        <v>152</v>
      </c>
      <c r="I100" s="9"/>
      <c r="J100" s="9"/>
      <c r="K100" s="9"/>
      <c r="L100" s="134"/>
    </row>
    <row r="101" spans="1:15" s="6" customFormat="1" ht="12.6" customHeight="1">
      <c r="A101" s="7" t="s">
        <v>153</v>
      </c>
      <c r="B101" s="146">
        <f t="shared" si="5"/>
        <v>10</v>
      </c>
      <c r="C101" s="141" t="s">
        <v>270</v>
      </c>
      <c r="D101" s="141" t="s">
        <v>270</v>
      </c>
      <c r="E101" s="141" t="s">
        <v>270</v>
      </c>
      <c r="F101" s="139" t="s">
        <v>270</v>
      </c>
      <c r="G101" s="147">
        <v>10</v>
      </c>
      <c r="H101" s="131" t="s">
        <v>154</v>
      </c>
      <c r="I101" s="9"/>
      <c r="J101" s="9"/>
      <c r="K101" s="9"/>
      <c r="L101" s="134"/>
    </row>
    <row r="102" spans="1:15" s="6" customFormat="1" ht="12.6" customHeight="1">
      <c r="A102" s="7" t="s">
        <v>155</v>
      </c>
      <c r="B102" s="146">
        <f t="shared" si="5"/>
        <v>732</v>
      </c>
      <c r="C102" s="140">
        <v>288</v>
      </c>
      <c r="D102" s="140">
        <v>92</v>
      </c>
      <c r="E102" s="140">
        <v>352</v>
      </c>
      <c r="F102" s="139" t="s">
        <v>270</v>
      </c>
      <c r="G102" s="149" t="s">
        <v>270</v>
      </c>
      <c r="H102" s="131" t="s">
        <v>156</v>
      </c>
      <c r="I102" s="9"/>
      <c r="J102" s="9"/>
      <c r="K102" s="9"/>
      <c r="L102" s="134"/>
    </row>
    <row r="103" spans="1:15" s="6" customFormat="1" ht="12.6" customHeight="1">
      <c r="A103" s="193" t="s">
        <v>157</v>
      </c>
      <c r="B103" s="194">
        <f>SUM(C103:G104)</f>
        <v>58947</v>
      </c>
      <c r="C103" s="191">
        <f>SUM(C105:C108)</f>
        <v>25579</v>
      </c>
      <c r="D103" s="191">
        <f>SUM(D105:D108)</f>
        <v>24253</v>
      </c>
      <c r="E103" s="191">
        <f>SUM(E105:E108)</f>
        <v>7959</v>
      </c>
      <c r="F103" s="191">
        <f>SUM(F105:F108)</f>
        <v>931</v>
      </c>
      <c r="G103" s="190">
        <f>SUM(G105:G108)</f>
        <v>225</v>
      </c>
      <c r="H103" s="170" t="s">
        <v>158</v>
      </c>
      <c r="I103" s="170"/>
      <c r="J103" s="136"/>
      <c r="K103" s="9"/>
      <c r="L103" s="134"/>
    </row>
    <row r="104" spans="1:15" s="6" customFormat="1" ht="12.6" customHeight="1">
      <c r="A104" s="193"/>
      <c r="B104" s="194"/>
      <c r="C104" s="191"/>
      <c r="D104" s="191"/>
      <c r="E104" s="191"/>
      <c r="F104" s="191"/>
      <c r="G104" s="190"/>
      <c r="H104" s="170"/>
      <c r="I104" s="170"/>
      <c r="J104" s="136"/>
      <c r="K104" s="9"/>
      <c r="L104" s="134"/>
    </row>
    <row r="105" spans="1:15" s="6" customFormat="1" ht="12.6" customHeight="1">
      <c r="A105" s="7" t="s">
        <v>159</v>
      </c>
      <c r="B105" s="146">
        <f>SUM(C105:G105)</f>
        <v>24042</v>
      </c>
      <c r="C105" s="140">
        <v>15283</v>
      </c>
      <c r="D105" s="140">
        <v>5143</v>
      </c>
      <c r="E105" s="140">
        <v>3374</v>
      </c>
      <c r="F105" s="140">
        <v>135</v>
      </c>
      <c r="G105" s="147">
        <v>107</v>
      </c>
      <c r="H105" s="131" t="s">
        <v>160</v>
      </c>
      <c r="I105" s="9"/>
      <c r="J105" s="9"/>
      <c r="K105" s="9"/>
      <c r="L105" s="134"/>
    </row>
    <row r="106" spans="1:15" s="6" customFormat="1" ht="12.6" customHeight="1">
      <c r="A106" s="7" t="s">
        <v>161</v>
      </c>
      <c r="B106" s="146">
        <f>SUM(C106:G106)</f>
        <v>5744</v>
      </c>
      <c r="C106" s="140">
        <v>3398</v>
      </c>
      <c r="D106" s="140">
        <v>1399</v>
      </c>
      <c r="E106" s="140">
        <v>892</v>
      </c>
      <c r="F106" s="140">
        <v>55</v>
      </c>
      <c r="G106" s="149" t="s">
        <v>270</v>
      </c>
      <c r="H106" s="131" t="s">
        <v>162</v>
      </c>
      <c r="I106" s="9"/>
      <c r="J106" s="9"/>
      <c r="K106" s="9"/>
      <c r="L106" s="134"/>
    </row>
    <row r="107" spans="1:15" s="6" customFormat="1" ht="12.6" customHeight="1">
      <c r="A107" s="7" t="s">
        <v>163</v>
      </c>
      <c r="B107" s="146">
        <f>SUM(C107:G107)</f>
        <v>20910</v>
      </c>
      <c r="C107" s="140">
        <v>5295</v>
      </c>
      <c r="D107" s="140">
        <v>11911</v>
      </c>
      <c r="E107" s="140">
        <v>2864</v>
      </c>
      <c r="F107" s="140">
        <v>740</v>
      </c>
      <c r="G107" s="147">
        <v>100</v>
      </c>
      <c r="H107" s="131" t="s">
        <v>164</v>
      </c>
      <c r="I107" s="9"/>
      <c r="J107" s="9"/>
      <c r="K107" s="9"/>
      <c r="L107" s="134"/>
    </row>
    <row r="108" spans="1:15" s="6" customFormat="1" ht="12.6" customHeight="1" thickBot="1">
      <c r="A108" s="10" t="s">
        <v>165</v>
      </c>
      <c r="B108" s="153">
        <f>SUM(C108:G108)</f>
        <v>8251</v>
      </c>
      <c r="C108" s="154">
        <v>1603</v>
      </c>
      <c r="D108" s="154">
        <v>5800</v>
      </c>
      <c r="E108" s="154">
        <v>829</v>
      </c>
      <c r="F108" s="154">
        <v>1</v>
      </c>
      <c r="G108" s="155">
        <v>18</v>
      </c>
      <c r="H108" s="131" t="s">
        <v>166</v>
      </c>
      <c r="I108" s="9"/>
      <c r="J108" s="9"/>
      <c r="K108" s="9"/>
      <c r="L108" s="134"/>
      <c r="N108" s="134"/>
      <c r="O108" s="134"/>
    </row>
    <row r="109" spans="1:15" s="1" customFormat="1" ht="10.199999999999999">
      <c r="A109" s="205" t="s">
        <v>290</v>
      </c>
      <c r="B109" s="206"/>
      <c r="F109" s="5"/>
      <c r="G109" s="207" t="s">
        <v>291</v>
      </c>
      <c r="H109" s="209"/>
      <c r="I109" s="209"/>
      <c r="J109" s="9"/>
      <c r="L109" s="138"/>
      <c r="N109" s="138"/>
      <c r="O109" s="138"/>
    </row>
    <row r="110" spans="1:15">
      <c r="G110" s="133"/>
      <c r="H110" s="133"/>
      <c r="I110" s="133"/>
    </row>
    <row r="111" spans="1:15">
      <c r="G111" s="133"/>
      <c r="H111" s="133"/>
      <c r="I111" s="133"/>
    </row>
  </sheetData>
  <mergeCells count="121">
    <mergeCell ref="A109:B109"/>
    <mergeCell ref="G109:I109"/>
    <mergeCell ref="F52:F53"/>
    <mergeCell ref="G59:G60"/>
    <mergeCell ref="A64:A65"/>
    <mergeCell ref="B64:B65"/>
    <mergeCell ref="G38:G39"/>
    <mergeCell ref="G52:G53"/>
    <mergeCell ref="A38:A39"/>
    <mergeCell ref="B38:B39"/>
    <mergeCell ref="C38:C39"/>
    <mergeCell ref="D38:D39"/>
    <mergeCell ref="E38:E39"/>
    <mergeCell ref="F38:F39"/>
    <mergeCell ref="B45:B46"/>
    <mergeCell ref="C45:C46"/>
    <mergeCell ref="G8:G9"/>
    <mergeCell ref="A45:A46"/>
    <mergeCell ref="C8:C9"/>
    <mergeCell ref="D8:D9"/>
    <mergeCell ref="E8:E9"/>
    <mergeCell ref="A3:F3"/>
    <mergeCell ref="A4:A7"/>
    <mergeCell ref="B4:B7"/>
    <mergeCell ref="D18:D19"/>
    <mergeCell ref="E18:E19"/>
    <mergeCell ref="F18:F19"/>
    <mergeCell ref="A10:A11"/>
    <mergeCell ref="B10:B11"/>
    <mergeCell ref="A8:A9"/>
    <mergeCell ref="B8:B9"/>
    <mergeCell ref="D45:D46"/>
    <mergeCell ref="E45:E46"/>
    <mergeCell ref="F45:F46"/>
    <mergeCell ref="G45:G46"/>
    <mergeCell ref="C10:C11"/>
    <mergeCell ref="D10:D11"/>
    <mergeCell ref="D59:D60"/>
    <mergeCell ref="E59:E60"/>
    <mergeCell ref="F59:F60"/>
    <mergeCell ref="A52:A53"/>
    <mergeCell ref="B52:B53"/>
    <mergeCell ref="C52:C53"/>
    <mergeCell ref="D52:D53"/>
    <mergeCell ref="E52:E53"/>
    <mergeCell ref="G64:G65"/>
    <mergeCell ref="A71:A72"/>
    <mergeCell ref="B71:B72"/>
    <mergeCell ref="C71:C72"/>
    <mergeCell ref="D71:D72"/>
    <mergeCell ref="E71:E72"/>
    <mergeCell ref="F71:F72"/>
    <mergeCell ref="G71:G72"/>
    <mergeCell ref="C64:C65"/>
    <mergeCell ref="D64:D65"/>
    <mergeCell ref="E64:E65"/>
    <mergeCell ref="F64:F65"/>
    <mergeCell ref="G103:G104"/>
    <mergeCell ref="G81:G82"/>
    <mergeCell ref="A88:A89"/>
    <mergeCell ref="B88:B89"/>
    <mergeCell ref="C88:C89"/>
    <mergeCell ref="D88:D89"/>
    <mergeCell ref="E88:E89"/>
    <mergeCell ref="F88:F89"/>
    <mergeCell ref="G88:G89"/>
    <mergeCell ref="A81:A82"/>
    <mergeCell ref="B81:B82"/>
    <mergeCell ref="C81:C82"/>
    <mergeCell ref="D81:D82"/>
    <mergeCell ref="E81:E82"/>
    <mergeCell ref="F81:F82"/>
    <mergeCell ref="A18:A19"/>
    <mergeCell ref="B18:B19"/>
    <mergeCell ref="C18:C19"/>
    <mergeCell ref="A103:A104"/>
    <mergeCell ref="B103:B104"/>
    <mergeCell ref="C103:C104"/>
    <mergeCell ref="D103:D104"/>
    <mergeCell ref="E103:E104"/>
    <mergeCell ref="F103:F104"/>
    <mergeCell ref="A59:A60"/>
    <mergeCell ref="B59:B60"/>
    <mergeCell ref="C59:C60"/>
    <mergeCell ref="A1:I2"/>
    <mergeCell ref="H4:I7"/>
    <mergeCell ref="H8:I9"/>
    <mergeCell ref="H10:I11"/>
    <mergeCell ref="H18:I19"/>
    <mergeCell ref="H32:I33"/>
    <mergeCell ref="C4:F5"/>
    <mergeCell ref="F6:F7"/>
    <mergeCell ref="E6:E7"/>
    <mergeCell ref="D6:D7"/>
    <mergeCell ref="C6:C7"/>
    <mergeCell ref="G4:G7"/>
    <mergeCell ref="G18:G19"/>
    <mergeCell ref="E10:E11"/>
    <mergeCell ref="F10:F11"/>
    <mergeCell ref="F8:F9"/>
    <mergeCell ref="A32:A33"/>
    <mergeCell ref="B32:B33"/>
    <mergeCell ref="C32:C33"/>
    <mergeCell ref="D32:D33"/>
    <mergeCell ref="E32:E33"/>
    <mergeCell ref="F32:F33"/>
    <mergeCell ref="G32:G33"/>
    <mergeCell ref="G10:G11"/>
    <mergeCell ref="H38:I39"/>
    <mergeCell ref="H45:I46"/>
    <mergeCell ref="H52:I53"/>
    <mergeCell ref="H59:I60"/>
    <mergeCell ref="H103:I104"/>
    <mergeCell ref="H88:I89"/>
    <mergeCell ref="H81:I82"/>
    <mergeCell ref="H80:I80"/>
    <mergeCell ref="H79:I79"/>
    <mergeCell ref="H62:I62"/>
    <mergeCell ref="H71:I72"/>
    <mergeCell ref="H43:I43"/>
    <mergeCell ref="H64:I65"/>
  </mergeCells>
  <pageMargins left="0.7" right="0.7" top="0.75" bottom="0.75" header="0.3" footer="0.3"/>
  <pageSetup paperSize="9" orientation="portrait" horizontalDpi="200" verticalDpi="200" r:id="rId1"/>
  <ignoredErrors>
    <ignoredError sqref="B12:B17 B28:B31 B34:B37 B40:B44 B47:B51 B54:B58 B61:B63 B66:B70 B73:B80 B83:B87 B90:B102 B105:B108 B20:B26 B27:G2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2017-01-20T15:05:27Z</dcterms:modified>
</cp:coreProperties>
</file>