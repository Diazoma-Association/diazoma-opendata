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 activeTab="1"/>
  </bookViews>
  <sheets>
    <sheet name="ListOfRegions" sheetId="2" r:id="rId1"/>
    <sheet name="ΠΙΝΑΚΑΣ 2(στ)" sheetId="1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8" i="1"/>
  <c r="C10"/>
  <c r="C45"/>
  <c r="G8"/>
  <c r="B27"/>
  <c r="E27"/>
  <c r="F27"/>
  <c r="G27"/>
  <c r="H27"/>
  <c r="C27"/>
  <c r="D27"/>
  <c r="H18"/>
  <c r="H8" s="1"/>
  <c r="G18"/>
  <c r="F18"/>
  <c r="E18"/>
  <c r="B18" s="1"/>
  <c r="D18"/>
  <c r="C18"/>
  <c r="B106"/>
  <c r="B107"/>
  <c r="B108"/>
  <c r="B105"/>
  <c r="B91"/>
  <c r="B92"/>
  <c r="B93"/>
  <c r="B94"/>
  <c r="B95"/>
  <c r="B96"/>
  <c r="B97"/>
  <c r="B98"/>
  <c r="B99"/>
  <c r="B100"/>
  <c r="B101"/>
  <c r="B102"/>
  <c r="B90"/>
  <c r="B84"/>
  <c r="B85"/>
  <c r="B86"/>
  <c r="B87"/>
  <c r="B83"/>
  <c r="B74"/>
  <c r="B75"/>
  <c r="B76"/>
  <c r="B77"/>
  <c r="B78"/>
  <c r="B79"/>
  <c r="B80"/>
  <c r="B73"/>
  <c r="B67"/>
  <c r="B68"/>
  <c r="B69"/>
  <c r="B70"/>
  <c r="B66"/>
  <c r="B62"/>
  <c r="B63"/>
  <c r="B61"/>
  <c r="B55"/>
  <c r="B56"/>
  <c r="B57"/>
  <c r="B58"/>
  <c r="B54"/>
  <c r="B48"/>
  <c r="B49"/>
  <c r="B50"/>
  <c r="B51"/>
  <c r="B47"/>
  <c r="B41"/>
  <c r="B42"/>
  <c r="B43"/>
  <c r="B44"/>
  <c r="B40"/>
  <c r="B35"/>
  <c r="B36"/>
  <c r="B37"/>
  <c r="B34"/>
  <c r="B13"/>
  <c r="B14"/>
  <c r="B15"/>
  <c r="B16"/>
  <c r="B17"/>
  <c r="B12"/>
  <c r="B20"/>
  <c r="H103"/>
  <c r="G103"/>
  <c r="B103" s="1"/>
  <c r="F103"/>
  <c r="E103"/>
  <c r="D103"/>
  <c r="C103"/>
  <c r="H88"/>
  <c r="G88"/>
  <c r="F88"/>
  <c r="E88"/>
  <c r="D88"/>
  <c r="C88"/>
  <c r="B88"/>
  <c r="H81"/>
  <c r="G81"/>
  <c r="F81"/>
  <c r="E81"/>
  <c r="D81"/>
  <c r="C81"/>
  <c r="B81" s="1"/>
  <c r="H71"/>
  <c r="G71"/>
  <c r="F71"/>
  <c r="E71"/>
  <c r="D71"/>
  <c r="C71"/>
  <c r="B71"/>
  <c r="H64"/>
  <c r="G64"/>
  <c r="F64"/>
  <c r="E64"/>
  <c r="B64" s="1"/>
  <c r="D64"/>
  <c r="C64"/>
  <c r="H59"/>
  <c r="G59"/>
  <c r="F59"/>
  <c r="E59"/>
  <c r="D59"/>
  <c r="C59"/>
  <c r="B59"/>
  <c r="H52"/>
  <c r="G52"/>
  <c r="F52"/>
  <c r="E52"/>
  <c r="D52"/>
  <c r="D8" s="1"/>
  <c r="C52"/>
  <c r="B52" s="1"/>
  <c r="H45"/>
  <c r="G45"/>
  <c r="F45"/>
  <c r="E45"/>
  <c r="D45"/>
  <c r="B45"/>
  <c r="H38"/>
  <c r="G38"/>
  <c r="F38"/>
  <c r="E38"/>
  <c r="B38" s="1"/>
  <c r="D38"/>
  <c r="C38"/>
  <c r="H32"/>
  <c r="G32"/>
  <c r="F32"/>
  <c r="E32"/>
  <c r="D32"/>
  <c r="C32"/>
  <c r="B32"/>
  <c r="B31"/>
  <c r="B30"/>
  <c r="B29"/>
  <c r="B28"/>
  <c r="B26"/>
  <c r="B25"/>
  <c r="B24"/>
  <c r="B23"/>
  <c r="B22"/>
  <c r="B21"/>
  <c r="H10"/>
  <c r="G10"/>
  <c r="F10"/>
  <c r="F8" s="1"/>
  <c r="E10"/>
  <c r="B10" s="1"/>
  <c r="B8" s="1"/>
  <c r="D10"/>
  <c r="E8" l="1"/>
</calcChain>
</file>

<file path=xl/sharedStrings.xml><?xml version="1.0" encoding="utf-8"?>
<sst xmlns="http://schemas.openxmlformats.org/spreadsheetml/2006/main" count="576" uniqueCount="293">
  <si>
    <t>Εκτάσεις σε στρέμματα, παραγωγή σε τόνους</t>
  </si>
  <si>
    <t>Περιφέρειες και Περιφερειακές Ενότητες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</si>
  <si>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</si>
  <si>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</si>
  <si>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</si>
  <si>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</si>
  <si>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</si>
  <si>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</si>
  <si>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</si>
  <si>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</si>
  <si>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</si>
  <si>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</si>
  <si>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</si>
  <si>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</si>
  <si>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</si>
  <si>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</si>
  <si>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</si>
  <si>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</si>
  <si>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</si>
  <si>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</si>
  <si>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</si>
  <si>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</si>
  <si>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</si>
  <si>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</si>
  <si>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</si>
  <si>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</si>
  <si>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</si>
  <si>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</si>
  <si>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</si>
  <si>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</si>
  <si>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</si>
  <si>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</si>
  <si>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</si>
  <si>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</si>
  <si>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</si>
  <si>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</si>
  <si>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</si>
  <si>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</si>
  <si>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</si>
  <si>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</si>
  <si>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</si>
  <si>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</si>
  <si>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</si>
  <si>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</si>
  <si>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</si>
  <si>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</si>
  <si>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</si>
  <si>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</si>
  <si>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</si>
  <si>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</si>
  <si>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</si>
  <si>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</si>
  <si>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</si>
  <si>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</si>
  <si>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</si>
  <si>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</si>
  <si>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</si>
  <si>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</si>
  <si>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</si>
  <si>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</si>
  <si>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</si>
  <si>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</si>
  <si>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</si>
  <si>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</si>
  <si>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</si>
  <si>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</si>
  <si>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</si>
  <si>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</si>
  <si>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</si>
  <si>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</si>
  <si>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</si>
  <si>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</si>
  <si>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</si>
  <si>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</si>
  <si>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</si>
  <si>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</si>
  <si>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</si>
  <si>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</si>
  <si>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</si>
  <si>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</si>
  <si>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</si>
  <si>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</si>
  <si>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</si>
  <si>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</si>
  <si>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</si>
  <si>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</si>
  <si>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</si>
  <si>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</si>
  <si>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</si>
  <si>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</si>
  <si>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</si>
  <si>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</si>
  <si>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</si>
  <si>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</si>
  <si>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</si>
  <si>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</si>
  <si>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</si>
  <si>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</si>
  <si>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</si>
  <si>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</si>
  <si>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</si>
  <si>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</si>
  <si>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</si>
  <si>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</si>
  <si>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</si>
  <si>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</si>
  <si>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</si>
  <si>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</si>
  <si>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</si>
  <si>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</si>
  <si>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</si>
  <si>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</si>
  <si>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</si>
  <si>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</si>
  <si>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</si>
  <si>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</si>
  <si>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</si>
  <si>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</si>
  <si>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</si>
  <si>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</si>
  <si>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</si>
  <si>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</si>
  <si>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</si>
  <si>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</si>
  <si>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</si>
  <si>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</si>
  <si>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</si>
  <si>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</si>
  <si>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</si>
  <si>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</si>
  <si>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</si>
  <si>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</si>
  <si>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</si>
  <si>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</si>
  <si>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</si>
  <si>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</si>
  <si>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</si>
  <si>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</si>
  <si>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</si>
  <si>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</si>
  <si>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</si>
  <si>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</si>
  <si>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</si>
  <si>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</si>
  <si>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</si>
  <si>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</si>
  <si>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</si>
  <si>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</si>
  <si>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</si>
  <si>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</si>
  <si>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</si>
  <si>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</si>
  <si>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</si>
  <si>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</si>
  <si>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</si>
  <si>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</si>
  <si>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</si>
  <si>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</si>
  <si>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</si>
  <si>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</si>
  <si>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</si>
  <si>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</si>
  <si>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</si>
  <si>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</si>
  <si>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</si>
  <si>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</si>
  <si>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</si>
  <si>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</si>
  <si>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</si>
  <si>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</si>
  <si>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</si>
  <si>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</si>
  <si>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</si>
  <si>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</si>
  <si>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</si>
  <si>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</si>
  <si>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</si>
  <si>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</si>
  <si>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</si>
  <si>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</si>
  <si>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</si>
  <si>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</si>
  <si>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</si>
  <si>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</si>
  <si>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Αραβόσιτος χλωρός Maize</t>
  </si>
  <si>
    <t>Σόργο            Sorghum</t>
  </si>
  <si>
    <t>Τεύτλα κτηνοτροφικά Mangolds</t>
  </si>
  <si>
    <t>Areas in stremmas, production in tons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</si>
  <si>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</si>
  <si>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</si>
  <si>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</si>
  <si>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</si>
  <si>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</si>
  <si>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</si>
  <si>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</si>
  <si>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</si>
  <si>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</si>
  <si>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</si>
  <si>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</si>
  <si>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</si>
  <si>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</si>
  <si>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</si>
  <si>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</si>
  <si>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</si>
  <si>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</si>
  <si>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</si>
  <si>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</si>
  <si>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</si>
  <si>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</si>
  <si>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</si>
  <si>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</si>
  <si>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</si>
  <si>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</si>
  <si>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</si>
  <si>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</si>
  <si>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</si>
  <si>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</si>
  <si>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</si>
  <si>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</si>
  <si>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</si>
  <si>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</si>
  <si>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</si>
  <si>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</si>
  <si>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</si>
  <si>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</si>
  <si>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</si>
  <si>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</si>
  <si>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</si>
  <si>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</si>
  <si>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</si>
  <si>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</si>
  <si>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</si>
  <si>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</si>
  <si>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</si>
  <si>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</si>
  <si>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</si>
  <si>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</si>
  <si>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</si>
  <si>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</si>
  <si>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</si>
  <si>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</si>
  <si>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</si>
  <si>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</si>
  <si>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</si>
  <si>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</si>
  <si>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</si>
  <si>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</si>
  <si>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</si>
  <si>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</si>
  <si>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</si>
  <si>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</si>
  <si>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</si>
  <si>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</si>
  <si>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</si>
  <si>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</si>
  <si>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</si>
  <si>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</si>
  <si>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</si>
  <si>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</si>
  <si>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</si>
  <si>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</si>
  <si>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</si>
  <si>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</si>
  <si>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</si>
  <si>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</si>
  <si>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</si>
  <si>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</si>
  <si>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</si>
  <si>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</si>
  <si>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</si>
  <si>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</si>
  <si>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</si>
  <si>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</si>
  <si>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</si>
  <si>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</si>
  <si>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</si>
  <si>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</si>
  <si>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</si>
  <si>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</si>
  <si>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</si>
  <si>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</si>
  <si>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</si>
  <si>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</si>
  <si>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</si>
  <si>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</si>
  <si>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</si>
  <si>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</si>
  <si>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</si>
  <si>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Πίνακας 2στ. Κτηνοτροφικά φυτά για χλωρό χόρτο και ριζώματα. Εκτάσεις και παραγωγή, κατά περιφέρεια και περιφερειακή ενότητα:  2013.</t>
  </si>
  <si>
    <t>Table 2f. Fodder plants for grass. Areas and production, by Region and Regional Unities: 2013</t>
  </si>
  <si>
    <t>Σύνολο
Εκτάσεων
Total Area</t>
  </si>
  <si>
    <t>Region of Western Macedonia</t>
  </si>
  <si>
    <t>Περιφέρεια Δυτικής Μακεδονίας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</si>
</sst>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2" fillId="0" borderId="1" xfId="0" applyNumberFormat="1" applyFont="1" applyFill="1" applyBorder="1" applyAlignment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left" wrapText="1" indent="1"/>
      <protection locked="0"/>
    </xf>
    <xf numFmtId="49" fontId="12" fillId="0" borderId="1" xfId="0" applyNumberFormat="1" applyFont="1" applyBorder="1" applyAlignment="1" applyProtection="1">
      <alignment horizontal="left" wrapText="1" indent="1"/>
      <protection locked="0"/>
    </xf>
    <xf numFmtId="0" fontId="12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protection locked="0"/>
    </xf>
    <xf numFmtId="0" fontId="12" fillId="0" borderId="0" xfId="0" applyFont="1" applyAlignment="1" applyProtection="1">
      <alignment horizontal="left" indent="1"/>
      <protection locked="0"/>
    </xf>
    <xf numFmtId="0" fontId="13" fillId="0" borderId="0" xfId="0" applyFont="1" applyAlignment="1" applyProtection="1">
      <protection locked="0"/>
    </xf>
    <xf numFmtId="0" fontId="12" fillId="0" borderId="0" xfId="0" applyFont="1" applyBorder="1" applyAlignment="1" applyProtection="1">
      <protection locked="0"/>
    </xf>
    <xf numFmtId="0" fontId="12" fillId="0" borderId="1" xfId="0" applyFont="1" applyBorder="1" applyAlignment="1" applyProtection="1">
      <alignment horizontal="left" indent="1"/>
      <protection locked="0"/>
    </xf>
    <xf numFmtId="0" fontId="12" fillId="0" borderId="1" xfId="0" applyFont="1" applyBorder="1" applyAlignment="1" applyProtection="1">
      <protection locked="0"/>
    </xf>
    <xf numFmtId="49" fontId="14" fillId="0" borderId="0" xfId="0" applyNumberFormat="1" applyFont="1" applyBorder="1" applyAlignment="1" applyProtection="1">
      <alignment horizontal="left" vertical="center" wrapText="1" indent="2"/>
      <protection locked="0"/>
    </xf>
    <xf numFmtId="0" fontId="15" fillId="0" borderId="0" xfId="0" applyFont="1" applyBorder="1" applyAlignment="1" applyProtection="1">
      <alignment vertical="center" wrapText="1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12" fillId="0" borderId="0" xfId="0" applyFont="1" applyBorder="1" applyAlignment="1" applyProtection="1">
      <alignment horizontal="left" indent="1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12" fillId="0" borderId="0" xfId="0" applyFont="1" applyBorder="1" applyAlignment="1" applyProtection="1">
      <alignment vertical="center"/>
      <protection locked="0"/>
    </xf>
    <xf numFmtId="49" fontId="4" fillId="2" borderId="4" xfId="0" applyNumberFormat="1" applyFont="1" applyFill="1" applyBorder="1"/>
    <xf numFmtId="49" fontId="4" fillId="2" borderId="5" xfId="0" applyNumberFormat="1" applyFont="1" applyFill="1" applyBorder="1" applyAlignment="1">
      <alignment horizontal="left"/>
    </xf>
    <xf numFmtId="0" fontId="5" fillId="2" borderId="5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horizontal="centerContinuous" vertical="center" wrapText="1"/>
    </xf>
    <xf numFmtId="49" fontId="6" fillId="2" borderId="5" xfId="0" applyNumberFormat="1" applyFont="1" applyFill="1" applyBorder="1" applyAlignment="1">
      <alignment vertical="center" textRotation="90"/>
    </xf>
    <xf numFmtId="0" fontId="5" fillId="2" borderId="6" xfId="0" applyNumberFormat="1" applyFont="1" applyFill="1" applyBorder="1" applyAlignment="1" applyProtection="1"/>
    <xf numFmtId="49" fontId="4" fillId="2" borderId="7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49" fontId="6" fillId="2" borderId="0" xfId="0" applyNumberFormat="1" applyFont="1" applyFill="1" applyBorder="1" applyAlignment="1">
      <alignment vertical="center" textRotation="90"/>
    </xf>
    <xf numFmtId="0" fontId="5" fillId="2" borderId="8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49" fontId="4" fillId="8" borderId="7" xfId="0" applyNumberFormat="1" applyFont="1" applyFill="1" applyBorder="1"/>
    <xf numFmtId="49" fontId="4" fillId="8" borderId="0" xfId="0" applyNumberFormat="1" applyFont="1" applyFill="1" applyBorder="1" applyAlignment="1">
      <alignment horizontal="left"/>
    </xf>
    <xf numFmtId="0" fontId="5" fillId="8" borderId="0" xfId="0" applyNumberFormat="1" applyFont="1" applyFill="1" applyBorder="1" applyAlignment="1" applyProtection="1"/>
    <xf numFmtId="49" fontId="6" fillId="8" borderId="0" xfId="0" applyNumberFormat="1" applyFont="1" applyFill="1" applyBorder="1"/>
    <xf numFmtId="49" fontId="6" fillId="8" borderId="0" xfId="0" applyNumberFormat="1" applyFont="1" applyFill="1" applyBorder="1" applyAlignment="1">
      <alignment vertical="center" textRotation="90"/>
    </xf>
    <xf numFmtId="0" fontId="5" fillId="8" borderId="8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6" fillId="8" borderId="0" xfId="0" applyNumberFormat="1" applyFont="1" applyFill="1" applyBorder="1" applyAlignment="1">
      <alignment horizontal="left"/>
    </xf>
    <xf numFmtId="49" fontId="7" fillId="8" borderId="0" xfId="0" applyNumberFormat="1" applyFont="1" applyFill="1" applyBorder="1"/>
    <xf numFmtId="49" fontId="4" fillId="4" borderId="7" xfId="0" applyNumberFormat="1" applyFont="1" applyFill="1" applyBorder="1"/>
    <xf numFmtId="49" fontId="4" fillId="4" borderId="0" xfId="0" applyNumberFormat="1" applyFont="1" applyFill="1" applyBorder="1"/>
    <xf numFmtId="0" fontId="5" fillId="4" borderId="0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6" fillId="9" borderId="0" xfId="0" applyNumberFormat="1" applyFont="1" applyFill="1" applyBorder="1" applyAlignment="1">
      <alignment vertical="center" textRotation="90"/>
    </xf>
    <xf numFmtId="0" fontId="5" fillId="4" borderId="8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4" fillId="4" borderId="9" xfId="0" applyNumberFormat="1" applyFont="1" applyFill="1" applyBorder="1"/>
    <xf numFmtId="49" fontId="4" fillId="4" borderId="1" xfId="0" applyNumberFormat="1" applyFont="1" applyFill="1" applyBorder="1"/>
    <xf numFmtId="0" fontId="5" fillId="4" borderId="1" xfId="0" applyNumberFormat="1" applyFont="1" applyFill="1" applyBorder="1" applyAlignment="1" applyProtection="1"/>
    <xf numFmtId="49" fontId="6" fillId="9" borderId="1" xfId="0" applyNumberFormat="1" applyFont="1" applyFill="1" applyBorder="1" applyAlignment="1">
      <alignment vertical="center" textRotation="90"/>
    </xf>
    <xf numFmtId="0" fontId="5" fillId="4" borderId="10" xfId="0" applyNumberFormat="1" applyFont="1" applyFill="1" applyBorder="1" applyAlignment="1" applyProtection="1"/>
    <xf numFmtId="49" fontId="4" fillId="10" borderId="4" xfId="0" applyNumberFormat="1" applyFont="1" applyFill="1" applyBorder="1"/>
    <xf numFmtId="49" fontId="4" fillId="10" borderId="5" xfId="0" applyNumberFormat="1" applyFont="1" applyFill="1" applyBorder="1"/>
    <xf numFmtId="0" fontId="5" fillId="10" borderId="5" xfId="0" applyNumberFormat="1" applyFont="1" applyFill="1" applyBorder="1" applyAlignment="1" applyProtection="1"/>
    <xf numFmtId="49" fontId="6" fillId="10" borderId="5" xfId="0" applyNumberFormat="1" applyFont="1" applyFill="1" applyBorder="1"/>
    <xf numFmtId="49" fontId="6" fillId="10" borderId="5" xfId="0" applyNumberFormat="1" applyFont="1" applyFill="1" applyBorder="1" applyAlignment="1">
      <alignment vertical="center" textRotation="90"/>
    </xf>
    <xf numFmtId="0" fontId="5" fillId="10" borderId="6" xfId="0" applyNumberFormat="1" applyFont="1" applyFill="1" applyBorder="1" applyAlignment="1" applyProtection="1"/>
    <xf numFmtId="49" fontId="4" fillId="10" borderId="7" xfId="0" applyNumberFormat="1" applyFont="1" applyFill="1" applyBorder="1"/>
    <xf numFmtId="49" fontId="4" fillId="10" borderId="0" xfId="0" applyNumberFormat="1" applyFont="1" applyFill="1" applyBorder="1"/>
    <xf numFmtId="0" fontId="5" fillId="10" borderId="0" xfId="0" applyNumberFormat="1" applyFont="1" applyFill="1" applyBorder="1" applyAlignment="1" applyProtection="1"/>
    <xf numFmtId="49" fontId="6" fillId="10" borderId="0" xfId="0" applyNumberFormat="1" applyFont="1" applyFill="1" applyBorder="1" applyAlignment="1">
      <alignment vertical="center" textRotation="90"/>
    </xf>
    <xf numFmtId="0" fontId="5" fillId="10" borderId="8" xfId="0" applyNumberFormat="1" applyFont="1" applyFill="1" applyBorder="1" applyAlignment="1" applyProtection="1"/>
    <xf numFmtId="49" fontId="7" fillId="10" borderId="0" xfId="0" applyNumberFormat="1" applyFont="1" applyFill="1" applyBorder="1"/>
    <xf numFmtId="49" fontId="4" fillId="5" borderId="7" xfId="0" applyNumberFormat="1" applyFont="1" applyFill="1" applyBorder="1"/>
    <xf numFmtId="49" fontId="4" fillId="5" borderId="0" xfId="0" applyNumberFormat="1" applyFont="1" applyFill="1" applyBorder="1"/>
    <xf numFmtId="0" fontId="5" fillId="5" borderId="0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6" fillId="5" borderId="0" xfId="0" applyNumberFormat="1" applyFont="1" applyFill="1" applyBorder="1" applyAlignment="1">
      <alignment vertical="center" textRotation="90"/>
    </xf>
    <xf numFmtId="0" fontId="5" fillId="5" borderId="8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4" fillId="5" borderId="9" xfId="0" applyNumberFormat="1" applyFont="1" applyFill="1" applyBorder="1"/>
    <xf numFmtId="49" fontId="4" fillId="5" borderId="1" xfId="0" applyNumberFormat="1" applyFont="1" applyFill="1" applyBorder="1"/>
    <xf numFmtId="0" fontId="5" fillId="5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>
      <alignment vertical="center" textRotation="90"/>
    </xf>
    <xf numFmtId="0" fontId="5" fillId="5" borderId="10" xfId="0" applyNumberFormat="1" applyFont="1" applyFill="1" applyBorder="1" applyAlignment="1" applyProtection="1"/>
    <xf numFmtId="49" fontId="4" fillId="6" borderId="4" xfId="0" applyNumberFormat="1" applyFont="1" applyFill="1" applyBorder="1"/>
    <xf numFmtId="49" fontId="4" fillId="6" borderId="5" xfId="0" applyNumberFormat="1" applyFont="1" applyFill="1" applyBorder="1"/>
    <xf numFmtId="0" fontId="5" fillId="6" borderId="5" xfId="0" applyNumberFormat="1" applyFont="1" applyFill="1" applyBorder="1" applyAlignment="1" applyProtection="1"/>
    <xf numFmtId="49" fontId="6" fillId="6" borderId="5" xfId="0" applyNumberFormat="1" applyFont="1" applyFill="1" applyBorder="1"/>
    <xf numFmtId="0" fontId="8" fillId="6" borderId="5" xfId="0" applyNumberFormat="1" applyFont="1" applyFill="1" applyBorder="1" applyAlignment="1" applyProtection="1"/>
    <xf numFmtId="49" fontId="6" fillId="6" borderId="5" xfId="0" applyNumberFormat="1" applyFont="1" applyFill="1" applyBorder="1" applyAlignment="1">
      <alignment vertical="center" textRotation="90"/>
    </xf>
    <xf numFmtId="0" fontId="8" fillId="6" borderId="6" xfId="0" applyNumberFormat="1" applyFont="1" applyFill="1" applyBorder="1" applyAlignment="1" applyProtection="1"/>
    <xf numFmtId="49" fontId="4" fillId="6" borderId="7" xfId="0" applyNumberFormat="1" applyFont="1" applyFill="1" applyBorder="1"/>
    <xf numFmtId="49" fontId="4" fillId="6" borderId="0" xfId="0" applyNumberFormat="1" applyFont="1" applyFill="1" applyBorder="1"/>
    <xf numFmtId="0" fontId="5" fillId="6" borderId="0" xfId="0" applyNumberFormat="1" applyFont="1" applyFill="1" applyBorder="1" applyAlignment="1" applyProtection="1"/>
    <xf numFmtId="49" fontId="6" fillId="6" borderId="0" xfId="0" applyNumberFormat="1" applyFont="1" applyFill="1" applyBorder="1" applyAlignment="1">
      <alignment vertical="center" textRotation="90"/>
    </xf>
    <xf numFmtId="0" fontId="5" fillId="6" borderId="8" xfId="0" applyNumberFormat="1" applyFont="1" applyFill="1" applyBorder="1" applyAlignment="1" applyProtection="1"/>
    <xf numFmtId="49" fontId="7" fillId="6" borderId="0" xfId="0" applyNumberFormat="1" applyFont="1" applyFill="1" applyBorder="1"/>
    <xf numFmtId="49" fontId="4" fillId="11" borderId="7" xfId="0" applyNumberFormat="1" applyFont="1" applyFill="1" applyBorder="1"/>
    <xf numFmtId="49" fontId="4" fillId="11" borderId="0" xfId="0" applyNumberFormat="1" applyFont="1" applyFill="1" applyBorder="1"/>
    <xf numFmtId="0" fontId="5" fillId="11" borderId="0" xfId="0" applyNumberFormat="1" applyFont="1" applyFill="1" applyBorder="1" applyAlignment="1" applyProtection="1"/>
    <xf numFmtId="49" fontId="6" fillId="11" borderId="0" xfId="0" applyNumberFormat="1" applyFont="1" applyFill="1" applyBorder="1"/>
    <xf numFmtId="49" fontId="6" fillId="11" borderId="0" xfId="0" applyNumberFormat="1" applyFont="1" applyFill="1" applyBorder="1" applyAlignment="1">
      <alignment vertical="center" textRotation="90"/>
    </xf>
    <xf numFmtId="0" fontId="5" fillId="11" borderId="8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4" fillId="12" borderId="7" xfId="0" applyNumberFormat="1" applyFont="1" applyFill="1" applyBorder="1"/>
    <xf numFmtId="49" fontId="4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6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vertical="center" textRotation="90"/>
    </xf>
    <xf numFmtId="0" fontId="5" fillId="12" borderId="8" xfId="0" applyNumberFormat="1" applyFont="1" applyFill="1" applyBorder="1" applyAlignment="1" applyProtection="1"/>
    <xf numFmtId="49" fontId="4" fillId="12" borderId="9" xfId="0" applyNumberFormat="1" applyFont="1" applyFill="1" applyBorder="1"/>
    <xf numFmtId="49" fontId="4" fillId="12" borderId="1" xfId="0" applyNumberFormat="1" applyFont="1" applyFill="1" applyBorder="1"/>
    <xf numFmtId="0" fontId="5" fillId="12" borderId="1" xfId="0" applyNumberFormat="1" applyFont="1" applyFill="1" applyBorder="1" applyAlignment="1" applyProtection="1"/>
    <xf numFmtId="49" fontId="6" fillId="12" borderId="1" xfId="0" applyNumberFormat="1" applyFont="1" applyFill="1" applyBorder="1" applyAlignment="1">
      <alignment vertical="center" textRotation="90"/>
    </xf>
    <xf numFmtId="0" fontId="5" fillId="12" borderId="10" xfId="0" applyNumberFormat="1" applyFont="1" applyFill="1" applyBorder="1" applyAlignment="1" applyProtection="1"/>
    <xf numFmtId="0" fontId="9" fillId="6" borderId="5" xfId="0" applyNumberFormat="1" applyFont="1" applyFill="1" applyBorder="1" applyAlignment="1" applyProtection="1"/>
    <xf numFmtId="0" fontId="5" fillId="6" borderId="6" xfId="0" applyNumberFormat="1" applyFont="1" applyFill="1" applyBorder="1" applyAlignment="1" applyProtection="1"/>
    <xf numFmtId="0" fontId="8" fillId="6" borderId="0" xfId="0" applyNumberFormat="1" applyFont="1" applyFill="1" applyBorder="1" applyAlignment="1" applyProtection="1"/>
    <xf numFmtId="49" fontId="4" fillId="6" borderId="9" xfId="0" applyNumberFormat="1" applyFont="1" applyFill="1" applyBorder="1"/>
    <xf numFmtId="49" fontId="4" fillId="6" borderId="1" xfId="0" applyNumberFormat="1" applyFont="1" applyFill="1" applyBorder="1"/>
    <xf numFmtId="0" fontId="5" fillId="6" borderId="1" xfId="0" applyNumberFormat="1" applyFont="1" applyFill="1" applyBorder="1" applyAlignment="1" applyProtection="1"/>
    <xf numFmtId="0" fontId="5" fillId="6" borderId="10" xfId="0" applyNumberFormat="1" applyFont="1" applyFill="1" applyBorder="1" applyAlignment="1" applyProtection="1"/>
    <xf numFmtId="49" fontId="4" fillId="2" borderId="5" xfId="0" applyNumberFormat="1" applyFont="1" applyFill="1" applyBorder="1"/>
    <xf numFmtId="49" fontId="6" fillId="2" borderId="5" xfId="0" applyNumberFormat="1" applyFont="1" applyFill="1" applyBorder="1"/>
    <xf numFmtId="49" fontId="4" fillId="2" borderId="0" xfId="0" applyNumberFormat="1" applyFont="1" applyFill="1" applyBorder="1"/>
    <xf numFmtId="49" fontId="7" fillId="2" borderId="0" xfId="0" applyNumberFormat="1" applyFont="1" applyFill="1" applyBorder="1"/>
    <xf numFmtId="49" fontId="4" fillId="8" borderId="4" xfId="0" applyNumberFormat="1" applyFont="1" applyFill="1" applyBorder="1"/>
    <xf numFmtId="49" fontId="10" fillId="8" borderId="0" xfId="0" applyNumberFormat="1" applyFont="1" applyFill="1" applyBorder="1"/>
    <xf numFmtId="0" fontId="5" fillId="8" borderId="5" xfId="0" applyNumberFormat="1" applyFont="1" applyFill="1" applyBorder="1" applyAlignment="1" applyProtection="1"/>
    <xf numFmtId="49" fontId="6" fillId="8" borderId="5" xfId="0" applyNumberFormat="1" applyFont="1" applyFill="1" applyBorder="1"/>
    <xf numFmtId="49" fontId="4" fillId="8" borderId="5" xfId="0" applyNumberFormat="1" applyFont="1" applyFill="1" applyBorder="1"/>
    <xf numFmtId="0" fontId="5" fillId="8" borderId="6" xfId="0" applyNumberFormat="1" applyFont="1" applyFill="1" applyBorder="1" applyAlignment="1" applyProtection="1"/>
    <xf numFmtId="49" fontId="7" fillId="13" borderId="0" xfId="0" applyNumberFormat="1" applyFont="1" applyFill="1" applyBorder="1" applyAlignment="1">
      <alignment horizontal="left"/>
    </xf>
    <xf numFmtId="0" fontId="5" fillId="13" borderId="0" xfId="0" applyNumberFormat="1" applyFont="1" applyFill="1" applyBorder="1" applyAlignment="1" applyProtection="1">
      <alignment horizontal="left"/>
    </xf>
    <xf numFmtId="49" fontId="11" fillId="13" borderId="0" xfId="0" applyNumberFormat="1" applyFont="1" applyFill="1" applyBorder="1" applyAlignment="1">
      <alignment horizontal="left"/>
    </xf>
    <xf numFmtId="49" fontId="4" fillId="8" borderId="9" xfId="0" applyNumberFormat="1" applyFont="1" applyFill="1" applyBorder="1"/>
    <xf numFmtId="0" fontId="5" fillId="8" borderId="1" xfId="0" applyNumberFormat="1" applyFont="1" applyFill="1" applyBorder="1" applyAlignment="1" applyProtection="1"/>
    <xf numFmtId="49" fontId="4" fillId="8" borderId="1" xfId="0" applyNumberFormat="1" applyFont="1" applyFill="1" applyBorder="1"/>
    <xf numFmtId="0" fontId="5" fillId="8" borderId="10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0" fillId="14" borderId="12" xfId="0" applyNumberFormat="1" applyFont="1" applyFill="1" applyBorder="1"/>
    <xf numFmtId="0" fontId="5" fillId="2" borderId="13" xfId="0" applyNumberFormat="1" applyFont="1" applyFill="1" applyBorder="1" applyAlignment="1" applyProtection="1"/>
    <xf numFmtId="49" fontId="7" fillId="2" borderId="13" xfId="0" applyNumberFormat="1" applyFont="1" applyFill="1" applyBorder="1"/>
    <xf numFmtId="49" fontId="4" fillId="2" borderId="13" xfId="0" applyNumberFormat="1" applyFont="1" applyFill="1" applyBorder="1"/>
    <xf numFmtId="0" fontId="5" fillId="2" borderId="14" xfId="0" applyNumberFormat="1" applyFont="1" applyFill="1" applyBorder="1" applyAlignment="1" applyProtection="1"/>
    <xf numFmtId="0" fontId="3" fillId="0" borderId="15" xfId="0" applyFont="1" applyBorder="1" applyAlignment="1" applyProtection="1">
      <alignment horizontal="center"/>
      <protection locked="0"/>
    </xf>
    <xf numFmtId="3" fontId="2" fillId="0" borderId="16" xfId="0" quotePrefix="1" applyNumberFormat="1" applyFont="1" applyFill="1" applyBorder="1" applyAlignment="1" applyProtection="1">
      <alignment horizontal="right"/>
    </xf>
    <xf numFmtId="3" fontId="2" fillId="15" borderId="16" xfId="0" applyNumberFormat="1" applyFont="1" applyFill="1" applyBorder="1" applyAlignment="1">
      <alignment horizontal="right" vertical="top" wrapText="1"/>
    </xf>
    <xf numFmtId="0" fontId="2" fillId="15" borderId="16" xfId="0" applyFont="1" applyFill="1" applyBorder="1" applyAlignment="1">
      <alignment horizontal="right" vertical="top" wrapText="1"/>
    </xf>
    <xf numFmtId="3" fontId="2" fillId="0" borderId="16" xfId="0" applyNumberFormat="1" applyFont="1" applyFill="1" applyBorder="1" applyAlignment="1" applyProtection="1">
      <alignment horizontal="right"/>
    </xf>
    <xf numFmtId="49" fontId="15" fillId="0" borderId="0" xfId="0" applyNumberFormat="1" applyFont="1" applyAlignment="1" applyProtection="1">
      <alignment wrapText="1"/>
      <protection locked="0"/>
    </xf>
    <xf numFmtId="3" fontId="1" fillId="15" borderId="16" xfId="0" applyNumberFormat="1" applyFont="1" applyFill="1" applyBorder="1" applyAlignment="1">
      <alignment horizontal="right" wrapText="1"/>
    </xf>
    <xf numFmtId="0" fontId="0" fillId="0" borderId="0" xfId="0" applyAlignment="1">
      <alignment vertical="center"/>
    </xf>
    <xf numFmtId="0" fontId="16" fillId="0" borderId="0" xfId="0" applyFont="1" applyAlignment="1" applyProtection="1">
      <protection locked="0"/>
    </xf>
    <xf numFmtId="0" fontId="2" fillId="0" borderId="16" xfId="0" applyFont="1" applyBorder="1" applyAlignment="1">
      <alignment horizontal="right"/>
    </xf>
    <xf numFmtId="3" fontId="2" fillId="0" borderId="24" xfId="0" applyNumberFormat="1" applyFont="1" applyBorder="1" applyAlignment="1" applyProtection="1">
      <alignment horizontal="right" vertical="center"/>
      <protection locked="0"/>
    </xf>
    <xf numFmtId="3" fontId="2" fillId="0" borderId="32" xfId="0" quotePrefix="1" applyNumberFormat="1" applyFont="1" applyFill="1" applyBorder="1" applyAlignment="1" applyProtection="1">
      <alignment horizontal="right"/>
    </xf>
    <xf numFmtId="0" fontId="2" fillId="0" borderId="32" xfId="0" applyFont="1" applyBorder="1" applyAlignment="1">
      <alignment horizontal="right"/>
    </xf>
    <xf numFmtId="3" fontId="2" fillId="0" borderId="32" xfId="0" applyNumberFormat="1" applyFont="1" applyBorder="1" applyAlignment="1">
      <alignment horizontal="right"/>
    </xf>
    <xf numFmtId="3" fontId="1" fillId="0" borderId="24" xfId="0" applyNumberFormat="1" applyFont="1" applyBorder="1" applyAlignment="1" applyProtection="1">
      <alignment horizontal="right"/>
      <protection locked="0"/>
    </xf>
    <xf numFmtId="3" fontId="1" fillId="15" borderId="32" xfId="0" applyNumberFormat="1" applyFont="1" applyFill="1" applyBorder="1" applyAlignment="1">
      <alignment horizontal="right" wrapText="1"/>
    </xf>
    <xf numFmtId="3" fontId="2" fillId="0" borderId="33" xfId="0" applyNumberFormat="1" applyFont="1" applyBorder="1" applyAlignment="1" applyProtection="1">
      <alignment horizontal="right" vertical="center"/>
      <protection locked="0"/>
    </xf>
    <xf numFmtId="3" fontId="2" fillId="15" borderId="34" xfId="0" applyNumberFormat="1" applyFont="1" applyFill="1" applyBorder="1" applyAlignment="1">
      <alignment horizontal="right" vertical="top" wrapText="1"/>
    </xf>
    <xf numFmtId="0" fontId="2" fillId="15" borderId="34" xfId="0" applyFont="1" applyFill="1" applyBorder="1" applyAlignment="1">
      <alignment horizontal="right" vertical="top" wrapText="1"/>
    </xf>
    <xf numFmtId="3" fontId="2" fillId="0" borderId="35" xfId="0" applyNumberFormat="1" applyFont="1" applyBorder="1" applyAlignment="1">
      <alignment horizontal="right"/>
    </xf>
    <xf numFmtId="49" fontId="6" fillId="16" borderId="5" xfId="0" applyNumberFormat="1" applyFont="1" applyFill="1" applyBorder="1" applyAlignment="1">
      <alignment horizontal="center" vertical="center" textRotation="90"/>
    </xf>
    <xf numFmtId="49" fontId="6" fillId="16" borderId="0" xfId="0" applyNumberFormat="1" applyFont="1" applyFill="1" applyBorder="1" applyAlignment="1">
      <alignment horizontal="center" vertical="center" textRotation="90"/>
    </xf>
    <xf numFmtId="49" fontId="6" fillId="16" borderId="1" xfId="0" applyNumberFormat="1" applyFont="1" applyFill="1" applyBorder="1" applyAlignment="1">
      <alignment horizontal="center" vertical="center" textRotation="90"/>
    </xf>
    <xf numFmtId="49" fontId="6" fillId="3" borderId="5" xfId="0" applyNumberFormat="1" applyFont="1" applyFill="1" applyBorder="1" applyAlignment="1">
      <alignment horizontal="center" vertical="center" textRotation="90" wrapText="1"/>
    </xf>
    <xf numFmtId="49" fontId="6" fillId="3" borderId="0" xfId="0" applyNumberFormat="1" applyFont="1" applyFill="1" applyBorder="1" applyAlignment="1">
      <alignment horizontal="center" vertical="center" textRotation="90" wrapText="1"/>
    </xf>
    <xf numFmtId="49" fontId="6" fillId="3" borderId="1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left" vertical="center" wrapText="1"/>
    </xf>
    <xf numFmtId="49" fontId="6" fillId="2" borderId="5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center" vertical="center" textRotation="90" wrapText="1"/>
    </xf>
    <xf numFmtId="49" fontId="6" fillId="2" borderId="1" xfId="0" applyNumberFormat="1" applyFont="1" applyFill="1" applyBorder="1" applyAlignment="1">
      <alignment horizontal="center" vertical="center" textRotation="90" wrapText="1"/>
    </xf>
    <xf numFmtId="49" fontId="6" fillId="7" borderId="5" xfId="0" applyNumberFormat="1" applyFont="1" applyFill="1" applyBorder="1" applyAlignment="1">
      <alignment horizontal="center" vertical="center" textRotation="90" wrapText="1"/>
    </xf>
    <xf numFmtId="49" fontId="6" fillId="7" borderId="0" xfId="0" applyNumberFormat="1" applyFont="1" applyFill="1" applyBorder="1" applyAlignment="1">
      <alignment horizontal="center" vertical="center" textRotation="90" wrapText="1"/>
    </xf>
    <xf numFmtId="49" fontId="6" fillId="7" borderId="1" xfId="0" applyNumberFormat="1" applyFont="1" applyFill="1" applyBorder="1" applyAlignment="1">
      <alignment horizontal="center" vertical="center" textRotation="90" wrapText="1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horizontal="left" vertical="center"/>
      <protection locked="0"/>
    </xf>
    <xf numFmtId="0" fontId="12" fillId="0" borderId="0" xfId="0" applyFont="1" applyBorder="1" applyAlignment="1" applyProtection="1">
      <alignment horizontal="left" wrapText="1" indent="1"/>
      <protection locked="0"/>
    </xf>
    <xf numFmtId="3" fontId="1" fillId="0" borderId="16" xfId="0" applyNumberFormat="1" applyFont="1" applyBorder="1" applyAlignment="1" applyProtection="1">
      <alignment horizontal="right" vertical="center"/>
    </xf>
    <xf numFmtId="3" fontId="1" fillId="0" borderId="32" xfId="0" applyNumberFormat="1" applyFont="1" applyBorder="1" applyAlignment="1" applyProtection="1">
      <alignment horizontal="right" vertical="center"/>
    </xf>
    <xf numFmtId="49" fontId="15" fillId="0" borderId="0" xfId="0" applyNumberFormat="1" applyFont="1" applyAlignment="1" applyProtection="1">
      <alignment horizontal="left" vertical="center" wrapText="1"/>
      <protection locked="0"/>
    </xf>
    <xf numFmtId="3" fontId="1" fillId="0" borderId="24" xfId="0" applyNumberFormat="1" applyFont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12" fillId="0" borderId="5" xfId="0" applyNumberFormat="1" applyFont="1" applyBorder="1" applyAlignment="1" applyProtection="1">
      <alignment horizontal="left" wrapText="1"/>
      <protection locked="0"/>
    </xf>
    <xf numFmtId="49" fontId="12" fillId="0" borderId="0" xfId="0" applyNumberFormat="1" applyFont="1" applyBorder="1" applyAlignment="1" applyProtection="1">
      <alignment horizontal="left" wrapText="1"/>
      <protection locked="0"/>
    </xf>
    <xf numFmtId="0" fontId="12" fillId="0" borderId="0" xfId="0" applyFont="1" applyBorder="1" applyAlignment="1" applyProtection="1">
      <alignment horizontal="right" vertical="center"/>
      <protection locked="0"/>
    </xf>
    <xf numFmtId="0" fontId="12" fillId="0" borderId="5" xfId="0" applyFont="1" applyBorder="1" applyAlignment="1" applyProtection="1">
      <alignment horizontal="right" vertical="center"/>
      <protection locked="0"/>
    </xf>
    <xf numFmtId="49" fontId="15" fillId="0" borderId="0" xfId="0" applyNumberFormat="1" applyFont="1" applyBorder="1" applyAlignment="1" applyProtection="1">
      <alignment horizontal="left" vertical="center" wrapText="1"/>
      <protection locked="0"/>
    </xf>
    <xf numFmtId="49" fontId="15" fillId="0" borderId="17" xfId="0" applyNumberFormat="1" applyFont="1" applyBorder="1" applyAlignment="1" applyProtection="1">
      <alignment horizontal="left" vertical="center"/>
      <protection locked="0"/>
    </xf>
    <xf numFmtId="49" fontId="15" fillId="0" borderId="0" xfId="0" applyNumberFormat="1" applyFont="1" applyBorder="1" applyAlignment="1" applyProtection="1">
      <alignment horizontal="left" vertical="center"/>
      <protection locked="0"/>
    </xf>
    <xf numFmtId="3" fontId="1" fillId="0" borderId="30" xfId="0" applyNumberFormat="1" applyFont="1" applyBorder="1" applyAlignment="1" applyProtection="1">
      <alignment horizontal="right" vertical="center"/>
    </xf>
    <xf numFmtId="3" fontId="1" fillId="0" borderId="18" xfId="0" applyNumberFormat="1" applyFont="1" applyBorder="1" applyAlignment="1" applyProtection="1">
      <alignment horizontal="right" vertical="center"/>
    </xf>
    <xf numFmtId="0" fontId="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21" xfId="0" applyBorder="1"/>
    <xf numFmtId="0" fontId="0" fillId="0" borderId="22" xfId="0" applyBorder="1"/>
    <xf numFmtId="3" fontId="1" fillId="0" borderId="31" xfId="0" applyNumberFormat="1" applyFont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wrapText="1"/>
      <protection locked="0"/>
    </xf>
    <xf numFmtId="0" fontId="2" fillId="0" borderId="1" xfId="0" applyNumberFormat="1" applyFont="1" applyFill="1" applyBorder="1" applyAlignment="1" applyProtection="1">
      <alignment horizontal="right"/>
      <protection locked="0"/>
    </xf>
    <xf numFmtId="0" fontId="2" fillId="0" borderId="1" xfId="0" applyNumberFormat="1" applyFont="1" applyFill="1" applyBorder="1" applyAlignment="1" applyProtection="1">
      <alignment horizontal="left"/>
      <protection locked="0"/>
    </xf>
    <xf numFmtId="0" fontId="9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5" fillId="0" borderId="0" xfId="0" applyFont="1" applyAlignment="1" applyProtection="1">
      <alignment horizontal="left" vertical="center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workbookViewId="0">
      <selection activeCell="D17" sqref="D17"/>
    </sheetView>
  </sheetViews>
  <sheetFormatPr defaultRowHeight="14.4"/>
  <sheetData>
    <row r="1" spans="1:13">
      <c r="A1" s="23" t="s">
        <v>189</v>
      </c>
      <c r="B1" s="24" t="s">
        <v>4</v>
      </c>
      <c r="C1" s="25"/>
      <c r="D1" s="26"/>
      <c r="E1" s="26"/>
      <c r="F1" s="26"/>
      <c r="G1" s="26"/>
      <c r="H1" s="165" t="s">
        <v>190</v>
      </c>
      <c r="I1" s="27"/>
      <c r="J1" s="25"/>
      <c r="K1" s="25"/>
      <c r="L1" s="25"/>
      <c r="M1" s="28"/>
    </row>
    <row r="2" spans="1:13">
      <c r="A2" s="29" t="s">
        <v>191</v>
      </c>
      <c r="B2" s="30" t="s">
        <v>5</v>
      </c>
      <c r="C2" s="31"/>
      <c r="D2" s="31"/>
      <c r="E2" s="31"/>
      <c r="F2" s="31"/>
      <c r="G2" s="31"/>
      <c r="H2" s="166"/>
      <c r="I2" s="32"/>
      <c r="J2" s="31"/>
      <c r="K2" s="31"/>
      <c r="L2" s="31"/>
      <c r="M2" s="33"/>
    </row>
    <row r="3" spans="1:13">
      <c r="A3" s="29" t="s">
        <v>192</v>
      </c>
      <c r="B3" s="30" t="s">
        <v>6</v>
      </c>
      <c r="C3" s="31"/>
      <c r="D3" s="168" t="s">
        <v>193</v>
      </c>
      <c r="E3" s="168"/>
      <c r="F3" s="168"/>
      <c r="G3" s="168"/>
      <c r="H3" s="166"/>
      <c r="I3" s="32"/>
      <c r="J3" s="31"/>
      <c r="K3" s="31"/>
      <c r="L3" s="31"/>
      <c r="M3" s="33"/>
    </row>
    <row r="4" spans="1:13">
      <c r="A4" s="29" t="s">
        <v>194</v>
      </c>
      <c r="B4" s="30" t="s">
        <v>7</v>
      </c>
      <c r="C4" s="31"/>
      <c r="D4" s="34" t="s">
        <v>195</v>
      </c>
      <c r="E4" s="31"/>
      <c r="F4" s="31"/>
      <c r="G4" s="31"/>
      <c r="H4" s="166"/>
      <c r="I4" s="32"/>
      <c r="J4" s="31"/>
      <c r="K4" s="31"/>
      <c r="L4" s="31"/>
      <c r="M4" s="33"/>
    </row>
    <row r="5" spans="1:13">
      <c r="A5" s="29" t="s">
        <v>196</v>
      </c>
      <c r="B5" s="30" t="s">
        <v>8</v>
      </c>
      <c r="C5" s="31"/>
      <c r="D5" s="31"/>
      <c r="E5" s="31"/>
      <c r="F5" s="31"/>
      <c r="G5" s="31"/>
      <c r="H5" s="166"/>
      <c r="I5" s="32"/>
      <c r="J5" s="31"/>
      <c r="K5" s="31"/>
      <c r="L5" s="31"/>
      <c r="M5" s="33"/>
    </row>
    <row r="6" spans="1:13">
      <c r="A6" s="29" t="s">
        <v>197</v>
      </c>
      <c r="B6" s="30" t="s">
        <v>9</v>
      </c>
      <c r="C6" s="31"/>
      <c r="D6" s="31"/>
      <c r="E6" s="31"/>
      <c r="F6" s="31"/>
      <c r="G6" s="31"/>
      <c r="H6" s="166"/>
      <c r="I6" s="32"/>
      <c r="J6" s="31"/>
      <c r="K6" s="31"/>
      <c r="L6" s="31"/>
      <c r="M6" s="33"/>
    </row>
    <row r="7" spans="1:13">
      <c r="A7" s="35" t="s">
        <v>198</v>
      </c>
      <c r="B7" s="36" t="s">
        <v>11</v>
      </c>
      <c r="C7" s="37"/>
      <c r="D7" s="38"/>
      <c r="E7" s="37"/>
      <c r="F7" s="37"/>
      <c r="G7" s="37"/>
      <c r="H7" s="166"/>
      <c r="I7" s="39"/>
      <c r="J7" s="37"/>
      <c r="K7" s="37"/>
      <c r="L7" s="37"/>
      <c r="M7" s="40"/>
    </row>
    <row r="8" spans="1:13">
      <c r="A8" s="35" t="s">
        <v>199</v>
      </c>
      <c r="B8" s="41" t="s">
        <v>12</v>
      </c>
      <c r="C8" s="37"/>
      <c r="D8" s="37"/>
      <c r="E8" s="37"/>
      <c r="F8" s="37"/>
      <c r="G8" s="37"/>
      <c r="H8" s="166"/>
      <c r="I8" s="39"/>
      <c r="J8" s="41"/>
      <c r="K8" s="42"/>
      <c r="L8" s="37"/>
      <c r="M8" s="40"/>
    </row>
    <row r="9" spans="1:13">
      <c r="A9" s="35" t="s">
        <v>200</v>
      </c>
      <c r="B9" s="41" t="s">
        <v>13</v>
      </c>
      <c r="C9" s="37"/>
      <c r="D9" s="37"/>
      <c r="E9" s="37"/>
      <c r="F9" s="37"/>
      <c r="G9" s="37"/>
      <c r="H9" s="166"/>
      <c r="I9" s="39"/>
      <c r="J9" s="37"/>
      <c r="K9" s="37"/>
      <c r="L9" s="37"/>
      <c r="M9" s="40"/>
    </row>
    <row r="10" spans="1:13">
      <c r="A10" s="35" t="s">
        <v>201</v>
      </c>
      <c r="B10" s="41" t="s">
        <v>14</v>
      </c>
      <c r="C10" s="37"/>
      <c r="D10" s="37"/>
      <c r="E10" s="37"/>
      <c r="F10" s="37"/>
      <c r="G10" s="37"/>
      <c r="H10" s="166"/>
      <c r="I10" s="39"/>
      <c r="J10" s="37"/>
      <c r="K10" s="37"/>
      <c r="L10" s="37"/>
      <c r="M10" s="40"/>
    </row>
    <row r="11" spans="1:13">
      <c r="A11" s="35" t="s">
        <v>202</v>
      </c>
      <c r="B11" s="41" t="s">
        <v>15</v>
      </c>
      <c r="C11" s="37"/>
      <c r="D11" s="43" t="s">
        <v>203</v>
      </c>
      <c r="E11" s="37"/>
      <c r="F11" s="37"/>
      <c r="G11" s="37"/>
      <c r="H11" s="166"/>
      <c r="I11" s="39"/>
      <c r="J11" s="37"/>
      <c r="K11" s="37"/>
      <c r="L11" s="37"/>
      <c r="M11" s="40"/>
    </row>
    <row r="12" spans="1:13">
      <c r="A12" s="35" t="s">
        <v>204</v>
      </c>
      <c r="B12" s="41" t="s">
        <v>16</v>
      </c>
      <c r="C12" s="37"/>
      <c r="D12" s="37"/>
      <c r="E12" s="37"/>
      <c r="F12" s="37"/>
      <c r="G12" s="37"/>
      <c r="H12" s="166"/>
      <c r="I12" s="39"/>
      <c r="J12" s="37"/>
      <c r="K12" s="37"/>
      <c r="L12" s="37"/>
      <c r="M12" s="40"/>
    </row>
    <row r="13" spans="1:13">
      <c r="A13" s="35" t="s">
        <v>205</v>
      </c>
      <c r="B13" s="41" t="s">
        <v>17</v>
      </c>
      <c r="C13" s="37"/>
      <c r="D13" s="37"/>
      <c r="E13" s="37"/>
      <c r="F13" s="37"/>
      <c r="G13" s="37"/>
      <c r="H13" s="166"/>
      <c r="I13" s="39"/>
      <c r="J13" s="37"/>
      <c r="K13" s="37"/>
      <c r="L13" s="37"/>
      <c r="M13" s="40"/>
    </row>
    <row r="14" spans="1:13">
      <c r="A14" s="35" t="s">
        <v>206</v>
      </c>
      <c r="B14" s="41" t="s">
        <v>18</v>
      </c>
      <c r="C14" s="37"/>
      <c r="D14" s="37"/>
      <c r="E14" s="37"/>
      <c r="F14" s="37"/>
      <c r="G14" s="37"/>
      <c r="H14" s="166"/>
      <c r="I14" s="39"/>
      <c r="J14" s="37"/>
      <c r="K14" s="37"/>
      <c r="L14" s="37"/>
      <c r="M14" s="40"/>
    </row>
    <row r="15" spans="1:13">
      <c r="A15" s="35" t="s">
        <v>207</v>
      </c>
      <c r="B15" s="41" t="s">
        <v>19</v>
      </c>
      <c r="C15" s="37"/>
      <c r="D15" s="37"/>
      <c r="E15" s="37"/>
      <c r="F15" s="37"/>
      <c r="G15" s="37"/>
      <c r="H15" s="166"/>
      <c r="I15" s="39"/>
      <c r="J15" s="37"/>
      <c r="K15" s="37"/>
      <c r="L15" s="37"/>
      <c r="M15" s="40"/>
    </row>
    <row r="16" spans="1:13">
      <c r="A16" s="35" t="s">
        <v>208</v>
      </c>
      <c r="B16" s="41" t="s">
        <v>20</v>
      </c>
      <c r="C16" s="37"/>
      <c r="D16" s="37"/>
      <c r="E16" s="37"/>
      <c r="F16" s="37"/>
      <c r="G16" s="37"/>
      <c r="H16" s="166"/>
      <c r="I16" s="39"/>
      <c r="J16" s="37"/>
      <c r="K16" s="37"/>
      <c r="L16" s="37"/>
      <c r="M16" s="40"/>
    </row>
    <row r="17" spans="1:13">
      <c r="A17" s="35" t="s">
        <v>209</v>
      </c>
      <c r="B17" s="41" t="s">
        <v>21</v>
      </c>
      <c r="C17" s="37"/>
      <c r="D17" s="37"/>
      <c r="E17" s="37"/>
      <c r="F17" s="37"/>
      <c r="G17" s="37"/>
      <c r="H17" s="166"/>
      <c r="I17" s="39"/>
      <c r="J17" s="37"/>
      <c r="K17" s="37"/>
      <c r="L17" s="37"/>
      <c r="M17" s="40"/>
    </row>
    <row r="18" spans="1:13">
      <c r="A18" s="44" t="s">
        <v>210</v>
      </c>
      <c r="B18" s="45" t="s">
        <v>23</v>
      </c>
      <c r="C18" s="46"/>
      <c r="D18" s="47"/>
      <c r="E18" s="46"/>
      <c r="F18" s="46"/>
      <c r="G18" s="46"/>
      <c r="H18" s="166"/>
      <c r="I18" s="48"/>
      <c r="J18" s="45"/>
      <c r="K18" s="45"/>
      <c r="L18" s="46"/>
      <c r="M18" s="49"/>
    </row>
    <row r="19" spans="1:13">
      <c r="A19" s="44" t="s">
        <v>211</v>
      </c>
      <c r="B19" s="45" t="s">
        <v>24</v>
      </c>
      <c r="C19" s="46"/>
      <c r="D19" s="46"/>
      <c r="E19" s="46"/>
      <c r="F19" s="46"/>
      <c r="G19" s="46"/>
      <c r="H19" s="166"/>
      <c r="I19" s="48"/>
      <c r="J19" s="45"/>
      <c r="K19" s="45"/>
      <c r="L19" s="46"/>
      <c r="M19" s="49"/>
    </row>
    <row r="20" spans="1:13">
      <c r="A20" s="44" t="s">
        <v>212</v>
      </c>
      <c r="B20" s="45" t="s">
        <v>25</v>
      </c>
      <c r="C20" s="46"/>
      <c r="D20" s="50" t="s">
        <v>213</v>
      </c>
      <c r="E20" s="46"/>
      <c r="F20" s="46"/>
      <c r="G20" s="46"/>
      <c r="H20" s="166"/>
      <c r="I20" s="48"/>
      <c r="J20" s="45"/>
      <c r="K20" s="45"/>
      <c r="L20" s="46"/>
      <c r="M20" s="49"/>
    </row>
    <row r="21" spans="1:13" ht="15" thickBot="1">
      <c r="A21" s="51" t="s">
        <v>214</v>
      </c>
      <c r="B21" s="52" t="s">
        <v>26</v>
      </c>
      <c r="C21" s="53"/>
      <c r="D21" s="53"/>
      <c r="E21" s="53"/>
      <c r="F21" s="53"/>
      <c r="G21" s="53"/>
      <c r="H21" s="167"/>
      <c r="I21" s="54"/>
      <c r="J21" s="52"/>
      <c r="K21" s="52"/>
      <c r="L21" s="53"/>
      <c r="M21" s="55"/>
    </row>
    <row r="22" spans="1:13">
      <c r="A22" s="56" t="s">
        <v>215</v>
      </c>
      <c r="B22" s="57" t="s">
        <v>28</v>
      </c>
      <c r="C22" s="58"/>
      <c r="D22" s="59"/>
      <c r="E22" s="58"/>
      <c r="F22" s="58"/>
      <c r="G22" s="60"/>
      <c r="H22" s="169" t="s">
        <v>216</v>
      </c>
      <c r="I22" s="58"/>
      <c r="J22" s="57"/>
      <c r="K22" s="57"/>
      <c r="L22" s="58"/>
      <c r="M22" s="61"/>
    </row>
    <row r="23" spans="1:13">
      <c r="A23" s="62" t="s">
        <v>217</v>
      </c>
      <c r="B23" s="63" t="s">
        <v>29</v>
      </c>
      <c r="C23" s="64"/>
      <c r="D23" s="64"/>
      <c r="E23" s="64"/>
      <c r="F23" s="64"/>
      <c r="G23" s="65"/>
      <c r="H23" s="170"/>
      <c r="I23" s="64"/>
      <c r="J23" s="63"/>
      <c r="K23" s="63"/>
      <c r="L23" s="64"/>
      <c r="M23" s="66"/>
    </row>
    <row r="24" spans="1:13">
      <c r="A24" s="62" t="s">
        <v>218</v>
      </c>
      <c r="B24" s="63" t="s">
        <v>30</v>
      </c>
      <c r="C24" s="64"/>
      <c r="D24" s="67" t="s">
        <v>219</v>
      </c>
      <c r="E24" s="64"/>
      <c r="F24" s="64"/>
      <c r="G24" s="65"/>
      <c r="H24" s="170"/>
      <c r="I24" s="64"/>
      <c r="J24" s="63"/>
      <c r="K24" s="63"/>
      <c r="L24" s="64"/>
      <c r="M24" s="66"/>
    </row>
    <row r="25" spans="1:13">
      <c r="A25" s="62" t="s">
        <v>220</v>
      </c>
      <c r="B25" s="63" t="s">
        <v>31</v>
      </c>
      <c r="C25" s="64"/>
      <c r="D25" s="64"/>
      <c r="E25" s="64"/>
      <c r="F25" s="64"/>
      <c r="G25" s="65"/>
      <c r="H25" s="170"/>
      <c r="I25" s="64"/>
      <c r="J25" s="63"/>
      <c r="K25" s="63"/>
      <c r="L25" s="64"/>
      <c r="M25" s="66"/>
    </row>
    <row r="26" spans="1:13">
      <c r="A26" s="62" t="s">
        <v>221</v>
      </c>
      <c r="B26" s="63" t="s">
        <v>32</v>
      </c>
      <c r="C26" s="64"/>
      <c r="D26" s="64"/>
      <c r="E26" s="64"/>
      <c r="F26" s="64"/>
      <c r="G26" s="65"/>
      <c r="H26" s="170"/>
      <c r="I26" s="64"/>
      <c r="J26" s="63"/>
      <c r="K26" s="63"/>
      <c r="L26" s="64"/>
      <c r="M26" s="66"/>
    </row>
    <row r="27" spans="1:13">
      <c r="A27" s="68" t="s">
        <v>222</v>
      </c>
      <c r="B27" s="69" t="s">
        <v>34</v>
      </c>
      <c r="C27" s="70"/>
      <c r="D27" s="71"/>
      <c r="E27" s="70"/>
      <c r="F27" s="70"/>
      <c r="G27" s="72"/>
      <c r="H27" s="170"/>
      <c r="I27" s="70"/>
      <c r="J27" s="69"/>
      <c r="K27" s="69"/>
      <c r="L27" s="70"/>
      <c r="M27" s="73"/>
    </row>
    <row r="28" spans="1:13">
      <c r="A28" s="68" t="s">
        <v>223</v>
      </c>
      <c r="B28" s="69" t="s">
        <v>35</v>
      </c>
      <c r="C28" s="70"/>
      <c r="D28" s="70"/>
      <c r="E28" s="70"/>
      <c r="F28" s="70"/>
      <c r="G28" s="72"/>
      <c r="H28" s="170"/>
      <c r="I28" s="70"/>
      <c r="J28" s="69"/>
      <c r="K28" s="69"/>
      <c r="L28" s="70"/>
      <c r="M28" s="73"/>
    </row>
    <row r="29" spans="1:13">
      <c r="A29" s="68" t="s">
        <v>224</v>
      </c>
      <c r="B29" s="69" t="s">
        <v>36</v>
      </c>
      <c r="C29" s="70"/>
      <c r="D29" s="74" t="s">
        <v>225</v>
      </c>
      <c r="E29" s="70"/>
      <c r="F29" s="70"/>
      <c r="G29" s="72"/>
      <c r="H29" s="170"/>
      <c r="I29" s="70"/>
      <c r="J29" s="69"/>
      <c r="K29" s="69"/>
      <c r="L29" s="70"/>
      <c r="M29" s="73"/>
    </row>
    <row r="30" spans="1:13">
      <c r="A30" s="68" t="s">
        <v>226</v>
      </c>
      <c r="B30" s="69" t="s">
        <v>37</v>
      </c>
      <c r="C30" s="70"/>
      <c r="D30" s="70"/>
      <c r="E30" s="70"/>
      <c r="F30" s="70"/>
      <c r="G30" s="72"/>
      <c r="H30" s="170"/>
      <c r="I30" s="70"/>
      <c r="J30" s="69"/>
      <c r="K30" s="69"/>
      <c r="L30" s="70"/>
      <c r="M30" s="73"/>
    </row>
    <row r="31" spans="1:13" ht="15" thickBot="1">
      <c r="A31" s="75" t="s">
        <v>227</v>
      </c>
      <c r="B31" s="76" t="s">
        <v>38</v>
      </c>
      <c r="C31" s="77"/>
      <c r="D31" s="77"/>
      <c r="E31" s="77"/>
      <c r="F31" s="77"/>
      <c r="G31" s="78"/>
      <c r="H31" s="171"/>
      <c r="I31" s="77"/>
      <c r="J31" s="76"/>
      <c r="K31" s="76"/>
      <c r="L31" s="77"/>
      <c r="M31" s="79"/>
    </row>
    <row r="32" spans="1:13">
      <c r="A32" s="80" t="s">
        <v>228</v>
      </c>
      <c r="B32" s="81" t="s">
        <v>40</v>
      </c>
      <c r="C32" s="82"/>
      <c r="D32" s="83"/>
      <c r="E32" s="84"/>
      <c r="F32" s="84"/>
      <c r="G32" s="85"/>
      <c r="H32" s="172" t="s">
        <v>229</v>
      </c>
      <c r="I32" s="84"/>
      <c r="J32" s="83"/>
      <c r="K32" s="83"/>
      <c r="L32" s="84"/>
      <c r="M32" s="86"/>
    </row>
    <row r="33" spans="1:13">
      <c r="A33" s="87" t="s">
        <v>230</v>
      </c>
      <c r="B33" s="88" t="s">
        <v>41</v>
      </c>
      <c r="C33" s="89"/>
      <c r="D33" s="89"/>
      <c r="E33" s="89"/>
      <c r="F33" s="89"/>
      <c r="G33" s="90"/>
      <c r="H33" s="173"/>
      <c r="I33" s="89"/>
      <c r="J33" s="88"/>
      <c r="K33" s="88"/>
      <c r="L33" s="89"/>
      <c r="M33" s="91"/>
    </row>
    <row r="34" spans="1:13">
      <c r="A34" s="87" t="s">
        <v>231</v>
      </c>
      <c r="B34" s="88" t="s">
        <v>42</v>
      </c>
      <c r="C34" s="89"/>
      <c r="D34" s="92" t="s">
        <v>232</v>
      </c>
      <c r="E34" s="89"/>
      <c r="F34" s="89"/>
      <c r="G34" s="90"/>
      <c r="H34" s="173"/>
      <c r="I34" s="89"/>
      <c r="J34" s="88"/>
      <c r="K34" s="88"/>
      <c r="L34" s="89"/>
      <c r="M34" s="91"/>
    </row>
    <row r="35" spans="1:13">
      <c r="A35" s="87" t="s">
        <v>233</v>
      </c>
      <c r="B35" s="88" t="s">
        <v>43</v>
      </c>
      <c r="C35" s="89"/>
      <c r="D35" s="89"/>
      <c r="E35" s="89"/>
      <c r="F35" s="89"/>
      <c r="G35" s="90"/>
      <c r="H35" s="173"/>
      <c r="I35" s="89"/>
      <c r="J35" s="88"/>
      <c r="K35" s="88"/>
      <c r="L35" s="89"/>
      <c r="M35" s="91"/>
    </row>
    <row r="36" spans="1:13">
      <c r="A36" s="87" t="s">
        <v>234</v>
      </c>
      <c r="B36" s="88" t="s">
        <v>44</v>
      </c>
      <c r="C36" s="89"/>
      <c r="D36" s="89"/>
      <c r="E36" s="89"/>
      <c r="F36" s="89"/>
      <c r="G36" s="90"/>
      <c r="H36" s="173"/>
      <c r="I36" s="89"/>
      <c r="J36" s="88"/>
      <c r="K36" s="88"/>
      <c r="L36" s="89"/>
      <c r="M36" s="91"/>
    </row>
    <row r="37" spans="1:13">
      <c r="A37" s="93" t="s">
        <v>235</v>
      </c>
      <c r="B37" s="94" t="s">
        <v>46</v>
      </c>
      <c r="C37" s="95"/>
      <c r="D37" s="96"/>
      <c r="E37" s="95"/>
      <c r="F37" s="95"/>
      <c r="G37" s="97"/>
      <c r="H37" s="173"/>
      <c r="I37" s="95"/>
      <c r="J37" s="94"/>
      <c r="K37" s="94"/>
      <c r="L37" s="95"/>
      <c r="M37" s="98"/>
    </row>
    <row r="38" spans="1:13">
      <c r="A38" s="93" t="s">
        <v>236</v>
      </c>
      <c r="B38" s="94" t="s">
        <v>47</v>
      </c>
      <c r="C38" s="95"/>
      <c r="D38" s="99" t="s">
        <v>237</v>
      </c>
      <c r="E38" s="95"/>
      <c r="F38" s="95"/>
      <c r="G38" s="97"/>
      <c r="H38" s="173"/>
      <c r="I38" s="95"/>
      <c r="J38" s="94"/>
      <c r="K38" s="94"/>
      <c r="L38" s="95"/>
      <c r="M38" s="98"/>
    </row>
    <row r="39" spans="1:13">
      <c r="A39" s="93" t="s">
        <v>238</v>
      </c>
      <c r="B39" s="94" t="s">
        <v>48</v>
      </c>
      <c r="C39" s="95"/>
      <c r="D39" s="95"/>
      <c r="E39" s="95"/>
      <c r="F39" s="95"/>
      <c r="G39" s="97"/>
      <c r="H39" s="173"/>
      <c r="I39" s="95"/>
      <c r="J39" s="94"/>
      <c r="K39" s="94"/>
      <c r="L39" s="95"/>
      <c r="M39" s="98"/>
    </row>
    <row r="40" spans="1:13">
      <c r="A40" s="100" t="s">
        <v>239</v>
      </c>
      <c r="B40" s="101" t="s">
        <v>50</v>
      </c>
      <c r="C40" s="102"/>
      <c r="D40" s="103"/>
      <c r="E40" s="104"/>
      <c r="F40" s="104"/>
      <c r="G40" s="105"/>
      <c r="H40" s="173"/>
      <c r="I40" s="102"/>
      <c r="J40" s="101"/>
      <c r="K40" s="101"/>
      <c r="L40" s="102"/>
      <c r="M40" s="106"/>
    </row>
    <row r="41" spans="1:13">
      <c r="A41" s="100" t="s">
        <v>240</v>
      </c>
      <c r="B41" s="101" t="s">
        <v>51</v>
      </c>
      <c r="C41" s="102"/>
      <c r="D41" s="102"/>
      <c r="E41" s="102"/>
      <c r="F41" s="102"/>
      <c r="G41" s="105"/>
      <c r="H41" s="173"/>
      <c r="I41" s="102"/>
      <c r="J41" s="101"/>
      <c r="K41" s="101"/>
      <c r="L41" s="102"/>
      <c r="M41" s="106"/>
    </row>
    <row r="42" spans="1:13">
      <c r="A42" s="100" t="s">
        <v>241</v>
      </c>
      <c r="B42" s="101" t="s">
        <v>52</v>
      </c>
      <c r="C42" s="102"/>
      <c r="D42" s="103" t="s">
        <v>242</v>
      </c>
      <c r="E42" s="102"/>
      <c r="F42" s="102"/>
      <c r="G42" s="105"/>
      <c r="H42" s="173"/>
      <c r="I42" s="102"/>
      <c r="J42" s="101"/>
      <c r="K42" s="101"/>
      <c r="L42" s="102"/>
      <c r="M42" s="106"/>
    </row>
    <row r="43" spans="1:13">
      <c r="A43" s="100" t="s">
        <v>243</v>
      </c>
      <c r="B43" s="101" t="s">
        <v>53</v>
      </c>
      <c r="C43" s="102"/>
      <c r="D43" s="102"/>
      <c r="E43" s="102"/>
      <c r="F43" s="102"/>
      <c r="G43" s="105"/>
      <c r="H43" s="173"/>
      <c r="I43" s="102"/>
      <c r="J43" s="101"/>
      <c r="K43" s="101"/>
      <c r="L43" s="102"/>
      <c r="M43" s="106"/>
    </row>
    <row r="44" spans="1:13" ht="15" thickBot="1">
      <c r="A44" s="107" t="s">
        <v>244</v>
      </c>
      <c r="B44" s="108" t="s">
        <v>54</v>
      </c>
      <c r="C44" s="109"/>
      <c r="D44" s="109"/>
      <c r="E44" s="109"/>
      <c r="F44" s="109"/>
      <c r="G44" s="110"/>
      <c r="H44" s="174"/>
      <c r="I44" s="109"/>
      <c r="J44" s="108"/>
      <c r="K44" s="108"/>
      <c r="L44" s="109"/>
      <c r="M44" s="111"/>
    </row>
    <row r="45" spans="1:13">
      <c r="A45" s="80" t="s">
        <v>245</v>
      </c>
      <c r="B45" s="81" t="s">
        <v>246</v>
      </c>
      <c r="C45" s="82"/>
      <c r="D45" s="82"/>
      <c r="E45" s="112"/>
      <c r="F45" s="82"/>
      <c r="G45" s="82"/>
      <c r="H45" s="165" t="s">
        <v>247</v>
      </c>
      <c r="I45" s="82"/>
      <c r="J45" s="81"/>
      <c r="K45" s="81"/>
      <c r="L45" s="82"/>
      <c r="M45" s="113"/>
    </row>
    <row r="46" spans="1:13">
      <c r="A46" s="87" t="s">
        <v>248</v>
      </c>
      <c r="B46" s="88" t="s">
        <v>249</v>
      </c>
      <c r="C46" s="89"/>
      <c r="D46" s="89"/>
      <c r="E46" s="89"/>
      <c r="F46" s="89"/>
      <c r="G46" s="89"/>
      <c r="H46" s="166"/>
      <c r="I46" s="89"/>
      <c r="J46" s="88"/>
      <c r="K46" s="88"/>
      <c r="L46" s="89"/>
      <c r="M46" s="91"/>
    </row>
    <row r="47" spans="1:13">
      <c r="A47" s="87" t="s">
        <v>250</v>
      </c>
      <c r="B47" s="88" t="s">
        <v>58</v>
      </c>
      <c r="C47" s="89"/>
      <c r="D47" s="89"/>
      <c r="E47" s="89"/>
      <c r="F47" s="89"/>
      <c r="G47" s="89"/>
      <c r="H47" s="166"/>
      <c r="I47" s="89"/>
      <c r="J47" s="88"/>
      <c r="K47" s="88"/>
      <c r="L47" s="89"/>
      <c r="M47" s="91"/>
    </row>
    <row r="48" spans="1:13">
      <c r="A48" s="87" t="s">
        <v>251</v>
      </c>
      <c r="B48" s="88" t="s">
        <v>59</v>
      </c>
      <c r="C48" s="89"/>
      <c r="D48" s="89"/>
      <c r="E48" s="89"/>
      <c r="F48" s="89"/>
      <c r="G48" s="89"/>
      <c r="H48" s="166"/>
      <c r="I48" s="89"/>
      <c r="J48" s="88"/>
      <c r="K48" s="88"/>
      <c r="L48" s="89"/>
      <c r="M48" s="91"/>
    </row>
    <row r="49" spans="1:13">
      <c r="A49" s="87" t="s">
        <v>252</v>
      </c>
      <c r="B49" s="88" t="s">
        <v>60</v>
      </c>
      <c r="C49" s="89"/>
      <c r="D49" s="89"/>
      <c r="E49" s="114" t="s">
        <v>253</v>
      </c>
      <c r="F49" s="89"/>
      <c r="G49" s="89"/>
      <c r="H49" s="166"/>
      <c r="I49" s="89"/>
      <c r="J49" s="88"/>
      <c r="K49" s="88"/>
      <c r="L49" s="89"/>
      <c r="M49" s="91"/>
    </row>
    <row r="50" spans="1:13">
      <c r="A50" s="87" t="s">
        <v>254</v>
      </c>
      <c r="B50" s="88" t="s">
        <v>61</v>
      </c>
      <c r="C50" s="89"/>
      <c r="D50" s="89"/>
      <c r="E50" s="89"/>
      <c r="F50" s="89"/>
      <c r="G50" s="89"/>
      <c r="H50" s="166"/>
      <c r="I50" s="89"/>
      <c r="J50" s="88"/>
      <c r="K50" s="88"/>
      <c r="L50" s="89"/>
      <c r="M50" s="91"/>
    </row>
    <row r="51" spans="1:13">
      <c r="A51" s="87" t="s">
        <v>255</v>
      </c>
      <c r="B51" s="88" t="s">
        <v>62</v>
      </c>
      <c r="C51" s="89"/>
      <c r="D51" s="89"/>
      <c r="E51" s="89"/>
      <c r="F51" s="89"/>
      <c r="G51" s="89"/>
      <c r="H51" s="166"/>
      <c r="I51" s="89"/>
      <c r="J51" s="88"/>
      <c r="K51" s="88"/>
      <c r="L51" s="89"/>
      <c r="M51" s="91"/>
    </row>
    <row r="52" spans="1:13" ht="15" thickBot="1">
      <c r="A52" s="115" t="s">
        <v>256</v>
      </c>
      <c r="B52" s="116" t="s">
        <v>63</v>
      </c>
      <c r="C52" s="117"/>
      <c r="D52" s="117"/>
      <c r="E52" s="117"/>
      <c r="F52" s="117"/>
      <c r="G52" s="117"/>
      <c r="H52" s="167"/>
      <c r="I52" s="117"/>
      <c r="J52" s="116"/>
      <c r="K52" s="116"/>
      <c r="L52" s="117"/>
      <c r="M52" s="118"/>
    </row>
    <row r="53" spans="1:13">
      <c r="A53" s="23" t="s">
        <v>257</v>
      </c>
      <c r="B53" s="119" t="s">
        <v>65</v>
      </c>
      <c r="C53" s="25"/>
      <c r="D53" s="120"/>
      <c r="E53" s="25"/>
      <c r="F53" s="25"/>
      <c r="G53" s="25"/>
      <c r="H53" s="162" t="s">
        <v>258</v>
      </c>
      <c r="I53" s="25"/>
      <c r="J53" s="119"/>
      <c r="K53" s="119"/>
      <c r="L53" s="25"/>
      <c r="M53" s="28"/>
    </row>
    <row r="54" spans="1:13">
      <c r="A54" s="29" t="s">
        <v>259</v>
      </c>
      <c r="B54" s="121" t="s">
        <v>66</v>
      </c>
      <c r="C54" s="31"/>
      <c r="D54" s="31"/>
      <c r="E54" s="31"/>
      <c r="F54" s="31"/>
      <c r="G54" s="31"/>
      <c r="H54" s="163"/>
      <c r="I54" s="31"/>
      <c r="J54" s="121"/>
      <c r="K54" s="121"/>
      <c r="L54" s="31"/>
      <c r="M54" s="33"/>
    </row>
    <row r="55" spans="1:13">
      <c r="A55" s="29" t="s">
        <v>260</v>
      </c>
      <c r="B55" s="121" t="s">
        <v>67</v>
      </c>
      <c r="C55" s="31"/>
      <c r="D55" s="122" t="s">
        <v>261</v>
      </c>
      <c r="E55" s="31"/>
      <c r="F55" s="31"/>
      <c r="G55" s="31"/>
      <c r="H55" s="163"/>
      <c r="I55" s="31"/>
      <c r="J55" s="121"/>
      <c r="K55" s="121"/>
      <c r="L55" s="31"/>
      <c r="M55" s="33"/>
    </row>
    <row r="56" spans="1:13">
      <c r="A56" s="29" t="s">
        <v>262</v>
      </c>
      <c r="B56" s="121" t="s">
        <v>68</v>
      </c>
      <c r="C56" s="31"/>
      <c r="D56" s="31"/>
      <c r="E56" s="31"/>
      <c r="F56" s="31"/>
      <c r="G56" s="31"/>
      <c r="H56" s="163"/>
      <c r="I56" s="31"/>
      <c r="J56" s="121"/>
      <c r="K56" s="121"/>
      <c r="L56" s="31"/>
      <c r="M56" s="33"/>
    </row>
    <row r="57" spans="1:13">
      <c r="A57" s="29" t="s">
        <v>263</v>
      </c>
      <c r="B57" s="121" t="s">
        <v>69</v>
      </c>
      <c r="C57" s="31"/>
      <c r="D57" s="31"/>
      <c r="E57" s="31"/>
      <c r="F57" s="31"/>
      <c r="G57" s="31"/>
      <c r="H57" s="163"/>
      <c r="I57" s="31"/>
      <c r="J57" s="121"/>
      <c r="K57" s="121"/>
      <c r="L57" s="31"/>
      <c r="M57" s="33"/>
    </row>
    <row r="58" spans="1:13">
      <c r="A58" s="68" t="s">
        <v>264</v>
      </c>
      <c r="B58" s="69" t="s">
        <v>71</v>
      </c>
      <c r="C58" s="70"/>
      <c r="D58" s="71"/>
      <c r="E58" s="70"/>
      <c r="F58" s="70"/>
      <c r="G58" s="70"/>
      <c r="H58" s="163"/>
      <c r="I58" s="70"/>
      <c r="J58" s="69"/>
      <c r="K58" s="69"/>
      <c r="L58" s="70"/>
      <c r="M58" s="73"/>
    </row>
    <row r="59" spans="1:13">
      <c r="A59" s="68" t="s">
        <v>265</v>
      </c>
      <c r="B59" s="69" t="s">
        <v>72</v>
      </c>
      <c r="C59" s="70"/>
      <c r="D59" s="70"/>
      <c r="E59" s="70"/>
      <c r="F59" s="70"/>
      <c r="G59" s="70"/>
      <c r="H59" s="163"/>
      <c r="I59" s="70"/>
      <c r="J59" s="69"/>
      <c r="K59" s="69"/>
      <c r="L59" s="70"/>
      <c r="M59" s="73"/>
    </row>
    <row r="60" spans="1:13">
      <c r="A60" s="68" t="s">
        <v>266</v>
      </c>
      <c r="B60" s="69" t="s">
        <v>73</v>
      </c>
      <c r="C60" s="70"/>
      <c r="D60" s="70"/>
      <c r="E60" s="70"/>
      <c r="F60" s="70"/>
      <c r="G60" s="70"/>
      <c r="H60" s="163"/>
      <c r="I60" s="70"/>
      <c r="J60" s="69"/>
      <c r="K60" s="69"/>
      <c r="L60" s="70"/>
      <c r="M60" s="73"/>
    </row>
    <row r="61" spans="1:13">
      <c r="A61" s="68" t="s">
        <v>267</v>
      </c>
      <c r="B61" s="69" t="s">
        <v>74</v>
      </c>
      <c r="C61" s="70"/>
      <c r="D61" s="70"/>
      <c r="E61" s="70"/>
      <c r="F61" s="70"/>
      <c r="G61" s="70"/>
      <c r="H61" s="163"/>
      <c r="I61" s="70"/>
      <c r="J61" s="69"/>
      <c r="K61" s="69"/>
      <c r="L61" s="70"/>
      <c r="M61" s="73"/>
    </row>
    <row r="62" spans="1:13">
      <c r="A62" s="68" t="s">
        <v>268</v>
      </c>
      <c r="B62" s="69" t="s">
        <v>75</v>
      </c>
      <c r="C62" s="70"/>
      <c r="D62" s="70"/>
      <c r="E62" s="70"/>
      <c r="F62" s="70"/>
      <c r="G62" s="70"/>
      <c r="H62" s="163"/>
      <c r="I62" s="70"/>
      <c r="J62" s="69"/>
      <c r="K62" s="69"/>
      <c r="L62" s="70"/>
      <c r="M62" s="73"/>
    </row>
    <row r="63" spans="1:13">
      <c r="A63" s="68" t="s">
        <v>269</v>
      </c>
      <c r="B63" s="69" t="s">
        <v>76</v>
      </c>
      <c r="C63" s="70"/>
      <c r="D63" s="74" t="s">
        <v>270</v>
      </c>
      <c r="E63" s="70"/>
      <c r="F63" s="70"/>
      <c r="G63" s="70"/>
      <c r="H63" s="163"/>
      <c r="I63" s="70"/>
      <c r="J63" s="69"/>
      <c r="K63" s="69"/>
      <c r="L63" s="70"/>
      <c r="M63" s="73"/>
    </row>
    <row r="64" spans="1:13">
      <c r="A64" s="68" t="s">
        <v>271</v>
      </c>
      <c r="B64" s="69" t="s">
        <v>77</v>
      </c>
      <c r="C64" s="70"/>
      <c r="D64" s="70"/>
      <c r="E64" s="70"/>
      <c r="F64" s="70"/>
      <c r="G64" s="70"/>
      <c r="H64" s="163"/>
      <c r="I64" s="70"/>
      <c r="J64" s="69"/>
      <c r="K64" s="69"/>
      <c r="L64" s="70"/>
      <c r="M64" s="73"/>
    </row>
    <row r="65" spans="1:13">
      <c r="A65" s="68" t="s">
        <v>272</v>
      </c>
      <c r="B65" s="69" t="s">
        <v>78</v>
      </c>
      <c r="C65" s="70"/>
      <c r="D65" s="70"/>
      <c r="E65" s="70"/>
      <c r="F65" s="70"/>
      <c r="G65" s="70"/>
      <c r="H65" s="163"/>
      <c r="I65" s="70"/>
      <c r="J65" s="69"/>
      <c r="K65" s="69"/>
      <c r="L65" s="70"/>
      <c r="M65" s="73"/>
    </row>
    <row r="66" spans="1:13">
      <c r="A66" s="68" t="s">
        <v>273</v>
      </c>
      <c r="B66" s="69" t="s">
        <v>79</v>
      </c>
      <c r="C66" s="70"/>
      <c r="D66" s="70"/>
      <c r="E66" s="70"/>
      <c r="F66" s="70"/>
      <c r="G66" s="70"/>
      <c r="H66" s="163"/>
      <c r="I66" s="70"/>
      <c r="J66" s="69"/>
      <c r="K66" s="69"/>
      <c r="L66" s="70"/>
      <c r="M66" s="73"/>
    </row>
    <row r="67" spans="1:13">
      <c r="A67" s="68" t="s">
        <v>274</v>
      </c>
      <c r="B67" s="69" t="s">
        <v>80</v>
      </c>
      <c r="C67" s="70"/>
      <c r="D67" s="70"/>
      <c r="E67" s="70"/>
      <c r="F67" s="70"/>
      <c r="G67" s="70"/>
      <c r="H67" s="163"/>
      <c r="I67" s="70"/>
      <c r="J67" s="69"/>
      <c r="K67" s="69"/>
      <c r="L67" s="70"/>
      <c r="M67" s="73"/>
    </row>
    <row r="68" spans="1:13">
      <c r="A68" s="68" t="s">
        <v>275</v>
      </c>
      <c r="B68" s="69" t="s">
        <v>81</v>
      </c>
      <c r="C68" s="70"/>
      <c r="D68" s="70"/>
      <c r="E68" s="70"/>
      <c r="F68" s="70"/>
      <c r="G68" s="70"/>
      <c r="H68" s="163"/>
      <c r="I68" s="70"/>
      <c r="J68" s="69"/>
      <c r="K68" s="69"/>
      <c r="L68" s="70"/>
      <c r="M68" s="73"/>
    </row>
    <row r="69" spans="1:13">
      <c r="A69" s="68" t="s">
        <v>276</v>
      </c>
      <c r="B69" s="69" t="s">
        <v>82</v>
      </c>
      <c r="C69" s="70"/>
      <c r="D69" s="70"/>
      <c r="E69" s="70"/>
      <c r="F69" s="70"/>
      <c r="G69" s="70"/>
      <c r="H69" s="163"/>
      <c r="I69" s="70"/>
      <c r="J69" s="69"/>
      <c r="K69" s="69"/>
      <c r="L69" s="70"/>
      <c r="M69" s="73"/>
    </row>
    <row r="70" spans="1:13" ht="15" thickBot="1">
      <c r="A70" s="75" t="s">
        <v>277</v>
      </c>
      <c r="B70" s="76" t="s">
        <v>83</v>
      </c>
      <c r="C70" s="77"/>
      <c r="D70" s="77"/>
      <c r="E70" s="77"/>
      <c r="F70" s="77"/>
      <c r="G70" s="77"/>
      <c r="H70" s="164"/>
      <c r="I70" s="77"/>
      <c r="J70" s="76"/>
      <c r="K70" s="76"/>
      <c r="L70" s="77"/>
      <c r="M70" s="79"/>
    </row>
    <row r="71" spans="1:13">
      <c r="A71" s="123" t="s">
        <v>278</v>
      </c>
      <c r="B71" s="124" t="s">
        <v>85</v>
      </c>
      <c r="C71" s="125"/>
      <c r="D71" s="126"/>
      <c r="E71" s="125"/>
      <c r="F71" s="125"/>
      <c r="G71" s="37"/>
      <c r="H71" s="125"/>
      <c r="I71" s="125"/>
      <c r="J71" s="127"/>
      <c r="K71" s="127"/>
      <c r="L71" s="125"/>
      <c r="M71" s="128"/>
    </row>
    <row r="72" spans="1:13">
      <c r="A72" s="35" t="s">
        <v>279</v>
      </c>
      <c r="B72" s="124" t="s">
        <v>86</v>
      </c>
      <c r="C72" s="37"/>
      <c r="D72" s="37"/>
      <c r="E72" s="37"/>
      <c r="F72" s="37"/>
      <c r="G72" s="37"/>
      <c r="H72" s="129" t="s">
        <v>280</v>
      </c>
      <c r="I72" s="130"/>
      <c r="J72" s="131"/>
      <c r="K72" s="131"/>
      <c r="L72" s="37"/>
      <c r="M72" s="40"/>
    </row>
    <row r="73" spans="1:13">
      <c r="A73" s="35" t="s">
        <v>281</v>
      </c>
      <c r="B73" s="124" t="s">
        <v>87</v>
      </c>
      <c r="C73" s="37"/>
      <c r="D73" s="43" t="s">
        <v>282</v>
      </c>
      <c r="E73" s="37"/>
      <c r="F73" s="42"/>
      <c r="G73" s="37"/>
      <c r="H73" s="37"/>
      <c r="I73" s="37"/>
      <c r="J73" s="41"/>
      <c r="K73" s="41"/>
      <c r="L73" s="37"/>
      <c r="M73" s="40"/>
    </row>
    <row r="74" spans="1:13" ht="15" thickBot="1">
      <c r="A74" s="132" t="s">
        <v>283</v>
      </c>
      <c r="B74" s="124" t="s">
        <v>88</v>
      </c>
      <c r="C74" s="133"/>
      <c r="D74" s="133"/>
      <c r="E74" s="133"/>
      <c r="F74" s="133"/>
      <c r="G74" s="133"/>
      <c r="H74" s="133"/>
      <c r="I74" s="133"/>
      <c r="J74" s="134"/>
      <c r="K74" s="134"/>
      <c r="L74" s="133"/>
      <c r="M74" s="135"/>
    </row>
    <row r="75" spans="1:13" ht="15" thickBot="1">
      <c r="A75" s="136" t="s">
        <v>284</v>
      </c>
      <c r="B75" s="137" t="s">
        <v>285</v>
      </c>
      <c r="C75" s="138"/>
      <c r="D75" s="139" t="s">
        <v>286</v>
      </c>
      <c r="E75" s="138"/>
      <c r="F75" s="138"/>
      <c r="G75" s="138"/>
      <c r="H75" s="138"/>
      <c r="I75" s="138"/>
      <c r="J75" s="140"/>
      <c r="K75" s="140"/>
      <c r="L75" s="138"/>
      <c r="M75" s="141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9"/>
  <sheetViews>
    <sheetView showGridLines="0" tabSelected="1" zoomScale="120" zoomScaleNormal="120" workbookViewId="0">
      <selection activeCell="K26" sqref="K26"/>
    </sheetView>
  </sheetViews>
  <sheetFormatPr defaultRowHeight="14.4"/>
  <cols>
    <col min="1" max="1" width="38.5546875" customWidth="1"/>
    <col min="3" max="8" width="7.44140625" customWidth="1"/>
    <col min="9" max="9" width="16.6640625" customWidth="1"/>
    <col min="10" max="10" width="16.5546875" customWidth="1"/>
    <col min="11" max="11" width="6.109375" customWidth="1"/>
    <col min="12" max="12" width="7.44140625" customWidth="1"/>
  </cols>
  <sheetData>
    <row r="1" spans="1:12">
      <c r="A1" s="199" t="s">
        <v>288</v>
      </c>
      <c r="B1" s="199"/>
      <c r="C1" s="199"/>
      <c r="D1" s="199"/>
      <c r="E1" s="199"/>
      <c r="F1" s="199"/>
      <c r="G1" s="199"/>
      <c r="H1" s="199"/>
      <c r="I1" s="199"/>
      <c r="J1" s="199"/>
    </row>
    <row r="2" spans="1:12">
      <c r="A2" s="200" t="s">
        <v>289</v>
      </c>
      <c r="B2" s="200"/>
      <c r="C2" s="200"/>
      <c r="D2" s="200"/>
      <c r="E2" s="200"/>
      <c r="F2" s="200"/>
      <c r="G2" s="200"/>
      <c r="H2" s="200"/>
      <c r="I2" s="200"/>
      <c r="J2" s="200"/>
    </row>
    <row r="3" spans="1:12" ht="15" thickBot="1">
      <c r="A3" s="202" t="s">
        <v>0</v>
      </c>
      <c r="B3" s="202"/>
      <c r="C3" s="202"/>
      <c r="D3" s="1"/>
      <c r="E3" s="1"/>
      <c r="F3" s="201" t="s">
        <v>187</v>
      </c>
      <c r="G3" s="201"/>
      <c r="H3" s="201"/>
      <c r="I3" s="201"/>
      <c r="J3" s="201"/>
      <c r="K3" s="21"/>
      <c r="L3" s="21"/>
    </row>
    <row r="4" spans="1:12" ht="14.4" customHeight="1">
      <c r="A4" s="203" t="s">
        <v>1</v>
      </c>
      <c r="B4" s="207" t="s">
        <v>290</v>
      </c>
      <c r="C4" s="192" t="s">
        <v>184</v>
      </c>
      <c r="D4" s="211"/>
      <c r="E4" s="216" t="s">
        <v>185</v>
      </c>
      <c r="F4" s="217"/>
      <c r="G4" s="192" t="s">
        <v>186</v>
      </c>
      <c r="H4" s="193"/>
      <c r="I4" s="203" t="s">
        <v>90</v>
      </c>
      <c r="J4" s="203"/>
      <c r="K4" s="19"/>
      <c r="L4" s="6"/>
    </row>
    <row r="5" spans="1:12">
      <c r="A5" s="204"/>
      <c r="B5" s="208"/>
      <c r="C5" s="212"/>
      <c r="D5" s="213"/>
      <c r="E5" s="218"/>
      <c r="F5" s="219"/>
      <c r="G5" s="194"/>
      <c r="H5" s="195"/>
      <c r="I5" s="204"/>
      <c r="J5" s="204"/>
      <c r="K5" s="19"/>
      <c r="L5" s="6"/>
    </row>
    <row r="6" spans="1:12">
      <c r="A6" s="204"/>
      <c r="B6" s="209"/>
      <c r="C6" s="214"/>
      <c r="D6" s="215"/>
      <c r="E6" s="220"/>
      <c r="F6" s="221"/>
      <c r="G6" s="196"/>
      <c r="H6" s="197"/>
      <c r="I6" s="204"/>
      <c r="J6" s="204"/>
      <c r="K6" s="19"/>
      <c r="L6" s="6"/>
    </row>
    <row r="7" spans="1:12">
      <c r="A7" s="205"/>
      <c r="B7" s="210"/>
      <c r="C7" s="2">
        <v>1</v>
      </c>
      <c r="D7" s="2">
        <v>2</v>
      </c>
      <c r="E7" s="2">
        <v>1</v>
      </c>
      <c r="F7" s="2">
        <v>2</v>
      </c>
      <c r="G7" s="3">
        <v>1</v>
      </c>
      <c r="H7" s="142">
        <v>2</v>
      </c>
      <c r="I7" s="205"/>
      <c r="J7" s="205"/>
      <c r="K7" s="19"/>
      <c r="L7" s="6"/>
    </row>
    <row r="8" spans="1:12" ht="11.4" customHeight="1">
      <c r="A8" s="188" t="s">
        <v>2</v>
      </c>
      <c r="B8" s="190">
        <f>SUM(B10,B18,,B27,B32,B38,B45,B52,B59,B64,B71,B81,B88,B103)</f>
        <v>146496</v>
      </c>
      <c r="C8" s="191">
        <f>SUM(C10,C18,,C27,C32,C38,C45,C52,C59,C64,C71,C81,C88,C103)</f>
        <v>133648</v>
      </c>
      <c r="D8" s="191">
        <f t="shared" ref="D8:H8" si="0">SUM(D10,D18,,D27,D32,D38,D45,D52,D59,D64,D71,D81,D88,D103)</f>
        <v>483810.62599999993</v>
      </c>
      <c r="E8" s="191">
        <f t="shared" si="0"/>
        <v>12845</v>
      </c>
      <c r="F8" s="191">
        <f t="shared" si="0"/>
        <v>11425.075000000001</v>
      </c>
      <c r="G8" s="191">
        <f>SUM(G10,G18,,G27,G32,G38,G45,G52,G59,G64,G71,G81,G88,G103)</f>
        <v>3</v>
      </c>
      <c r="H8" s="198">
        <f t="shared" si="0"/>
        <v>3.9</v>
      </c>
      <c r="I8" s="206" t="s">
        <v>91</v>
      </c>
      <c r="J8" s="206"/>
      <c r="K8" s="7"/>
      <c r="L8" s="8"/>
    </row>
    <row r="9" spans="1:12" ht="11.4" customHeight="1">
      <c r="A9" s="189"/>
      <c r="B9" s="181"/>
      <c r="C9" s="178"/>
      <c r="D9" s="178"/>
      <c r="E9" s="178"/>
      <c r="F9" s="178"/>
      <c r="G9" s="178"/>
      <c r="H9" s="179"/>
      <c r="I9" s="199"/>
      <c r="J9" s="199"/>
      <c r="K9" s="7"/>
      <c r="L9" s="150"/>
    </row>
    <row r="10" spans="1:12" ht="11.4" customHeight="1">
      <c r="A10" s="187" t="s">
        <v>3</v>
      </c>
      <c r="B10" s="181">
        <f>SUM(C10,E10,G10)</f>
        <v>24636</v>
      </c>
      <c r="C10" s="178">
        <f>SUM(C12:C17)</f>
        <v>23989</v>
      </c>
      <c r="D10" s="178">
        <f t="shared" ref="D10:H10" si="1">SUM(D12:D17)</f>
        <v>73323.501000000004</v>
      </c>
      <c r="E10" s="178">
        <f t="shared" si="1"/>
        <v>647</v>
      </c>
      <c r="F10" s="178">
        <f t="shared" si="1"/>
        <v>359.5</v>
      </c>
      <c r="G10" s="178">
        <f t="shared" si="1"/>
        <v>0</v>
      </c>
      <c r="H10" s="179">
        <f t="shared" si="1"/>
        <v>0</v>
      </c>
      <c r="I10" s="182" t="s">
        <v>92</v>
      </c>
      <c r="J10" s="182"/>
      <c r="K10" s="7"/>
      <c r="L10" s="7"/>
    </row>
    <row r="11" spans="1:12" s="149" customFormat="1" ht="11.4" customHeight="1">
      <c r="A11" s="187"/>
      <c r="B11" s="181"/>
      <c r="C11" s="178"/>
      <c r="D11" s="178"/>
      <c r="E11" s="178"/>
      <c r="F11" s="178"/>
      <c r="G11" s="178"/>
      <c r="H11" s="179"/>
      <c r="I11" s="182"/>
      <c r="J11" s="182"/>
      <c r="K11" s="7"/>
      <c r="L11" s="7"/>
    </row>
    <row r="12" spans="1:12" ht="11.4" customHeight="1">
      <c r="A12" s="4" t="s">
        <v>4</v>
      </c>
      <c r="B12" s="152">
        <f t="shared" ref="B12:B17" si="2">SUM(C12,E12,G12)</f>
        <v>930</v>
      </c>
      <c r="C12" s="144">
        <v>930</v>
      </c>
      <c r="D12" s="144">
        <v>4312.6000000000004</v>
      </c>
      <c r="E12" s="145" t="s">
        <v>287</v>
      </c>
      <c r="F12" s="145" t="s">
        <v>287</v>
      </c>
      <c r="G12" s="145" t="s">
        <v>287</v>
      </c>
      <c r="H12" s="153" t="s">
        <v>287</v>
      </c>
      <c r="I12" s="20" t="s">
        <v>93</v>
      </c>
      <c r="J12" s="8"/>
      <c r="K12" s="8"/>
      <c r="L12" s="8"/>
    </row>
    <row r="13" spans="1:12" ht="11.4" customHeight="1">
      <c r="A13" s="4" t="s">
        <v>5</v>
      </c>
      <c r="B13" s="152">
        <f t="shared" si="2"/>
        <v>2951</v>
      </c>
      <c r="C13" s="144">
        <v>2445</v>
      </c>
      <c r="D13" s="144">
        <v>5818</v>
      </c>
      <c r="E13" s="144">
        <v>506</v>
      </c>
      <c r="F13" s="144">
        <v>254.5</v>
      </c>
      <c r="G13" s="145" t="s">
        <v>287</v>
      </c>
      <c r="H13" s="153" t="s">
        <v>287</v>
      </c>
      <c r="I13" s="20" t="s">
        <v>94</v>
      </c>
      <c r="J13" s="8"/>
      <c r="K13" s="8"/>
      <c r="L13" s="8"/>
    </row>
    <row r="14" spans="1:12" ht="11.4" customHeight="1">
      <c r="A14" s="4" t="s">
        <v>6</v>
      </c>
      <c r="B14" s="152">
        <f t="shared" si="2"/>
        <v>2130</v>
      </c>
      <c r="C14" s="144">
        <v>2109</v>
      </c>
      <c r="D14" s="144">
        <v>10299.001</v>
      </c>
      <c r="E14" s="144">
        <v>21</v>
      </c>
      <c r="F14" s="144">
        <v>6</v>
      </c>
      <c r="G14" s="145" t="s">
        <v>287</v>
      </c>
      <c r="H14" s="153" t="s">
        <v>287</v>
      </c>
      <c r="I14" s="20" t="s">
        <v>95</v>
      </c>
      <c r="J14" s="8"/>
      <c r="K14" s="8"/>
      <c r="L14" s="8"/>
    </row>
    <row r="15" spans="1:12" ht="11.4" customHeight="1">
      <c r="A15" s="4" t="s">
        <v>7</v>
      </c>
      <c r="B15" s="152">
        <f t="shared" si="2"/>
        <v>1</v>
      </c>
      <c r="C15" s="144">
        <v>1</v>
      </c>
      <c r="D15" s="144">
        <v>1.5</v>
      </c>
      <c r="E15" s="145" t="s">
        <v>287</v>
      </c>
      <c r="F15" s="144">
        <v>0</v>
      </c>
      <c r="G15" s="145" t="s">
        <v>287</v>
      </c>
      <c r="H15" s="153" t="s">
        <v>287</v>
      </c>
      <c r="I15" s="20" t="s">
        <v>96</v>
      </c>
      <c r="J15" s="8"/>
      <c r="K15" s="8"/>
      <c r="L15" s="8"/>
    </row>
    <row r="16" spans="1:12" ht="11.4" customHeight="1">
      <c r="A16" s="4" t="s">
        <v>8</v>
      </c>
      <c r="B16" s="152">
        <f t="shared" si="2"/>
        <v>642</v>
      </c>
      <c r="C16" s="144">
        <v>552</v>
      </c>
      <c r="D16" s="144">
        <v>583.4</v>
      </c>
      <c r="E16" s="144">
        <v>90</v>
      </c>
      <c r="F16" s="144">
        <v>78</v>
      </c>
      <c r="G16" s="145" t="s">
        <v>287</v>
      </c>
      <c r="H16" s="153" t="s">
        <v>287</v>
      </c>
      <c r="I16" s="20" t="s">
        <v>97</v>
      </c>
      <c r="J16" s="8"/>
      <c r="K16" s="8"/>
      <c r="L16" s="8"/>
    </row>
    <row r="17" spans="1:12" ht="11.4" customHeight="1">
      <c r="A17" s="4" t="s">
        <v>9</v>
      </c>
      <c r="B17" s="152">
        <f t="shared" si="2"/>
        <v>17982</v>
      </c>
      <c r="C17" s="144">
        <v>17952</v>
      </c>
      <c r="D17" s="144">
        <v>52309</v>
      </c>
      <c r="E17" s="144">
        <v>30</v>
      </c>
      <c r="F17" s="144">
        <v>21</v>
      </c>
      <c r="G17" s="145" t="s">
        <v>287</v>
      </c>
      <c r="H17" s="153" t="s">
        <v>287</v>
      </c>
      <c r="I17" s="20" t="s">
        <v>98</v>
      </c>
      <c r="J17" s="8"/>
      <c r="K17" s="8"/>
      <c r="L17" s="8"/>
    </row>
    <row r="18" spans="1:12" ht="11.4" customHeight="1">
      <c r="A18" s="180" t="s">
        <v>10</v>
      </c>
      <c r="B18" s="181">
        <f>SUM(C18,E18,G18)</f>
        <v>55440</v>
      </c>
      <c r="C18" s="178">
        <f t="shared" ref="C18:H18" si="3">SUM(C20:C26)</f>
        <v>54094</v>
      </c>
      <c r="D18" s="178">
        <f t="shared" si="3"/>
        <v>273017.62</v>
      </c>
      <c r="E18" s="178">
        <f t="shared" si="3"/>
        <v>1345</v>
      </c>
      <c r="F18" s="178">
        <f t="shared" si="3"/>
        <v>2674</v>
      </c>
      <c r="G18" s="178">
        <f t="shared" si="3"/>
        <v>1</v>
      </c>
      <c r="H18" s="179">
        <f t="shared" si="3"/>
        <v>2</v>
      </c>
      <c r="I18" s="175" t="s">
        <v>99</v>
      </c>
      <c r="J18" s="175"/>
      <c r="K18" s="15"/>
      <c r="L18" s="8"/>
    </row>
    <row r="19" spans="1:12" ht="11.4" customHeight="1">
      <c r="A19" s="180"/>
      <c r="B19" s="181"/>
      <c r="C19" s="178"/>
      <c r="D19" s="178"/>
      <c r="E19" s="178"/>
      <c r="F19" s="178"/>
      <c r="G19" s="178"/>
      <c r="H19" s="179"/>
      <c r="I19" s="175"/>
      <c r="J19" s="175"/>
      <c r="K19" s="15"/>
      <c r="L19" s="8"/>
    </row>
    <row r="20" spans="1:12" ht="11.4" customHeight="1">
      <c r="A20" s="4" t="s">
        <v>11</v>
      </c>
      <c r="B20" s="152">
        <f>SUM(C20,E20,G20)</f>
        <v>39512</v>
      </c>
      <c r="C20" s="144">
        <v>39208</v>
      </c>
      <c r="D20" s="144">
        <v>219911.5</v>
      </c>
      <c r="E20" s="144">
        <v>304</v>
      </c>
      <c r="F20" s="144">
        <v>60.8</v>
      </c>
      <c r="G20" s="145" t="s">
        <v>287</v>
      </c>
      <c r="H20" s="154" t="s">
        <v>287</v>
      </c>
      <c r="I20" s="9" t="s">
        <v>100</v>
      </c>
      <c r="J20" s="8"/>
      <c r="K20" s="8"/>
      <c r="L20" s="8"/>
    </row>
    <row r="21" spans="1:12" ht="11.4" customHeight="1">
      <c r="A21" s="4" t="s">
        <v>12</v>
      </c>
      <c r="B21" s="152">
        <f t="shared" ref="B21:B31" si="4">SUM(C21,E21,G21,I21,K21,M21,O21)</f>
        <v>5546</v>
      </c>
      <c r="C21" s="144">
        <v>5425</v>
      </c>
      <c r="D21" s="144">
        <v>22445.5</v>
      </c>
      <c r="E21" s="144">
        <v>121</v>
      </c>
      <c r="F21" s="144">
        <v>101.7</v>
      </c>
      <c r="G21" s="145" t="s">
        <v>287</v>
      </c>
      <c r="H21" s="154" t="s">
        <v>287</v>
      </c>
      <c r="I21" s="9" t="s">
        <v>101</v>
      </c>
      <c r="J21" s="8"/>
      <c r="K21" s="8"/>
      <c r="L21" s="8"/>
    </row>
    <row r="22" spans="1:12" ht="11.4" customHeight="1">
      <c r="A22" s="4" t="s">
        <v>13</v>
      </c>
      <c r="B22" s="152">
        <f t="shared" si="4"/>
        <v>716</v>
      </c>
      <c r="C22" s="144">
        <v>555</v>
      </c>
      <c r="D22" s="144">
        <v>1095.02</v>
      </c>
      <c r="E22" s="144">
        <v>160</v>
      </c>
      <c r="F22" s="144">
        <v>190.5</v>
      </c>
      <c r="G22" s="144">
        <v>1</v>
      </c>
      <c r="H22" s="155">
        <v>2</v>
      </c>
      <c r="I22" s="9" t="s">
        <v>102</v>
      </c>
      <c r="J22" s="8"/>
      <c r="K22" s="8"/>
      <c r="L22" s="8"/>
    </row>
    <row r="23" spans="1:12" ht="11.4" customHeight="1">
      <c r="A23" s="4" t="s">
        <v>14</v>
      </c>
      <c r="B23" s="152">
        <f t="shared" si="4"/>
        <v>5403</v>
      </c>
      <c r="C23" s="144">
        <v>5198</v>
      </c>
      <c r="D23" s="144">
        <v>16208.5</v>
      </c>
      <c r="E23" s="144">
        <v>205</v>
      </c>
      <c r="F23" s="144">
        <v>347</v>
      </c>
      <c r="G23" s="145" t="s">
        <v>287</v>
      </c>
      <c r="H23" s="155" t="s">
        <v>287</v>
      </c>
      <c r="I23" s="9" t="s">
        <v>103</v>
      </c>
      <c r="J23" s="8"/>
      <c r="K23" s="8"/>
      <c r="L23" s="8"/>
    </row>
    <row r="24" spans="1:12" ht="11.4" customHeight="1">
      <c r="A24" s="4" t="s">
        <v>15</v>
      </c>
      <c r="B24" s="152">
        <f t="shared" si="4"/>
        <v>579</v>
      </c>
      <c r="C24" s="144">
        <v>499</v>
      </c>
      <c r="D24" s="144">
        <v>2484</v>
      </c>
      <c r="E24" s="144">
        <v>80</v>
      </c>
      <c r="F24" s="144">
        <v>32</v>
      </c>
      <c r="G24" s="145" t="s">
        <v>287</v>
      </c>
      <c r="H24" s="155" t="s">
        <v>287</v>
      </c>
      <c r="I24" s="9" t="s">
        <v>104</v>
      </c>
      <c r="J24" s="8"/>
      <c r="K24" s="8"/>
      <c r="L24" s="8"/>
    </row>
    <row r="25" spans="1:12" ht="11.4" customHeight="1">
      <c r="A25" s="4" t="s">
        <v>16</v>
      </c>
      <c r="B25" s="152">
        <f t="shared" si="4"/>
        <v>3214</v>
      </c>
      <c r="C25" s="144">
        <v>2739</v>
      </c>
      <c r="D25" s="144">
        <v>10307.1</v>
      </c>
      <c r="E25" s="144">
        <v>475</v>
      </c>
      <c r="F25" s="144">
        <v>1942</v>
      </c>
      <c r="G25" s="145" t="s">
        <v>287</v>
      </c>
      <c r="H25" s="155" t="s">
        <v>287</v>
      </c>
      <c r="I25" s="9" t="s">
        <v>105</v>
      </c>
      <c r="J25" s="8"/>
      <c r="K25" s="8"/>
      <c r="L25" s="8"/>
    </row>
    <row r="26" spans="1:12" ht="11.4" customHeight="1">
      <c r="A26" s="4" t="s">
        <v>17</v>
      </c>
      <c r="B26" s="152">
        <f t="shared" si="4"/>
        <v>470</v>
      </c>
      <c r="C26" s="144">
        <v>470</v>
      </c>
      <c r="D26" s="144">
        <v>566</v>
      </c>
      <c r="E26" s="145" t="s">
        <v>287</v>
      </c>
      <c r="F26" s="144">
        <v>0</v>
      </c>
      <c r="G26" s="145" t="s">
        <v>287</v>
      </c>
      <c r="H26" s="155" t="s">
        <v>287</v>
      </c>
      <c r="I26" s="9" t="s">
        <v>106</v>
      </c>
      <c r="J26" s="8"/>
      <c r="K26" s="8"/>
      <c r="L26" s="8"/>
    </row>
    <row r="27" spans="1:12" ht="16.2" customHeight="1">
      <c r="A27" s="147" t="s">
        <v>292</v>
      </c>
      <c r="B27" s="156">
        <f>SUM(C27,E27,G27)</f>
        <v>6039</v>
      </c>
      <c r="C27" s="148">
        <f>SUM(C28:C31)</f>
        <v>5943</v>
      </c>
      <c r="D27" s="148">
        <f>SUM(D28:D31)</f>
        <v>25721.25</v>
      </c>
      <c r="E27" s="148">
        <f t="shared" ref="E27:H27" si="5">SUM(E28:E31)</f>
        <v>96</v>
      </c>
      <c r="F27" s="148">
        <f t="shared" si="5"/>
        <v>192</v>
      </c>
      <c r="G27" s="148">
        <f t="shared" si="5"/>
        <v>0</v>
      </c>
      <c r="H27" s="157">
        <f t="shared" si="5"/>
        <v>0</v>
      </c>
      <c r="I27" s="222" t="s">
        <v>291</v>
      </c>
      <c r="J27" s="8"/>
      <c r="K27" s="8"/>
      <c r="L27" s="8"/>
    </row>
    <row r="28" spans="1:12" ht="11.4" customHeight="1">
      <c r="A28" s="4" t="s">
        <v>18</v>
      </c>
      <c r="B28" s="152">
        <f t="shared" si="4"/>
        <v>1383</v>
      </c>
      <c r="C28" s="144">
        <v>1383</v>
      </c>
      <c r="D28" s="144">
        <v>5116.7</v>
      </c>
      <c r="E28" s="145" t="s">
        <v>287</v>
      </c>
      <c r="F28" s="144">
        <v>0</v>
      </c>
      <c r="G28" s="145" t="s">
        <v>287</v>
      </c>
      <c r="H28" s="155" t="s">
        <v>287</v>
      </c>
      <c r="I28" s="9" t="s">
        <v>107</v>
      </c>
      <c r="J28" s="8"/>
      <c r="K28" s="8"/>
      <c r="L28" s="8"/>
    </row>
    <row r="29" spans="1:12" ht="11.4" customHeight="1">
      <c r="A29" s="4" t="s">
        <v>19</v>
      </c>
      <c r="B29" s="152">
        <f t="shared" si="4"/>
        <v>2036</v>
      </c>
      <c r="C29" s="144">
        <v>1940</v>
      </c>
      <c r="D29" s="144">
        <v>9600</v>
      </c>
      <c r="E29" s="144">
        <v>96</v>
      </c>
      <c r="F29" s="144">
        <v>192</v>
      </c>
      <c r="G29" s="145" t="s">
        <v>287</v>
      </c>
      <c r="H29" s="155" t="s">
        <v>287</v>
      </c>
      <c r="I29" s="9" t="s">
        <v>108</v>
      </c>
      <c r="J29" s="8"/>
      <c r="K29" s="8"/>
      <c r="L29" s="8"/>
    </row>
    <row r="30" spans="1:12" ht="11.4" customHeight="1">
      <c r="A30" s="4" t="s">
        <v>20</v>
      </c>
      <c r="B30" s="152">
        <f t="shared" si="4"/>
        <v>100</v>
      </c>
      <c r="C30" s="144">
        <v>100</v>
      </c>
      <c r="D30" s="144">
        <v>160</v>
      </c>
      <c r="E30" s="145" t="s">
        <v>287</v>
      </c>
      <c r="F30" s="144">
        <v>0</v>
      </c>
      <c r="G30" s="145" t="s">
        <v>287</v>
      </c>
      <c r="H30" s="155" t="s">
        <v>287</v>
      </c>
      <c r="I30" s="9" t="s">
        <v>109</v>
      </c>
      <c r="J30" s="8"/>
      <c r="K30" s="8"/>
      <c r="L30" s="8"/>
    </row>
    <row r="31" spans="1:12" ht="11.4" customHeight="1">
      <c r="A31" s="4" t="s">
        <v>21</v>
      </c>
      <c r="B31" s="152">
        <f t="shared" si="4"/>
        <v>2520</v>
      </c>
      <c r="C31" s="144">
        <v>2520</v>
      </c>
      <c r="D31" s="144">
        <v>10844.55</v>
      </c>
      <c r="E31" s="145" t="s">
        <v>287</v>
      </c>
      <c r="F31" s="144">
        <v>0</v>
      </c>
      <c r="G31" s="145" t="s">
        <v>287</v>
      </c>
      <c r="H31" s="155" t="s">
        <v>287</v>
      </c>
      <c r="I31" s="9" t="s">
        <v>110</v>
      </c>
      <c r="J31" s="8"/>
      <c r="K31" s="8"/>
      <c r="L31" s="8"/>
    </row>
    <row r="32" spans="1:12" ht="11.4" customHeight="1">
      <c r="A32" s="180" t="s">
        <v>22</v>
      </c>
      <c r="B32" s="181">
        <f>SUM(C32,E32,G32)</f>
        <v>8567</v>
      </c>
      <c r="C32" s="178">
        <f t="shared" ref="C32:H32" si="6">SUM(C34:C37)</f>
        <v>7561</v>
      </c>
      <c r="D32" s="178">
        <f t="shared" si="6"/>
        <v>4798.2</v>
      </c>
      <c r="E32" s="178">
        <f t="shared" si="6"/>
        <v>1006</v>
      </c>
      <c r="F32" s="178">
        <f t="shared" si="6"/>
        <v>725.55</v>
      </c>
      <c r="G32" s="178">
        <f t="shared" si="6"/>
        <v>0</v>
      </c>
      <c r="H32" s="179">
        <f t="shared" si="6"/>
        <v>0</v>
      </c>
      <c r="I32" s="175" t="s">
        <v>111</v>
      </c>
      <c r="J32" s="175"/>
      <c r="K32" s="16"/>
      <c r="L32" s="8"/>
    </row>
    <row r="33" spans="1:12" ht="11.4" customHeight="1">
      <c r="A33" s="180"/>
      <c r="B33" s="181"/>
      <c r="C33" s="178"/>
      <c r="D33" s="178"/>
      <c r="E33" s="178"/>
      <c r="F33" s="178"/>
      <c r="G33" s="178"/>
      <c r="H33" s="179"/>
      <c r="I33" s="175"/>
      <c r="J33" s="175"/>
      <c r="K33" s="16"/>
      <c r="L33" s="8"/>
    </row>
    <row r="34" spans="1:12" ht="11.4" customHeight="1">
      <c r="A34" s="4" t="s">
        <v>23</v>
      </c>
      <c r="B34" s="152">
        <f>SUM(C34,E34,G34)</f>
        <v>5998</v>
      </c>
      <c r="C34" s="144">
        <v>5544</v>
      </c>
      <c r="D34" s="144">
        <v>2745.9</v>
      </c>
      <c r="E34" s="144">
        <v>454</v>
      </c>
      <c r="F34" s="144">
        <v>379.55</v>
      </c>
      <c r="G34" s="145" t="s">
        <v>287</v>
      </c>
      <c r="H34" s="155" t="s">
        <v>287</v>
      </c>
      <c r="I34" s="9" t="s">
        <v>112</v>
      </c>
      <c r="J34" s="8"/>
      <c r="K34" s="8"/>
      <c r="L34" s="8"/>
    </row>
    <row r="35" spans="1:12" ht="11.4" customHeight="1">
      <c r="A35" s="4" t="s">
        <v>24</v>
      </c>
      <c r="B35" s="152">
        <f>SUM(C35,E35,G35)</f>
        <v>427</v>
      </c>
      <c r="C35" s="144">
        <v>235</v>
      </c>
      <c r="D35" s="144">
        <v>208.5</v>
      </c>
      <c r="E35" s="144">
        <v>192</v>
      </c>
      <c r="F35" s="144">
        <v>87.2</v>
      </c>
      <c r="G35" s="145" t="s">
        <v>287</v>
      </c>
      <c r="H35" s="155" t="s">
        <v>287</v>
      </c>
      <c r="I35" s="9" t="s">
        <v>113</v>
      </c>
      <c r="J35" s="8"/>
      <c r="K35" s="8"/>
      <c r="L35" s="8"/>
    </row>
    <row r="36" spans="1:12" ht="11.4" customHeight="1">
      <c r="A36" s="4" t="s">
        <v>25</v>
      </c>
      <c r="B36" s="152">
        <f>SUM(C36,E36,G36)</f>
        <v>505</v>
      </c>
      <c r="C36" s="144">
        <v>205</v>
      </c>
      <c r="D36" s="144">
        <v>621</v>
      </c>
      <c r="E36" s="144">
        <v>300</v>
      </c>
      <c r="F36" s="144">
        <v>200.8</v>
      </c>
      <c r="G36" s="145" t="s">
        <v>287</v>
      </c>
      <c r="H36" s="155" t="s">
        <v>287</v>
      </c>
      <c r="I36" s="9" t="s">
        <v>114</v>
      </c>
      <c r="J36" s="8"/>
      <c r="K36" s="8"/>
      <c r="L36" s="8"/>
    </row>
    <row r="37" spans="1:12" ht="11.4" customHeight="1">
      <c r="A37" s="4" t="s">
        <v>26</v>
      </c>
      <c r="B37" s="152">
        <f>SUM(C37,E37,G37)</f>
        <v>1637</v>
      </c>
      <c r="C37" s="144">
        <v>1577</v>
      </c>
      <c r="D37" s="144">
        <v>1222.8</v>
      </c>
      <c r="E37" s="144">
        <v>60</v>
      </c>
      <c r="F37" s="144">
        <v>58</v>
      </c>
      <c r="G37" s="145" t="s">
        <v>287</v>
      </c>
      <c r="H37" s="155" t="s">
        <v>287</v>
      </c>
      <c r="I37" s="9" t="s">
        <v>115</v>
      </c>
      <c r="J37" s="8"/>
      <c r="K37" s="8"/>
      <c r="L37" s="8"/>
    </row>
    <row r="38" spans="1:12" ht="11.4" customHeight="1">
      <c r="A38" s="180" t="s">
        <v>27</v>
      </c>
      <c r="B38" s="181">
        <f>SUM(C38,E38,G38)</f>
        <v>13946</v>
      </c>
      <c r="C38" s="178">
        <f t="shared" ref="C38:H38" si="7">SUM(C40:C44)</f>
        <v>13422</v>
      </c>
      <c r="D38" s="178">
        <f t="shared" si="7"/>
        <v>67187.64</v>
      </c>
      <c r="E38" s="178">
        <f t="shared" si="7"/>
        <v>524</v>
      </c>
      <c r="F38" s="178">
        <f t="shared" si="7"/>
        <v>1595.65</v>
      </c>
      <c r="G38" s="178">
        <f t="shared" si="7"/>
        <v>0</v>
      </c>
      <c r="H38" s="179">
        <f t="shared" si="7"/>
        <v>0</v>
      </c>
      <c r="I38" s="175" t="s">
        <v>116</v>
      </c>
      <c r="J38" s="175"/>
      <c r="K38" s="16"/>
      <c r="L38" s="8"/>
    </row>
    <row r="39" spans="1:12" ht="11.4" customHeight="1">
      <c r="A39" s="180"/>
      <c r="B39" s="181"/>
      <c r="C39" s="178"/>
      <c r="D39" s="178"/>
      <c r="E39" s="178"/>
      <c r="F39" s="178"/>
      <c r="G39" s="178"/>
      <c r="H39" s="179"/>
      <c r="I39" s="175"/>
      <c r="J39" s="175"/>
      <c r="K39" s="16"/>
      <c r="L39" s="8"/>
    </row>
    <row r="40" spans="1:12" ht="11.4" customHeight="1">
      <c r="A40" s="4" t="s">
        <v>28</v>
      </c>
      <c r="B40" s="152">
        <f t="shared" ref="B40:B45" si="8">SUM(C40,E40,G40)</f>
        <v>7665</v>
      </c>
      <c r="C40" s="144">
        <v>7141</v>
      </c>
      <c r="D40" s="144">
        <v>33671.300000000003</v>
      </c>
      <c r="E40" s="144">
        <v>524</v>
      </c>
      <c r="F40" s="144">
        <v>1595.65</v>
      </c>
      <c r="G40" s="145" t="s">
        <v>287</v>
      </c>
      <c r="H40" s="155" t="s">
        <v>287</v>
      </c>
      <c r="I40" s="9" t="s">
        <v>117</v>
      </c>
      <c r="J40" s="8"/>
      <c r="K40" s="8"/>
      <c r="L40" s="8"/>
    </row>
    <row r="41" spans="1:12" ht="11.4" customHeight="1">
      <c r="A41" s="4" t="s">
        <v>29</v>
      </c>
      <c r="B41" s="152">
        <f t="shared" si="8"/>
        <v>270</v>
      </c>
      <c r="C41" s="144">
        <v>270</v>
      </c>
      <c r="D41" s="144">
        <v>1855</v>
      </c>
      <c r="E41" s="145" t="s">
        <v>287</v>
      </c>
      <c r="F41" s="144">
        <v>0</v>
      </c>
      <c r="G41" s="145" t="s">
        <v>287</v>
      </c>
      <c r="H41" s="155" t="s">
        <v>287</v>
      </c>
      <c r="I41" s="9" t="s">
        <v>118</v>
      </c>
      <c r="J41" s="8"/>
      <c r="K41" s="8"/>
      <c r="L41" s="8"/>
    </row>
    <row r="42" spans="1:12" ht="11.4" customHeight="1">
      <c r="A42" s="4" t="s">
        <v>30</v>
      </c>
      <c r="B42" s="152">
        <f t="shared" si="8"/>
        <v>570</v>
      </c>
      <c r="C42" s="144">
        <v>570</v>
      </c>
      <c r="D42" s="144">
        <v>2362</v>
      </c>
      <c r="E42" s="145" t="s">
        <v>287</v>
      </c>
      <c r="F42" s="144">
        <v>0</v>
      </c>
      <c r="G42" s="145" t="s">
        <v>287</v>
      </c>
      <c r="H42" s="155" t="s">
        <v>287</v>
      </c>
      <c r="I42" s="9" t="s">
        <v>119</v>
      </c>
      <c r="J42" s="8"/>
      <c r="K42" s="8"/>
      <c r="L42" s="8"/>
    </row>
    <row r="43" spans="1:12" ht="11.4" customHeight="1">
      <c r="A43" s="4" t="s">
        <v>31</v>
      </c>
      <c r="B43" s="152">
        <f t="shared" si="8"/>
        <v>0</v>
      </c>
      <c r="C43" s="143" t="s">
        <v>287</v>
      </c>
      <c r="D43" s="143" t="s">
        <v>287</v>
      </c>
      <c r="E43" s="143" t="s">
        <v>287</v>
      </c>
      <c r="F43" s="143" t="s">
        <v>287</v>
      </c>
      <c r="G43" s="143" t="s">
        <v>287</v>
      </c>
      <c r="H43" s="153" t="s">
        <v>287</v>
      </c>
      <c r="I43" s="18" t="s">
        <v>120</v>
      </c>
      <c r="J43" s="17"/>
      <c r="K43" s="17"/>
      <c r="L43" s="8"/>
    </row>
    <row r="44" spans="1:12" ht="11.4" customHeight="1">
      <c r="A44" s="4" t="s">
        <v>32</v>
      </c>
      <c r="B44" s="152">
        <f t="shared" si="8"/>
        <v>5441</v>
      </c>
      <c r="C44" s="144">
        <v>5441</v>
      </c>
      <c r="D44" s="144">
        <v>29299.34</v>
      </c>
      <c r="E44" s="145" t="s">
        <v>287</v>
      </c>
      <c r="F44" s="144">
        <v>0</v>
      </c>
      <c r="G44" s="145" t="s">
        <v>287</v>
      </c>
      <c r="H44" s="155" t="s">
        <v>287</v>
      </c>
      <c r="I44" s="9" t="s">
        <v>121</v>
      </c>
      <c r="J44" s="8"/>
      <c r="K44" s="8"/>
      <c r="L44" s="8"/>
    </row>
    <row r="45" spans="1:12" ht="11.4" customHeight="1">
      <c r="A45" s="187" t="s">
        <v>33</v>
      </c>
      <c r="B45" s="181">
        <f t="shared" si="8"/>
        <v>6643</v>
      </c>
      <c r="C45" s="178">
        <f>SUM(C47:C51)</f>
        <v>5810</v>
      </c>
      <c r="D45" s="178">
        <f t="shared" ref="D45:H45" si="9">SUM(D47:D51)</f>
        <v>24734.48</v>
      </c>
      <c r="E45" s="178">
        <f t="shared" si="9"/>
        <v>833</v>
      </c>
      <c r="F45" s="178">
        <f t="shared" si="9"/>
        <v>740.5</v>
      </c>
      <c r="G45" s="178">
        <f t="shared" si="9"/>
        <v>0</v>
      </c>
      <c r="H45" s="179">
        <f t="shared" si="9"/>
        <v>0</v>
      </c>
      <c r="I45" s="175" t="s">
        <v>122</v>
      </c>
      <c r="J45" s="175"/>
      <c r="K45" s="15"/>
      <c r="L45" s="8"/>
    </row>
    <row r="46" spans="1:12" ht="11.4" customHeight="1">
      <c r="A46" s="187"/>
      <c r="B46" s="181"/>
      <c r="C46" s="178"/>
      <c r="D46" s="178"/>
      <c r="E46" s="178"/>
      <c r="F46" s="178"/>
      <c r="G46" s="178"/>
      <c r="H46" s="179"/>
      <c r="I46" s="175"/>
      <c r="J46" s="175"/>
      <c r="K46" s="15"/>
      <c r="L46" s="8"/>
    </row>
    <row r="47" spans="1:12" ht="11.4" customHeight="1">
      <c r="A47" s="4" t="s">
        <v>34</v>
      </c>
      <c r="B47" s="152">
        <f t="shared" ref="B47:B52" si="10">SUM(C47,E47,G47)</f>
        <v>2178</v>
      </c>
      <c r="C47" s="144">
        <v>1878</v>
      </c>
      <c r="D47" s="144">
        <v>5433.38</v>
      </c>
      <c r="E47" s="144">
        <v>300</v>
      </c>
      <c r="F47" s="144">
        <v>123.9</v>
      </c>
      <c r="G47" s="145" t="s">
        <v>287</v>
      </c>
      <c r="H47" s="155" t="s">
        <v>287</v>
      </c>
      <c r="I47" s="9" t="s">
        <v>123</v>
      </c>
      <c r="J47" s="8"/>
      <c r="K47" s="8"/>
      <c r="L47" s="8"/>
    </row>
    <row r="48" spans="1:12" ht="11.4" customHeight="1">
      <c r="A48" s="4" t="s">
        <v>35</v>
      </c>
      <c r="B48" s="152">
        <f t="shared" si="10"/>
        <v>3615</v>
      </c>
      <c r="C48" s="144">
        <v>3115</v>
      </c>
      <c r="D48" s="144">
        <v>18085</v>
      </c>
      <c r="E48" s="144">
        <v>500</v>
      </c>
      <c r="F48" s="144">
        <v>600</v>
      </c>
      <c r="G48" s="145" t="s">
        <v>287</v>
      </c>
      <c r="H48" s="155" t="s">
        <v>287</v>
      </c>
      <c r="I48" s="9" t="s">
        <v>124</v>
      </c>
      <c r="J48" s="8"/>
      <c r="K48" s="8"/>
      <c r="L48" s="8"/>
    </row>
    <row r="49" spans="1:12" ht="11.4" customHeight="1">
      <c r="A49" s="4" t="s">
        <v>36</v>
      </c>
      <c r="B49" s="152">
        <f t="shared" si="10"/>
        <v>820</v>
      </c>
      <c r="C49" s="144">
        <v>787</v>
      </c>
      <c r="D49" s="144">
        <v>1210.0999999999999</v>
      </c>
      <c r="E49" s="144">
        <v>33</v>
      </c>
      <c r="F49" s="144">
        <v>16.600000000000001</v>
      </c>
      <c r="G49" s="145" t="s">
        <v>287</v>
      </c>
      <c r="H49" s="155" t="s">
        <v>287</v>
      </c>
      <c r="I49" s="9" t="s">
        <v>125</v>
      </c>
      <c r="J49" s="8"/>
      <c r="K49" s="8"/>
      <c r="L49" s="8"/>
    </row>
    <row r="50" spans="1:12" ht="11.4" customHeight="1">
      <c r="A50" s="4" t="s">
        <v>37</v>
      </c>
      <c r="B50" s="152">
        <f t="shared" si="10"/>
        <v>0</v>
      </c>
      <c r="C50" s="143" t="s">
        <v>287</v>
      </c>
      <c r="D50" s="143" t="s">
        <v>287</v>
      </c>
      <c r="E50" s="143" t="s">
        <v>287</v>
      </c>
      <c r="F50" s="143" t="s">
        <v>287</v>
      </c>
      <c r="G50" s="143" t="s">
        <v>287</v>
      </c>
      <c r="H50" s="153" t="s">
        <v>287</v>
      </c>
      <c r="I50" s="9" t="s">
        <v>126</v>
      </c>
      <c r="J50" s="8"/>
      <c r="K50" s="8"/>
      <c r="L50" s="8"/>
    </row>
    <row r="51" spans="1:12" ht="11.4" customHeight="1">
      <c r="A51" s="4" t="s">
        <v>38</v>
      </c>
      <c r="B51" s="152">
        <f t="shared" si="10"/>
        <v>30</v>
      </c>
      <c r="C51" s="144">
        <v>30</v>
      </c>
      <c r="D51" s="144">
        <v>6</v>
      </c>
      <c r="E51" s="145" t="s">
        <v>287</v>
      </c>
      <c r="F51" s="144">
        <v>0</v>
      </c>
      <c r="G51" s="145" t="s">
        <v>287</v>
      </c>
      <c r="H51" s="155" t="s">
        <v>287</v>
      </c>
      <c r="I51" s="9" t="s">
        <v>127</v>
      </c>
      <c r="J51" s="8"/>
      <c r="K51" s="8"/>
      <c r="L51" s="8"/>
    </row>
    <row r="52" spans="1:12" ht="11.4" customHeight="1">
      <c r="A52" s="180" t="s">
        <v>39</v>
      </c>
      <c r="B52" s="181">
        <f t="shared" si="10"/>
        <v>4090</v>
      </c>
      <c r="C52" s="178">
        <f t="shared" ref="C52:H52" si="11">SUM(C54:C58)</f>
        <v>3939</v>
      </c>
      <c r="D52" s="178">
        <f t="shared" si="11"/>
        <v>1719.8899999999999</v>
      </c>
      <c r="E52" s="178">
        <f t="shared" si="11"/>
        <v>151</v>
      </c>
      <c r="F52" s="178">
        <f t="shared" si="11"/>
        <v>143</v>
      </c>
      <c r="G52" s="178">
        <f t="shared" si="11"/>
        <v>0</v>
      </c>
      <c r="H52" s="179">
        <f t="shared" si="11"/>
        <v>0</v>
      </c>
      <c r="I52" s="175" t="s">
        <v>128</v>
      </c>
      <c r="J52" s="175"/>
      <c r="K52" s="16"/>
      <c r="L52" s="8"/>
    </row>
    <row r="53" spans="1:12" ht="11.4" customHeight="1">
      <c r="A53" s="180"/>
      <c r="B53" s="181"/>
      <c r="C53" s="178"/>
      <c r="D53" s="178"/>
      <c r="E53" s="178"/>
      <c r="F53" s="178"/>
      <c r="G53" s="178"/>
      <c r="H53" s="179"/>
      <c r="I53" s="175"/>
      <c r="J53" s="175"/>
      <c r="K53" s="16"/>
      <c r="L53" s="8"/>
    </row>
    <row r="54" spans="1:12" ht="11.4" customHeight="1">
      <c r="A54" s="4" t="s">
        <v>40</v>
      </c>
      <c r="B54" s="152">
        <f t="shared" ref="B54:B59" si="12">SUM(C54,E54,G54)</f>
        <v>3520</v>
      </c>
      <c r="C54" s="144">
        <v>3472</v>
      </c>
      <c r="D54" s="144">
        <v>1473.09</v>
      </c>
      <c r="E54" s="144">
        <v>48</v>
      </c>
      <c r="F54" s="144">
        <v>88</v>
      </c>
      <c r="G54" s="145" t="s">
        <v>287</v>
      </c>
      <c r="H54" s="155" t="s">
        <v>287</v>
      </c>
      <c r="I54" s="9" t="s">
        <v>129</v>
      </c>
      <c r="J54" s="8"/>
      <c r="K54" s="8"/>
      <c r="L54" s="8"/>
    </row>
    <row r="55" spans="1:12" ht="11.4" customHeight="1">
      <c r="A55" s="4" t="s">
        <v>41</v>
      </c>
      <c r="B55" s="152">
        <f t="shared" si="12"/>
        <v>329</v>
      </c>
      <c r="C55" s="144">
        <v>229</v>
      </c>
      <c r="D55" s="144">
        <v>150.5</v>
      </c>
      <c r="E55" s="144">
        <v>100</v>
      </c>
      <c r="F55" s="144">
        <v>49</v>
      </c>
      <c r="G55" s="145" t="s">
        <v>287</v>
      </c>
      <c r="H55" s="155" t="s">
        <v>287</v>
      </c>
      <c r="I55" s="9" t="s">
        <v>130</v>
      </c>
      <c r="J55" s="8"/>
      <c r="K55" s="8"/>
      <c r="L55" s="8"/>
    </row>
    <row r="56" spans="1:12" ht="11.4" customHeight="1">
      <c r="A56" s="4" t="s">
        <v>42</v>
      </c>
      <c r="B56" s="152">
        <f t="shared" si="12"/>
        <v>0</v>
      </c>
      <c r="C56" s="151" t="s">
        <v>287</v>
      </c>
      <c r="D56" s="151" t="s">
        <v>287</v>
      </c>
      <c r="E56" s="151" t="s">
        <v>287</v>
      </c>
      <c r="F56" s="151" t="s">
        <v>287</v>
      </c>
      <c r="G56" s="151" t="s">
        <v>287</v>
      </c>
      <c r="H56" s="154" t="s">
        <v>287</v>
      </c>
      <c r="I56" s="9" t="s">
        <v>131</v>
      </c>
      <c r="J56" s="8"/>
      <c r="K56" s="8"/>
      <c r="L56" s="8"/>
    </row>
    <row r="57" spans="1:12" ht="11.4" customHeight="1">
      <c r="A57" s="4" t="s">
        <v>43</v>
      </c>
      <c r="B57" s="152">
        <f t="shared" si="12"/>
        <v>73</v>
      </c>
      <c r="C57" s="144">
        <v>70</v>
      </c>
      <c r="D57" s="144">
        <v>18</v>
      </c>
      <c r="E57" s="144">
        <v>3</v>
      </c>
      <c r="F57" s="144">
        <v>6</v>
      </c>
      <c r="G57" s="145" t="s">
        <v>287</v>
      </c>
      <c r="H57" s="155" t="s">
        <v>287</v>
      </c>
      <c r="I57" s="9" t="s">
        <v>132</v>
      </c>
      <c r="J57" s="8"/>
      <c r="K57" s="8"/>
      <c r="L57" s="8"/>
    </row>
    <row r="58" spans="1:12" ht="11.4" customHeight="1">
      <c r="A58" s="4" t="s">
        <v>44</v>
      </c>
      <c r="B58" s="152">
        <f t="shared" si="12"/>
        <v>168</v>
      </c>
      <c r="C58" s="144">
        <v>168</v>
      </c>
      <c r="D58" s="144">
        <v>78.3</v>
      </c>
      <c r="E58" s="145" t="s">
        <v>287</v>
      </c>
      <c r="F58" s="144">
        <v>0</v>
      </c>
      <c r="G58" s="143" t="s">
        <v>287</v>
      </c>
      <c r="H58" s="153" t="s">
        <v>287</v>
      </c>
      <c r="I58" s="9" t="s">
        <v>133</v>
      </c>
      <c r="J58" s="8"/>
      <c r="K58" s="8"/>
      <c r="L58" s="8"/>
    </row>
    <row r="59" spans="1:12" ht="11.4" customHeight="1">
      <c r="A59" s="187" t="s">
        <v>45</v>
      </c>
      <c r="B59" s="181">
        <f t="shared" si="12"/>
        <v>6254</v>
      </c>
      <c r="C59" s="178">
        <f t="shared" ref="C59:H59" si="13">SUM(C61:C63)</f>
        <v>4161</v>
      </c>
      <c r="D59" s="178">
        <f t="shared" si="13"/>
        <v>3816.1000000000004</v>
      </c>
      <c r="E59" s="178">
        <f t="shared" si="13"/>
        <v>2093</v>
      </c>
      <c r="F59" s="178">
        <f t="shared" si="13"/>
        <v>1478.8</v>
      </c>
      <c r="G59" s="178">
        <f t="shared" si="13"/>
        <v>0</v>
      </c>
      <c r="H59" s="179">
        <f t="shared" si="13"/>
        <v>0</v>
      </c>
      <c r="I59" s="175" t="s">
        <v>134</v>
      </c>
      <c r="J59" s="175"/>
      <c r="K59" s="15"/>
      <c r="L59" s="8"/>
    </row>
    <row r="60" spans="1:12" ht="11.4" customHeight="1">
      <c r="A60" s="187"/>
      <c r="B60" s="181"/>
      <c r="C60" s="178"/>
      <c r="D60" s="178"/>
      <c r="E60" s="178"/>
      <c r="F60" s="178"/>
      <c r="G60" s="178"/>
      <c r="H60" s="179"/>
      <c r="I60" s="175"/>
      <c r="J60" s="175"/>
      <c r="K60" s="15"/>
      <c r="L60" s="8"/>
    </row>
    <row r="61" spans="1:12" ht="11.4" customHeight="1">
      <c r="A61" s="4" t="s">
        <v>46</v>
      </c>
      <c r="B61" s="152">
        <f>SUM(C61,E61,G61)</f>
        <v>1957</v>
      </c>
      <c r="C61" s="144">
        <v>1767</v>
      </c>
      <c r="D61" s="144">
        <v>1307.8</v>
      </c>
      <c r="E61" s="144">
        <v>190</v>
      </c>
      <c r="F61" s="144">
        <v>154</v>
      </c>
      <c r="G61" s="145" t="s">
        <v>287</v>
      </c>
      <c r="H61" s="153" t="s">
        <v>287</v>
      </c>
      <c r="I61" s="20" t="s">
        <v>135</v>
      </c>
      <c r="J61" s="20"/>
      <c r="K61" s="11"/>
      <c r="L61" s="8"/>
    </row>
    <row r="62" spans="1:12" ht="11.4" customHeight="1">
      <c r="A62" s="4" t="s">
        <v>47</v>
      </c>
      <c r="B62" s="152">
        <f>SUM(C62,E62,G62)</f>
        <v>578</v>
      </c>
      <c r="C62" s="144">
        <v>400</v>
      </c>
      <c r="D62" s="144">
        <v>1452</v>
      </c>
      <c r="E62" s="144">
        <v>178</v>
      </c>
      <c r="F62" s="144">
        <v>58.2</v>
      </c>
      <c r="G62" s="145" t="s">
        <v>287</v>
      </c>
      <c r="H62" s="153" t="s">
        <v>287</v>
      </c>
      <c r="I62" s="177" t="s">
        <v>136</v>
      </c>
      <c r="J62" s="177"/>
      <c r="K62" s="177"/>
      <c r="L62" s="8"/>
    </row>
    <row r="63" spans="1:12" ht="11.4" customHeight="1">
      <c r="A63" s="4" t="s">
        <v>48</v>
      </c>
      <c r="B63" s="152">
        <f>SUM(C63,E63,G63)</f>
        <v>3719</v>
      </c>
      <c r="C63" s="144">
        <v>1994</v>
      </c>
      <c r="D63" s="144">
        <v>1056.3</v>
      </c>
      <c r="E63" s="144">
        <v>1725</v>
      </c>
      <c r="F63" s="144">
        <v>1266.5999999999999</v>
      </c>
      <c r="G63" s="145" t="s">
        <v>287</v>
      </c>
      <c r="H63" s="153" t="s">
        <v>287</v>
      </c>
      <c r="I63" s="20" t="s">
        <v>137</v>
      </c>
      <c r="J63" s="11"/>
      <c r="K63" s="11"/>
      <c r="L63" s="8"/>
    </row>
    <row r="64" spans="1:12" ht="11.4" customHeight="1">
      <c r="A64" s="187" t="s">
        <v>49</v>
      </c>
      <c r="B64" s="181">
        <f>SUM(C64,E64,G64)</f>
        <v>7576</v>
      </c>
      <c r="C64" s="178">
        <f t="shared" ref="C64:H64" si="14">SUM(C66:C70)</f>
        <v>7236</v>
      </c>
      <c r="D64" s="178">
        <f t="shared" si="14"/>
        <v>4527.5</v>
      </c>
      <c r="E64" s="178">
        <f t="shared" si="14"/>
        <v>340</v>
      </c>
      <c r="F64" s="178">
        <f t="shared" si="14"/>
        <v>481.95</v>
      </c>
      <c r="G64" s="178">
        <f t="shared" si="14"/>
        <v>0</v>
      </c>
      <c r="H64" s="179">
        <f t="shared" si="14"/>
        <v>0</v>
      </c>
      <c r="I64" s="175" t="s">
        <v>138</v>
      </c>
      <c r="J64" s="175"/>
      <c r="K64" s="15"/>
      <c r="L64" s="8"/>
    </row>
    <row r="65" spans="1:12" ht="11.4" customHeight="1">
      <c r="A65" s="187"/>
      <c r="B65" s="181"/>
      <c r="C65" s="178"/>
      <c r="D65" s="178"/>
      <c r="E65" s="178"/>
      <c r="F65" s="178"/>
      <c r="G65" s="178"/>
      <c r="H65" s="179"/>
      <c r="I65" s="175"/>
      <c r="J65" s="175"/>
      <c r="K65" s="15"/>
      <c r="L65" s="8"/>
    </row>
    <row r="66" spans="1:12" ht="11.4" customHeight="1">
      <c r="A66" s="4" t="s">
        <v>50</v>
      </c>
      <c r="B66" s="152">
        <f t="shared" ref="B66:B71" si="15">SUM(C66,E66,G66)</f>
        <v>3655</v>
      </c>
      <c r="C66" s="144">
        <v>3635</v>
      </c>
      <c r="D66" s="144">
        <v>1025.2</v>
      </c>
      <c r="E66" s="144">
        <v>20</v>
      </c>
      <c r="F66" s="144">
        <v>10</v>
      </c>
      <c r="G66" s="145" t="s">
        <v>287</v>
      </c>
      <c r="H66" s="153" t="s">
        <v>287</v>
      </c>
      <c r="I66" s="9" t="s">
        <v>139</v>
      </c>
      <c r="J66" s="8"/>
      <c r="K66" s="8"/>
      <c r="L66" s="8"/>
    </row>
    <row r="67" spans="1:12" ht="11.4" customHeight="1">
      <c r="A67" s="4" t="s">
        <v>51</v>
      </c>
      <c r="B67" s="152">
        <f t="shared" si="15"/>
        <v>1575</v>
      </c>
      <c r="C67" s="144">
        <v>1475</v>
      </c>
      <c r="D67" s="144">
        <v>1800.1</v>
      </c>
      <c r="E67" s="144">
        <v>100</v>
      </c>
      <c r="F67" s="144">
        <v>110</v>
      </c>
      <c r="G67" s="145" t="s">
        <v>287</v>
      </c>
      <c r="H67" s="153" t="s">
        <v>287</v>
      </c>
      <c r="I67" s="9" t="s">
        <v>140</v>
      </c>
      <c r="J67" s="8"/>
      <c r="K67" s="8"/>
      <c r="L67" s="8"/>
    </row>
    <row r="68" spans="1:12" ht="11.4" customHeight="1">
      <c r="A68" s="4" t="s">
        <v>52</v>
      </c>
      <c r="B68" s="152">
        <f t="shared" si="15"/>
        <v>190</v>
      </c>
      <c r="C68" s="144">
        <v>190</v>
      </c>
      <c r="D68" s="144">
        <v>186</v>
      </c>
      <c r="E68" s="145" t="s">
        <v>287</v>
      </c>
      <c r="F68" s="144">
        <v>0</v>
      </c>
      <c r="G68" s="145" t="s">
        <v>287</v>
      </c>
      <c r="H68" s="153" t="s">
        <v>287</v>
      </c>
      <c r="I68" s="9" t="s">
        <v>141</v>
      </c>
      <c r="J68" s="8"/>
      <c r="K68" s="8"/>
      <c r="L68" s="8"/>
    </row>
    <row r="69" spans="1:12" ht="11.4" customHeight="1">
      <c r="A69" s="4" t="s">
        <v>53</v>
      </c>
      <c r="B69" s="152">
        <f t="shared" si="15"/>
        <v>970</v>
      </c>
      <c r="C69" s="144">
        <v>840</v>
      </c>
      <c r="D69" s="144">
        <v>1084.4000000000001</v>
      </c>
      <c r="E69" s="144">
        <v>130</v>
      </c>
      <c r="F69" s="144">
        <v>281</v>
      </c>
      <c r="G69" s="145" t="s">
        <v>287</v>
      </c>
      <c r="H69" s="153" t="s">
        <v>287</v>
      </c>
      <c r="I69" s="9" t="s">
        <v>142</v>
      </c>
      <c r="J69" s="8"/>
      <c r="K69" s="8"/>
      <c r="L69" s="8"/>
    </row>
    <row r="70" spans="1:12" ht="11.4" customHeight="1">
      <c r="A70" s="4" t="s">
        <v>54</v>
      </c>
      <c r="B70" s="152">
        <f t="shared" si="15"/>
        <v>1186</v>
      </c>
      <c r="C70" s="144">
        <v>1096</v>
      </c>
      <c r="D70" s="144">
        <v>431.8</v>
      </c>
      <c r="E70" s="144">
        <v>90</v>
      </c>
      <c r="F70" s="144">
        <v>80.95</v>
      </c>
      <c r="G70" s="145" t="s">
        <v>287</v>
      </c>
      <c r="H70" s="153" t="s">
        <v>287</v>
      </c>
      <c r="I70" s="9" t="s">
        <v>143</v>
      </c>
      <c r="J70" s="8"/>
      <c r="K70" s="8"/>
      <c r="L70" s="8"/>
    </row>
    <row r="71" spans="1:12" ht="11.4" customHeight="1">
      <c r="A71" s="180" t="s">
        <v>55</v>
      </c>
      <c r="B71" s="181">
        <f t="shared" si="15"/>
        <v>112</v>
      </c>
      <c r="C71" s="178">
        <f t="shared" ref="C71:H71" si="16">SUM(C73:C80)</f>
        <v>102</v>
      </c>
      <c r="D71" s="178">
        <f t="shared" si="16"/>
        <v>80.8</v>
      </c>
      <c r="E71" s="178">
        <f t="shared" si="16"/>
        <v>10</v>
      </c>
      <c r="F71" s="178">
        <f t="shared" si="16"/>
        <v>10</v>
      </c>
      <c r="G71" s="178">
        <f t="shared" si="16"/>
        <v>0</v>
      </c>
      <c r="H71" s="179">
        <f t="shared" si="16"/>
        <v>0</v>
      </c>
      <c r="I71" s="176" t="s">
        <v>144</v>
      </c>
      <c r="J71" s="176"/>
      <c r="K71" s="16"/>
      <c r="L71" s="8"/>
    </row>
    <row r="72" spans="1:12" ht="11.4" customHeight="1">
      <c r="A72" s="180"/>
      <c r="B72" s="181"/>
      <c r="C72" s="178"/>
      <c r="D72" s="178"/>
      <c r="E72" s="178"/>
      <c r="F72" s="178"/>
      <c r="G72" s="178"/>
      <c r="H72" s="179"/>
      <c r="I72" s="176"/>
      <c r="J72" s="176"/>
      <c r="K72" s="16"/>
      <c r="L72" s="8"/>
    </row>
    <row r="73" spans="1:12" ht="11.4" customHeight="1">
      <c r="A73" s="14" t="s">
        <v>56</v>
      </c>
      <c r="B73" s="152">
        <f>SUM(C73,E73,G73)</f>
        <v>0</v>
      </c>
      <c r="C73" s="143" t="s">
        <v>287</v>
      </c>
      <c r="D73" s="143" t="s">
        <v>287</v>
      </c>
      <c r="E73" s="143" t="s">
        <v>287</v>
      </c>
      <c r="F73" s="143" t="s">
        <v>287</v>
      </c>
      <c r="G73" s="143" t="s">
        <v>287</v>
      </c>
      <c r="H73" s="153" t="s">
        <v>287</v>
      </c>
      <c r="I73" s="177" t="s">
        <v>145</v>
      </c>
      <c r="J73" s="177"/>
      <c r="K73" s="18"/>
      <c r="L73" s="18"/>
    </row>
    <row r="74" spans="1:12" ht="11.4" customHeight="1">
      <c r="A74" s="14" t="s">
        <v>57</v>
      </c>
      <c r="B74" s="152">
        <f t="shared" ref="B74:B80" si="17">SUM(C74,E74,G74)</f>
        <v>0</v>
      </c>
      <c r="C74" s="143" t="s">
        <v>287</v>
      </c>
      <c r="D74" s="143" t="s">
        <v>287</v>
      </c>
      <c r="E74" s="143" t="s">
        <v>287</v>
      </c>
      <c r="F74" s="143" t="s">
        <v>287</v>
      </c>
      <c r="G74" s="143" t="s">
        <v>287</v>
      </c>
      <c r="H74" s="153" t="s">
        <v>287</v>
      </c>
      <c r="I74" s="177" t="s">
        <v>146</v>
      </c>
      <c r="J74" s="177"/>
      <c r="K74" s="18"/>
      <c r="L74" s="18"/>
    </row>
    <row r="75" spans="1:12" ht="11.4" customHeight="1">
      <c r="A75" s="14" t="s">
        <v>178</v>
      </c>
      <c r="B75" s="152">
        <f t="shared" si="17"/>
        <v>0</v>
      </c>
      <c r="C75" s="143" t="s">
        <v>287</v>
      </c>
      <c r="D75" s="143" t="s">
        <v>287</v>
      </c>
      <c r="E75" s="143" t="s">
        <v>287</v>
      </c>
      <c r="F75" s="143" t="s">
        <v>287</v>
      </c>
      <c r="G75" s="143" t="s">
        <v>287</v>
      </c>
      <c r="H75" s="153" t="s">
        <v>287</v>
      </c>
      <c r="I75" s="177" t="s">
        <v>147</v>
      </c>
      <c r="J75" s="177"/>
      <c r="K75" s="18"/>
      <c r="L75" s="18"/>
    </row>
    <row r="76" spans="1:12" ht="11.4" customHeight="1">
      <c r="A76" s="14" t="s">
        <v>179</v>
      </c>
      <c r="B76" s="152">
        <f t="shared" si="17"/>
        <v>0</v>
      </c>
      <c r="C76" s="143" t="s">
        <v>287</v>
      </c>
      <c r="D76" s="143" t="s">
        <v>287</v>
      </c>
      <c r="E76" s="143" t="s">
        <v>287</v>
      </c>
      <c r="F76" s="143" t="s">
        <v>287</v>
      </c>
      <c r="G76" s="143" t="s">
        <v>287</v>
      </c>
      <c r="H76" s="153" t="s">
        <v>287</v>
      </c>
      <c r="I76" s="177" t="s">
        <v>148</v>
      </c>
      <c r="J76" s="177"/>
      <c r="K76" s="18"/>
      <c r="L76" s="18"/>
    </row>
    <row r="77" spans="1:12" ht="11.4" customHeight="1">
      <c r="A77" s="14" t="s">
        <v>180</v>
      </c>
      <c r="B77" s="152">
        <f t="shared" si="17"/>
        <v>102</v>
      </c>
      <c r="C77" s="144">
        <v>102</v>
      </c>
      <c r="D77" s="144">
        <v>80.8</v>
      </c>
      <c r="E77" s="145" t="s">
        <v>287</v>
      </c>
      <c r="F77" s="144">
        <v>0</v>
      </c>
      <c r="G77" s="145" t="s">
        <v>287</v>
      </c>
      <c r="H77" s="153" t="s">
        <v>287</v>
      </c>
      <c r="I77" s="177" t="s">
        <v>149</v>
      </c>
      <c r="J77" s="177"/>
      <c r="K77" s="18"/>
      <c r="L77" s="18"/>
    </row>
    <row r="78" spans="1:12" ht="11.4" customHeight="1">
      <c r="A78" s="14" t="s">
        <v>181</v>
      </c>
      <c r="B78" s="152">
        <f t="shared" si="17"/>
        <v>0</v>
      </c>
      <c r="C78" s="143" t="s">
        <v>287</v>
      </c>
      <c r="D78" s="143" t="s">
        <v>287</v>
      </c>
      <c r="E78" s="143" t="s">
        <v>287</v>
      </c>
      <c r="F78" s="143" t="s">
        <v>287</v>
      </c>
      <c r="G78" s="143" t="s">
        <v>287</v>
      </c>
      <c r="H78" s="153" t="s">
        <v>287</v>
      </c>
      <c r="I78" s="177" t="s">
        <v>150</v>
      </c>
      <c r="J78" s="177"/>
      <c r="K78" s="18"/>
      <c r="L78" s="18"/>
    </row>
    <row r="79" spans="1:12" ht="11.4" customHeight="1">
      <c r="A79" s="14" t="s">
        <v>182</v>
      </c>
      <c r="B79" s="152">
        <f t="shared" si="17"/>
        <v>0</v>
      </c>
      <c r="C79" s="143" t="s">
        <v>287</v>
      </c>
      <c r="D79" s="143" t="s">
        <v>287</v>
      </c>
      <c r="E79" s="143" t="s">
        <v>287</v>
      </c>
      <c r="F79" s="143" t="s">
        <v>287</v>
      </c>
      <c r="G79" s="143" t="s">
        <v>287</v>
      </c>
      <c r="H79" s="153" t="s">
        <v>287</v>
      </c>
      <c r="I79" s="177" t="s">
        <v>151</v>
      </c>
      <c r="J79" s="177"/>
      <c r="K79" s="18"/>
      <c r="L79" s="18"/>
    </row>
    <row r="80" spans="1:12" ht="11.4" customHeight="1">
      <c r="A80" s="14" t="s">
        <v>183</v>
      </c>
      <c r="B80" s="152">
        <f t="shared" si="17"/>
        <v>10</v>
      </c>
      <c r="C80" s="145" t="s">
        <v>287</v>
      </c>
      <c r="D80" s="144">
        <v>0</v>
      </c>
      <c r="E80" s="144">
        <v>10</v>
      </c>
      <c r="F80" s="144">
        <v>10</v>
      </c>
      <c r="G80" s="145" t="s">
        <v>287</v>
      </c>
      <c r="H80" s="153" t="s">
        <v>287</v>
      </c>
      <c r="I80" s="177" t="s">
        <v>152</v>
      </c>
      <c r="J80" s="177"/>
      <c r="K80" s="18"/>
      <c r="L80" s="18"/>
    </row>
    <row r="81" spans="1:12" ht="11.4" customHeight="1">
      <c r="A81" s="180" t="s">
        <v>64</v>
      </c>
      <c r="B81" s="181">
        <f>SUM(C81,E81,G81)</f>
        <v>805</v>
      </c>
      <c r="C81" s="178">
        <f t="shared" ref="C81:H81" si="18">SUM(C83:C87)</f>
        <v>707</v>
      </c>
      <c r="D81" s="178">
        <f t="shared" si="18"/>
        <v>462.1</v>
      </c>
      <c r="E81" s="178">
        <f t="shared" si="18"/>
        <v>98</v>
      </c>
      <c r="F81" s="178">
        <f t="shared" si="18"/>
        <v>65.58</v>
      </c>
      <c r="G81" s="178">
        <f t="shared" si="18"/>
        <v>0</v>
      </c>
      <c r="H81" s="179">
        <f t="shared" si="18"/>
        <v>0</v>
      </c>
      <c r="I81" s="175" t="s">
        <v>153</v>
      </c>
      <c r="J81" s="175"/>
      <c r="K81" s="15"/>
      <c r="L81" s="10"/>
    </row>
    <row r="82" spans="1:12" ht="11.4" customHeight="1">
      <c r="A82" s="180"/>
      <c r="B82" s="181"/>
      <c r="C82" s="178"/>
      <c r="D82" s="178"/>
      <c r="E82" s="178"/>
      <c r="F82" s="178"/>
      <c r="G82" s="178"/>
      <c r="H82" s="179"/>
      <c r="I82" s="175"/>
      <c r="J82" s="175"/>
      <c r="K82" s="15"/>
      <c r="L82" s="10"/>
    </row>
    <row r="83" spans="1:12" ht="11.4" customHeight="1">
      <c r="A83" s="4" t="s">
        <v>65</v>
      </c>
      <c r="B83" s="152">
        <f t="shared" ref="B83:B88" si="19">SUM(C83,E83,G83)</f>
        <v>699</v>
      </c>
      <c r="C83" s="144">
        <v>635</v>
      </c>
      <c r="D83" s="144">
        <v>378.25</v>
      </c>
      <c r="E83" s="144">
        <v>64</v>
      </c>
      <c r="F83" s="144">
        <v>25.58</v>
      </c>
      <c r="G83" s="145" t="s">
        <v>287</v>
      </c>
      <c r="H83" s="153" t="s">
        <v>287</v>
      </c>
      <c r="I83" s="9" t="s">
        <v>154</v>
      </c>
      <c r="J83" s="8"/>
      <c r="K83" s="8"/>
      <c r="L83" s="8"/>
    </row>
    <row r="84" spans="1:12" ht="11.4" customHeight="1">
      <c r="A84" s="4" t="s">
        <v>66</v>
      </c>
      <c r="B84" s="152">
        <f t="shared" si="19"/>
        <v>0</v>
      </c>
      <c r="C84" s="143" t="s">
        <v>287</v>
      </c>
      <c r="D84" s="143" t="s">
        <v>287</v>
      </c>
      <c r="E84" s="143" t="s">
        <v>287</v>
      </c>
      <c r="F84" s="143" t="s">
        <v>287</v>
      </c>
      <c r="G84" s="143" t="s">
        <v>287</v>
      </c>
      <c r="H84" s="153" t="s">
        <v>287</v>
      </c>
      <c r="I84" s="9" t="s">
        <v>155</v>
      </c>
      <c r="J84" s="8"/>
      <c r="K84" s="8"/>
      <c r="L84" s="8"/>
    </row>
    <row r="85" spans="1:12" ht="11.4" customHeight="1">
      <c r="A85" s="4" t="s">
        <v>67</v>
      </c>
      <c r="B85" s="152">
        <f t="shared" si="19"/>
        <v>12</v>
      </c>
      <c r="C85" s="145" t="s">
        <v>287</v>
      </c>
      <c r="D85" s="144">
        <v>0</v>
      </c>
      <c r="E85" s="144">
        <v>12</v>
      </c>
      <c r="F85" s="144">
        <v>36</v>
      </c>
      <c r="G85" s="145" t="s">
        <v>287</v>
      </c>
      <c r="H85" s="153" t="s">
        <v>287</v>
      </c>
      <c r="I85" s="9" t="s">
        <v>156</v>
      </c>
      <c r="J85" s="8"/>
      <c r="K85" s="8"/>
      <c r="L85" s="8"/>
    </row>
    <row r="86" spans="1:12" ht="11.4" customHeight="1">
      <c r="A86" s="4" t="s">
        <v>68</v>
      </c>
      <c r="B86" s="152">
        <f t="shared" si="19"/>
        <v>74</v>
      </c>
      <c r="C86" s="144">
        <v>72</v>
      </c>
      <c r="D86" s="144">
        <v>83.85</v>
      </c>
      <c r="E86" s="144">
        <v>2</v>
      </c>
      <c r="F86" s="144">
        <v>1</v>
      </c>
      <c r="G86" s="145" t="s">
        <v>287</v>
      </c>
      <c r="H86" s="153" t="s">
        <v>287</v>
      </c>
      <c r="I86" s="9" t="s">
        <v>157</v>
      </c>
      <c r="J86" s="8"/>
      <c r="K86" s="8"/>
      <c r="L86" s="8"/>
    </row>
    <row r="87" spans="1:12" ht="11.4" customHeight="1">
      <c r="A87" s="4" t="s">
        <v>69</v>
      </c>
      <c r="B87" s="152">
        <f t="shared" si="19"/>
        <v>20</v>
      </c>
      <c r="C87" s="145" t="s">
        <v>287</v>
      </c>
      <c r="D87" s="144">
        <v>0</v>
      </c>
      <c r="E87" s="144">
        <v>20</v>
      </c>
      <c r="F87" s="144">
        <v>3</v>
      </c>
      <c r="G87" s="145" t="s">
        <v>287</v>
      </c>
      <c r="H87" s="153" t="s">
        <v>287</v>
      </c>
      <c r="I87" s="9" t="s">
        <v>158</v>
      </c>
      <c r="J87" s="8"/>
      <c r="K87" s="8"/>
      <c r="L87" s="8"/>
    </row>
    <row r="88" spans="1:12" ht="11.4" customHeight="1">
      <c r="A88" s="180" t="s">
        <v>70</v>
      </c>
      <c r="B88" s="181">
        <f t="shared" si="19"/>
        <v>6682</v>
      </c>
      <c r="C88" s="178">
        <f t="shared" ref="C88:H88" si="20">SUM(C90:C102)</f>
        <v>3828</v>
      </c>
      <c r="D88" s="178">
        <f t="shared" si="20"/>
        <v>2215.3199999999997</v>
      </c>
      <c r="E88" s="178">
        <f t="shared" si="20"/>
        <v>2854</v>
      </c>
      <c r="F88" s="178">
        <f t="shared" si="20"/>
        <v>1028.8</v>
      </c>
      <c r="G88" s="178">
        <f t="shared" si="20"/>
        <v>0</v>
      </c>
      <c r="H88" s="179">
        <f t="shared" si="20"/>
        <v>0</v>
      </c>
      <c r="I88" s="175" t="s">
        <v>159</v>
      </c>
      <c r="J88" s="175"/>
      <c r="K88" s="15"/>
      <c r="L88" s="8"/>
    </row>
    <row r="89" spans="1:12" ht="11.4" customHeight="1">
      <c r="A89" s="180"/>
      <c r="B89" s="181"/>
      <c r="C89" s="178"/>
      <c r="D89" s="178"/>
      <c r="E89" s="178"/>
      <c r="F89" s="178"/>
      <c r="G89" s="178"/>
      <c r="H89" s="179"/>
      <c r="I89" s="175"/>
      <c r="J89" s="175"/>
      <c r="K89" s="15"/>
      <c r="L89" s="8"/>
    </row>
    <row r="90" spans="1:12" ht="11.4" customHeight="1">
      <c r="A90" s="4" t="s">
        <v>71</v>
      </c>
      <c r="B90" s="152">
        <f>SUM(C90,E90,G90)</f>
        <v>18</v>
      </c>
      <c r="C90" s="145" t="s">
        <v>287</v>
      </c>
      <c r="D90" s="144">
        <v>0</v>
      </c>
      <c r="E90" s="144">
        <v>18</v>
      </c>
      <c r="F90" s="144">
        <v>4.3499999999999996</v>
      </c>
      <c r="G90" s="145" t="s">
        <v>287</v>
      </c>
      <c r="H90" s="153" t="s">
        <v>287</v>
      </c>
      <c r="I90" s="9" t="s">
        <v>160</v>
      </c>
      <c r="J90" s="8"/>
      <c r="K90" s="8"/>
      <c r="L90" s="8"/>
    </row>
    <row r="91" spans="1:12" ht="11.4" customHeight="1">
      <c r="A91" s="4" t="s">
        <v>72</v>
      </c>
      <c r="B91" s="152">
        <f t="shared" ref="B91:B102" si="21">SUM(C91,E91,G91)</f>
        <v>378</v>
      </c>
      <c r="C91" s="144">
        <v>323</v>
      </c>
      <c r="D91" s="144">
        <v>370.2</v>
      </c>
      <c r="E91" s="144">
        <v>55</v>
      </c>
      <c r="F91" s="144">
        <v>43</v>
      </c>
      <c r="G91" s="145" t="s">
        <v>287</v>
      </c>
      <c r="H91" s="153" t="s">
        <v>287</v>
      </c>
      <c r="I91" s="9" t="s">
        <v>161</v>
      </c>
      <c r="J91" s="8"/>
      <c r="K91" s="8"/>
      <c r="L91" s="8"/>
    </row>
    <row r="92" spans="1:12" ht="11.4" customHeight="1">
      <c r="A92" s="4" t="s">
        <v>73</v>
      </c>
      <c r="B92" s="152">
        <f t="shared" si="21"/>
        <v>0</v>
      </c>
      <c r="C92" s="143" t="s">
        <v>287</v>
      </c>
      <c r="D92" s="143" t="s">
        <v>287</v>
      </c>
      <c r="E92" s="143" t="s">
        <v>287</v>
      </c>
      <c r="F92" s="143" t="s">
        <v>287</v>
      </c>
      <c r="G92" s="143" t="s">
        <v>287</v>
      </c>
      <c r="H92" s="153" t="s">
        <v>287</v>
      </c>
      <c r="I92" s="9" t="s">
        <v>162</v>
      </c>
      <c r="J92" s="8"/>
      <c r="K92" s="8"/>
      <c r="L92" s="8"/>
    </row>
    <row r="93" spans="1:12" ht="11.4" customHeight="1">
      <c r="A93" s="4" t="s">
        <v>74</v>
      </c>
      <c r="B93" s="152">
        <f t="shared" si="21"/>
        <v>35</v>
      </c>
      <c r="C93" s="144">
        <v>5</v>
      </c>
      <c r="D93" s="144">
        <v>2.4</v>
      </c>
      <c r="E93" s="144">
        <v>30</v>
      </c>
      <c r="F93" s="144">
        <v>6</v>
      </c>
      <c r="G93" s="145" t="s">
        <v>287</v>
      </c>
      <c r="H93" s="153" t="s">
        <v>287</v>
      </c>
      <c r="I93" s="9" t="s">
        <v>163</v>
      </c>
      <c r="J93" s="8"/>
      <c r="K93" s="8"/>
      <c r="L93" s="8"/>
    </row>
    <row r="94" spans="1:12" ht="11.4" customHeight="1">
      <c r="A94" s="4" t="s">
        <v>75</v>
      </c>
      <c r="B94" s="152">
        <f t="shared" si="21"/>
        <v>0</v>
      </c>
      <c r="C94" s="143" t="s">
        <v>287</v>
      </c>
      <c r="D94" s="143" t="s">
        <v>287</v>
      </c>
      <c r="E94" s="143" t="s">
        <v>287</v>
      </c>
      <c r="F94" s="143" t="s">
        <v>287</v>
      </c>
      <c r="G94" s="143" t="s">
        <v>287</v>
      </c>
      <c r="H94" s="153" t="s">
        <v>287</v>
      </c>
      <c r="I94" s="9" t="s">
        <v>164</v>
      </c>
      <c r="J94" s="8"/>
      <c r="K94" s="8"/>
      <c r="L94" s="8"/>
    </row>
    <row r="95" spans="1:12" ht="11.4" customHeight="1">
      <c r="A95" s="4" t="s">
        <v>76</v>
      </c>
      <c r="B95" s="152">
        <f t="shared" si="21"/>
        <v>130</v>
      </c>
      <c r="C95" s="144">
        <v>130</v>
      </c>
      <c r="D95" s="144">
        <v>83</v>
      </c>
      <c r="E95" s="145" t="s">
        <v>287</v>
      </c>
      <c r="F95" s="144">
        <v>0</v>
      </c>
      <c r="G95" s="145" t="s">
        <v>287</v>
      </c>
      <c r="H95" s="153" t="s">
        <v>287</v>
      </c>
      <c r="I95" s="9" t="s">
        <v>165</v>
      </c>
      <c r="J95" s="8"/>
      <c r="K95" s="8"/>
      <c r="L95" s="8"/>
    </row>
    <row r="96" spans="1:12" ht="11.4" customHeight="1">
      <c r="A96" s="4" t="s">
        <v>77</v>
      </c>
      <c r="B96" s="152">
        <f t="shared" si="21"/>
        <v>500</v>
      </c>
      <c r="C96" s="144">
        <v>250</v>
      </c>
      <c r="D96" s="144">
        <v>420</v>
      </c>
      <c r="E96" s="144">
        <v>250</v>
      </c>
      <c r="F96" s="144">
        <v>50</v>
      </c>
      <c r="G96" s="145" t="s">
        <v>287</v>
      </c>
      <c r="H96" s="153" t="s">
        <v>287</v>
      </c>
      <c r="I96" s="9" t="s">
        <v>166</v>
      </c>
      <c r="J96" s="8"/>
      <c r="K96" s="8"/>
      <c r="L96" s="8"/>
    </row>
    <row r="97" spans="1:12" ht="11.4" customHeight="1">
      <c r="A97" s="4" t="s">
        <v>78</v>
      </c>
      <c r="B97" s="152">
        <f t="shared" si="21"/>
        <v>210</v>
      </c>
      <c r="C97" s="143" t="s">
        <v>287</v>
      </c>
      <c r="D97" s="143" t="s">
        <v>287</v>
      </c>
      <c r="E97" s="146">
        <v>210</v>
      </c>
      <c r="F97" s="146">
        <v>37.799999999999997</v>
      </c>
      <c r="G97" s="143" t="s">
        <v>287</v>
      </c>
      <c r="H97" s="153" t="s">
        <v>287</v>
      </c>
      <c r="I97" s="9" t="s">
        <v>167</v>
      </c>
      <c r="J97" s="8"/>
      <c r="K97" s="8"/>
      <c r="L97" s="8"/>
    </row>
    <row r="98" spans="1:12" ht="11.4" customHeight="1">
      <c r="A98" s="4" t="s">
        <v>79</v>
      </c>
      <c r="B98" s="152">
        <f t="shared" si="21"/>
        <v>0</v>
      </c>
      <c r="C98" s="143" t="s">
        <v>287</v>
      </c>
      <c r="D98" s="143" t="s">
        <v>287</v>
      </c>
      <c r="E98" s="143" t="s">
        <v>287</v>
      </c>
      <c r="F98" s="143" t="s">
        <v>287</v>
      </c>
      <c r="G98" s="143" t="s">
        <v>287</v>
      </c>
      <c r="H98" s="153" t="s">
        <v>287</v>
      </c>
      <c r="I98" s="9" t="s">
        <v>168</v>
      </c>
      <c r="J98" s="8"/>
      <c r="K98" s="8"/>
      <c r="L98" s="8"/>
    </row>
    <row r="99" spans="1:12" ht="11.4" customHeight="1">
      <c r="A99" s="4" t="s">
        <v>80</v>
      </c>
      <c r="B99" s="152">
        <f t="shared" si="21"/>
        <v>5085</v>
      </c>
      <c r="C99" s="144">
        <v>2840</v>
      </c>
      <c r="D99" s="144">
        <v>980.22</v>
      </c>
      <c r="E99" s="144">
        <v>2245</v>
      </c>
      <c r="F99" s="144">
        <v>827.5</v>
      </c>
      <c r="G99" s="145" t="s">
        <v>287</v>
      </c>
      <c r="H99" s="153" t="s">
        <v>287</v>
      </c>
      <c r="I99" s="9" t="s">
        <v>169</v>
      </c>
      <c r="J99" s="8"/>
      <c r="K99" s="8"/>
      <c r="L99" s="8"/>
    </row>
    <row r="100" spans="1:12" ht="11.4" customHeight="1">
      <c r="A100" s="4" t="s">
        <v>81</v>
      </c>
      <c r="B100" s="152">
        <f t="shared" si="21"/>
        <v>24</v>
      </c>
      <c r="C100" s="144">
        <v>23</v>
      </c>
      <c r="D100" s="144">
        <v>19.5</v>
      </c>
      <c r="E100" s="144">
        <v>1</v>
      </c>
      <c r="F100" s="144">
        <v>0.35</v>
      </c>
      <c r="G100" s="145" t="s">
        <v>287</v>
      </c>
      <c r="H100" s="153" t="s">
        <v>287</v>
      </c>
      <c r="I100" s="9" t="s">
        <v>170</v>
      </c>
      <c r="J100" s="8"/>
      <c r="K100" s="8"/>
      <c r="L100" s="8"/>
    </row>
    <row r="101" spans="1:12" ht="11.4" customHeight="1">
      <c r="A101" s="4" t="s">
        <v>82</v>
      </c>
      <c r="B101" s="152">
        <f t="shared" si="21"/>
        <v>295</v>
      </c>
      <c r="C101" s="144">
        <v>250</v>
      </c>
      <c r="D101" s="144">
        <v>334</v>
      </c>
      <c r="E101" s="144">
        <v>45</v>
      </c>
      <c r="F101" s="144">
        <v>59.8</v>
      </c>
      <c r="G101" s="145" t="s">
        <v>287</v>
      </c>
      <c r="H101" s="153" t="s">
        <v>287</v>
      </c>
      <c r="I101" s="9" t="s">
        <v>171</v>
      </c>
      <c r="J101" s="8"/>
      <c r="K101" s="8"/>
      <c r="L101" s="8"/>
    </row>
    <row r="102" spans="1:12" ht="11.4" customHeight="1">
      <c r="A102" s="4" t="s">
        <v>83</v>
      </c>
      <c r="B102" s="152">
        <f t="shared" si="21"/>
        <v>7</v>
      </c>
      <c r="C102" s="144">
        <v>7</v>
      </c>
      <c r="D102" s="144">
        <v>6</v>
      </c>
      <c r="E102" s="145" t="s">
        <v>287</v>
      </c>
      <c r="F102" s="144">
        <v>0</v>
      </c>
      <c r="G102" s="145" t="s">
        <v>287</v>
      </c>
      <c r="H102" s="153" t="s">
        <v>287</v>
      </c>
      <c r="I102" s="9" t="s">
        <v>172</v>
      </c>
      <c r="J102" s="8"/>
      <c r="K102" s="8"/>
      <c r="L102" s="8"/>
    </row>
    <row r="103" spans="1:12" ht="11.4" customHeight="1">
      <c r="A103" s="180" t="s">
        <v>84</v>
      </c>
      <c r="B103" s="181">
        <f>SUM(C103,E103,G103)</f>
        <v>5706</v>
      </c>
      <c r="C103" s="178">
        <f t="shared" ref="C103:H103" si="22">SUM(C105:C108)</f>
        <v>2856</v>
      </c>
      <c r="D103" s="178">
        <f t="shared" si="22"/>
        <v>2206.2249999999999</v>
      </c>
      <c r="E103" s="178">
        <f t="shared" si="22"/>
        <v>2848</v>
      </c>
      <c r="F103" s="178">
        <f t="shared" si="22"/>
        <v>1929.7449999999999</v>
      </c>
      <c r="G103" s="178">
        <f t="shared" si="22"/>
        <v>2</v>
      </c>
      <c r="H103" s="179">
        <f t="shared" si="22"/>
        <v>1.9</v>
      </c>
      <c r="I103" s="176" t="s">
        <v>173</v>
      </c>
      <c r="J103" s="176"/>
      <c r="K103" s="16"/>
      <c r="L103" s="8"/>
    </row>
    <row r="104" spans="1:12" ht="11.4" customHeight="1">
      <c r="A104" s="180"/>
      <c r="B104" s="181"/>
      <c r="C104" s="178"/>
      <c r="D104" s="178"/>
      <c r="E104" s="178"/>
      <c r="F104" s="178"/>
      <c r="G104" s="178"/>
      <c r="H104" s="179"/>
      <c r="I104" s="176"/>
      <c r="J104" s="176"/>
      <c r="K104" s="16"/>
      <c r="L104" s="8"/>
    </row>
    <row r="105" spans="1:12" ht="11.4" customHeight="1">
      <c r="A105" s="4" t="s">
        <v>85</v>
      </c>
      <c r="B105" s="152">
        <f>SUM(C105,E105,G105)</f>
        <v>2027</v>
      </c>
      <c r="C105" s="144">
        <v>807</v>
      </c>
      <c r="D105" s="144">
        <v>721.5</v>
      </c>
      <c r="E105" s="144">
        <v>1220</v>
      </c>
      <c r="F105" s="144">
        <v>970.2</v>
      </c>
      <c r="G105" s="145" t="s">
        <v>287</v>
      </c>
      <c r="H105" s="155" t="s">
        <v>287</v>
      </c>
      <c r="I105" s="9" t="s">
        <v>174</v>
      </c>
      <c r="J105" s="8"/>
      <c r="K105" s="8"/>
      <c r="L105" s="8"/>
    </row>
    <row r="106" spans="1:12" ht="11.4" customHeight="1">
      <c r="A106" s="4" t="s">
        <v>86</v>
      </c>
      <c r="B106" s="152">
        <f>SUM(C106,E106,G106)</f>
        <v>846</v>
      </c>
      <c r="C106" s="144">
        <v>282</v>
      </c>
      <c r="D106" s="144">
        <v>94.844999999999999</v>
      </c>
      <c r="E106" s="144">
        <v>564</v>
      </c>
      <c r="F106" s="144">
        <v>142.94499999999999</v>
      </c>
      <c r="G106" s="145" t="s">
        <v>287</v>
      </c>
      <c r="H106" s="155" t="s">
        <v>287</v>
      </c>
      <c r="I106" s="9" t="s">
        <v>175</v>
      </c>
      <c r="J106" s="8"/>
      <c r="K106" s="8"/>
      <c r="L106" s="8"/>
    </row>
    <row r="107" spans="1:12" ht="11.4" customHeight="1">
      <c r="A107" s="4" t="s">
        <v>87</v>
      </c>
      <c r="B107" s="152">
        <f>SUM(C107,E107,G107)</f>
        <v>1612</v>
      </c>
      <c r="C107" s="144">
        <v>901</v>
      </c>
      <c r="D107" s="144">
        <v>519.96</v>
      </c>
      <c r="E107" s="144">
        <v>709</v>
      </c>
      <c r="F107" s="144">
        <v>490.7</v>
      </c>
      <c r="G107" s="144">
        <v>2</v>
      </c>
      <c r="H107" s="155">
        <v>1.9</v>
      </c>
      <c r="I107" s="9" t="s">
        <v>176</v>
      </c>
      <c r="J107" s="11"/>
      <c r="K107" s="11"/>
      <c r="L107" s="8"/>
    </row>
    <row r="108" spans="1:12" ht="11.4" customHeight="1" thickBot="1">
      <c r="A108" s="5" t="s">
        <v>88</v>
      </c>
      <c r="B108" s="158">
        <f>SUM(C108,E108,G108)</f>
        <v>1221</v>
      </c>
      <c r="C108" s="159">
        <v>866</v>
      </c>
      <c r="D108" s="159">
        <v>869.92</v>
      </c>
      <c r="E108" s="159">
        <v>355</v>
      </c>
      <c r="F108" s="159">
        <v>325.89999999999998</v>
      </c>
      <c r="G108" s="160" t="s">
        <v>287</v>
      </c>
      <c r="H108" s="161" t="s">
        <v>287</v>
      </c>
      <c r="I108" s="12" t="s">
        <v>177</v>
      </c>
      <c r="J108" s="13"/>
      <c r="K108" s="11"/>
      <c r="L108" s="8"/>
    </row>
    <row r="109" spans="1:12">
      <c r="A109" s="183" t="s">
        <v>89</v>
      </c>
      <c r="B109" s="184"/>
      <c r="C109" s="6"/>
      <c r="D109" s="6"/>
      <c r="E109" s="6"/>
      <c r="F109" s="6"/>
      <c r="G109" s="6"/>
      <c r="H109" s="185" t="s">
        <v>188</v>
      </c>
      <c r="I109" s="186"/>
      <c r="J109" s="186"/>
      <c r="K109" s="22"/>
    </row>
  </sheetData>
  <mergeCells count="138">
    <mergeCell ref="A1:J1"/>
    <mergeCell ref="A2:J2"/>
    <mergeCell ref="F3:J3"/>
    <mergeCell ref="A3:C3"/>
    <mergeCell ref="I4:J7"/>
    <mergeCell ref="I8:J9"/>
    <mergeCell ref="A4:A7"/>
    <mergeCell ref="B4:B7"/>
    <mergeCell ref="C4:D6"/>
    <mergeCell ref="E4:F6"/>
    <mergeCell ref="A8:A9"/>
    <mergeCell ref="B8:B9"/>
    <mergeCell ref="C8:C9"/>
    <mergeCell ref="D8:D9"/>
    <mergeCell ref="E8:E9"/>
    <mergeCell ref="F8:F9"/>
    <mergeCell ref="G4:H6"/>
    <mergeCell ref="C10:C11"/>
    <mergeCell ref="D10:D11"/>
    <mergeCell ref="E10:E11"/>
    <mergeCell ref="F10:F11"/>
    <mergeCell ref="G8:G9"/>
    <mergeCell ref="H8:H9"/>
    <mergeCell ref="G10:G11"/>
    <mergeCell ref="H10:H11"/>
    <mergeCell ref="G32:G33"/>
    <mergeCell ref="H32:H33"/>
    <mergeCell ref="A18:A19"/>
    <mergeCell ref="B18:B19"/>
    <mergeCell ref="C18:C19"/>
    <mergeCell ref="D18:D19"/>
    <mergeCell ref="E18:E19"/>
    <mergeCell ref="F18:F19"/>
    <mergeCell ref="A10:A11"/>
    <mergeCell ref="B10:B11"/>
    <mergeCell ref="G18:G19"/>
    <mergeCell ref="H18:H19"/>
    <mergeCell ref="A32:A33"/>
    <mergeCell ref="B32:B33"/>
    <mergeCell ref="C32:C33"/>
    <mergeCell ref="D32:D33"/>
    <mergeCell ref="E32:E33"/>
    <mergeCell ref="F32:F33"/>
    <mergeCell ref="A38:A39"/>
    <mergeCell ref="B38:B39"/>
    <mergeCell ref="C38:C39"/>
    <mergeCell ref="D38:D39"/>
    <mergeCell ref="E38:E39"/>
    <mergeCell ref="F38:F39"/>
    <mergeCell ref="G38:G39"/>
    <mergeCell ref="H38:H39"/>
    <mergeCell ref="A45:A46"/>
    <mergeCell ref="B45:B46"/>
    <mergeCell ref="C45:C46"/>
    <mergeCell ref="D45:D46"/>
    <mergeCell ref="E45:E46"/>
    <mergeCell ref="F45:F46"/>
    <mergeCell ref="G45:G46"/>
    <mergeCell ref="H45:H46"/>
    <mergeCell ref="D52:D53"/>
    <mergeCell ref="E52:E53"/>
    <mergeCell ref="F52:F53"/>
    <mergeCell ref="G52:G53"/>
    <mergeCell ref="H52:H53"/>
    <mergeCell ref="A59:A60"/>
    <mergeCell ref="B59:B60"/>
    <mergeCell ref="C59:C60"/>
    <mergeCell ref="D59:D60"/>
    <mergeCell ref="E59:E60"/>
    <mergeCell ref="F59:F60"/>
    <mergeCell ref="G59:G60"/>
    <mergeCell ref="H59:H60"/>
    <mergeCell ref="A109:B109"/>
    <mergeCell ref="H109:J109"/>
    <mergeCell ref="I64:J65"/>
    <mergeCell ref="I71:J72"/>
    <mergeCell ref="I80:J80"/>
    <mergeCell ref="I79:J79"/>
    <mergeCell ref="I78:J78"/>
    <mergeCell ref="I77:J77"/>
    <mergeCell ref="I76:J76"/>
    <mergeCell ref="D88:D89"/>
    <mergeCell ref="E88:E89"/>
    <mergeCell ref="F88:F89"/>
    <mergeCell ref="G88:G89"/>
    <mergeCell ref="H88:H89"/>
    <mergeCell ref="A81:A82"/>
    <mergeCell ref="B81:B82"/>
    <mergeCell ref="C81:C82"/>
    <mergeCell ref="D81:D82"/>
    <mergeCell ref="E81:E82"/>
    <mergeCell ref="A64:A65"/>
    <mergeCell ref="B64:B65"/>
    <mergeCell ref="C64:C65"/>
    <mergeCell ref="D64:D65"/>
    <mergeCell ref="E64:E65"/>
    <mergeCell ref="G103:G104"/>
    <mergeCell ref="H103:H104"/>
    <mergeCell ref="A103:A104"/>
    <mergeCell ref="B103:B104"/>
    <mergeCell ref="C103:C104"/>
    <mergeCell ref="D103:D104"/>
    <mergeCell ref="E103:E104"/>
    <mergeCell ref="F103:F104"/>
    <mergeCell ref="F81:F82"/>
    <mergeCell ref="G81:G82"/>
    <mergeCell ref="H81:H82"/>
    <mergeCell ref="A88:A89"/>
    <mergeCell ref="B88:B89"/>
    <mergeCell ref="C88:C89"/>
    <mergeCell ref="I10:J11"/>
    <mergeCell ref="I18:J19"/>
    <mergeCell ref="I32:J33"/>
    <mergeCell ref="I38:J39"/>
    <mergeCell ref="I81:J82"/>
    <mergeCell ref="F64:F65"/>
    <mergeCell ref="G64:G65"/>
    <mergeCell ref="H64:H65"/>
    <mergeCell ref="A71:A72"/>
    <mergeCell ref="B71:B72"/>
    <mergeCell ref="C71:C72"/>
    <mergeCell ref="D71:D72"/>
    <mergeCell ref="E71:E72"/>
    <mergeCell ref="F71:F72"/>
    <mergeCell ref="G71:G72"/>
    <mergeCell ref="H71:H72"/>
    <mergeCell ref="A52:A53"/>
    <mergeCell ref="B52:B53"/>
    <mergeCell ref="C52:C53"/>
    <mergeCell ref="I88:J89"/>
    <mergeCell ref="I103:J104"/>
    <mergeCell ref="I73:J73"/>
    <mergeCell ref="I62:K62"/>
    <mergeCell ref="I45:J46"/>
    <mergeCell ref="I52:J53"/>
    <mergeCell ref="I59:J60"/>
    <mergeCell ref="I75:J75"/>
    <mergeCell ref="I74:J74"/>
  </mergeCells>
  <pageMargins left="0.7" right="0.7" top="0.75" bottom="0.75" header="0.3" footer="0.3"/>
  <pageSetup paperSize="9" orientation="portrait" horizontalDpi="200" verticalDpi="200" r:id="rId1"/>
  <ignoredErrors>
    <ignoredError sqref="B18:H19 B12:D12 H12 B13:F13 H13 B14:F14 H14 B15:D15 F15 H15 B16:F16 H16 B17:F17 H17 B22:H22 B20:F20 B21:F21 B27:H27 B23:F23 B24:F24 B25:F25 B26:D26 F26 B32:H33 B28:D28 F28 B29:F29 B30:D30 F30 B31:D31 F31 B38:H39 B34:F34 B35:F35 B36:F36 B37:F37 B43:H43 B40:F40 B41:D41 F41 B42:D42 F42 B46:H46 B44:D44 F44 B50:H50 B47:F47 B48:F48 B49:F49 B52:H53 B51:D51 F51 B59:H60 B54:F54 B55:F55 B56 B57:F57 B58:D58 F58:H58 B64:H65 B61:F61 H61 B62:F62 H62 B63:F63 H63 B71:H76 B66:F66 H66 B67:F67 H67 B68:D68 F68 H68 B69:F69 H69 B70:F70 H70 B78:H79 B77:D77 F77 H77 B81:H82 B80 D80:F80 H80 B84:H84 B83:F83 H83 B88:H89 B85 D85:F85 H85 B86:F86 H86 B87 D87:F87 H87 B92:H92 B90 D90:F90 H90 B91:F91 H91 B94:H94 B93:F93 H93 B97:H98 B95:D95 F95 H95 B96:F96 H96 B103:H104 B99:F99 H99 B100:F100 H100 B101:F101 H101 B102:D102 F102 H102 B107:H107 B105:F105 B106:F106 B108:F108 B45 D45:H4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ListOfRegions</vt:lpstr>
      <vt:lpstr>ΠΙΝΑΚΑΣ 2(στ)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2017-01-20T15:04:22Z</dcterms:modified>
</cp:coreProperties>
</file>