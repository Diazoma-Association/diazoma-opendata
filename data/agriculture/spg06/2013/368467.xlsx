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 activeTab="1"/>
  </bookViews>
  <sheets>
    <sheet name="ListOfValues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9" i="2"/>
  <c r="D11"/>
  <c r="C9"/>
  <c r="E9"/>
  <c r="F9"/>
  <c r="G9"/>
  <c r="H9"/>
  <c r="I9"/>
  <c r="J9"/>
  <c r="K9"/>
  <c r="L9"/>
  <c r="M9"/>
  <c r="N9"/>
  <c r="O9"/>
  <c r="P9"/>
  <c r="B9"/>
  <c r="B13"/>
  <c r="B28"/>
  <c r="B19"/>
  <c r="D28"/>
  <c r="E28"/>
  <c r="F28"/>
  <c r="G28"/>
  <c r="H28"/>
  <c r="I28"/>
  <c r="J28"/>
  <c r="K28"/>
  <c r="L28"/>
  <c r="M28"/>
  <c r="N28"/>
  <c r="O28"/>
  <c r="P28"/>
  <c r="C28"/>
  <c r="G19"/>
  <c r="F19"/>
  <c r="E19"/>
  <c r="D19"/>
  <c r="H19"/>
  <c r="I19"/>
  <c r="J19"/>
  <c r="K19"/>
  <c r="L19"/>
  <c r="M19"/>
  <c r="N19"/>
  <c r="O19"/>
  <c r="P19"/>
  <c r="C19"/>
  <c r="B109"/>
  <c r="B108"/>
  <c r="B107"/>
  <c r="B106"/>
  <c r="B103"/>
  <c r="B102"/>
  <c r="B101"/>
  <c r="B100"/>
  <c r="B99"/>
  <c r="B98"/>
  <c r="B97"/>
  <c r="B96"/>
  <c r="B95"/>
  <c r="B94"/>
  <c r="B93"/>
  <c r="B92"/>
  <c r="B91"/>
  <c r="B88"/>
  <c r="B87"/>
  <c r="B86"/>
  <c r="B85"/>
  <c r="B84"/>
  <c r="B81"/>
  <c r="B80"/>
  <c r="B79"/>
  <c r="B78"/>
  <c r="B77"/>
  <c r="B76"/>
  <c r="B75"/>
  <c r="B74"/>
  <c r="B71"/>
  <c r="B70"/>
  <c r="B69"/>
  <c r="B68"/>
  <c r="B67"/>
  <c r="B64"/>
  <c r="B63"/>
  <c r="B62"/>
  <c r="B59"/>
  <c r="B58"/>
  <c r="B57"/>
  <c r="B56"/>
  <c r="B55"/>
  <c r="B52"/>
  <c r="B51"/>
  <c r="B50"/>
  <c r="B49"/>
  <c r="B48"/>
  <c r="B45"/>
  <c r="B44"/>
  <c r="B43"/>
  <c r="B42"/>
  <c r="B41"/>
  <c r="B38"/>
  <c r="B37"/>
  <c r="B36"/>
  <c r="B35"/>
  <c r="B32"/>
  <c r="B31"/>
  <c r="B30"/>
  <c r="B29"/>
  <c r="B27"/>
  <c r="B26"/>
  <c r="B25"/>
  <c r="B24"/>
  <c r="B23"/>
  <c r="B22"/>
  <c r="B21"/>
  <c r="B18"/>
  <c r="B17"/>
  <c r="B16"/>
  <c r="B15"/>
  <c r="B14"/>
  <c r="P104"/>
  <c r="O104"/>
  <c r="N104"/>
  <c r="M104"/>
  <c r="L104"/>
  <c r="K104"/>
  <c r="J104"/>
  <c r="I104"/>
  <c r="H104"/>
  <c r="G104"/>
  <c r="F104"/>
  <c r="E104"/>
  <c r="D104"/>
  <c r="C104"/>
  <c r="B104"/>
  <c r="P89"/>
  <c r="O89"/>
  <c r="N89"/>
  <c r="M89"/>
  <c r="L89"/>
  <c r="K89"/>
  <c r="J89"/>
  <c r="I89"/>
  <c r="H89"/>
  <c r="G89"/>
  <c r="F89"/>
  <c r="E89"/>
  <c r="D89"/>
  <c r="C89"/>
  <c r="P82"/>
  <c r="O82"/>
  <c r="N82"/>
  <c r="M82"/>
  <c r="L82"/>
  <c r="K82"/>
  <c r="J82"/>
  <c r="I82"/>
  <c r="H82"/>
  <c r="G82"/>
  <c r="F82"/>
  <c r="E82"/>
  <c r="D82"/>
  <c r="C82"/>
  <c r="P72"/>
  <c r="O72"/>
  <c r="N72"/>
  <c r="M72"/>
  <c r="L72"/>
  <c r="K72"/>
  <c r="J72"/>
  <c r="I72"/>
  <c r="H72"/>
  <c r="G72"/>
  <c r="F72"/>
  <c r="E72"/>
  <c r="D72"/>
  <c r="C72"/>
  <c r="B72"/>
  <c r="P65"/>
  <c r="O65"/>
  <c r="N65"/>
  <c r="M65"/>
  <c r="L65"/>
  <c r="K65"/>
  <c r="J65"/>
  <c r="I65"/>
  <c r="H65"/>
  <c r="G65"/>
  <c r="F65"/>
  <c r="E65"/>
  <c r="D65"/>
  <c r="C65"/>
  <c r="P60"/>
  <c r="O60"/>
  <c r="N60"/>
  <c r="M60"/>
  <c r="L60"/>
  <c r="K60"/>
  <c r="J60"/>
  <c r="I60"/>
  <c r="H60"/>
  <c r="G60"/>
  <c r="F60"/>
  <c r="E60"/>
  <c r="D60"/>
  <c r="C60"/>
  <c r="B60"/>
  <c r="P53"/>
  <c r="O53"/>
  <c r="N53"/>
  <c r="M53"/>
  <c r="L53"/>
  <c r="K53"/>
  <c r="J53"/>
  <c r="I53"/>
  <c r="H53"/>
  <c r="G53"/>
  <c r="F53"/>
  <c r="E53"/>
  <c r="D53"/>
  <c r="C53"/>
  <c r="P46"/>
  <c r="O46"/>
  <c r="N46"/>
  <c r="M46"/>
  <c r="L46"/>
  <c r="K46"/>
  <c r="J46"/>
  <c r="I46"/>
  <c r="H46"/>
  <c r="G46"/>
  <c r="F46"/>
  <c r="E46"/>
  <c r="D46"/>
  <c r="C46"/>
  <c r="B46"/>
  <c r="P39"/>
  <c r="O39"/>
  <c r="N39"/>
  <c r="M39"/>
  <c r="L39"/>
  <c r="K39"/>
  <c r="J39"/>
  <c r="I39"/>
  <c r="H39"/>
  <c r="G39"/>
  <c r="F39"/>
  <c r="E39"/>
  <c r="D39"/>
  <c r="C39"/>
  <c r="P33"/>
  <c r="O33"/>
  <c r="N33"/>
  <c r="M33"/>
  <c r="L33"/>
  <c r="K33"/>
  <c r="J33"/>
  <c r="I33"/>
  <c r="H33"/>
  <c r="G33"/>
  <c r="F33"/>
  <c r="E33"/>
  <c r="D33"/>
  <c r="C33"/>
  <c r="B33"/>
  <c r="P11"/>
  <c r="O11"/>
  <c r="N11"/>
  <c r="M11"/>
  <c r="L11"/>
  <c r="K11"/>
  <c r="J11"/>
  <c r="I11"/>
  <c r="H11"/>
  <c r="G11"/>
  <c r="F11"/>
  <c r="E11"/>
  <c r="C11"/>
  <c r="B89"/>
  <c r="B82"/>
  <c r="B65"/>
  <c r="B39"/>
  <c r="B11"/>
  <c r="B53"/>
</calcChain>
</file>

<file path=xl/sharedStrings.xml><?xml version="1.0" encoding="utf-8"?>
<sst xmlns="http://schemas.openxmlformats.org/spreadsheetml/2006/main" count="493" uniqueCount="296">
  <si>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</si>
  <si>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</si>
  <si>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</si>
  <si>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</si>
  <si>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</si>
  <si>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</si>
  <si>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</si>
  <si>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</si>
  <si>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</si>
  <si>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</si>
  <si>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</si>
  <si>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</si>
  <si>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</si>
  <si>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</si>
  <si>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</si>
  <si>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</si>
  <si>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</si>
  <si>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</si>
  <si>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</si>
  <si>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</si>
  <si>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</si>
  <si>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</si>
  <si>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</si>
  <si>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</si>
  <si>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</si>
  <si>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</si>
  <si>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</si>
  <si>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</si>
  <si>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</si>
  <si>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</si>
  <si>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</si>
  <si>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</si>
  <si>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</si>
  <si>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</si>
  <si>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</si>
  <si>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</si>
  <si>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</si>
  <si>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</si>
  <si>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</si>
  <si>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</si>
  <si>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</si>
  <si>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</si>
  <si>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</si>
  <si>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</si>
  <si>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</si>
  <si>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</si>
  <si>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</si>
  <si>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</si>
  <si>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</si>
  <si>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</si>
  <si>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</si>
  <si>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</si>
  <si>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</si>
  <si>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</si>
  <si>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</si>
  <si>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</si>
  <si>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</si>
  <si>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</si>
  <si>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</si>
  <si>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</si>
  <si>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</si>
  <si>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</si>
  <si>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</si>
  <si>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</si>
  <si>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</si>
  <si>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</si>
  <si>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</si>
  <si>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</si>
  <si>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</si>
  <si>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</si>
  <si>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</si>
  <si>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</si>
  <si>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</si>
  <si>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</si>
  <si>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</si>
  <si>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</si>
  <si>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</si>
  <si>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</si>
  <si>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</si>
  <si>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</si>
  <si>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</si>
  <si>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</si>
  <si>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</si>
  <si>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</si>
  <si>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</si>
  <si>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</si>
  <si>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</si>
  <si>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</si>
  <si>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</si>
  <si>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</si>
  <si>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</si>
  <si>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</si>
  <si>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</si>
  <si>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</si>
  <si>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</si>
  <si>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</si>
  <si>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</si>
  <si>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</si>
  <si>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</si>
  <si>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</si>
  <si>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</si>
  <si>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</si>
  <si>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</si>
  <si>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</si>
  <si>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</si>
  <si>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</si>
  <si>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</si>
  <si>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</si>
  <si>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</si>
  <si>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</si>
  <si>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</si>
  <si>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</si>
  <si>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</si>
  <si>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</si>
  <si>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</si>
  <si>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</si>
  <si>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</si>
  <si>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</si>
  <si>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</si>
  <si>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</si>
  <si>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</si>
  <si>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</si>
  <si>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</si>
  <si>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</si>
  <si>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</si>
  <si>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</si>
  <si>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</si>
  <si>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</si>
  <si>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</si>
  <si>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</si>
  <si>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</si>
  <si>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</si>
  <si>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</si>
  <si>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</si>
  <si>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</si>
  <si>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</si>
  <si>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</si>
  <si>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</si>
  <si>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</si>
  <si>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</si>
  <si>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</si>
  <si>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</si>
  <si>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</si>
  <si>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</si>
  <si>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</si>
  <si>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</si>
  <si>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</si>
  <si>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</si>
  <si>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</si>
  <si>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</si>
  <si>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</si>
  <si>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</si>
  <si>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</si>
  <si>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</si>
  <si>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</si>
  <si>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</si>
  <si>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</si>
  <si>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</si>
  <si>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</si>
  <si>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</si>
  <si>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</si>
  <si>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</si>
  <si>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</si>
  <si>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</si>
  <si>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</si>
  <si>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</si>
  <si>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</si>
  <si>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</si>
  <si>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</si>
  <si>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</si>
  <si>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</si>
  <si>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</si>
  <si>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</si>
  <si>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</si>
  <si>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</si>
  <si>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</si>
  <si>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</si>
  <si>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</si>
  <si>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</si>
  <si>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</si>
  <si>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</si>
  <si>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</si>
  <si>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</si>
  <si>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</si>
  <si>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</si>
  <si>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</si>
  <si>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</si>
  <si>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</si>
  <si>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</si>
  <si>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</si>
  <si>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</si>
  <si>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</si>
  <si>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</si>
  <si>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</si>
  <si>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</si>
  <si>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</si>
  <si>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</si>
  <si>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</si>
  <si>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</si>
  <si>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</si>
  <si>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</si>
  <si>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</si>
  <si>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</si>
  <si>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</si>
  <si>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</si>
  <si>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</si>
  <si>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</si>
  <si>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</si>
  <si>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</si>
  <si>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</si>
  <si>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</si>
  <si>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</si>
  <si>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</si>
  <si>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</si>
  <si>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</si>
  <si>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</si>
  <si>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</si>
  <si>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</si>
  <si>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</si>
  <si>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</si>
  <si>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</si>
  <si>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</si>
  <si>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</si>
  <si>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</si>
  <si>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</si>
  <si>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</si>
  <si>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</si>
  <si>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</si>
  <si>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</si>
  <si>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</si>
  <si>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</si>
  <si>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</si>
  <si>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</si>
  <si>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</si>
  <si>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</si>
  <si>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</si>
  <si>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</si>
  <si>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</si>
  <si>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</si>
  <si>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</si>
  <si>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</si>
  <si>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</si>
  <si>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</si>
  <si>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</si>
  <si>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</si>
  <si>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</si>
  <si>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</si>
  <si>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</si>
  <si>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</si>
  <si>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</si>
  <si>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</si>
  <si>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</si>
  <si>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</si>
  <si>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</si>
  <si>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</si>
  <si>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</si>
  <si>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</si>
  <si>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</si>
  <si>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</si>
  <si>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</si>
  <si>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</si>
  <si>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</si>
  <si>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</si>
  <si>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</si>
  <si>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</si>
  <si>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</si>
  <si>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</si>
  <si>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</si>
  <si>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</si>
  <si>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</si>
  <si>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</si>
  <si>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</si>
  <si>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</si>
  <si>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</si>
  <si>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Κεντρικού Τομέα Αθηνών</t>
  </si>
  <si>
    <t>Βορείου Τομέα Αθηνών</t>
  </si>
  <si>
    <t>1=areas  2=production</t>
  </si>
  <si>
    <t>Τριφύλλια - Clovers</t>
  </si>
  <si>
    <t>Πολυετή (μηδική, κλπ.) Multiannual (alfalfa, etc)</t>
  </si>
  <si>
    <r>
      <t>Κοφτολίβαδα (Σανός)</t>
    </r>
    <r>
      <rPr>
        <vertAlign val="superscript"/>
        <sz val="8"/>
        <rFont val="Arial"/>
        <family val="2"/>
        <charset val="161"/>
      </rPr>
      <t xml:space="preserve">(1) </t>
    </r>
    <r>
      <rPr>
        <sz val="8"/>
        <rFont val="Arial"/>
        <family val="2"/>
        <charset val="161"/>
      </rPr>
      <t>Grass cut for hey</t>
    </r>
    <r>
      <rPr>
        <vertAlign val="superscript"/>
        <sz val="8"/>
        <rFont val="Arial"/>
        <family val="2"/>
        <charset val="161"/>
      </rPr>
      <t>(1)</t>
    </r>
  </si>
  <si>
    <r>
      <t>Λοιπά σανά</t>
    </r>
    <r>
      <rPr>
        <vertAlign val="superscript"/>
        <sz val="8"/>
        <rFont val="Arial"/>
        <family val="2"/>
        <charset val="161"/>
      </rPr>
      <t xml:space="preserve">(2) </t>
    </r>
    <r>
      <rPr>
        <sz val="8"/>
        <rFont val="Arial"/>
        <family val="2"/>
        <charset val="161"/>
      </rPr>
      <t>Other</t>
    </r>
    <r>
      <rPr>
        <vertAlign val="superscript"/>
        <sz val="8"/>
        <rFont val="Arial"/>
        <family val="2"/>
        <charset val="161"/>
      </rPr>
      <t>(2)</t>
    </r>
  </si>
  <si>
    <t>(1) Production refers to hey from self-grown grass or grass from fallow land</t>
  </si>
  <si>
    <t>(2) Bitter veltch, veltching, peas, lentil, etc.</t>
  </si>
  <si>
    <t>(2) Ρόβη, λαθούρι, μπιζέλια, φακή κλπ.</t>
  </si>
  <si>
    <t xml:space="preserve"> Κριθάρι               Barley</t>
  </si>
  <si>
    <t>Βρώμη                     Oats</t>
  </si>
  <si>
    <t>Βίκος                  Valtch</t>
  </si>
  <si>
    <t>Ετήσια                Annual</t>
  </si>
  <si>
    <t>Περιφέρειες και Περιφερειακές Ενότητες</t>
  </si>
  <si>
    <t>—</t>
  </si>
  <si>
    <t>(1) Η παραγωγή αναφέρεται σε σανό αυτοφυούς χόρτου (κοφτολίβαδων και χόρτου αγραναπαύσεων</t>
  </si>
  <si>
    <t>Table 2e. Fodder plants for hey. Areas and production, by Region and Regional Unities: 2013</t>
  </si>
  <si>
    <t>Σύνολο
Εκτάσεων
Total Area</t>
  </si>
  <si>
    <t>Περιφέρεια Δυτικής Μακεδονίας</t>
  </si>
  <si>
    <t>Region of Western Macedonia</t>
  </si>
  <si>
    <t>Πίνακας 2ε. Κτηνοτροφικά φυτά για σανό. Εκτάσεις και παραγωγή, κατά Περιφέρεια και Περιφερειακή Ενότητα:  2013.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</si>
</sst>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vertAlign val="superscript"/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b/>
      <sz val="8"/>
      <color theme="1"/>
      <name val="Arial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3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3" fillId="0" borderId="0" xfId="0" applyFont="1" applyProtection="1">
      <protection locked="0"/>
    </xf>
    <xf numFmtId="0" fontId="10" fillId="0" borderId="7" xfId="0" applyNumberFormat="1" applyFont="1" applyFill="1" applyBorder="1" applyAlignment="1" applyProtection="1">
      <protection locked="0"/>
    </xf>
    <xf numFmtId="0" fontId="11" fillId="0" borderId="13" xfId="0" applyFont="1" applyBorder="1" applyAlignment="1" applyProtection="1">
      <alignment horizontal="center"/>
      <protection locked="0"/>
    </xf>
    <xf numFmtId="0" fontId="11" fillId="0" borderId="14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49" fontId="13" fillId="0" borderId="0" xfId="0" applyNumberFormat="1" applyFont="1" applyAlignment="1" applyProtection="1">
      <alignment horizontal="left" wrapText="1" indent="1"/>
      <protection locked="0"/>
    </xf>
    <xf numFmtId="0" fontId="13" fillId="0" borderId="0" xfId="0" applyFont="1" applyAlignment="1" applyProtection="1">
      <alignment horizontal="left" indent="1"/>
      <protection locked="0"/>
    </xf>
    <xf numFmtId="49" fontId="13" fillId="0" borderId="0" xfId="0" applyNumberFormat="1" applyFont="1" applyAlignment="1" applyProtection="1">
      <alignment horizontal="left" indent="2"/>
      <protection locked="0"/>
    </xf>
    <xf numFmtId="49" fontId="13" fillId="0" borderId="0" xfId="0" applyNumberFormat="1" applyFont="1" applyAlignment="1" applyProtection="1">
      <alignment horizontal="left" wrapText="1" indent="2"/>
      <protection locked="0"/>
    </xf>
    <xf numFmtId="0" fontId="14" fillId="0" borderId="0" xfId="0" applyFont="1" applyAlignment="1" applyProtection="1">
      <protection locked="0"/>
    </xf>
    <xf numFmtId="0" fontId="13" fillId="0" borderId="0" xfId="0" applyFont="1" applyBorder="1" applyAlignment="1" applyProtection="1">
      <protection locked="0"/>
    </xf>
    <xf numFmtId="49" fontId="13" fillId="0" borderId="7" xfId="0" applyNumberFormat="1" applyFont="1" applyBorder="1" applyAlignment="1" applyProtection="1">
      <alignment horizontal="left" wrapText="1" indent="1"/>
      <protection locked="0"/>
    </xf>
    <xf numFmtId="0" fontId="13" fillId="0" borderId="7" xfId="0" applyFont="1" applyBorder="1" applyAlignment="1" applyProtection="1">
      <alignment horizontal="left" indent="1"/>
      <protection locked="0"/>
    </xf>
    <xf numFmtId="0" fontId="13" fillId="0" borderId="7" xfId="0" applyFont="1" applyBorder="1" applyAlignment="1" applyProtection="1">
      <protection locked="0"/>
    </xf>
    <xf numFmtId="49" fontId="13" fillId="0" borderId="0" xfId="0" applyNumberFormat="1" applyFont="1" applyAlignment="1" applyProtection="1">
      <alignment wrapText="1"/>
      <protection locked="0"/>
    </xf>
    <xf numFmtId="49" fontId="13" fillId="0" borderId="0" xfId="0" applyNumberFormat="1" applyFont="1" applyProtection="1">
      <protection locked="0"/>
    </xf>
    <xf numFmtId="0" fontId="11" fillId="0" borderId="15" xfId="0" applyFont="1" applyBorder="1" applyAlignment="1" applyProtection="1">
      <alignment horizontal="center"/>
      <protection locked="0"/>
    </xf>
    <xf numFmtId="3" fontId="10" fillId="0" borderId="16" xfId="0" applyNumberFormat="1" applyFont="1" applyFill="1" applyBorder="1" applyAlignment="1" applyProtection="1">
      <alignment horizontal="right"/>
    </xf>
    <xf numFmtId="3" fontId="10" fillId="0" borderId="17" xfId="0" quotePrefix="1" applyNumberFormat="1" applyFont="1" applyFill="1" applyBorder="1" applyAlignment="1" applyProtection="1">
      <alignment horizontal="right"/>
    </xf>
    <xf numFmtId="3" fontId="10" fillId="0" borderId="16" xfId="0" quotePrefix="1" applyNumberFormat="1" applyFont="1" applyFill="1" applyBorder="1" applyAlignment="1" applyProtection="1">
      <alignment horizontal="right"/>
    </xf>
    <xf numFmtId="3" fontId="10" fillId="15" borderId="17" xfId="0" applyNumberFormat="1" applyFont="1" applyFill="1" applyBorder="1" applyAlignment="1">
      <alignment horizontal="right" vertical="top" wrapText="1"/>
    </xf>
    <xf numFmtId="0" fontId="10" fillId="15" borderId="17" xfId="0" applyFont="1" applyFill="1" applyBorder="1" applyAlignment="1">
      <alignment horizontal="right" vertical="top" wrapText="1"/>
    </xf>
    <xf numFmtId="3" fontId="10" fillId="15" borderId="16" xfId="0" applyNumberFormat="1" applyFont="1" applyFill="1" applyBorder="1" applyAlignment="1">
      <alignment horizontal="right" vertical="top" wrapText="1"/>
    </xf>
    <xf numFmtId="0" fontId="10" fillId="15" borderId="16" xfId="0" applyFont="1" applyFill="1" applyBorder="1" applyAlignment="1">
      <alignment horizontal="right" vertical="top" wrapText="1"/>
    </xf>
    <xf numFmtId="0" fontId="13" fillId="0" borderId="0" xfId="0" applyFont="1" applyBorder="1" applyAlignment="1" applyProtection="1">
      <alignment horizontal="left" indent="1"/>
      <protection locked="0"/>
    </xf>
    <xf numFmtId="3" fontId="10" fillId="0" borderId="19" xfId="0" applyNumberFormat="1" applyFont="1" applyBorder="1" applyAlignment="1" applyProtection="1">
      <alignment horizontal="right" vertical="center"/>
      <protection locked="0"/>
    </xf>
    <xf numFmtId="49" fontId="15" fillId="0" borderId="0" xfId="0" applyNumberFormat="1" applyFont="1" applyAlignment="1" applyProtection="1">
      <alignment horizontal="left" vertical="center" wrapText="1"/>
      <protection locked="0"/>
    </xf>
    <xf numFmtId="49" fontId="3" fillId="16" borderId="2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3" fontId="9" fillId="0" borderId="16" xfId="0" applyNumberFormat="1" applyFont="1" applyBorder="1" applyAlignment="1" applyProtection="1">
      <alignment horizontal="right" vertical="center"/>
    </xf>
    <xf numFmtId="0" fontId="13" fillId="0" borderId="0" xfId="0" applyFont="1" applyBorder="1" applyAlignment="1" applyProtection="1">
      <alignment horizontal="left" wrapText="1" indent="1"/>
      <protection locked="0"/>
    </xf>
    <xf numFmtId="3" fontId="9" fillId="0" borderId="17" xfId="0" applyNumberFormat="1" applyFont="1" applyBorder="1" applyAlignment="1" applyProtection="1">
      <alignment horizontal="right" vertical="center"/>
    </xf>
    <xf numFmtId="0" fontId="10" fillId="0" borderId="7" xfId="0" applyNumberFormat="1" applyFont="1" applyFill="1" applyBorder="1" applyAlignment="1" applyProtection="1">
      <alignment horizontal="right"/>
      <protection locked="0"/>
    </xf>
    <xf numFmtId="0" fontId="15" fillId="0" borderId="0" xfId="0" applyFont="1" applyBorder="1" applyAlignment="1" applyProtection="1">
      <alignment horizontal="left" vertical="center" wrapText="1"/>
      <protection locked="0"/>
    </xf>
    <xf numFmtId="0" fontId="15" fillId="0" borderId="0" xfId="0" applyFont="1" applyBorder="1" applyAlignment="1" applyProtection="1">
      <alignment vertical="center" wrapText="1"/>
      <protection locked="0"/>
    </xf>
    <xf numFmtId="0" fontId="15" fillId="0" borderId="0" xfId="0" applyFont="1" applyBorder="1" applyAlignment="1" applyProtection="1">
      <alignment vertical="center"/>
      <protection locked="0"/>
    </xf>
    <xf numFmtId="0" fontId="13" fillId="0" borderId="2" xfId="0" applyFont="1" applyBorder="1" applyAlignment="1" applyProtection="1">
      <alignment horizontal="right"/>
      <protection locked="0"/>
    </xf>
    <xf numFmtId="0" fontId="9" fillId="0" borderId="0" xfId="0" applyNumberFormat="1" applyFont="1" applyFill="1" applyBorder="1" applyAlignment="1" applyProtection="1">
      <alignment horizontal="left" vertical="center" wrapText="1"/>
      <protection locked="0"/>
    </xf>
    <xf numFmtId="0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7" xfId="0" applyNumberFormat="1" applyFont="1" applyFill="1" applyBorder="1" applyAlignment="1" applyProtection="1">
      <alignment horizontal="left"/>
      <protection locked="0"/>
    </xf>
    <xf numFmtId="0" fontId="10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0" xfId="0" applyBorder="1"/>
    <xf numFmtId="0" fontId="0" fillId="0" borderId="22" xfId="0" applyBorder="1"/>
    <xf numFmtId="0" fontId="0" fillId="0" borderId="17" xfId="0" applyBorder="1"/>
    <xf numFmtId="0" fontId="0" fillId="0" borderId="25" xfId="0" applyBorder="1"/>
    <xf numFmtId="0" fontId="0" fillId="0" borderId="18" xfId="0" applyBorder="1"/>
    <xf numFmtId="0" fontId="10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8" xfId="0" applyNumberFormat="1" applyFont="1" applyFill="1" applyBorder="1" applyAlignment="1" applyProtection="1">
      <alignment vertical="center" wrapText="1"/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3" fontId="9" fillId="0" borderId="26" xfId="0" applyNumberFormat="1" applyFont="1" applyBorder="1" applyAlignment="1" applyProtection="1">
      <alignment horizontal="right" vertical="center"/>
    </xf>
    <xf numFmtId="0" fontId="13" fillId="0" borderId="0" xfId="0" applyFont="1" applyAlignment="1" applyProtection="1">
      <alignment horizontal="left" wrapText="1" indent="1"/>
      <protection locked="0"/>
    </xf>
    <xf numFmtId="49" fontId="15" fillId="0" borderId="0" xfId="0" applyNumberFormat="1" applyFont="1" applyAlignment="1" applyProtection="1">
      <alignment horizontal="left" vertical="center" wrapText="1"/>
      <protection locked="0"/>
    </xf>
    <xf numFmtId="3" fontId="9" fillId="0" borderId="19" xfId="0" applyNumberFormat="1" applyFont="1" applyBorder="1" applyAlignment="1" applyProtection="1">
      <alignment horizontal="right" vertical="center"/>
    </xf>
    <xf numFmtId="49" fontId="15" fillId="0" borderId="5" xfId="0" applyNumberFormat="1" applyFont="1" applyBorder="1" applyAlignment="1" applyProtection="1">
      <alignment horizontal="left" vertical="center" wrapText="1"/>
      <protection locked="0"/>
    </xf>
    <xf numFmtId="49" fontId="15" fillId="0" borderId="27" xfId="0" applyNumberFormat="1" applyFont="1" applyBorder="1" applyAlignment="1" applyProtection="1">
      <alignment horizontal="left" vertical="center"/>
      <protection locked="0"/>
    </xf>
    <xf numFmtId="49" fontId="15" fillId="0" borderId="5" xfId="0" applyNumberFormat="1" applyFont="1" applyBorder="1" applyAlignment="1" applyProtection="1">
      <alignment horizontal="left" vertical="center"/>
      <protection locked="0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9" fillId="0" borderId="0" xfId="0" applyNumberFormat="1" applyFont="1" applyFill="1" applyBorder="1" applyAlignment="1" applyProtection="1">
      <alignment horizontal="center" wrapText="1"/>
      <protection locked="0"/>
    </xf>
    <xf numFmtId="0" fontId="10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3" fontId="9" fillId="0" borderId="19" xfId="0" applyNumberFormat="1" applyFont="1" applyBorder="1" applyAlignment="1" applyProtection="1">
      <alignment horizontal="right" vertical="center"/>
      <protection locked="0"/>
    </xf>
    <xf numFmtId="3" fontId="9" fillId="15" borderId="16" xfId="0" applyNumberFormat="1" applyFont="1" applyFill="1" applyBorder="1" applyAlignment="1">
      <alignment horizontal="right" vertical="center" wrapText="1"/>
    </xf>
    <xf numFmtId="0" fontId="15" fillId="0" borderId="0" xfId="0" applyFont="1" applyAlignment="1" applyProtection="1">
      <alignment horizontal="left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11" fillId="0" borderId="31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3" fontId="9" fillId="0" borderId="33" xfId="0" applyNumberFormat="1" applyFont="1" applyBorder="1" applyAlignment="1" applyProtection="1">
      <alignment horizontal="right" vertical="center"/>
    </xf>
    <xf numFmtId="3" fontId="9" fillId="0" borderId="4" xfId="0" applyNumberFormat="1" applyFont="1" applyBorder="1" applyAlignment="1" applyProtection="1">
      <alignment horizontal="right" vertical="center"/>
    </xf>
    <xf numFmtId="0" fontId="10" fillId="0" borderId="2" xfId="0" applyNumberFormat="1" applyFont="1" applyFill="1" applyBorder="1" applyAlignment="1" applyProtection="1">
      <alignment horizontal="center" vertical="center" wrapText="1"/>
      <protection locked="0"/>
    </xf>
    <xf numFmtId="3" fontId="9" fillId="0" borderId="34" xfId="0" applyNumberFormat="1" applyFont="1" applyBorder="1" applyAlignment="1" applyProtection="1">
      <alignment horizontal="right" vertical="center"/>
    </xf>
    <xf numFmtId="3" fontId="9" fillId="0" borderId="35" xfId="0" applyNumberFormat="1" applyFont="1" applyBorder="1" applyAlignment="1" applyProtection="1">
      <alignment horizontal="right" vertical="center"/>
    </xf>
    <xf numFmtId="0" fontId="10" fillId="15" borderId="35" xfId="0" applyFont="1" applyFill="1" applyBorder="1" applyAlignment="1">
      <alignment horizontal="right" vertical="top" wrapText="1"/>
    </xf>
    <xf numFmtId="3" fontId="10" fillId="15" borderId="35" xfId="0" applyNumberFormat="1" applyFont="1" applyFill="1" applyBorder="1" applyAlignment="1">
      <alignment horizontal="right" vertical="top" wrapText="1"/>
    </xf>
    <xf numFmtId="3" fontId="9" fillId="15" borderId="35" xfId="0" applyNumberFormat="1" applyFont="1" applyFill="1" applyBorder="1" applyAlignment="1">
      <alignment horizontal="right" vertical="center" wrapText="1"/>
    </xf>
    <xf numFmtId="3" fontId="10" fillId="0" borderId="35" xfId="0" quotePrefix="1" applyNumberFormat="1" applyFont="1" applyFill="1" applyBorder="1" applyAlignment="1" applyProtection="1">
      <alignment horizontal="right"/>
    </xf>
    <xf numFmtId="3" fontId="10" fillId="0" borderId="35" xfId="0" applyNumberFormat="1" applyFont="1" applyFill="1" applyBorder="1" applyAlignment="1" applyProtection="1">
      <alignment horizontal="right"/>
    </xf>
    <xf numFmtId="3" fontId="10" fillId="0" borderId="36" xfId="0" applyNumberFormat="1" applyFont="1" applyBorder="1" applyAlignment="1" applyProtection="1">
      <alignment horizontal="right" vertical="center"/>
      <protection locked="0"/>
    </xf>
    <xf numFmtId="3" fontId="10" fillId="15" borderId="37" xfId="0" applyNumberFormat="1" applyFont="1" applyFill="1" applyBorder="1" applyAlignment="1">
      <alignment horizontal="right" vertical="top" wrapText="1"/>
    </xf>
    <xf numFmtId="3" fontId="10" fillId="15" borderId="38" xfId="0" applyNumberFormat="1" applyFont="1" applyFill="1" applyBorder="1" applyAlignment="1">
      <alignment horizontal="right" vertical="top" wrapText="1"/>
    </xf>
    <xf numFmtId="3" fontId="10" fillId="15" borderId="39" xfId="0" applyNumberFormat="1" applyFont="1" applyFill="1" applyBorder="1" applyAlignment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5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zoomScale="80" zoomScaleNormal="80" workbookViewId="0">
      <selection activeCell="I23" sqref="I23"/>
    </sheetView>
  </sheetViews>
  <sheetFormatPr defaultRowHeight="14.4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151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152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154" t="s">
        <v>7</v>
      </c>
      <c r="E3" s="154"/>
      <c r="F3" s="154"/>
      <c r="G3" s="154"/>
      <c r="H3" s="152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52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152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152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152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152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152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152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52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152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152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152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152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152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152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152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152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52"/>
      <c r="I20" s="26"/>
      <c r="J20" s="23"/>
      <c r="K20" s="23"/>
      <c r="L20" s="24"/>
      <c r="M20" s="27"/>
    </row>
    <row r="21" spans="1:13" ht="1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153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155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156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56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156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156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156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156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56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156"/>
      <c r="I30" s="48"/>
      <c r="J30" s="47"/>
      <c r="K30" s="47"/>
      <c r="L30" s="48"/>
      <c r="M30" s="51"/>
    </row>
    <row r="31" spans="1:13" ht="1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157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158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159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159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159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159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159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159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159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159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159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159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159"/>
      <c r="I43" s="80"/>
      <c r="J43" s="79"/>
      <c r="K43" s="79"/>
      <c r="L43" s="80"/>
      <c r="M43" s="84"/>
    </row>
    <row r="44" spans="1:13" ht="1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160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151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152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152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152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52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152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152"/>
      <c r="I51" s="67"/>
      <c r="J51" s="66"/>
      <c r="K51" s="66"/>
      <c r="L51" s="67"/>
      <c r="M51" s="69"/>
    </row>
    <row r="52" spans="1:13" ht="1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153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148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149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49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149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149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149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149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149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149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149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49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149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149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149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149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149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149"/>
      <c r="I69" s="48"/>
      <c r="J69" s="47"/>
      <c r="K69" s="47"/>
      <c r="L69" s="48"/>
      <c r="M69" s="51"/>
    </row>
    <row r="70" spans="1:13" ht="1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150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12"/>
  <sheetViews>
    <sheetView showGridLines="0" tabSelected="1" zoomScale="110" zoomScaleNormal="110" workbookViewId="0">
      <selection activeCell="C35" sqref="C35"/>
    </sheetView>
  </sheetViews>
  <sheetFormatPr defaultRowHeight="10.199999999999999"/>
  <cols>
    <col min="1" max="1" width="35.5546875" style="120" customWidth="1"/>
    <col min="2" max="2" width="8.88671875" style="120" customWidth="1"/>
    <col min="3" max="5" width="7.88671875" style="120" customWidth="1"/>
    <col min="6" max="6" width="7.44140625" style="120" customWidth="1"/>
    <col min="7" max="8" width="7.6640625" style="120" customWidth="1"/>
    <col min="9" max="9" width="9.21875" style="120" customWidth="1"/>
    <col min="10" max="10" width="7.44140625" style="120" customWidth="1"/>
    <col min="11" max="12" width="7.5546875" style="120" customWidth="1"/>
    <col min="13" max="14" width="8" style="120" customWidth="1"/>
    <col min="15" max="16" width="6.44140625" style="120" customWidth="1"/>
    <col min="17" max="17" width="11" style="120" customWidth="1"/>
    <col min="18" max="18" width="10.109375" style="120" customWidth="1"/>
    <col min="19" max="19" width="11.77734375" style="120" customWidth="1"/>
    <col min="20" max="20" width="6.44140625" style="120" customWidth="1"/>
    <col min="21" max="16384" width="8.88671875" style="120"/>
  </cols>
  <sheetData>
    <row r="1" spans="1:20">
      <c r="A1" s="192"/>
      <c r="B1" s="192"/>
      <c r="C1" s="192"/>
      <c r="D1" s="192"/>
      <c r="E1" s="192"/>
      <c r="F1" s="192"/>
      <c r="G1" s="192"/>
      <c r="H1" s="192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</row>
    <row r="2" spans="1:20" ht="14.4" customHeight="1">
      <c r="A2" s="169" t="s">
        <v>295</v>
      </c>
      <c r="B2" s="169"/>
      <c r="C2" s="169"/>
      <c r="D2" s="169"/>
      <c r="E2" s="169"/>
      <c r="F2" s="169"/>
      <c r="G2" s="169"/>
      <c r="H2" s="169"/>
      <c r="I2" s="170" t="s">
        <v>291</v>
      </c>
      <c r="J2" s="170"/>
      <c r="K2" s="170"/>
      <c r="L2" s="170"/>
      <c r="M2" s="170"/>
      <c r="N2" s="170"/>
      <c r="O2" s="170"/>
      <c r="P2" s="170"/>
      <c r="Q2" s="170"/>
      <c r="R2" s="170"/>
      <c r="S2" s="170"/>
    </row>
    <row r="3" spans="1:20">
      <c r="A3" s="169"/>
      <c r="B3" s="169"/>
      <c r="C3" s="169"/>
      <c r="D3" s="169"/>
      <c r="E3" s="169"/>
      <c r="F3" s="169"/>
      <c r="G3" s="169"/>
      <c r="H3" s="169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</row>
    <row r="4" spans="1:20" ht="10.8" thickBot="1">
      <c r="A4" s="171" t="s">
        <v>170</v>
      </c>
      <c r="B4" s="171"/>
      <c r="C4" s="171"/>
      <c r="D4" s="171"/>
      <c r="E4" s="171"/>
      <c r="F4" s="171"/>
      <c r="G4" s="121"/>
      <c r="H4" s="121"/>
      <c r="I4" s="121"/>
      <c r="J4" s="121"/>
      <c r="K4" s="121"/>
      <c r="L4" s="121"/>
      <c r="M4" s="164" t="s">
        <v>171</v>
      </c>
      <c r="N4" s="164"/>
      <c r="O4" s="164"/>
      <c r="P4" s="164"/>
      <c r="Q4" s="164"/>
      <c r="R4" s="164"/>
      <c r="S4" s="164"/>
    </row>
    <row r="5" spans="1:20" ht="14.4" customHeight="1">
      <c r="A5" s="228" t="s">
        <v>288</v>
      </c>
      <c r="B5" s="197" t="s">
        <v>292</v>
      </c>
      <c r="C5" s="172" t="s">
        <v>284</v>
      </c>
      <c r="D5" s="201"/>
      <c r="E5" s="202" t="s">
        <v>285</v>
      </c>
      <c r="F5" s="203"/>
      <c r="G5" s="172" t="s">
        <v>286</v>
      </c>
      <c r="H5" s="173"/>
      <c r="I5" s="172" t="s">
        <v>277</v>
      </c>
      <c r="J5" s="216"/>
      <c r="K5" s="216"/>
      <c r="L5" s="201"/>
      <c r="M5" s="172" t="s">
        <v>279</v>
      </c>
      <c r="N5" s="201"/>
      <c r="O5" s="172" t="s">
        <v>280</v>
      </c>
      <c r="P5" s="194"/>
      <c r="Q5" s="231" t="s">
        <v>172</v>
      </c>
      <c r="R5" s="231"/>
      <c r="S5" s="231"/>
    </row>
    <row r="6" spans="1:20" ht="10.199999999999999" customHeight="1">
      <c r="A6" s="229"/>
      <c r="B6" s="198"/>
      <c r="C6" s="179"/>
      <c r="D6" s="180"/>
      <c r="E6" s="204"/>
      <c r="F6" s="205"/>
      <c r="G6" s="174"/>
      <c r="H6" s="175"/>
      <c r="I6" s="181"/>
      <c r="J6" s="178"/>
      <c r="K6" s="178"/>
      <c r="L6" s="182"/>
      <c r="M6" s="179"/>
      <c r="N6" s="180"/>
      <c r="O6" s="179"/>
      <c r="P6" s="195"/>
      <c r="Q6" s="231"/>
      <c r="R6" s="231"/>
      <c r="S6" s="231"/>
    </row>
    <row r="7" spans="1:20" ht="40.799999999999997" customHeight="1">
      <c r="A7" s="229"/>
      <c r="B7" s="199"/>
      <c r="C7" s="181"/>
      <c r="D7" s="182"/>
      <c r="E7" s="206"/>
      <c r="F7" s="207"/>
      <c r="G7" s="176"/>
      <c r="H7" s="177"/>
      <c r="I7" s="181" t="s">
        <v>278</v>
      </c>
      <c r="J7" s="182"/>
      <c r="K7" s="181" t="s">
        <v>287</v>
      </c>
      <c r="L7" s="180"/>
      <c r="M7" s="181"/>
      <c r="N7" s="182"/>
      <c r="O7" s="181"/>
      <c r="P7" s="196"/>
      <c r="Q7" s="231"/>
      <c r="R7" s="231"/>
      <c r="S7" s="231"/>
    </row>
    <row r="8" spans="1:20">
      <c r="A8" s="230"/>
      <c r="B8" s="200"/>
      <c r="C8" s="137">
        <v>1</v>
      </c>
      <c r="D8" s="137">
        <v>2</v>
      </c>
      <c r="E8" s="137">
        <v>1</v>
      </c>
      <c r="F8" s="137">
        <v>2</v>
      </c>
      <c r="G8" s="122">
        <v>1</v>
      </c>
      <c r="H8" s="122">
        <v>2</v>
      </c>
      <c r="I8" s="137">
        <v>1</v>
      </c>
      <c r="J8" s="137">
        <v>2</v>
      </c>
      <c r="K8" s="212">
        <v>1</v>
      </c>
      <c r="L8" s="122">
        <v>2</v>
      </c>
      <c r="M8" s="213">
        <v>1</v>
      </c>
      <c r="N8" s="122">
        <v>2</v>
      </c>
      <c r="O8" s="122">
        <v>1</v>
      </c>
      <c r="P8" s="123">
        <v>2</v>
      </c>
      <c r="Q8" s="232"/>
      <c r="R8" s="232"/>
      <c r="S8" s="232"/>
    </row>
    <row r="9" spans="1:20">
      <c r="A9" s="190" t="s">
        <v>173</v>
      </c>
      <c r="B9" s="214">
        <f>SUM(B11,B19,B28,B33,B39,B46,B53,B60,B65,B72,B82,B89,B104)</f>
        <v>2587709</v>
      </c>
      <c r="C9" s="185">
        <f>SUM(C11,C19,C28,C33,C39,C46,C53,C60,C65,C72,C82,C89,C104)</f>
        <v>237634</v>
      </c>
      <c r="D9" s="185">
        <f>SUM(D11,D19,D28,D33,D39,D46,D53,D60,D65,D72,D82,D89,D104)</f>
        <v>77836.684000000008</v>
      </c>
      <c r="E9" s="185">
        <f t="shared" ref="C9:P9" si="0">SUM(E11,E19,E28,E33,E39,E46,E53,E60,E65,E72,E82,E89,E104)</f>
        <v>240057</v>
      </c>
      <c r="F9" s="185">
        <f t="shared" si="0"/>
        <v>90518.690999999992</v>
      </c>
      <c r="G9" s="185">
        <f t="shared" si="0"/>
        <v>203732</v>
      </c>
      <c r="H9" s="185">
        <f t="shared" si="0"/>
        <v>79558.396000000008</v>
      </c>
      <c r="I9" s="185">
        <f t="shared" si="0"/>
        <v>1413702</v>
      </c>
      <c r="J9" s="185">
        <f t="shared" si="0"/>
        <v>1533203.746</v>
      </c>
      <c r="K9" s="185">
        <f t="shared" si="0"/>
        <v>230595</v>
      </c>
      <c r="L9" s="185">
        <f t="shared" si="0"/>
        <v>202311.47400000002</v>
      </c>
      <c r="M9" s="185">
        <f t="shared" si="0"/>
        <v>222095</v>
      </c>
      <c r="N9" s="185">
        <f t="shared" si="0"/>
        <v>71122.917000000016</v>
      </c>
      <c r="O9" s="185">
        <f t="shared" si="0"/>
        <v>39894</v>
      </c>
      <c r="P9" s="217">
        <f t="shared" si="0"/>
        <v>24800.457999999999</v>
      </c>
      <c r="Q9" s="183" t="s">
        <v>174</v>
      </c>
      <c r="R9" s="183"/>
      <c r="S9" s="183"/>
      <c r="T9" s="124"/>
    </row>
    <row r="10" spans="1:20">
      <c r="A10" s="191"/>
      <c r="B10" s="215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218"/>
      <c r="Q10" s="184"/>
      <c r="R10" s="184"/>
      <c r="S10" s="184"/>
      <c r="T10" s="124"/>
    </row>
    <row r="11" spans="1:20">
      <c r="A11" s="189" t="s">
        <v>175</v>
      </c>
      <c r="B11" s="188">
        <f>SUM(C11,E11,G11,I11,K11,M11,O11)</f>
        <v>232294</v>
      </c>
      <c r="C11" s="161">
        <f>SUM(C13:C18)</f>
        <v>7995</v>
      </c>
      <c r="D11" s="161">
        <f>SUM(D13:D18)</f>
        <v>2777.3</v>
      </c>
      <c r="E11" s="161">
        <f t="shared" ref="D11:P11" si="1">SUM(E13:E18)</f>
        <v>6461</v>
      </c>
      <c r="F11" s="161">
        <f t="shared" si="1"/>
        <v>1744.57</v>
      </c>
      <c r="G11" s="163">
        <f t="shared" si="1"/>
        <v>10365</v>
      </c>
      <c r="H11" s="161">
        <f t="shared" si="1"/>
        <v>5245.16</v>
      </c>
      <c r="I11" s="161">
        <f t="shared" si="1"/>
        <v>178228</v>
      </c>
      <c r="J11" s="161">
        <f t="shared" si="1"/>
        <v>183965.065</v>
      </c>
      <c r="K11" s="161">
        <f t="shared" si="1"/>
        <v>21243</v>
      </c>
      <c r="L11" s="161">
        <f t="shared" si="1"/>
        <v>17701.030000000002</v>
      </c>
      <c r="M11" s="161">
        <f t="shared" si="1"/>
        <v>6896</v>
      </c>
      <c r="N11" s="161">
        <f t="shared" si="1"/>
        <v>2171.2000000000003</v>
      </c>
      <c r="O11" s="161">
        <f t="shared" si="1"/>
        <v>1106</v>
      </c>
      <c r="P11" s="218">
        <f t="shared" si="1"/>
        <v>344.9</v>
      </c>
      <c r="Q11" s="169" t="s">
        <v>176</v>
      </c>
      <c r="R11" s="169"/>
      <c r="S11" s="169"/>
      <c r="T11" s="125"/>
    </row>
    <row r="12" spans="1:20">
      <c r="A12" s="189"/>
      <c r="B12" s="188"/>
      <c r="C12" s="161"/>
      <c r="D12" s="161"/>
      <c r="E12" s="161"/>
      <c r="F12" s="161"/>
      <c r="G12" s="163"/>
      <c r="H12" s="161"/>
      <c r="I12" s="161"/>
      <c r="J12" s="161"/>
      <c r="K12" s="161"/>
      <c r="L12" s="161"/>
      <c r="M12" s="161"/>
      <c r="N12" s="161"/>
      <c r="O12" s="161"/>
      <c r="P12" s="218"/>
      <c r="Q12" s="169"/>
      <c r="R12" s="169"/>
      <c r="S12" s="169"/>
      <c r="T12" s="125"/>
    </row>
    <row r="13" spans="1:20">
      <c r="A13" s="126" t="s">
        <v>1</v>
      </c>
      <c r="B13" s="146">
        <f>SUM(C13,E13,G13,I13,K13,M13,O13)</f>
        <v>39228</v>
      </c>
      <c r="C13" s="143">
        <v>3742</v>
      </c>
      <c r="D13" s="143">
        <v>1020.45</v>
      </c>
      <c r="E13" s="143">
        <v>4250</v>
      </c>
      <c r="F13" s="143">
        <v>893.5</v>
      </c>
      <c r="G13" s="141">
        <v>3247</v>
      </c>
      <c r="H13" s="143">
        <v>1216.8</v>
      </c>
      <c r="I13" s="143">
        <v>21407</v>
      </c>
      <c r="J13" s="143">
        <v>17435.599999999999</v>
      </c>
      <c r="K13" s="143">
        <v>5562</v>
      </c>
      <c r="L13" s="143">
        <v>3607.7</v>
      </c>
      <c r="M13" s="143">
        <v>1020</v>
      </c>
      <c r="N13" s="143">
        <v>391.5</v>
      </c>
      <c r="O13" s="144"/>
      <c r="P13" s="219"/>
      <c r="Q13" s="145" t="s">
        <v>177</v>
      </c>
      <c r="R13" s="124"/>
      <c r="S13" s="124"/>
      <c r="T13" s="124"/>
    </row>
    <row r="14" spans="1:20">
      <c r="A14" s="126" t="s">
        <v>4</v>
      </c>
      <c r="B14" s="146">
        <f t="shared" ref="B13:B18" si="2">SUM(C14,E14,G14,I14,K14,M14,O14)</f>
        <v>43341</v>
      </c>
      <c r="C14" s="143">
        <v>1363</v>
      </c>
      <c r="D14" s="143">
        <v>593.95000000000005</v>
      </c>
      <c r="E14" s="143">
        <v>1450</v>
      </c>
      <c r="F14" s="143">
        <v>420</v>
      </c>
      <c r="G14" s="141">
        <v>2332</v>
      </c>
      <c r="H14" s="143">
        <v>1446.5</v>
      </c>
      <c r="I14" s="143">
        <v>22374</v>
      </c>
      <c r="J14" s="143">
        <v>21424.055</v>
      </c>
      <c r="K14" s="143">
        <v>12115</v>
      </c>
      <c r="L14" s="143">
        <v>11717.2</v>
      </c>
      <c r="M14" s="143">
        <v>3500</v>
      </c>
      <c r="N14" s="143">
        <v>995</v>
      </c>
      <c r="O14" s="143">
        <v>207</v>
      </c>
      <c r="P14" s="220">
        <v>141.4</v>
      </c>
      <c r="Q14" s="145" t="s">
        <v>178</v>
      </c>
      <c r="R14" s="124"/>
      <c r="S14" s="124"/>
      <c r="T14" s="124"/>
    </row>
    <row r="15" spans="1:20">
      <c r="A15" s="126" t="s">
        <v>6</v>
      </c>
      <c r="B15" s="146">
        <f t="shared" si="2"/>
        <v>109131</v>
      </c>
      <c r="C15" s="143">
        <v>156</v>
      </c>
      <c r="D15" s="143">
        <v>41.1</v>
      </c>
      <c r="E15" s="143">
        <v>13</v>
      </c>
      <c r="F15" s="143">
        <v>5.85</v>
      </c>
      <c r="G15" s="141">
        <v>1722</v>
      </c>
      <c r="H15" s="143">
        <v>712.95</v>
      </c>
      <c r="I15" s="143">
        <v>106996</v>
      </c>
      <c r="J15" s="143">
        <v>117367.31</v>
      </c>
      <c r="K15" s="143">
        <v>204</v>
      </c>
      <c r="L15" s="143">
        <v>179.5</v>
      </c>
      <c r="M15" s="144"/>
      <c r="N15" s="143">
        <v>0</v>
      </c>
      <c r="O15" s="143">
        <v>40</v>
      </c>
      <c r="P15" s="220">
        <v>14</v>
      </c>
      <c r="Q15" s="145" t="s">
        <v>179</v>
      </c>
      <c r="R15" s="124"/>
      <c r="S15" s="124"/>
      <c r="T15" s="124"/>
    </row>
    <row r="16" spans="1:20">
      <c r="A16" s="126" t="s">
        <v>9</v>
      </c>
      <c r="B16" s="146">
        <f t="shared" si="2"/>
        <v>778</v>
      </c>
      <c r="C16" s="143">
        <v>15</v>
      </c>
      <c r="D16" s="143">
        <v>8.5</v>
      </c>
      <c r="E16" s="143">
        <v>11</v>
      </c>
      <c r="F16" s="143">
        <v>7</v>
      </c>
      <c r="G16" s="141">
        <v>13</v>
      </c>
      <c r="H16" s="143">
        <v>10</v>
      </c>
      <c r="I16" s="143">
        <v>93</v>
      </c>
      <c r="J16" s="143">
        <v>77.400000000000006</v>
      </c>
      <c r="K16" s="144"/>
      <c r="L16" s="143">
        <v>0</v>
      </c>
      <c r="M16" s="143">
        <v>633</v>
      </c>
      <c r="N16" s="143">
        <v>258.89999999999998</v>
      </c>
      <c r="O16" s="143">
        <v>13</v>
      </c>
      <c r="P16" s="220">
        <v>8.5</v>
      </c>
      <c r="Q16" s="145" t="s">
        <v>180</v>
      </c>
      <c r="R16" s="124"/>
      <c r="S16" s="124"/>
      <c r="T16" s="124"/>
    </row>
    <row r="17" spans="1:20">
      <c r="A17" s="126" t="s">
        <v>12</v>
      </c>
      <c r="B17" s="146">
        <f t="shared" si="2"/>
        <v>14996</v>
      </c>
      <c r="C17" s="143">
        <v>1060</v>
      </c>
      <c r="D17" s="143">
        <v>479.75</v>
      </c>
      <c r="E17" s="143">
        <v>427</v>
      </c>
      <c r="F17" s="143">
        <v>247.02</v>
      </c>
      <c r="G17" s="141">
        <v>1504</v>
      </c>
      <c r="H17" s="143">
        <v>1159.1500000000001</v>
      </c>
      <c r="I17" s="143">
        <v>9801</v>
      </c>
      <c r="J17" s="143">
        <v>9529.7000000000007</v>
      </c>
      <c r="K17" s="143">
        <v>1889</v>
      </c>
      <c r="L17" s="143">
        <v>1123.33</v>
      </c>
      <c r="M17" s="143">
        <v>65</v>
      </c>
      <c r="N17" s="143">
        <v>25.5</v>
      </c>
      <c r="O17" s="143">
        <v>250</v>
      </c>
      <c r="P17" s="220">
        <v>99</v>
      </c>
      <c r="Q17" s="145" t="s">
        <v>181</v>
      </c>
      <c r="R17" s="124"/>
      <c r="S17" s="124"/>
      <c r="T17" s="124"/>
    </row>
    <row r="18" spans="1:20">
      <c r="A18" s="126" t="s">
        <v>14</v>
      </c>
      <c r="B18" s="146">
        <f t="shared" si="2"/>
        <v>24820</v>
      </c>
      <c r="C18" s="143">
        <v>1659</v>
      </c>
      <c r="D18" s="143">
        <v>633.54999999999995</v>
      </c>
      <c r="E18" s="143">
        <v>310</v>
      </c>
      <c r="F18" s="143">
        <v>171.2</v>
      </c>
      <c r="G18" s="141">
        <v>1547</v>
      </c>
      <c r="H18" s="143">
        <v>699.76</v>
      </c>
      <c r="I18" s="143">
        <v>17557</v>
      </c>
      <c r="J18" s="143">
        <v>18131</v>
      </c>
      <c r="K18" s="143">
        <v>1473</v>
      </c>
      <c r="L18" s="143">
        <v>1073.3</v>
      </c>
      <c r="M18" s="143">
        <v>1678</v>
      </c>
      <c r="N18" s="143">
        <v>500.3</v>
      </c>
      <c r="O18" s="143">
        <v>596</v>
      </c>
      <c r="P18" s="220">
        <v>82</v>
      </c>
      <c r="Q18" s="145" t="s">
        <v>182</v>
      </c>
      <c r="R18" s="124"/>
      <c r="S18" s="124"/>
      <c r="T18" s="124"/>
    </row>
    <row r="19" spans="1:20">
      <c r="A19" s="187" t="s">
        <v>183</v>
      </c>
      <c r="B19" s="188">
        <f>SUM(C19,E19,G19,I19,K19,M19,O19)</f>
        <v>405069</v>
      </c>
      <c r="C19" s="161">
        <f>SUM(C21:C27)</f>
        <v>21805</v>
      </c>
      <c r="D19" s="161">
        <f>SUM(D21:D27)</f>
        <v>8483.9</v>
      </c>
      <c r="E19" s="161">
        <f>SUM(E21:E27)</f>
        <v>14869</v>
      </c>
      <c r="F19" s="161">
        <f>SUM(F21:F27)</f>
        <v>5480.7300000000005</v>
      </c>
      <c r="G19" s="161">
        <f>SUM(G21:G27)</f>
        <v>29431</v>
      </c>
      <c r="H19" s="161">
        <f t="shared" ref="D19:P19" si="3">SUM(H21:H27)</f>
        <v>12024.429999999998</v>
      </c>
      <c r="I19" s="161">
        <f t="shared" si="3"/>
        <v>290506</v>
      </c>
      <c r="J19" s="161">
        <f t="shared" si="3"/>
        <v>357147.64</v>
      </c>
      <c r="K19" s="161">
        <f t="shared" si="3"/>
        <v>24992</v>
      </c>
      <c r="L19" s="161">
        <f t="shared" si="3"/>
        <v>27133.539999999997</v>
      </c>
      <c r="M19" s="161">
        <f t="shared" si="3"/>
        <v>9805</v>
      </c>
      <c r="N19" s="161">
        <f t="shared" si="3"/>
        <v>3952.5</v>
      </c>
      <c r="O19" s="161">
        <f t="shared" si="3"/>
        <v>13661</v>
      </c>
      <c r="P19" s="218">
        <f t="shared" si="3"/>
        <v>9032.7599999999984</v>
      </c>
      <c r="Q19" s="166" t="s">
        <v>184</v>
      </c>
      <c r="R19" s="166"/>
      <c r="S19" s="166"/>
      <c r="T19" s="124"/>
    </row>
    <row r="20" spans="1:20">
      <c r="A20" s="187"/>
      <c r="B20" s="188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218"/>
      <c r="Q20" s="166"/>
      <c r="R20" s="166"/>
      <c r="S20" s="166"/>
      <c r="T20" s="124"/>
    </row>
    <row r="21" spans="1:20">
      <c r="A21" s="126" t="s">
        <v>16</v>
      </c>
      <c r="B21" s="146">
        <f t="shared" ref="B21:B32" si="4">SUM(C21,E21,G21,I21,K21,M21,O21)</f>
        <v>106673</v>
      </c>
      <c r="C21" s="143">
        <v>6886</v>
      </c>
      <c r="D21" s="143">
        <v>1870.6</v>
      </c>
      <c r="E21" s="143">
        <v>6574</v>
      </c>
      <c r="F21" s="143">
        <v>1603.7</v>
      </c>
      <c r="G21" s="141">
        <v>9222</v>
      </c>
      <c r="H21" s="143">
        <v>2472.65</v>
      </c>
      <c r="I21" s="143">
        <v>75649</v>
      </c>
      <c r="J21" s="143">
        <v>82715.399999999994</v>
      </c>
      <c r="K21" s="143">
        <v>1089</v>
      </c>
      <c r="L21" s="143">
        <v>1436</v>
      </c>
      <c r="M21" s="143">
        <v>6470</v>
      </c>
      <c r="N21" s="143">
        <v>1289</v>
      </c>
      <c r="O21" s="143">
        <v>783</v>
      </c>
      <c r="P21" s="220">
        <v>195.75</v>
      </c>
      <c r="Q21" s="127" t="s">
        <v>185</v>
      </c>
      <c r="R21" s="124"/>
      <c r="S21" s="124"/>
      <c r="T21" s="124"/>
    </row>
    <row r="22" spans="1:20">
      <c r="A22" s="126" t="s">
        <v>18</v>
      </c>
      <c r="B22" s="146">
        <f t="shared" si="4"/>
        <v>25518</v>
      </c>
      <c r="C22" s="143">
        <v>605</v>
      </c>
      <c r="D22" s="143">
        <v>215.25</v>
      </c>
      <c r="E22" s="143">
        <v>535</v>
      </c>
      <c r="F22" s="143">
        <v>167.5</v>
      </c>
      <c r="G22" s="141">
        <v>159</v>
      </c>
      <c r="H22" s="143">
        <v>179</v>
      </c>
      <c r="I22" s="143">
        <v>14409</v>
      </c>
      <c r="J22" s="143">
        <v>19150.7</v>
      </c>
      <c r="K22" s="143">
        <v>7510</v>
      </c>
      <c r="L22" s="143">
        <v>11015.8</v>
      </c>
      <c r="M22" s="143">
        <v>2300</v>
      </c>
      <c r="N22" s="143">
        <v>2300</v>
      </c>
      <c r="O22" s="144"/>
      <c r="P22" s="220">
        <v>0</v>
      </c>
      <c r="Q22" s="127" t="s">
        <v>186</v>
      </c>
      <c r="R22" s="124"/>
      <c r="S22" s="124"/>
      <c r="T22" s="124"/>
    </row>
    <row r="23" spans="1:20">
      <c r="A23" s="126" t="s">
        <v>20</v>
      </c>
      <c r="B23" s="146">
        <f t="shared" si="4"/>
        <v>67462</v>
      </c>
      <c r="C23" s="143">
        <v>6624</v>
      </c>
      <c r="D23" s="143">
        <v>2138.9899999999998</v>
      </c>
      <c r="E23" s="143">
        <v>2458</v>
      </c>
      <c r="F23" s="143">
        <v>763.31</v>
      </c>
      <c r="G23" s="141">
        <v>6637</v>
      </c>
      <c r="H23" s="143">
        <v>2078.2739999999999</v>
      </c>
      <c r="I23" s="143">
        <v>34552</v>
      </c>
      <c r="J23" s="143">
        <v>35123.19</v>
      </c>
      <c r="K23" s="143">
        <v>10082</v>
      </c>
      <c r="L23" s="143">
        <v>9649.36</v>
      </c>
      <c r="M23" s="144"/>
      <c r="N23" s="143">
        <v>0</v>
      </c>
      <c r="O23" s="143">
        <v>7109</v>
      </c>
      <c r="P23" s="220">
        <v>2106.91</v>
      </c>
      <c r="Q23" s="127" t="s">
        <v>187</v>
      </c>
      <c r="R23" s="124"/>
      <c r="S23" s="124"/>
      <c r="T23" s="124"/>
    </row>
    <row r="24" spans="1:20">
      <c r="A24" s="126" t="s">
        <v>22</v>
      </c>
      <c r="B24" s="146">
        <f t="shared" si="4"/>
        <v>66206</v>
      </c>
      <c r="C24" s="143">
        <v>515</v>
      </c>
      <c r="D24" s="143">
        <v>283.39999999999998</v>
      </c>
      <c r="E24" s="143">
        <v>486</v>
      </c>
      <c r="F24" s="143">
        <v>245.9</v>
      </c>
      <c r="G24" s="141">
        <v>1576</v>
      </c>
      <c r="H24" s="143">
        <v>646.20000000000005</v>
      </c>
      <c r="I24" s="143">
        <v>63229</v>
      </c>
      <c r="J24" s="143">
        <v>77698.45</v>
      </c>
      <c r="K24" s="143">
        <v>380</v>
      </c>
      <c r="L24" s="143">
        <v>313</v>
      </c>
      <c r="M24" s="144"/>
      <c r="N24" s="143">
        <v>0</v>
      </c>
      <c r="O24" s="143">
        <v>20</v>
      </c>
      <c r="P24" s="220">
        <v>10</v>
      </c>
      <c r="Q24" s="127" t="s">
        <v>188</v>
      </c>
      <c r="R24" s="124"/>
      <c r="S24" s="124"/>
      <c r="T24" s="124"/>
    </row>
    <row r="25" spans="1:20">
      <c r="A25" s="126" t="s">
        <v>24</v>
      </c>
      <c r="B25" s="146">
        <f t="shared" si="4"/>
        <v>30385</v>
      </c>
      <c r="C25" s="143">
        <v>4827</v>
      </c>
      <c r="D25" s="143">
        <v>2561.4499999999998</v>
      </c>
      <c r="E25" s="143">
        <v>2396</v>
      </c>
      <c r="F25" s="143">
        <v>1599.82</v>
      </c>
      <c r="G25" s="141">
        <v>2941</v>
      </c>
      <c r="H25" s="143">
        <v>1600.25</v>
      </c>
      <c r="I25" s="143">
        <v>17942</v>
      </c>
      <c r="J25" s="143">
        <v>21516.9</v>
      </c>
      <c r="K25" s="143">
        <v>1642</v>
      </c>
      <c r="L25" s="143">
        <v>1917</v>
      </c>
      <c r="M25" s="144"/>
      <c r="N25" s="143">
        <v>0</v>
      </c>
      <c r="O25" s="143">
        <v>637</v>
      </c>
      <c r="P25" s="220">
        <v>842.8</v>
      </c>
      <c r="Q25" s="127" t="s">
        <v>189</v>
      </c>
      <c r="R25" s="124"/>
      <c r="S25" s="124"/>
      <c r="T25" s="124"/>
    </row>
    <row r="26" spans="1:20">
      <c r="A26" s="126" t="s">
        <v>27</v>
      </c>
      <c r="B26" s="146">
        <f t="shared" si="4"/>
        <v>90175</v>
      </c>
      <c r="C26" s="143">
        <v>832</v>
      </c>
      <c r="D26" s="143">
        <v>773.91</v>
      </c>
      <c r="E26" s="143">
        <v>340</v>
      </c>
      <c r="F26" s="143">
        <v>268.39999999999998</v>
      </c>
      <c r="G26" s="141">
        <v>1958</v>
      </c>
      <c r="H26" s="143">
        <v>1822.8</v>
      </c>
      <c r="I26" s="143">
        <v>81172</v>
      </c>
      <c r="J26" s="143">
        <v>118303.5</v>
      </c>
      <c r="K26" s="143">
        <v>960</v>
      </c>
      <c r="L26" s="143">
        <v>1228.5999999999999</v>
      </c>
      <c r="M26" s="144"/>
      <c r="N26" s="143">
        <v>0</v>
      </c>
      <c r="O26" s="143">
        <v>4913</v>
      </c>
      <c r="P26" s="220">
        <v>5824</v>
      </c>
      <c r="Q26" s="127" t="s">
        <v>190</v>
      </c>
      <c r="R26" s="124"/>
      <c r="S26" s="124"/>
      <c r="T26" s="124"/>
    </row>
    <row r="27" spans="1:20">
      <c r="A27" s="126" t="s">
        <v>29</v>
      </c>
      <c r="B27" s="146">
        <f t="shared" si="4"/>
        <v>18650</v>
      </c>
      <c r="C27" s="143">
        <v>1516</v>
      </c>
      <c r="D27" s="143">
        <v>640.29999999999995</v>
      </c>
      <c r="E27" s="143">
        <v>2080</v>
      </c>
      <c r="F27" s="143">
        <v>832.1</v>
      </c>
      <c r="G27" s="141">
        <v>6938</v>
      </c>
      <c r="H27" s="143">
        <v>3225.2559999999999</v>
      </c>
      <c r="I27" s="143">
        <v>3553</v>
      </c>
      <c r="J27" s="143">
        <v>2639.5</v>
      </c>
      <c r="K27" s="143">
        <v>3329</v>
      </c>
      <c r="L27" s="143">
        <v>1573.78</v>
      </c>
      <c r="M27" s="143">
        <v>1035</v>
      </c>
      <c r="N27" s="143">
        <v>363.5</v>
      </c>
      <c r="O27" s="143">
        <v>199</v>
      </c>
      <c r="P27" s="220">
        <v>53.3</v>
      </c>
      <c r="Q27" s="127" t="s">
        <v>191</v>
      </c>
      <c r="R27" s="124"/>
      <c r="S27" s="124"/>
      <c r="T27" s="124"/>
    </row>
    <row r="28" spans="1:20" s="211" customFormat="1" ht="19.8" customHeight="1">
      <c r="A28" s="147" t="s">
        <v>293</v>
      </c>
      <c r="B28" s="208">
        <f>SUM(C28,E28,G28,I28,K28,M28,O28)</f>
        <v>218333</v>
      </c>
      <c r="C28" s="209">
        <f>SUM(C29:C32)</f>
        <v>3590</v>
      </c>
      <c r="D28" s="209">
        <f t="shared" ref="D28:P28" si="5">SUM(D29:D32)</f>
        <v>1309.3</v>
      </c>
      <c r="E28" s="209">
        <f t="shared" si="5"/>
        <v>1778</v>
      </c>
      <c r="F28" s="209">
        <f t="shared" si="5"/>
        <v>529.04999999999995</v>
      </c>
      <c r="G28" s="209">
        <f t="shared" si="5"/>
        <v>5181</v>
      </c>
      <c r="H28" s="209">
        <f t="shared" si="5"/>
        <v>1570.05</v>
      </c>
      <c r="I28" s="209">
        <f t="shared" si="5"/>
        <v>161694</v>
      </c>
      <c r="J28" s="209">
        <f t="shared" si="5"/>
        <v>143544.87</v>
      </c>
      <c r="K28" s="209">
        <f t="shared" si="5"/>
        <v>16430</v>
      </c>
      <c r="L28" s="209">
        <f t="shared" si="5"/>
        <v>21397.41</v>
      </c>
      <c r="M28" s="209">
        <f t="shared" si="5"/>
        <v>28260</v>
      </c>
      <c r="N28" s="209">
        <f t="shared" si="5"/>
        <v>8017.07</v>
      </c>
      <c r="O28" s="209">
        <f t="shared" si="5"/>
        <v>1400</v>
      </c>
      <c r="P28" s="221">
        <f t="shared" si="5"/>
        <v>575.29999999999995</v>
      </c>
      <c r="Q28" s="210" t="s">
        <v>294</v>
      </c>
    </row>
    <row r="29" spans="1:20">
      <c r="A29" s="126" t="s">
        <v>31</v>
      </c>
      <c r="B29" s="146">
        <f t="shared" si="4"/>
        <v>48715</v>
      </c>
      <c r="C29" s="143">
        <v>1170</v>
      </c>
      <c r="D29" s="143">
        <v>473.3</v>
      </c>
      <c r="E29" s="143">
        <v>595</v>
      </c>
      <c r="F29" s="143">
        <v>152.6</v>
      </c>
      <c r="G29" s="141">
        <v>1302</v>
      </c>
      <c r="H29" s="143">
        <v>623.29</v>
      </c>
      <c r="I29" s="143">
        <v>34696</v>
      </c>
      <c r="J29" s="143">
        <v>33419.26</v>
      </c>
      <c r="K29" s="143">
        <v>9682</v>
      </c>
      <c r="L29" s="143">
        <v>15249.51</v>
      </c>
      <c r="M29" s="143">
        <v>1006</v>
      </c>
      <c r="N29" s="143">
        <v>286.10000000000002</v>
      </c>
      <c r="O29" s="143">
        <v>264</v>
      </c>
      <c r="P29" s="220">
        <v>169</v>
      </c>
      <c r="Q29" s="127" t="s">
        <v>192</v>
      </c>
      <c r="R29" s="124"/>
      <c r="S29" s="124"/>
      <c r="T29" s="124"/>
    </row>
    <row r="30" spans="1:20">
      <c r="A30" s="126" t="s">
        <v>33</v>
      </c>
      <c r="B30" s="146">
        <f t="shared" si="4"/>
        <v>43811</v>
      </c>
      <c r="C30" s="143">
        <v>1530</v>
      </c>
      <c r="D30" s="143">
        <v>512</v>
      </c>
      <c r="E30" s="143">
        <v>940</v>
      </c>
      <c r="F30" s="143">
        <v>317.55</v>
      </c>
      <c r="G30" s="141">
        <v>3792</v>
      </c>
      <c r="H30" s="143">
        <v>927.26</v>
      </c>
      <c r="I30" s="143">
        <v>34159</v>
      </c>
      <c r="J30" s="143">
        <v>24207.01</v>
      </c>
      <c r="K30" s="143">
        <v>1290</v>
      </c>
      <c r="L30" s="143">
        <v>265.89999999999998</v>
      </c>
      <c r="M30" s="143">
        <v>994</v>
      </c>
      <c r="N30" s="143">
        <v>74.2</v>
      </c>
      <c r="O30" s="143">
        <v>1106</v>
      </c>
      <c r="P30" s="220">
        <v>400.9</v>
      </c>
      <c r="Q30" s="127" t="s">
        <v>193</v>
      </c>
      <c r="R30" s="124"/>
      <c r="S30" s="124"/>
      <c r="T30" s="124"/>
    </row>
    <row r="31" spans="1:20">
      <c r="A31" s="126" t="s">
        <v>35</v>
      </c>
      <c r="B31" s="146">
        <f t="shared" si="4"/>
        <v>33030</v>
      </c>
      <c r="C31" s="143">
        <v>490</v>
      </c>
      <c r="D31" s="143">
        <v>244</v>
      </c>
      <c r="E31" s="144"/>
      <c r="F31" s="143">
        <v>0</v>
      </c>
      <c r="G31" s="141">
        <v>60</v>
      </c>
      <c r="H31" s="143">
        <v>14.5</v>
      </c>
      <c r="I31" s="143">
        <v>20001</v>
      </c>
      <c r="J31" s="143">
        <v>12789.7</v>
      </c>
      <c r="K31" s="143">
        <v>5458</v>
      </c>
      <c r="L31" s="143">
        <v>5882</v>
      </c>
      <c r="M31" s="143">
        <v>7021</v>
      </c>
      <c r="N31" s="143">
        <v>2810.18</v>
      </c>
      <c r="O31" s="144"/>
      <c r="P31" s="220">
        <v>0</v>
      </c>
      <c r="Q31" s="127" t="s">
        <v>194</v>
      </c>
      <c r="R31" s="124"/>
      <c r="S31" s="124"/>
      <c r="T31" s="124"/>
    </row>
    <row r="32" spans="1:20">
      <c r="A32" s="126" t="s">
        <v>37</v>
      </c>
      <c r="B32" s="146">
        <f t="shared" si="4"/>
        <v>92777</v>
      </c>
      <c r="C32" s="143">
        <v>400</v>
      </c>
      <c r="D32" s="143">
        <v>80</v>
      </c>
      <c r="E32" s="143">
        <v>243</v>
      </c>
      <c r="F32" s="143">
        <v>58.9</v>
      </c>
      <c r="G32" s="141">
        <v>27</v>
      </c>
      <c r="H32" s="143">
        <v>5</v>
      </c>
      <c r="I32" s="143">
        <v>72838</v>
      </c>
      <c r="J32" s="143">
        <v>73128.899999999994</v>
      </c>
      <c r="K32" s="144"/>
      <c r="L32" s="143">
        <v>0</v>
      </c>
      <c r="M32" s="143">
        <v>19239</v>
      </c>
      <c r="N32" s="143">
        <v>4846.59</v>
      </c>
      <c r="O32" s="143">
        <v>30</v>
      </c>
      <c r="P32" s="220">
        <v>5.4</v>
      </c>
      <c r="Q32" s="127" t="s">
        <v>195</v>
      </c>
      <c r="R32" s="124"/>
      <c r="S32" s="124"/>
      <c r="T32" s="124"/>
    </row>
    <row r="33" spans="1:20">
      <c r="A33" s="187" t="s">
        <v>196</v>
      </c>
      <c r="B33" s="188">
        <f>C33+E33+G33+I33+K33+M33+O33</f>
        <v>275591</v>
      </c>
      <c r="C33" s="161">
        <f>SUM(C35:C38)</f>
        <v>1488</v>
      </c>
      <c r="D33" s="161">
        <f t="shared" ref="D33:P33" si="6">SUM(D35:D38)</f>
        <v>464.65</v>
      </c>
      <c r="E33" s="161">
        <f t="shared" si="6"/>
        <v>12169</v>
      </c>
      <c r="F33" s="161">
        <f t="shared" si="6"/>
        <v>4949.7640000000001</v>
      </c>
      <c r="G33" s="163">
        <f t="shared" si="6"/>
        <v>2365</v>
      </c>
      <c r="H33" s="161">
        <f t="shared" si="6"/>
        <v>1099.04</v>
      </c>
      <c r="I33" s="161">
        <f t="shared" si="6"/>
        <v>144754</v>
      </c>
      <c r="J33" s="161">
        <f t="shared" si="6"/>
        <v>136259.125</v>
      </c>
      <c r="K33" s="161">
        <f t="shared" si="6"/>
        <v>39970</v>
      </c>
      <c r="L33" s="161">
        <f t="shared" si="6"/>
        <v>34812.538999999997</v>
      </c>
      <c r="M33" s="161">
        <f t="shared" si="6"/>
        <v>74236</v>
      </c>
      <c r="N33" s="161">
        <f t="shared" si="6"/>
        <v>26456.616999999998</v>
      </c>
      <c r="O33" s="161">
        <f t="shared" si="6"/>
        <v>609</v>
      </c>
      <c r="P33" s="218">
        <f t="shared" si="6"/>
        <v>424.37299999999999</v>
      </c>
      <c r="Q33" s="167" t="s">
        <v>197</v>
      </c>
      <c r="R33" s="167"/>
      <c r="S33" s="167"/>
      <c r="T33" s="124"/>
    </row>
    <row r="34" spans="1:20">
      <c r="A34" s="187"/>
      <c r="B34" s="188"/>
      <c r="C34" s="161"/>
      <c r="D34" s="161"/>
      <c r="E34" s="161"/>
      <c r="F34" s="161"/>
      <c r="G34" s="163"/>
      <c r="H34" s="161"/>
      <c r="I34" s="161"/>
      <c r="J34" s="161"/>
      <c r="K34" s="161"/>
      <c r="L34" s="161"/>
      <c r="M34" s="161"/>
      <c r="N34" s="161"/>
      <c r="O34" s="161"/>
      <c r="P34" s="218"/>
      <c r="Q34" s="167"/>
      <c r="R34" s="167"/>
      <c r="S34" s="167"/>
      <c r="T34" s="124"/>
    </row>
    <row r="35" spans="1:20">
      <c r="A35" s="126" t="s">
        <v>39</v>
      </c>
      <c r="B35" s="146">
        <f>SUM(C35,E35,G35,I35,K35,M35,O35)</f>
        <v>119045</v>
      </c>
      <c r="C35" s="143">
        <v>500</v>
      </c>
      <c r="D35" s="143">
        <v>145</v>
      </c>
      <c r="E35" s="143">
        <v>530</v>
      </c>
      <c r="F35" s="143">
        <v>204</v>
      </c>
      <c r="G35" s="141">
        <v>406</v>
      </c>
      <c r="H35" s="143">
        <v>165.04</v>
      </c>
      <c r="I35" s="143">
        <v>49400</v>
      </c>
      <c r="J35" s="143">
        <v>39529.404999999999</v>
      </c>
      <c r="K35" s="143">
        <v>13514</v>
      </c>
      <c r="L35" s="143">
        <v>10882.954</v>
      </c>
      <c r="M35" s="143">
        <v>54516</v>
      </c>
      <c r="N35" s="143">
        <v>14926.316999999999</v>
      </c>
      <c r="O35" s="143">
        <v>179</v>
      </c>
      <c r="P35" s="220">
        <v>81.572999999999993</v>
      </c>
      <c r="Q35" s="127" t="s">
        <v>198</v>
      </c>
      <c r="R35" s="124"/>
      <c r="S35" s="124"/>
      <c r="T35" s="124"/>
    </row>
    <row r="36" spans="1:20">
      <c r="A36" s="126" t="s">
        <v>41</v>
      </c>
      <c r="B36" s="146">
        <f>SUM(C36,E36,G36,I36,K36,M36,O36)</f>
        <v>61898</v>
      </c>
      <c r="C36" s="143">
        <v>448</v>
      </c>
      <c r="D36" s="143">
        <v>128.65</v>
      </c>
      <c r="E36" s="143">
        <v>4346</v>
      </c>
      <c r="F36" s="143">
        <v>1375.08</v>
      </c>
      <c r="G36" s="141">
        <v>1058</v>
      </c>
      <c r="H36" s="143">
        <v>314</v>
      </c>
      <c r="I36" s="143">
        <v>38100</v>
      </c>
      <c r="J36" s="143">
        <v>54445.5</v>
      </c>
      <c r="K36" s="143">
        <v>10467</v>
      </c>
      <c r="L36" s="143">
        <v>10524.5</v>
      </c>
      <c r="M36" s="143">
        <v>7364</v>
      </c>
      <c r="N36" s="143">
        <v>5789.5</v>
      </c>
      <c r="O36" s="143">
        <v>115</v>
      </c>
      <c r="P36" s="220">
        <v>17</v>
      </c>
      <c r="Q36" s="127" t="s">
        <v>199</v>
      </c>
      <c r="R36" s="124"/>
      <c r="S36" s="124"/>
      <c r="T36" s="124"/>
    </row>
    <row r="37" spans="1:20">
      <c r="A37" s="126" t="s">
        <v>43</v>
      </c>
      <c r="B37" s="146">
        <f>SUM(C37,E37,G37,I37,K37,M37,O37)</f>
        <v>38276</v>
      </c>
      <c r="C37" s="143">
        <v>160</v>
      </c>
      <c r="D37" s="143">
        <v>48</v>
      </c>
      <c r="E37" s="143">
        <v>1024</v>
      </c>
      <c r="F37" s="143">
        <v>344.48</v>
      </c>
      <c r="G37" s="141">
        <v>170</v>
      </c>
      <c r="H37" s="143">
        <v>85</v>
      </c>
      <c r="I37" s="143">
        <v>22280</v>
      </c>
      <c r="J37" s="143">
        <v>15139.5</v>
      </c>
      <c r="K37" s="143">
        <v>9376</v>
      </c>
      <c r="L37" s="143">
        <v>8362.9850000000006</v>
      </c>
      <c r="M37" s="143">
        <v>5261</v>
      </c>
      <c r="N37" s="143">
        <v>1483.3</v>
      </c>
      <c r="O37" s="143">
        <v>5</v>
      </c>
      <c r="P37" s="220">
        <v>0.8</v>
      </c>
      <c r="Q37" s="127" t="s">
        <v>200</v>
      </c>
      <c r="R37" s="124"/>
      <c r="S37" s="124"/>
      <c r="T37" s="124"/>
    </row>
    <row r="38" spans="1:20">
      <c r="A38" s="126" t="s">
        <v>46</v>
      </c>
      <c r="B38" s="146">
        <f>SUM(C38,E38,G38,I38,K38,M38,O38)</f>
        <v>56372</v>
      </c>
      <c r="C38" s="143">
        <v>380</v>
      </c>
      <c r="D38" s="143">
        <v>143</v>
      </c>
      <c r="E38" s="143">
        <v>6269</v>
      </c>
      <c r="F38" s="143">
        <v>3026.2040000000002</v>
      </c>
      <c r="G38" s="141">
        <v>731</v>
      </c>
      <c r="H38" s="143">
        <v>535</v>
      </c>
      <c r="I38" s="143">
        <v>34974</v>
      </c>
      <c r="J38" s="143">
        <v>27144.720000000001</v>
      </c>
      <c r="K38" s="143">
        <v>6613</v>
      </c>
      <c r="L38" s="143">
        <v>5042.1000000000004</v>
      </c>
      <c r="M38" s="143">
        <v>7095</v>
      </c>
      <c r="N38" s="143">
        <v>4257.5</v>
      </c>
      <c r="O38" s="143">
        <v>310</v>
      </c>
      <c r="P38" s="220">
        <v>325</v>
      </c>
      <c r="Q38" s="127" t="s">
        <v>201</v>
      </c>
      <c r="R38" s="124"/>
      <c r="S38" s="124"/>
      <c r="T38" s="124"/>
    </row>
    <row r="39" spans="1:20">
      <c r="A39" s="187" t="s">
        <v>202</v>
      </c>
      <c r="B39" s="188">
        <f>C39+E39+G39+I39+K39+M39+O39</f>
        <v>315559</v>
      </c>
      <c r="C39" s="161">
        <f>SUM(C41:C45)</f>
        <v>11301</v>
      </c>
      <c r="D39" s="161">
        <f t="shared" ref="D39:P39" si="7">SUM(D41:D45)</f>
        <v>3659.2999999999997</v>
      </c>
      <c r="E39" s="161">
        <f t="shared" si="7"/>
        <v>17778</v>
      </c>
      <c r="F39" s="161">
        <f t="shared" si="7"/>
        <v>8615.6</v>
      </c>
      <c r="G39" s="163">
        <f t="shared" si="7"/>
        <v>38803</v>
      </c>
      <c r="H39" s="161">
        <f t="shared" si="7"/>
        <v>18542.34</v>
      </c>
      <c r="I39" s="161">
        <f t="shared" si="7"/>
        <v>206474</v>
      </c>
      <c r="J39" s="161">
        <f t="shared" si="7"/>
        <v>257720.43800000002</v>
      </c>
      <c r="K39" s="161">
        <f t="shared" si="7"/>
        <v>20441</v>
      </c>
      <c r="L39" s="161">
        <f t="shared" si="7"/>
        <v>19432.2</v>
      </c>
      <c r="M39" s="161">
        <f t="shared" si="7"/>
        <v>17567</v>
      </c>
      <c r="N39" s="161">
        <f t="shared" si="7"/>
        <v>4162.3</v>
      </c>
      <c r="O39" s="161">
        <f t="shared" si="7"/>
        <v>3195</v>
      </c>
      <c r="P39" s="218">
        <f t="shared" si="7"/>
        <v>1313.4</v>
      </c>
      <c r="Q39" s="167" t="s">
        <v>203</v>
      </c>
      <c r="R39" s="167"/>
      <c r="S39" s="167"/>
      <c r="T39" s="124"/>
    </row>
    <row r="40" spans="1:20">
      <c r="A40" s="187"/>
      <c r="B40" s="188"/>
      <c r="C40" s="161"/>
      <c r="D40" s="161"/>
      <c r="E40" s="161"/>
      <c r="F40" s="161"/>
      <c r="G40" s="163"/>
      <c r="H40" s="161"/>
      <c r="I40" s="161"/>
      <c r="J40" s="161"/>
      <c r="K40" s="161"/>
      <c r="L40" s="161"/>
      <c r="M40" s="161"/>
      <c r="N40" s="161"/>
      <c r="O40" s="161"/>
      <c r="P40" s="218"/>
      <c r="Q40" s="167"/>
      <c r="R40" s="167"/>
      <c r="S40" s="167"/>
      <c r="T40" s="124"/>
    </row>
    <row r="41" spans="1:20">
      <c r="A41" s="126" t="s">
        <v>48</v>
      </c>
      <c r="B41" s="146">
        <f>SUM(C41,E41,G41,I41,K41,M41,O41)</f>
        <v>102000</v>
      </c>
      <c r="C41" s="143">
        <v>4187</v>
      </c>
      <c r="D41" s="143">
        <v>1145.7</v>
      </c>
      <c r="E41" s="143">
        <v>10527</v>
      </c>
      <c r="F41" s="143">
        <v>5850.1</v>
      </c>
      <c r="G41" s="141">
        <v>20110</v>
      </c>
      <c r="H41" s="143">
        <v>8398.5</v>
      </c>
      <c r="I41" s="143">
        <v>47981</v>
      </c>
      <c r="J41" s="143">
        <v>56031.658000000003</v>
      </c>
      <c r="K41" s="143">
        <v>14170</v>
      </c>
      <c r="L41" s="143">
        <v>16258.45</v>
      </c>
      <c r="M41" s="143">
        <v>2538</v>
      </c>
      <c r="N41" s="143">
        <v>968.5</v>
      </c>
      <c r="O41" s="143">
        <v>2487</v>
      </c>
      <c r="P41" s="220">
        <v>840.9</v>
      </c>
      <c r="Q41" s="127" t="s">
        <v>204</v>
      </c>
      <c r="R41" s="124"/>
      <c r="S41" s="124"/>
      <c r="T41" s="124"/>
    </row>
    <row r="42" spans="1:20">
      <c r="A42" s="126" t="s">
        <v>51</v>
      </c>
      <c r="B42" s="146">
        <f>SUM(C42,E42,G42,I42,K42,M42,O42)</f>
        <v>80677</v>
      </c>
      <c r="C42" s="143">
        <v>1320</v>
      </c>
      <c r="D42" s="143">
        <v>338</v>
      </c>
      <c r="E42" s="143">
        <v>2627</v>
      </c>
      <c r="F42" s="143">
        <v>679.3</v>
      </c>
      <c r="G42" s="141">
        <v>2429</v>
      </c>
      <c r="H42" s="143">
        <v>1625.9</v>
      </c>
      <c r="I42" s="143">
        <v>61606</v>
      </c>
      <c r="J42" s="143">
        <v>75121.3</v>
      </c>
      <c r="K42" s="143">
        <v>2938</v>
      </c>
      <c r="L42" s="143">
        <v>988.3</v>
      </c>
      <c r="M42" s="143">
        <v>9754</v>
      </c>
      <c r="N42" s="143">
        <v>1704.8</v>
      </c>
      <c r="O42" s="143">
        <v>3</v>
      </c>
      <c r="P42" s="220">
        <v>3</v>
      </c>
      <c r="Q42" s="127" t="s">
        <v>205</v>
      </c>
      <c r="R42" s="124"/>
      <c r="S42" s="124"/>
      <c r="T42" s="124"/>
    </row>
    <row r="43" spans="1:20">
      <c r="A43" s="126" t="s">
        <v>53</v>
      </c>
      <c r="B43" s="146">
        <f>SUM(C43,E43,G43,I43,K43,M43,O43)</f>
        <v>41744</v>
      </c>
      <c r="C43" s="143">
        <v>4630</v>
      </c>
      <c r="D43" s="143">
        <v>1644</v>
      </c>
      <c r="E43" s="143">
        <v>2389</v>
      </c>
      <c r="F43" s="143">
        <v>884</v>
      </c>
      <c r="G43" s="141">
        <v>12730</v>
      </c>
      <c r="H43" s="143">
        <v>6528.5</v>
      </c>
      <c r="I43" s="143">
        <v>21710</v>
      </c>
      <c r="J43" s="143">
        <v>32118</v>
      </c>
      <c r="K43" s="144"/>
      <c r="L43" s="143">
        <v>0</v>
      </c>
      <c r="M43" s="143">
        <v>215</v>
      </c>
      <c r="N43" s="143">
        <v>17</v>
      </c>
      <c r="O43" s="143">
        <v>70</v>
      </c>
      <c r="P43" s="220">
        <v>35</v>
      </c>
      <c r="Q43" s="127" t="s">
        <v>206</v>
      </c>
      <c r="R43" s="124"/>
      <c r="S43" s="124"/>
      <c r="T43" s="124"/>
    </row>
    <row r="44" spans="1:20">
      <c r="A44" s="126" t="s">
        <v>56</v>
      </c>
      <c r="B44" s="146">
        <f>SUM(C44,E44,G44,I44,K44,M44,O44)</f>
        <v>175</v>
      </c>
      <c r="C44" s="143">
        <v>24</v>
      </c>
      <c r="D44" s="143">
        <v>10</v>
      </c>
      <c r="E44" s="143">
        <v>30</v>
      </c>
      <c r="F44" s="143">
        <v>12</v>
      </c>
      <c r="G44" s="141">
        <v>59</v>
      </c>
      <c r="H44" s="143">
        <v>13</v>
      </c>
      <c r="I44" s="143">
        <v>47</v>
      </c>
      <c r="J44" s="143">
        <v>10</v>
      </c>
      <c r="K44" s="143">
        <v>15</v>
      </c>
      <c r="L44" s="143">
        <v>6.5</v>
      </c>
      <c r="M44" s="144"/>
      <c r="N44" s="143">
        <v>0</v>
      </c>
      <c r="O44" s="144"/>
      <c r="P44" s="220">
        <v>0</v>
      </c>
      <c r="Q44" s="162" t="s">
        <v>207</v>
      </c>
      <c r="R44" s="186"/>
      <c r="S44" s="186"/>
      <c r="T44" s="124"/>
    </row>
    <row r="45" spans="1:20">
      <c r="A45" s="126" t="s">
        <v>58</v>
      </c>
      <c r="B45" s="146">
        <f>SUM(C45,E45,G45,I45,K45,M45,O45)</f>
        <v>90963</v>
      </c>
      <c r="C45" s="143">
        <v>1140</v>
      </c>
      <c r="D45" s="143">
        <v>521.6</v>
      </c>
      <c r="E45" s="143">
        <v>2205</v>
      </c>
      <c r="F45" s="143">
        <v>1190.2</v>
      </c>
      <c r="G45" s="141">
        <v>3475</v>
      </c>
      <c r="H45" s="143">
        <v>1976.44</v>
      </c>
      <c r="I45" s="143">
        <v>75130</v>
      </c>
      <c r="J45" s="143">
        <v>94439.48</v>
      </c>
      <c r="K45" s="143">
        <v>3318</v>
      </c>
      <c r="L45" s="143">
        <v>2178.9499999999998</v>
      </c>
      <c r="M45" s="143">
        <v>5060</v>
      </c>
      <c r="N45" s="143">
        <v>1472</v>
      </c>
      <c r="O45" s="143">
        <v>635</v>
      </c>
      <c r="P45" s="220">
        <v>434.5</v>
      </c>
      <c r="Q45" s="127" t="s">
        <v>208</v>
      </c>
      <c r="R45" s="124"/>
      <c r="S45" s="124"/>
      <c r="T45" s="124"/>
    </row>
    <row r="46" spans="1:20">
      <c r="A46" s="189" t="s">
        <v>209</v>
      </c>
      <c r="B46" s="188">
        <f>C46+E46+G46+I46+K46+M46+O46</f>
        <v>277082</v>
      </c>
      <c r="C46" s="161">
        <f>SUM(C48:C52)</f>
        <v>23856</v>
      </c>
      <c r="D46" s="161">
        <f t="shared" ref="D46:P46" si="8">SUM(D48:D52)</f>
        <v>8368.73</v>
      </c>
      <c r="E46" s="161">
        <f t="shared" si="8"/>
        <v>24958</v>
      </c>
      <c r="F46" s="161">
        <f t="shared" si="8"/>
        <v>10633.32</v>
      </c>
      <c r="G46" s="163">
        <f t="shared" si="8"/>
        <v>22321</v>
      </c>
      <c r="H46" s="161">
        <f t="shared" si="8"/>
        <v>9025.7999999999993</v>
      </c>
      <c r="I46" s="161">
        <f t="shared" si="8"/>
        <v>164024</v>
      </c>
      <c r="J46" s="161">
        <f t="shared" si="8"/>
        <v>195438.75999999998</v>
      </c>
      <c r="K46" s="161">
        <f t="shared" si="8"/>
        <v>21157</v>
      </c>
      <c r="L46" s="161">
        <f t="shared" si="8"/>
        <v>17910.462</v>
      </c>
      <c r="M46" s="161">
        <f t="shared" si="8"/>
        <v>11770</v>
      </c>
      <c r="N46" s="161">
        <f t="shared" si="8"/>
        <v>1619.3500000000001</v>
      </c>
      <c r="O46" s="161">
        <f t="shared" si="8"/>
        <v>8996</v>
      </c>
      <c r="P46" s="218">
        <f t="shared" si="8"/>
        <v>9475.98</v>
      </c>
      <c r="Q46" s="165" t="s">
        <v>210</v>
      </c>
      <c r="R46" s="165"/>
      <c r="S46" s="165"/>
      <c r="T46" s="124"/>
    </row>
    <row r="47" spans="1:20">
      <c r="A47" s="189"/>
      <c r="B47" s="188"/>
      <c r="C47" s="161"/>
      <c r="D47" s="161"/>
      <c r="E47" s="161"/>
      <c r="F47" s="161"/>
      <c r="G47" s="163"/>
      <c r="H47" s="161"/>
      <c r="I47" s="161"/>
      <c r="J47" s="161"/>
      <c r="K47" s="161"/>
      <c r="L47" s="161"/>
      <c r="M47" s="161"/>
      <c r="N47" s="161"/>
      <c r="O47" s="161"/>
      <c r="P47" s="218"/>
      <c r="Q47" s="165"/>
      <c r="R47" s="165"/>
      <c r="S47" s="165"/>
      <c r="T47" s="124"/>
    </row>
    <row r="48" spans="1:20">
      <c r="A48" s="126" t="s">
        <v>60</v>
      </c>
      <c r="B48" s="146">
        <f>SUM(C48,E48,G48,I48,K48,M48,O48)</f>
        <v>94407</v>
      </c>
      <c r="C48" s="143">
        <v>5851</v>
      </c>
      <c r="D48" s="143">
        <v>2166.48</v>
      </c>
      <c r="E48" s="143">
        <v>5139</v>
      </c>
      <c r="F48" s="143">
        <v>1839</v>
      </c>
      <c r="G48" s="141">
        <v>7827</v>
      </c>
      <c r="H48" s="143">
        <v>3592.82</v>
      </c>
      <c r="I48" s="143">
        <v>49442</v>
      </c>
      <c r="J48" s="143">
        <v>52885.1</v>
      </c>
      <c r="K48" s="143">
        <v>18683</v>
      </c>
      <c r="L48" s="143">
        <v>16856.28</v>
      </c>
      <c r="M48" s="143">
        <v>2015</v>
      </c>
      <c r="N48" s="143">
        <v>487.5</v>
      </c>
      <c r="O48" s="143">
        <v>5450</v>
      </c>
      <c r="P48" s="220">
        <v>6992.6</v>
      </c>
      <c r="Q48" s="127" t="s">
        <v>211</v>
      </c>
      <c r="R48" s="124"/>
      <c r="S48" s="124"/>
      <c r="T48" s="124"/>
    </row>
    <row r="49" spans="1:20">
      <c r="A49" s="126" t="s">
        <v>62</v>
      </c>
      <c r="B49" s="146">
        <f>SUM(C49,E49,G49,I49,K49,M49,O49)</f>
        <v>123224</v>
      </c>
      <c r="C49" s="143">
        <v>7210</v>
      </c>
      <c r="D49" s="143">
        <v>2626</v>
      </c>
      <c r="E49" s="143">
        <v>10230</v>
      </c>
      <c r="F49" s="143">
        <v>5858</v>
      </c>
      <c r="G49" s="141">
        <v>6480</v>
      </c>
      <c r="H49" s="143">
        <v>2875</v>
      </c>
      <c r="I49" s="143">
        <v>99004</v>
      </c>
      <c r="J49" s="143">
        <v>130951.2</v>
      </c>
      <c r="K49" s="144"/>
      <c r="L49" s="143">
        <v>0</v>
      </c>
      <c r="M49" s="144"/>
      <c r="N49" s="143">
        <v>0</v>
      </c>
      <c r="O49" s="143">
        <v>300</v>
      </c>
      <c r="P49" s="220">
        <v>150</v>
      </c>
      <c r="Q49" s="127" t="s">
        <v>212</v>
      </c>
      <c r="R49" s="124"/>
      <c r="S49" s="124"/>
      <c r="T49" s="124"/>
    </row>
    <row r="50" spans="1:20">
      <c r="A50" s="126" t="s">
        <v>64</v>
      </c>
      <c r="B50" s="146">
        <f>SUM(C50,E50,G50,I50,K50,M50,O50)</f>
        <v>33540</v>
      </c>
      <c r="C50" s="143">
        <v>9606</v>
      </c>
      <c r="D50" s="143">
        <v>3194.05</v>
      </c>
      <c r="E50" s="143">
        <v>7662</v>
      </c>
      <c r="F50" s="143">
        <v>2571.27</v>
      </c>
      <c r="G50" s="141">
        <v>7105</v>
      </c>
      <c r="H50" s="143">
        <v>2320.65</v>
      </c>
      <c r="I50" s="143">
        <v>7330</v>
      </c>
      <c r="J50" s="143">
        <v>6597.88</v>
      </c>
      <c r="K50" s="143">
        <v>1309</v>
      </c>
      <c r="L50" s="143">
        <v>798.5</v>
      </c>
      <c r="M50" s="143">
        <v>4</v>
      </c>
      <c r="N50" s="143">
        <v>3.4</v>
      </c>
      <c r="O50" s="143">
        <v>524</v>
      </c>
      <c r="P50" s="220">
        <v>218.98</v>
      </c>
      <c r="Q50" s="127" t="s">
        <v>213</v>
      </c>
      <c r="R50" s="124"/>
      <c r="S50" s="124"/>
      <c r="T50" s="124"/>
    </row>
    <row r="51" spans="1:20">
      <c r="A51" s="126" t="s">
        <v>67</v>
      </c>
      <c r="B51" s="146">
        <f>SUM(C51,E51,G51,I51,K51,M51,O51)</f>
        <v>13958</v>
      </c>
      <c r="C51" s="143">
        <v>271</v>
      </c>
      <c r="D51" s="143">
        <v>65</v>
      </c>
      <c r="E51" s="143">
        <v>677</v>
      </c>
      <c r="F51" s="143">
        <v>102</v>
      </c>
      <c r="G51" s="141">
        <v>40</v>
      </c>
      <c r="H51" s="143">
        <v>15.2</v>
      </c>
      <c r="I51" s="143">
        <v>2267</v>
      </c>
      <c r="J51" s="143">
        <v>655.08000000000004</v>
      </c>
      <c r="K51" s="143">
        <v>1075</v>
      </c>
      <c r="L51" s="143">
        <v>211.5</v>
      </c>
      <c r="M51" s="143">
        <v>9628</v>
      </c>
      <c r="N51" s="143">
        <v>1080.1500000000001</v>
      </c>
      <c r="O51" s="144"/>
      <c r="P51" s="220">
        <v>0</v>
      </c>
      <c r="Q51" s="127" t="s">
        <v>214</v>
      </c>
      <c r="R51" s="124"/>
      <c r="S51" s="124"/>
      <c r="T51" s="124"/>
    </row>
    <row r="52" spans="1:20">
      <c r="A52" s="126" t="s">
        <v>69</v>
      </c>
      <c r="B52" s="146">
        <f>SUM(C52,E52,G52,I52,K52,M52,O52)</f>
        <v>11953</v>
      </c>
      <c r="C52" s="143">
        <v>918</v>
      </c>
      <c r="D52" s="143">
        <v>317.2</v>
      </c>
      <c r="E52" s="143">
        <v>1250</v>
      </c>
      <c r="F52" s="143">
        <v>263.05</v>
      </c>
      <c r="G52" s="141">
        <v>869</v>
      </c>
      <c r="H52" s="143">
        <v>222.13</v>
      </c>
      <c r="I52" s="143">
        <v>5981</v>
      </c>
      <c r="J52" s="143">
        <v>4349.5</v>
      </c>
      <c r="K52" s="143">
        <v>90</v>
      </c>
      <c r="L52" s="143">
        <v>44.182000000000002</v>
      </c>
      <c r="M52" s="143">
        <v>123</v>
      </c>
      <c r="N52" s="143">
        <v>48.3</v>
      </c>
      <c r="O52" s="143">
        <v>2722</v>
      </c>
      <c r="P52" s="220">
        <v>2114.4</v>
      </c>
      <c r="Q52" s="127" t="s">
        <v>215</v>
      </c>
      <c r="R52" s="124"/>
      <c r="S52" s="124"/>
      <c r="T52" s="124"/>
    </row>
    <row r="53" spans="1:20">
      <c r="A53" s="187" t="s">
        <v>216</v>
      </c>
      <c r="B53" s="188">
        <f>C53+E53+G53+I53+K53+M53+O53</f>
        <v>65585</v>
      </c>
      <c r="C53" s="161">
        <f>SUM(C55:C59)</f>
        <v>2379</v>
      </c>
      <c r="D53" s="161">
        <f t="shared" ref="D53:P53" si="9">SUM(D55:D59)</f>
        <v>608.17600000000004</v>
      </c>
      <c r="E53" s="161">
        <f t="shared" si="9"/>
        <v>8170</v>
      </c>
      <c r="F53" s="161">
        <f t="shared" si="9"/>
        <v>1988.22</v>
      </c>
      <c r="G53" s="163">
        <f t="shared" si="9"/>
        <v>3129</v>
      </c>
      <c r="H53" s="161">
        <f t="shared" si="9"/>
        <v>727.70900000000006</v>
      </c>
      <c r="I53" s="161">
        <f t="shared" si="9"/>
        <v>5479</v>
      </c>
      <c r="J53" s="161">
        <f t="shared" si="9"/>
        <v>4736.1140000000005</v>
      </c>
      <c r="K53" s="161">
        <f t="shared" si="9"/>
        <v>8795</v>
      </c>
      <c r="L53" s="161">
        <f t="shared" si="9"/>
        <v>4629.4390000000003</v>
      </c>
      <c r="M53" s="161">
        <f t="shared" si="9"/>
        <v>35827</v>
      </c>
      <c r="N53" s="161">
        <f t="shared" si="9"/>
        <v>9930.24</v>
      </c>
      <c r="O53" s="161">
        <f t="shared" si="9"/>
        <v>1806</v>
      </c>
      <c r="P53" s="218">
        <f t="shared" si="9"/>
        <v>400.4</v>
      </c>
      <c r="Q53" s="167" t="s">
        <v>217</v>
      </c>
      <c r="R53" s="167"/>
      <c r="S53" s="167"/>
      <c r="T53" s="124"/>
    </row>
    <row r="54" spans="1:20">
      <c r="A54" s="187"/>
      <c r="B54" s="188"/>
      <c r="C54" s="161"/>
      <c r="D54" s="161"/>
      <c r="E54" s="161"/>
      <c r="F54" s="161"/>
      <c r="G54" s="163"/>
      <c r="H54" s="161"/>
      <c r="I54" s="161"/>
      <c r="J54" s="161"/>
      <c r="K54" s="161"/>
      <c r="L54" s="161"/>
      <c r="M54" s="161"/>
      <c r="N54" s="161"/>
      <c r="O54" s="161"/>
      <c r="P54" s="218"/>
      <c r="Q54" s="167"/>
      <c r="R54" s="167"/>
      <c r="S54" s="167"/>
      <c r="T54" s="124"/>
    </row>
    <row r="55" spans="1:20">
      <c r="A55" s="126" t="s">
        <v>71</v>
      </c>
      <c r="B55" s="146">
        <f>SUM(C55,E55,G55,I55,K55,M55,O55)</f>
        <v>39378</v>
      </c>
      <c r="C55" s="143">
        <v>136</v>
      </c>
      <c r="D55" s="143">
        <v>41.3</v>
      </c>
      <c r="E55" s="143">
        <v>384</v>
      </c>
      <c r="F55" s="143">
        <v>89.92</v>
      </c>
      <c r="G55" s="141">
        <v>503</v>
      </c>
      <c r="H55" s="143">
        <v>142.6</v>
      </c>
      <c r="I55" s="143">
        <v>4930</v>
      </c>
      <c r="J55" s="143">
        <v>4468.5600000000004</v>
      </c>
      <c r="K55" s="143">
        <v>7362</v>
      </c>
      <c r="L55" s="143">
        <v>4030.5</v>
      </c>
      <c r="M55" s="143">
        <v>25509</v>
      </c>
      <c r="N55" s="143">
        <v>7036.87</v>
      </c>
      <c r="O55" s="143">
        <v>554</v>
      </c>
      <c r="P55" s="220">
        <v>120.95</v>
      </c>
      <c r="Q55" s="127" t="s">
        <v>218</v>
      </c>
      <c r="R55" s="124"/>
      <c r="S55" s="124"/>
      <c r="T55" s="124"/>
    </row>
    <row r="56" spans="1:20">
      <c r="A56" s="126" t="s">
        <v>74</v>
      </c>
      <c r="B56" s="146">
        <f>SUM(C56,E56,G56,I56,K56,M56,O56)</f>
        <v>7765</v>
      </c>
      <c r="C56" s="143">
        <v>821</v>
      </c>
      <c r="D56" s="143">
        <v>220.096</v>
      </c>
      <c r="E56" s="143">
        <v>664</v>
      </c>
      <c r="F56" s="143">
        <v>240.05</v>
      </c>
      <c r="G56" s="141">
        <v>486</v>
      </c>
      <c r="H56" s="143">
        <v>152.19399999999999</v>
      </c>
      <c r="I56" s="143">
        <v>67</v>
      </c>
      <c r="J56" s="143">
        <v>48.753999999999998</v>
      </c>
      <c r="K56" s="143">
        <v>625</v>
      </c>
      <c r="L56" s="143">
        <v>388.089</v>
      </c>
      <c r="M56" s="143">
        <v>4380</v>
      </c>
      <c r="N56" s="143">
        <v>1311.65</v>
      </c>
      <c r="O56" s="143">
        <v>722</v>
      </c>
      <c r="P56" s="220">
        <v>233.45</v>
      </c>
      <c r="Q56" s="127" t="s">
        <v>219</v>
      </c>
      <c r="R56" s="124"/>
      <c r="S56" s="124"/>
      <c r="T56" s="124"/>
    </row>
    <row r="57" spans="1:20">
      <c r="A57" s="126" t="s">
        <v>76</v>
      </c>
      <c r="B57" s="146">
        <f>SUM(C57,E57,G57,I57,K57,M57,O57)</f>
        <v>168</v>
      </c>
      <c r="C57" s="143">
        <v>33</v>
      </c>
      <c r="D57" s="143">
        <v>0.42</v>
      </c>
      <c r="E57" s="143">
        <v>45</v>
      </c>
      <c r="F57" s="143">
        <v>0.34</v>
      </c>
      <c r="G57" s="141">
        <v>1</v>
      </c>
      <c r="H57" s="143">
        <v>9.5000000000000001E-2</v>
      </c>
      <c r="I57" s="144"/>
      <c r="J57" s="143">
        <v>0</v>
      </c>
      <c r="K57" s="143">
        <v>5</v>
      </c>
      <c r="L57" s="143">
        <v>0.1</v>
      </c>
      <c r="M57" s="143">
        <v>84</v>
      </c>
      <c r="N57" s="143">
        <v>0.88</v>
      </c>
      <c r="O57" s="144"/>
      <c r="P57" s="220">
        <v>0</v>
      </c>
      <c r="Q57" s="127" t="s">
        <v>220</v>
      </c>
      <c r="R57" s="124"/>
      <c r="S57" s="124"/>
      <c r="T57" s="124"/>
    </row>
    <row r="58" spans="1:20">
      <c r="A58" s="126" t="s">
        <v>79</v>
      </c>
      <c r="B58" s="146">
        <f>SUM(C58,E58,G58,I58,K58,M58,O58)</f>
        <v>14844</v>
      </c>
      <c r="C58" s="143">
        <v>1069</v>
      </c>
      <c r="D58" s="143">
        <v>236.4</v>
      </c>
      <c r="E58" s="143">
        <v>6513</v>
      </c>
      <c r="F58" s="143">
        <v>1505.75</v>
      </c>
      <c r="G58" s="141">
        <v>1881</v>
      </c>
      <c r="H58" s="143">
        <v>350.85</v>
      </c>
      <c r="I58" s="143">
        <v>235</v>
      </c>
      <c r="J58" s="143">
        <v>37</v>
      </c>
      <c r="K58" s="143">
        <v>525</v>
      </c>
      <c r="L58" s="143">
        <v>55.1</v>
      </c>
      <c r="M58" s="143">
        <v>4121</v>
      </c>
      <c r="N58" s="143">
        <v>1080.8399999999999</v>
      </c>
      <c r="O58" s="143">
        <v>500</v>
      </c>
      <c r="P58" s="220">
        <v>35</v>
      </c>
      <c r="Q58" s="127" t="s">
        <v>221</v>
      </c>
      <c r="R58" s="124"/>
      <c r="S58" s="124"/>
      <c r="T58" s="124"/>
    </row>
    <row r="59" spans="1:20">
      <c r="A59" s="126" t="s">
        <v>81</v>
      </c>
      <c r="B59" s="146">
        <f>SUM(C59,E59,G59,I59,K59,M59,O59)</f>
        <v>3430</v>
      </c>
      <c r="C59" s="143">
        <v>320</v>
      </c>
      <c r="D59" s="143">
        <v>109.96</v>
      </c>
      <c r="E59" s="143">
        <v>564</v>
      </c>
      <c r="F59" s="143">
        <v>152.16</v>
      </c>
      <c r="G59" s="141">
        <v>258</v>
      </c>
      <c r="H59" s="143">
        <v>81.97</v>
      </c>
      <c r="I59" s="143">
        <v>247</v>
      </c>
      <c r="J59" s="143">
        <v>181.8</v>
      </c>
      <c r="K59" s="143">
        <v>278</v>
      </c>
      <c r="L59" s="143">
        <v>155.65</v>
      </c>
      <c r="M59" s="143">
        <v>1733</v>
      </c>
      <c r="N59" s="143">
        <v>500</v>
      </c>
      <c r="O59" s="143">
        <v>30</v>
      </c>
      <c r="P59" s="220">
        <v>11</v>
      </c>
      <c r="Q59" s="127" t="s">
        <v>222</v>
      </c>
      <c r="R59" s="124"/>
      <c r="S59" s="124"/>
      <c r="T59" s="124"/>
    </row>
    <row r="60" spans="1:20">
      <c r="A60" s="189" t="s">
        <v>223</v>
      </c>
      <c r="B60" s="188">
        <f>C60+E60+G60+I60+K60+M60+O60</f>
        <v>404002</v>
      </c>
      <c r="C60" s="161">
        <f>SUM(C62:C64)</f>
        <v>26560</v>
      </c>
      <c r="D60" s="161">
        <f t="shared" ref="D60:P60" si="10">SUM(D62:D64)</f>
        <v>10219.825000000001</v>
      </c>
      <c r="E60" s="161">
        <f t="shared" si="10"/>
        <v>55703</v>
      </c>
      <c r="F60" s="161">
        <f t="shared" si="10"/>
        <v>22678.128000000001</v>
      </c>
      <c r="G60" s="163">
        <f t="shared" si="10"/>
        <v>20811</v>
      </c>
      <c r="H60" s="161">
        <f t="shared" si="10"/>
        <v>8263.11</v>
      </c>
      <c r="I60" s="161">
        <f t="shared" si="10"/>
        <v>225216</v>
      </c>
      <c r="J60" s="161">
        <f t="shared" si="10"/>
        <v>222953.09699999998</v>
      </c>
      <c r="K60" s="161">
        <f t="shared" si="10"/>
        <v>55820</v>
      </c>
      <c r="L60" s="161">
        <f t="shared" si="10"/>
        <v>46452.243999999999</v>
      </c>
      <c r="M60" s="161">
        <f t="shared" si="10"/>
        <v>18458</v>
      </c>
      <c r="N60" s="161">
        <f t="shared" si="10"/>
        <v>8193.5479999999989</v>
      </c>
      <c r="O60" s="161">
        <f t="shared" si="10"/>
        <v>1434</v>
      </c>
      <c r="P60" s="218">
        <f t="shared" si="10"/>
        <v>960.48</v>
      </c>
      <c r="Q60" s="165" t="s">
        <v>224</v>
      </c>
      <c r="R60" s="165"/>
      <c r="S60" s="165"/>
      <c r="T60" s="124"/>
    </row>
    <row r="61" spans="1:20">
      <c r="A61" s="189"/>
      <c r="B61" s="188"/>
      <c r="C61" s="161"/>
      <c r="D61" s="161"/>
      <c r="E61" s="161"/>
      <c r="F61" s="161"/>
      <c r="G61" s="163"/>
      <c r="H61" s="161"/>
      <c r="I61" s="161"/>
      <c r="J61" s="161"/>
      <c r="K61" s="161"/>
      <c r="L61" s="161"/>
      <c r="M61" s="161"/>
      <c r="N61" s="161"/>
      <c r="O61" s="161"/>
      <c r="P61" s="218"/>
      <c r="Q61" s="165"/>
      <c r="R61" s="165"/>
      <c r="S61" s="165"/>
      <c r="T61" s="124"/>
    </row>
    <row r="62" spans="1:20">
      <c r="A62" s="126" t="s">
        <v>83</v>
      </c>
      <c r="B62" s="146">
        <f>SUM(C62,E62,G62,I62,K62,M62,O62)</f>
        <v>69212</v>
      </c>
      <c r="C62" s="143">
        <v>11274</v>
      </c>
      <c r="D62" s="143">
        <v>3559.65</v>
      </c>
      <c r="E62" s="143">
        <v>17824</v>
      </c>
      <c r="F62" s="143">
        <v>5836.32</v>
      </c>
      <c r="G62" s="141">
        <v>9597</v>
      </c>
      <c r="H62" s="143">
        <v>3474.3</v>
      </c>
      <c r="I62" s="143">
        <v>15882</v>
      </c>
      <c r="J62" s="143">
        <v>13559.8</v>
      </c>
      <c r="K62" s="143">
        <v>6314</v>
      </c>
      <c r="L62" s="143">
        <v>4053.55</v>
      </c>
      <c r="M62" s="143">
        <v>7774</v>
      </c>
      <c r="N62" s="143">
        <v>3279.5</v>
      </c>
      <c r="O62" s="143">
        <v>547</v>
      </c>
      <c r="P62" s="220">
        <v>218.4</v>
      </c>
      <c r="Q62" s="127" t="s">
        <v>225</v>
      </c>
      <c r="R62" s="124"/>
      <c r="S62" s="124"/>
      <c r="T62" s="124"/>
    </row>
    <row r="63" spans="1:20">
      <c r="A63" s="126" t="s">
        <v>85</v>
      </c>
      <c r="B63" s="146">
        <f>SUM(C63,E63,G63,I63,K63,M63,O63)</f>
        <v>233908</v>
      </c>
      <c r="C63" s="143">
        <v>1254</v>
      </c>
      <c r="D63" s="143">
        <v>431.5</v>
      </c>
      <c r="E63" s="143">
        <v>6139</v>
      </c>
      <c r="F63" s="143">
        <v>2711.13</v>
      </c>
      <c r="G63" s="141">
        <v>1756</v>
      </c>
      <c r="H63" s="143">
        <v>624.39</v>
      </c>
      <c r="I63" s="143">
        <v>184676</v>
      </c>
      <c r="J63" s="143">
        <v>187141.397</v>
      </c>
      <c r="K63" s="143">
        <v>35551</v>
      </c>
      <c r="L63" s="143">
        <v>34902.31</v>
      </c>
      <c r="M63" s="143">
        <v>4425</v>
      </c>
      <c r="N63" s="143">
        <v>1928</v>
      </c>
      <c r="O63" s="143">
        <v>107</v>
      </c>
      <c r="P63" s="220">
        <v>35.58</v>
      </c>
      <c r="Q63" s="162" t="s">
        <v>226</v>
      </c>
      <c r="R63" s="186"/>
      <c r="S63" s="186"/>
      <c r="T63" s="124"/>
    </row>
    <row r="64" spans="1:20">
      <c r="A64" s="126" t="s">
        <v>88</v>
      </c>
      <c r="B64" s="146">
        <f>SUM(C64,E64,G64,I64,K64,M64,O64)</f>
        <v>100882</v>
      </c>
      <c r="C64" s="143">
        <v>14032</v>
      </c>
      <c r="D64" s="143">
        <v>6228.6750000000002</v>
      </c>
      <c r="E64" s="143">
        <v>31740</v>
      </c>
      <c r="F64" s="143">
        <v>14130.678</v>
      </c>
      <c r="G64" s="141">
        <v>9458</v>
      </c>
      <c r="H64" s="143">
        <v>4164.42</v>
      </c>
      <c r="I64" s="143">
        <v>24658</v>
      </c>
      <c r="J64" s="143">
        <v>22251.9</v>
      </c>
      <c r="K64" s="143">
        <v>13955</v>
      </c>
      <c r="L64" s="143">
        <v>7496.384</v>
      </c>
      <c r="M64" s="143">
        <v>6259</v>
      </c>
      <c r="N64" s="143">
        <v>2986.0479999999998</v>
      </c>
      <c r="O64" s="143">
        <v>780</v>
      </c>
      <c r="P64" s="220">
        <v>706.5</v>
      </c>
      <c r="Q64" s="127" t="s">
        <v>227</v>
      </c>
      <c r="R64" s="124"/>
      <c r="S64" s="124"/>
      <c r="T64" s="124"/>
    </row>
    <row r="65" spans="1:20">
      <c r="A65" s="189" t="s">
        <v>228</v>
      </c>
      <c r="B65" s="188">
        <f>C65+E65+G65+I65+K65+M65+O65</f>
        <v>141385</v>
      </c>
      <c r="C65" s="161">
        <f>SUM(C67:C71)</f>
        <v>33943</v>
      </c>
      <c r="D65" s="161">
        <f t="shared" ref="D65:P65" si="11">SUM(D67:D71)</f>
        <v>11653.369000000001</v>
      </c>
      <c r="E65" s="161">
        <f t="shared" si="11"/>
        <v>43471</v>
      </c>
      <c r="F65" s="161">
        <f t="shared" si="11"/>
        <v>14273.07</v>
      </c>
      <c r="G65" s="163">
        <f t="shared" si="11"/>
        <v>19866</v>
      </c>
      <c r="H65" s="161">
        <f t="shared" si="11"/>
        <v>6543.2119999999995</v>
      </c>
      <c r="I65" s="161">
        <f t="shared" si="11"/>
        <v>19553</v>
      </c>
      <c r="J65" s="161">
        <f t="shared" si="11"/>
        <v>20570.400000000001</v>
      </c>
      <c r="K65" s="161">
        <f t="shared" si="11"/>
        <v>8833</v>
      </c>
      <c r="L65" s="161">
        <f t="shared" si="11"/>
        <v>5891.75</v>
      </c>
      <c r="M65" s="161">
        <f t="shared" si="11"/>
        <v>14135</v>
      </c>
      <c r="N65" s="161">
        <f t="shared" si="11"/>
        <v>4695.93</v>
      </c>
      <c r="O65" s="161">
        <f t="shared" si="11"/>
        <v>1584</v>
      </c>
      <c r="P65" s="218">
        <f t="shared" si="11"/>
        <v>599.34500000000003</v>
      </c>
      <c r="Q65" s="165" t="s">
        <v>229</v>
      </c>
      <c r="R65" s="165"/>
      <c r="S65" s="165"/>
      <c r="T65" s="124"/>
    </row>
    <row r="66" spans="1:20">
      <c r="A66" s="189"/>
      <c r="B66" s="188"/>
      <c r="C66" s="161"/>
      <c r="D66" s="161"/>
      <c r="E66" s="161"/>
      <c r="F66" s="161"/>
      <c r="G66" s="163"/>
      <c r="H66" s="161"/>
      <c r="I66" s="161"/>
      <c r="J66" s="161"/>
      <c r="K66" s="161"/>
      <c r="L66" s="161"/>
      <c r="M66" s="161"/>
      <c r="N66" s="161"/>
      <c r="O66" s="161"/>
      <c r="P66" s="218"/>
      <c r="Q66" s="165"/>
      <c r="R66" s="165"/>
      <c r="S66" s="165"/>
      <c r="T66" s="124"/>
    </row>
    <row r="67" spans="1:20">
      <c r="A67" s="126" t="s">
        <v>90</v>
      </c>
      <c r="B67" s="146">
        <f>SUM(C67,E67,G67,I67,K67,M67,O67)</f>
        <v>39115</v>
      </c>
      <c r="C67" s="143">
        <v>12455</v>
      </c>
      <c r="D67" s="143">
        <v>4106.72</v>
      </c>
      <c r="E67" s="143">
        <v>14375</v>
      </c>
      <c r="F67" s="143">
        <v>4598.5550000000003</v>
      </c>
      <c r="G67" s="141">
        <v>5701</v>
      </c>
      <c r="H67" s="143">
        <v>1809.75</v>
      </c>
      <c r="I67" s="143">
        <v>2993</v>
      </c>
      <c r="J67" s="143">
        <v>2824.2</v>
      </c>
      <c r="K67" s="143">
        <v>1254</v>
      </c>
      <c r="L67" s="143">
        <v>821.1</v>
      </c>
      <c r="M67" s="143">
        <v>1524</v>
      </c>
      <c r="N67" s="143">
        <v>431</v>
      </c>
      <c r="O67" s="143">
        <v>813</v>
      </c>
      <c r="P67" s="220">
        <v>317</v>
      </c>
      <c r="Q67" s="127" t="s">
        <v>230</v>
      </c>
      <c r="R67" s="124"/>
      <c r="S67" s="124"/>
      <c r="T67" s="124"/>
    </row>
    <row r="68" spans="1:20">
      <c r="A68" s="126" t="s">
        <v>92</v>
      </c>
      <c r="B68" s="146">
        <f>SUM(C68,E68,G68,I68,K68,M68,O68)</f>
        <v>26711</v>
      </c>
      <c r="C68" s="143">
        <v>7422</v>
      </c>
      <c r="D68" s="143">
        <v>2585.85</v>
      </c>
      <c r="E68" s="143">
        <v>12341</v>
      </c>
      <c r="F68" s="143">
        <v>3436.1</v>
      </c>
      <c r="G68" s="141">
        <v>5013</v>
      </c>
      <c r="H68" s="143">
        <v>1208.8499999999999</v>
      </c>
      <c r="I68" s="143">
        <v>915</v>
      </c>
      <c r="J68" s="143">
        <v>984.5</v>
      </c>
      <c r="K68" s="143">
        <v>920</v>
      </c>
      <c r="L68" s="143">
        <v>812</v>
      </c>
      <c r="M68" s="143">
        <v>10</v>
      </c>
      <c r="N68" s="143">
        <v>4</v>
      </c>
      <c r="O68" s="143">
        <v>90</v>
      </c>
      <c r="P68" s="220">
        <v>22.5</v>
      </c>
      <c r="Q68" s="127" t="s">
        <v>231</v>
      </c>
      <c r="R68" s="124"/>
      <c r="S68" s="124"/>
      <c r="T68" s="124"/>
    </row>
    <row r="69" spans="1:20">
      <c r="A69" s="126" t="s">
        <v>94</v>
      </c>
      <c r="B69" s="146">
        <f>SUM(C69,E69,G69,I69,K69,M69,O69)</f>
        <v>15026</v>
      </c>
      <c r="C69" s="143">
        <v>3890</v>
      </c>
      <c r="D69" s="143">
        <v>1375.3050000000001</v>
      </c>
      <c r="E69" s="143">
        <v>4571</v>
      </c>
      <c r="F69" s="143">
        <v>1584.46</v>
      </c>
      <c r="G69" s="141">
        <v>3448</v>
      </c>
      <c r="H69" s="143">
        <v>1451.28</v>
      </c>
      <c r="I69" s="143">
        <v>1447</v>
      </c>
      <c r="J69" s="143">
        <v>1204.0999999999999</v>
      </c>
      <c r="K69" s="143">
        <v>1211</v>
      </c>
      <c r="L69" s="143">
        <v>845</v>
      </c>
      <c r="M69" s="144"/>
      <c r="N69" s="143">
        <v>0</v>
      </c>
      <c r="O69" s="143">
        <v>459</v>
      </c>
      <c r="P69" s="220">
        <v>126.94499999999999</v>
      </c>
      <c r="Q69" s="127" t="s">
        <v>232</v>
      </c>
      <c r="R69" s="124"/>
      <c r="S69" s="124"/>
      <c r="T69" s="124"/>
    </row>
    <row r="70" spans="1:20">
      <c r="A70" s="126" t="s">
        <v>97</v>
      </c>
      <c r="B70" s="146">
        <f>SUM(C70,E70,G70,I70,K70,M70,O70)</f>
        <v>21750</v>
      </c>
      <c r="C70" s="143">
        <v>5320</v>
      </c>
      <c r="D70" s="143">
        <v>2166.83</v>
      </c>
      <c r="E70" s="143">
        <v>5018</v>
      </c>
      <c r="F70" s="143">
        <v>2576.424</v>
      </c>
      <c r="G70" s="141">
        <v>2162</v>
      </c>
      <c r="H70" s="143">
        <v>1032.8119999999999</v>
      </c>
      <c r="I70" s="143">
        <v>6569</v>
      </c>
      <c r="J70" s="143">
        <v>6581.9</v>
      </c>
      <c r="K70" s="143">
        <v>653</v>
      </c>
      <c r="L70" s="143">
        <v>477.9</v>
      </c>
      <c r="M70" s="143">
        <v>1896</v>
      </c>
      <c r="N70" s="143">
        <v>452.6</v>
      </c>
      <c r="O70" s="143">
        <v>132</v>
      </c>
      <c r="P70" s="220">
        <v>98.2</v>
      </c>
      <c r="Q70" s="127" t="s">
        <v>233</v>
      </c>
      <c r="R70" s="124"/>
      <c r="S70" s="124"/>
      <c r="T70" s="124"/>
    </row>
    <row r="71" spans="1:20">
      <c r="A71" s="126" t="s">
        <v>99</v>
      </c>
      <c r="B71" s="146">
        <f>SUM(C71,E71,G71,I71,K71,M71,O71)</f>
        <v>38783</v>
      </c>
      <c r="C71" s="143">
        <v>4856</v>
      </c>
      <c r="D71" s="143">
        <v>1418.664</v>
      </c>
      <c r="E71" s="143">
        <v>7166</v>
      </c>
      <c r="F71" s="143">
        <v>2077.5309999999999</v>
      </c>
      <c r="G71" s="141">
        <v>3542</v>
      </c>
      <c r="H71" s="143">
        <v>1040.52</v>
      </c>
      <c r="I71" s="143">
        <v>7629</v>
      </c>
      <c r="J71" s="143">
        <v>8975.7000000000007</v>
      </c>
      <c r="K71" s="143">
        <v>4795</v>
      </c>
      <c r="L71" s="143">
        <v>2935.75</v>
      </c>
      <c r="M71" s="143">
        <v>10705</v>
      </c>
      <c r="N71" s="143">
        <v>3808.33</v>
      </c>
      <c r="O71" s="143">
        <v>90</v>
      </c>
      <c r="P71" s="220">
        <v>34.700000000000003</v>
      </c>
      <c r="Q71" s="127" t="s">
        <v>234</v>
      </c>
      <c r="R71" s="124"/>
      <c r="S71" s="124"/>
      <c r="T71" s="124"/>
    </row>
    <row r="72" spans="1:20">
      <c r="A72" s="187" t="s">
        <v>235</v>
      </c>
      <c r="B72" s="188">
        <f>C72+E72+G72+I72+K72+M72+O72</f>
        <v>8908</v>
      </c>
      <c r="C72" s="161">
        <f>SUM(C74:C81)</f>
        <v>2907</v>
      </c>
      <c r="D72" s="161">
        <f t="shared" ref="D72:P72" si="12">SUM(D74:D81)</f>
        <v>851.66</v>
      </c>
      <c r="E72" s="161">
        <f t="shared" si="12"/>
        <v>3469</v>
      </c>
      <c r="F72" s="161">
        <f t="shared" si="12"/>
        <v>1274.2840000000001</v>
      </c>
      <c r="G72" s="163">
        <f t="shared" si="12"/>
        <v>2243</v>
      </c>
      <c r="H72" s="161">
        <f t="shared" si="12"/>
        <v>703.62900000000002</v>
      </c>
      <c r="I72" s="161">
        <f t="shared" si="12"/>
        <v>6</v>
      </c>
      <c r="J72" s="161">
        <f t="shared" si="12"/>
        <v>6</v>
      </c>
      <c r="K72" s="161">
        <f t="shared" si="12"/>
        <v>163</v>
      </c>
      <c r="L72" s="161">
        <f t="shared" si="12"/>
        <v>56.23</v>
      </c>
      <c r="M72" s="161">
        <f t="shared" si="12"/>
        <v>110</v>
      </c>
      <c r="N72" s="161">
        <f t="shared" si="12"/>
        <v>27.6</v>
      </c>
      <c r="O72" s="161">
        <f t="shared" si="12"/>
        <v>10</v>
      </c>
      <c r="P72" s="218">
        <f t="shared" si="12"/>
        <v>7</v>
      </c>
      <c r="Q72" s="167" t="s">
        <v>236</v>
      </c>
      <c r="R72" s="167"/>
      <c r="S72" s="167"/>
      <c r="T72" s="124"/>
    </row>
    <row r="73" spans="1:20">
      <c r="A73" s="187"/>
      <c r="B73" s="188"/>
      <c r="C73" s="161"/>
      <c r="D73" s="161"/>
      <c r="E73" s="161"/>
      <c r="F73" s="161"/>
      <c r="G73" s="163"/>
      <c r="H73" s="161"/>
      <c r="I73" s="161"/>
      <c r="J73" s="161"/>
      <c r="K73" s="161"/>
      <c r="L73" s="161"/>
      <c r="M73" s="161"/>
      <c r="N73" s="161"/>
      <c r="O73" s="161"/>
      <c r="P73" s="218"/>
      <c r="Q73" s="167"/>
      <c r="R73" s="167"/>
      <c r="S73" s="167"/>
      <c r="T73" s="124"/>
    </row>
    <row r="74" spans="1:20">
      <c r="A74" s="128" t="s">
        <v>274</v>
      </c>
      <c r="B74" s="146">
        <f t="shared" ref="B74:B81" si="13">SUM(C74,E74,G74,I74,K74,M74,O74)</f>
        <v>0</v>
      </c>
      <c r="C74" s="140" t="s">
        <v>289</v>
      </c>
      <c r="D74" s="140" t="s">
        <v>289</v>
      </c>
      <c r="E74" s="140" t="s">
        <v>289</v>
      </c>
      <c r="F74" s="140" t="s">
        <v>289</v>
      </c>
      <c r="G74" s="139" t="s">
        <v>289</v>
      </c>
      <c r="H74" s="140" t="s">
        <v>289</v>
      </c>
      <c r="I74" s="140" t="s">
        <v>289</v>
      </c>
      <c r="J74" s="140" t="s">
        <v>289</v>
      </c>
      <c r="K74" s="140" t="s">
        <v>289</v>
      </c>
      <c r="L74" s="140" t="s">
        <v>289</v>
      </c>
      <c r="M74" s="140" t="s">
        <v>289</v>
      </c>
      <c r="N74" s="140" t="s">
        <v>289</v>
      </c>
      <c r="O74" s="140" t="s">
        <v>289</v>
      </c>
      <c r="P74" s="222" t="s">
        <v>289</v>
      </c>
      <c r="Q74" s="162" t="s">
        <v>237</v>
      </c>
      <c r="R74" s="162"/>
      <c r="S74" s="162"/>
      <c r="T74" s="162"/>
    </row>
    <row r="75" spans="1:20">
      <c r="A75" s="129" t="s">
        <v>275</v>
      </c>
      <c r="B75" s="146">
        <f t="shared" si="13"/>
        <v>0</v>
      </c>
      <c r="C75" s="140" t="s">
        <v>289</v>
      </c>
      <c r="D75" s="140" t="s">
        <v>289</v>
      </c>
      <c r="E75" s="140" t="s">
        <v>289</v>
      </c>
      <c r="F75" s="140" t="s">
        <v>289</v>
      </c>
      <c r="G75" s="139" t="s">
        <v>289</v>
      </c>
      <c r="H75" s="140" t="s">
        <v>289</v>
      </c>
      <c r="I75" s="140" t="s">
        <v>289</v>
      </c>
      <c r="J75" s="140" t="s">
        <v>289</v>
      </c>
      <c r="K75" s="140" t="s">
        <v>289</v>
      </c>
      <c r="L75" s="140" t="s">
        <v>289</v>
      </c>
      <c r="M75" s="140" t="s">
        <v>289</v>
      </c>
      <c r="N75" s="140" t="s">
        <v>289</v>
      </c>
      <c r="O75" s="140" t="s">
        <v>289</v>
      </c>
      <c r="P75" s="222" t="s">
        <v>289</v>
      </c>
      <c r="Q75" s="162" t="s">
        <v>238</v>
      </c>
      <c r="R75" s="162"/>
      <c r="S75" s="162"/>
      <c r="T75" s="162"/>
    </row>
    <row r="76" spans="1:20">
      <c r="A76" s="126" t="s">
        <v>106</v>
      </c>
      <c r="B76" s="146">
        <f t="shared" si="13"/>
        <v>0</v>
      </c>
      <c r="C76" s="140" t="s">
        <v>289</v>
      </c>
      <c r="D76" s="140" t="s">
        <v>289</v>
      </c>
      <c r="E76" s="140" t="s">
        <v>289</v>
      </c>
      <c r="F76" s="140" t="s">
        <v>289</v>
      </c>
      <c r="G76" s="139" t="s">
        <v>289</v>
      </c>
      <c r="H76" s="140" t="s">
        <v>289</v>
      </c>
      <c r="I76" s="140" t="s">
        <v>289</v>
      </c>
      <c r="J76" s="140" t="s">
        <v>289</v>
      </c>
      <c r="K76" s="140" t="s">
        <v>289</v>
      </c>
      <c r="L76" s="140" t="s">
        <v>289</v>
      </c>
      <c r="M76" s="140" t="s">
        <v>289</v>
      </c>
      <c r="N76" s="140" t="s">
        <v>289</v>
      </c>
      <c r="O76" s="140" t="s">
        <v>289</v>
      </c>
      <c r="P76" s="222" t="s">
        <v>289</v>
      </c>
      <c r="Q76" s="162" t="s">
        <v>239</v>
      </c>
      <c r="R76" s="162"/>
      <c r="S76" s="162"/>
      <c r="T76" s="162"/>
    </row>
    <row r="77" spans="1:20">
      <c r="A77" s="126" t="s">
        <v>108</v>
      </c>
      <c r="B77" s="146">
        <f t="shared" si="13"/>
        <v>0</v>
      </c>
      <c r="C77" s="140" t="s">
        <v>289</v>
      </c>
      <c r="D77" s="140" t="s">
        <v>289</v>
      </c>
      <c r="E77" s="140" t="s">
        <v>289</v>
      </c>
      <c r="F77" s="140" t="s">
        <v>289</v>
      </c>
      <c r="G77" s="139" t="s">
        <v>289</v>
      </c>
      <c r="H77" s="140" t="s">
        <v>289</v>
      </c>
      <c r="I77" s="140" t="s">
        <v>289</v>
      </c>
      <c r="J77" s="140" t="s">
        <v>289</v>
      </c>
      <c r="K77" s="140" t="s">
        <v>289</v>
      </c>
      <c r="L77" s="140" t="s">
        <v>289</v>
      </c>
      <c r="M77" s="140" t="s">
        <v>289</v>
      </c>
      <c r="N77" s="140" t="s">
        <v>289</v>
      </c>
      <c r="O77" s="140" t="s">
        <v>289</v>
      </c>
      <c r="P77" s="222" t="s">
        <v>289</v>
      </c>
      <c r="Q77" s="162" t="s">
        <v>240</v>
      </c>
      <c r="R77" s="162"/>
      <c r="S77" s="162"/>
      <c r="T77" s="162"/>
    </row>
    <row r="78" spans="1:20">
      <c r="A78" s="126" t="s">
        <v>110</v>
      </c>
      <c r="B78" s="146">
        <f t="shared" si="13"/>
        <v>2328</v>
      </c>
      <c r="C78" s="143">
        <v>731</v>
      </c>
      <c r="D78" s="143">
        <v>299</v>
      </c>
      <c r="E78" s="143">
        <v>1220</v>
      </c>
      <c r="F78" s="143">
        <v>628</v>
      </c>
      <c r="G78" s="141">
        <v>302</v>
      </c>
      <c r="H78" s="143">
        <v>135</v>
      </c>
      <c r="I78" s="140">
        <v>0</v>
      </c>
      <c r="J78" s="140">
        <v>0</v>
      </c>
      <c r="K78" s="143">
        <v>30</v>
      </c>
      <c r="L78" s="143">
        <v>20</v>
      </c>
      <c r="M78" s="143">
        <v>40</v>
      </c>
      <c r="N78" s="143">
        <v>15</v>
      </c>
      <c r="O78" s="143">
        <v>5</v>
      </c>
      <c r="P78" s="220">
        <v>2</v>
      </c>
      <c r="Q78" s="162" t="s">
        <v>241</v>
      </c>
      <c r="R78" s="162"/>
      <c r="S78" s="162"/>
      <c r="T78" s="162"/>
    </row>
    <row r="79" spans="1:20">
      <c r="A79" s="126" t="s">
        <v>113</v>
      </c>
      <c r="B79" s="146">
        <f t="shared" si="13"/>
        <v>4220</v>
      </c>
      <c r="C79" s="143">
        <v>1410</v>
      </c>
      <c r="D79" s="143">
        <v>401.4</v>
      </c>
      <c r="E79" s="143">
        <v>1480</v>
      </c>
      <c r="F79" s="143">
        <v>430</v>
      </c>
      <c r="G79" s="141">
        <v>1330</v>
      </c>
      <c r="H79" s="143">
        <v>462</v>
      </c>
      <c r="I79" s="140" t="s">
        <v>289</v>
      </c>
      <c r="J79" s="140" t="s">
        <v>289</v>
      </c>
      <c r="K79" s="140" t="s">
        <v>289</v>
      </c>
      <c r="L79" s="140" t="s">
        <v>289</v>
      </c>
      <c r="M79" s="140" t="s">
        <v>289</v>
      </c>
      <c r="N79" s="140" t="s">
        <v>289</v>
      </c>
      <c r="O79" s="140" t="s">
        <v>289</v>
      </c>
      <c r="P79" s="222" t="s">
        <v>289</v>
      </c>
      <c r="Q79" s="162" t="s">
        <v>242</v>
      </c>
      <c r="R79" s="162"/>
      <c r="S79" s="162"/>
      <c r="T79" s="162"/>
    </row>
    <row r="80" spans="1:20">
      <c r="A80" s="126" t="s">
        <v>115</v>
      </c>
      <c r="B80" s="146">
        <f t="shared" si="13"/>
        <v>0</v>
      </c>
      <c r="C80" s="140" t="s">
        <v>289</v>
      </c>
      <c r="D80" s="140" t="s">
        <v>289</v>
      </c>
      <c r="E80" s="140" t="s">
        <v>289</v>
      </c>
      <c r="F80" s="140" t="s">
        <v>289</v>
      </c>
      <c r="G80" s="139" t="s">
        <v>289</v>
      </c>
      <c r="H80" s="140" t="s">
        <v>289</v>
      </c>
      <c r="I80" s="140" t="s">
        <v>289</v>
      </c>
      <c r="J80" s="140" t="s">
        <v>289</v>
      </c>
      <c r="K80" s="140" t="s">
        <v>289</v>
      </c>
      <c r="L80" s="140" t="s">
        <v>289</v>
      </c>
      <c r="M80" s="140" t="s">
        <v>289</v>
      </c>
      <c r="N80" s="140" t="s">
        <v>289</v>
      </c>
      <c r="O80" s="140" t="s">
        <v>289</v>
      </c>
      <c r="P80" s="222" t="s">
        <v>289</v>
      </c>
      <c r="Q80" s="162" t="s">
        <v>243</v>
      </c>
      <c r="R80" s="162"/>
      <c r="S80" s="162"/>
      <c r="T80" s="162"/>
    </row>
    <row r="81" spans="1:20">
      <c r="A81" s="126" t="s">
        <v>117</v>
      </c>
      <c r="B81" s="146">
        <f t="shared" si="13"/>
        <v>2360</v>
      </c>
      <c r="C81" s="143">
        <v>766</v>
      </c>
      <c r="D81" s="143">
        <v>151.26</v>
      </c>
      <c r="E81" s="143">
        <v>769</v>
      </c>
      <c r="F81" s="143">
        <v>216.28399999999999</v>
      </c>
      <c r="G81" s="141">
        <v>611</v>
      </c>
      <c r="H81" s="143">
        <v>106.629</v>
      </c>
      <c r="I81" s="143">
        <v>6</v>
      </c>
      <c r="J81" s="143">
        <v>6</v>
      </c>
      <c r="K81" s="143">
        <v>133</v>
      </c>
      <c r="L81" s="143">
        <v>36.229999999999997</v>
      </c>
      <c r="M81" s="143">
        <v>70</v>
      </c>
      <c r="N81" s="143">
        <v>12.6</v>
      </c>
      <c r="O81" s="143">
        <v>5</v>
      </c>
      <c r="P81" s="220">
        <v>5</v>
      </c>
      <c r="Q81" s="162" t="s">
        <v>244</v>
      </c>
      <c r="R81" s="162"/>
      <c r="S81" s="162"/>
      <c r="T81" s="162"/>
    </row>
    <row r="82" spans="1:20" ht="13.8">
      <c r="A82" s="187" t="s">
        <v>245</v>
      </c>
      <c r="B82" s="188">
        <f>C82+E82+G82+I82+K82+M82+O82</f>
        <v>36451</v>
      </c>
      <c r="C82" s="161">
        <f>SUM(C84:C88)</f>
        <v>6316</v>
      </c>
      <c r="D82" s="161">
        <f t="shared" ref="D82:P82" si="14">SUM(D84:D88)</f>
        <v>1579.0160000000001</v>
      </c>
      <c r="E82" s="161">
        <f t="shared" si="14"/>
        <v>5246</v>
      </c>
      <c r="F82" s="161">
        <f t="shared" si="14"/>
        <v>1542.0959999999998</v>
      </c>
      <c r="G82" s="163">
        <f t="shared" si="14"/>
        <v>8783</v>
      </c>
      <c r="H82" s="161">
        <f t="shared" si="14"/>
        <v>2103.6</v>
      </c>
      <c r="I82" s="161">
        <f t="shared" si="14"/>
        <v>8345</v>
      </c>
      <c r="J82" s="161">
        <f t="shared" si="14"/>
        <v>5275.38</v>
      </c>
      <c r="K82" s="161">
        <f t="shared" si="14"/>
        <v>4483</v>
      </c>
      <c r="L82" s="161">
        <f t="shared" si="14"/>
        <v>2425.5299999999997</v>
      </c>
      <c r="M82" s="161">
        <f t="shared" si="14"/>
        <v>2427</v>
      </c>
      <c r="N82" s="161">
        <f t="shared" si="14"/>
        <v>724.8</v>
      </c>
      <c r="O82" s="161">
        <f t="shared" si="14"/>
        <v>851</v>
      </c>
      <c r="P82" s="218">
        <f t="shared" si="14"/>
        <v>333.67</v>
      </c>
      <c r="Q82" s="165" t="s">
        <v>246</v>
      </c>
      <c r="R82" s="165"/>
      <c r="S82" s="165"/>
      <c r="T82" s="130"/>
    </row>
    <row r="83" spans="1:20" ht="13.8">
      <c r="A83" s="187"/>
      <c r="B83" s="188"/>
      <c r="C83" s="161"/>
      <c r="D83" s="161"/>
      <c r="E83" s="161"/>
      <c r="F83" s="161"/>
      <c r="G83" s="163"/>
      <c r="H83" s="161"/>
      <c r="I83" s="161"/>
      <c r="J83" s="161"/>
      <c r="K83" s="161"/>
      <c r="L83" s="161"/>
      <c r="M83" s="161"/>
      <c r="N83" s="161"/>
      <c r="O83" s="161"/>
      <c r="P83" s="218"/>
      <c r="Q83" s="165"/>
      <c r="R83" s="165"/>
      <c r="S83" s="165"/>
      <c r="T83" s="130"/>
    </row>
    <row r="84" spans="1:20">
      <c r="A84" s="126" t="s">
        <v>119</v>
      </c>
      <c r="B84" s="146">
        <f>SUM(C84,E84,G84,I84,K84,M84,O84)</f>
        <v>18213</v>
      </c>
      <c r="C84" s="143">
        <v>1771</v>
      </c>
      <c r="D84" s="143">
        <v>621.44000000000005</v>
      </c>
      <c r="E84" s="143">
        <v>1658</v>
      </c>
      <c r="F84" s="143">
        <v>649.66999999999996</v>
      </c>
      <c r="G84" s="141">
        <v>1744</v>
      </c>
      <c r="H84" s="143">
        <v>400.72</v>
      </c>
      <c r="I84" s="143">
        <v>7382</v>
      </c>
      <c r="J84" s="143">
        <v>4794.7</v>
      </c>
      <c r="K84" s="143">
        <v>3174</v>
      </c>
      <c r="L84" s="143">
        <v>1780.45</v>
      </c>
      <c r="M84" s="143">
        <v>2089</v>
      </c>
      <c r="N84" s="143">
        <v>659.3</v>
      </c>
      <c r="O84" s="143">
        <v>395</v>
      </c>
      <c r="P84" s="220">
        <v>225.5</v>
      </c>
      <c r="Q84" s="127" t="s">
        <v>247</v>
      </c>
      <c r="R84" s="124"/>
      <c r="S84" s="124"/>
      <c r="T84" s="124"/>
    </row>
    <row r="85" spans="1:20">
      <c r="A85" s="126" t="s">
        <v>122</v>
      </c>
      <c r="B85" s="146">
        <f>SUM(C85,E85,G85,I85,K85,M85,O85)</f>
        <v>3492</v>
      </c>
      <c r="C85" s="143">
        <v>804</v>
      </c>
      <c r="D85" s="143">
        <v>111.15</v>
      </c>
      <c r="E85" s="143">
        <v>847</v>
      </c>
      <c r="F85" s="143">
        <v>139.9</v>
      </c>
      <c r="G85" s="141">
        <v>1534</v>
      </c>
      <c r="H85" s="143">
        <v>428.53</v>
      </c>
      <c r="I85" s="143">
        <v>27</v>
      </c>
      <c r="J85" s="143">
        <v>12.55</v>
      </c>
      <c r="K85" s="143">
        <v>90</v>
      </c>
      <c r="L85" s="143">
        <v>39</v>
      </c>
      <c r="M85" s="143">
        <v>170</v>
      </c>
      <c r="N85" s="143">
        <v>25.5</v>
      </c>
      <c r="O85" s="143">
        <v>20</v>
      </c>
      <c r="P85" s="220">
        <v>5</v>
      </c>
      <c r="Q85" s="127" t="s">
        <v>248</v>
      </c>
      <c r="R85" s="124"/>
      <c r="S85" s="124"/>
      <c r="T85" s="124"/>
    </row>
    <row r="86" spans="1:20">
      <c r="A86" s="126" t="s">
        <v>124</v>
      </c>
      <c r="B86" s="146">
        <f>SUM(C86,E86,G86,I86,K86,M86,O86)</f>
        <v>9929</v>
      </c>
      <c r="C86" s="143">
        <v>2895</v>
      </c>
      <c r="D86" s="143">
        <v>553.6</v>
      </c>
      <c r="E86" s="143">
        <v>1497</v>
      </c>
      <c r="F86" s="143">
        <v>344.37599999999998</v>
      </c>
      <c r="G86" s="141">
        <v>3675</v>
      </c>
      <c r="H86" s="143">
        <v>860.7</v>
      </c>
      <c r="I86" s="143">
        <v>804</v>
      </c>
      <c r="J86" s="143">
        <v>403.33</v>
      </c>
      <c r="K86" s="143">
        <v>768</v>
      </c>
      <c r="L86" s="143">
        <v>566.38</v>
      </c>
      <c r="M86" s="144"/>
      <c r="N86" s="143">
        <v>0</v>
      </c>
      <c r="O86" s="143">
        <v>290</v>
      </c>
      <c r="P86" s="220">
        <v>84.5</v>
      </c>
      <c r="Q86" s="127" t="s">
        <v>249</v>
      </c>
      <c r="R86" s="124"/>
      <c r="S86" s="124"/>
      <c r="T86" s="124"/>
    </row>
    <row r="87" spans="1:20">
      <c r="A87" s="126" t="s">
        <v>127</v>
      </c>
      <c r="B87" s="146">
        <f>SUM(C87,E87,G87,I87,K87,M87,O87)</f>
        <v>2498</v>
      </c>
      <c r="C87" s="143">
        <v>113</v>
      </c>
      <c r="D87" s="143">
        <v>28.376000000000001</v>
      </c>
      <c r="E87" s="143">
        <v>545</v>
      </c>
      <c r="F87" s="143">
        <v>196.3</v>
      </c>
      <c r="G87" s="141">
        <v>1058</v>
      </c>
      <c r="H87" s="143">
        <v>161.80000000000001</v>
      </c>
      <c r="I87" s="143">
        <v>132</v>
      </c>
      <c r="J87" s="143">
        <v>64.8</v>
      </c>
      <c r="K87" s="143">
        <v>451</v>
      </c>
      <c r="L87" s="143">
        <v>39.700000000000003</v>
      </c>
      <c r="M87" s="143">
        <v>168</v>
      </c>
      <c r="N87" s="143">
        <v>40</v>
      </c>
      <c r="O87" s="143">
        <v>31</v>
      </c>
      <c r="P87" s="220">
        <v>11.72</v>
      </c>
      <c r="Q87" s="127" t="s">
        <v>250</v>
      </c>
      <c r="R87" s="124"/>
      <c r="S87" s="124"/>
      <c r="T87" s="124"/>
    </row>
    <row r="88" spans="1:20">
      <c r="A88" s="126" t="s">
        <v>129</v>
      </c>
      <c r="B88" s="146">
        <f>SUM(C88,E88,G88,I88,K88,M88,O88)</f>
        <v>2319</v>
      </c>
      <c r="C88" s="143">
        <v>733</v>
      </c>
      <c r="D88" s="143">
        <v>264.45</v>
      </c>
      <c r="E88" s="143">
        <v>699</v>
      </c>
      <c r="F88" s="143">
        <v>211.85</v>
      </c>
      <c r="G88" s="141">
        <v>772</v>
      </c>
      <c r="H88" s="143">
        <v>251.85</v>
      </c>
      <c r="I88" s="140" t="s">
        <v>289</v>
      </c>
      <c r="J88" s="140" t="s">
        <v>289</v>
      </c>
      <c r="K88" s="144"/>
      <c r="L88" s="143">
        <v>0</v>
      </c>
      <c r="M88" s="144"/>
      <c r="N88" s="143">
        <v>0</v>
      </c>
      <c r="O88" s="143">
        <v>115</v>
      </c>
      <c r="P88" s="220">
        <v>6.95</v>
      </c>
      <c r="Q88" s="127" t="s">
        <v>251</v>
      </c>
      <c r="R88" s="124"/>
      <c r="S88" s="124"/>
      <c r="T88" s="124"/>
    </row>
    <row r="89" spans="1:20">
      <c r="A89" s="187" t="s">
        <v>252</v>
      </c>
      <c r="B89" s="188">
        <f>C89+E89+G89+I89+K89+M89+O89</f>
        <v>126762</v>
      </c>
      <c r="C89" s="161">
        <f>SUM(C91:C103)</f>
        <v>72818</v>
      </c>
      <c r="D89" s="161">
        <f t="shared" ref="D89:P89" si="15">SUM(D91:D103)</f>
        <v>18558.82</v>
      </c>
      <c r="E89" s="161">
        <f t="shared" si="15"/>
        <v>25523</v>
      </c>
      <c r="F89" s="161">
        <f t="shared" si="15"/>
        <v>8842.14</v>
      </c>
      <c r="G89" s="163">
        <f t="shared" si="15"/>
        <v>17592</v>
      </c>
      <c r="H89" s="161">
        <f t="shared" si="15"/>
        <v>5028.9160000000002</v>
      </c>
      <c r="I89" s="161">
        <f t="shared" si="15"/>
        <v>5087</v>
      </c>
      <c r="J89" s="161">
        <f t="shared" si="15"/>
        <v>2291.297</v>
      </c>
      <c r="K89" s="161">
        <f t="shared" si="15"/>
        <v>2753</v>
      </c>
      <c r="L89" s="161">
        <f t="shared" si="15"/>
        <v>1273.96</v>
      </c>
      <c r="M89" s="161">
        <f t="shared" si="15"/>
        <v>1537</v>
      </c>
      <c r="N89" s="161">
        <f t="shared" si="15"/>
        <v>392.5</v>
      </c>
      <c r="O89" s="161">
        <f t="shared" si="15"/>
        <v>1452</v>
      </c>
      <c r="P89" s="218">
        <f t="shared" si="15"/>
        <v>394.15000000000003</v>
      </c>
      <c r="Q89" s="166" t="s">
        <v>253</v>
      </c>
      <c r="R89" s="166"/>
      <c r="S89" s="166"/>
      <c r="T89" s="124"/>
    </row>
    <row r="90" spans="1:20">
      <c r="A90" s="187"/>
      <c r="B90" s="188"/>
      <c r="C90" s="161"/>
      <c r="D90" s="161"/>
      <c r="E90" s="161"/>
      <c r="F90" s="161"/>
      <c r="G90" s="163"/>
      <c r="H90" s="161"/>
      <c r="I90" s="161"/>
      <c r="J90" s="161"/>
      <c r="K90" s="161"/>
      <c r="L90" s="161"/>
      <c r="M90" s="161"/>
      <c r="N90" s="161"/>
      <c r="O90" s="161"/>
      <c r="P90" s="218"/>
      <c r="Q90" s="166"/>
      <c r="R90" s="166"/>
      <c r="S90" s="166"/>
      <c r="T90" s="124"/>
    </row>
    <row r="91" spans="1:20">
      <c r="A91" s="126" t="s">
        <v>131</v>
      </c>
      <c r="B91" s="146">
        <f t="shared" ref="B91:B103" si="16">SUM(C91,E91,G91,I91,K91,M91,O91)</f>
        <v>1368</v>
      </c>
      <c r="C91" s="143">
        <v>1252</v>
      </c>
      <c r="D91" s="143">
        <v>207.8</v>
      </c>
      <c r="E91" s="143">
        <v>95</v>
      </c>
      <c r="F91" s="143">
        <v>19.75</v>
      </c>
      <c r="G91" s="141">
        <v>20</v>
      </c>
      <c r="H91" s="143">
        <v>8</v>
      </c>
      <c r="I91" s="143">
        <v>1</v>
      </c>
      <c r="J91" s="143">
        <v>0.3</v>
      </c>
      <c r="K91" s="140" t="s">
        <v>289</v>
      </c>
      <c r="L91" s="140" t="s">
        <v>289</v>
      </c>
      <c r="M91" s="140" t="s">
        <v>289</v>
      </c>
      <c r="N91" s="140" t="s">
        <v>289</v>
      </c>
      <c r="O91" s="140" t="s">
        <v>289</v>
      </c>
      <c r="P91" s="222" t="s">
        <v>289</v>
      </c>
      <c r="Q91" s="127" t="s">
        <v>254</v>
      </c>
      <c r="R91" s="124"/>
      <c r="S91" s="124"/>
      <c r="T91" s="124"/>
    </row>
    <row r="92" spans="1:20">
      <c r="A92" s="126" t="s">
        <v>133</v>
      </c>
      <c r="B92" s="146">
        <f t="shared" si="16"/>
        <v>5286</v>
      </c>
      <c r="C92" s="143">
        <v>1605</v>
      </c>
      <c r="D92" s="143">
        <v>495.92</v>
      </c>
      <c r="E92" s="143">
        <v>1157</v>
      </c>
      <c r="F92" s="143">
        <v>386.15</v>
      </c>
      <c r="G92" s="141">
        <v>915</v>
      </c>
      <c r="H92" s="143">
        <v>303.61599999999999</v>
      </c>
      <c r="I92" s="143">
        <v>1066</v>
      </c>
      <c r="J92" s="143">
        <v>964.48</v>
      </c>
      <c r="K92" s="143">
        <v>378</v>
      </c>
      <c r="L92" s="143">
        <v>379.5</v>
      </c>
      <c r="M92" s="143">
        <v>50</v>
      </c>
      <c r="N92" s="143">
        <v>58.5</v>
      </c>
      <c r="O92" s="143">
        <v>115</v>
      </c>
      <c r="P92" s="220">
        <v>46</v>
      </c>
      <c r="Q92" s="127" t="s">
        <v>255</v>
      </c>
      <c r="R92" s="124"/>
      <c r="S92" s="124"/>
      <c r="T92" s="124"/>
    </row>
    <row r="93" spans="1:20">
      <c r="A93" s="126" t="s">
        <v>135</v>
      </c>
      <c r="B93" s="146">
        <f t="shared" si="16"/>
        <v>4979</v>
      </c>
      <c r="C93" s="143">
        <v>4409</v>
      </c>
      <c r="D93" s="143">
        <v>761</v>
      </c>
      <c r="E93" s="143">
        <v>460</v>
      </c>
      <c r="F93" s="143">
        <v>48.9</v>
      </c>
      <c r="G93" s="141">
        <v>110</v>
      </c>
      <c r="H93" s="143">
        <v>30.5</v>
      </c>
      <c r="I93" s="140" t="s">
        <v>289</v>
      </c>
      <c r="J93" s="140" t="s">
        <v>289</v>
      </c>
      <c r="K93" s="140" t="s">
        <v>289</v>
      </c>
      <c r="L93" s="140" t="s">
        <v>289</v>
      </c>
      <c r="M93" s="140" t="s">
        <v>289</v>
      </c>
      <c r="N93" s="140" t="s">
        <v>289</v>
      </c>
      <c r="O93" s="140" t="s">
        <v>289</v>
      </c>
      <c r="P93" s="222" t="s">
        <v>289</v>
      </c>
      <c r="Q93" s="127" t="s">
        <v>256</v>
      </c>
      <c r="R93" s="124"/>
      <c r="S93" s="124"/>
      <c r="T93" s="124"/>
    </row>
    <row r="94" spans="1:20">
      <c r="A94" s="126" t="s">
        <v>137</v>
      </c>
      <c r="B94" s="146">
        <f t="shared" si="16"/>
        <v>3422</v>
      </c>
      <c r="C94" s="143">
        <v>1945</v>
      </c>
      <c r="D94" s="143">
        <v>538</v>
      </c>
      <c r="E94" s="143">
        <v>625</v>
      </c>
      <c r="F94" s="143">
        <v>154.1</v>
      </c>
      <c r="G94" s="141">
        <v>462</v>
      </c>
      <c r="H94" s="143">
        <v>80</v>
      </c>
      <c r="I94" s="143">
        <v>40</v>
      </c>
      <c r="J94" s="143">
        <v>16</v>
      </c>
      <c r="K94" s="143">
        <v>250</v>
      </c>
      <c r="L94" s="143">
        <v>6</v>
      </c>
      <c r="M94" s="140" t="s">
        <v>289</v>
      </c>
      <c r="N94" s="140" t="s">
        <v>289</v>
      </c>
      <c r="O94" s="143">
        <v>100</v>
      </c>
      <c r="P94" s="220">
        <v>20</v>
      </c>
      <c r="Q94" s="127" t="s">
        <v>257</v>
      </c>
      <c r="R94" s="124"/>
      <c r="S94" s="124"/>
      <c r="T94" s="124"/>
    </row>
    <row r="95" spans="1:20">
      <c r="A95" s="126" t="s">
        <v>139</v>
      </c>
      <c r="B95" s="146">
        <f t="shared" si="16"/>
        <v>0</v>
      </c>
      <c r="C95" s="143"/>
      <c r="D95" s="143"/>
      <c r="E95" s="143"/>
      <c r="F95" s="143"/>
      <c r="G95" s="141"/>
      <c r="H95" s="143"/>
      <c r="I95" s="138">
        <v>0</v>
      </c>
      <c r="J95" s="138">
        <v>0</v>
      </c>
      <c r="K95" s="138">
        <v>0</v>
      </c>
      <c r="L95" s="138">
        <v>0</v>
      </c>
      <c r="M95" s="140" t="s">
        <v>289</v>
      </c>
      <c r="N95" s="140" t="s">
        <v>289</v>
      </c>
      <c r="O95" s="140" t="s">
        <v>289</v>
      </c>
      <c r="P95" s="222" t="s">
        <v>289</v>
      </c>
      <c r="Q95" s="127" t="s">
        <v>258</v>
      </c>
      <c r="R95" s="124"/>
      <c r="S95" s="124"/>
      <c r="T95" s="124"/>
    </row>
    <row r="96" spans="1:20">
      <c r="A96" s="126" t="s">
        <v>141</v>
      </c>
      <c r="B96" s="146">
        <f t="shared" si="16"/>
        <v>12690</v>
      </c>
      <c r="C96" s="143">
        <v>9120</v>
      </c>
      <c r="D96" s="143">
        <v>1028</v>
      </c>
      <c r="E96" s="143">
        <v>1400</v>
      </c>
      <c r="F96" s="143">
        <v>265</v>
      </c>
      <c r="G96" s="141">
        <v>1820</v>
      </c>
      <c r="H96" s="143">
        <v>272</v>
      </c>
      <c r="I96" s="140" t="s">
        <v>289</v>
      </c>
      <c r="J96" s="140" t="s">
        <v>289</v>
      </c>
      <c r="K96" s="143">
        <v>150</v>
      </c>
      <c r="L96" s="143">
        <v>60</v>
      </c>
      <c r="M96" s="143">
        <v>200</v>
      </c>
      <c r="N96" s="143">
        <v>40</v>
      </c>
      <c r="O96" s="140" t="s">
        <v>289</v>
      </c>
      <c r="P96" s="222" t="s">
        <v>289</v>
      </c>
      <c r="Q96" s="127" t="s">
        <v>259</v>
      </c>
      <c r="R96" s="124"/>
      <c r="S96" s="124"/>
      <c r="T96" s="124"/>
    </row>
    <row r="97" spans="1:20">
      <c r="A97" s="126" t="s">
        <v>144</v>
      </c>
      <c r="B97" s="146">
        <f t="shared" si="16"/>
        <v>11590</v>
      </c>
      <c r="C97" s="143">
        <v>2800</v>
      </c>
      <c r="D97" s="143">
        <v>1293.25</v>
      </c>
      <c r="E97" s="143">
        <v>7030</v>
      </c>
      <c r="F97" s="143">
        <v>4203.8999999999996</v>
      </c>
      <c r="G97" s="141">
        <v>1260</v>
      </c>
      <c r="H97" s="143">
        <v>387.3</v>
      </c>
      <c r="I97" s="143">
        <v>300</v>
      </c>
      <c r="J97" s="143">
        <v>36</v>
      </c>
      <c r="K97" s="138">
        <v>0</v>
      </c>
      <c r="L97" s="138">
        <v>0</v>
      </c>
      <c r="M97" s="143">
        <v>200</v>
      </c>
      <c r="N97" s="143">
        <v>30</v>
      </c>
      <c r="O97" s="140" t="s">
        <v>289</v>
      </c>
      <c r="P97" s="222" t="s">
        <v>289</v>
      </c>
      <c r="Q97" s="127" t="s">
        <v>260</v>
      </c>
      <c r="R97" s="124"/>
      <c r="S97" s="124"/>
      <c r="T97" s="124"/>
    </row>
    <row r="98" spans="1:20">
      <c r="A98" s="126" t="s">
        <v>146</v>
      </c>
      <c r="B98" s="146">
        <f t="shared" si="16"/>
        <v>10846</v>
      </c>
      <c r="C98" s="143">
        <v>6543</v>
      </c>
      <c r="D98" s="143">
        <v>1704.55</v>
      </c>
      <c r="E98" s="143">
        <v>2717</v>
      </c>
      <c r="F98" s="143">
        <v>601.59</v>
      </c>
      <c r="G98" s="141">
        <v>1584</v>
      </c>
      <c r="H98" s="143">
        <v>306.85000000000002</v>
      </c>
      <c r="I98" s="140" t="s">
        <v>289</v>
      </c>
      <c r="J98" s="140" t="s">
        <v>289</v>
      </c>
      <c r="K98" s="140" t="s">
        <v>289</v>
      </c>
      <c r="L98" s="140" t="s">
        <v>289</v>
      </c>
      <c r="M98" s="140" t="s">
        <v>289</v>
      </c>
      <c r="N98" s="140" t="s">
        <v>289</v>
      </c>
      <c r="O98" s="143">
        <v>2</v>
      </c>
      <c r="P98" s="220">
        <v>0.4</v>
      </c>
      <c r="Q98" s="127" t="s">
        <v>261</v>
      </c>
      <c r="R98" s="124"/>
      <c r="S98" s="124"/>
      <c r="T98" s="124"/>
    </row>
    <row r="99" spans="1:20">
      <c r="A99" s="126" t="s">
        <v>148</v>
      </c>
      <c r="B99" s="146">
        <f t="shared" si="16"/>
        <v>3450</v>
      </c>
      <c r="C99" s="143">
        <v>3450</v>
      </c>
      <c r="D99" s="143">
        <v>667</v>
      </c>
      <c r="E99" s="144"/>
      <c r="F99" s="143">
        <v>0</v>
      </c>
      <c r="G99" s="142"/>
      <c r="H99" s="143">
        <v>0</v>
      </c>
      <c r="I99" s="140" t="s">
        <v>289</v>
      </c>
      <c r="J99" s="140" t="s">
        <v>289</v>
      </c>
      <c r="K99" s="140" t="s">
        <v>289</v>
      </c>
      <c r="L99" s="140" t="s">
        <v>289</v>
      </c>
      <c r="M99" s="140" t="s">
        <v>289</v>
      </c>
      <c r="N99" s="140" t="s">
        <v>289</v>
      </c>
      <c r="O99" s="138">
        <v>0</v>
      </c>
      <c r="P99" s="223">
        <v>0</v>
      </c>
      <c r="Q99" s="127" t="s">
        <v>262</v>
      </c>
      <c r="R99" s="124"/>
      <c r="S99" s="124"/>
      <c r="T99" s="124"/>
    </row>
    <row r="100" spans="1:20">
      <c r="A100" s="126" t="s">
        <v>150</v>
      </c>
      <c r="B100" s="146">
        <f t="shared" si="16"/>
        <v>39761</v>
      </c>
      <c r="C100" s="143">
        <v>26326</v>
      </c>
      <c r="D100" s="143">
        <v>8257.2999999999993</v>
      </c>
      <c r="E100" s="143">
        <v>4505</v>
      </c>
      <c r="F100" s="143">
        <v>1533.75</v>
      </c>
      <c r="G100" s="141">
        <v>2495</v>
      </c>
      <c r="H100" s="143">
        <v>966.15</v>
      </c>
      <c r="I100" s="143">
        <v>3153</v>
      </c>
      <c r="J100" s="143">
        <v>884.2</v>
      </c>
      <c r="K100" s="143">
        <v>1857</v>
      </c>
      <c r="L100" s="143">
        <v>741.5</v>
      </c>
      <c r="M100" s="143">
        <v>1040</v>
      </c>
      <c r="N100" s="143">
        <v>226</v>
      </c>
      <c r="O100" s="143">
        <v>385</v>
      </c>
      <c r="P100" s="220">
        <v>95.7</v>
      </c>
      <c r="Q100" s="127" t="s">
        <v>263</v>
      </c>
      <c r="R100" s="124"/>
      <c r="S100" s="124"/>
      <c r="T100" s="124"/>
    </row>
    <row r="101" spans="1:20">
      <c r="A101" s="126" t="s">
        <v>152</v>
      </c>
      <c r="B101" s="146">
        <f t="shared" si="16"/>
        <v>17379</v>
      </c>
      <c r="C101" s="143">
        <v>12240</v>
      </c>
      <c r="D101" s="143">
        <v>2834</v>
      </c>
      <c r="E101" s="143">
        <v>1020</v>
      </c>
      <c r="F101" s="143">
        <v>127</v>
      </c>
      <c r="G101" s="141">
        <v>4050</v>
      </c>
      <c r="H101" s="143">
        <v>1150.5</v>
      </c>
      <c r="I101" s="143">
        <v>60</v>
      </c>
      <c r="J101" s="143">
        <v>14</v>
      </c>
      <c r="K101" s="143">
        <v>9</v>
      </c>
      <c r="L101" s="143">
        <v>8.5</v>
      </c>
      <c r="M101" s="140" t="s">
        <v>289</v>
      </c>
      <c r="N101" s="140" t="s">
        <v>289</v>
      </c>
      <c r="O101" s="140" t="s">
        <v>289</v>
      </c>
      <c r="P101" s="222" t="s">
        <v>289</v>
      </c>
      <c r="Q101" s="127" t="s">
        <v>264</v>
      </c>
      <c r="R101" s="124"/>
      <c r="S101" s="124"/>
      <c r="T101" s="124"/>
    </row>
    <row r="102" spans="1:20">
      <c r="A102" s="126" t="s">
        <v>154</v>
      </c>
      <c r="B102" s="146">
        <f t="shared" si="16"/>
        <v>13959</v>
      </c>
      <c r="C102" s="143">
        <v>2138</v>
      </c>
      <c r="D102" s="143">
        <v>501</v>
      </c>
      <c r="E102" s="143">
        <v>5994</v>
      </c>
      <c r="F102" s="143">
        <v>1377</v>
      </c>
      <c r="G102" s="141">
        <v>4374</v>
      </c>
      <c r="H102" s="143">
        <v>1370</v>
      </c>
      <c r="I102" s="143">
        <v>455</v>
      </c>
      <c r="J102" s="143">
        <v>357.31700000000001</v>
      </c>
      <c r="K102" s="143">
        <v>101</v>
      </c>
      <c r="L102" s="143">
        <v>74</v>
      </c>
      <c r="M102" s="143">
        <v>47</v>
      </c>
      <c r="N102" s="143">
        <v>38</v>
      </c>
      <c r="O102" s="143">
        <v>850</v>
      </c>
      <c r="P102" s="220">
        <v>232.05</v>
      </c>
      <c r="Q102" s="127" t="s">
        <v>265</v>
      </c>
      <c r="R102" s="124"/>
      <c r="S102" s="124"/>
      <c r="T102" s="124"/>
    </row>
    <row r="103" spans="1:20">
      <c r="A103" s="126" t="s">
        <v>156</v>
      </c>
      <c r="B103" s="146">
        <f t="shared" si="16"/>
        <v>2032</v>
      </c>
      <c r="C103" s="143">
        <v>990</v>
      </c>
      <c r="D103" s="143">
        <v>271</v>
      </c>
      <c r="E103" s="143">
        <v>520</v>
      </c>
      <c r="F103" s="143">
        <v>125</v>
      </c>
      <c r="G103" s="141">
        <v>502</v>
      </c>
      <c r="H103" s="138">
        <v>154</v>
      </c>
      <c r="I103" s="143">
        <v>12</v>
      </c>
      <c r="J103" s="143">
        <v>19</v>
      </c>
      <c r="K103" s="143">
        <v>8</v>
      </c>
      <c r="L103" s="143">
        <v>4.46</v>
      </c>
      <c r="M103" s="140" t="s">
        <v>289</v>
      </c>
      <c r="N103" s="140" t="s">
        <v>289</v>
      </c>
      <c r="O103" s="140" t="s">
        <v>289</v>
      </c>
      <c r="P103" s="222" t="s">
        <v>289</v>
      </c>
      <c r="Q103" s="127" t="s">
        <v>266</v>
      </c>
      <c r="R103" s="124"/>
      <c r="S103" s="124"/>
      <c r="T103" s="124"/>
    </row>
    <row r="104" spans="1:20">
      <c r="A104" s="187" t="s">
        <v>267</v>
      </c>
      <c r="B104" s="188">
        <f>C104+E104+G104+I104+K104+M104+O104</f>
        <v>80688</v>
      </c>
      <c r="C104" s="161">
        <f>SUM(C106:C109)</f>
        <v>22676</v>
      </c>
      <c r="D104" s="161">
        <f t="shared" ref="D104:P104" si="17">SUM(D106:D109)</f>
        <v>9302.6380000000008</v>
      </c>
      <c r="E104" s="161">
        <f t="shared" si="17"/>
        <v>20462</v>
      </c>
      <c r="F104" s="161">
        <f t="shared" si="17"/>
        <v>7967.7190000000001</v>
      </c>
      <c r="G104" s="163">
        <f t="shared" si="17"/>
        <v>22842</v>
      </c>
      <c r="H104" s="161">
        <f t="shared" si="17"/>
        <v>8681.4000000000015</v>
      </c>
      <c r="I104" s="161">
        <f t="shared" si="17"/>
        <v>4336</v>
      </c>
      <c r="J104" s="161">
        <f t="shared" si="17"/>
        <v>3295.56</v>
      </c>
      <c r="K104" s="161">
        <f t="shared" si="17"/>
        <v>5515</v>
      </c>
      <c r="L104" s="161">
        <f t="shared" si="17"/>
        <v>3195.1400000000003</v>
      </c>
      <c r="M104" s="161">
        <f t="shared" si="17"/>
        <v>1067</v>
      </c>
      <c r="N104" s="161">
        <f t="shared" si="17"/>
        <v>779.26199999999994</v>
      </c>
      <c r="O104" s="161">
        <f t="shared" si="17"/>
        <v>3790</v>
      </c>
      <c r="P104" s="218">
        <f t="shared" si="17"/>
        <v>938.7</v>
      </c>
      <c r="Q104" s="167" t="s">
        <v>268</v>
      </c>
      <c r="R104" s="167"/>
      <c r="S104" s="167"/>
      <c r="T104" s="124"/>
    </row>
    <row r="105" spans="1:20">
      <c r="A105" s="187"/>
      <c r="B105" s="188"/>
      <c r="C105" s="161"/>
      <c r="D105" s="161"/>
      <c r="E105" s="161"/>
      <c r="F105" s="161"/>
      <c r="G105" s="163"/>
      <c r="H105" s="161"/>
      <c r="I105" s="161"/>
      <c r="J105" s="161"/>
      <c r="K105" s="161"/>
      <c r="L105" s="161"/>
      <c r="M105" s="161"/>
      <c r="N105" s="161"/>
      <c r="O105" s="161"/>
      <c r="P105" s="218"/>
      <c r="Q105" s="167"/>
      <c r="R105" s="167"/>
      <c r="S105" s="167"/>
      <c r="T105" s="124"/>
    </row>
    <row r="106" spans="1:20">
      <c r="A106" s="126" t="s">
        <v>158</v>
      </c>
      <c r="B106" s="146">
        <f>SUM(C106,E106,G106,I106,K106,M106,O106)</f>
        <v>40921</v>
      </c>
      <c r="C106" s="143">
        <v>16415</v>
      </c>
      <c r="D106" s="143">
        <v>7207.1580000000004</v>
      </c>
      <c r="E106" s="143">
        <v>7530</v>
      </c>
      <c r="F106" s="143">
        <v>3622.5990000000002</v>
      </c>
      <c r="G106" s="141">
        <v>10700</v>
      </c>
      <c r="H106" s="143">
        <v>4559.0150000000003</v>
      </c>
      <c r="I106" s="143">
        <v>1155</v>
      </c>
      <c r="J106" s="143">
        <v>778.29</v>
      </c>
      <c r="K106" s="143">
        <v>2533</v>
      </c>
      <c r="L106" s="143">
        <v>1116.1600000000001</v>
      </c>
      <c r="M106" s="143">
        <v>492</v>
      </c>
      <c r="N106" s="143">
        <v>299.39999999999998</v>
      </c>
      <c r="O106" s="143">
        <v>2096</v>
      </c>
      <c r="P106" s="220">
        <v>547.5</v>
      </c>
      <c r="Q106" s="127" t="s">
        <v>269</v>
      </c>
      <c r="R106" s="124"/>
      <c r="S106" s="124"/>
      <c r="T106" s="124"/>
    </row>
    <row r="107" spans="1:20">
      <c r="A107" s="126" t="s">
        <v>160</v>
      </c>
      <c r="B107" s="146">
        <f>SUM(C107,E107,G107,I107,K107,M107,O107)</f>
        <v>6484</v>
      </c>
      <c r="C107" s="143">
        <v>1074</v>
      </c>
      <c r="D107" s="143">
        <v>130.16</v>
      </c>
      <c r="E107" s="143">
        <v>1970</v>
      </c>
      <c r="F107" s="143">
        <v>806.25</v>
      </c>
      <c r="G107" s="141">
        <v>2321</v>
      </c>
      <c r="H107" s="143">
        <v>852.31</v>
      </c>
      <c r="I107" s="143">
        <v>181</v>
      </c>
      <c r="J107" s="143">
        <v>71.5</v>
      </c>
      <c r="K107" s="143">
        <v>648</v>
      </c>
      <c r="L107" s="143">
        <v>251.4</v>
      </c>
      <c r="M107" s="143">
        <v>6</v>
      </c>
      <c r="N107" s="143">
        <v>10.5</v>
      </c>
      <c r="O107" s="143">
        <v>284</v>
      </c>
      <c r="P107" s="220">
        <v>130.1</v>
      </c>
      <c r="Q107" s="127" t="s">
        <v>270</v>
      </c>
      <c r="R107" s="124"/>
      <c r="S107" s="124"/>
      <c r="T107" s="124"/>
    </row>
    <row r="108" spans="1:20">
      <c r="A108" s="126" t="s">
        <v>163</v>
      </c>
      <c r="B108" s="146">
        <f>SUM(C108,E108,G108,I108,K108,M108,O108)</f>
        <v>20686</v>
      </c>
      <c r="C108" s="143">
        <v>3442</v>
      </c>
      <c r="D108" s="143">
        <v>1575.23</v>
      </c>
      <c r="E108" s="143">
        <v>6688</v>
      </c>
      <c r="F108" s="143">
        <v>2686.04</v>
      </c>
      <c r="G108" s="141">
        <v>7153</v>
      </c>
      <c r="H108" s="143">
        <v>2677.8049999999998</v>
      </c>
      <c r="I108" s="143">
        <v>1097</v>
      </c>
      <c r="J108" s="143">
        <v>684.75</v>
      </c>
      <c r="K108" s="143">
        <v>849</v>
      </c>
      <c r="L108" s="143">
        <v>525.6</v>
      </c>
      <c r="M108" s="143">
        <v>124</v>
      </c>
      <c r="N108" s="143">
        <v>74.7</v>
      </c>
      <c r="O108" s="143">
        <v>1333</v>
      </c>
      <c r="P108" s="220">
        <v>246.9</v>
      </c>
      <c r="Q108" s="127" t="s">
        <v>271</v>
      </c>
      <c r="R108" s="131"/>
      <c r="S108" s="131"/>
      <c r="T108" s="124"/>
    </row>
    <row r="109" spans="1:20" ht="10.8" thickBot="1">
      <c r="A109" s="132" t="s">
        <v>166</v>
      </c>
      <c r="B109" s="224">
        <f>SUM(C109,E109,G109,I109,K109,M109,O109)</f>
        <v>12597</v>
      </c>
      <c r="C109" s="225">
        <v>1745</v>
      </c>
      <c r="D109" s="225">
        <v>390.09</v>
      </c>
      <c r="E109" s="225">
        <v>4274</v>
      </c>
      <c r="F109" s="225">
        <v>852.83</v>
      </c>
      <c r="G109" s="226">
        <v>2668</v>
      </c>
      <c r="H109" s="225">
        <v>592.27</v>
      </c>
      <c r="I109" s="225">
        <v>1903</v>
      </c>
      <c r="J109" s="225">
        <v>1761.02</v>
      </c>
      <c r="K109" s="225">
        <v>1485</v>
      </c>
      <c r="L109" s="225">
        <v>1301.98</v>
      </c>
      <c r="M109" s="225">
        <v>445</v>
      </c>
      <c r="N109" s="225">
        <v>394.66199999999998</v>
      </c>
      <c r="O109" s="225">
        <v>77</v>
      </c>
      <c r="P109" s="227">
        <v>14.2</v>
      </c>
      <c r="Q109" s="133" t="s">
        <v>272</v>
      </c>
      <c r="R109" s="134"/>
      <c r="S109" s="134"/>
      <c r="T109" s="124"/>
    </row>
    <row r="110" spans="1:20">
      <c r="A110" s="135" t="s">
        <v>273</v>
      </c>
      <c r="L110" s="131" t="s">
        <v>276</v>
      </c>
      <c r="N110" s="131"/>
      <c r="O110" s="131"/>
      <c r="P110" s="131"/>
      <c r="Q110" s="168"/>
      <c r="R110" s="168"/>
      <c r="S110" s="168"/>
    </row>
    <row r="111" spans="1:20">
      <c r="A111" s="136" t="s">
        <v>290</v>
      </c>
      <c r="L111" s="120" t="s">
        <v>281</v>
      </c>
    </row>
    <row r="112" spans="1:20">
      <c r="A112" s="120" t="s">
        <v>283</v>
      </c>
      <c r="L112" s="120" t="s">
        <v>282</v>
      </c>
    </row>
  </sheetData>
  <mergeCells count="249">
    <mergeCell ref="I7:J7"/>
    <mergeCell ref="K7:L7"/>
    <mergeCell ref="M5:N7"/>
    <mergeCell ref="A5:A8"/>
    <mergeCell ref="B5:B8"/>
    <mergeCell ref="I5:L6"/>
    <mergeCell ref="C5:D7"/>
    <mergeCell ref="E5:F7"/>
    <mergeCell ref="A1:H1"/>
    <mergeCell ref="I1:S1"/>
    <mergeCell ref="A11:A12"/>
    <mergeCell ref="B11:B12"/>
    <mergeCell ref="I11:I12"/>
    <mergeCell ref="J11:J12"/>
    <mergeCell ref="K11:K12"/>
    <mergeCell ref="M9:M10"/>
    <mergeCell ref="N9:N10"/>
    <mergeCell ref="O9:O10"/>
    <mergeCell ref="J9:J10"/>
    <mergeCell ref="K9:K10"/>
    <mergeCell ref="L9:L10"/>
    <mergeCell ref="C9:C10"/>
    <mergeCell ref="D9:D10"/>
    <mergeCell ref="E9:E10"/>
    <mergeCell ref="G9:G10"/>
    <mergeCell ref="H9:H10"/>
    <mergeCell ref="M11:M12"/>
    <mergeCell ref="F9:F10"/>
    <mergeCell ref="A33:A34"/>
    <mergeCell ref="B33:B34"/>
    <mergeCell ref="I33:I34"/>
    <mergeCell ref="J33:J34"/>
    <mergeCell ref="K33:K34"/>
    <mergeCell ref="A9:A10"/>
    <mergeCell ref="B9:B10"/>
    <mergeCell ref="I9:I10"/>
    <mergeCell ref="C11:C12"/>
    <mergeCell ref="D11:D12"/>
    <mergeCell ref="E11:E12"/>
    <mergeCell ref="F11:F12"/>
    <mergeCell ref="G11:G12"/>
    <mergeCell ref="H11:H12"/>
    <mergeCell ref="M33:M34"/>
    <mergeCell ref="C33:C34"/>
    <mergeCell ref="D33:D34"/>
    <mergeCell ref="E33:E34"/>
    <mergeCell ref="F33:F34"/>
    <mergeCell ref="O19:O20"/>
    <mergeCell ref="F19:F20"/>
    <mergeCell ref="N33:N34"/>
    <mergeCell ref="L33:L34"/>
    <mergeCell ref="M19:M20"/>
    <mergeCell ref="A19:A20"/>
    <mergeCell ref="B19:B20"/>
    <mergeCell ref="I19:I20"/>
    <mergeCell ref="J19:J20"/>
    <mergeCell ref="K19:K20"/>
    <mergeCell ref="L19:L20"/>
    <mergeCell ref="C19:C20"/>
    <mergeCell ref="D19:D20"/>
    <mergeCell ref="E19:E20"/>
    <mergeCell ref="A46:A47"/>
    <mergeCell ref="B46:B47"/>
    <mergeCell ref="I46:I47"/>
    <mergeCell ref="J46:J47"/>
    <mergeCell ref="K46:K47"/>
    <mergeCell ref="M39:M40"/>
    <mergeCell ref="D39:D40"/>
    <mergeCell ref="E39:E40"/>
    <mergeCell ref="F39:F40"/>
    <mergeCell ref="H39:H40"/>
    <mergeCell ref="N39:N40"/>
    <mergeCell ref="O39:O40"/>
    <mergeCell ref="P39:P40"/>
    <mergeCell ref="A39:A40"/>
    <mergeCell ref="B39:B40"/>
    <mergeCell ref="I39:I40"/>
    <mergeCell ref="J39:J40"/>
    <mergeCell ref="K39:K40"/>
    <mergeCell ref="L39:L40"/>
    <mergeCell ref="C39:C40"/>
    <mergeCell ref="A60:A61"/>
    <mergeCell ref="B60:B61"/>
    <mergeCell ref="I60:I61"/>
    <mergeCell ref="J60:J61"/>
    <mergeCell ref="K60:K61"/>
    <mergeCell ref="M53:M54"/>
    <mergeCell ref="D53:D54"/>
    <mergeCell ref="E53:E54"/>
    <mergeCell ref="F53:F54"/>
    <mergeCell ref="C60:C61"/>
    <mergeCell ref="N53:N54"/>
    <mergeCell ref="O53:O54"/>
    <mergeCell ref="P53:P54"/>
    <mergeCell ref="A53:A54"/>
    <mergeCell ref="B53:B54"/>
    <mergeCell ref="I53:I54"/>
    <mergeCell ref="J53:J54"/>
    <mergeCell ref="K53:K54"/>
    <mergeCell ref="L53:L54"/>
    <mergeCell ref="C53:C54"/>
    <mergeCell ref="A72:A73"/>
    <mergeCell ref="B72:B73"/>
    <mergeCell ref="I72:I73"/>
    <mergeCell ref="J72:J73"/>
    <mergeCell ref="K72:K73"/>
    <mergeCell ref="M65:M66"/>
    <mergeCell ref="D65:D66"/>
    <mergeCell ref="E65:E66"/>
    <mergeCell ref="F65:F66"/>
    <mergeCell ref="M72:M73"/>
    <mergeCell ref="A65:A66"/>
    <mergeCell ref="B65:B66"/>
    <mergeCell ref="I65:I66"/>
    <mergeCell ref="J65:J66"/>
    <mergeCell ref="K65:K66"/>
    <mergeCell ref="L65:L66"/>
    <mergeCell ref="C65:C66"/>
    <mergeCell ref="M82:M83"/>
    <mergeCell ref="N82:N83"/>
    <mergeCell ref="O82:O83"/>
    <mergeCell ref="P82:P83"/>
    <mergeCell ref="A82:A83"/>
    <mergeCell ref="B82:B83"/>
    <mergeCell ref="I82:I83"/>
    <mergeCell ref="J82:J83"/>
    <mergeCell ref="K82:K83"/>
    <mergeCell ref="L82:L83"/>
    <mergeCell ref="C82:C83"/>
    <mergeCell ref="D82:D83"/>
    <mergeCell ref="E82:E83"/>
    <mergeCell ref="F82:F83"/>
    <mergeCell ref="M89:M90"/>
    <mergeCell ref="N89:N90"/>
    <mergeCell ref="E89:E90"/>
    <mergeCell ref="F89:F90"/>
    <mergeCell ref="G89:G90"/>
    <mergeCell ref="H89:H90"/>
    <mergeCell ref="O89:O90"/>
    <mergeCell ref="P89:P90"/>
    <mergeCell ref="L89:L90"/>
    <mergeCell ref="A89:A90"/>
    <mergeCell ref="B89:B90"/>
    <mergeCell ref="I89:I90"/>
    <mergeCell ref="J89:J90"/>
    <mergeCell ref="K89:K90"/>
    <mergeCell ref="C89:C90"/>
    <mergeCell ref="D89:D90"/>
    <mergeCell ref="C104:C105"/>
    <mergeCell ref="D104:D105"/>
    <mergeCell ref="M104:M105"/>
    <mergeCell ref="N104:N105"/>
    <mergeCell ref="O104:O105"/>
    <mergeCell ref="P104:P105"/>
    <mergeCell ref="A104:A105"/>
    <mergeCell ref="B104:B105"/>
    <mergeCell ref="I104:I105"/>
    <mergeCell ref="J104:J105"/>
    <mergeCell ref="K104:K105"/>
    <mergeCell ref="L104:L105"/>
    <mergeCell ref="E104:E105"/>
    <mergeCell ref="F104:F105"/>
    <mergeCell ref="G104:G105"/>
    <mergeCell ref="H104:H105"/>
    <mergeCell ref="Q81:T81"/>
    <mergeCell ref="Q77:T77"/>
    <mergeCell ref="Q39:S40"/>
    <mergeCell ref="Q44:S44"/>
    <mergeCell ref="Q46:S47"/>
    <mergeCell ref="Q53:S54"/>
    <mergeCell ref="Q78:T78"/>
    <mergeCell ref="Q74:T74"/>
    <mergeCell ref="Q72:S73"/>
    <mergeCell ref="Q79:T79"/>
    <mergeCell ref="O65:O66"/>
    <mergeCell ref="P65:P66"/>
    <mergeCell ref="Q63:S63"/>
    <mergeCell ref="Q65:S66"/>
    <mergeCell ref="Q80:T80"/>
    <mergeCell ref="Q33:S34"/>
    <mergeCell ref="P19:P20"/>
    <mergeCell ref="P9:P10"/>
    <mergeCell ref="O72:O73"/>
    <mergeCell ref="P72:P73"/>
    <mergeCell ref="O60:O61"/>
    <mergeCell ref="P60:P61"/>
    <mergeCell ref="Q60:S61"/>
    <mergeCell ref="O11:O12"/>
    <mergeCell ref="P11:P12"/>
    <mergeCell ref="O5:P7"/>
    <mergeCell ref="Q9:S10"/>
    <mergeCell ref="Q11:S12"/>
    <mergeCell ref="Q19:S20"/>
    <mergeCell ref="G39:G40"/>
    <mergeCell ref="N72:N73"/>
    <mergeCell ref="L72:L73"/>
    <mergeCell ref="M60:M61"/>
    <mergeCell ref="N60:N61"/>
    <mergeCell ref="L60:L61"/>
    <mergeCell ref="M46:M47"/>
    <mergeCell ref="N46:N47"/>
    <mergeCell ref="L46:L47"/>
    <mergeCell ref="N65:N66"/>
    <mergeCell ref="G82:G83"/>
    <mergeCell ref="H82:H83"/>
    <mergeCell ref="G65:G66"/>
    <mergeCell ref="H65:H66"/>
    <mergeCell ref="C72:C73"/>
    <mergeCell ref="N11:N12"/>
    <mergeCell ref="L11:L12"/>
    <mergeCell ref="G46:G47"/>
    <mergeCell ref="H46:H47"/>
    <mergeCell ref="G19:G20"/>
    <mergeCell ref="G53:G54"/>
    <mergeCell ref="H53:H54"/>
    <mergeCell ref="A2:H3"/>
    <mergeCell ref="I2:S3"/>
    <mergeCell ref="A4:F4"/>
    <mergeCell ref="G5:H7"/>
    <mergeCell ref="Q5:S8"/>
    <mergeCell ref="H19:H20"/>
    <mergeCell ref="G33:G34"/>
    <mergeCell ref="H33:H34"/>
    <mergeCell ref="D72:D73"/>
    <mergeCell ref="E72:E73"/>
    <mergeCell ref="F72:F73"/>
    <mergeCell ref="G72:G73"/>
    <mergeCell ref="H72:H73"/>
    <mergeCell ref="H60:H61"/>
    <mergeCell ref="M4:S4"/>
    <mergeCell ref="Q82:S83"/>
    <mergeCell ref="Q89:S90"/>
    <mergeCell ref="Q104:S105"/>
    <mergeCell ref="Q110:S110"/>
    <mergeCell ref="N19:N20"/>
    <mergeCell ref="O46:O47"/>
    <mergeCell ref="P46:P47"/>
    <mergeCell ref="O33:O34"/>
    <mergeCell ref="P33:P34"/>
    <mergeCell ref="C46:C47"/>
    <mergeCell ref="D46:D47"/>
    <mergeCell ref="E46:E47"/>
    <mergeCell ref="F46:F47"/>
    <mergeCell ref="Q75:T75"/>
    <mergeCell ref="Q76:T76"/>
    <mergeCell ref="D60:D61"/>
    <mergeCell ref="E60:E61"/>
    <mergeCell ref="F60:F61"/>
    <mergeCell ref="G60:G61"/>
  </mergeCells>
  <pageMargins left="0.7" right="0.7" top="0.75" bottom="0.75" header="0.3" footer="0.3"/>
  <pageSetup paperSize="9" orientation="portrait" horizontalDpi="200" verticalDpi="200" r:id="rId1"/>
  <ignoredErrors>
    <ignoredError sqref="B10:B12 B21:B27 B14:B18 B29:B109 C89:C90 C82:C83 C72:C73 C65:C66 C60:C61 C53:C54 C46:C47 C39:C40 C33:C34 C20 B13:P13 B28:P28 B20 D20:P20 C35:P38 D33:P34 C41:P45 D39:P40 C48:P52 D46:P47 C55:P59 D53:P54 C62:P64 D60:P61 C67:P71 D65:P66 C74:P81 D72:P73 C84:P88 D82:P83 C91:P109 D89:P90 C29:P32 B19:P19 C14:P18 C21:P27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8" sqref="C8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ListOfValues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2015-05-06T10:25:36Z</cp:lastPrinted>
  <dcterms:created xsi:type="dcterms:W3CDTF">2015-05-05T09:33:52Z</dcterms:created>
  <dcterms:modified xsi:type="dcterms:W3CDTF">2017-01-19T09:37:59Z</dcterms:modified>
</cp:coreProperties>
</file>