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8" yWindow="-204" windowWidth="14856" windowHeight="5760" firstSheet="1" activeTab="1"/>
  </bookViews>
  <sheets>
    <sheet name="ListOfValues" sheetId="1" state="hidden" r:id="rId1"/>
    <sheet name="Πίνακας2(δ)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G8" i="2"/>
  <c r="Y8"/>
  <c r="C8"/>
  <c r="D8"/>
  <c r="E8"/>
  <c r="F8"/>
  <c r="H8"/>
  <c r="I8"/>
  <c r="J8"/>
  <c r="K8"/>
  <c r="L8"/>
  <c r="M8"/>
  <c r="N8"/>
  <c r="O8"/>
  <c r="P8"/>
  <c r="Q8"/>
  <c r="R8"/>
  <c r="S8"/>
  <c r="T8"/>
  <c r="U8"/>
  <c r="V8"/>
  <c r="W8"/>
  <c r="X8"/>
  <c r="Z8"/>
  <c r="AA8"/>
  <c r="AB8"/>
  <c r="AC8"/>
  <c r="B8"/>
  <c r="B27"/>
  <c r="B18"/>
  <c r="E27"/>
  <c r="D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C27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C18"/>
  <c r="B44"/>
  <c r="B54"/>
  <c r="B57"/>
  <c r="B66"/>
  <c r="B49"/>
  <c r="B12"/>
  <c r="B13"/>
  <c r="B14"/>
  <c r="B15"/>
  <c r="B16"/>
  <c r="B17"/>
  <c r="B108"/>
  <c r="B107"/>
  <c r="B106"/>
  <c r="B105"/>
  <c r="B102"/>
  <c r="B101"/>
  <c r="B100"/>
  <c r="B99"/>
  <c r="B98"/>
  <c r="B97"/>
  <c r="B96"/>
  <c r="B95"/>
  <c r="B94"/>
  <c r="B93"/>
  <c r="B92"/>
  <c r="B91"/>
  <c r="B90"/>
  <c r="B87"/>
  <c r="B86"/>
  <c r="B85"/>
  <c r="B84"/>
  <c r="B83"/>
  <c r="B80"/>
  <c r="B79"/>
  <c r="B78"/>
  <c r="B77"/>
  <c r="B76"/>
  <c r="B75"/>
  <c r="B74"/>
  <c r="B73"/>
  <c r="B70"/>
  <c r="B69"/>
  <c r="B68"/>
  <c r="B67"/>
  <c r="B63"/>
  <c r="B62"/>
  <c r="B61"/>
  <c r="B58"/>
  <c r="B56"/>
  <c r="B55"/>
  <c r="B51"/>
  <c r="B50"/>
  <c r="B48"/>
  <c r="B47"/>
  <c r="B43"/>
  <c r="B42"/>
  <c r="B41"/>
  <c r="B40"/>
  <c r="B37"/>
  <c r="B36"/>
  <c r="B35"/>
  <c r="B34"/>
  <c r="B31"/>
  <c r="B30"/>
  <c r="B29"/>
  <c r="B28"/>
  <c r="B26"/>
  <c r="B25"/>
  <c r="B24"/>
  <c r="B23"/>
  <c r="B22"/>
  <c r="B21"/>
  <c r="B20"/>
  <c r="I103"/>
  <c r="J103"/>
  <c r="I88"/>
  <c r="J88"/>
  <c r="I64"/>
  <c r="J64"/>
  <c r="I81"/>
  <c r="J81"/>
  <c r="I71"/>
  <c r="J71"/>
  <c r="I59"/>
  <c r="J59"/>
  <c r="I52"/>
  <c r="J52"/>
  <c r="I45"/>
  <c r="J45"/>
  <c r="I38"/>
  <c r="J38"/>
  <c r="I32"/>
  <c r="J32"/>
  <c r="I10"/>
  <c r="J10"/>
  <c r="X103"/>
  <c r="Y103"/>
  <c r="Z103"/>
  <c r="AA103"/>
  <c r="AB103"/>
  <c r="AC103"/>
  <c r="X88"/>
  <c r="Y88"/>
  <c r="Z88"/>
  <c r="AA88"/>
  <c r="AB88"/>
  <c r="AC88"/>
  <c r="X81"/>
  <c r="Y81"/>
  <c r="Z81"/>
  <c r="AA81"/>
  <c r="AB81"/>
  <c r="AC81"/>
  <c r="X71"/>
  <c r="Y71"/>
  <c r="Z71"/>
  <c r="AA71"/>
  <c r="AB71"/>
  <c r="AC71"/>
  <c r="X64"/>
  <c r="Y64"/>
  <c r="Z64"/>
  <c r="AA64"/>
  <c r="AB64"/>
  <c r="AC64"/>
  <c r="X59"/>
  <c r="Y59"/>
  <c r="Z59"/>
  <c r="AA59"/>
  <c r="AB59"/>
  <c r="AC59"/>
  <c r="X52"/>
  <c r="Y52"/>
  <c r="Z52"/>
  <c r="AA52"/>
  <c r="AB52"/>
  <c r="AC52"/>
  <c r="X45"/>
  <c r="Y45"/>
  <c r="Z45"/>
  <c r="AA45"/>
  <c r="AB45"/>
  <c r="AC45"/>
  <c r="X38"/>
  <c r="Y38"/>
  <c r="Z38"/>
  <c r="AA38"/>
  <c r="AB38"/>
  <c r="AC38"/>
  <c r="X32"/>
  <c r="Y32"/>
  <c r="Z32"/>
  <c r="AA32"/>
  <c r="AB32"/>
  <c r="AC32"/>
  <c r="Y10"/>
  <c r="Z10"/>
  <c r="AA10"/>
  <c r="AB10"/>
  <c r="AC10"/>
  <c r="D10"/>
  <c r="E10"/>
  <c r="F10"/>
  <c r="G10"/>
  <c r="H10"/>
  <c r="K10"/>
  <c r="L10"/>
  <c r="M10"/>
  <c r="N10"/>
  <c r="O10"/>
  <c r="P10"/>
  <c r="Q10"/>
  <c r="R10"/>
  <c r="S10"/>
  <c r="T10"/>
  <c r="U10"/>
  <c r="V10"/>
  <c r="W10"/>
  <c r="X10"/>
  <c r="A108"/>
  <c r="A107"/>
  <c r="A106"/>
  <c r="A105"/>
  <c r="W103"/>
  <c r="V103"/>
  <c r="U103"/>
  <c r="T103"/>
  <c r="S103"/>
  <c r="R103"/>
  <c r="Q103"/>
  <c r="P103"/>
  <c r="O103"/>
  <c r="N103"/>
  <c r="M103"/>
  <c r="L103"/>
  <c r="K103"/>
  <c r="H103"/>
  <c r="G103"/>
  <c r="F103"/>
  <c r="E103"/>
  <c r="D103"/>
  <c r="C103"/>
  <c r="A102"/>
  <c r="A101"/>
  <c r="A100"/>
  <c r="A99"/>
  <c r="A98"/>
  <c r="A97"/>
  <c r="A96"/>
  <c r="A95"/>
  <c r="A94"/>
  <c r="A93"/>
  <c r="A92"/>
  <c r="A91"/>
  <c r="A90"/>
  <c r="W88"/>
  <c r="V88"/>
  <c r="U88"/>
  <c r="T88"/>
  <c r="S88"/>
  <c r="R88"/>
  <c r="Q88"/>
  <c r="P88"/>
  <c r="O88"/>
  <c r="N88"/>
  <c r="M88"/>
  <c r="L88"/>
  <c r="K88"/>
  <c r="H88"/>
  <c r="G88"/>
  <c r="F88"/>
  <c r="E88"/>
  <c r="D88"/>
  <c r="C88"/>
  <c r="A87"/>
  <c r="A86"/>
  <c r="A85"/>
  <c r="A84"/>
  <c r="A83"/>
  <c r="W81"/>
  <c r="V81"/>
  <c r="U81"/>
  <c r="T81"/>
  <c r="S81"/>
  <c r="R81"/>
  <c r="Q81"/>
  <c r="P81"/>
  <c r="O81"/>
  <c r="N81"/>
  <c r="M81"/>
  <c r="L81"/>
  <c r="K81"/>
  <c r="H81"/>
  <c r="G81"/>
  <c r="F81"/>
  <c r="E81"/>
  <c r="D81"/>
  <c r="C81"/>
  <c r="A80"/>
  <c r="A79"/>
  <c r="A78"/>
  <c r="A77"/>
  <c r="A76"/>
  <c r="A75"/>
  <c r="A74"/>
  <c r="A73"/>
  <c r="W71"/>
  <c r="V71"/>
  <c r="U71"/>
  <c r="T71"/>
  <c r="S71"/>
  <c r="R71"/>
  <c r="Q71"/>
  <c r="P71"/>
  <c r="O71"/>
  <c r="N71"/>
  <c r="M71"/>
  <c r="L71"/>
  <c r="K71"/>
  <c r="H71"/>
  <c r="G71"/>
  <c r="F71"/>
  <c r="E71"/>
  <c r="D71"/>
  <c r="C71"/>
  <c r="A70"/>
  <c r="A69"/>
  <c r="A68"/>
  <c r="A67"/>
  <c r="A66"/>
  <c r="W64"/>
  <c r="V64"/>
  <c r="U64"/>
  <c r="T64"/>
  <c r="S64"/>
  <c r="R64"/>
  <c r="Q64"/>
  <c r="P64"/>
  <c r="O64"/>
  <c r="N64"/>
  <c r="M64"/>
  <c r="L64"/>
  <c r="K64"/>
  <c r="H64"/>
  <c r="G64"/>
  <c r="F64"/>
  <c r="E64"/>
  <c r="D64"/>
  <c r="C64"/>
  <c r="A63"/>
  <c r="A62"/>
  <c r="A61"/>
  <c r="W59"/>
  <c r="V59"/>
  <c r="U59"/>
  <c r="T59"/>
  <c r="S59"/>
  <c r="R59"/>
  <c r="Q59"/>
  <c r="P59"/>
  <c r="O59"/>
  <c r="N59"/>
  <c r="M59"/>
  <c r="L59"/>
  <c r="K59"/>
  <c r="H59"/>
  <c r="G59"/>
  <c r="F59"/>
  <c r="E59"/>
  <c r="D59"/>
  <c r="C59"/>
  <c r="B59"/>
  <c r="A58"/>
  <c r="A57"/>
  <c r="A56"/>
  <c r="A55"/>
  <c r="A54"/>
  <c r="W52"/>
  <c r="V52"/>
  <c r="U52"/>
  <c r="T52"/>
  <c r="S52"/>
  <c r="R52"/>
  <c r="Q52"/>
  <c r="P52"/>
  <c r="O52"/>
  <c r="N52"/>
  <c r="M52"/>
  <c r="L52"/>
  <c r="K52"/>
  <c r="H52"/>
  <c r="G52"/>
  <c r="F52"/>
  <c r="E52"/>
  <c r="D52"/>
  <c r="C52"/>
  <c r="B52"/>
  <c r="A51"/>
  <c r="A50"/>
  <c r="A49"/>
  <c r="A48"/>
  <c r="A47"/>
  <c r="W45"/>
  <c r="V45"/>
  <c r="U45"/>
  <c r="T45"/>
  <c r="S45"/>
  <c r="R45"/>
  <c r="Q45"/>
  <c r="P45"/>
  <c r="O45"/>
  <c r="N45"/>
  <c r="M45"/>
  <c r="L45"/>
  <c r="K45"/>
  <c r="H45"/>
  <c r="G45"/>
  <c r="F45"/>
  <c r="E45"/>
  <c r="D45"/>
  <c r="C45"/>
  <c r="B45"/>
  <c r="A44"/>
  <c r="A43"/>
  <c r="A42"/>
  <c r="A41"/>
  <c r="A40"/>
  <c r="W38"/>
  <c r="V38"/>
  <c r="U38"/>
  <c r="T38"/>
  <c r="S38"/>
  <c r="R38"/>
  <c r="Q38"/>
  <c r="P38"/>
  <c r="O38"/>
  <c r="N38"/>
  <c r="M38"/>
  <c r="L38"/>
  <c r="K38"/>
  <c r="H38"/>
  <c r="G38"/>
  <c r="F38"/>
  <c r="E38"/>
  <c r="D38"/>
  <c r="C38"/>
  <c r="A37"/>
  <c r="A36"/>
  <c r="A35"/>
  <c r="A34"/>
  <c r="W32"/>
  <c r="V32"/>
  <c r="U32"/>
  <c r="T32"/>
  <c r="S32"/>
  <c r="R32"/>
  <c r="Q32"/>
  <c r="P32"/>
  <c r="O32"/>
  <c r="N32"/>
  <c r="M32"/>
  <c r="L32"/>
  <c r="K32"/>
  <c r="H32"/>
  <c r="G32"/>
  <c r="F32"/>
  <c r="E32"/>
  <c r="D32"/>
  <c r="C32"/>
  <c r="A31"/>
  <c r="A30"/>
  <c r="A29"/>
  <c r="A28"/>
  <c r="A26"/>
  <c r="A25"/>
  <c r="A24"/>
  <c r="A23"/>
  <c r="A22"/>
  <c r="A21"/>
  <c r="A20"/>
  <c r="A17"/>
  <c r="A16"/>
  <c r="A15"/>
  <c r="A14"/>
  <c r="A13"/>
  <c r="A12"/>
  <c r="C10"/>
  <c r="B10"/>
  <c r="B38"/>
  <c r="B32"/>
  <c r="B103"/>
  <c r="B64"/>
  <c r="B71"/>
  <c r="B81"/>
  <c r="B88"/>
</calcChain>
</file>

<file path=xl/sharedStrings.xml><?xml version="1.0" encoding="utf-8"?>
<sst xmlns="http://schemas.openxmlformats.org/spreadsheetml/2006/main" count="1848" uniqueCount="307">
  <si>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</si>
  <si>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</si>
  <si>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</si>
  <si>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</si>
  <si>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</si>
  <si>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</si>
  <si>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</si>
  <si>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</si>
  <si>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</si>
  <si>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</si>
  <si>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</si>
  <si>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</si>
  <si>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</si>
  <si>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</si>
  <si>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</si>
  <si>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</si>
  <si>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</si>
  <si>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</si>
  <si>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</si>
  <si>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</si>
  <si>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</si>
  <si>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</si>
  <si>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</si>
  <si>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</si>
  <si>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</si>
  <si>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</si>
  <si>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</si>
  <si>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</si>
  <si>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</si>
  <si>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</si>
  <si>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</si>
  <si>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</si>
  <si>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</si>
  <si>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</si>
  <si>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</si>
  <si>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</si>
  <si>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</si>
  <si>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</si>
  <si>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</si>
  <si>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</si>
  <si>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</si>
  <si>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</si>
  <si>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</si>
  <si>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</si>
  <si>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</si>
  <si>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</si>
  <si>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</si>
  <si>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</si>
  <si>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</si>
  <si>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</si>
  <si>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</si>
  <si>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</si>
  <si>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</si>
  <si>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</si>
  <si>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</si>
  <si>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</si>
  <si>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</si>
  <si>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</si>
  <si>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</si>
  <si>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</si>
  <si>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</si>
  <si>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</si>
  <si>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</si>
  <si>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</si>
  <si>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</si>
  <si>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</si>
  <si>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</si>
  <si>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</si>
  <si>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</si>
  <si>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</si>
  <si>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</si>
  <si>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</si>
  <si>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</si>
  <si>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</si>
  <si>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</si>
  <si>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</si>
  <si>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</si>
  <si>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</si>
  <si>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</si>
  <si>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</si>
  <si>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</si>
  <si>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</si>
  <si>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</si>
  <si>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</si>
  <si>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</si>
  <si>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</si>
  <si>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</si>
  <si>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</si>
  <si>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</si>
  <si>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</si>
  <si>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</si>
  <si>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</si>
  <si>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</si>
  <si>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</si>
  <si>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</si>
  <si>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</si>
  <si>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</si>
  <si>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</si>
  <si>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</si>
  <si>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</si>
  <si>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</si>
  <si>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</si>
  <si>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</si>
  <si>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</si>
  <si>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</si>
  <si>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</si>
  <si>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</si>
  <si>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</si>
  <si>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</si>
  <si>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</si>
  <si>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</si>
  <si>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</si>
  <si>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</si>
  <si>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</si>
  <si>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</si>
  <si>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</si>
  <si>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</si>
  <si>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</si>
  <si>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</si>
  <si>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</si>
  <si>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</si>
  <si>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</si>
  <si>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</si>
  <si>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</si>
  <si>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</si>
  <si>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</si>
  <si>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</si>
  <si>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</si>
  <si>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</si>
  <si>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</si>
  <si>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</si>
  <si>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</si>
  <si>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</si>
  <si>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</si>
  <si>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</si>
  <si>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</si>
  <si>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</si>
  <si>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</si>
  <si>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</si>
  <si>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</si>
  <si>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</si>
  <si>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</si>
  <si>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</si>
  <si>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</si>
  <si>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</si>
  <si>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</si>
  <si>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</si>
  <si>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</si>
  <si>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</si>
  <si>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</si>
  <si>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</si>
  <si>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</si>
  <si>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</si>
  <si>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</si>
  <si>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</si>
  <si>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</si>
  <si>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</si>
  <si>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</si>
  <si>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</si>
  <si>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</si>
  <si>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</si>
  <si>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</si>
  <si>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</si>
  <si>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</si>
  <si>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</si>
  <si>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</si>
  <si>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</si>
  <si>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</si>
  <si>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</si>
  <si>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</si>
  <si>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</si>
  <si>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</si>
  <si>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</si>
  <si>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</si>
  <si>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</si>
  <si>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</si>
  <si>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</si>
  <si>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</si>
  <si>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</si>
  <si>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</si>
  <si>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</si>
  <si>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</si>
  <si>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</si>
  <si>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</si>
  <si>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</si>
  <si>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</si>
  <si>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</si>
  <si>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</si>
  <si>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</si>
  <si>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</si>
  <si>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</si>
  <si>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</si>
  <si>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</si>
  <si>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</si>
  <si>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</si>
  <si>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</si>
  <si>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</si>
  <si>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</si>
  <si>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</si>
  <si>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</si>
  <si>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</si>
  <si>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</si>
  <si>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</si>
  <si>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</si>
  <si>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</si>
  <si>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</si>
  <si>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</si>
  <si>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</si>
  <si>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</si>
  <si>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</si>
  <si>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</si>
  <si>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</si>
  <si>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</si>
  <si>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</si>
  <si>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</si>
  <si>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</si>
  <si>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</si>
  <si>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</si>
  <si>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</si>
  <si>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</si>
  <si>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</si>
  <si>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</si>
  <si>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</si>
  <si>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</si>
  <si>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</si>
  <si>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</si>
  <si>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</si>
  <si>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</si>
  <si>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</si>
  <si>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</si>
  <si>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</si>
  <si>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</si>
  <si>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</si>
  <si>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</si>
  <si>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</si>
  <si>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</si>
  <si>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</si>
  <si>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</si>
  <si>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</si>
  <si>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</si>
  <si>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</si>
  <si>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</si>
  <si>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</si>
  <si>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</si>
  <si>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</si>
  <si>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</si>
  <si>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</si>
  <si>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</si>
  <si>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</si>
  <si>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</si>
  <si>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</si>
  <si>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</si>
  <si>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</si>
  <si>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</si>
  <si>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</si>
  <si>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</si>
  <si>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</si>
  <si>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</si>
  <si>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</si>
  <si>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</si>
  <si>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</si>
  <si>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</si>
  <si>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</si>
  <si>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</si>
  <si>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</si>
  <si>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</si>
  <si>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</si>
  <si>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</si>
  <si>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</si>
  <si>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</si>
  <si>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</si>
  <si>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</si>
  <si>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</si>
  <si>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</si>
  <si>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</si>
  <si>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 xml:space="preserve">    Μπέρλευ, Βιρτζίνια     Berley Virginia</t>
  </si>
  <si>
    <t xml:space="preserve">       Ανατολικού τύπου      Eastern type</t>
  </si>
  <si>
    <t>Αραχίδα Groundnuts</t>
  </si>
  <si>
    <t>Σόγια, σπόρος Soya seed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</si>
  <si>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</si>
  <si>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</si>
  <si>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</si>
  <si>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</si>
  <si>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>ποτιστικό               irrigated</t>
  </si>
  <si>
    <t xml:space="preserve">Περιφέρειες και Περιφερειακές Ενότητες     </t>
  </si>
  <si>
    <t>σπόρος      seed</t>
  </si>
  <si>
    <t>χόρτο    broom</t>
  </si>
  <si>
    <t>—</t>
  </si>
  <si>
    <t/>
  </si>
  <si>
    <t>Table 2d. Industrial plants. Areas and production by Regions and Regional Unities: 2013</t>
  </si>
  <si>
    <r>
      <t>2</t>
    </r>
    <r>
      <rPr>
        <vertAlign val="superscript"/>
        <sz val="8"/>
        <color indexed="8"/>
        <rFont val="Arial"/>
        <family val="2"/>
        <charset val="161"/>
      </rPr>
      <t>(2)</t>
    </r>
  </si>
  <si>
    <t>Καπνός
Tobacco</t>
  </si>
  <si>
    <t>Βαμβάκι
Cotton</t>
  </si>
  <si>
    <t>Ηλιόσπορος
Sunflower</t>
  </si>
  <si>
    <t>Ζαχαρότευτλα
Sugarbeets</t>
  </si>
  <si>
    <r>
      <t>Αρωματικά
φυτά που
καλλιεργούνται</t>
    </r>
    <r>
      <rPr>
        <vertAlign val="superscript"/>
        <sz val="8"/>
        <color indexed="8"/>
        <rFont val="Arial"/>
        <family val="2"/>
        <charset val="161"/>
      </rPr>
      <t xml:space="preserve">(1) </t>
    </r>
    <r>
      <rPr>
        <sz val="8"/>
        <color indexed="8"/>
        <rFont val="Arial"/>
        <family val="2"/>
        <charset val="161"/>
      </rPr>
      <t>Cultivated aromatic plants</t>
    </r>
  </si>
  <si>
    <r>
      <t xml:space="preserve">  Λοιπά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Other</t>
    </r>
  </si>
  <si>
    <t>ξερικό
non-irrigated</t>
  </si>
  <si>
    <t>Σουσάμι
Sesame</t>
  </si>
  <si>
    <t>Σύνολο
Total</t>
  </si>
  <si>
    <t xml:space="preserve">   Κολοκύθες για σπόρους πασατέμπου
Pumpkin seed</t>
  </si>
  <si>
    <t>Ελαιοκράμβη
Rapeseed</t>
  </si>
  <si>
    <t>Σύνολο Εκτάσεων
Total Area</t>
  </si>
  <si>
    <t>Σόργο
Sorgum</t>
  </si>
  <si>
    <t>2δ. Βιομηχανικά φυτά. Εκτάσεις και παραγωγή κατά Περιφέρεια και Περιφερειακή Ενότητα: 2013</t>
  </si>
  <si>
    <t>Περιφέρεια Δυτικής Μακεδονίας</t>
  </si>
  <si>
    <t>Region of Western Macedonia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</si>
</sst>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sz val="8"/>
      <color rgb="FFC00000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959595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8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6" fillId="0" borderId="0" xfId="0" applyFont="1"/>
    <xf numFmtId="0" fontId="16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0" fontId="12" fillId="0" borderId="13" xfId="0" applyFont="1" applyBorder="1" applyAlignment="1">
      <alignment horizontal="center"/>
    </xf>
    <xf numFmtId="49" fontId="10" fillId="0" borderId="0" xfId="0" applyNumberFormat="1" applyFont="1" applyFill="1" applyBorder="1" applyAlignment="1" applyProtection="1">
      <alignment horizontal="left" wrapText="1" indent="2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6" fillId="0" borderId="7" xfId="0" applyFont="1" applyBorder="1" applyAlignment="1">
      <alignment horizontal="left"/>
    </xf>
    <xf numFmtId="0" fontId="16" fillId="0" borderId="0" xfId="0" applyFont="1" applyAlignment="1">
      <alignment horizontal="right" vertical="center"/>
    </xf>
    <xf numFmtId="0" fontId="16" fillId="0" borderId="0" xfId="0" applyFont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2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49" fontId="16" fillId="0" borderId="0" xfId="0" applyNumberFormat="1" applyFont="1" applyBorder="1"/>
    <xf numFmtId="0" fontId="16" fillId="0" borderId="0" xfId="0" applyFont="1" applyBorder="1" applyAlignment="1">
      <alignment horizontal="left" indent="2"/>
    </xf>
    <xf numFmtId="49" fontId="16" fillId="0" borderId="0" xfId="0" applyNumberFormat="1" applyFont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0" fillId="0" borderId="13" xfId="0" applyNumberFormat="1" applyFont="1" applyFill="1" applyBorder="1" applyAlignment="1" applyProtection="1">
      <alignment horizontal="center" vertical="center" wrapText="1"/>
    </xf>
    <xf numFmtId="0" fontId="12" fillId="0" borderId="16" xfId="0" applyFont="1" applyBorder="1" applyAlignment="1">
      <alignment horizont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left" indent="2"/>
    </xf>
    <xf numFmtId="0" fontId="16" fillId="0" borderId="6" xfId="0" applyFont="1" applyBorder="1" applyAlignment="1">
      <alignment horizontal="left" indent="2"/>
    </xf>
    <xf numFmtId="0" fontId="16" fillId="0" borderId="0" xfId="0" applyFont="1" applyBorder="1" applyAlignment="1">
      <alignment horizontal="center"/>
    </xf>
    <xf numFmtId="3" fontId="10" fillId="0" borderId="0" xfId="0" applyNumberFormat="1" applyFont="1" applyFill="1" applyBorder="1" applyAlignment="1" applyProtection="1">
      <alignment vertical="center" wrapText="1"/>
    </xf>
    <xf numFmtId="0" fontId="0" fillId="0" borderId="0" xfId="0" applyBorder="1"/>
    <xf numFmtId="3" fontId="0" fillId="0" borderId="0" xfId="0" applyNumberFormat="1" applyBorder="1"/>
    <xf numFmtId="3" fontId="9" fillId="0" borderId="0" xfId="0" applyNumberFormat="1" applyFont="1" applyFill="1" applyBorder="1" applyAlignment="1" applyProtection="1">
      <alignment vertical="center" wrapText="1"/>
    </xf>
    <xf numFmtId="0" fontId="10" fillId="0" borderId="7" xfId="0" applyNumberFormat="1" applyFont="1" applyFill="1" applyBorder="1" applyAlignment="1" applyProtection="1"/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0" fillId="0" borderId="0" xfId="0" applyNumberFormat="1" applyFont="1" applyFill="1" applyBorder="1" applyAlignment="1">
      <alignment vertical="center"/>
    </xf>
    <xf numFmtId="0" fontId="16" fillId="0" borderId="7" xfId="0" applyFont="1" applyBorder="1"/>
    <xf numFmtId="3" fontId="10" fillId="0" borderId="19" xfId="0" applyNumberFormat="1" applyFont="1" applyFill="1" applyBorder="1" applyAlignment="1" applyProtection="1">
      <alignment horizontal="right"/>
    </xf>
    <xf numFmtId="3" fontId="10" fillId="0" borderId="19" xfId="0" quotePrefix="1" applyNumberFormat="1" applyFont="1" applyFill="1" applyBorder="1" applyAlignment="1" applyProtection="1">
      <alignment horizontal="right"/>
    </xf>
    <xf numFmtId="3" fontId="10" fillId="0" borderId="20" xfId="0" quotePrefix="1" applyNumberFormat="1" applyFont="1" applyFill="1" applyBorder="1" applyAlignment="1" applyProtection="1">
      <alignment horizontal="right"/>
    </xf>
    <xf numFmtId="3" fontId="10" fillId="0" borderId="21" xfId="0" quotePrefix="1" applyNumberFormat="1" applyFont="1" applyFill="1" applyBorder="1" applyAlignment="1" applyProtection="1">
      <alignment horizontal="right"/>
    </xf>
    <xf numFmtId="3" fontId="10" fillId="0" borderId="22" xfId="0" quotePrefix="1" applyNumberFormat="1" applyFont="1" applyFill="1" applyBorder="1" applyAlignment="1" applyProtection="1">
      <alignment horizontal="right"/>
    </xf>
    <xf numFmtId="3" fontId="10" fillId="0" borderId="23" xfId="0" quotePrefix="1" applyNumberFormat="1" applyFont="1" applyFill="1" applyBorder="1" applyAlignment="1" applyProtection="1">
      <alignment horizontal="right"/>
    </xf>
    <xf numFmtId="3" fontId="10" fillId="0" borderId="0" xfId="0" applyNumberFormat="1" applyFont="1" applyFill="1" applyBorder="1" applyAlignment="1" applyProtection="1"/>
    <xf numFmtId="3" fontId="16" fillId="0" borderId="19" xfId="0" applyNumberFormat="1" applyFont="1" applyBorder="1"/>
    <xf numFmtId="3" fontId="16" fillId="0" borderId="19" xfId="0" applyNumberFormat="1" applyFont="1" applyBorder="1" applyAlignment="1">
      <alignment horizontal="right" vertical="top" wrapText="1"/>
    </xf>
    <xf numFmtId="3" fontId="16" fillId="0" borderId="20" xfId="0" applyNumberFormat="1" applyFont="1" applyBorder="1" applyAlignment="1">
      <alignment vertical="top" wrapText="1"/>
    </xf>
    <xf numFmtId="3" fontId="10" fillId="0" borderId="19" xfId="0" applyNumberFormat="1" applyFont="1" applyBorder="1" applyAlignment="1">
      <alignment horizontal="right" vertical="top" wrapText="1"/>
    </xf>
    <xf numFmtId="3" fontId="10" fillId="0" borderId="19" xfId="0" applyNumberFormat="1" applyFont="1" applyBorder="1"/>
    <xf numFmtId="3" fontId="16" fillId="0" borderId="0" xfId="0" applyNumberFormat="1" applyFont="1"/>
    <xf numFmtId="3" fontId="16" fillId="0" borderId="21" xfId="0" applyNumberFormat="1" applyFont="1" applyBorder="1"/>
    <xf numFmtId="3" fontId="16" fillId="0" borderId="20" xfId="0" applyNumberFormat="1" applyFont="1" applyBorder="1" applyAlignment="1">
      <alignment horizontal="right" vertical="top" wrapText="1"/>
    </xf>
    <xf numFmtId="3" fontId="18" fillId="0" borderId="19" xfId="0" quotePrefix="1" applyNumberFormat="1" applyFont="1" applyFill="1" applyBorder="1" applyAlignment="1" applyProtection="1">
      <alignment horizontal="right"/>
    </xf>
    <xf numFmtId="3" fontId="16" fillId="0" borderId="35" xfId="0" applyNumberFormat="1" applyFont="1" applyBorder="1" applyAlignment="1">
      <alignment horizontal="right" vertical="top" wrapText="1"/>
    </xf>
    <xf numFmtId="3" fontId="10" fillId="0" borderId="21" xfId="0" applyNumberFormat="1" applyFont="1" applyFill="1" applyBorder="1" applyAlignment="1" applyProtection="1">
      <alignment horizontal="right"/>
    </xf>
    <xf numFmtId="0" fontId="16" fillId="0" borderId="19" xfId="0" applyFont="1" applyBorder="1" applyAlignment="1">
      <alignment horizontal="right" vertical="top" wrapText="1"/>
    </xf>
    <xf numFmtId="3" fontId="10" fillId="0" borderId="24" xfId="0" applyNumberFormat="1" applyFont="1" applyFill="1" applyBorder="1" applyAlignment="1" applyProtection="1">
      <alignment horizontal="right" vertical="center" wrapText="1"/>
    </xf>
    <xf numFmtId="3" fontId="10" fillId="0" borderId="25" xfId="0" applyNumberFormat="1" applyFont="1" applyFill="1" applyBorder="1" applyAlignment="1" applyProtection="1">
      <alignment horizontal="right" vertical="center" wrapText="1"/>
    </xf>
    <xf numFmtId="0" fontId="19" fillId="0" borderId="0" xfId="0" applyFont="1" applyBorder="1" applyAlignment="1">
      <alignment horizontal="right" vertical="center"/>
    </xf>
    <xf numFmtId="0" fontId="16" fillId="0" borderId="0" xfId="0" applyFont="1" applyBorder="1" applyAlignment="1">
      <alignment horizontal="left"/>
    </xf>
    <xf numFmtId="3" fontId="9" fillId="0" borderId="24" xfId="0" applyNumberFormat="1" applyFont="1" applyFill="1" applyBorder="1" applyAlignment="1" applyProtection="1">
      <alignment horizontal="right" vertical="center" wrapText="1"/>
    </xf>
    <xf numFmtId="3" fontId="16" fillId="0" borderId="0" xfId="0" applyNumberFormat="1" applyFont="1" applyBorder="1" applyAlignment="1">
      <alignment horizontal="right" vertical="top" wrapText="1"/>
    </xf>
    <xf numFmtId="49" fontId="9" fillId="0" borderId="0" xfId="0" applyNumberFormat="1" applyFont="1" applyFill="1" applyBorder="1" applyAlignment="1" applyProtection="1">
      <alignment vertical="center" wrapText="1"/>
    </xf>
    <xf numFmtId="3" fontId="19" fillId="0" borderId="19" xfId="0" applyNumberFormat="1" applyFont="1" applyBorder="1" applyAlignment="1">
      <alignment vertical="center" wrapText="1"/>
    </xf>
    <xf numFmtId="3" fontId="19" fillId="0" borderId="20" xfId="0" applyNumberFormat="1" applyFont="1" applyBorder="1" applyAlignment="1">
      <alignment vertical="center" wrapText="1"/>
    </xf>
    <xf numFmtId="0" fontId="19" fillId="0" borderId="4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3" fontId="16" fillId="0" borderId="0" xfId="0" applyNumberFormat="1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  <xf numFmtId="3" fontId="10" fillId="0" borderId="0" xfId="0" quotePrefix="1" applyNumberFormat="1" applyFont="1" applyFill="1" applyBorder="1" applyAlignment="1" applyProtection="1">
      <alignment horizontal="right"/>
    </xf>
    <xf numFmtId="3" fontId="19" fillId="0" borderId="0" xfId="0" applyNumberFormat="1" applyFont="1" applyBorder="1" applyAlignment="1">
      <alignment vertical="center" wrapText="1"/>
    </xf>
    <xf numFmtId="3" fontId="10" fillId="0" borderId="0" xfId="0" applyNumberFormat="1" applyFont="1" applyFill="1" applyBorder="1" applyAlignment="1" applyProtection="1">
      <alignment horizontal="right"/>
    </xf>
    <xf numFmtId="3" fontId="10" fillId="0" borderId="7" xfId="0" quotePrefix="1" applyNumberFormat="1" applyFont="1" applyFill="1" applyBorder="1" applyAlignment="1" applyProtection="1">
      <alignment horizontal="right"/>
    </xf>
    <xf numFmtId="3" fontId="17" fillId="0" borderId="0" xfId="0" applyNumberFormat="1" applyFont="1" applyBorder="1" applyAlignment="1">
      <alignment horizontal="right" vertical="top" wrapText="1"/>
    </xf>
    <xf numFmtId="3" fontId="10" fillId="0" borderId="0" xfId="0" applyNumberFormat="1" applyFont="1" applyBorder="1" applyAlignment="1">
      <alignment horizontal="right" vertical="top" wrapText="1"/>
    </xf>
    <xf numFmtId="3" fontId="19" fillId="0" borderId="21" xfId="0" applyNumberFormat="1" applyFont="1" applyBorder="1" applyAlignment="1">
      <alignment vertical="center" wrapText="1"/>
    </xf>
    <xf numFmtId="0" fontId="16" fillId="0" borderId="19" xfId="0" applyFont="1" applyBorder="1"/>
    <xf numFmtId="3" fontId="16" fillId="0" borderId="0" xfId="0" applyNumberFormat="1" applyFont="1" applyBorder="1"/>
    <xf numFmtId="3" fontId="10" fillId="0" borderId="0" xfId="0" applyNumberFormat="1" applyFont="1" applyBorder="1"/>
    <xf numFmtId="3" fontId="10" fillId="0" borderId="21" xfId="0" applyNumberFormat="1" applyFont="1" applyBorder="1"/>
    <xf numFmtId="3" fontId="10" fillId="0" borderId="38" xfId="0" quotePrefix="1" applyNumberFormat="1" applyFont="1" applyFill="1" applyBorder="1" applyAlignment="1" applyProtection="1">
      <alignment horizontal="right"/>
    </xf>
    <xf numFmtId="0" fontId="12" fillId="0" borderId="41" xfId="0" applyFont="1" applyBorder="1" applyAlignment="1">
      <alignment horizontal="center"/>
    </xf>
    <xf numFmtId="3" fontId="16" fillId="0" borderId="39" xfId="0" applyNumberFormat="1" applyFont="1" applyBorder="1" applyAlignment="1">
      <alignment horizontal="right" vertical="top" wrapText="1"/>
    </xf>
    <xf numFmtId="3" fontId="10" fillId="0" borderId="39" xfId="0" quotePrefix="1" applyNumberFormat="1" applyFont="1" applyFill="1" applyBorder="1" applyAlignment="1" applyProtection="1">
      <alignment horizontal="right"/>
    </xf>
    <xf numFmtId="3" fontId="19" fillId="0" borderId="39" xfId="0" applyNumberFormat="1" applyFont="1" applyBorder="1" applyAlignment="1">
      <alignment vertical="center" wrapText="1"/>
    </xf>
    <xf numFmtId="3" fontId="16" fillId="0" borderId="22" xfId="0" applyNumberFormat="1" applyFont="1" applyBorder="1" applyAlignment="1">
      <alignment horizontal="right" vertical="top" wrapText="1"/>
    </xf>
    <xf numFmtId="3" fontId="16" fillId="0" borderId="7" xfId="0" applyNumberFormat="1" applyFont="1" applyBorder="1"/>
    <xf numFmtId="3" fontId="10" fillId="0" borderId="42" xfId="0" quotePrefix="1" applyNumberFormat="1" applyFont="1" applyFill="1" applyBorder="1" applyAlignment="1" applyProtection="1">
      <alignment horizontal="right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3" fontId="19" fillId="0" borderId="19" xfId="0" applyNumberFormat="1" applyFont="1" applyBorder="1" applyAlignment="1">
      <alignment horizontal="right" vertical="center"/>
    </xf>
    <xf numFmtId="3" fontId="19" fillId="0" borderId="39" xfId="0" applyNumberFormat="1" applyFont="1" applyBorder="1" applyAlignment="1">
      <alignment horizontal="right"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/>
    </xf>
    <xf numFmtId="3" fontId="9" fillId="0" borderId="36" xfId="0" applyNumberFormat="1" applyFont="1" applyFill="1" applyBorder="1" applyAlignment="1" applyProtection="1">
      <alignment horizontal="right" vertical="center" wrapText="1"/>
    </xf>
    <xf numFmtId="0" fontId="9" fillId="0" borderId="19" xfId="0" applyNumberFormat="1" applyFont="1" applyFill="1" applyBorder="1" applyAlignment="1" applyProtection="1">
      <alignment horizontal="right" vertical="center" wrapText="1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right" vertical="center" wrapText="1"/>
    </xf>
    <xf numFmtId="3" fontId="9" fillId="0" borderId="39" xfId="0" applyNumberFormat="1" applyFont="1" applyFill="1" applyBorder="1" applyAlignment="1" applyProtection="1">
      <alignment horizontal="right" vertical="center"/>
    </xf>
    <xf numFmtId="3" fontId="9" fillId="0" borderId="19" xfId="0" applyNumberFormat="1" applyFont="1" applyFill="1" applyBorder="1" applyAlignment="1" applyProtection="1">
      <alignment horizontal="right" vertical="center"/>
    </xf>
    <xf numFmtId="3" fontId="9" fillId="0" borderId="21" xfId="0" applyNumberFormat="1" applyFont="1" applyFill="1" applyBorder="1" applyAlignment="1" applyProtection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3" fontId="19" fillId="0" borderId="0" xfId="0" applyNumberFormat="1" applyFont="1" applyBorder="1" applyAlignment="1">
      <alignment horizontal="right" vertical="center"/>
    </xf>
    <xf numFmtId="3" fontId="9" fillId="0" borderId="24" xfId="0" applyNumberFormat="1" applyFont="1" applyFill="1" applyBorder="1" applyAlignment="1" applyProtection="1">
      <alignment horizontal="right" vertical="center" wrapText="1"/>
    </xf>
    <xf numFmtId="0" fontId="9" fillId="0" borderId="24" xfId="0" applyNumberFormat="1" applyFont="1" applyFill="1" applyBorder="1" applyAlignment="1" applyProtection="1">
      <alignment horizontal="right" vertical="center" wrapText="1"/>
    </xf>
    <xf numFmtId="0" fontId="10" fillId="0" borderId="7" xfId="0" applyFont="1" applyFill="1" applyBorder="1" applyAlignment="1" applyProtection="1">
      <alignment horizontal="left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10" fillId="0" borderId="40" xfId="0" applyNumberFormat="1" applyFont="1" applyFill="1" applyBorder="1" applyAlignment="1" applyProtection="1">
      <alignment horizontal="center" vertical="center" wrapText="1"/>
    </xf>
    <xf numFmtId="0" fontId="10" fillId="0" borderId="39" xfId="0" applyNumberFormat="1" applyFont="1" applyFill="1" applyBorder="1" applyAlignment="1" applyProtection="1">
      <alignment horizontal="center" vertical="center" wrapText="1"/>
    </xf>
    <xf numFmtId="0" fontId="10" fillId="0" borderId="41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18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3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3" fontId="9" fillId="0" borderId="33" xfId="0" applyNumberFormat="1" applyFont="1" applyFill="1" applyBorder="1" applyAlignment="1" applyProtection="1">
      <alignment horizontal="right" vertical="center" wrapText="1"/>
    </xf>
    <xf numFmtId="0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0" fillId="0" borderId="31" xfId="0" applyNumberFormat="1" applyFont="1" applyFill="1" applyBorder="1" applyAlignment="1" applyProtection="1">
      <alignment horizontal="center" vertical="center" wrapText="1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3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vertical="center" wrapText="1"/>
    </xf>
    <xf numFmtId="0" fontId="10" fillId="0" borderId="28" xfId="0" applyNumberFormat="1" applyFont="1" applyFill="1" applyBorder="1" applyAlignment="1" applyProtection="1">
      <alignment vertical="center" wrapText="1"/>
    </xf>
    <xf numFmtId="0" fontId="10" fillId="0" borderId="16" xfId="0" applyNumberFormat="1" applyFont="1" applyFill="1" applyBorder="1" applyAlignment="1" applyProtection="1">
      <alignment vertical="center" wrapText="1"/>
    </xf>
    <xf numFmtId="0" fontId="10" fillId="0" borderId="29" xfId="0" applyNumberFormat="1" applyFont="1" applyFill="1" applyBorder="1" applyAlignment="1" applyProtection="1">
      <alignment vertical="center" wrapText="1"/>
    </xf>
    <xf numFmtId="0" fontId="10" fillId="0" borderId="15" xfId="0" applyNumberFormat="1" applyFont="1" applyFill="1" applyBorder="1" applyAlignment="1" applyProtection="1">
      <alignment vertical="center" wrapText="1"/>
    </xf>
    <xf numFmtId="0" fontId="20" fillId="0" borderId="28" xfId="0" applyFont="1" applyBorder="1"/>
    <xf numFmtId="0" fontId="20" fillId="0" borderId="20" xfId="0" applyFont="1" applyBorder="1"/>
    <xf numFmtId="0" fontId="20" fillId="0" borderId="21" xfId="0" applyFont="1" applyBorder="1"/>
    <xf numFmtId="0" fontId="20" fillId="0" borderId="16" xfId="0" applyFont="1" applyBorder="1"/>
    <xf numFmtId="0" fontId="20" fillId="0" borderId="15" xfId="0" applyFont="1" applyBorder="1"/>
    <xf numFmtId="3" fontId="9" fillId="0" borderId="37" xfId="0" applyNumberFormat="1" applyFont="1" applyFill="1" applyBorder="1" applyAlignment="1" applyProtection="1">
      <alignment horizontal="right" vertical="center" wrapText="1"/>
    </xf>
    <xf numFmtId="0" fontId="9" fillId="0" borderId="20" xfId="0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Fill="1" applyBorder="1" applyAlignment="1" applyProtection="1">
      <alignment horizontal="right" vertical="center" wrapText="1"/>
    </xf>
    <xf numFmtId="0" fontId="9" fillId="0" borderId="5" xfId="0" applyNumberFormat="1" applyFont="1" applyFill="1" applyBorder="1" applyAlignment="1" applyProtection="1">
      <alignment horizontal="right" vertical="center" wrapTex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3" fontId="13" fillId="0" borderId="20" xfId="0" applyNumberFormat="1" applyFont="1" applyBorder="1" applyAlignment="1">
      <alignment horizontal="right" vertical="center"/>
    </xf>
    <xf numFmtId="3" fontId="13" fillId="0" borderId="19" xfId="0" applyNumberFormat="1" applyFont="1" applyBorder="1" applyAlignment="1">
      <alignment horizontal="right" vertical="center"/>
    </xf>
    <xf numFmtId="3" fontId="13" fillId="0" borderId="0" xfId="0" applyNumberFormat="1" applyFont="1" applyBorder="1" applyAlignment="1">
      <alignment horizontal="right" vertical="center"/>
    </xf>
    <xf numFmtId="49" fontId="9" fillId="0" borderId="34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13" fillId="0" borderId="21" xfId="0" applyNumberFormat="1" applyFont="1" applyBorder="1" applyAlignment="1">
      <alignment horizontal="right" vertical="center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13" fillId="0" borderId="39" xfId="0" applyNumberFormat="1" applyFont="1" applyBorder="1" applyAlignment="1">
      <alignment horizontal="righ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20" xfId="0" applyNumberFormat="1" applyFont="1" applyFill="1" applyBorder="1" applyAlignment="1" applyProtection="1">
      <alignment horizontal="right" vertical="center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3" fontId="19" fillId="0" borderId="20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 wrapText="1"/>
    </xf>
    <xf numFmtId="49" fontId="19" fillId="0" borderId="0" xfId="0" applyNumberFormat="1" applyFont="1" applyBorder="1" applyAlignment="1">
      <alignment horizontal="left" vertical="center"/>
    </xf>
    <xf numFmtId="49" fontId="19" fillId="0" borderId="0" xfId="0" applyNumberFormat="1" applyFont="1" applyBorder="1" applyAlignment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6;&#925;&#931;&#919;_&#928;&#929;&#937;&#932;&#927;&#915;_&#917;&#923;&#931;&#932;&#913;&#932;/1.%20&#917;&#932;&#919;&#931;&#921;&#913;%20&#915;&#917;&#937;&#929;&#915;&#921;&#922;&#919;%20&#917;&#929;&#917;&#933;&#925;&#913;/15.%20&#913;&#925;&#913;&#923;&#933;&#932;&#921;&#922;&#927;&#921;%20&#928;&#921;&#925;&#913;&#922;&#917;&#931;%20&#917;&#915;&#917;/3.%202013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214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215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217" t="s">
        <v>7</v>
      </c>
      <c r="E3" s="217"/>
      <c r="F3" s="217"/>
      <c r="G3" s="217"/>
      <c r="H3" s="215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15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215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215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215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215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215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215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15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215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215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215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215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215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215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215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215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15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216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218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19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19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19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19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19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19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19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19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20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21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22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22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22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22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22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22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22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22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22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22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22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23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214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215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215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215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15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215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215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216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211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212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12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212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212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212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212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212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212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212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12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212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212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212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212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212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212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213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35"/>
  <sheetViews>
    <sheetView showGridLines="0" tabSelected="1" zoomScale="115" zoomScaleNormal="115" workbookViewId="0">
      <selection activeCell="A4" sqref="A4:A7"/>
    </sheetView>
  </sheetViews>
  <sheetFormatPr defaultRowHeight="10.199999999999999"/>
  <cols>
    <col min="1" max="1" width="41.77734375" style="120" customWidth="1"/>
    <col min="2" max="2" width="10.109375" style="120" customWidth="1"/>
    <col min="3" max="3" width="8.21875" style="120" customWidth="1"/>
    <col min="4" max="4" width="8.88671875" style="120" customWidth="1"/>
    <col min="5" max="13" width="8.21875" style="120" customWidth="1"/>
    <col min="14" max="14" width="9.21875" style="120" customWidth="1"/>
    <col min="15" max="17" width="9.33203125" style="120" customWidth="1"/>
    <col min="18" max="19" width="6.44140625" style="120" customWidth="1"/>
    <col min="20" max="20" width="8" style="120" customWidth="1"/>
    <col min="21" max="21" width="7.44140625" style="120" customWidth="1"/>
    <col min="22" max="22" width="7.109375" style="120" customWidth="1"/>
    <col min="23" max="23" width="5.44140625" style="120" customWidth="1"/>
    <col min="24" max="24" width="8" style="120" customWidth="1"/>
    <col min="25" max="25" width="8.6640625" style="120" customWidth="1"/>
    <col min="26" max="27" width="9.33203125" style="120" customWidth="1"/>
    <col min="28" max="28" width="12.5546875" style="120" customWidth="1"/>
    <col min="29" max="29" width="9.33203125" style="120" customWidth="1"/>
    <col min="30" max="30" width="9.6640625" style="120" customWidth="1"/>
    <col min="31" max="31" width="10" style="120" customWidth="1"/>
    <col min="32" max="32" width="17.44140625" style="120" customWidth="1"/>
    <col min="33" max="33" width="10.109375" style="120" customWidth="1"/>
    <col min="34" max="16384" width="8.88671875" style="120"/>
  </cols>
  <sheetData>
    <row r="1" spans="1:33" ht="18.600000000000001" customHeight="1">
      <c r="A1" s="226" t="s">
        <v>304</v>
      </c>
      <c r="B1" s="226"/>
      <c r="C1" s="226"/>
      <c r="D1" s="226"/>
      <c r="E1" s="226"/>
      <c r="F1" s="226"/>
      <c r="G1" s="226"/>
      <c r="H1" s="226"/>
      <c r="O1" s="123"/>
      <c r="P1" s="123"/>
      <c r="Q1" s="123"/>
      <c r="R1" s="123"/>
      <c r="S1" s="226" t="s">
        <v>289</v>
      </c>
      <c r="T1" s="226"/>
      <c r="U1" s="226"/>
      <c r="V1" s="226"/>
      <c r="W1" s="226"/>
      <c r="X1" s="226"/>
      <c r="Y1" s="226"/>
      <c r="Z1" s="226"/>
      <c r="AA1" s="226"/>
      <c r="AB1" s="121"/>
      <c r="AC1" s="121"/>
      <c r="AD1" s="121"/>
      <c r="AE1" s="121"/>
      <c r="AF1" s="121"/>
      <c r="AG1" s="121"/>
    </row>
    <row r="2" spans="1:33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3"/>
      <c r="P2" s="123"/>
      <c r="Q2" s="123"/>
      <c r="R2" s="123"/>
      <c r="S2" s="123"/>
      <c r="T2" s="123"/>
      <c r="U2" s="123"/>
      <c r="V2" s="123"/>
      <c r="W2" s="123"/>
      <c r="X2" s="121"/>
      <c r="Y2" s="121"/>
      <c r="Z2" s="121"/>
      <c r="AA2" s="121"/>
      <c r="AB2" s="121"/>
      <c r="AC2" s="121"/>
      <c r="AD2" s="121"/>
      <c r="AE2" s="121"/>
      <c r="AF2" s="121"/>
      <c r="AG2" s="121"/>
    </row>
    <row r="3" spans="1:33" ht="15" customHeight="1" thickBot="1">
      <c r="A3" s="124" t="s">
        <v>170</v>
      </c>
      <c r="B3" s="124"/>
      <c r="C3" s="124"/>
      <c r="D3" s="124"/>
      <c r="E3" s="124"/>
      <c r="F3" s="124"/>
      <c r="G3" s="152"/>
      <c r="H3" s="152"/>
      <c r="I3" s="152"/>
      <c r="J3" s="152"/>
      <c r="K3" s="152"/>
      <c r="L3" s="152"/>
      <c r="M3" s="152"/>
      <c r="N3" s="152"/>
      <c r="O3" s="240"/>
      <c r="P3" s="240"/>
      <c r="Q3" s="240"/>
      <c r="R3" s="240"/>
      <c r="S3" s="158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 t="s">
        <v>171</v>
      </c>
      <c r="AE3" s="152"/>
      <c r="AF3" s="152"/>
      <c r="AG3" s="125"/>
    </row>
    <row r="4" spans="1:33" ht="10.199999999999999" customHeight="1">
      <c r="A4" s="255" t="s">
        <v>284</v>
      </c>
      <c r="B4" s="274" t="s">
        <v>302</v>
      </c>
      <c r="C4" s="241" t="s">
        <v>291</v>
      </c>
      <c r="D4" s="277"/>
      <c r="E4" s="277"/>
      <c r="F4" s="278"/>
      <c r="G4" s="241" t="s">
        <v>292</v>
      </c>
      <c r="H4" s="253"/>
      <c r="I4" s="253"/>
      <c r="J4" s="242"/>
      <c r="K4" s="241" t="s">
        <v>298</v>
      </c>
      <c r="L4" s="282"/>
      <c r="M4" s="241" t="s">
        <v>293</v>
      </c>
      <c r="N4" s="242"/>
      <c r="O4" s="241" t="s">
        <v>303</v>
      </c>
      <c r="P4" s="253"/>
      <c r="Q4" s="242"/>
      <c r="R4" s="241" t="s">
        <v>277</v>
      </c>
      <c r="S4" s="242"/>
      <c r="T4" s="241" t="s">
        <v>294</v>
      </c>
      <c r="U4" s="253"/>
      <c r="V4" s="241" t="s">
        <v>278</v>
      </c>
      <c r="W4" s="242"/>
      <c r="X4" s="241" t="s">
        <v>300</v>
      </c>
      <c r="Y4" s="242"/>
      <c r="Z4" s="268" t="s">
        <v>301</v>
      </c>
      <c r="AA4" s="269"/>
      <c r="AB4" s="268" t="s">
        <v>295</v>
      </c>
      <c r="AC4" s="247" t="s">
        <v>296</v>
      </c>
      <c r="AD4" s="258" t="s">
        <v>172</v>
      </c>
      <c r="AE4" s="259"/>
      <c r="AF4" s="259"/>
      <c r="AG4" s="131"/>
    </row>
    <row r="5" spans="1:33">
      <c r="A5" s="256"/>
      <c r="B5" s="275"/>
      <c r="C5" s="279"/>
      <c r="D5" s="280"/>
      <c r="E5" s="280"/>
      <c r="F5" s="281"/>
      <c r="G5" s="245"/>
      <c r="H5" s="254"/>
      <c r="I5" s="254"/>
      <c r="J5" s="246"/>
      <c r="K5" s="283"/>
      <c r="L5" s="284"/>
      <c r="M5" s="243"/>
      <c r="N5" s="244"/>
      <c r="O5" s="245"/>
      <c r="P5" s="254"/>
      <c r="Q5" s="246"/>
      <c r="R5" s="243"/>
      <c r="S5" s="244"/>
      <c r="T5" s="243"/>
      <c r="U5" s="262"/>
      <c r="V5" s="243"/>
      <c r="W5" s="244"/>
      <c r="X5" s="243"/>
      <c r="Y5" s="244"/>
      <c r="Z5" s="270"/>
      <c r="AA5" s="271"/>
      <c r="AB5" s="270"/>
      <c r="AC5" s="248"/>
      <c r="AD5" s="260"/>
      <c r="AE5" s="261"/>
      <c r="AF5" s="261"/>
      <c r="AG5" s="131"/>
    </row>
    <row r="6" spans="1:33" ht="36.6" customHeight="1">
      <c r="A6" s="256"/>
      <c r="B6" s="275"/>
      <c r="C6" s="250" t="s">
        <v>276</v>
      </c>
      <c r="D6" s="252"/>
      <c r="E6" s="250" t="s">
        <v>275</v>
      </c>
      <c r="F6" s="252"/>
      <c r="G6" s="250" t="s">
        <v>283</v>
      </c>
      <c r="H6" s="251"/>
      <c r="I6" s="250" t="s">
        <v>297</v>
      </c>
      <c r="J6" s="252"/>
      <c r="K6" s="285"/>
      <c r="L6" s="286"/>
      <c r="M6" s="245"/>
      <c r="N6" s="246"/>
      <c r="O6" s="141" t="s">
        <v>299</v>
      </c>
      <c r="P6" s="155" t="s">
        <v>286</v>
      </c>
      <c r="Q6" s="154" t="s">
        <v>285</v>
      </c>
      <c r="R6" s="245"/>
      <c r="S6" s="246"/>
      <c r="T6" s="245"/>
      <c r="U6" s="254"/>
      <c r="V6" s="245"/>
      <c r="W6" s="246"/>
      <c r="X6" s="245"/>
      <c r="Y6" s="246"/>
      <c r="Z6" s="272"/>
      <c r="AA6" s="273"/>
      <c r="AB6" s="272"/>
      <c r="AC6" s="249"/>
      <c r="AD6" s="260"/>
      <c r="AE6" s="261"/>
      <c r="AF6" s="261"/>
      <c r="AG6" s="131"/>
    </row>
    <row r="7" spans="1:33" s="144" customFormat="1" ht="12" thickBot="1">
      <c r="A7" s="257"/>
      <c r="B7" s="276"/>
      <c r="C7" s="126">
        <v>1</v>
      </c>
      <c r="D7" s="126">
        <v>2</v>
      </c>
      <c r="E7" s="126">
        <v>1</v>
      </c>
      <c r="F7" s="126">
        <v>2</v>
      </c>
      <c r="G7" s="126">
        <v>1</v>
      </c>
      <c r="H7" s="126" t="s">
        <v>290</v>
      </c>
      <c r="I7" s="139">
        <v>1</v>
      </c>
      <c r="J7" s="139" t="s">
        <v>290</v>
      </c>
      <c r="K7" s="126">
        <v>1</v>
      </c>
      <c r="L7" s="126">
        <v>2</v>
      </c>
      <c r="M7" s="126">
        <v>1</v>
      </c>
      <c r="N7" s="126">
        <v>2</v>
      </c>
      <c r="O7" s="140">
        <v>1</v>
      </c>
      <c r="P7" s="139">
        <v>2</v>
      </c>
      <c r="Q7" s="139">
        <v>2</v>
      </c>
      <c r="R7" s="126">
        <v>1</v>
      </c>
      <c r="S7" s="140">
        <v>2</v>
      </c>
      <c r="T7" s="126">
        <v>1</v>
      </c>
      <c r="U7" s="139">
        <v>2</v>
      </c>
      <c r="V7" s="142">
        <v>1</v>
      </c>
      <c r="W7" s="126">
        <v>2</v>
      </c>
      <c r="X7" s="142">
        <v>1</v>
      </c>
      <c r="Y7" s="141">
        <v>2</v>
      </c>
      <c r="Z7" s="153">
        <v>1</v>
      </c>
      <c r="AA7" s="143">
        <v>2</v>
      </c>
      <c r="AB7" s="143">
        <v>1</v>
      </c>
      <c r="AC7" s="204">
        <v>1</v>
      </c>
      <c r="AD7" s="260"/>
      <c r="AE7" s="261"/>
      <c r="AF7" s="261"/>
      <c r="AG7" s="147"/>
    </row>
    <row r="8" spans="1:33" ht="11.4" customHeight="1">
      <c r="A8" s="295" t="s">
        <v>173</v>
      </c>
      <c r="B8" s="297">
        <f>SUM(B10,B18,B27,B32,B38,B45,B52,B59,B64,B71,B81,B88,B103)</f>
        <v>3812480</v>
      </c>
      <c r="C8" s="287">
        <f t="shared" ref="C8:AC8" si="0">SUM(C10,C18,C27,C32,C38,C45,C52,C59,C64,C71,C81,C88,C103)</f>
        <v>166264</v>
      </c>
      <c r="D8" s="229">
        <f t="shared" si="0"/>
        <v>32825.493999999999</v>
      </c>
      <c r="E8" s="231">
        <f t="shared" si="0"/>
        <v>24068</v>
      </c>
      <c r="F8" s="229">
        <f t="shared" si="0"/>
        <v>7787.16</v>
      </c>
      <c r="G8" s="231">
        <f>SUM(G10,G18,G27,G32,G38,G45,G52,G59,G64,G71,G81,G88,G103)</f>
        <v>2565697</v>
      </c>
      <c r="H8" s="229">
        <f t="shared" si="0"/>
        <v>853589.71400000015</v>
      </c>
      <c r="I8" s="231">
        <f t="shared" si="0"/>
        <v>152895</v>
      </c>
      <c r="J8" s="229">
        <f t="shared" si="0"/>
        <v>21062.200999999997</v>
      </c>
      <c r="K8" s="231">
        <f t="shared" si="0"/>
        <v>816</v>
      </c>
      <c r="L8" s="229">
        <f t="shared" si="0"/>
        <v>52.176000000000002</v>
      </c>
      <c r="M8" s="231">
        <f t="shared" si="0"/>
        <v>722996</v>
      </c>
      <c r="N8" s="229">
        <f t="shared" si="0"/>
        <v>172.07176699999997</v>
      </c>
      <c r="O8" s="231">
        <f t="shared" si="0"/>
        <v>129</v>
      </c>
      <c r="P8" s="229">
        <f t="shared" si="0"/>
        <v>17.5</v>
      </c>
      <c r="Q8" s="231">
        <f t="shared" si="0"/>
        <v>17</v>
      </c>
      <c r="R8" s="229">
        <f t="shared" si="0"/>
        <v>6771</v>
      </c>
      <c r="S8" s="231">
        <f t="shared" si="0"/>
        <v>2527.64</v>
      </c>
      <c r="T8" s="287">
        <f t="shared" si="0"/>
        <v>73860</v>
      </c>
      <c r="U8" s="229">
        <f t="shared" si="0"/>
        <v>453916.44999999995</v>
      </c>
      <c r="V8" s="263">
        <f t="shared" si="0"/>
        <v>5376</v>
      </c>
      <c r="W8" s="263">
        <f t="shared" si="0"/>
        <v>1471.6399999999999</v>
      </c>
      <c r="X8" s="263">
        <f t="shared" si="0"/>
        <v>6237</v>
      </c>
      <c r="Y8" s="263">
        <f>SUM(Y10,Y18,Y27,Y32,Y38,Y45,Y52,Y59,Y64,Y71,Y81,Y88,Y103)</f>
        <v>839.12000000000012</v>
      </c>
      <c r="Z8" s="263">
        <f t="shared" si="0"/>
        <v>58717</v>
      </c>
      <c r="AA8" s="263">
        <f t="shared" si="0"/>
        <v>12181.495000000001</v>
      </c>
      <c r="AB8" s="263">
        <f t="shared" si="0"/>
        <v>17669</v>
      </c>
      <c r="AC8" s="289">
        <f t="shared" si="0"/>
        <v>10985</v>
      </c>
      <c r="AD8" s="265" t="s">
        <v>174</v>
      </c>
      <c r="AE8" s="266"/>
      <c r="AF8" s="266"/>
      <c r="AG8" s="131"/>
    </row>
    <row r="9" spans="1:33">
      <c r="A9" s="296"/>
      <c r="B9" s="298"/>
      <c r="C9" s="288"/>
      <c r="D9" s="230"/>
      <c r="E9" s="232"/>
      <c r="F9" s="230"/>
      <c r="G9" s="232"/>
      <c r="H9" s="230"/>
      <c r="I9" s="232"/>
      <c r="J9" s="230"/>
      <c r="K9" s="232"/>
      <c r="L9" s="230"/>
      <c r="M9" s="232"/>
      <c r="N9" s="230"/>
      <c r="O9" s="232"/>
      <c r="P9" s="230"/>
      <c r="Q9" s="232"/>
      <c r="R9" s="230"/>
      <c r="S9" s="232"/>
      <c r="T9" s="288"/>
      <c r="U9" s="230"/>
      <c r="V9" s="264"/>
      <c r="W9" s="264"/>
      <c r="X9" s="264"/>
      <c r="Y9" s="264"/>
      <c r="Z9" s="264"/>
      <c r="AA9" s="264"/>
      <c r="AB9" s="264"/>
      <c r="AC9" s="290"/>
      <c r="AD9" s="267"/>
      <c r="AE9" s="226"/>
      <c r="AF9" s="226"/>
      <c r="AG9" s="131"/>
    </row>
    <row r="10" spans="1:33" ht="14.4" customHeight="1">
      <c r="A10" s="291" t="s">
        <v>175</v>
      </c>
      <c r="B10" s="238">
        <f>SUM(C10,E10,G10,I10,K10,M10,O10,R10,T10,V10,X10,Z10,AB10,AC10)</f>
        <v>1203334</v>
      </c>
      <c r="C10" s="292">
        <f>SUM(C12:C17)</f>
        <v>76198</v>
      </c>
      <c r="D10" s="293">
        <f t="shared" ref="D10:X10" si="1">SUM(D12:D17)</f>
        <v>10610.791999999999</v>
      </c>
      <c r="E10" s="294">
        <f t="shared" si="1"/>
        <v>4343</v>
      </c>
      <c r="F10" s="293">
        <f t="shared" si="1"/>
        <v>827.94</v>
      </c>
      <c r="G10" s="294">
        <f t="shared" si="1"/>
        <v>457650</v>
      </c>
      <c r="H10" s="293">
        <f t="shared" si="1"/>
        <v>126999.87000000001</v>
      </c>
      <c r="I10" s="294">
        <f>SUM(I12:I17)</f>
        <v>128382</v>
      </c>
      <c r="J10" s="293">
        <f>SUM(J12:J17)</f>
        <v>16587.060999999998</v>
      </c>
      <c r="K10" s="294">
        <f t="shared" si="1"/>
        <v>362</v>
      </c>
      <c r="L10" s="293">
        <f t="shared" si="1"/>
        <v>22.934999999999999</v>
      </c>
      <c r="M10" s="294">
        <f t="shared" si="1"/>
        <v>498621</v>
      </c>
      <c r="N10" s="293">
        <f t="shared" si="1"/>
        <v>116.611965</v>
      </c>
      <c r="O10" s="294">
        <f t="shared" si="1"/>
        <v>70</v>
      </c>
      <c r="P10" s="293">
        <f t="shared" si="1"/>
        <v>17.5</v>
      </c>
      <c r="Q10" s="294">
        <f t="shared" si="1"/>
        <v>17</v>
      </c>
      <c r="R10" s="293">
        <f t="shared" si="1"/>
        <v>107</v>
      </c>
      <c r="S10" s="294">
        <f t="shared" si="1"/>
        <v>35.4</v>
      </c>
      <c r="T10" s="293">
        <f t="shared" si="1"/>
        <v>13924</v>
      </c>
      <c r="U10" s="299">
        <f t="shared" si="1"/>
        <v>81995.55</v>
      </c>
      <c r="V10" s="293">
        <f t="shared" si="1"/>
        <v>2017</v>
      </c>
      <c r="W10" s="293">
        <f t="shared" si="1"/>
        <v>494.6</v>
      </c>
      <c r="X10" s="293">
        <f t="shared" si="1"/>
        <v>6219</v>
      </c>
      <c r="Y10" s="293">
        <f>SUM(Y12:Y17)</f>
        <v>816.42000000000007</v>
      </c>
      <c r="Z10" s="293">
        <f>SUM(Z12:Z17)</f>
        <v>15056</v>
      </c>
      <c r="AA10" s="293">
        <f>SUM(AA12:AA17)</f>
        <v>3215.8</v>
      </c>
      <c r="AB10" s="293">
        <f>SUM(AB12:AB17)</f>
        <v>333</v>
      </c>
      <c r="AC10" s="302">
        <f>SUM(AC12:AC17)</f>
        <v>52</v>
      </c>
      <c r="AD10" s="300" t="s">
        <v>176</v>
      </c>
      <c r="AE10" s="301"/>
      <c r="AF10" s="301"/>
      <c r="AG10" s="131"/>
    </row>
    <row r="11" spans="1:33" ht="12" customHeight="1">
      <c r="A11" s="291"/>
      <c r="B11" s="239"/>
      <c r="C11" s="292"/>
      <c r="D11" s="293"/>
      <c r="E11" s="294"/>
      <c r="F11" s="293"/>
      <c r="G11" s="294"/>
      <c r="H11" s="293"/>
      <c r="I11" s="294"/>
      <c r="J11" s="293"/>
      <c r="K11" s="294"/>
      <c r="L11" s="293"/>
      <c r="M11" s="294"/>
      <c r="N11" s="293"/>
      <c r="O11" s="294"/>
      <c r="P11" s="293"/>
      <c r="Q11" s="294"/>
      <c r="R11" s="293"/>
      <c r="S11" s="294"/>
      <c r="T11" s="293"/>
      <c r="U11" s="299"/>
      <c r="V11" s="293"/>
      <c r="W11" s="293"/>
      <c r="X11" s="293"/>
      <c r="Y11" s="293"/>
      <c r="Z11" s="293"/>
      <c r="AA11" s="293"/>
      <c r="AB11" s="293"/>
      <c r="AC11" s="302"/>
      <c r="AD11" s="300"/>
      <c r="AE11" s="301"/>
      <c r="AF11" s="301"/>
      <c r="AG11" s="131"/>
    </row>
    <row r="12" spans="1:33">
      <c r="A12" s="127" t="str">
        <f>VLOOKUP([1]ListOfRegions!$A$1,[1]ListOfRegions!$A$1:B75,2,0)</f>
        <v xml:space="preserve">  Ροδόπης</v>
      </c>
      <c r="B12" s="178">
        <f t="shared" ref="B12:B17" si="2">SUM(C12,E12,G12,I12,K12,M12,O12,R12,T12,V12,X12,Z12,AB12,AC12)</f>
        <v>416598</v>
      </c>
      <c r="C12" s="168">
        <v>52191</v>
      </c>
      <c r="D12" s="166">
        <v>7296.33</v>
      </c>
      <c r="E12" s="190">
        <v>1870</v>
      </c>
      <c r="F12" s="166">
        <v>247.4</v>
      </c>
      <c r="G12" s="183">
        <v>297886</v>
      </c>
      <c r="H12" s="166">
        <v>82468.55</v>
      </c>
      <c r="I12" s="194">
        <v>49423</v>
      </c>
      <c r="J12" s="159">
        <v>5547</v>
      </c>
      <c r="K12" s="192" t="s">
        <v>287</v>
      </c>
      <c r="L12" s="160" t="s">
        <v>287</v>
      </c>
      <c r="M12" s="190">
        <v>12537</v>
      </c>
      <c r="N12" s="166">
        <v>1.9857499999999999</v>
      </c>
      <c r="O12" s="192" t="s">
        <v>287</v>
      </c>
      <c r="P12" s="160" t="s">
        <v>287</v>
      </c>
      <c r="Q12" s="192" t="s">
        <v>287</v>
      </c>
      <c r="R12" s="167">
        <v>88</v>
      </c>
      <c r="S12" s="200">
        <v>33.9</v>
      </c>
      <c r="T12" s="167">
        <v>936</v>
      </c>
      <c r="U12" s="200">
        <v>5144</v>
      </c>
      <c r="V12" s="160" t="s">
        <v>287</v>
      </c>
      <c r="W12" s="162" t="s">
        <v>287</v>
      </c>
      <c r="X12" s="168">
        <v>1040</v>
      </c>
      <c r="Y12" s="166">
        <v>129.6</v>
      </c>
      <c r="Z12" s="167">
        <v>509</v>
      </c>
      <c r="AA12" s="166">
        <v>140.75</v>
      </c>
      <c r="AB12" s="167">
        <v>87</v>
      </c>
      <c r="AC12" s="205">
        <v>31</v>
      </c>
      <c r="AD12" s="145" t="s">
        <v>177</v>
      </c>
      <c r="AE12" s="181"/>
      <c r="AF12" s="181"/>
      <c r="AG12" s="131"/>
    </row>
    <row r="13" spans="1:33">
      <c r="A13" s="127" t="str">
        <f>VLOOKUP([1]ListOfRegions!$A$2,[1]ListOfRegions!$A$2:B76,2,0)</f>
        <v xml:space="preserve">  Δράμας</v>
      </c>
      <c r="B13" s="178">
        <f t="shared" si="2"/>
        <v>87269</v>
      </c>
      <c r="C13" s="168">
        <v>1782</v>
      </c>
      <c r="D13" s="166">
        <v>437.8</v>
      </c>
      <c r="E13" s="191"/>
      <c r="F13" s="166">
        <v>0</v>
      </c>
      <c r="G13" s="183">
        <v>47002</v>
      </c>
      <c r="H13" s="166">
        <v>12215.8</v>
      </c>
      <c r="I13" s="192" t="s">
        <v>287</v>
      </c>
      <c r="J13" s="160" t="s">
        <v>287</v>
      </c>
      <c r="K13" s="192" t="s">
        <v>287</v>
      </c>
      <c r="L13" s="160" t="s">
        <v>287</v>
      </c>
      <c r="M13" s="190">
        <v>34375</v>
      </c>
      <c r="N13" s="166">
        <v>10.65175</v>
      </c>
      <c r="O13" s="192" t="s">
        <v>287</v>
      </c>
      <c r="P13" s="160" t="s">
        <v>287</v>
      </c>
      <c r="Q13" s="192" t="s">
        <v>287</v>
      </c>
      <c r="R13" s="160" t="s">
        <v>287</v>
      </c>
      <c r="S13" s="192" t="s">
        <v>287</v>
      </c>
      <c r="T13" s="167">
        <v>1268</v>
      </c>
      <c r="U13" s="200">
        <v>7003.6</v>
      </c>
      <c r="V13" s="167">
        <v>50</v>
      </c>
      <c r="W13" s="172">
        <v>10</v>
      </c>
      <c r="X13" s="162" t="s">
        <v>287</v>
      </c>
      <c r="Y13" s="160" t="s">
        <v>287</v>
      </c>
      <c r="Z13" s="167">
        <v>2792</v>
      </c>
      <c r="AA13" s="166">
        <v>564.54999999999995</v>
      </c>
      <c r="AB13" s="177"/>
      <c r="AC13" s="206" t="s">
        <v>287</v>
      </c>
      <c r="AD13" s="145" t="s">
        <v>178</v>
      </c>
      <c r="AE13" s="181"/>
      <c r="AF13" s="181"/>
      <c r="AG13" s="131"/>
    </row>
    <row r="14" spans="1:33">
      <c r="A14" s="127" t="str">
        <f>VLOOKUP([1]ListOfRegions!A3,[1]ListOfRegions!A3:B77,2,0)</f>
        <v xml:space="preserve">  Έβρου</v>
      </c>
      <c r="B14" s="178">
        <f t="shared" si="2"/>
        <v>561453</v>
      </c>
      <c r="C14" s="168">
        <v>2284</v>
      </c>
      <c r="D14" s="166">
        <v>374.03</v>
      </c>
      <c r="E14" s="190">
        <v>1403</v>
      </c>
      <c r="F14" s="166">
        <v>252.54</v>
      </c>
      <c r="G14" s="183">
        <v>94280</v>
      </c>
      <c r="H14" s="166">
        <v>27246.77</v>
      </c>
      <c r="I14" s="190">
        <v>73739</v>
      </c>
      <c r="J14" s="166">
        <v>10265.460999999999</v>
      </c>
      <c r="K14" s="183">
        <v>332</v>
      </c>
      <c r="L14" s="166">
        <v>20.684999999999999</v>
      </c>
      <c r="M14" s="190">
        <v>370018</v>
      </c>
      <c r="N14" s="166">
        <v>83.607855000000001</v>
      </c>
      <c r="O14" s="183">
        <v>70</v>
      </c>
      <c r="P14" s="166">
        <v>17.5</v>
      </c>
      <c r="Q14" s="194">
        <v>17</v>
      </c>
      <c r="R14" s="167">
        <v>14</v>
      </c>
      <c r="S14" s="200">
        <v>1</v>
      </c>
      <c r="T14" s="167">
        <v>10691</v>
      </c>
      <c r="U14" s="200">
        <v>65074.2</v>
      </c>
      <c r="V14" s="160" t="s">
        <v>287</v>
      </c>
      <c r="W14" s="162" t="s">
        <v>287</v>
      </c>
      <c r="X14" s="168">
        <v>5179</v>
      </c>
      <c r="Y14" s="166">
        <v>686.82</v>
      </c>
      <c r="Z14" s="167">
        <v>3256</v>
      </c>
      <c r="AA14" s="166">
        <v>325.95</v>
      </c>
      <c r="AB14" s="167">
        <v>187</v>
      </c>
      <c r="AC14" s="206" t="s">
        <v>287</v>
      </c>
      <c r="AD14" s="145" t="s">
        <v>179</v>
      </c>
      <c r="AE14" s="181"/>
      <c r="AF14" s="181"/>
      <c r="AG14" s="131"/>
    </row>
    <row r="15" spans="1:33">
      <c r="A15" s="127" t="str">
        <f>VLOOKUP([1]ListOfRegions!A4,[1]ListOfRegions!A4:B78,2,0)</f>
        <v xml:space="preserve">  Θάσου</v>
      </c>
      <c r="B15" s="178">
        <f t="shared" si="2"/>
        <v>0</v>
      </c>
      <c r="C15" s="161" t="s">
        <v>287</v>
      </c>
      <c r="D15" s="160" t="s">
        <v>287</v>
      </c>
      <c r="E15" s="192" t="s">
        <v>287</v>
      </c>
      <c r="F15" s="160" t="s">
        <v>287</v>
      </c>
      <c r="G15" s="192" t="s">
        <v>287</v>
      </c>
      <c r="H15" s="160" t="s">
        <v>287</v>
      </c>
      <c r="I15" s="192" t="s">
        <v>287</v>
      </c>
      <c r="J15" s="160" t="s">
        <v>287</v>
      </c>
      <c r="K15" s="192" t="s">
        <v>287</v>
      </c>
      <c r="L15" s="160" t="s">
        <v>287</v>
      </c>
      <c r="M15" s="192" t="s">
        <v>287</v>
      </c>
      <c r="N15" s="160" t="s">
        <v>287</v>
      </c>
      <c r="O15" s="192" t="s">
        <v>287</v>
      </c>
      <c r="P15" s="160" t="s">
        <v>287</v>
      </c>
      <c r="Q15" s="192" t="s">
        <v>287</v>
      </c>
      <c r="R15" s="160" t="s">
        <v>287</v>
      </c>
      <c r="S15" s="192" t="s">
        <v>287</v>
      </c>
      <c r="T15" s="160" t="s">
        <v>287</v>
      </c>
      <c r="U15" s="192" t="s">
        <v>287</v>
      </c>
      <c r="V15" s="160" t="s">
        <v>287</v>
      </c>
      <c r="W15" s="162" t="s">
        <v>287</v>
      </c>
      <c r="X15" s="162" t="s">
        <v>287</v>
      </c>
      <c r="Y15" s="160" t="s">
        <v>287</v>
      </c>
      <c r="Z15" s="160" t="s">
        <v>287</v>
      </c>
      <c r="AA15" s="160" t="s">
        <v>287</v>
      </c>
      <c r="AB15" s="160" t="s">
        <v>287</v>
      </c>
      <c r="AC15" s="206" t="s">
        <v>287</v>
      </c>
      <c r="AD15" s="145" t="s">
        <v>180</v>
      </c>
      <c r="AE15" s="181"/>
      <c r="AF15" s="181"/>
      <c r="AG15" s="131"/>
    </row>
    <row r="16" spans="1:33">
      <c r="A16" s="127" t="str">
        <f>VLOOKUP([1]ListOfRegions!A5,[1]ListOfRegions!A5:B79,2,0)</f>
        <v xml:space="preserve">  Καβάλας</v>
      </c>
      <c r="B16" s="178">
        <f t="shared" si="2"/>
        <v>29933</v>
      </c>
      <c r="C16" s="168">
        <v>849</v>
      </c>
      <c r="D16" s="166">
        <v>167.21</v>
      </c>
      <c r="E16" s="192" t="s">
        <v>287</v>
      </c>
      <c r="F16" s="160" t="s">
        <v>287</v>
      </c>
      <c r="G16" s="183">
        <v>2007</v>
      </c>
      <c r="H16" s="166">
        <v>503.25</v>
      </c>
      <c r="I16" s="192" t="s">
        <v>287</v>
      </c>
      <c r="J16" s="160" t="s">
        <v>287</v>
      </c>
      <c r="K16" s="192" t="s">
        <v>287</v>
      </c>
      <c r="L16" s="160" t="s">
        <v>287</v>
      </c>
      <c r="M16" s="190">
        <v>23169</v>
      </c>
      <c r="N16" s="166">
        <v>6.6341700000000001</v>
      </c>
      <c r="O16" s="192" t="s">
        <v>287</v>
      </c>
      <c r="P16" s="160" t="s">
        <v>287</v>
      </c>
      <c r="Q16" s="192" t="s">
        <v>287</v>
      </c>
      <c r="R16" s="167">
        <v>5</v>
      </c>
      <c r="S16" s="200">
        <v>0.5</v>
      </c>
      <c r="T16" s="167">
        <v>924</v>
      </c>
      <c r="U16" s="200">
        <v>4038.75</v>
      </c>
      <c r="V16" s="167">
        <v>1867</v>
      </c>
      <c r="W16" s="172">
        <v>448.6</v>
      </c>
      <c r="X16" s="162" t="s">
        <v>287</v>
      </c>
      <c r="Y16" s="160" t="s">
        <v>287</v>
      </c>
      <c r="Z16" s="167">
        <v>1084</v>
      </c>
      <c r="AA16" s="166">
        <v>286.2</v>
      </c>
      <c r="AB16" s="167">
        <v>20</v>
      </c>
      <c r="AC16" s="205">
        <v>8</v>
      </c>
      <c r="AD16" s="145" t="s">
        <v>181</v>
      </c>
      <c r="AE16" s="181"/>
      <c r="AF16" s="181"/>
      <c r="AG16" s="131"/>
    </row>
    <row r="17" spans="1:33">
      <c r="A17" s="127" t="str">
        <f>VLOOKUP([1]ListOfRegions!A6,[1]ListOfRegions!A6:B80,2,0)</f>
        <v xml:space="preserve">  Ξάνθης</v>
      </c>
      <c r="B17" s="178">
        <f t="shared" si="2"/>
        <v>108081</v>
      </c>
      <c r="C17" s="168">
        <v>19092</v>
      </c>
      <c r="D17" s="166">
        <v>2335.422</v>
      </c>
      <c r="E17" s="190">
        <v>1070</v>
      </c>
      <c r="F17" s="166">
        <v>328</v>
      </c>
      <c r="G17" s="183">
        <v>16475</v>
      </c>
      <c r="H17" s="166">
        <v>4565.5</v>
      </c>
      <c r="I17" s="190">
        <v>5220</v>
      </c>
      <c r="J17" s="166">
        <v>774.6</v>
      </c>
      <c r="K17" s="183">
        <v>30</v>
      </c>
      <c r="L17" s="166">
        <v>2.25</v>
      </c>
      <c r="M17" s="190">
        <v>58522</v>
      </c>
      <c r="N17" s="166">
        <v>13.73244</v>
      </c>
      <c r="O17" s="192" t="s">
        <v>287</v>
      </c>
      <c r="P17" s="160" t="s">
        <v>287</v>
      </c>
      <c r="Q17" s="192" t="s">
        <v>287</v>
      </c>
      <c r="R17" s="160" t="s">
        <v>287</v>
      </c>
      <c r="S17" s="192" t="s">
        <v>287</v>
      </c>
      <c r="T17" s="167">
        <v>105</v>
      </c>
      <c r="U17" s="172">
        <v>735</v>
      </c>
      <c r="V17" s="175">
        <v>100</v>
      </c>
      <c r="W17" s="166">
        <v>36</v>
      </c>
      <c r="X17" s="160" t="s">
        <v>287</v>
      </c>
      <c r="Y17" s="160" t="s">
        <v>287</v>
      </c>
      <c r="Z17" s="167">
        <v>7415</v>
      </c>
      <c r="AA17" s="166">
        <v>1898.35</v>
      </c>
      <c r="AB17" s="167">
        <v>39</v>
      </c>
      <c r="AC17" s="205">
        <v>13</v>
      </c>
      <c r="AD17" s="145" t="s">
        <v>182</v>
      </c>
      <c r="AE17" s="181"/>
      <c r="AF17" s="181"/>
      <c r="AG17" s="131"/>
    </row>
    <row r="18" spans="1:33">
      <c r="A18" s="291" t="s">
        <v>183</v>
      </c>
      <c r="B18" s="238">
        <f>SUM(C18,E18,G18,I18,K18,M18,O18,R18,T18,V18,X18,Z18,AB18,AC18)</f>
        <v>1014307</v>
      </c>
      <c r="C18" s="306">
        <f>SUM(C20:C26)</f>
        <v>77275</v>
      </c>
      <c r="D18" s="234">
        <f t="shared" ref="D18:AC18" si="3">SUM(D20:D26)</f>
        <v>19359.645</v>
      </c>
      <c r="E18" s="236">
        <f t="shared" si="3"/>
        <v>1987</v>
      </c>
      <c r="F18" s="234">
        <f t="shared" si="3"/>
        <v>515.6</v>
      </c>
      <c r="G18" s="236">
        <f t="shared" si="3"/>
        <v>640122</v>
      </c>
      <c r="H18" s="234">
        <f t="shared" si="3"/>
        <v>205636.55</v>
      </c>
      <c r="I18" s="236">
        <f t="shared" si="3"/>
        <v>14215</v>
      </c>
      <c r="J18" s="234">
        <f t="shared" si="3"/>
        <v>2182.44</v>
      </c>
      <c r="K18" s="236">
        <f t="shared" si="3"/>
        <v>143</v>
      </c>
      <c r="L18" s="234">
        <f t="shared" si="3"/>
        <v>8.3949999999999996</v>
      </c>
      <c r="M18" s="236">
        <f t="shared" si="3"/>
        <v>180731</v>
      </c>
      <c r="N18" s="234">
        <f t="shared" si="3"/>
        <v>43.346232000000001</v>
      </c>
      <c r="O18" s="236">
        <f t="shared" si="3"/>
        <v>6</v>
      </c>
      <c r="P18" s="234">
        <f t="shared" si="3"/>
        <v>0</v>
      </c>
      <c r="Q18" s="236">
        <f t="shared" si="3"/>
        <v>0</v>
      </c>
      <c r="R18" s="234">
        <f t="shared" si="3"/>
        <v>2526</v>
      </c>
      <c r="S18" s="236">
        <f t="shared" si="3"/>
        <v>1011.3</v>
      </c>
      <c r="T18" s="234">
        <f t="shared" si="3"/>
        <v>37106</v>
      </c>
      <c r="U18" s="235">
        <f t="shared" si="3"/>
        <v>225692.55</v>
      </c>
      <c r="V18" s="234">
        <f t="shared" si="3"/>
        <v>3263</v>
      </c>
      <c r="W18" s="234">
        <f t="shared" si="3"/>
        <v>954.19</v>
      </c>
      <c r="X18" s="234">
        <f t="shared" si="3"/>
        <v>0</v>
      </c>
      <c r="Y18" s="234">
        <f t="shared" si="3"/>
        <v>0</v>
      </c>
      <c r="Z18" s="234">
        <f t="shared" si="3"/>
        <v>42646</v>
      </c>
      <c r="AA18" s="234">
        <f t="shared" si="3"/>
        <v>8711.5049999999992</v>
      </c>
      <c r="AB18" s="234">
        <f t="shared" si="3"/>
        <v>12322</v>
      </c>
      <c r="AC18" s="233">
        <f t="shared" si="3"/>
        <v>1965</v>
      </c>
      <c r="AD18" s="303" t="s">
        <v>184</v>
      </c>
      <c r="AE18" s="304"/>
      <c r="AF18" s="304"/>
      <c r="AG18" s="131"/>
    </row>
    <row r="19" spans="1:33">
      <c r="A19" s="291"/>
      <c r="B19" s="239"/>
      <c r="C19" s="306"/>
      <c r="D19" s="234"/>
      <c r="E19" s="236"/>
      <c r="F19" s="234"/>
      <c r="G19" s="236"/>
      <c r="H19" s="234"/>
      <c r="I19" s="236"/>
      <c r="J19" s="234"/>
      <c r="K19" s="236"/>
      <c r="L19" s="234"/>
      <c r="M19" s="236"/>
      <c r="N19" s="234"/>
      <c r="O19" s="236"/>
      <c r="P19" s="234"/>
      <c r="Q19" s="236"/>
      <c r="R19" s="234"/>
      <c r="S19" s="236"/>
      <c r="T19" s="234"/>
      <c r="U19" s="235"/>
      <c r="V19" s="234"/>
      <c r="W19" s="234"/>
      <c r="X19" s="234"/>
      <c r="Y19" s="234"/>
      <c r="Z19" s="234"/>
      <c r="AA19" s="234"/>
      <c r="AB19" s="234"/>
      <c r="AC19" s="233"/>
      <c r="AD19" s="303"/>
      <c r="AE19" s="304"/>
      <c r="AF19" s="304"/>
      <c r="AG19" s="131"/>
    </row>
    <row r="20" spans="1:33">
      <c r="A20" s="127" t="str">
        <f>VLOOKUP([1]ListOfRegions!A7,[1]ListOfRegions!A7:B81,2,0)</f>
        <v xml:space="preserve">  Θεσσαλονίκης</v>
      </c>
      <c r="B20" s="178">
        <f t="shared" ref="B20:B31" si="4">SUM(C20,E20,G20,I20,K20,M20,O20,R20,T20,V20,X20,Z20,AB20,AC20)</f>
        <v>185477</v>
      </c>
      <c r="C20" s="168">
        <v>5888</v>
      </c>
      <c r="D20" s="166">
        <v>1132.99</v>
      </c>
      <c r="E20" s="190">
        <v>1587</v>
      </c>
      <c r="F20" s="166">
        <v>398.1</v>
      </c>
      <c r="G20" s="183">
        <v>95273</v>
      </c>
      <c r="H20" s="166">
        <v>33942.82</v>
      </c>
      <c r="I20" s="190">
        <v>6181</v>
      </c>
      <c r="J20" s="166">
        <v>839.7</v>
      </c>
      <c r="K20" s="192" t="s">
        <v>287</v>
      </c>
      <c r="L20" s="160" t="s">
        <v>287</v>
      </c>
      <c r="M20" s="190">
        <v>50575</v>
      </c>
      <c r="N20" s="166">
        <v>7.8102320000000001</v>
      </c>
      <c r="O20" s="192" t="s">
        <v>287</v>
      </c>
      <c r="P20" s="160" t="s">
        <v>287</v>
      </c>
      <c r="Q20" s="192" t="s">
        <v>287</v>
      </c>
      <c r="R20" s="167">
        <v>9</v>
      </c>
      <c r="S20" s="200">
        <v>3.2</v>
      </c>
      <c r="T20" s="167">
        <v>1210</v>
      </c>
      <c r="U20" s="200">
        <v>9292</v>
      </c>
      <c r="V20" s="167">
        <v>219</v>
      </c>
      <c r="W20" s="172">
        <v>24.85</v>
      </c>
      <c r="X20" s="160" t="s">
        <v>287</v>
      </c>
      <c r="Y20" s="160" t="s">
        <v>287</v>
      </c>
      <c r="Z20" s="167">
        <v>16768</v>
      </c>
      <c r="AA20" s="166">
        <v>2669.57</v>
      </c>
      <c r="AB20" s="167">
        <v>7767</v>
      </c>
      <c r="AC20" s="206" t="s">
        <v>287</v>
      </c>
      <c r="AD20" s="145" t="s">
        <v>185</v>
      </c>
      <c r="AE20" s="181"/>
      <c r="AF20" s="181"/>
      <c r="AG20" s="131"/>
    </row>
    <row r="21" spans="1:33">
      <c r="A21" s="127" t="str">
        <f>VLOOKUP([1]ListOfRegions!A8,[1]ListOfRegions!A8:B82,2,0)</f>
        <v xml:space="preserve">  Ημαθίας</v>
      </c>
      <c r="B21" s="178">
        <f t="shared" si="4"/>
        <v>166326</v>
      </c>
      <c r="C21" s="168">
        <v>2080</v>
      </c>
      <c r="D21" s="166">
        <v>456.8</v>
      </c>
      <c r="E21" s="190">
        <v>50</v>
      </c>
      <c r="F21" s="166">
        <v>20</v>
      </c>
      <c r="G21" s="183">
        <v>153039</v>
      </c>
      <c r="H21" s="166">
        <v>49990.7</v>
      </c>
      <c r="I21" s="190">
        <v>380</v>
      </c>
      <c r="J21" s="166">
        <v>67.099999999999994</v>
      </c>
      <c r="K21" s="192" t="s">
        <v>287</v>
      </c>
      <c r="L21" s="160" t="s">
        <v>287</v>
      </c>
      <c r="M21" s="190">
        <v>595</v>
      </c>
      <c r="N21" s="166">
        <v>0.22839999999999999</v>
      </c>
      <c r="O21" s="192" t="s">
        <v>287</v>
      </c>
      <c r="P21" s="160" t="s">
        <v>287</v>
      </c>
      <c r="Q21" s="192" t="s">
        <v>287</v>
      </c>
      <c r="R21" s="160" t="s">
        <v>287</v>
      </c>
      <c r="S21" s="192" t="s">
        <v>287</v>
      </c>
      <c r="T21" s="167">
        <v>10103</v>
      </c>
      <c r="U21" s="200">
        <v>62313.2</v>
      </c>
      <c r="V21" s="160" t="s">
        <v>287</v>
      </c>
      <c r="W21" s="162" t="s">
        <v>287</v>
      </c>
      <c r="X21" s="160" t="s">
        <v>287</v>
      </c>
      <c r="Y21" s="160" t="s">
        <v>287</v>
      </c>
      <c r="Z21" s="160" t="s">
        <v>287</v>
      </c>
      <c r="AA21" s="160" t="s">
        <v>287</v>
      </c>
      <c r="AB21" s="167">
        <v>79</v>
      </c>
      <c r="AC21" s="206" t="s">
        <v>287</v>
      </c>
      <c r="AD21" s="145" t="s">
        <v>186</v>
      </c>
      <c r="AE21" s="181"/>
      <c r="AF21" s="181"/>
      <c r="AG21" s="131"/>
    </row>
    <row r="22" spans="1:33">
      <c r="A22" s="127" t="str">
        <f>VLOOKUP([1]ListOfRegions!A9,[1]ListOfRegions!A9:B83,2,0)</f>
        <v xml:space="preserve">  Κιλκίς</v>
      </c>
      <c r="B22" s="178">
        <f t="shared" si="4"/>
        <v>92932</v>
      </c>
      <c r="C22" s="168">
        <v>1423</v>
      </c>
      <c r="D22" s="166">
        <v>286.39999999999998</v>
      </c>
      <c r="E22" s="190">
        <v>310</v>
      </c>
      <c r="F22" s="166">
        <v>83.5</v>
      </c>
      <c r="G22" s="183">
        <v>62694</v>
      </c>
      <c r="H22" s="166">
        <v>16374.35</v>
      </c>
      <c r="I22" s="190">
        <v>2581</v>
      </c>
      <c r="J22" s="166">
        <v>290.27999999999997</v>
      </c>
      <c r="K22" s="183">
        <v>25</v>
      </c>
      <c r="L22" s="166">
        <v>1.875</v>
      </c>
      <c r="M22" s="190">
        <v>18869</v>
      </c>
      <c r="N22" s="166">
        <v>4.8479849999999995</v>
      </c>
      <c r="O22" s="192" t="s">
        <v>287</v>
      </c>
      <c r="P22" s="160" t="s">
        <v>287</v>
      </c>
      <c r="Q22" s="192" t="s">
        <v>287</v>
      </c>
      <c r="R22" s="167">
        <v>28</v>
      </c>
      <c r="S22" s="200">
        <v>10.8</v>
      </c>
      <c r="T22" s="167">
        <v>909</v>
      </c>
      <c r="U22" s="200">
        <v>4629.2</v>
      </c>
      <c r="V22" s="167">
        <v>44</v>
      </c>
      <c r="W22" s="172">
        <v>20.25</v>
      </c>
      <c r="X22" s="160" t="s">
        <v>287</v>
      </c>
      <c r="Y22" s="160" t="s">
        <v>287</v>
      </c>
      <c r="Z22" s="169">
        <v>4886</v>
      </c>
      <c r="AA22" s="170">
        <v>793.19</v>
      </c>
      <c r="AB22" s="167">
        <v>860</v>
      </c>
      <c r="AC22" s="205">
        <v>303</v>
      </c>
      <c r="AD22" s="145" t="s">
        <v>187</v>
      </c>
      <c r="AE22" s="181"/>
      <c r="AF22" s="181"/>
      <c r="AG22" s="131"/>
    </row>
    <row r="23" spans="1:33">
      <c r="A23" s="127" t="str">
        <f>VLOOKUP([1]ListOfRegions!A10,[1]ListOfRegions!A10:B84,2,0)</f>
        <v xml:space="preserve">  Πέλλας</v>
      </c>
      <c r="B23" s="178">
        <f t="shared" si="4"/>
        <v>146965</v>
      </c>
      <c r="C23" s="168">
        <v>308</v>
      </c>
      <c r="D23" s="166">
        <v>54.6</v>
      </c>
      <c r="E23" s="190">
        <v>40</v>
      </c>
      <c r="F23" s="166">
        <v>14</v>
      </c>
      <c r="G23" s="183">
        <v>123535</v>
      </c>
      <c r="H23" s="166">
        <v>40442</v>
      </c>
      <c r="I23" s="191" t="s">
        <v>288</v>
      </c>
      <c r="J23" s="166">
        <v>0</v>
      </c>
      <c r="K23" s="192" t="s">
        <v>287</v>
      </c>
      <c r="L23" s="160" t="s">
        <v>287</v>
      </c>
      <c r="M23" s="190">
        <v>4010</v>
      </c>
      <c r="N23" s="166">
        <v>0.85199999999999998</v>
      </c>
      <c r="O23" s="192" t="s">
        <v>287</v>
      </c>
      <c r="P23" s="160" t="s">
        <v>287</v>
      </c>
      <c r="Q23" s="192" t="s">
        <v>287</v>
      </c>
      <c r="R23" s="160" t="s">
        <v>287</v>
      </c>
      <c r="S23" s="192" t="s">
        <v>287</v>
      </c>
      <c r="T23" s="167">
        <v>16561</v>
      </c>
      <c r="U23" s="200">
        <v>95894.65</v>
      </c>
      <c r="V23" s="167">
        <v>2279</v>
      </c>
      <c r="W23" s="172">
        <v>680.7</v>
      </c>
      <c r="X23" s="160" t="s">
        <v>287</v>
      </c>
      <c r="Y23" s="160" t="s">
        <v>287</v>
      </c>
      <c r="Z23" s="167">
        <v>100</v>
      </c>
      <c r="AA23" s="166">
        <v>50</v>
      </c>
      <c r="AB23" s="167">
        <v>41</v>
      </c>
      <c r="AC23" s="205">
        <v>91</v>
      </c>
      <c r="AD23" s="145" t="s">
        <v>188</v>
      </c>
      <c r="AE23" s="181"/>
      <c r="AF23" s="181"/>
      <c r="AG23" s="131"/>
    </row>
    <row r="24" spans="1:33">
      <c r="A24" s="127" t="str">
        <f>VLOOKUP([1]ListOfRegions!A11,[1]ListOfRegions!A11:B85,2,0)</f>
        <v xml:space="preserve">  Πιερίας</v>
      </c>
      <c r="B24" s="178">
        <f t="shared" si="4"/>
        <v>94149</v>
      </c>
      <c r="C24" s="168">
        <v>45756</v>
      </c>
      <c r="D24" s="166">
        <v>12060.815000000001</v>
      </c>
      <c r="E24" s="191" t="s">
        <v>288</v>
      </c>
      <c r="F24" s="166">
        <v>0</v>
      </c>
      <c r="G24" s="183">
        <v>44242</v>
      </c>
      <c r="H24" s="166">
        <v>14245.57</v>
      </c>
      <c r="I24" s="192" t="s">
        <v>287</v>
      </c>
      <c r="J24" s="160" t="s">
        <v>287</v>
      </c>
      <c r="K24" s="192" t="s">
        <v>287</v>
      </c>
      <c r="L24" s="160" t="s">
        <v>287</v>
      </c>
      <c r="M24" s="190">
        <v>27</v>
      </c>
      <c r="N24" s="166">
        <v>6.1999999999999998E-3</v>
      </c>
      <c r="O24" s="192" t="s">
        <v>287</v>
      </c>
      <c r="P24" s="160" t="s">
        <v>287</v>
      </c>
      <c r="Q24" s="192" t="s">
        <v>287</v>
      </c>
      <c r="R24" s="160" t="s">
        <v>287</v>
      </c>
      <c r="S24" s="192" t="s">
        <v>287</v>
      </c>
      <c r="T24" s="167">
        <v>2520</v>
      </c>
      <c r="U24" s="200">
        <v>14370</v>
      </c>
      <c r="V24" s="160" t="s">
        <v>287</v>
      </c>
      <c r="W24" s="162" t="s">
        <v>287</v>
      </c>
      <c r="X24" s="160" t="s">
        <v>287</v>
      </c>
      <c r="Y24" s="160" t="s">
        <v>287</v>
      </c>
      <c r="Z24" s="167">
        <v>7</v>
      </c>
      <c r="AA24" s="166">
        <v>2.1</v>
      </c>
      <c r="AB24" s="167">
        <v>792</v>
      </c>
      <c r="AC24" s="205">
        <v>805</v>
      </c>
      <c r="AD24" s="145" t="s">
        <v>189</v>
      </c>
      <c r="AE24" s="181"/>
      <c r="AF24" s="181"/>
      <c r="AG24" s="131"/>
    </row>
    <row r="25" spans="1:33">
      <c r="A25" s="127" t="str">
        <f>VLOOKUP([1]ListOfRegions!A12,[1]ListOfRegions!A12:B86,2,0)</f>
        <v xml:space="preserve">  Σερρών</v>
      </c>
      <c r="B25" s="178">
        <f t="shared" si="4"/>
        <v>306518</v>
      </c>
      <c r="C25" s="168">
        <v>21760</v>
      </c>
      <c r="D25" s="166">
        <v>5353.49</v>
      </c>
      <c r="E25" s="191" t="s">
        <v>288</v>
      </c>
      <c r="F25" s="166">
        <v>0</v>
      </c>
      <c r="G25" s="183">
        <v>149962</v>
      </c>
      <c r="H25" s="166">
        <v>47235.31</v>
      </c>
      <c r="I25" s="190">
        <v>4503</v>
      </c>
      <c r="J25" s="166">
        <v>862.36</v>
      </c>
      <c r="K25" s="183">
        <v>18</v>
      </c>
      <c r="L25" s="166">
        <v>1.52</v>
      </c>
      <c r="M25" s="190">
        <v>99124</v>
      </c>
      <c r="N25" s="166">
        <v>28.314275000000002</v>
      </c>
      <c r="O25" s="192" t="s">
        <v>287</v>
      </c>
      <c r="P25" s="160" t="s">
        <v>287</v>
      </c>
      <c r="Q25" s="192" t="s">
        <v>287</v>
      </c>
      <c r="R25" s="167">
        <v>2489</v>
      </c>
      <c r="S25" s="200">
        <v>997.3</v>
      </c>
      <c r="T25" s="167">
        <v>5803</v>
      </c>
      <c r="U25" s="172">
        <v>39193.5</v>
      </c>
      <c r="V25" s="175">
        <v>721</v>
      </c>
      <c r="W25" s="166">
        <v>228.39</v>
      </c>
      <c r="X25" s="160" t="s">
        <v>287</v>
      </c>
      <c r="Y25" s="160" t="s">
        <v>287</v>
      </c>
      <c r="Z25" s="167">
        <v>20769</v>
      </c>
      <c r="AA25" s="166">
        <v>5179.2449999999999</v>
      </c>
      <c r="AB25" s="167">
        <v>623</v>
      </c>
      <c r="AC25" s="205">
        <v>746</v>
      </c>
      <c r="AD25" s="145" t="s">
        <v>190</v>
      </c>
      <c r="AE25" s="181"/>
      <c r="AF25" s="181"/>
      <c r="AG25" s="131"/>
    </row>
    <row r="26" spans="1:33">
      <c r="A26" s="127" t="str">
        <f>VLOOKUP([1]ListOfRegions!A13,[1]ListOfRegions!A13:B87,2,0)</f>
        <v xml:space="preserve">  Χαλκιδικής</v>
      </c>
      <c r="B26" s="178">
        <f t="shared" si="4"/>
        <v>21940</v>
      </c>
      <c r="C26" s="168">
        <v>60</v>
      </c>
      <c r="D26" s="166">
        <v>14.55</v>
      </c>
      <c r="E26" s="192" t="s">
        <v>287</v>
      </c>
      <c r="F26" s="160" t="s">
        <v>287</v>
      </c>
      <c r="G26" s="183">
        <v>11377</v>
      </c>
      <c r="H26" s="166">
        <v>3405.8</v>
      </c>
      <c r="I26" s="190">
        <v>570</v>
      </c>
      <c r="J26" s="166">
        <v>123</v>
      </c>
      <c r="K26" s="183">
        <v>100</v>
      </c>
      <c r="L26" s="166">
        <v>5</v>
      </c>
      <c r="M26" s="190">
        <v>7531</v>
      </c>
      <c r="N26" s="166">
        <v>1.2871400000000002</v>
      </c>
      <c r="O26" s="183">
        <v>6</v>
      </c>
      <c r="P26" s="160" t="s">
        <v>287</v>
      </c>
      <c r="Q26" s="192" t="s">
        <v>287</v>
      </c>
      <c r="R26" s="160" t="s">
        <v>287</v>
      </c>
      <c r="S26" s="192" t="s">
        <v>287</v>
      </c>
      <c r="T26" s="160" t="s">
        <v>287</v>
      </c>
      <c r="U26" s="162" t="s">
        <v>287</v>
      </c>
      <c r="V26" s="160" t="s">
        <v>287</v>
      </c>
      <c r="W26" s="160" t="s">
        <v>287</v>
      </c>
      <c r="X26" s="160" t="s">
        <v>287</v>
      </c>
      <c r="Y26" s="160" t="s">
        <v>287</v>
      </c>
      <c r="Z26" s="167">
        <v>116</v>
      </c>
      <c r="AA26" s="166">
        <v>17.399999999999999</v>
      </c>
      <c r="AB26" s="167">
        <v>2160</v>
      </c>
      <c r="AC26" s="205">
        <v>20</v>
      </c>
      <c r="AD26" s="145" t="s">
        <v>191</v>
      </c>
      <c r="AE26" s="181"/>
      <c r="AF26" s="181"/>
      <c r="AG26" s="131"/>
    </row>
    <row r="27" spans="1:33" s="189" customFormat="1" ht="21" customHeight="1">
      <c r="A27" s="184" t="s">
        <v>305</v>
      </c>
      <c r="B27" s="182">
        <f>SUM(C27,E27,G27,I27,K27,M27,O27,R27,T27,V27,X27,Z27,AB27,AC27)</f>
        <v>44994</v>
      </c>
      <c r="C27" s="186">
        <f>SUM(C28:C31)</f>
        <v>4507</v>
      </c>
      <c r="D27" s="185">
        <f>SUM(D28:D31)</f>
        <v>932.327</v>
      </c>
      <c r="E27" s="193">
        <f>SUM(E28:E31)</f>
        <v>869</v>
      </c>
      <c r="F27" s="185">
        <f t="shared" ref="F27:AC27" si="5">SUM(F28:F31)</f>
        <v>123.63</v>
      </c>
      <c r="G27" s="193">
        <f t="shared" si="5"/>
        <v>0</v>
      </c>
      <c r="H27" s="185">
        <f t="shared" si="5"/>
        <v>0</v>
      </c>
      <c r="I27" s="193">
        <f t="shared" si="5"/>
        <v>0</v>
      </c>
      <c r="J27" s="185">
        <f t="shared" si="5"/>
        <v>0</v>
      </c>
      <c r="K27" s="193">
        <f t="shared" si="5"/>
        <v>0</v>
      </c>
      <c r="L27" s="185">
        <f t="shared" si="5"/>
        <v>0</v>
      </c>
      <c r="M27" s="193">
        <f t="shared" si="5"/>
        <v>27109</v>
      </c>
      <c r="N27" s="185">
        <f t="shared" si="5"/>
        <v>7.2562099999999994</v>
      </c>
      <c r="O27" s="193">
        <f t="shared" si="5"/>
        <v>0</v>
      </c>
      <c r="P27" s="185">
        <f t="shared" si="5"/>
        <v>0</v>
      </c>
      <c r="Q27" s="193">
        <f t="shared" si="5"/>
        <v>0</v>
      </c>
      <c r="R27" s="185">
        <f t="shared" si="5"/>
        <v>0</v>
      </c>
      <c r="S27" s="193">
        <f t="shared" si="5"/>
        <v>0</v>
      </c>
      <c r="T27" s="185">
        <f t="shared" si="5"/>
        <v>6724</v>
      </c>
      <c r="U27" s="198">
        <f t="shared" si="5"/>
        <v>31596.35</v>
      </c>
      <c r="V27" s="185">
        <f t="shared" si="5"/>
        <v>0</v>
      </c>
      <c r="W27" s="185">
        <f t="shared" si="5"/>
        <v>0</v>
      </c>
      <c r="X27" s="185">
        <f t="shared" si="5"/>
        <v>15</v>
      </c>
      <c r="Y27" s="185">
        <f t="shared" si="5"/>
        <v>21</v>
      </c>
      <c r="Z27" s="185">
        <f t="shared" si="5"/>
        <v>515</v>
      </c>
      <c r="AA27" s="185">
        <f t="shared" si="5"/>
        <v>130.15</v>
      </c>
      <c r="AB27" s="185">
        <f t="shared" si="5"/>
        <v>2193</v>
      </c>
      <c r="AC27" s="207">
        <f t="shared" si="5"/>
        <v>3062</v>
      </c>
      <c r="AD27" s="187" t="s">
        <v>306</v>
      </c>
      <c r="AE27" s="188"/>
      <c r="AF27" s="188"/>
      <c r="AG27" s="121"/>
    </row>
    <row r="28" spans="1:33">
      <c r="A28" s="127" t="str">
        <f>VLOOKUP([1]ListOfRegions!A14,[1]ListOfRegions!A14:B88,2,0)</f>
        <v xml:space="preserve">  Κοζάνης</v>
      </c>
      <c r="B28" s="178">
        <f t="shared" si="4"/>
        <v>22559</v>
      </c>
      <c r="C28" s="168">
        <v>2280</v>
      </c>
      <c r="D28" s="166">
        <v>495.85700000000003</v>
      </c>
      <c r="E28" s="190">
        <v>869</v>
      </c>
      <c r="F28" s="166">
        <v>123.63</v>
      </c>
      <c r="G28" s="192" t="s">
        <v>287</v>
      </c>
      <c r="H28" s="160" t="s">
        <v>287</v>
      </c>
      <c r="I28" s="192" t="s">
        <v>287</v>
      </c>
      <c r="J28" s="160" t="s">
        <v>287</v>
      </c>
      <c r="K28" s="192" t="s">
        <v>287</v>
      </c>
      <c r="L28" s="160" t="s">
        <v>287</v>
      </c>
      <c r="M28" s="190">
        <v>10295</v>
      </c>
      <c r="N28" s="166">
        <v>3.6276299999999999</v>
      </c>
      <c r="O28" s="192" t="s">
        <v>287</v>
      </c>
      <c r="P28" s="160" t="s">
        <v>287</v>
      </c>
      <c r="Q28" s="192" t="s">
        <v>287</v>
      </c>
      <c r="R28" s="160" t="s">
        <v>287</v>
      </c>
      <c r="S28" s="192" t="s">
        <v>287</v>
      </c>
      <c r="T28" s="167">
        <v>4209</v>
      </c>
      <c r="U28" s="172">
        <v>22278</v>
      </c>
      <c r="V28" s="160" t="s">
        <v>287</v>
      </c>
      <c r="W28" s="160" t="s">
        <v>287</v>
      </c>
      <c r="X28" s="168">
        <v>15</v>
      </c>
      <c r="Y28" s="166">
        <v>21</v>
      </c>
      <c r="Z28" s="167">
        <v>351</v>
      </c>
      <c r="AA28" s="166">
        <v>84.65</v>
      </c>
      <c r="AB28" s="167">
        <v>1548</v>
      </c>
      <c r="AC28" s="205">
        <v>2992</v>
      </c>
      <c r="AD28" s="145" t="s">
        <v>192</v>
      </c>
      <c r="AE28" s="181"/>
      <c r="AF28" s="181"/>
      <c r="AG28" s="131"/>
    </row>
    <row r="29" spans="1:33">
      <c r="A29" s="127" t="str">
        <f>VLOOKUP([1]ListOfRegions!A15,[1]ListOfRegions!A15:B89,2,0)</f>
        <v xml:space="preserve">  Γρεβενών</v>
      </c>
      <c r="B29" s="178">
        <f t="shared" si="4"/>
        <v>2914</v>
      </c>
      <c r="C29" s="168">
        <v>1553</v>
      </c>
      <c r="D29" s="166">
        <v>294.97000000000003</v>
      </c>
      <c r="E29" s="192" t="s">
        <v>287</v>
      </c>
      <c r="F29" s="160" t="s">
        <v>287</v>
      </c>
      <c r="G29" s="192" t="s">
        <v>287</v>
      </c>
      <c r="H29" s="160" t="s">
        <v>287</v>
      </c>
      <c r="I29" s="192" t="s">
        <v>287</v>
      </c>
      <c r="J29" s="160" t="s">
        <v>287</v>
      </c>
      <c r="K29" s="192" t="s">
        <v>287</v>
      </c>
      <c r="L29" s="160" t="s">
        <v>287</v>
      </c>
      <c r="M29" s="190">
        <v>1250</v>
      </c>
      <c r="N29" s="166">
        <v>0.28022000000000002</v>
      </c>
      <c r="O29" s="192" t="s">
        <v>287</v>
      </c>
      <c r="P29" s="160" t="s">
        <v>287</v>
      </c>
      <c r="Q29" s="192" t="s">
        <v>287</v>
      </c>
      <c r="R29" s="160" t="s">
        <v>287</v>
      </c>
      <c r="S29" s="192" t="s">
        <v>287</v>
      </c>
      <c r="T29" s="160" t="s">
        <v>287</v>
      </c>
      <c r="U29" s="162" t="s">
        <v>287</v>
      </c>
      <c r="V29" s="160" t="s">
        <v>287</v>
      </c>
      <c r="W29" s="160" t="s">
        <v>287</v>
      </c>
      <c r="X29" s="160" t="s">
        <v>287</v>
      </c>
      <c r="Y29" s="160" t="s">
        <v>287</v>
      </c>
      <c r="Z29" s="160" t="s">
        <v>287</v>
      </c>
      <c r="AA29" s="160" t="s">
        <v>287</v>
      </c>
      <c r="AB29" s="167">
        <v>111</v>
      </c>
      <c r="AC29" s="206" t="s">
        <v>287</v>
      </c>
      <c r="AD29" s="145" t="s">
        <v>193</v>
      </c>
      <c r="AE29" s="181"/>
      <c r="AF29" s="181"/>
      <c r="AG29" s="131"/>
    </row>
    <row r="30" spans="1:33">
      <c r="A30" s="127" t="str">
        <f>VLOOKUP([1]ListOfRegions!A16,[1]ListOfRegions!A16:B90,2,0)</f>
        <v xml:space="preserve">  Καστοριάς</v>
      </c>
      <c r="B30" s="178">
        <f t="shared" si="4"/>
        <v>1415</v>
      </c>
      <c r="C30" s="168">
        <v>556</v>
      </c>
      <c r="D30" s="166">
        <v>106.1</v>
      </c>
      <c r="E30" s="192" t="s">
        <v>287</v>
      </c>
      <c r="F30" s="160" t="s">
        <v>287</v>
      </c>
      <c r="G30" s="192" t="s">
        <v>287</v>
      </c>
      <c r="H30" s="160" t="s">
        <v>287</v>
      </c>
      <c r="I30" s="192" t="s">
        <v>287</v>
      </c>
      <c r="J30" s="160" t="s">
        <v>287</v>
      </c>
      <c r="K30" s="192" t="s">
        <v>287</v>
      </c>
      <c r="L30" s="160" t="s">
        <v>287</v>
      </c>
      <c r="M30" s="192" t="s">
        <v>287</v>
      </c>
      <c r="N30" s="160" t="s">
        <v>287</v>
      </c>
      <c r="O30" s="192" t="s">
        <v>287</v>
      </c>
      <c r="P30" s="160" t="s">
        <v>287</v>
      </c>
      <c r="Q30" s="192" t="s">
        <v>287</v>
      </c>
      <c r="R30" s="160" t="s">
        <v>287</v>
      </c>
      <c r="S30" s="192" t="s">
        <v>287</v>
      </c>
      <c r="T30" s="169">
        <v>400</v>
      </c>
      <c r="U30" s="202">
        <v>200</v>
      </c>
      <c r="V30" s="160" t="s">
        <v>287</v>
      </c>
      <c r="W30" s="160" t="s">
        <v>287</v>
      </c>
      <c r="X30" s="160" t="s">
        <v>287</v>
      </c>
      <c r="Y30" s="160" t="s">
        <v>287</v>
      </c>
      <c r="Z30" s="167">
        <v>164</v>
      </c>
      <c r="AA30" s="166">
        <v>45.5</v>
      </c>
      <c r="AB30" s="167">
        <v>225</v>
      </c>
      <c r="AC30" s="205">
        <v>70</v>
      </c>
      <c r="AD30" s="145" t="s">
        <v>194</v>
      </c>
      <c r="AE30" s="181"/>
      <c r="AF30" s="181"/>
      <c r="AG30" s="131"/>
    </row>
    <row r="31" spans="1:33">
      <c r="A31" s="127" t="str">
        <f>VLOOKUP([1]ListOfRegions!A17,[1]ListOfRegions!A17:B91,2,0)</f>
        <v xml:space="preserve">  Φλώρινας</v>
      </c>
      <c r="B31" s="178">
        <f t="shared" si="4"/>
        <v>18106</v>
      </c>
      <c r="C31" s="168">
        <v>118</v>
      </c>
      <c r="D31" s="166">
        <v>35.4</v>
      </c>
      <c r="E31" s="192" t="s">
        <v>287</v>
      </c>
      <c r="F31" s="160" t="s">
        <v>287</v>
      </c>
      <c r="G31" s="192" t="s">
        <v>287</v>
      </c>
      <c r="H31" s="160" t="s">
        <v>287</v>
      </c>
      <c r="I31" s="192" t="s">
        <v>287</v>
      </c>
      <c r="J31" s="160" t="s">
        <v>287</v>
      </c>
      <c r="K31" s="192" t="s">
        <v>287</v>
      </c>
      <c r="L31" s="160" t="s">
        <v>287</v>
      </c>
      <c r="M31" s="190">
        <v>15564</v>
      </c>
      <c r="N31" s="166">
        <v>3.34836</v>
      </c>
      <c r="O31" s="192" t="s">
        <v>287</v>
      </c>
      <c r="P31" s="160" t="s">
        <v>287</v>
      </c>
      <c r="Q31" s="192" t="s">
        <v>287</v>
      </c>
      <c r="R31" s="160" t="s">
        <v>287</v>
      </c>
      <c r="S31" s="192" t="s">
        <v>287</v>
      </c>
      <c r="T31" s="167">
        <v>2115</v>
      </c>
      <c r="U31" s="172">
        <v>9118.35</v>
      </c>
      <c r="V31" s="160" t="s">
        <v>287</v>
      </c>
      <c r="W31" s="160" t="s">
        <v>287</v>
      </c>
      <c r="X31" s="160" t="s">
        <v>287</v>
      </c>
      <c r="Y31" s="160" t="s">
        <v>287</v>
      </c>
      <c r="Z31" s="160" t="s">
        <v>287</v>
      </c>
      <c r="AA31" s="174" t="s">
        <v>287</v>
      </c>
      <c r="AB31" s="167">
        <v>309</v>
      </c>
      <c r="AC31" s="206" t="s">
        <v>287</v>
      </c>
      <c r="AD31" s="145" t="s">
        <v>195</v>
      </c>
      <c r="AE31" s="181"/>
      <c r="AF31" s="181"/>
      <c r="AG31" s="131"/>
    </row>
    <row r="32" spans="1:33">
      <c r="A32" s="305" t="s">
        <v>196</v>
      </c>
      <c r="B32" s="238">
        <f>SUM(C32,E32,G32,I32,K32,M32,O32,R32,T32,V32,X32,Z32,AB32,AC32)</f>
        <v>2520</v>
      </c>
      <c r="C32" s="306">
        <f>SUM(C34:C37)</f>
        <v>20</v>
      </c>
      <c r="D32" s="234">
        <f>SUM(D34:D37)</f>
        <v>1</v>
      </c>
      <c r="E32" s="236">
        <f t="shared" ref="E32:N32" si="6">SUM(E34:E37)</f>
        <v>0</v>
      </c>
      <c r="F32" s="234">
        <f t="shared" si="6"/>
        <v>0</v>
      </c>
      <c r="G32" s="236">
        <f t="shared" si="6"/>
        <v>2482</v>
      </c>
      <c r="H32" s="234">
        <f t="shared" si="6"/>
        <v>781.44</v>
      </c>
      <c r="I32" s="236">
        <f>SUM(I34:I37)</f>
        <v>0</v>
      </c>
      <c r="J32" s="234">
        <f>SUM(J34:J37)</f>
        <v>0</v>
      </c>
      <c r="K32" s="236">
        <f t="shared" si="6"/>
        <v>0</v>
      </c>
      <c r="L32" s="234">
        <f t="shared" si="6"/>
        <v>0</v>
      </c>
      <c r="M32" s="236">
        <f t="shared" si="6"/>
        <v>10</v>
      </c>
      <c r="N32" s="234">
        <f t="shared" si="6"/>
        <v>1.5E-3</v>
      </c>
      <c r="O32" s="237">
        <f>SUM(O34:O37)</f>
        <v>3</v>
      </c>
      <c r="P32" s="224">
        <f t="shared" ref="P32:W32" si="7">SUM(P34:P37)</f>
        <v>0</v>
      </c>
      <c r="Q32" s="237">
        <f t="shared" si="7"/>
        <v>0</v>
      </c>
      <c r="R32" s="224">
        <f t="shared" si="7"/>
        <v>0</v>
      </c>
      <c r="S32" s="237">
        <f t="shared" si="7"/>
        <v>0</v>
      </c>
      <c r="T32" s="224">
        <f t="shared" si="7"/>
        <v>0</v>
      </c>
      <c r="U32" s="237">
        <f t="shared" si="7"/>
        <v>0</v>
      </c>
      <c r="V32" s="309">
        <f t="shared" si="7"/>
        <v>0</v>
      </c>
      <c r="W32" s="224">
        <f t="shared" si="7"/>
        <v>0</v>
      </c>
      <c r="X32" s="224">
        <f t="shared" ref="X32:AC32" si="8">SUM(X34:X37)</f>
        <v>0</v>
      </c>
      <c r="Y32" s="224">
        <f t="shared" si="8"/>
        <v>0</v>
      </c>
      <c r="Z32" s="224">
        <f t="shared" si="8"/>
        <v>0</v>
      </c>
      <c r="AA32" s="224">
        <f t="shared" si="8"/>
        <v>0</v>
      </c>
      <c r="AB32" s="224">
        <f t="shared" si="8"/>
        <v>5</v>
      </c>
      <c r="AC32" s="225">
        <f t="shared" si="8"/>
        <v>0</v>
      </c>
      <c r="AD32" s="307" t="s">
        <v>197</v>
      </c>
      <c r="AE32" s="308"/>
      <c r="AF32" s="308"/>
      <c r="AG32" s="131"/>
    </row>
    <row r="33" spans="1:33">
      <c r="A33" s="305"/>
      <c r="B33" s="239"/>
      <c r="C33" s="306"/>
      <c r="D33" s="234"/>
      <c r="E33" s="236"/>
      <c r="F33" s="234"/>
      <c r="G33" s="236"/>
      <c r="H33" s="234"/>
      <c r="I33" s="236"/>
      <c r="J33" s="234"/>
      <c r="K33" s="236"/>
      <c r="L33" s="234"/>
      <c r="M33" s="236"/>
      <c r="N33" s="234"/>
      <c r="O33" s="237"/>
      <c r="P33" s="224"/>
      <c r="Q33" s="237"/>
      <c r="R33" s="224"/>
      <c r="S33" s="237"/>
      <c r="T33" s="224"/>
      <c r="U33" s="237"/>
      <c r="V33" s="309"/>
      <c r="W33" s="224"/>
      <c r="X33" s="224"/>
      <c r="Y33" s="224"/>
      <c r="Z33" s="224"/>
      <c r="AA33" s="224"/>
      <c r="AB33" s="224"/>
      <c r="AC33" s="225"/>
      <c r="AD33" s="307"/>
      <c r="AE33" s="308"/>
      <c r="AF33" s="308"/>
      <c r="AG33" s="131"/>
    </row>
    <row r="34" spans="1:33">
      <c r="A34" s="127" t="str">
        <f>VLOOKUP([1]ListOfRegions!A18,[1]ListOfRegions!A18:B92,2,0)</f>
        <v xml:space="preserve">  Ιωαννίνων</v>
      </c>
      <c r="B34" s="178">
        <f>SUM(C34,E34,G34,I34,K34,M34,O34,R34,T34,V34,X34,Z34,AB34,AC34)</f>
        <v>6</v>
      </c>
      <c r="C34" s="161" t="s">
        <v>287</v>
      </c>
      <c r="D34" s="160" t="s">
        <v>287</v>
      </c>
      <c r="E34" s="192" t="s">
        <v>287</v>
      </c>
      <c r="F34" s="160" t="s">
        <v>287</v>
      </c>
      <c r="G34" s="192" t="s">
        <v>287</v>
      </c>
      <c r="H34" s="160" t="s">
        <v>287</v>
      </c>
      <c r="I34" s="192" t="s">
        <v>287</v>
      </c>
      <c r="J34" s="160" t="s">
        <v>287</v>
      </c>
      <c r="K34" s="192" t="s">
        <v>287</v>
      </c>
      <c r="L34" s="160" t="s">
        <v>287</v>
      </c>
      <c r="M34" s="192" t="s">
        <v>287</v>
      </c>
      <c r="N34" s="160" t="s">
        <v>287</v>
      </c>
      <c r="O34" s="183">
        <v>3</v>
      </c>
      <c r="P34" s="160" t="s">
        <v>287</v>
      </c>
      <c r="Q34" s="192">
        <v>0</v>
      </c>
      <c r="R34" s="160" t="s">
        <v>287</v>
      </c>
      <c r="S34" s="192" t="s">
        <v>287</v>
      </c>
      <c r="T34" s="160" t="s">
        <v>287</v>
      </c>
      <c r="U34" s="162" t="s">
        <v>287</v>
      </c>
      <c r="V34" s="160" t="s">
        <v>287</v>
      </c>
      <c r="W34" s="160" t="s">
        <v>287</v>
      </c>
      <c r="X34" s="160" t="s">
        <v>287</v>
      </c>
      <c r="Y34" s="160" t="s">
        <v>287</v>
      </c>
      <c r="Z34" s="160" t="s">
        <v>287</v>
      </c>
      <c r="AA34" s="160" t="s">
        <v>287</v>
      </c>
      <c r="AB34" s="167">
        <v>3</v>
      </c>
      <c r="AC34" s="206" t="s">
        <v>287</v>
      </c>
      <c r="AD34" s="145" t="s">
        <v>198</v>
      </c>
      <c r="AE34" s="181"/>
      <c r="AF34" s="181"/>
      <c r="AG34" s="131"/>
    </row>
    <row r="35" spans="1:33">
      <c r="A35" s="127" t="str">
        <f>VLOOKUP([1]ListOfRegions!A19,[1]ListOfRegions!A19:B93,2,0)</f>
        <v xml:space="preserve">  Άρτας</v>
      </c>
      <c r="B35" s="178">
        <f>SUM(C35,E35,G35,I35,K35,M35,O35,R35,T35,V35,X35,Z35,AB35,AC35)</f>
        <v>302</v>
      </c>
      <c r="C35" s="168">
        <v>20</v>
      </c>
      <c r="D35" s="166">
        <v>1</v>
      </c>
      <c r="E35" s="192" t="s">
        <v>287</v>
      </c>
      <c r="F35" s="160" t="s">
        <v>287</v>
      </c>
      <c r="G35" s="183">
        <v>280</v>
      </c>
      <c r="H35" s="166">
        <v>98</v>
      </c>
      <c r="I35" s="192" t="s">
        <v>287</v>
      </c>
      <c r="J35" s="160" t="s">
        <v>287</v>
      </c>
      <c r="K35" s="192" t="s">
        <v>287</v>
      </c>
      <c r="L35" s="160" t="s">
        <v>287</v>
      </c>
      <c r="M35" s="192" t="s">
        <v>287</v>
      </c>
      <c r="N35" s="160" t="s">
        <v>287</v>
      </c>
      <c r="O35" s="192" t="s">
        <v>287</v>
      </c>
      <c r="P35" s="160" t="s">
        <v>287</v>
      </c>
      <c r="Q35" s="192" t="s">
        <v>287</v>
      </c>
      <c r="R35" s="160" t="s">
        <v>287</v>
      </c>
      <c r="S35" s="192" t="s">
        <v>287</v>
      </c>
      <c r="T35" s="160" t="s">
        <v>287</v>
      </c>
      <c r="U35" s="162" t="s">
        <v>287</v>
      </c>
      <c r="V35" s="160" t="s">
        <v>287</v>
      </c>
      <c r="W35" s="160" t="s">
        <v>287</v>
      </c>
      <c r="X35" s="160" t="s">
        <v>287</v>
      </c>
      <c r="Y35" s="160" t="s">
        <v>287</v>
      </c>
      <c r="Z35" s="160" t="s">
        <v>287</v>
      </c>
      <c r="AA35" s="160" t="s">
        <v>287</v>
      </c>
      <c r="AB35" s="167">
        <v>2</v>
      </c>
      <c r="AC35" s="206" t="s">
        <v>287</v>
      </c>
      <c r="AD35" s="145" t="s">
        <v>199</v>
      </c>
      <c r="AE35" s="181"/>
      <c r="AF35" s="181"/>
      <c r="AG35" s="131"/>
    </row>
    <row r="36" spans="1:33">
      <c r="A36" s="127" t="str">
        <f>VLOOKUP([1]ListOfRegions!A20,[1]ListOfRegions!A20:B94,2,0)</f>
        <v xml:space="preserve">  Θεσπρωτίας</v>
      </c>
      <c r="B36" s="178">
        <f>SUM(C36,E36,G36,I36,K36,M36,O36,R36,T36,V36,X36,Z36,AB36,AC36)</f>
        <v>0</v>
      </c>
      <c r="C36" s="161" t="s">
        <v>287</v>
      </c>
      <c r="D36" s="160" t="s">
        <v>287</v>
      </c>
      <c r="E36" s="192" t="s">
        <v>287</v>
      </c>
      <c r="F36" s="160" t="s">
        <v>287</v>
      </c>
      <c r="G36" s="192" t="s">
        <v>287</v>
      </c>
      <c r="H36" s="160" t="s">
        <v>287</v>
      </c>
      <c r="I36" s="192" t="s">
        <v>287</v>
      </c>
      <c r="J36" s="160" t="s">
        <v>287</v>
      </c>
      <c r="K36" s="192" t="s">
        <v>287</v>
      </c>
      <c r="L36" s="160" t="s">
        <v>287</v>
      </c>
      <c r="M36" s="192" t="s">
        <v>287</v>
      </c>
      <c r="N36" s="160" t="s">
        <v>287</v>
      </c>
      <c r="O36" s="192" t="s">
        <v>287</v>
      </c>
      <c r="P36" s="160" t="s">
        <v>287</v>
      </c>
      <c r="Q36" s="192" t="s">
        <v>287</v>
      </c>
      <c r="R36" s="160" t="s">
        <v>287</v>
      </c>
      <c r="S36" s="192" t="s">
        <v>287</v>
      </c>
      <c r="T36" s="160" t="s">
        <v>287</v>
      </c>
      <c r="U36" s="162" t="s">
        <v>287</v>
      </c>
      <c r="V36" s="160" t="s">
        <v>287</v>
      </c>
      <c r="W36" s="160" t="s">
        <v>287</v>
      </c>
      <c r="X36" s="160" t="s">
        <v>287</v>
      </c>
      <c r="Y36" s="160" t="s">
        <v>287</v>
      </c>
      <c r="Z36" s="160" t="s">
        <v>287</v>
      </c>
      <c r="AA36" s="160" t="s">
        <v>287</v>
      </c>
      <c r="AB36" s="160" t="s">
        <v>287</v>
      </c>
      <c r="AC36" s="206" t="s">
        <v>287</v>
      </c>
      <c r="AD36" s="145" t="s">
        <v>200</v>
      </c>
      <c r="AE36" s="181"/>
      <c r="AF36" s="181"/>
      <c r="AG36" s="131"/>
    </row>
    <row r="37" spans="1:33">
      <c r="A37" s="127" t="str">
        <f>VLOOKUP([1]ListOfRegions!A21,[1]ListOfRegions!A21:B95,2,0)</f>
        <v xml:space="preserve">  Πρέβεζας</v>
      </c>
      <c r="B37" s="178">
        <f>SUM(C37,E37,G37,I37,K37,M37,O37,R37,T37,V37,X37,Z37,AB37,AC37)</f>
        <v>2212</v>
      </c>
      <c r="C37" s="161" t="s">
        <v>287</v>
      </c>
      <c r="D37" s="160" t="s">
        <v>287</v>
      </c>
      <c r="E37" s="192" t="s">
        <v>287</v>
      </c>
      <c r="F37" s="160" t="s">
        <v>287</v>
      </c>
      <c r="G37" s="183">
        <v>2202</v>
      </c>
      <c r="H37" s="166">
        <v>683.44</v>
      </c>
      <c r="I37" s="192" t="s">
        <v>287</v>
      </c>
      <c r="J37" s="160" t="s">
        <v>287</v>
      </c>
      <c r="K37" s="192" t="s">
        <v>287</v>
      </c>
      <c r="L37" s="160" t="s">
        <v>287</v>
      </c>
      <c r="M37" s="190">
        <v>10</v>
      </c>
      <c r="N37" s="166">
        <v>1.5E-3</v>
      </c>
      <c r="O37" s="192" t="s">
        <v>287</v>
      </c>
      <c r="P37" s="160" t="s">
        <v>287</v>
      </c>
      <c r="Q37" s="192" t="s">
        <v>287</v>
      </c>
      <c r="R37" s="160" t="s">
        <v>287</v>
      </c>
      <c r="S37" s="192" t="s">
        <v>287</v>
      </c>
      <c r="T37" s="160" t="s">
        <v>287</v>
      </c>
      <c r="U37" s="162" t="s">
        <v>287</v>
      </c>
      <c r="V37" s="160" t="s">
        <v>287</v>
      </c>
      <c r="W37" s="160" t="s">
        <v>287</v>
      </c>
      <c r="X37" s="160" t="s">
        <v>287</v>
      </c>
      <c r="Y37" s="160" t="s">
        <v>287</v>
      </c>
      <c r="Z37" s="160" t="s">
        <v>287</v>
      </c>
      <c r="AA37" s="160" t="s">
        <v>287</v>
      </c>
      <c r="AB37" s="160" t="s">
        <v>287</v>
      </c>
      <c r="AC37" s="206" t="s">
        <v>287</v>
      </c>
      <c r="AD37" s="145" t="s">
        <v>201</v>
      </c>
      <c r="AE37" s="181"/>
      <c r="AF37" s="181"/>
      <c r="AG37" s="131"/>
    </row>
    <row r="38" spans="1:33">
      <c r="A38" s="305" t="s">
        <v>202</v>
      </c>
      <c r="B38" s="238">
        <f>SUM(C38,E38,G38,I38,K38,M38,O38,R38,T38,V38,X38,Z38,AB38,AC38)</f>
        <v>1092212</v>
      </c>
      <c r="C38" s="306">
        <f>SUM(C40:C44)</f>
        <v>6505</v>
      </c>
      <c r="D38" s="234">
        <f>SUM(D40:D44)</f>
        <v>1562.35</v>
      </c>
      <c r="E38" s="236">
        <f t="shared" ref="E38:N38" si="9">SUM(E40:E44)</f>
        <v>14892</v>
      </c>
      <c r="F38" s="234">
        <f t="shared" si="9"/>
        <v>5626.79</v>
      </c>
      <c r="G38" s="236">
        <f t="shared" si="9"/>
        <v>1039716</v>
      </c>
      <c r="H38" s="234">
        <f t="shared" si="9"/>
        <v>374414.59000000008</v>
      </c>
      <c r="I38" s="236">
        <f>SUM(I40:I44)</f>
        <v>100</v>
      </c>
      <c r="J38" s="234">
        <f>SUM(J40:J44)</f>
        <v>10</v>
      </c>
      <c r="K38" s="236">
        <f t="shared" si="9"/>
        <v>25</v>
      </c>
      <c r="L38" s="234">
        <f t="shared" si="9"/>
        <v>1.875</v>
      </c>
      <c r="M38" s="236">
        <f t="shared" si="9"/>
        <v>11161</v>
      </c>
      <c r="N38" s="234">
        <f t="shared" si="9"/>
        <v>3.3303000000000003</v>
      </c>
      <c r="O38" s="237">
        <f>SUM(O40:O44)</f>
        <v>0</v>
      </c>
      <c r="P38" s="224">
        <f t="shared" ref="P38:W38" si="10">SUM(P40:P44)</f>
        <v>0</v>
      </c>
      <c r="Q38" s="237">
        <f t="shared" si="10"/>
        <v>0</v>
      </c>
      <c r="R38" s="224">
        <f t="shared" si="10"/>
        <v>69</v>
      </c>
      <c r="S38" s="237">
        <f t="shared" si="10"/>
        <v>23.1</v>
      </c>
      <c r="T38" s="224">
        <f t="shared" si="10"/>
        <v>15037</v>
      </c>
      <c r="U38" s="237">
        <f t="shared" si="10"/>
        <v>108014.6</v>
      </c>
      <c r="V38" s="309">
        <f t="shared" si="10"/>
        <v>65</v>
      </c>
      <c r="W38" s="224">
        <f t="shared" si="10"/>
        <v>15.1</v>
      </c>
      <c r="X38" s="224">
        <f t="shared" ref="X38:AC38" si="11">SUM(X40:X44)</f>
        <v>0</v>
      </c>
      <c r="Y38" s="224">
        <f t="shared" si="11"/>
        <v>0</v>
      </c>
      <c r="Z38" s="224">
        <f t="shared" si="11"/>
        <v>250</v>
      </c>
      <c r="AA38" s="224">
        <f t="shared" si="11"/>
        <v>79.039999999999992</v>
      </c>
      <c r="AB38" s="224">
        <f t="shared" si="11"/>
        <v>2094</v>
      </c>
      <c r="AC38" s="225">
        <f t="shared" si="11"/>
        <v>2298</v>
      </c>
      <c r="AD38" s="307" t="s">
        <v>203</v>
      </c>
      <c r="AE38" s="308"/>
      <c r="AF38" s="308"/>
      <c r="AG38" s="131"/>
    </row>
    <row r="39" spans="1:33">
      <c r="A39" s="305"/>
      <c r="B39" s="239"/>
      <c r="C39" s="306"/>
      <c r="D39" s="234"/>
      <c r="E39" s="236"/>
      <c r="F39" s="234"/>
      <c r="G39" s="236"/>
      <c r="H39" s="234"/>
      <c r="I39" s="236"/>
      <c r="J39" s="234"/>
      <c r="K39" s="236"/>
      <c r="L39" s="234"/>
      <c r="M39" s="236"/>
      <c r="N39" s="234"/>
      <c r="O39" s="237"/>
      <c r="P39" s="224"/>
      <c r="Q39" s="237"/>
      <c r="R39" s="224"/>
      <c r="S39" s="237"/>
      <c r="T39" s="224"/>
      <c r="U39" s="237"/>
      <c r="V39" s="309"/>
      <c r="W39" s="224"/>
      <c r="X39" s="224"/>
      <c r="Y39" s="224"/>
      <c r="Z39" s="224"/>
      <c r="AA39" s="224"/>
      <c r="AB39" s="224"/>
      <c r="AC39" s="225"/>
      <c r="AD39" s="307"/>
      <c r="AE39" s="308"/>
      <c r="AF39" s="308"/>
      <c r="AG39" s="131"/>
    </row>
    <row r="40" spans="1:33">
      <c r="A40" s="127" t="str">
        <f>VLOOKUP([1]ListOfRegions!A22,[1]ListOfRegions!A22:B96,2,0)</f>
        <v xml:space="preserve">  Λάρισας</v>
      </c>
      <c r="B40" s="178">
        <f>SUM(C40,E40,G40,I40,K40,M40,O40,R40,T40,V40,X40,Z40,AB40,AC40)</f>
        <v>421288</v>
      </c>
      <c r="C40" s="168">
        <v>6177</v>
      </c>
      <c r="D40" s="166">
        <v>1479.6</v>
      </c>
      <c r="E40" s="190">
        <v>1606</v>
      </c>
      <c r="F40" s="166">
        <v>517.4</v>
      </c>
      <c r="G40" s="183">
        <v>393391</v>
      </c>
      <c r="H40" s="166">
        <v>146728.23000000001</v>
      </c>
      <c r="I40" s="192" t="s">
        <v>287</v>
      </c>
      <c r="J40" s="160" t="s">
        <v>287</v>
      </c>
      <c r="K40" s="183">
        <v>25</v>
      </c>
      <c r="L40" s="166">
        <v>1.875</v>
      </c>
      <c r="M40" s="190">
        <v>9443</v>
      </c>
      <c r="N40" s="166">
        <v>3.0599000000000003</v>
      </c>
      <c r="O40" s="192" t="s">
        <v>287</v>
      </c>
      <c r="P40" s="160" t="s">
        <v>287</v>
      </c>
      <c r="Q40" s="192" t="s">
        <v>287</v>
      </c>
      <c r="R40" s="167">
        <v>10</v>
      </c>
      <c r="S40" s="200">
        <v>6</v>
      </c>
      <c r="T40" s="167">
        <v>10014</v>
      </c>
      <c r="U40" s="200">
        <v>66916.600000000006</v>
      </c>
      <c r="V40" s="173">
        <v>9</v>
      </c>
      <c r="W40" s="172">
        <v>0.9</v>
      </c>
      <c r="X40" s="160" t="s">
        <v>287</v>
      </c>
      <c r="Y40" s="160" t="s">
        <v>287</v>
      </c>
      <c r="Z40" s="167">
        <v>11</v>
      </c>
      <c r="AA40" s="166">
        <v>3.3</v>
      </c>
      <c r="AB40" s="167">
        <v>242</v>
      </c>
      <c r="AC40" s="205">
        <v>360</v>
      </c>
      <c r="AD40" s="145" t="s">
        <v>204</v>
      </c>
      <c r="AE40" s="181"/>
      <c r="AF40" s="181"/>
      <c r="AG40" s="131"/>
    </row>
    <row r="41" spans="1:33">
      <c r="A41" s="127" t="str">
        <f>VLOOKUP([1]ListOfRegions!A23,[1]ListOfRegions!A23:B97,2,0)</f>
        <v xml:space="preserve">  Καρδίτσας</v>
      </c>
      <c r="B41" s="178">
        <f>SUM(C41,E41,G41,I41,K41,M41,O41,R41,T41,V41,X41,Z41,AB41,AC41)</f>
        <v>498723</v>
      </c>
      <c r="C41" s="168">
        <v>30</v>
      </c>
      <c r="D41" s="166">
        <v>8</v>
      </c>
      <c r="E41" s="190">
        <v>8624</v>
      </c>
      <c r="F41" s="166">
        <v>3524.65</v>
      </c>
      <c r="G41" s="183">
        <v>485351</v>
      </c>
      <c r="H41" s="166">
        <v>167620.57</v>
      </c>
      <c r="I41" s="190">
        <v>100</v>
      </c>
      <c r="J41" s="166">
        <v>10</v>
      </c>
      <c r="K41" s="192" t="s">
        <v>287</v>
      </c>
      <c r="L41" s="160" t="s">
        <v>287</v>
      </c>
      <c r="M41" s="190">
        <v>1413</v>
      </c>
      <c r="N41" s="166">
        <v>0.246</v>
      </c>
      <c r="O41" s="192" t="s">
        <v>287</v>
      </c>
      <c r="P41" s="160" t="s">
        <v>287</v>
      </c>
      <c r="Q41" s="192" t="s">
        <v>287</v>
      </c>
      <c r="R41" s="167">
        <v>15</v>
      </c>
      <c r="S41" s="200">
        <v>3.9</v>
      </c>
      <c r="T41" s="167">
        <v>1590</v>
      </c>
      <c r="U41" s="172">
        <v>11953</v>
      </c>
      <c r="V41" s="175">
        <v>36</v>
      </c>
      <c r="W41" s="166">
        <v>7.2</v>
      </c>
      <c r="X41" s="160" t="s">
        <v>287</v>
      </c>
      <c r="Y41" s="160" t="s">
        <v>287</v>
      </c>
      <c r="Z41" s="160" t="s">
        <v>287</v>
      </c>
      <c r="AA41" s="160" t="s">
        <v>287</v>
      </c>
      <c r="AB41" s="167">
        <v>377</v>
      </c>
      <c r="AC41" s="205">
        <v>1187</v>
      </c>
      <c r="AD41" s="145" t="s">
        <v>205</v>
      </c>
      <c r="AE41" s="181"/>
      <c r="AF41" s="181"/>
      <c r="AG41" s="131"/>
    </row>
    <row r="42" spans="1:33">
      <c r="A42" s="127" t="str">
        <f>VLOOKUP([1]ListOfRegions!A24,[1]ListOfRegions!A24:B98,2,0)</f>
        <v xml:space="preserve">  Μαγνησίας</v>
      </c>
      <c r="B42" s="178">
        <f>SUM(C42,E42,G42,I42,K42,M42,O42,R42,T42,V42,X42,Z42,AB42,AC42)</f>
        <v>61445</v>
      </c>
      <c r="C42" s="161" t="s">
        <v>287</v>
      </c>
      <c r="D42" s="160" t="s">
        <v>287</v>
      </c>
      <c r="E42" s="192" t="s">
        <v>287</v>
      </c>
      <c r="F42" s="160" t="s">
        <v>287</v>
      </c>
      <c r="G42" s="183">
        <v>57235</v>
      </c>
      <c r="H42" s="166">
        <v>21271.4</v>
      </c>
      <c r="I42" s="192" t="s">
        <v>287</v>
      </c>
      <c r="J42" s="160" t="s">
        <v>287</v>
      </c>
      <c r="K42" s="192" t="s">
        <v>287</v>
      </c>
      <c r="L42" s="160" t="s">
        <v>287</v>
      </c>
      <c r="M42" s="192" t="s">
        <v>287</v>
      </c>
      <c r="N42" s="160" t="s">
        <v>287</v>
      </c>
      <c r="O42" s="192" t="s">
        <v>287</v>
      </c>
      <c r="P42" s="160" t="s">
        <v>287</v>
      </c>
      <c r="Q42" s="192" t="s">
        <v>287</v>
      </c>
      <c r="R42" s="160" t="s">
        <v>287</v>
      </c>
      <c r="S42" s="192" t="s">
        <v>287</v>
      </c>
      <c r="T42" s="167">
        <v>2109</v>
      </c>
      <c r="U42" s="172">
        <v>21195</v>
      </c>
      <c r="V42" s="160" t="s">
        <v>287</v>
      </c>
      <c r="W42" s="160" t="s">
        <v>287</v>
      </c>
      <c r="X42" s="160" t="s">
        <v>287</v>
      </c>
      <c r="Y42" s="160" t="s">
        <v>287</v>
      </c>
      <c r="Z42" s="167">
        <v>17</v>
      </c>
      <c r="AA42" s="166">
        <v>5.0999999999999996</v>
      </c>
      <c r="AB42" s="167">
        <v>1418</v>
      </c>
      <c r="AC42" s="205">
        <v>666</v>
      </c>
      <c r="AD42" s="145" t="s">
        <v>206</v>
      </c>
      <c r="AE42" s="181"/>
      <c r="AF42" s="181"/>
      <c r="AG42" s="131"/>
    </row>
    <row r="43" spans="1:33">
      <c r="A43" s="127" t="str">
        <f>VLOOKUP([1]ListOfRegions!A25,[1]ListOfRegions!A25:B99,2,0)</f>
        <v xml:space="preserve">  Σποράδων</v>
      </c>
      <c r="B43" s="178">
        <f>SUM(C44,E43,G43,I43,K43,M43,O43,R43,T43,V43,X43,Z43,AB43,AC43)</f>
        <v>298</v>
      </c>
      <c r="C43" s="131"/>
      <c r="D43" s="199"/>
      <c r="E43" s="192" t="s">
        <v>287</v>
      </c>
      <c r="F43" s="160" t="s">
        <v>287</v>
      </c>
      <c r="G43" s="192" t="s">
        <v>287</v>
      </c>
      <c r="H43" s="160" t="s">
        <v>287</v>
      </c>
      <c r="I43" s="192" t="s">
        <v>287</v>
      </c>
      <c r="J43" s="160" t="s">
        <v>287</v>
      </c>
      <c r="K43" s="192" t="s">
        <v>287</v>
      </c>
      <c r="L43" s="160" t="s">
        <v>287</v>
      </c>
      <c r="M43" s="192" t="s">
        <v>287</v>
      </c>
      <c r="N43" s="160" t="s">
        <v>287</v>
      </c>
      <c r="O43" s="192" t="s">
        <v>287</v>
      </c>
      <c r="P43" s="160" t="s">
        <v>287</v>
      </c>
      <c r="Q43" s="192" t="s">
        <v>287</v>
      </c>
      <c r="R43" s="160" t="s">
        <v>287</v>
      </c>
      <c r="S43" s="192" t="s">
        <v>287</v>
      </c>
      <c r="T43" s="160" t="s">
        <v>287</v>
      </c>
      <c r="U43" s="162" t="s">
        <v>287</v>
      </c>
      <c r="V43" s="160" t="s">
        <v>287</v>
      </c>
      <c r="W43" s="160" t="s">
        <v>287</v>
      </c>
      <c r="X43" s="160" t="s">
        <v>287</v>
      </c>
      <c r="Y43" s="160" t="s">
        <v>287</v>
      </c>
      <c r="Z43" s="160" t="s">
        <v>287</v>
      </c>
      <c r="AA43" s="160" t="s">
        <v>287</v>
      </c>
      <c r="AB43" s="160" t="s">
        <v>287</v>
      </c>
      <c r="AC43" s="206" t="s">
        <v>287</v>
      </c>
      <c r="AD43" s="145" t="s">
        <v>207</v>
      </c>
      <c r="AE43" s="181"/>
      <c r="AF43" s="181"/>
      <c r="AG43" s="131"/>
    </row>
    <row r="44" spans="1:33">
      <c r="A44" s="127" t="str">
        <f>VLOOKUP([1]ListOfRegions!A26,[1]ListOfRegions!A26:B100,2,0)</f>
        <v xml:space="preserve">  Τρικάλων</v>
      </c>
      <c r="B44" s="178">
        <f>SUM(C45,E44,G44,I44,K44,M44,O44,R44,T44,V44,X44,Z44,AB44,AC44)</f>
        <v>111678</v>
      </c>
      <c r="C44" s="168">
        <v>298</v>
      </c>
      <c r="D44" s="166">
        <v>74.75</v>
      </c>
      <c r="E44" s="190">
        <v>4662</v>
      </c>
      <c r="F44" s="166">
        <v>1584.74</v>
      </c>
      <c r="G44" s="183">
        <v>103739</v>
      </c>
      <c r="H44" s="166">
        <v>38794.39</v>
      </c>
      <c r="I44" s="192" t="s">
        <v>287</v>
      </c>
      <c r="J44" s="160" t="s">
        <v>287</v>
      </c>
      <c r="K44" s="192" t="s">
        <v>287</v>
      </c>
      <c r="L44" s="160" t="s">
        <v>287</v>
      </c>
      <c r="M44" s="190">
        <v>305</v>
      </c>
      <c r="N44" s="166">
        <v>2.4399999999999998E-2</v>
      </c>
      <c r="O44" s="192" t="s">
        <v>287</v>
      </c>
      <c r="P44" s="160" t="s">
        <v>287</v>
      </c>
      <c r="Q44" s="192" t="s">
        <v>287</v>
      </c>
      <c r="R44" s="167">
        <v>44</v>
      </c>
      <c r="S44" s="200">
        <v>13.2</v>
      </c>
      <c r="T44" s="167">
        <v>1324</v>
      </c>
      <c r="U44" s="200">
        <v>7950</v>
      </c>
      <c r="V44" s="176">
        <v>20</v>
      </c>
      <c r="W44" s="159">
        <v>7</v>
      </c>
      <c r="X44" s="162" t="s">
        <v>287</v>
      </c>
      <c r="Y44" s="160" t="s">
        <v>287</v>
      </c>
      <c r="Z44" s="167">
        <v>222</v>
      </c>
      <c r="AA44" s="166">
        <v>70.64</v>
      </c>
      <c r="AB44" s="167">
        <v>57</v>
      </c>
      <c r="AC44" s="205">
        <v>85</v>
      </c>
      <c r="AD44" s="145" t="s">
        <v>208</v>
      </c>
      <c r="AE44" s="181"/>
      <c r="AF44" s="181"/>
      <c r="AG44" s="131"/>
    </row>
    <row r="45" spans="1:33">
      <c r="A45" s="305" t="s">
        <v>209</v>
      </c>
      <c r="B45" s="238">
        <f>SUM(C45,E45,G45,I45,K45,M45,O45,R45,T45,V45,X45,Z45,AB45,AC45)</f>
        <v>381752</v>
      </c>
      <c r="C45" s="306">
        <f>SUM(C47:C51)</f>
        <v>1220</v>
      </c>
      <c r="D45" s="234">
        <f t="shared" ref="D45:N45" si="12">SUM(D47:D51)</f>
        <v>223</v>
      </c>
      <c r="E45" s="236">
        <f t="shared" si="12"/>
        <v>1365</v>
      </c>
      <c r="F45" s="234">
        <f t="shared" si="12"/>
        <v>462.2</v>
      </c>
      <c r="G45" s="236">
        <f t="shared" si="12"/>
        <v>364441</v>
      </c>
      <c r="H45" s="234">
        <f t="shared" si="12"/>
        <v>123082.96399999999</v>
      </c>
      <c r="I45" s="236">
        <f>SUM(I47:I51)</f>
        <v>5150</v>
      </c>
      <c r="J45" s="234">
        <f>SUM(J47:J51)</f>
        <v>677.7</v>
      </c>
      <c r="K45" s="236">
        <f t="shared" si="12"/>
        <v>60</v>
      </c>
      <c r="L45" s="234">
        <f t="shared" si="12"/>
        <v>6.2</v>
      </c>
      <c r="M45" s="236">
        <f t="shared" si="12"/>
        <v>5235</v>
      </c>
      <c r="N45" s="234">
        <f t="shared" si="12"/>
        <v>1.5023</v>
      </c>
      <c r="O45" s="237">
        <f>SUM(O47:O51)</f>
        <v>50</v>
      </c>
      <c r="P45" s="224">
        <f t="shared" ref="P45:W45" si="13">SUM(P47:P51)</f>
        <v>0</v>
      </c>
      <c r="Q45" s="237">
        <f t="shared" si="13"/>
        <v>0</v>
      </c>
      <c r="R45" s="224">
        <f t="shared" si="13"/>
        <v>60</v>
      </c>
      <c r="S45" s="237">
        <f t="shared" si="13"/>
        <v>1.8</v>
      </c>
      <c r="T45" s="224">
        <f t="shared" si="13"/>
        <v>1065</v>
      </c>
      <c r="U45" s="237">
        <f t="shared" si="13"/>
        <v>6613.4</v>
      </c>
      <c r="V45" s="309">
        <f t="shared" si="13"/>
        <v>30</v>
      </c>
      <c r="W45" s="224">
        <f t="shared" si="13"/>
        <v>7.5</v>
      </c>
      <c r="X45" s="224">
        <f t="shared" ref="X45:AC45" si="14">SUM(X47:X51)</f>
        <v>0</v>
      </c>
      <c r="Y45" s="224">
        <f t="shared" si="14"/>
        <v>0</v>
      </c>
      <c r="Z45" s="224">
        <f t="shared" si="14"/>
        <v>250</v>
      </c>
      <c r="AA45" s="224">
        <f t="shared" si="14"/>
        <v>45</v>
      </c>
      <c r="AB45" s="224">
        <f t="shared" si="14"/>
        <v>168</v>
      </c>
      <c r="AC45" s="225">
        <f t="shared" si="14"/>
        <v>2658</v>
      </c>
      <c r="AD45" s="307" t="s">
        <v>210</v>
      </c>
      <c r="AE45" s="308"/>
      <c r="AF45" s="308"/>
      <c r="AG45" s="131"/>
    </row>
    <row r="46" spans="1:33">
      <c r="A46" s="305"/>
      <c r="B46" s="239"/>
      <c r="C46" s="306"/>
      <c r="D46" s="234"/>
      <c r="E46" s="236"/>
      <c r="F46" s="234"/>
      <c r="G46" s="236"/>
      <c r="H46" s="234"/>
      <c r="I46" s="236"/>
      <c r="J46" s="234"/>
      <c r="K46" s="236"/>
      <c r="L46" s="234"/>
      <c r="M46" s="236"/>
      <c r="N46" s="234"/>
      <c r="O46" s="237"/>
      <c r="P46" s="224"/>
      <c r="Q46" s="237"/>
      <c r="R46" s="224"/>
      <c r="S46" s="237"/>
      <c r="T46" s="224"/>
      <c r="U46" s="237"/>
      <c r="V46" s="309"/>
      <c r="W46" s="224"/>
      <c r="X46" s="224"/>
      <c r="Y46" s="224"/>
      <c r="Z46" s="224"/>
      <c r="AA46" s="224"/>
      <c r="AB46" s="224"/>
      <c r="AC46" s="225"/>
      <c r="AD46" s="307"/>
      <c r="AE46" s="308"/>
      <c r="AF46" s="308"/>
      <c r="AG46" s="131"/>
    </row>
    <row r="47" spans="1:33">
      <c r="A47" s="127" t="str">
        <f>VLOOKUP([1]ListOfRegions!A27,[1]ListOfRegions!A27:B101,2,0)</f>
        <v xml:space="preserve">  Φθιώτιδας</v>
      </c>
      <c r="B47" s="178">
        <f t="shared" ref="B47:B58" si="15">SUM(C47,E47,G47,I47,K47,M47,O47,R47,T47,V47,X47,Z47,AB47,AC47)</f>
        <v>165599</v>
      </c>
      <c r="C47" s="168">
        <v>1220</v>
      </c>
      <c r="D47" s="166">
        <v>223</v>
      </c>
      <c r="E47" s="190">
        <v>905</v>
      </c>
      <c r="F47" s="166">
        <v>328.2</v>
      </c>
      <c r="G47" s="183">
        <v>155391</v>
      </c>
      <c r="H47" s="166">
        <v>51394.47</v>
      </c>
      <c r="I47" s="190">
        <v>1430</v>
      </c>
      <c r="J47" s="166">
        <v>283.5</v>
      </c>
      <c r="K47" s="192" t="s">
        <v>287</v>
      </c>
      <c r="L47" s="160" t="s">
        <v>287</v>
      </c>
      <c r="M47" s="190">
        <v>5185</v>
      </c>
      <c r="N47" s="166">
        <v>1.4963</v>
      </c>
      <c r="O47" s="183">
        <v>50</v>
      </c>
      <c r="P47" s="160" t="s">
        <v>287</v>
      </c>
      <c r="Q47" s="192" t="s">
        <v>287</v>
      </c>
      <c r="R47" s="160" t="s">
        <v>287</v>
      </c>
      <c r="S47" s="192" t="s">
        <v>287</v>
      </c>
      <c r="T47" s="167">
        <v>1065</v>
      </c>
      <c r="U47" s="172">
        <v>6613.4</v>
      </c>
      <c r="V47" s="159">
        <v>30</v>
      </c>
      <c r="W47" s="159">
        <v>7.5</v>
      </c>
      <c r="X47" s="160" t="s">
        <v>287</v>
      </c>
      <c r="Y47" s="160" t="s">
        <v>287</v>
      </c>
      <c r="Z47" s="167">
        <v>250</v>
      </c>
      <c r="AA47" s="166">
        <v>45</v>
      </c>
      <c r="AB47" s="167">
        <v>23</v>
      </c>
      <c r="AC47" s="205">
        <v>50</v>
      </c>
      <c r="AD47" s="145" t="s">
        <v>211</v>
      </c>
      <c r="AE47" s="181"/>
      <c r="AF47" s="181"/>
      <c r="AG47" s="131"/>
    </row>
    <row r="48" spans="1:33">
      <c r="A48" s="127" t="str">
        <f>VLOOKUP([1]ListOfRegions!A28,[1]ListOfRegions!A28:B102,2,0)</f>
        <v xml:space="preserve">  Βοιωτίας</v>
      </c>
      <c r="B48" s="178">
        <f t="shared" si="15"/>
        <v>198205</v>
      </c>
      <c r="C48" s="161" t="s">
        <v>287</v>
      </c>
      <c r="D48" s="160" t="s">
        <v>287</v>
      </c>
      <c r="E48" s="192" t="s">
        <v>287</v>
      </c>
      <c r="F48" s="160" t="s">
        <v>287</v>
      </c>
      <c r="G48" s="183">
        <v>194455</v>
      </c>
      <c r="H48" s="166">
        <v>68484.149999999994</v>
      </c>
      <c r="I48" s="190">
        <v>3720</v>
      </c>
      <c r="J48" s="166">
        <v>394.2</v>
      </c>
      <c r="K48" s="192" t="s">
        <v>287</v>
      </c>
      <c r="L48" s="160" t="s">
        <v>287</v>
      </c>
      <c r="M48" s="192" t="s">
        <v>287</v>
      </c>
      <c r="N48" s="160" t="s">
        <v>287</v>
      </c>
      <c r="O48" s="192" t="s">
        <v>287</v>
      </c>
      <c r="P48" s="160" t="s">
        <v>287</v>
      </c>
      <c r="Q48" s="192" t="s">
        <v>287</v>
      </c>
      <c r="R48" s="160" t="s">
        <v>287</v>
      </c>
      <c r="S48" s="192" t="s">
        <v>287</v>
      </c>
      <c r="T48" s="160" t="s">
        <v>287</v>
      </c>
      <c r="U48" s="162" t="s">
        <v>287</v>
      </c>
      <c r="V48" s="160" t="s">
        <v>287</v>
      </c>
      <c r="W48" s="160" t="s">
        <v>287</v>
      </c>
      <c r="X48" s="160" t="s">
        <v>287</v>
      </c>
      <c r="Y48" s="160" t="s">
        <v>287</v>
      </c>
      <c r="Z48" s="160" t="s">
        <v>287</v>
      </c>
      <c r="AA48" s="160" t="s">
        <v>287</v>
      </c>
      <c r="AB48" s="167">
        <v>30</v>
      </c>
      <c r="AC48" s="206" t="s">
        <v>287</v>
      </c>
      <c r="AD48" s="145" t="s">
        <v>212</v>
      </c>
      <c r="AE48" s="181"/>
      <c r="AF48" s="181"/>
      <c r="AG48" s="131"/>
    </row>
    <row r="49" spans="1:33">
      <c r="A49" s="127" t="str">
        <f>VLOOKUP([1]ListOfRegions!A29,[1]ListOfRegions!A29:B103,2,0)</f>
        <v xml:space="preserve">  Εύβοιας</v>
      </c>
      <c r="B49" s="178">
        <f t="shared" si="15"/>
        <v>17018</v>
      </c>
      <c r="C49" s="161" t="s">
        <v>287</v>
      </c>
      <c r="D49" s="160" t="s">
        <v>287</v>
      </c>
      <c r="E49" s="192" t="s">
        <v>287</v>
      </c>
      <c r="F49" s="160" t="s">
        <v>287</v>
      </c>
      <c r="G49" s="183">
        <v>14185</v>
      </c>
      <c r="H49" s="166">
        <v>3122.3440000000001</v>
      </c>
      <c r="I49" s="192" t="s">
        <v>287</v>
      </c>
      <c r="J49" s="160" t="s">
        <v>287</v>
      </c>
      <c r="K49" s="183">
        <v>60</v>
      </c>
      <c r="L49" s="166">
        <v>6.2</v>
      </c>
      <c r="M49" s="192" t="s">
        <v>287</v>
      </c>
      <c r="N49" s="160" t="s">
        <v>287</v>
      </c>
      <c r="O49" s="192" t="s">
        <v>287</v>
      </c>
      <c r="P49" s="160" t="s">
        <v>287</v>
      </c>
      <c r="Q49" s="192" t="s">
        <v>287</v>
      </c>
      <c r="R49" s="167">
        <v>60</v>
      </c>
      <c r="S49" s="200">
        <v>1.8</v>
      </c>
      <c r="T49" s="160" t="s">
        <v>287</v>
      </c>
      <c r="U49" s="162" t="s">
        <v>287</v>
      </c>
      <c r="V49" s="160" t="s">
        <v>287</v>
      </c>
      <c r="W49" s="160" t="s">
        <v>287</v>
      </c>
      <c r="X49" s="160" t="s">
        <v>287</v>
      </c>
      <c r="Y49" s="160" t="s">
        <v>287</v>
      </c>
      <c r="Z49" s="160" t="s">
        <v>287</v>
      </c>
      <c r="AA49" s="160" t="s">
        <v>287</v>
      </c>
      <c r="AB49" s="167">
        <v>105</v>
      </c>
      <c r="AC49" s="205">
        <v>2608</v>
      </c>
      <c r="AD49" s="145" t="s">
        <v>213</v>
      </c>
      <c r="AE49" s="181"/>
      <c r="AF49" s="181"/>
      <c r="AG49" s="131"/>
    </row>
    <row r="50" spans="1:33">
      <c r="A50" s="127" t="str">
        <f>VLOOKUP([1]ListOfRegions!A30,[1]ListOfRegions!A30:B104,2,0)</f>
        <v xml:space="preserve">  Ευρυτανίας</v>
      </c>
      <c r="B50" s="178">
        <f t="shared" si="15"/>
        <v>4</v>
      </c>
      <c r="C50" s="161" t="s">
        <v>287</v>
      </c>
      <c r="D50" s="160" t="s">
        <v>287</v>
      </c>
      <c r="E50" s="192" t="s">
        <v>287</v>
      </c>
      <c r="F50" s="160" t="s">
        <v>287</v>
      </c>
      <c r="G50" s="192" t="s">
        <v>287</v>
      </c>
      <c r="H50" s="160" t="s">
        <v>287</v>
      </c>
      <c r="I50" s="192" t="s">
        <v>287</v>
      </c>
      <c r="J50" s="160" t="s">
        <v>287</v>
      </c>
      <c r="K50" s="192" t="s">
        <v>287</v>
      </c>
      <c r="L50" s="160" t="s">
        <v>287</v>
      </c>
      <c r="M50" s="192" t="s">
        <v>287</v>
      </c>
      <c r="N50" s="160" t="s">
        <v>287</v>
      </c>
      <c r="O50" s="192" t="s">
        <v>287</v>
      </c>
      <c r="P50" s="160" t="s">
        <v>287</v>
      </c>
      <c r="Q50" s="192" t="s">
        <v>287</v>
      </c>
      <c r="R50" s="160" t="s">
        <v>287</v>
      </c>
      <c r="S50" s="192" t="s">
        <v>287</v>
      </c>
      <c r="T50" s="160" t="s">
        <v>287</v>
      </c>
      <c r="U50" s="162" t="s">
        <v>287</v>
      </c>
      <c r="V50" s="160" t="s">
        <v>287</v>
      </c>
      <c r="W50" s="160" t="s">
        <v>287</v>
      </c>
      <c r="X50" s="160" t="s">
        <v>287</v>
      </c>
      <c r="Y50" s="160" t="s">
        <v>287</v>
      </c>
      <c r="Z50" s="160" t="s">
        <v>287</v>
      </c>
      <c r="AA50" s="160" t="s">
        <v>287</v>
      </c>
      <c r="AB50" s="167">
        <v>4</v>
      </c>
      <c r="AC50" s="206" t="s">
        <v>287</v>
      </c>
      <c r="AD50" s="145" t="s">
        <v>214</v>
      </c>
      <c r="AE50" s="181"/>
      <c r="AF50" s="181"/>
      <c r="AG50" s="131"/>
    </row>
    <row r="51" spans="1:33">
      <c r="A51" s="127" t="str">
        <f>VLOOKUP([1]ListOfRegions!A31,[1]ListOfRegions!A31:B105,2,0)</f>
        <v xml:space="preserve">  Φωκίδας</v>
      </c>
      <c r="B51" s="178">
        <f t="shared" si="15"/>
        <v>926</v>
      </c>
      <c r="C51" s="161" t="s">
        <v>287</v>
      </c>
      <c r="D51" s="160" t="s">
        <v>287</v>
      </c>
      <c r="E51" s="190">
        <v>460</v>
      </c>
      <c r="F51" s="166">
        <v>134</v>
      </c>
      <c r="G51" s="183">
        <v>410</v>
      </c>
      <c r="H51" s="166">
        <v>82</v>
      </c>
      <c r="I51" s="192" t="s">
        <v>287</v>
      </c>
      <c r="J51" s="160" t="s">
        <v>287</v>
      </c>
      <c r="K51" s="192" t="s">
        <v>287</v>
      </c>
      <c r="L51" s="160" t="s">
        <v>287</v>
      </c>
      <c r="M51" s="190">
        <v>50</v>
      </c>
      <c r="N51" s="166">
        <v>6.0000000000000001E-3</v>
      </c>
      <c r="O51" s="192" t="s">
        <v>287</v>
      </c>
      <c r="P51" s="160" t="s">
        <v>287</v>
      </c>
      <c r="Q51" s="192" t="s">
        <v>287</v>
      </c>
      <c r="R51" s="160" t="s">
        <v>287</v>
      </c>
      <c r="S51" s="192" t="s">
        <v>287</v>
      </c>
      <c r="T51" s="160" t="s">
        <v>287</v>
      </c>
      <c r="U51" s="162" t="s">
        <v>287</v>
      </c>
      <c r="V51" s="160" t="s">
        <v>287</v>
      </c>
      <c r="W51" s="160" t="s">
        <v>287</v>
      </c>
      <c r="X51" s="160" t="s">
        <v>287</v>
      </c>
      <c r="Y51" s="160" t="s">
        <v>287</v>
      </c>
      <c r="Z51" s="160" t="s">
        <v>287</v>
      </c>
      <c r="AA51" s="160" t="s">
        <v>287</v>
      </c>
      <c r="AB51" s="167">
        <v>6</v>
      </c>
      <c r="AC51" s="206" t="s">
        <v>287</v>
      </c>
      <c r="AD51" s="145" t="s">
        <v>215</v>
      </c>
      <c r="AE51" s="181"/>
      <c r="AF51" s="181"/>
      <c r="AG51" s="131"/>
    </row>
    <row r="52" spans="1:33">
      <c r="A52" s="305" t="s">
        <v>216</v>
      </c>
      <c r="B52" s="238">
        <f t="shared" si="15"/>
        <v>8</v>
      </c>
      <c r="C52" s="306">
        <f>SUM(C54:C58)</f>
        <v>0</v>
      </c>
      <c r="D52" s="234">
        <f t="shared" ref="D52:N52" si="16">SUM(D54:D58)</f>
        <v>0</v>
      </c>
      <c r="E52" s="236">
        <f t="shared" si="16"/>
        <v>0</v>
      </c>
      <c r="F52" s="234">
        <f t="shared" si="16"/>
        <v>0</v>
      </c>
      <c r="G52" s="236">
        <f t="shared" si="16"/>
        <v>0</v>
      </c>
      <c r="H52" s="234">
        <f t="shared" si="16"/>
        <v>0</v>
      </c>
      <c r="I52" s="236">
        <f>SUM(I54:I58)</f>
        <v>0</v>
      </c>
      <c r="J52" s="234">
        <f>SUM(J54:J58)</f>
        <v>0</v>
      </c>
      <c r="K52" s="236">
        <f t="shared" si="16"/>
        <v>0</v>
      </c>
      <c r="L52" s="234">
        <f t="shared" si="16"/>
        <v>0</v>
      </c>
      <c r="M52" s="236">
        <f t="shared" si="16"/>
        <v>0</v>
      </c>
      <c r="N52" s="234">
        <f t="shared" si="16"/>
        <v>0</v>
      </c>
      <c r="O52" s="237">
        <f>SUM(O54:O58)</f>
        <v>0</v>
      </c>
      <c r="P52" s="224">
        <f t="shared" ref="P52:W52" si="17">SUM(P54:P58)</f>
        <v>0</v>
      </c>
      <c r="Q52" s="237">
        <f t="shared" si="17"/>
        <v>0</v>
      </c>
      <c r="R52" s="224">
        <f t="shared" si="17"/>
        <v>6</v>
      </c>
      <c r="S52" s="237">
        <f t="shared" si="17"/>
        <v>0.3</v>
      </c>
      <c r="T52" s="224">
        <f t="shared" si="17"/>
        <v>0</v>
      </c>
      <c r="U52" s="237">
        <f t="shared" si="17"/>
        <v>0</v>
      </c>
      <c r="V52" s="309">
        <f t="shared" si="17"/>
        <v>0</v>
      </c>
      <c r="W52" s="224">
        <f t="shared" si="17"/>
        <v>0</v>
      </c>
      <c r="X52" s="224">
        <f t="shared" ref="X52:AC52" si="18">SUM(X54:X58)</f>
        <v>0</v>
      </c>
      <c r="Y52" s="224">
        <f t="shared" si="18"/>
        <v>0</v>
      </c>
      <c r="Z52" s="224">
        <f t="shared" si="18"/>
        <v>0</v>
      </c>
      <c r="AA52" s="224">
        <f t="shared" si="18"/>
        <v>0</v>
      </c>
      <c r="AB52" s="224">
        <f t="shared" si="18"/>
        <v>2</v>
      </c>
      <c r="AC52" s="225">
        <f t="shared" si="18"/>
        <v>0</v>
      </c>
      <c r="AD52" s="307" t="s">
        <v>217</v>
      </c>
      <c r="AE52" s="308"/>
      <c r="AF52" s="308"/>
      <c r="AG52" s="131"/>
    </row>
    <row r="53" spans="1:33">
      <c r="A53" s="305"/>
      <c r="B53" s="238"/>
      <c r="C53" s="306"/>
      <c r="D53" s="234"/>
      <c r="E53" s="236"/>
      <c r="F53" s="234"/>
      <c r="G53" s="236"/>
      <c r="H53" s="234"/>
      <c r="I53" s="236"/>
      <c r="J53" s="234"/>
      <c r="K53" s="236"/>
      <c r="L53" s="234"/>
      <c r="M53" s="236"/>
      <c r="N53" s="234"/>
      <c r="O53" s="237"/>
      <c r="P53" s="224"/>
      <c r="Q53" s="237"/>
      <c r="R53" s="224"/>
      <c r="S53" s="237"/>
      <c r="T53" s="224"/>
      <c r="U53" s="237"/>
      <c r="V53" s="309"/>
      <c r="W53" s="224"/>
      <c r="X53" s="224"/>
      <c r="Y53" s="224"/>
      <c r="Z53" s="224"/>
      <c r="AA53" s="224"/>
      <c r="AB53" s="224"/>
      <c r="AC53" s="225"/>
      <c r="AD53" s="307"/>
      <c r="AE53" s="308"/>
      <c r="AF53" s="308"/>
      <c r="AG53" s="131"/>
    </row>
    <row r="54" spans="1:33">
      <c r="A54" s="127" t="str">
        <f>VLOOKUP([1]ListOfRegions!A32,[1]ListOfRegions!A32:B106,2,0)</f>
        <v xml:space="preserve">  Κέρκυρας</v>
      </c>
      <c r="B54" s="178">
        <f t="shared" si="15"/>
        <v>6</v>
      </c>
      <c r="C54" s="161" t="s">
        <v>287</v>
      </c>
      <c r="D54" s="160" t="s">
        <v>287</v>
      </c>
      <c r="E54" s="192" t="s">
        <v>287</v>
      </c>
      <c r="F54" s="160" t="s">
        <v>287</v>
      </c>
      <c r="G54" s="192" t="s">
        <v>287</v>
      </c>
      <c r="H54" s="160" t="s">
        <v>287</v>
      </c>
      <c r="I54" s="192" t="s">
        <v>287</v>
      </c>
      <c r="J54" s="160" t="s">
        <v>287</v>
      </c>
      <c r="K54" s="192" t="s">
        <v>287</v>
      </c>
      <c r="L54" s="160" t="s">
        <v>287</v>
      </c>
      <c r="M54" s="192" t="s">
        <v>287</v>
      </c>
      <c r="N54" s="160" t="s">
        <v>287</v>
      </c>
      <c r="O54" s="192" t="s">
        <v>287</v>
      </c>
      <c r="P54" s="160" t="s">
        <v>287</v>
      </c>
      <c r="Q54" s="192" t="s">
        <v>287</v>
      </c>
      <c r="R54" s="167">
        <v>6</v>
      </c>
      <c r="S54" s="200">
        <v>0.3</v>
      </c>
      <c r="T54" s="160" t="s">
        <v>287</v>
      </c>
      <c r="U54" s="162" t="s">
        <v>287</v>
      </c>
      <c r="V54" s="160" t="s">
        <v>287</v>
      </c>
      <c r="W54" s="160" t="s">
        <v>287</v>
      </c>
      <c r="X54" s="160" t="s">
        <v>287</v>
      </c>
      <c r="Y54" s="160" t="s">
        <v>287</v>
      </c>
      <c r="Z54" s="160" t="s">
        <v>287</v>
      </c>
      <c r="AA54" s="160" t="s">
        <v>287</v>
      </c>
      <c r="AB54" s="160" t="s">
        <v>287</v>
      </c>
      <c r="AC54" s="206" t="s">
        <v>287</v>
      </c>
      <c r="AD54" s="145" t="s">
        <v>218</v>
      </c>
      <c r="AE54" s="181"/>
      <c r="AF54" s="181"/>
      <c r="AG54" s="131"/>
    </row>
    <row r="55" spans="1:33">
      <c r="A55" s="127" t="str">
        <f>VLOOKUP([1]ListOfRegions!A33,[1]ListOfRegions!A33:B107,2,0)</f>
        <v xml:space="preserve">  Ζακύνθου</v>
      </c>
      <c r="B55" s="178">
        <f t="shared" si="15"/>
        <v>1</v>
      </c>
      <c r="C55" s="161" t="s">
        <v>287</v>
      </c>
      <c r="D55" s="160" t="s">
        <v>287</v>
      </c>
      <c r="E55" s="192" t="s">
        <v>287</v>
      </c>
      <c r="F55" s="160" t="s">
        <v>287</v>
      </c>
      <c r="G55" s="192" t="s">
        <v>287</v>
      </c>
      <c r="H55" s="160" t="s">
        <v>287</v>
      </c>
      <c r="I55" s="192" t="s">
        <v>287</v>
      </c>
      <c r="J55" s="160" t="s">
        <v>287</v>
      </c>
      <c r="K55" s="192" t="s">
        <v>287</v>
      </c>
      <c r="L55" s="160" t="s">
        <v>287</v>
      </c>
      <c r="M55" s="192" t="s">
        <v>287</v>
      </c>
      <c r="N55" s="160" t="s">
        <v>287</v>
      </c>
      <c r="O55" s="192" t="s">
        <v>287</v>
      </c>
      <c r="P55" s="160" t="s">
        <v>287</v>
      </c>
      <c r="Q55" s="192" t="s">
        <v>287</v>
      </c>
      <c r="R55" s="160" t="s">
        <v>287</v>
      </c>
      <c r="S55" s="192" t="s">
        <v>287</v>
      </c>
      <c r="T55" s="160" t="s">
        <v>287</v>
      </c>
      <c r="U55" s="162" t="s">
        <v>287</v>
      </c>
      <c r="V55" s="160" t="s">
        <v>287</v>
      </c>
      <c r="W55" s="160" t="s">
        <v>287</v>
      </c>
      <c r="X55" s="160" t="s">
        <v>287</v>
      </c>
      <c r="Y55" s="160" t="s">
        <v>287</v>
      </c>
      <c r="Z55" s="160" t="s">
        <v>287</v>
      </c>
      <c r="AA55" s="160" t="s">
        <v>287</v>
      </c>
      <c r="AB55" s="167">
        <v>1</v>
      </c>
      <c r="AC55" s="206" t="s">
        <v>287</v>
      </c>
      <c r="AD55" s="145" t="s">
        <v>219</v>
      </c>
      <c r="AE55" s="181"/>
      <c r="AF55" s="181"/>
      <c r="AG55" s="131"/>
    </row>
    <row r="56" spans="1:33">
      <c r="A56" s="127" t="str">
        <f>VLOOKUP([1]ListOfRegions!A34,[1]ListOfRegions!A34:B108,2,0)</f>
        <v xml:space="preserve">  Ιθάκης</v>
      </c>
      <c r="B56" s="178">
        <f t="shared" si="15"/>
        <v>0</v>
      </c>
      <c r="C56" s="161" t="s">
        <v>287</v>
      </c>
      <c r="D56" s="160" t="s">
        <v>287</v>
      </c>
      <c r="E56" s="192" t="s">
        <v>287</v>
      </c>
      <c r="F56" s="160" t="s">
        <v>287</v>
      </c>
      <c r="G56" s="192" t="s">
        <v>287</v>
      </c>
      <c r="H56" s="160" t="s">
        <v>287</v>
      </c>
      <c r="I56" s="192" t="s">
        <v>287</v>
      </c>
      <c r="J56" s="160" t="s">
        <v>287</v>
      </c>
      <c r="K56" s="192" t="s">
        <v>287</v>
      </c>
      <c r="L56" s="160" t="s">
        <v>287</v>
      </c>
      <c r="M56" s="192" t="s">
        <v>287</v>
      </c>
      <c r="N56" s="160" t="s">
        <v>287</v>
      </c>
      <c r="O56" s="192" t="s">
        <v>287</v>
      </c>
      <c r="P56" s="160" t="s">
        <v>287</v>
      </c>
      <c r="Q56" s="192" t="s">
        <v>287</v>
      </c>
      <c r="R56" s="160" t="s">
        <v>287</v>
      </c>
      <c r="S56" s="192" t="s">
        <v>287</v>
      </c>
      <c r="T56" s="160" t="s">
        <v>287</v>
      </c>
      <c r="U56" s="162" t="s">
        <v>287</v>
      </c>
      <c r="V56" s="160" t="s">
        <v>287</v>
      </c>
      <c r="W56" s="160" t="s">
        <v>287</v>
      </c>
      <c r="X56" s="160" t="s">
        <v>287</v>
      </c>
      <c r="Y56" s="160" t="s">
        <v>287</v>
      </c>
      <c r="Z56" s="160" t="s">
        <v>287</v>
      </c>
      <c r="AA56" s="160" t="s">
        <v>287</v>
      </c>
      <c r="AB56" s="160" t="s">
        <v>287</v>
      </c>
      <c r="AC56" s="206" t="s">
        <v>287</v>
      </c>
      <c r="AD56" s="145" t="s">
        <v>220</v>
      </c>
      <c r="AE56" s="181"/>
      <c r="AF56" s="181"/>
      <c r="AG56" s="131"/>
    </row>
    <row r="57" spans="1:33">
      <c r="A57" s="127" t="str">
        <f>VLOOKUP([1]ListOfRegions!A35,[1]ListOfRegions!A35:B109,2,0)</f>
        <v xml:space="preserve">  Κεφαλληνίας</v>
      </c>
      <c r="B57" s="178">
        <f t="shared" si="15"/>
        <v>1</v>
      </c>
      <c r="C57" s="161" t="s">
        <v>287</v>
      </c>
      <c r="D57" s="160" t="s">
        <v>287</v>
      </c>
      <c r="E57" s="192" t="s">
        <v>287</v>
      </c>
      <c r="F57" s="160" t="s">
        <v>287</v>
      </c>
      <c r="G57" s="192" t="s">
        <v>287</v>
      </c>
      <c r="H57" s="160" t="s">
        <v>287</v>
      </c>
      <c r="I57" s="192" t="s">
        <v>287</v>
      </c>
      <c r="J57" s="160" t="s">
        <v>287</v>
      </c>
      <c r="K57" s="192" t="s">
        <v>287</v>
      </c>
      <c r="L57" s="160" t="s">
        <v>287</v>
      </c>
      <c r="M57" s="192" t="s">
        <v>287</v>
      </c>
      <c r="N57" s="160" t="s">
        <v>287</v>
      </c>
      <c r="O57" s="192" t="s">
        <v>287</v>
      </c>
      <c r="P57" s="160" t="s">
        <v>287</v>
      </c>
      <c r="Q57" s="192" t="s">
        <v>287</v>
      </c>
      <c r="R57" s="160" t="s">
        <v>287</v>
      </c>
      <c r="S57" s="192" t="s">
        <v>287</v>
      </c>
      <c r="T57" s="160" t="s">
        <v>287</v>
      </c>
      <c r="U57" s="162" t="s">
        <v>287</v>
      </c>
      <c r="V57" s="160" t="s">
        <v>287</v>
      </c>
      <c r="W57" s="160" t="s">
        <v>287</v>
      </c>
      <c r="X57" s="160" t="s">
        <v>287</v>
      </c>
      <c r="Y57" s="160" t="s">
        <v>287</v>
      </c>
      <c r="Z57" s="160" t="s">
        <v>287</v>
      </c>
      <c r="AA57" s="160" t="s">
        <v>287</v>
      </c>
      <c r="AB57" s="159">
        <v>1</v>
      </c>
      <c r="AC57" s="206" t="s">
        <v>287</v>
      </c>
      <c r="AD57" s="145" t="s">
        <v>221</v>
      </c>
      <c r="AE57" s="181"/>
      <c r="AF57" s="181"/>
      <c r="AG57" s="131"/>
    </row>
    <row r="58" spans="1:33">
      <c r="A58" s="127" t="str">
        <f>VLOOKUP([1]ListOfRegions!A36,[1]ListOfRegions!A36:B110,2,0)</f>
        <v xml:space="preserve">  Λευκάδας</v>
      </c>
      <c r="B58" s="178">
        <f t="shared" si="15"/>
        <v>0</v>
      </c>
      <c r="C58" s="161" t="s">
        <v>287</v>
      </c>
      <c r="D58" s="160" t="s">
        <v>287</v>
      </c>
      <c r="E58" s="192" t="s">
        <v>287</v>
      </c>
      <c r="F58" s="160" t="s">
        <v>287</v>
      </c>
      <c r="G58" s="192" t="s">
        <v>287</v>
      </c>
      <c r="H58" s="160" t="s">
        <v>287</v>
      </c>
      <c r="I58" s="192" t="s">
        <v>287</v>
      </c>
      <c r="J58" s="160" t="s">
        <v>287</v>
      </c>
      <c r="K58" s="192" t="s">
        <v>287</v>
      </c>
      <c r="L58" s="160" t="s">
        <v>287</v>
      </c>
      <c r="M58" s="192" t="s">
        <v>287</v>
      </c>
      <c r="N58" s="160" t="s">
        <v>287</v>
      </c>
      <c r="O58" s="192" t="s">
        <v>287</v>
      </c>
      <c r="P58" s="160" t="s">
        <v>287</v>
      </c>
      <c r="Q58" s="192" t="s">
        <v>287</v>
      </c>
      <c r="R58" s="160" t="s">
        <v>287</v>
      </c>
      <c r="S58" s="192" t="s">
        <v>287</v>
      </c>
      <c r="T58" s="160" t="s">
        <v>287</v>
      </c>
      <c r="U58" s="162" t="s">
        <v>287</v>
      </c>
      <c r="V58" s="160" t="s">
        <v>287</v>
      </c>
      <c r="W58" s="160" t="s">
        <v>287</v>
      </c>
      <c r="X58" s="160" t="s">
        <v>287</v>
      </c>
      <c r="Y58" s="160" t="s">
        <v>287</v>
      </c>
      <c r="Z58" s="160" t="s">
        <v>287</v>
      </c>
      <c r="AA58" s="160" t="s">
        <v>287</v>
      </c>
      <c r="AB58" s="160" t="s">
        <v>287</v>
      </c>
      <c r="AC58" s="206" t="s">
        <v>287</v>
      </c>
      <c r="AD58" s="145" t="s">
        <v>222</v>
      </c>
      <c r="AE58" s="181"/>
      <c r="AF58" s="181"/>
      <c r="AG58" s="131"/>
    </row>
    <row r="59" spans="1:33">
      <c r="A59" s="305" t="s">
        <v>223</v>
      </c>
      <c r="B59" s="238">
        <f>SUM(C59,E59,G59,I59,K59,M59,O59,R59,T59,V59,X59,Z59,AB59,AC59)</f>
        <v>69592</v>
      </c>
      <c r="C59" s="306">
        <f>SUM(C61:C63)</f>
        <v>539</v>
      </c>
      <c r="D59" s="234">
        <f t="shared" ref="D59:N59" si="19">SUM(D61:D63)</f>
        <v>136.38</v>
      </c>
      <c r="E59" s="236">
        <f t="shared" si="19"/>
        <v>612</v>
      </c>
      <c r="F59" s="234">
        <f t="shared" si="19"/>
        <v>231</v>
      </c>
      <c r="G59" s="236">
        <f t="shared" si="19"/>
        <v>61286</v>
      </c>
      <c r="H59" s="234">
        <f t="shared" si="19"/>
        <v>22674.3</v>
      </c>
      <c r="I59" s="236">
        <f>SUM(I61:I63)</f>
        <v>5048</v>
      </c>
      <c r="J59" s="234">
        <f>SUM(J61:J63)</f>
        <v>1605</v>
      </c>
      <c r="K59" s="236">
        <f t="shared" si="19"/>
        <v>2</v>
      </c>
      <c r="L59" s="234">
        <f t="shared" si="19"/>
        <v>0.15</v>
      </c>
      <c r="M59" s="236">
        <f t="shared" si="19"/>
        <v>0</v>
      </c>
      <c r="N59" s="234">
        <f t="shared" si="19"/>
        <v>0</v>
      </c>
      <c r="O59" s="237">
        <f>SUM(O61:O63)</f>
        <v>0</v>
      </c>
      <c r="P59" s="224">
        <f t="shared" ref="P59:W59" si="20">SUM(P61:P63)</f>
        <v>0</v>
      </c>
      <c r="Q59" s="237">
        <f t="shared" si="20"/>
        <v>0</v>
      </c>
      <c r="R59" s="224">
        <f t="shared" si="20"/>
        <v>1092</v>
      </c>
      <c r="S59" s="237">
        <f t="shared" si="20"/>
        <v>346</v>
      </c>
      <c r="T59" s="224">
        <f t="shared" si="20"/>
        <v>0</v>
      </c>
      <c r="U59" s="237">
        <f t="shared" si="20"/>
        <v>0</v>
      </c>
      <c r="V59" s="309">
        <f t="shared" si="20"/>
        <v>0</v>
      </c>
      <c r="W59" s="224">
        <f t="shared" si="20"/>
        <v>0</v>
      </c>
      <c r="X59" s="224">
        <f t="shared" ref="X59:AC59" si="21">SUM(X61:X63)</f>
        <v>0</v>
      </c>
      <c r="Y59" s="224">
        <f t="shared" si="21"/>
        <v>0</v>
      </c>
      <c r="Z59" s="224">
        <f t="shared" si="21"/>
        <v>0</v>
      </c>
      <c r="AA59" s="224">
        <f t="shared" si="21"/>
        <v>0</v>
      </c>
      <c r="AB59" s="224">
        <f t="shared" si="21"/>
        <v>63</v>
      </c>
      <c r="AC59" s="225">
        <f t="shared" si="21"/>
        <v>950</v>
      </c>
      <c r="AD59" s="307" t="s">
        <v>224</v>
      </c>
      <c r="AE59" s="308"/>
      <c r="AF59" s="308"/>
      <c r="AG59" s="131"/>
    </row>
    <row r="60" spans="1:33">
      <c r="A60" s="305"/>
      <c r="B60" s="239"/>
      <c r="C60" s="306"/>
      <c r="D60" s="234"/>
      <c r="E60" s="236"/>
      <c r="F60" s="234"/>
      <c r="G60" s="236"/>
      <c r="H60" s="234"/>
      <c r="I60" s="236"/>
      <c r="J60" s="234"/>
      <c r="K60" s="236"/>
      <c r="L60" s="234"/>
      <c r="M60" s="236"/>
      <c r="N60" s="234"/>
      <c r="O60" s="237"/>
      <c r="P60" s="224"/>
      <c r="Q60" s="237"/>
      <c r="R60" s="224"/>
      <c r="S60" s="237"/>
      <c r="T60" s="224"/>
      <c r="U60" s="237"/>
      <c r="V60" s="309"/>
      <c r="W60" s="224"/>
      <c r="X60" s="224"/>
      <c r="Y60" s="224"/>
      <c r="Z60" s="224"/>
      <c r="AA60" s="224"/>
      <c r="AB60" s="224"/>
      <c r="AC60" s="225"/>
      <c r="AD60" s="307"/>
      <c r="AE60" s="308"/>
      <c r="AF60" s="308"/>
      <c r="AG60" s="131"/>
    </row>
    <row r="61" spans="1:33">
      <c r="A61" s="127" t="str">
        <f>VLOOKUP([1]ListOfRegions!A37,[1]ListOfRegions!A37:B111,2,0)</f>
        <v xml:space="preserve">  Αχαϊας</v>
      </c>
      <c r="B61" s="178">
        <f>SUM(C61,E61,G61,I61,K61,M61,O61,R61,T61,V61,X61,Z61,AB61,AC61)</f>
        <v>1004</v>
      </c>
      <c r="C61" s="168">
        <v>34</v>
      </c>
      <c r="D61" s="166">
        <v>10.1</v>
      </c>
      <c r="E61" s="192" t="s">
        <v>287</v>
      </c>
      <c r="F61" s="160" t="s">
        <v>287</v>
      </c>
      <c r="G61" s="192" t="s">
        <v>287</v>
      </c>
      <c r="H61" s="160" t="s">
        <v>287</v>
      </c>
      <c r="I61" s="192" t="s">
        <v>287</v>
      </c>
      <c r="J61" s="160" t="s">
        <v>287</v>
      </c>
      <c r="K61" s="192" t="s">
        <v>287</v>
      </c>
      <c r="L61" s="160" t="s">
        <v>287</v>
      </c>
      <c r="M61" s="192" t="s">
        <v>287</v>
      </c>
      <c r="N61" s="160" t="s">
        <v>287</v>
      </c>
      <c r="O61" s="192" t="s">
        <v>287</v>
      </c>
      <c r="P61" s="160" t="s">
        <v>287</v>
      </c>
      <c r="Q61" s="192" t="s">
        <v>287</v>
      </c>
      <c r="R61" s="160" t="s">
        <v>287</v>
      </c>
      <c r="S61" s="192" t="s">
        <v>287</v>
      </c>
      <c r="T61" s="160" t="s">
        <v>287</v>
      </c>
      <c r="U61" s="162" t="s">
        <v>287</v>
      </c>
      <c r="V61" s="160" t="s">
        <v>287</v>
      </c>
      <c r="W61" s="160" t="s">
        <v>287</v>
      </c>
      <c r="X61" s="160" t="s">
        <v>287</v>
      </c>
      <c r="Y61" s="160" t="s">
        <v>287</v>
      </c>
      <c r="Z61" s="160" t="s">
        <v>287</v>
      </c>
      <c r="AA61" s="160" t="s">
        <v>287</v>
      </c>
      <c r="AB61" s="159">
        <v>20</v>
      </c>
      <c r="AC61" s="205">
        <v>950</v>
      </c>
      <c r="AD61" s="145" t="s">
        <v>225</v>
      </c>
      <c r="AE61" s="181"/>
      <c r="AF61" s="181"/>
      <c r="AG61" s="131"/>
    </row>
    <row r="62" spans="1:33">
      <c r="A62" s="127" t="str">
        <f>VLOOKUP([1]ListOfRegions!A38,[1]ListOfRegions!A38:B112,2,0)</f>
        <v xml:space="preserve">  Αιτωλ/νανίας</v>
      </c>
      <c r="B62" s="178">
        <f>SUM(C62,E62,G62,I62,K62,M62,O62,R62,T62,V62,X62,Z62,AB62,AC62)</f>
        <v>50452</v>
      </c>
      <c r="C62" s="168">
        <v>505</v>
      </c>
      <c r="D62" s="166">
        <v>126.28</v>
      </c>
      <c r="E62" s="194">
        <v>612</v>
      </c>
      <c r="F62" s="159">
        <v>231</v>
      </c>
      <c r="G62" s="183">
        <v>49290</v>
      </c>
      <c r="H62" s="166">
        <v>17986.3</v>
      </c>
      <c r="I62" s="192" t="s">
        <v>287</v>
      </c>
      <c r="J62" s="160" t="s">
        <v>287</v>
      </c>
      <c r="K62" s="183">
        <v>2</v>
      </c>
      <c r="L62" s="166">
        <v>0.15</v>
      </c>
      <c r="M62" s="192" t="s">
        <v>287</v>
      </c>
      <c r="N62" s="160" t="s">
        <v>287</v>
      </c>
      <c r="O62" s="192" t="s">
        <v>287</v>
      </c>
      <c r="P62" s="160" t="s">
        <v>287</v>
      </c>
      <c r="Q62" s="192" t="s">
        <v>287</v>
      </c>
      <c r="R62" s="160" t="s">
        <v>287</v>
      </c>
      <c r="S62" s="192" t="s">
        <v>287</v>
      </c>
      <c r="T62" s="160" t="s">
        <v>287</v>
      </c>
      <c r="U62" s="162" t="s">
        <v>287</v>
      </c>
      <c r="V62" s="160" t="s">
        <v>287</v>
      </c>
      <c r="W62" s="160" t="s">
        <v>287</v>
      </c>
      <c r="X62" s="160" t="s">
        <v>287</v>
      </c>
      <c r="Y62" s="160" t="s">
        <v>287</v>
      </c>
      <c r="Z62" s="160" t="s">
        <v>287</v>
      </c>
      <c r="AA62" s="160" t="s">
        <v>287</v>
      </c>
      <c r="AB62" s="159">
        <v>43</v>
      </c>
      <c r="AC62" s="206" t="s">
        <v>287</v>
      </c>
      <c r="AD62" s="145" t="s">
        <v>226</v>
      </c>
      <c r="AE62" s="181"/>
      <c r="AF62" s="181"/>
      <c r="AG62" s="131"/>
    </row>
    <row r="63" spans="1:33">
      <c r="A63" s="127" t="str">
        <f>VLOOKUP([1]ListOfRegions!A39,[1]ListOfRegions!A39:B113,2,0)</f>
        <v xml:space="preserve">  Ηλείας</v>
      </c>
      <c r="B63" s="178">
        <f>SUM(C63,E63,G63,I63,K63,M63,O63,R63,T63,V63,X63,Z63,AB63,AC63)</f>
        <v>18136</v>
      </c>
      <c r="C63" s="161" t="s">
        <v>287</v>
      </c>
      <c r="D63" s="160" t="s">
        <v>287</v>
      </c>
      <c r="E63" s="192" t="s">
        <v>287</v>
      </c>
      <c r="F63" s="160" t="s">
        <v>287</v>
      </c>
      <c r="G63" s="196">
        <v>11996</v>
      </c>
      <c r="H63" s="166">
        <v>4688</v>
      </c>
      <c r="I63" s="190">
        <v>5048</v>
      </c>
      <c r="J63" s="166">
        <v>1605</v>
      </c>
      <c r="K63" s="192" t="s">
        <v>287</v>
      </c>
      <c r="L63" s="160" t="s">
        <v>287</v>
      </c>
      <c r="M63" s="192" t="s">
        <v>287</v>
      </c>
      <c r="N63" s="160" t="s">
        <v>287</v>
      </c>
      <c r="O63" s="192" t="s">
        <v>287</v>
      </c>
      <c r="P63" s="160" t="s">
        <v>287</v>
      </c>
      <c r="Q63" s="192" t="s">
        <v>287</v>
      </c>
      <c r="R63" s="167">
        <v>1092</v>
      </c>
      <c r="S63" s="200">
        <v>346</v>
      </c>
      <c r="T63" s="160" t="s">
        <v>287</v>
      </c>
      <c r="U63" s="162" t="s">
        <v>287</v>
      </c>
      <c r="V63" s="160" t="s">
        <v>287</v>
      </c>
      <c r="W63" s="160" t="s">
        <v>287</v>
      </c>
      <c r="X63" s="160" t="s">
        <v>287</v>
      </c>
      <c r="Y63" s="160" t="s">
        <v>287</v>
      </c>
      <c r="Z63" s="160" t="s">
        <v>287</v>
      </c>
      <c r="AA63" s="160" t="s">
        <v>287</v>
      </c>
      <c r="AB63" s="160" t="s">
        <v>287</v>
      </c>
      <c r="AC63" s="206" t="s">
        <v>287</v>
      </c>
      <c r="AD63" s="145" t="s">
        <v>227</v>
      </c>
      <c r="AE63" s="181"/>
      <c r="AF63" s="181"/>
      <c r="AG63" s="131"/>
    </row>
    <row r="64" spans="1:33">
      <c r="A64" s="305" t="s">
        <v>228</v>
      </c>
      <c r="B64" s="238">
        <f>SUM(C64,E64,G64,I64,K64,M64,O64,R64,T64,V64,X64,Z64,AB64,AC64)</f>
        <v>2972</v>
      </c>
      <c r="C64" s="306">
        <f>SUM(C66:C70)</f>
        <v>0</v>
      </c>
      <c r="D64" s="234">
        <f t="shared" ref="D64:N64" si="22">SUM(D66:D70)</f>
        <v>0</v>
      </c>
      <c r="E64" s="236">
        <f t="shared" si="22"/>
        <v>0</v>
      </c>
      <c r="F64" s="234">
        <f t="shared" si="22"/>
        <v>0</v>
      </c>
      <c r="G64" s="236">
        <f t="shared" si="22"/>
        <v>0</v>
      </c>
      <c r="H64" s="234">
        <f t="shared" si="22"/>
        <v>0</v>
      </c>
      <c r="I64" s="236">
        <f>SUM(I66:I70)</f>
        <v>0</v>
      </c>
      <c r="J64" s="234">
        <f>SUM(J66:J70)</f>
        <v>0</v>
      </c>
      <c r="K64" s="236">
        <f t="shared" si="22"/>
        <v>0</v>
      </c>
      <c r="L64" s="234">
        <f t="shared" si="22"/>
        <v>0</v>
      </c>
      <c r="M64" s="236">
        <f t="shared" si="22"/>
        <v>120</v>
      </c>
      <c r="N64" s="234">
        <f t="shared" si="22"/>
        <v>2.2800000000000001E-2</v>
      </c>
      <c r="O64" s="237">
        <f>SUM(O66:O70)</f>
        <v>0</v>
      </c>
      <c r="P64" s="224">
        <f t="shared" ref="P64:W64" si="23">SUM(P66:P70)</f>
        <v>0</v>
      </c>
      <c r="Q64" s="237">
        <f t="shared" si="23"/>
        <v>0</v>
      </c>
      <c r="R64" s="224">
        <f t="shared" si="23"/>
        <v>2832</v>
      </c>
      <c r="S64" s="237">
        <f t="shared" si="23"/>
        <v>1093.7</v>
      </c>
      <c r="T64" s="224">
        <f t="shared" si="23"/>
        <v>0</v>
      </c>
      <c r="U64" s="237">
        <f t="shared" si="23"/>
        <v>0</v>
      </c>
      <c r="V64" s="309">
        <f t="shared" si="23"/>
        <v>0</v>
      </c>
      <c r="W64" s="224">
        <f t="shared" si="23"/>
        <v>0</v>
      </c>
      <c r="X64" s="224">
        <f t="shared" ref="X64:AC64" si="24">SUM(X66:X70)</f>
        <v>0</v>
      </c>
      <c r="Y64" s="224">
        <f t="shared" si="24"/>
        <v>0</v>
      </c>
      <c r="Z64" s="224">
        <f t="shared" si="24"/>
        <v>0</v>
      </c>
      <c r="AA64" s="224">
        <f t="shared" si="24"/>
        <v>0</v>
      </c>
      <c r="AB64" s="224">
        <f t="shared" si="24"/>
        <v>20</v>
      </c>
      <c r="AC64" s="225">
        <f t="shared" si="24"/>
        <v>0</v>
      </c>
      <c r="AD64" s="307" t="s">
        <v>229</v>
      </c>
      <c r="AE64" s="308"/>
      <c r="AF64" s="308"/>
      <c r="AG64" s="131"/>
    </row>
    <row r="65" spans="1:33">
      <c r="A65" s="305"/>
      <c r="B65" s="239"/>
      <c r="C65" s="306"/>
      <c r="D65" s="234"/>
      <c r="E65" s="236"/>
      <c r="F65" s="234"/>
      <c r="G65" s="236"/>
      <c r="H65" s="234"/>
      <c r="I65" s="236"/>
      <c r="J65" s="234"/>
      <c r="K65" s="236"/>
      <c r="L65" s="234"/>
      <c r="M65" s="236"/>
      <c r="N65" s="234"/>
      <c r="O65" s="237"/>
      <c r="P65" s="224"/>
      <c r="Q65" s="237"/>
      <c r="R65" s="224"/>
      <c r="S65" s="237"/>
      <c r="T65" s="224"/>
      <c r="U65" s="237"/>
      <c r="V65" s="309"/>
      <c r="W65" s="224"/>
      <c r="X65" s="224"/>
      <c r="Y65" s="224"/>
      <c r="Z65" s="224"/>
      <c r="AA65" s="224"/>
      <c r="AB65" s="224"/>
      <c r="AC65" s="225"/>
      <c r="AD65" s="307"/>
      <c r="AE65" s="308"/>
      <c r="AF65" s="308"/>
      <c r="AG65" s="131"/>
    </row>
    <row r="66" spans="1:33">
      <c r="A66" s="127" t="str">
        <f>VLOOKUP([1]ListOfRegions!A40,[1]ListOfRegions!A40:B114,2,0)</f>
        <v xml:space="preserve">  Αρκαδίας</v>
      </c>
      <c r="B66" s="178">
        <f t="shared" ref="B66:B71" si="25">SUM(C66,E66,G66,I66,K66,M66,O66,R66,T66,V66,X66,Z66,AB66,AC66)</f>
        <v>126</v>
      </c>
      <c r="C66" s="161" t="s">
        <v>287</v>
      </c>
      <c r="D66" s="160" t="s">
        <v>287</v>
      </c>
      <c r="E66" s="192" t="s">
        <v>287</v>
      </c>
      <c r="F66" s="160" t="s">
        <v>287</v>
      </c>
      <c r="G66" s="192" t="s">
        <v>287</v>
      </c>
      <c r="H66" s="160" t="s">
        <v>287</v>
      </c>
      <c r="I66" s="192" t="s">
        <v>287</v>
      </c>
      <c r="J66" s="160" t="s">
        <v>287</v>
      </c>
      <c r="K66" s="192" t="s">
        <v>287</v>
      </c>
      <c r="L66" s="160" t="s">
        <v>287</v>
      </c>
      <c r="M66" s="190">
        <v>120</v>
      </c>
      <c r="N66" s="166">
        <v>2.2800000000000001E-2</v>
      </c>
      <c r="O66" s="192" t="s">
        <v>287</v>
      </c>
      <c r="P66" s="160" t="s">
        <v>287</v>
      </c>
      <c r="Q66" s="192" t="s">
        <v>287</v>
      </c>
      <c r="R66" s="167">
        <v>5</v>
      </c>
      <c r="S66" s="200">
        <v>0.1</v>
      </c>
      <c r="T66" s="160" t="s">
        <v>287</v>
      </c>
      <c r="U66" s="162" t="s">
        <v>287</v>
      </c>
      <c r="V66" s="160" t="s">
        <v>287</v>
      </c>
      <c r="W66" s="160" t="s">
        <v>287</v>
      </c>
      <c r="X66" s="160" t="s">
        <v>287</v>
      </c>
      <c r="Y66" s="160" t="s">
        <v>287</v>
      </c>
      <c r="Z66" s="160" t="s">
        <v>287</v>
      </c>
      <c r="AA66" s="160" t="s">
        <v>287</v>
      </c>
      <c r="AB66" s="167">
        <v>1</v>
      </c>
      <c r="AC66" s="206" t="s">
        <v>287</v>
      </c>
      <c r="AD66" s="145" t="s">
        <v>230</v>
      </c>
      <c r="AE66" s="181"/>
      <c r="AF66" s="181"/>
      <c r="AG66" s="131"/>
    </row>
    <row r="67" spans="1:33">
      <c r="A67" s="127" t="str">
        <f>VLOOKUP([1]ListOfRegions!A41,[1]ListOfRegions!A41:B115,2,0)</f>
        <v xml:space="preserve">  Αργολίδας</v>
      </c>
      <c r="B67" s="178">
        <f t="shared" si="25"/>
        <v>0</v>
      </c>
      <c r="C67" s="161" t="s">
        <v>287</v>
      </c>
      <c r="D67" s="160" t="s">
        <v>287</v>
      </c>
      <c r="E67" s="192" t="s">
        <v>287</v>
      </c>
      <c r="F67" s="160" t="s">
        <v>287</v>
      </c>
      <c r="G67" s="192" t="s">
        <v>287</v>
      </c>
      <c r="H67" s="160" t="s">
        <v>287</v>
      </c>
      <c r="I67" s="192" t="s">
        <v>287</v>
      </c>
      <c r="J67" s="160" t="s">
        <v>287</v>
      </c>
      <c r="K67" s="192" t="s">
        <v>287</v>
      </c>
      <c r="L67" s="160" t="s">
        <v>287</v>
      </c>
      <c r="M67" s="192" t="s">
        <v>287</v>
      </c>
      <c r="N67" s="160" t="s">
        <v>287</v>
      </c>
      <c r="O67" s="192" t="s">
        <v>287</v>
      </c>
      <c r="P67" s="160" t="s">
        <v>287</v>
      </c>
      <c r="Q67" s="192" t="s">
        <v>287</v>
      </c>
      <c r="R67" s="160" t="s">
        <v>287</v>
      </c>
      <c r="S67" s="192" t="s">
        <v>287</v>
      </c>
      <c r="T67" s="160" t="s">
        <v>287</v>
      </c>
      <c r="U67" s="162" t="s">
        <v>287</v>
      </c>
      <c r="V67" s="160" t="s">
        <v>287</v>
      </c>
      <c r="W67" s="160" t="s">
        <v>287</v>
      </c>
      <c r="X67" s="160" t="s">
        <v>287</v>
      </c>
      <c r="Y67" s="160" t="s">
        <v>287</v>
      </c>
      <c r="Z67" s="160" t="s">
        <v>287</v>
      </c>
      <c r="AA67" s="160" t="s">
        <v>287</v>
      </c>
      <c r="AB67" s="160" t="s">
        <v>287</v>
      </c>
      <c r="AC67" s="206" t="s">
        <v>287</v>
      </c>
      <c r="AD67" s="145" t="s">
        <v>231</v>
      </c>
      <c r="AE67" s="181"/>
      <c r="AF67" s="181"/>
      <c r="AG67" s="131"/>
    </row>
    <row r="68" spans="1:33">
      <c r="A68" s="127" t="str">
        <f>VLOOKUP([1]ListOfRegions!A42,[1]ListOfRegions!A42:B116,2,0)</f>
        <v xml:space="preserve">  Κορινθίας</v>
      </c>
      <c r="B68" s="178">
        <f t="shared" si="25"/>
        <v>8</v>
      </c>
      <c r="C68" s="161" t="s">
        <v>287</v>
      </c>
      <c r="D68" s="160" t="s">
        <v>287</v>
      </c>
      <c r="E68" s="192" t="s">
        <v>287</v>
      </c>
      <c r="F68" s="160" t="s">
        <v>287</v>
      </c>
      <c r="G68" s="192" t="s">
        <v>287</v>
      </c>
      <c r="H68" s="160" t="s">
        <v>287</v>
      </c>
      <c r="I68" s="192" t="s">
        <v>287</v>
      </c>
      <c r="J68" s="160" t="s">
        <v>287</v>
      </c>
      <c r="K68" s="192" t="s">
        <v>287</v>
      </c>
      <c r="L68" s="160" t="s">
        <v>287</v>
      </c>
      <c r="M68" s="192" t="s">
        <v>287</v>
      </c>
      <c r="N68" s="160" t="s">
        <v>287</v>
      </c>
      <c r="O68" s="192" t="s">
        <v>287</v>
      </c>
      <c r="P68" s="160" t="s">
        <v>287</v>
      </c>
      <c r="Q68" s="192" t="s">
        <v>287</v>
      </c>
      <c r="R68" s="160" t="s">
        <v>287</v>
      </c>
      <c r="S68" s="192" t="s">
        <v>287</v>
      </c>
      <c r="T68" s="160" t="s">
        <v>287</v>
      </c>
      <c r="U68" s="162" t="s">
        <v>287</v>
      </c>
      <c r="V68" s="160" t="s">
        <v>287</v>
      </c>
      <c r="W68" s="160" t="s">
        <v>287</v>
      </c>
      <c r="X68" s="160" t="s">
        <v>287</v>
      </c>
      <c r="Y68" s="160" t="s">
        <v>287</v>
      </c>
      <c r="Z68" s="160" t="s">
        <v>287</v>
      </c>
      <c r="AA68" s="160" t="s">
        <v>287</v>
      </c>
      <c r="AB68" s="167">
        <v>8</v>
      </c>
      <c r="AC68" s="206" t="s">
        <v>287</v>
      </c>
      <c r="AD68" s="145" t="s">
        <v>232</v>
      </c>
      <c r="AE68" s="181"/>
      <c r="AF68" s="181"/>
      <c r="AG68" s="131"/>
    </row>
    <row r="69" spans="1:33">
      <c r="A69" s="127" t="str">
        <f>VLOOKUP([1]ListOfRegions!A43,[1]ListOfRegions!A43:B117,2,0)</f>
        <v xml:space="preserve">  Λακωνίας</v>
      </c>
      <c r="B69" s="178">
        <f t="shared" si="25"/>
        <v>51</v>
      </c>
      <c r="C69" s="161" t="s">
        <v>287</v>
      </c>
      <c r="D69" s="160" t="s">
        <v>287</v>
      </c>
      <c r="E69" s="192" t="s">
        <v>287</v>
      </c>
      <c r="F69" s="160" t="s">
        <v>287</v>
      </c>
      <c r="G69" s="192" t="s">
        <v>287</v>
      </c>
      <c r="H69" s="160" t="s">
        <v>287</v>
      </c>
      <c r="I69" s="192" t="s">
        <v>287</v>
      </c>
      <c r="J69" s="160" t="s">
        <v>287</v>
      </c>
      <c r="K69" s="192" t="s">
        <v>287</v>
      </c>
      <c r="L69" s="160" t="s">
        <v>287</v>
      </c>
      <c r="M69" s="192" t="s">
        <v>287</v>
      </c>
      <c r="N69" s="160" t="s">
        <v>287</v>
      </c>
      <c r="O69" s="192" t="s">
        <v>287</v>
      </c>
      <c r="P69" s="160" t="s">
        <v>287</v>
      </c>
      <c r="Q69" s="192" t="s">
        <v>287</v>
      </c>
      <c r="R69" s="167">
        <v>47</v>
      </c>
      <c r="S69" s="200">
        <v>17.3</v>
      </c>
      <c r="T69" s="160" t="s">
        <v>287</v>
      </c>
      <c r="U69" s="162" t="s">
        <v>287</v>
      </c>
      <c r="V69" s="160" t="s">
        <v>287</v>
      </c>
      <c r="W69" s="160" t="s">
        <v>287</v>
      </c>
      <c r="X69" s="160" t="s">
        <v>287</v>
      </c>
      <c r="Y69" s="160" t="s">
        <v>287</v>
      </c>
      <c r="Z69" s="160" t="s">
        <v>287</v>
      </c>
      <c r="AA69" s="160" t="s">
        <v>287</v>
      </c>
      <c r="AB69" s="167">
        <v>4</v>
      </c>
      <c r="AC69" s="206" t="s">
        <v>287</v>
      </c>
      <c r="AD69" s="145" t="s">
        <v>233</v>
      </c>
      <c r="AE69" s="181"/>
      <c r="AF69" s="181"/>
      <c r="AG69" s="131"/>
    </row>
    <row r="70" spans="1:33">
      <c r="A70" s="127" t="str">
        <f>VLOOKUP([1]ListOfRegions!A44,[1]ListOfRegions!A44:B118,2,0)</f>
        <v xml:space="preserve">  Μεσσηνίας</v>
      </c>
      <c r="B70" s="178">
        <f t="shared" si="25"/>
        <v>2787</v>
      </c>
      <c r="C70" s="161" t="s">
        <v>287</v>
      </c>
      <c r="D70" s="160" t="s">
        <v>287</v>
      </c>
      <c r="E70" s="192" t="s">
        <v>287</v>
      </c>
      <c r="F70" s="160" t="s">
        <v>287</v>
      </c>
      <c r="G70" s="192" t="s">
        <v>287</v>
      </c>
      <c r="H70" s="160" t="s">
        <v>287</v>
      </c>
      <c r="I70" s="192" t="s">
        <v>287</v>
      </c>
      <c r="J70" s="160" t="s">
        <v>287</v>
      </c>
      <c r="K70" s="192" t="s">
        <v>287</v>
      </c>
      <c r="L70" s="160" t="s">
        <v>287</v>
      </c>
      <c r="M70" s="192" t="s">
        <v>287</v>
      </c>
      <c r="N70" s="160" t="s">
        <v>287</v>
      </c>
      <c r="O70" s="192" t="s">
        <v>287</v>
      </c>
      <c r="P70" s="160" t="s">
        <v>287</v>
      </c>
      <c r="Q70" s="192" t="s">
        <v>287</v>
      </c>
      <c r="R70" s="167">
        <v>2780</v>
      </c>
      <c r="S70" s="200">
        <v>1076.3</v>
      </c>
      <c r="T70" s="160" t="s">
        <v>287</v>
      </c>
      <c r="U70" s="162" t="s">
        <v>287</v>
      </c>
      <c r="V70" s="160" t="s">
        <v>287</v>
      </c>
      <c r="W70" s="160" t="s">
        <v>287</v>
      </c>
      <c r="X70" s="160" t="s">
        <v>287</v>
      </c>
      <c r="Y70" s="160" t="s">
        <v>287</v>
      </c>
      <c r="Z70" s="160" t="s">
        <v>287</v>
      </c>
      <c r="AA70" s="160" t="s">
        <v>287</v>
      </c>
      <c r="AB70" s="167">
        <v>7</v>
      </c>
      <c r="AC70" s="206" t="s">
        <v>287</v>
      </c>
      <c r="AD70" s="145" t="s">
        <v>234</v>
      </c>
      <c r="AE70" s="181"/>
      <c r="AF70" s="181"/>
      <c r="AG70" s="131"/>
    </row>
    <row r="71" spans="1:33">
      <c r="A71" s="305" t="s">
        <v>235</v>
      </c>
      <c r="B71" s="238">
        <f t="shared" si="25"/>
        <v>1</v>
      </c>
      <c r="C71" s="306">
        <f>SUM(C73:C80)</f>
        <v>0</v>
      </c>
      <c r="D71" s="234">
        <f t="shared" ref="D71:N71" si="26">SUM(D73:D80)</f>
        <v>0</v>
      </c>
      <c r="E71" s="236">
        <f t="shared" si="26"/>
        <v>0</v>
      </c>
      <c r="F71" s="234">
        <f t="shared" si="26"/>
        <v>0</v>
      </c>
      <c r="G71" s="236">
        <f t="shared" si="26"/>
        <v>0</v>
      </c>
      <c r="H71" s="234">
        <f t="shared" si="26"/>
        <v>0</v>
      </c>
      <c r="I71" s="236">
        <f>SUM(I73:I80)</f>
        <v>0</v>
      </c>
      <c r="J71" s="234">
        <f>SUM(J73:J80)</f>
        <v>0</v>
      </c>
      <c r="K71" s="236">
        <f t="shared" si="26"/>
        <v>0</v>
      </c>
      <c r="L71" s="234">
        <f t="shared" si="26"/>
        <v>0</v>
      </c>
      <c r="M71" s="236">
        <f t="shared" si="26"/>
        <v>0</v>
      </c>
      <c r="N71" s="234">
        <f t="shared" si="26"/>
        <v>0</v>
      </c>
      <c r="O71" s="237">
        <f>SUM(O73:O80)</f>
        <v>0</v>
      </c>
      <c r="P71" s="224">
        <f t="shared" ref="P71:W71" si="27">SUM(P73:P80)</f>
        <v>0</v>
      </c>
      <c r="Q71" s="237">
        <f t="shared" si="27"/>
        <v>0</v>
      </c>
      <c r="R71" s="224">
        <f t="shared" si="27"/>
        <v>0</v>
      </c>
      <c r="S71" s="237">
        <f t="shared" si="27"/>
        <v>0</v>
      </c>
      <c r="T71" s="224">
        <f t="shared" si="27"/>
        <v>0</v>
      </c>
      <c r="U71" s="237">
        <f t="shared" si="27"/>
        <v>0</v>
      </c>
      <c r="V71" s="309">
        <f t="shared" si="27"/>
        <v>0</v>
      </c>
      <c r="W71" s="224">
        <f t="shared" si="27"/>
        <v>0</v>
      </c>
      <c r="X71" s="224">
        <f t="shared" ref="X71:AC71" si="28">SUM(X73:X80)</f>
        <v>1</v>
      </c>
      <c r="Y71" s="224">
        <f t="shared" si="28"/>
        <v>1</v>
      </c>
      <c r="Z71" s="224">
        <f t="shared" si="28"/>
        <v>0</v>
      </c>
      <c r="AA71" s="224">
        <f t="shared" si="28"/>
        <v>0</v>
      </c>
      <c r="AB71" s="224">
        <f t="shared" si="28"/>
        <v>0</v>
      </c>
      <c r="AC71" s="225">
        <f t="shared" si="28"/>
        <v>0</v>
      </c>
      <c r="AD71" s="307" t="s">
        <v>236</v>
      </c>
      <c r="AE71" s="308"/>
      <c r="AF71" s="308"/>
      <c r="AG71" s="131"/>
    </row>
    <row r="72" spans="1:33">
      <c r="A72" s="305"/>
      <c r="B72" s="239"/>
      <c r="C72" s="306"/>
      <c r="D72" s="234"/>
      <c r="E72" s="236"/>
      <c r="F72" s="234"/>
      <c r="G72" s="236"/>
      <c r="H72" s="234"/>
      <c r="I72" s="236"/>
      <c r="J72" s="234"/>
      <c r="K72" s="236"/>
      <c r="L72" s="234"/>
      <c r="M72" s="236"/>
      <c r="N72" s="234"/>
      <c r="O72" s="237"/>
      <c r="P72" s="224"/>
      <c r="Q72" s="237"/>
      <c r="R72" s="224"/>
      <c r="S72" s="237"/>
      <c r="T72" s="224"/>
      <c r="U72" s="237"/>
      <c r="V72" s="309"/>
      <c r="W72" s="224"/>
      <c r="X72" s="224"/>
      <c r="Y72" s="224"/>
      <c r="Z72" s="224"/>
      <c r="AA72" s="224"/>
      <c r="AB72" s="224"/>
      <c r="AC72" s="225"/>
      <c r="AD72" s="307"/>
      <c r="AE72" s="308"/>
      <c r="AF72" s="308"/>
      <c r="AG72" s="131"/>
    </row>
    <row r="73" spans="1:33">
      <c r="A73" s="127" t="str">
        <f>VLOOKUP([1]ListOfRegions!A45,[1]ListOfRegions!A45:B119,2,0)</f>
        <v xml:space="preserve">  Κεντρικού Τομέα Αθηνών</v>
      </c>
      <c r="B73" s="178">
        <f t="shared" ref="B73:B80" si="29">SUM(C73,E73,G73,I73,K73,M73,O73,R73,T73,V73,X73,Z73,AB73,AC73)</f>
        <v>0</v>
      </c>
      <c r="C73" s="161" t="s">
        <v>287</v>
      </c>
      <c r="D73" s="160" t="s">
        <v>287</v>
      </c>
      <c r="E73" s="192" t="s">
        <v>287</v>
      </c>
      <c r="F73" s="160" t="s">
        <v>287</v>
      </c>
      <c r="G73" s="192" t="s">
        <v>287</v>
      </c>
      <c r="H73" s="160" t="s">
        <v>287</v>
      </c>
      <c r="I73" s="192" t="s">
        <v>287</v>
      </c>
      <c r="J73" s="160" t="s">
        <v>287</v>
      </c>
      <c r="K73" s="192" t="s">
        <v>287</v>
      </c>
      <c r="L73" s="160" t="s">
        <v>287</v>
      </c>
      <c r="M73" s="192" t="s">
        <v>287</v>
      </c>
      <c r="N73" s="160" t="s">
        <v>287</v>
      </c>
      <c r="O73" s="192" t="s">
        <v>287</v>
      </c>
      <c r="P73" s="160" t="s">
        <v>287</v>
      </c>
      <c r="Q73" s="192" t="s">
        <v>287</v>
      </c>
      <c r="R73" s="160" t="s">
        <v>287</v>
      </c>
      <c r="S73" s="192" t="s">
        <v>287</v>
      </c>
      <c r="T73" s="160" t="s">
        <v>287</v>
      </c>
      <c r="U73" s="162" t="s">
        <v>287</v>
      </c>
      <c r="V73" s="160" t="s">
        <v>287</v>
      </c>
      <c r="W73" s="160" t="s">
        <v>287</v>
      </c>
      <c r="X73" s="160" t="s">
        <v>287</v>
      </c>
      <c r="Y73" s="160" t="s">
        <v>287</v>
      </c>
      <c r="Z73" s="160" t="s">
        <v>287</v>
      </c>
      <c r="AA73" s="160" t="s">
        <v>287</v>
      </c>
      <c r="AB73" s="160" t="s">
        <v>287</v>
      </c>
      <c r="AC73" s="206" t="s">
        <v>287</v>
      </c>
      <c r="AD73" s="145" t="s">
        <v>237</v>
      </c>
      <c r="AE73" s="181"/>
      <c r="AF73" s="181"/>
      <c r="AG73" s="131"/>
    </row>
    <row r="74" spans="1:33">
      <c r="A74" s="127" t="str">
        <f>VLOOKUP([1]ListOfRegions!A46,[1]ListOfRegions!A46:B120,2,0)</f>
        <v xml:space="preserve"> Βορείου Τομέα Αθηνών</v>
      </c>
      <c r="B74" s="178">
        <f t="shared" si="29"/>
        <v>0</v>
      </c>
      <c r="C74" s="161" t="s">
        <v>287</v>
      </c>
      <c r="D74" s="160" t="s">
        <v>287</v>
      </c>
      <c r="E74" s="192" t="s">
        <v>287</v>
      </c>
      <c r="F74" s="160" t="s">
        <v>287</v>
      </c>
      <c r="G74" s="192" t="s">
        <v>287</v>
      </c>
      <c r="H74" s="160" t="s">
        <v>287</v>
      </c>
      <c r="I74" s="192" t="s">
        <v>287</v>
      </c>
      <c r="J74" s="160" t="s">
        <v>287</v>
      </c>
      <c r="K74" s="192" t="s">
        <v>287</v>
      </c>
      <c r="L74" s="160" t="s">
        <v>287</v>
      </c>
      <c r="M74" s="192" t="s">
        <v>287</v>
      </c>
      <c r="N74" s="160" t="s">
        <v>287</v>
      </c>
      <c r="O74" s="192" t="s">
        <v>287</v>
      </c>
      <c r="P74" s="160" t="s">
        <v>287</v>
      </c>
      <c r="Q74" s="192" t="s">
        <v>287</v>
      </c>
      <c r="R74" s="160" t="s">
        <v>287</v>
      </c>
      <c r="S74" s="192" t="s">
        <v>287</v>
      </c>
      <c r="T74" s="160" t="s">
        <v>287</v>
      </c>
      <c r="U74" s="162" t="s">
        <v>287</v>
      </c>
      <c r="V74" s="160" t="s">
        <v>287</v>
      </c>
      <c r="W74" s="160" t="s">
        <v>287</v>
      </c>
      <c r="X74" s="160" t="s">
        <v>287</v>
      </c>
      <c r="Y74" s="160" t="s">
        <v>287</v>
      </c>
      <c r="Z74" s="160" t="s">
        <v>287</v>
      </c>
      <c r="AA74" s="160" t="s">
        <v>287</v>
      </c>
      <c r="AB74" s="160" t="s">
        <v>287</v>
      </c>
      <c r="AC74" s="206" t="s">
        <v>287</v>
      </c>
      <c r="AD74" s="145" t="s">
        <v>238</v>
      </c>
      <c r="AE74" s="181"/>
      <c r="AF74" s="181"/>
      <c r="AG74" s="131"/>
    </row>
    <row r="75" spans="1:33">
      <c r="A75" s="127" t="str">
        <f>VLOOKUP([1]ListOfRegions!A47,[1]ListOfRegions!A47:B121,2,0)</f>
        <v xml:space="preserve">  Δυτικού Τομέα Αθηνών</v>
      </c>
      <c r="B75" s="178">
        <f t="shared" si="29"/>
        <v>0</v>
      </c>
      <c r="C75" s="161" t="s">
        <v>287</v>
      </c>
      <c r="D75" s="160" t="s">
        <v>287</v>
      </c>
      <c r="E75" s="192" t="s">
        <v>287</v>
      </c>
      <c r="F75" s="160" t="s">
        <v>287</v>
      </c>
      <c r="G75" s="192" t="s">
        <v>287</v>
      </c>
      <c r="H75" s="160" t="s">
        <v>287</v>
      </c>
      <c r="I75" s="192" t="s">
        <v>287</v>
      </c>
      <c r="J75" s="160" t="s">
        <v>287</v>
      </c>
      <c r="K75" s="192" t="s">
        <v>287</v>
      </c>
      <c r="L75" s="160" t="s">
        <v>287</v>
      </c>
      <c r="M75" s="192" t="s">
        <v>287</v>
      </c>
      <c r="N75" s="160" t="s">
        <v>287</v>
      </c>
      <c r="O75" s="192" t="s">
        <v>287</v>
      </c>
      <c r="P75" s="160" t="s">
        <v>287</v>
      </c>
      <c r="Q75" s="192" t="s">
        <v>287</v>
      </c>
      <c r="R75" s="160" t="s">
        <v>287</v>
      </c>
      <c r="S75" s="192" t="s">
        <v>287</v>
      </c>
      <c r="T75" s="160" t="s">
        <v>287</v>
      </c>
      <c r="U75" s="162" t="s">
        <v>287</v>
      </c>
      <c r="V75" s="160" t="s">
        <v>287</v>
      </c>
      <c r="W75" s="160" t="s">
        <v>287</v>
      </c>
      <c r="X75" s="160" t="s">
        <v>287</v>
      </c>
      <c r="Y75" s="160" t="s">
        <v>287</v>
      </c>
      <c r="Z75" s="160" t="s">
        <v>287</v>
      </c>
      <c r="AA75" s="160" t="s">
        <v>287</v>
      </c>
      <c r="AB75" s="160" t="s">
        <v>287</v>
      </c>
      <c r="AC75" s="206" t="s">
        <v>287</v>
      </c>
      <c r="AD75" s="145" t="s">
        <v>239</v>
      </c>
      <c r="AE75" s="181"/>
      <c r="AF75" s="181"/>
      <c r="AG75" s="131"/>
    </row>
    <row r="76" spans="1:33">
      <c r="A76" s="127" t="str">
        <f>VLOOKUP([1]ListOfRegions!A48,[1]ListOfRegions!A48:B122,2,0)</f>
        <v xml:space="preserve">  Νοτίου Τομέα Αθηνών</v>
      </c>
      <c r="B76" s="178">
        <f t="shared" si="29"/>
        <v>0</v>
      </c>
      <c r="C76" s="161" t="s">
        <v>287</v>
      </c>
      <c r="D76" s="160" t="s">
        <v>287</v>
      </c>
      <c r="E76" s="192" t="s">
        <v>287</v>
      </c>
      <c r="F76" s="160" t="s">
        <v>287</v>
      </c>
      <c r="G76" s="192" t="s">
        <v>287</v>
      </c>
      <c r="H76" s="160" t="s">
        <v>287</v>
      </c>
      <c r="I76" s="192" t="s">
        <v>287</v>
      </c>
      <c r="J76" s="160" t="s">
        <v>287</v>
      </c>
      <c r="K76" s="192" t="s">
        <v>287</v>
      </c>
      <c r="L76" s="160" t="s">
        <v>287</v>
      </c>
      <c r="M76" s="192" t="s">
        <v>287</v>
      </c>
      <c r="N76" s="160" t="s">
        <v>287</v>
      </c>
      <c r="O76" s="192" t="s">
        <v>287</v>
      </c>
      <c r="P76" s="160" t="s">
        <v>287</v>
      </c>
      <c r="Q76" s="192" t="s">
        <v>287</v>
      </c>
      <c r="R76" s="160" t="s">
        <v>287</v>
      </c>
      <c r="S76" s="192" t="s">
        <v>287</v>
      </c>
      <c r="T76" s="160" t="s">
        <v>287</v>
      </c>
      <c r="U76" s="162" t="s">
        <v>287</v>
      </c>
      <c r="V76" s="160" t="s">
        <v>287</v>
      </c>
      <c r="W76" s="160" t="s">
        <v>287</v>
      </c>
      <c r="X76" s="160" t="s">
        <v>287</v>
      </c>
      <c r="Y76" s="160" t="s">
        <v>287</v>
      </c>
      <c r="Z76" s="160" t="s">
        <v>287</v>
      </c>
      <c r="AA76" s="160" t="s">
        <v>287</v>
      </c>
      <c r="AB76" s="160" t="s">
        <v>287</v>
      </c>
      <c r="AC76" s="206" t="s">
        <v>287</v>
      </c>
      <c r="AD76" s="145" t="s">
        <v>240</v>
      </c>
      <c r="AE76" s="181"/>
      <c r="AF76" s="181"/>
      <c r="AG76" s="131"/>
    </row>
    <row r="77" spans="1:33">
      <c r="A77" s="127" t="str">
        <f>VLOOKUP([1]ListOfRegions!A49,[1]ListOfRegions!A49:B123,2,0)</f>
        <v xml:space="preserve">  Ανατολικής Αττικής</v>
      </c>
      <c r="B77" s="178">
        <f t="shared" si="29"/>
        <v>0</v>
      </c>
      <c r="C77" s="161" t="s">
        <v>287</v>
      </c>
      <c r="D77" s="160" t="s">
        <v>287</v>
      </c>
      <c r="E77" s="192" t="s">
        <v>287</v>
      </c>
      <c r="F77" s="160" t="s">
        <v>287</v>
      </c>
      <c r="G77" s="192" t="s">
        <v>287</v>
      </c>
      <c r="H77" s="160" t="s">
        <v>287</v>
      </c>
      <c r="I77" s="192" t="s">
        <v>287</v>
      </c>
      <c r="J77" s="160" t="s">
        <v>287</v>
      </c>
      <c r="K77" s="192" t="s">
        <v>287</v>
      </c>
      <c r="L77" s="160" t="s">
        <v>287</v>
      </c>
      <c r="M77" s="192" t="s">
        <v>287</v>
      </c>
      <c r="N77" s="160" t="s">
        <v>287</v>
      </c>
      <c r="O77" s="192" t="s">
        <v>287</v>
      </c>
      <c r="P77" s="160" t="s">
        <v>287</v>
      </c>
      <c r="Q77" s="192" t="s">
        <v>287</v>
      </c>
      <c r="R77" s="160" t="s">
        <v>287</v>
      </c>
      <c r="S77" s="192" t="s">
        <v>287</v>
      </c>
      <c r="T77" s="160" t="s">
        <v>287</v>
      </c>
      <c r="U77" s="162" t="s">
        <v>287</v>
      </c>
      <c r="V77" s="160" t="s">
        <v>287</v>
      </c>
      <c r="W77" s="160" t="s">
        <v>287</v>
      </c>
      <c r="X77" s="160" t="s">
        <v>287</v>
      </c>
      <c r="Y77" s="160" t="s">
        <v>287</v>
      </c>
      <c r="Z77" s="160" t="s">
        <v>287</v>
      </c>
      <c r="AA77" s="160" t="s">
        <v>287</v>
      </c>
      <c r="AB77" s="160" t="s">
        <v>287</v>
      </c>
      <c r="AC77" s="206" t="s">
        <v>287</v>
      </c>
      <c r="AD77" s="145" t="s">
        <v>241</v>
      </c>
      <c r="AE77" s="181"/>
      <c r="AF77" s="181"/>
      <c r="AG77" s="131"/>
    </row>
    <row r="78" spans="1:33">
      <c r="A78" s="127" t="str">
        <f>VLOOKUP([1]ListOfRegions!A50,[1]ListOfRegions!A50:B124,2,0)</f>
        <v xml:space="preserve">  Δυτικής Αττικής</v>
      </c>
      <c r="B78" s="178">
        <f t="shared" si="29"/>
        <v>1</v>
      </c>
      <c r="C78" s="161" t="s">
        <v>287</v>
      </c>
      <c r="D78" s="160" t="s">
        <v>287</v>
      </c>
      <c r="E78" s="192" t="s">
        <v>287</v>
      </c>
      <c r="F78" s="160" t="s">
        <v>287</v>
      </c>
      <c r="G78" s="192" t="s">
        <v>287</v>
      </c>
      <c r="H78" s="160" t="s">
        <v>287</v>
      </c>
      <c r="I78" s="192" t="s">
        <v>287</v>
      </c>
      <c r="J78" s="160" t="s">
        <v>287</v>
      </c>
      <c r="K78" s="192" t="s">
        <v>287</v>
      </c>
      <c r="L78" s="160" t="s">
        <v>287</v>
      </c>
      <c r="M78" s="192" t="s">
        <v>287</v>
      </c>
      <c r="N78" s="160" t="s">
        <v>287</v>
      </c>
      <c r="O78" s="192" t="s">
        <v>287</v>
      </c>
      <c r="P78" s="160" t="s">
        <v>287</v>
      </c>
      <c r="Q78" s="192" t="s">
        <v>287</v>
      </c>
      <c r="R78" s="160" t="s">
        <v>287</v>
      </c>
      <c r="S78" s="192" t="s">
        <v>287</v>
      </c>
      <c r="T78" s="160" t="s">
        <v>287</v>
      </c>
      <c r="U78" s="162" t="s">
        <v>287</v>
      </c>
      <c r="V78" s="160" t="s">
        <v>287</v>
      </c>
      <c r="W78" s="160" t="s">
        <v>287</v>
      </c>
      <c r="X78" s="168">
        <v>1</v>
      </c>
      <c r="Y78" s="166">
        <v>1</v>
      </c>
      <c r="Z78" s="160" t="s">
        <v>287</v>
      </c>
      <c r="AA78" s="160" t="s">
        <v>287</v>
      </c>
      <c r="AB78" s="160" t="s">
        <v>287</v>
      </c>
      <c r="AC78" s="206" t="s">
        <v>287</v>
      </c>
      <c r="AD78" s="145" t="s">
        <v>242</v>
      </c>
      <c r="AE78" s="181"/>
      <c r="AF78" s="181"/>
      <c r="AG78" s="131"/>
    </row>
    <row r="79" spans="1:33">
      <c r="A79" s="127" t="str">
        <f>VLOOKUP([1]ListOfRegions!A51,[1]ListOfRegions!A51:B125,2,0)</f>
        <v xml:space="preserve">  Πειραιώς</v>
      </c>
      <c r="B79" s="178">
        <f t="shared" si="29"/>
        <v>0</v>
      </c>
      <c r="C79" s="161" t="s">
        <v>287</v>
      </c>
      <c r="D79" s="160" t="s">
        <v>287</v>
      </c>
      <c r="E79" s="192" t="s">
        <v>287</v>
      </c>
      <c r="F79" s="160" t="s">
        <v>287</v>
      </c>
      <c r="G79" s="192" t="s">
        <v>287</v>
      </c>
      <c r="H79" s="160" t="s">
        <v>287</v>
      </c>
      <c r="I79" s="192" t="s">
        <v>287</v>
      </c>
      <c r="J79" s="160" t="s">
        <v>287</v>
      </c>
      <c r="K79" s="192" t="s">
        <v>287</v>
      </c>
      <c r="L79" s="160" t="s">
        <v>287</v>
      </c>
      <c r="M79" s="192" t="s">
        <v>287</v>
      </c>
      <c r="N79" s="160" t="s">
        <v>287</v>
      </c>
      <c r="O79" s="192" t="s">
        <v>287</v>
      </c>
      <c r="P79" s="160" t="s">
        <v>287</v>
      </c>
      <c r="Q79" s="192" t="s">
        <v>287</v>
      </c>
      <c r="R79" s="160" t="s">
        <v>287</v>
      </c>
      <c r="S79" s="192" t="s">
        <v>287</v>
      </c>
      <c r="T79" s="160" t="s">
        <v>287</v>
      </c>
      <c r="U79" s="162" t="s">
        <v>287</v>
      </c>
      <c r="V79" s="160" t="s">
        <v>287</v>
      </c>
      <c r="W79" s="160" t="s">
        <v>287</v>
      </c>
      <c r="X79" s="160" t="s">
        <v>287</v>
      </c>
      <c r="Y79" s="160" t="s">
        <v>287</v>
      </c>
      <c r="Z79" s="160" t="s">
        <v>287</v>
      </c>
      <c r="AA79" s="160" t="s">
        <v>287</v>
      </c>
      <c r="AB79" s="160" t="s">
        <v>287</v>
      </c>
      <c r="AC79" s="206" t="s">
        <v>287</v>
      </c>
      <c r="AD79" s="145" t="s">
        <v>243</v>
      </c>
      <c r="AE79" s="181"/>
      <c r="AF79" s="181"/>
      <c r="AG79" s="131"/>
    </row>
    <row r="80" spans="1:33">
      <c r="A80" s="127" t="str">
        <f>VLOOKUP([1]ListOfRegions!A52,[1]ListOfRegions!A52:B126,2,0)</f>
        <v xml:space="preserve">  Νήσων</v>
      </c>
      <c r="B80" s="178">
        <f t="shared" si="29"/>
        <v>0</v>
      </c>
      <c r="C80" s="161" t="s">
        <v>287</v>
      </c>
      <c r="D80" s="160" t="s">
        <v>287</v>
      </c>
      <c r="E80" s="192" t="s">
        <v>287</v>
      </c>
      <c r="F80" s="160" t="s">
        <v>287</v>
      </c>
      <c r="G80" s="192" t="s">
        <v>287</v>
      </c>
      <c r="H80" s="160" t="s">
        <v>287</v>
      </c>
      <c r="I80" s="192" t="s">
        <v>287</v>
      </c>
      <c r="J80" s="160" t="s">
        <v>287</v>
      </c>
      <c r="K80" s="192" t="s">
        <v>287</v>
      </c>
      <c r="L80" s="160" t="s">
        <v>287</v>
      </c>
      <c r="M80" s="192" t="s">
        <v>287</v>
      </c>
      <c r="N80" s="160" t="s">
        <v>287</v>
      </c>
      <c r="O80" s="192" t="s">
        <v>287</v>
      </c>
      <c r="P80" s="160" t="s">
        <v>287</v>
      </c>
      <c r="Q80" s="192" t="s">
        <v>287</v>
      </c>
      <c r="R80" s="160" t="s">
        <v>287</v>
      </c>
      <c r="S80" s="192" t="s">
        <v>287</v>
      </c>
      <c r="T80" s="160" t="s">
        <v>287</v>
      </c>
      <c r="U80" s="162" t="s">
        <v>287</v>
      </c>
      <c r="V80" s="160" t="s">
        <v>287</v>
      </c>
      <c r="W80" s="160" t="s">
        <v>287</v>
      </c>
      <c r="X80" s="160" t="s">
        <v>287</v>
      </c>
      <c r="Y80" s="160" t="s">
        <v>287</v>
      </c>
      <c r="Z80" s="160" t="s">
        <v>287</v>
      </c>
      <c r="AA80" s="160" t="s">
        <v>287</v>
      </c>
      <c r="AB80" s="160" t="s">
        <v>287</v>
      </c>
      <c r="AC80" s="206" t="s">
        <v>287</v>
      </c>
      <c r="AD80" s="145" t="s">
        <v>244</v>
      </c>
      <c r="AE80" s="181"/>
      <c r="AF80" s="181"/>
      <c r="AG80" s="131"/>
    </row>
    <row r="81" spans="1:33">
      <c r="A81" s="305" t="s">
        <v>245</v>
      </c>
      <c r="B81" s="238">
        <f>SUM(C81,E81,G81,I81,K81,M81,O81,R81,T81,V81,X81,Z81,AB81,AC81)</f>
        <v>196</v>
      </c>
      <c r="C81" s="306">
        <f>SUM(C83:C87)</f>
        <v>0</v>
      </c>
      <c r="D81" s="234">
        <f t="shared" ref="D81:N81" si="30">SUM(D83:D87)</f>
        <v>0</v>
      </c>
      <c r="E81" s="236">
        <f t="shared" si="30"/>
        <v>0</v>
      </c>
      <c r="F81" s="234">
        <f t="shared" si="30"/>
        <v>0</v>
      </c>
      <c r="G81" s="236">
        <f t="shared" si="30"/>
        <v>0</v>
      </c>
      <c r="H81" s="234">
        <f t="shared" si="30"/>
        <v>0</v>
      </c>
      <c r="I81" s="236">
        <f>SUM(I83:I87)</f>
        <v>0</v>
      </c>
      <c r="J81" s="234">
        <f>SUM(J83:J87)</f>
        <v>0</v>
      </c>
      <c r="K81" s="236">
        <f t="shared" si="30"/>
        <v>60</v>
      </c>
      <c r="L81" s="234">
        <f t="shared" si="30"/>
        <v>1.881</v>
      </c>
      <c r="M81" s="236">
        <f t="shared" si="30"/>
        <v>0</v>
      </c>
      <c r="N81" s="234">
        <f t="shared" si="30"/>
        <v>0</v>
      </c>
      <c r="O81" s="237">
        <f>SUM(O83:O87)</f>
        <v>0</v>
      </c>
      <c r="P81" s="224">
        <f t="shared" ref="P81:W81" si="31">SUM(P83:P87)</f>
        <v>0</v>
      </c>
      <c r="Q81" s="237">
        <f t="shared" si="31"/>
        <v>0</v>
      </c>
      <c r="R81" s="224">
        <f t="shared" si="31"/>
        <v>22</v>
      </c>
      <c r="S81" s="237">
        <f t="shared" si="31"/>
        <v>0.79999999999999993</v>
      </c>
      <c r="T81" s="224">
        <f t="shared" si="31"/>
        <v>0</v>
      </c>
      <c r="U81" s="237">
        <f t="shared" si="31"/>
        <v>0</v>
      </c>
      <c r="V81" s="309">
        <f t="shared" si="31"/>
        <v>0</v>
      </c>
      <c r="W81" s="224">
        <f t="shared" si="31"/>
        <v>0</v>
      </c>
      <c r="X81" s="224">
        <f t="shared" ref="X81:AC81" si="32">SUM(X83:X87)</f>
        <v>0</v>
      </c>
      <c r="Y81" s="224">
        <f t="shared" si="32"/>
        <v>0</v>
      </c>
      <c r="Z81" s="224">
        <f t="shared" si="32"/>
        <v>0</v>
      </c>
      <c r="AA81" s="224">
        <f t="shared" si="32"/>
        <v>0</v>
      </c>
      <c r="AB81" s="224">
        <f t="shared" si="32"/>
        <v>114</v>
      </c>
      <c r="AC81" s="225">
        <f t="shared" si="32"/>
        <v>0</v>
      </c>
      <c r="AD81" s="307" t="s">
        <v>246</v>
      </c>
      <c r="AE81" s="308"/>
      <c r="AF81" s="308"/>
      <c r="AG81" s="131"/>
    </row>
    <row r="82" spans="1:33">
      <c r="A82" s="305"/>
      <c r="B82" s="239"/>
      <c r="C82" s="306"/>
      <c r="D82" s="234"/>
      <c r="E82" s="236"/>
      <c r="F82" s="234"/>
      <c r="G82" s="236"/>
      <c r="H82" s="234"/>
      <c r="I82" s="236"/>
      <c r="J82" s="234"/>
      <c r="K82" s="236"/>
      <c r="L82" s="234"/>
      <c r="M82" s="236"/>
      <c r="N82" s="234"/>
      <c r="O82" s="237"/>
      <c r="P82" s="224"/>
      <c r="Q82" s="237"/>
      <c r="R82" s="224"/>
      <c r="S82" s="237"/>
      <c r="T82" s="224"/>
      <c r="U82" s="237"/>
      <c r="V82" s="309"/>
      <c r="W82" s="224"/>
      <c r="X82" s="224"/>
      <c r="Y82" s="224"/>
      <c r="Z82" s="224"/>
      <c r="AA82" s="224"/>
      <c r="AB82" s="224"/>
      <c r="AC82" s="225"/>
      <c r="AD82" s="307"/>
      <c r="AE82" s="308"/>
      <c r="AF82" s="308"/>
      <c r="AG82" s="131"/>
    </row>
    <row r="83" spans="1:33">
      <c r="A83" s="127" t="str">
        <f>VLOOKUP([1]ListOfRegions!A53,[1]ListOfRegions!A53:B127,2,0)</f>
        <v xml:space="preserve">  Λέσβου</v>
      </c>
      <c r="B83" s="178">
        <f t="shared" ref="B83:B88" si="33">SUM(C83,E83,G83,I83,K83,M83,O83,R83,T83,V83,X83,Z83,AB83,AC83)</f>
        <v>79</v>
      </c>
      <c r="C83" s="161" t="s">
        <v>287</v>
      </c>
      <c r="D83" s="160" t="s">
        <v>287</v>
      </c>
      <c r="E83" s="192" t="s">
        <v>287</v>
      </c>
      <c r="F83" s="160" t="s">
        <v>287</v>
      </c>
      <c r="G83" s="192" t="s">
        <v>287</v>
      </c>
      <c r="H83" s="160" t="s">
        <v>287</v>
      </c>
      <c r="I83" s="192" t="s">
        <v>287</v>
      </c>
      <c r="J83" s="160" t="s">
        <v>287</v>
      </c>
      <c r="K83" s="183">
        <v>1</v>
      </c>
      <c r="L83" s="166">
        <v>6.0000000000000001E-3</v>
      </c>
      <c r="M83" s="192" t="s">
        <v>287</v>
      </c>
      <c r="N83" s="160" t="s">
        <v>287</v>
      </c>
      <c r="O83" s="192" t="s">
        <v>287</v>
      </c>
      <c r="P83" s="160" t="s">
        <v>287</v>
      </c>
      <c r="Q83" s="192" t="s">
        <v>287</v>
      </c>
      <c r="R83" s="167">
        <v>18</v>
      </c>
      <c r="S83" s="200">
        <v>0.43</v>
      </c>
      <c r="T83" s="160" t="s">
        <v>287</v>
      </c>
      <c r="U83" s="162" t="s">
        <v>287</v>
      </c>
      <c r="V83" s="160" t="s">
        <v>287</v>
      </c>
      <c r="W83" s="160" t="s">
        <v>287</v>
      </c>
      <c r="X83" s="160" t="s">
        <v>287</v>
      </c>
      <c r="Y83" s="160" t="s">
        <v>287</v>
      </c>
      <c r="Z83" s="160" t="s">
        <v>287</v>
      </c>
      <c r="AA83" s="160" t="s">
        <v>287</v>
      </c>
      <c r="AB83" s="167">
        <v>60</v>
      </c>
      <c r="AC83" s="206" t="s">
        <v>287</v>
      </c>
      <c r="AD83" s="145" t="s">
        <v>247</v>
      </c>
      <c r="AE83" s="181"/>
      <c r="AF83" s="181"/>
      <c r="AG83" s="131"/>
    </row>
    <row r="84" spans="1:33">
      <c r="A84" s="127" t="str">
        <f>VLOOKUP([1]ListOfRegions!A54,[1]ListOfRegions!A54:B128,2,0)</f>
        <v xml:space="preserve">  Ικαρίας</v>
      </c>
      <c r="B84" s="178">
        <f t="shared" si="33"/>
        <v>0</v>
      </c>
      <c r="C84" s="161" t="s">
        <v>287</v>
      </c>
      <c r="D84" s="160" t="s">
        <v>287</v>
      </c>
      <c r="E84" s="192" t="s">
        <v>287</v>
      </c>
      <c r="F84" s="160" t="s">
        <v>287</v>
      </c>
      <c r="G84" s="192" t="s">
        <v>287</v>
      </c>
      <c r="H84" s="160" t="s">
        <v>287</v>
      </c>
      <c r="I84" s="192" t="s">
        <v>287</v>
      </c>
      <c r="J84" s="160" t="s">
        <v>287</v>
      </c>
      <c r="K84" s="192" t="s">
        <v>287</v>
      </c>
      <c r="L84" s="160" t="s">
        <v>287</v>
      </c>
      <c r="M84" s="192" t="s">
        <v>287</v>
      </c>
      <c r="N84" s="160" t="s">
        <v>287</v>
      </c>
      <c r="O84" s="192" t="s">
        <v>287</v>
      </c>
      <c r="P84" s="160" t="s">
        <v>287</v>
      </c>
      <c r="Q84" s="192" t="s">
        <v>287</v>
      </c>
      <c r="R84" s="160" t="s">
        <v>287</v>
      </c>
      <c r="S84" s="192" t="s">
        <v>287</v>
      </c>
      <c r="T84" s="160" t="s">
        <v>287</v>
      </c>
      <c r="U84" s="162" t="s">
        <v>287</v>
      </c>
      <c r="V84" s="160" t="s">
        <v>287</v>
      </c>
      <c r="W84" s="160" t="s">
        <v>287</v>
      </c>
      <c r="X84" s="160" t="s">
        <v>287</v>
      </c>
      <c r="Y84" s="160" t="s">
        <v>287</v>
      </c>
      <c r="Z84" s="160" t="s">
        <v>287</v>
      </c>
      <c r="AA84" s="160" t="s">
        <v>287</v>
      </c>
      <c r="AB84" s="160" t="s">
        <v>287</v>
      </c>
      <c r="AC84" s="206" t="s">
        <v>287</v>
      </c>
      <c r="AD84" s="145" t="s">
        <v>248</v>
      </c>
      <c r="AE84" s="181"/>
      <c r="AF84" s="181"/>
      <c r="AG84" s="131"/>
    </row>
    <row r="85" spans="1:33">
      <c r="A85" s="127" t="str">
        <f>VLOOKUP([1]ListOfRegions!A55,[1]ListOfRegions!A55:B129,2,0)</f>
        <v xml:space="preserve">  Λήμνου</v>
      </c>
      <c r="B85" s="178">
        <f t="shared" si="33"/>
        <v>82</v>
      </c>
      <c r="C85" s="161" t="s">
        <v>287</v>
      </c>
      <c r="D85" s="160" t="s">
        <v>287</v>
      </c>
      <c r="E85" s="192" t="s">
        <v>287</v>
      </c>
      <c r="F85" s="160" t="s">
        <v>287</v>
      </c>
      <c r="G85" s="192" t="s">
        <v>287</v>
      </c>
      <c r="H85" s="160" t="s">
        <v>287</v>
      </c>
      <c r="I85" s="192" t="s">
        <v>287</v>
      </c>
      <c r="J85" s="160" t="s">
        <v>287</v>
      </c>
      <c r="K85" s="183">
        <v>59</v>
      </c>
      <c r="L85" s="166">
        <v>1.875</v>
      </c>
      <c r="M85" s="192" t="s">
        <v>287</v>
      </c>
      <c r="N85" s="160" t="s">
        <v>287</v>
      </c>
      <c r="O85" s="192" t="s">
        <v>287</v>
      </c>
      <c r="P85" s="160" t="s">
        <v>287</v>
      </c>
      <c r="Q85" s="192" t="s">
        <v>287</v>
      </c>
      <c r="R85" s="167">
        <v>3</v>
      </c>
      <c r="S85" s="200">
        <v>0.27</v>
      </c>
      <c r="T85" s="160" t="s">
        <v>287</v>
      </c>
      <c r="U85" s="162" t="s">
        <v>287</v>
      </c>
      <c r="V85" s="160" t="s">
        <v>287</v>
      </c>
      <c r="W85" s="160" t="s">
        <v>287</v>
      </c>
      <c r="X85" s="160" t="s">
        <v>287</v>
      </c>
      <c r="Y85" s="160" t="s">
        <v>287</v>
      </c>
      <c r="Z85" s="160" t="s">
        <v>287</v>
      </c>
      <c r="AA85" s="160" t="s">
        <v>287</v>
      </c>
      <c r="AB85" s="167">
        <v>20</v>
      </c>
      <c r="AC85" s="206" t="s">
        <v>287</v>
      </c>
      <c r="AD85" s="145" t="s">
        <v>249</v>
      </c>
      <c r="AE85" s="181"/>
      <c r="AF85" s="181"/>
      <c r="AG85" s="131"/>
    </row>
    <row r="86" spans="1:33">
      <c r="A86" s="127" t="str">
        <f>VLOOKUP([1]ListOfRegions!A56,[1]ListOfRegions!A56:B130,2,0)</f>
        <v xml:space="preserve">  Σάμου.</v>
      </c>
      <c r="B86" s="178">
        <f t="shared" si="33"/>
        <v>30</v>
      </c>
      <c r="C86" s="161" t="s">
        <v>287</v>
      </c>
      <c r="D86" s="160" t="s">
        <v>287</v>
      </c>
      <c r="E86" s="192" t="s">
        <v>287</v>
      </c>
      <c r="F86" s="160" t="s">
        <v>287</v>
      </c>
      <c r="G86" s="192" t="s">
        <v>287</v>
      </c>
      <c r="H86" s="160" t="s">
        <v>287</v>
      </c>
      <c r="I86" s="192" t="s">
        <v>287</v>
      </c>
      <c r="J86" s="160" t="s">
        <v>287</v>
      </c>
      <c r="K86" s="192" t="s">
        <v>287</v>
      </c>
      <c r="L86" s="160" t="s">
        <v>287</v>
      </c>
      <c r="M86" s="192" t="s">
        <v>287</v>
      </c>
      <c r="N86" s="160" t="s">
        <v>287</v>
      </c>
      <c r="O86" s="192" t="s">
        <v>287</v>
      </c>
      <c r="P86" s="160" t="s">
        <v>287</v>
      </c>
      <c r="Q86" s="192" t="s">
        <v>287</v>
      </c>
      <c r="R86" s="167">
        <v>1</v>
      </c>
      <c r="S86" s="200">
        <v>0.1</v>
      </c>
      <c r="T86" s="160" t="s">
        <v>287</v>
      </c>
      <c r="U86" s="162" t="s">
        <v>287</v>
      </c>
      <c r="V86" s="160" t="s">
        <v>287</v>
      </c>
      <c r="W86" s="160" t="s">
        <v>287</v>
      </c>
      <c r="X86" s="160" t="s">
        <v>287</v>
      </c>
      <c r="Y86" s="160" t="s">
        <v>287</v>
      </c>
      <c r="Z86" s="160" t="s">
        <v>287</v>
      </c>
      <c r="AA86" s="160" t="s">
        <v>287</v>
      </c>
      <c r="AB86" s="167">
        <v>29</v>
      </c>
      <c r="AC86" s="206" t="s">
        <v>287</v>
      </c>
      <c r="AD86" s="145" t="s">
        <v>250</v>
      </c>
      <c r="AE86" s="181"/>
      <c r="AF86" s="181"/>
      <c r="AG86" s="131"/>
    </row>
    <row r="87" spans="1:33">
      <c r="A87" s="127" t="str">
        <f>VLOOKUP([1]ListOfRegions!A57,[1]ListOfRegions!A57:B131,2,0)</f>
        <v xml:space="preserve">  Χίου</v>
      </c>
      <c r="B87" s="178">
        <f t="shared" si="33"/>
        <v>5</v>
      </c>
      <c r="C87" s="161" t="s">
        <v>287</v>
      </c>
      <c r="D87" s="160" t="s">
        <v>287</v>
      </c>
      <c r="E87" s="192" t="s">
        <v>287</v>
      </c>
      <c r="F87" s="160" t="s">
        <v>287</v>
      </c>
      <c r="G87" s="192" t="s">
        <v>287</v>
      </c>
      <c r="H87" s="160" t="s">
        <v>287</v>
      </c>
      <c r="I87" s="192" t="s">
        <v>287</v>
      </c>
      <c r="J87" s="160" t="s">
        <v>287</v>
      </c>
      <c r="K87" s="192" t="s">
        <v>287</v>
      </c>
      <c r="L87" s="160" t="s">
        <v>287</v>
      </c>
      <c r="M87" s="192" t="s">
        <v>287</v>
      </c>
      <c r="N87" s="160" t="s">
        <v>287</v>
      </c>
      <c r="O87" s="192" t="s">
        <v>287</v>
      </c>
      <c r="P87" s="160" t="s">
        <v>287</v>
      </c>
      <c r="Q87" s="192" t="s">
        <v>287</v>
      </c>
      <c r="R87" s="160" t="s">
        <v>287</v>
      </c>
      <c r="S87" s="192" t="s">
        <v>287</v>
      </c>
      <c r="T87" s="160" t="s">
        <v>287</v>
      </c>
      <c r="U87" s="162" t="s">
        <v>287</v>
      </c>
      <c r="V87" s="160" t="s">
        <v>287</v>
      </c>
      <c r="W87" s="160" t="s">
        <v>287</v>
      </c>
      <c r="X87" s="160" t="s">
        <v>287</v>
      </c>
      <c r="Y87" s="160" t="s">
        <v>287</v>
      </c>
      <c r="Z87" s="160" t="s">
        <v>287</v>
      </c>
      <c r="AA87" s="160" t="s">
        <v>287</v>
      </c>
      <c r="AB87" s="167">
        <v>5</v>
      </c>
      <c r="AC87" s="206" t="s">
        <v>287</v>
      </c>
      <c r="AD87" s="145" t="s">
        <v>251</v>
      </c>
      <c r="AE87" s="181"/>
      <c r="AF87" s="181"/>
      <c r="AG87" s="131"/>
    </row>
    <row r="88" spans="1:33">
      <c r="A88" s="305" t="s">
        <v>252</v>
      </c>
      <c r="B88" s="238">
        <f t="shared" si="33"/>
        <v>154</v>
      </c>
      <c r="C88" s="306">
        <f>SUM(C90:C102)</f>
        <v>0</v>
      </c>
      <c r="D88" s="234">
        <f t="shared" ref="D88:N88" si="34">SUM(D90:D102)</f>
        <v>0</v>
      </c>
      <c r="E88" s="236">
        <f t="shared" si="34"/>
        <v>0</v>
      </c>
      <c r="F88" s="234">
        <f t="shared" si="34"/>
        <v>0</v>
      </c>
      <c r="G88" s="236">
        <f t="shared" si="34"/>
        <v>0</v>
      </c>
      <c r="H88" s="234">
        <f t="shared" si="34"/>
        <v>0</v>
      </c>
      <c r="I88" s="236">
        <f>SUM(I90:I102)</f>
        <v>0</v>
      </c>
      <c r="J88" s="234">
        <f>SUM(J90:J102)</f>
        <v>0</v>
      </c>
      <c r="K88" s="236">
        <f t="shared" si="34"/>
        <v>127</v>
      </c>
      <c r="L88" s="234">
        <f t="shared" si="34"/>
        <v>8.1</v>
      </c>
      <c r="M88" s="236">
        <f t="shared" si="34"/>
        <v>2</v>
      </c>
      <c r="N88" s="234">
        <f t="shared" si="34"/>
        <v>1E-4</v>
      </c>
      <c r="O88" s="237">
        <f>SUM(O90:O102)</f>
        <v>0</v>
      </c>
      <c r="P88" s="224">
        <f t="shared" ref="P88:W88" si="35">SUM(P90:P102)</f>
        <v>0</v>
      </c>
      <c r="Q88" s="237">
        <f t="shared" si="35"/>
        <v>0</v>
      </c>
      <c r="R88" s="224">
        <f t="shared" si="35"/>
        <v>15</v>
      </c>
      <c r="S88" s="237">
        <f t="shared" si="35"/>
        <v>3.64</v>
      </c>
      <c r="T88" s="224">
        <f t="shared" si="35"/>
        <v>2</v>
      </c>
      <c r="U88" s="237">
        <f t="shared" si="35"/>
        <v>2</v>
      </c>
      <c r="V88" s="309">
        <f t="shared" si="35"/>
        <v>1</v>
      </c>
      <c r="W88" s="224">
        <f t="shared" si="35"/>
        <v>0.25</v>
      </c>
      <c r="X88" s="224">
        <f t="shared" ref="X88:AC88" si="36">SUM(X90:X102)</f>
        <v>0</v>
      </c>
      <c r="Y88" s="224">
        <f t="shared" si="36"/>
        <v>0</v>
      </c>
      <c r="Z88" s="224">
        <f t="shared" si="36"/>
        <v>0</v>
      </c>
      <c r="AA88" s="224">
        <f t="shared" si="36"/>
        <v>0</v>
      </c>
      <c r="AB88" s="224">
        <f t="shared" si="36"/>
        <v>7</v>
      </c>
      <c r="AC88" s="225">
        <f t="shared" si="36"/>
        <v>0</v>
      </c>
      <c r="AD88" s="307" t="s">
        <v>253</v>
      </c>
      <c r="AE88" s="308"/>
      <c r="AF88" s="308"/>
      <c r="AG88" s="131"/>
    </row>
    <row r="89" spans="1:33">
      <c r="A89" s="305"/>
      <c r="B89" s="239"/>
      <c r="C89" s="306"/>
      <c r="D89" s="234"/>
      <c r="E89" s="236"/>
      <c r="F89" s="234"/>
      <c r="G89" s="236"/>
      <c r="H89" s="234"/>
      <c r="I89" s="236"/>
      <c r="J89" s="234"/>
      <c r="K89" s="236"/>
      <c r="L89" s="234"/>
      <c r="M89" s="236"/>
      <c r="N89" s="234"/>
      <c r="O89" s="237"/>
      <c r="P89" s="224"/>
      <c r="Q89" s="237"/>
      <c r="R89" s="224"/>
      <c r="S89" s="237"/>
      <c r="T89" s="224"/>
      <c r="U89" s="237"/>
      <c r="V89" s="309"/>
      <c r="W89" s="224"/>
      <c r="X89" s="224"/>
      <c r="Y89" s="224"/>
      <c r="Z89" s="224"/>
      <c r="AA89" s="224"/>
      <c r="AB89" s="224"/>
      <c r="AC89" s="225"/>
      <c r="AD89" s="307"/>
      <c r="AE89" s="308"/>
      <c r="AF89" s="308"/>
      <c r="AG89" s="131"/>
    </row>
    <row r="90" spans="1:33">
      <c r="A90" s="127" t="str">
        <f>VLOOKUP([1]ListOfRegions!A58,[1]ListOfRegions!A58:B132,2,0)</f>
        <v xml:space="preserve">  Σύρου</v>
      </c>
      <c r="B90" s="178">
        <f t="shared" ref="B90:B102" si="37">SUM(C90,E90,G90,I90,K90,M90,O90,R90,T90,V90,X90,Z90,AB90,AC90)</f>
        <v>0</v>
      </c>
      <c r="C90" s="161" t="s">
        <v>287</v>
      </c>
      <c r="D90" s="160" t="s">
        <v>287</v>
      </c>
      <c r="E90" s="192" t="s">
        <v>287</v>
      </c>
      <c r="F90" s="160" t="s">
        <v>287</v>
      </c>
      <c r="G90" s="192" t="s">
        <v>287</v>
      </c>
      <c r="H90" s="160" t="s">
        <v>287</v>
      </c>
      <c r="I90" s="192" t="s">
        <v>287</v>
      </c>
      <c r="J90" s="160" t="s">
        <v>287</v>
      </c>
      <c r="K90" s="192" t="s">
        <v>287</v>
      </c>
      <c r="L90" s="160" t="s">
        <v>287</v>
      </c>
      <c r="M90" s="192" t="s">
        <v>287</v>
      </c>
      <c r="N90" s="160" t="s">
        <v>287</v>
      </c>
      <c r="O90" s="192" t="s">
        <v>287</v>
      </c>
      <c r="P90" s="160" t="s">
        <v>287</v>
      </c>
      <c r="Q90" s="192" t="s">
        <v>287</v>
      </c>
      <c r="R90" s="160" t="s">
        <v>287</v>
      </c>
      <c r="S90" s="192" t="s">
        <v>287</v>
      </c>
      <c r="T90" s="160" t="s">
        <v>287</v>
      </c>
      <c r="U90" s="162" t="s">
        <v>287</v>
      </c>
      <c r="V90" s="160" t="s">
        <v>287</v>
      </c>
      <c r="W90" s="160" t="s">
        <v>287</v>
      </c>
      <c r="X90" s="160" t="s">
        <v>287</v>
      </c>
      <c r="Y90" s="160" t="s">
        <v>287</v>
      </c>
      <c r="Z90" s="160" t="s">
        <v>287</v>
      </c>
      <c r="AA90" s="160" t="s">
        <v>287</v>
      </c>
      <c r="AB90" s="160" t="s">
        <v>287</v>
      </c>
      <c r="AC90" s="206" t="s">
        <v>287</v>
      </c>
      <c r="AD90" s="145" t="s">
        <v>254</v>
      </c>
      <c r="AE90" s="181"/>
      <c r="AF90" s="181"/>
      <c r="AG90" s="131"/>
    </row>
    <row r="91" spans="1:33">
      <c r="A91" s="127" t="str">
        <f>VLOOKUP([1]ListOfRegions!A59,[1]ListOfRegions!A59:B133,2,0)</f>
        <v xml:space="preserve">  Άνδρου</v>
      </c>
      <c r="B91" s="178">
        <f t="shared" si="37"/>
        <v>0</v>
      </c>
      <c r="C91" s="161" t="s">
        <v>287</v>
      </c>
      <c r="D91" s="160" t="s">
        <v>287</v>
      </c>
      <c r="E91" s="192" t="s">
        <v>287</v>
      </c>
      <c r="F91" s="160" t="s">
        <v>287</v>
      </c>
      <c r="G91" s="192" t="s">
        <v>287</v>
      </c>
      <c r="H91" s="160" t="s">
        <v>287</v>
      </c>
      <c r="I91" s="192" t="s">
        <v>287</v>
      </c>
      <c r="J91" s="160" t="s">
        <v>287</v>
      </c>
      <c r="K91" s="192" t="s">
        <v>287</v>
      </c>
      <c r="L91" s="160" t="s">
        <v>287</v>
      </c>
      <c r="M91" s="192" t="s">
        <v>287</v>
      </c>
      <c r="N91" s="160" t="s">
        <v>287</v>
      </c>
      <c r="O91" s="192" t="s">
        <v>287</v>
      </c>
      <c r="P91" s="160" t="s">
        <v>287</v>
      </c>
      <c r="Q91" s="192" t="s">
        <v>287</v>
      </c>
      <c r="R91" s="160" t="s">
        <v>287</v>
      </c>
      <c r="S91" s="192" t="s">
        <v>287</v>
      </c>
      <c r="T91" s="160" t="s">
        <v>287</v>
      </c>
      <c r="U91" s="162" t="s">
        <v>287</v>
      </c>
      <c r="V91" s="160" t="s">
        <v>287</v>
      </c>
      <c r="W91" s="160" t="s">
        <v>287</v>
      </c>
      <c r="X91" s="160" t="s">
        <v>287</v>
      </c>
      <c r="Y91" s="160" t="s">
        <v>287</v>
      </c>
      <c r="Z91" s="160" t="s">
        <v>287</v>
      </c>
      <c r="AA91" s="160" t="s">
        <v>287</v>
      </c>
      <c r="AB91" s="160" t="s">
        <v>287</v>
      </c>
      <c r="AC91" s="206" t="s">
        <v>287</v>
      </c>
      <c r="AD91" s="145" t="s">
        <v>255</v>
      </c>
      <c r="AE91" s="181"/>
      <c r="AF91" s="181"/>
      <c r="AG91" s="131"/>
    </row>
    <row r="92" spans="1:33">
      <c r="A92" s="127" t="str">
        <f>VLOOKUP([1]ListOfRegions!A60,[1]ListOfRegions!A60:B134,2,0)</f>
        <v xml:space="preserve">  Θήρας</v>
      </c>
      <c r="B92" s="178">
        <f t="shared" si="37"/>
        <v>0</v>
      </c>
      <c r="C92" s="161" t="s">
        <v>287</v>
      </c>
      <c r="D92" s="160" t="s">
        <v>287</v>
      </c>
      <c r="E92" s="192" t="s">
        <v>287</v>
      </c>
      <c r="F92" s="160" t="s">
        <v>287</v>
      </c>
      <c r="G92" s="192" t="s">
        <v>287</v>
      </c>
      <c r="H92" s="160" t="s">
        <v>287</v>
      </c>
      <c r="I92" s="192" t="s">
        <v>287</v>
      </c>
      <c r="J92" s="160" t="s">
        <v>287</v>
      </c>
      <c r="K92" s="192" t="s">
        <v>287</v>
      </c>
      <c r="L92" s="160" t="s">
        <v>287</v>
      </c>
      <c r="M92" s="192" t="s">
        <v>287</v>
      </c>
      <c r="N92" s="160" t="s">
        <v>287</v>
      </c>
      <c r="O92" s="192" t="s">
        <v>287</v>
      </c>
      <c r="P92" s="160" t="s">
        <v>287</v>
      </c>
      <c r="Q92" s="192" t="s">
        <v>287</v>
      </c>
      <c r="R92" s="160" t="s">
        <v>287</v>
      </c>
      <c r="S92" s="192" t="s">
        <v>287</v>
      </c>
      <c r="T92" s="160" t="s">
        <v>287</v>
      </c>
      <c r="U92" s="162" t="s">
        <v>287</v>
      </c>
      <c r="V92" s="160" t="s">
        <v>287</v>
      </c>
      <c r="W92" s="160" t="s">
        <v>287</v>
      </c>
      <c r="X92" s="160" t="s">
        <v>287</v>
      </c>
      <c r="Y92" s="160" t="s">
        <v>287</v>
      </c>
      <c r="Z92" s="160" t="s">
        <v>287</v>
      </c>
      <c r="AA92" s="160" t="s">
        <v>287</v>
      </c>
      <c r="AB92" s="160" t="s">
        <v>287</v>
      </c>
      <c r="AC92" s="206" t="s">
        <v>287</v>
      </c>
      <c r="AD92" s="145" t="s">
        <v>256</v>
      </c>
      <c r="AE92" s="181"/>
      <c r="AF92" s="181"/>
      <c r="AG92" s="131"/>
    </row>
    <row r="93" spans="1:33">
      <c r="A93" s="127" t="str">
        <f>VLOOKUP([1]ListOfRegions!A61,[1]ListOfRegions!A61:B135,2,0)</f>
        <v xml:space="preserve">  Καλύμνου</v>
      </c>
      <c r="B93" s="178">
        <f t="shared" si="37"/>
        <v>5</v>
      </c>
      <c r="C93" s="161" t="s">
        <v>287</v>
      </c>
      <c r="D93" s="160" t="s">
        <v>287</v>
      </c>
      <c r="E93" s="192" t="s">
        <v>287</v>
      </c>
      <c r="F93" s="160" t="s">
        <v>287</v>
      </c>
      <c r="G93" s="192" t="s">
        <v>287</v>
      </c>
      <c r="H93" s="160" t="s">
        <v>287</v>
      </c>
      <c r="I93" s="192" t="s">
        <v>287</v>
      </c>
      <c r="J93" s="160" t="s">
        <v>287</v>
      </c>
      <c r="K93" s="192" t="s">
        <v>287</v>
      </c>
      <c r="L93" s="160" t="s">
        <v>287</v>
      </c>
      <c r="M93" s="190">
        <v>2</v>
      </c>
      <c r="N93" s="166">
        <v>1E-4</v>
      </c>
      <c r="O93" s="192" t="s">
        <v>287</v>
      </c>
      <c r="P93" s="160" t="s">
        <v>287</v>
      </c>
      <c r="Q93" s="192" t="s">
        <v>287</v>
      </c>
      <c r="R93" s="160" t="s">
        <v>287</v>
      </c>
      <c r="S93" s="192" t="s">
        <v>287</v>
      </c>
      <c r="T93" s="167">
        <v>2</v>
      </c>
      <c r="U93" s="172">
        <v>2</v>
      </c>
      <c r="V93" s="159">
        <v>1</v>
      </c>
      <c r="W93" s="159">
        <v>0.25</v>
      </c>
      <c r="X93" s="160" t="s">
        <v>287</v>
      </c>
      <c r="Y93" s="160" t="s">
        <v>287</v>
      </c>
      <c r="Z93" s="160" t="s">
        <v>287</v>
      </c>
      <c r="AA93" s="160" t="s">
        <v>287</v>
      </c>
      <c r="AB93" s="160" t="s">
        <v>287</v>
      </c>
      <c r="AC93" s="206" t="s">
        <v>287</v>
      </c>
      <c r="AD93" s="145" t="s">
        <v>257</v>
      </c>
      <c r="AE93" s="181"/>
      <c r="AF93" s="181"/>
      <c r="AG93" s="131"/>
    </row>
    <row r="94" spans="1:33">
      <c r="A94" s="127" t="str">
        <f>VLOOKUP([1]ListOfRegions!A62,[1]ListOfRegions!A62:B136,2,0)</f>
        <v xml:space="preserve">  Καρπάθου</v>
      </c>
      <c r="B94" s="178">
        <f t="shared" si="37"/>
        <v>0</v>
      </c>
      <c r="C94" s="161" t="s">
        <v>287</v>
      </c>
      <c r="D94" s="160" t="s">
        <v>287</v>
      </c>
      <c r="E94" s="192" t="s">
        <v>287</v>
      </c>
      <c r="F94" s="160" t="s">
        <v>287</v>
      </c>
      <c r="G94" s="192" t="s">
        <v>287</v>
      </c>
      <c r="H94" s="160" t="s">
        <v>287</v>
      </c>
      <c r="I94" s="192" t="s">
        <v>287</v>
      </c>
      <c r="J94" s="160" t="s">
        <v>287</v>
      </c>
      <c r="K94" s="192" t="s">
        <v>287</v>
      </c>
      <c r="L94" s="160" t="s">
        <v>287</v>
      </c>
      <c r="M94" s="192" t="s">
        <v>287</v>
      </c>
      <c r="N94" s="160" t="s">
        <v>287</v>
      </c>
      <c r="O94" s="192" t="s">
        <v>287</v>
      </c>
      <c r="P94" s="160" t="s">
        <v>287</v>
      </c>
      <c r="Q94" s="192" t="s">
        <v>287</v>
      </c>
      <c r="R94" s="160" t="s">
        <v>287</v>
      </c>
      <c r="S94" s="192" t="s">
        <v>287</v>
      </c>
      <c r="T94" s="160" t="s">
        <v>287</v>
      </c>
      <c r="U94" s="162" t="s">
        <v>287</v>
      </c>
      <c r="V94" s="160" t="s">
        <v>287</v>
      </c>
      <c r="W94" s="160" t="s">
        <v>287</v>
      </c>
      <c r="X94" s="160" t="s">
        <v>287</v>
      </c>
      <c r="Y94" s="160" t="s">
        <v>287</v>
      </c>
      <c r="Z94" s="160" t="s">
        <v>287</v>
      </c>
      <c r="AA94" s="160" t="s">
        <v>287</v>
      </c>
      <c r="AB94" s="160" t="s">
        <v>287</v>
      </c>
      <c r="AC94" s="206" t="s">
        <v>287</v>
      </c>
      <c r="AD94" s="145" t="s">
        <v>258</v>
      </c>
      <c r="AE94" s="181"/>
      <c r="AF94" s="181"/>
      <c r="AG94" s="131"/>
    </row>
    <row r="95" spans="1:33">
      <c r="A95" s="127" t="str">
        <f>VLOOKUP([1]ListOfRegions!A63,[1]ListOfRegions!A63:B137,2,0)</f>
        <v xml:space="preserve">  Κύθνου</v>
      </c>
      <c r="B95" s="178">
        <f t="shared" si="37"/>
        <v>0</v>
      </c>
      <c r="C95" s="161" t="s">
        <v>287</v>
      </c>
      <c r="D95" s="160" t="s">
        <v>287</v>
      </c>
      <c r="E95" s="192" t="s">
        <v>287</v>
      </c>
      <c r="F95" s="160" t="s">
        <v>287</v>
      </c>
      <c r="G95" s="192" t="s">
        <v>287</v>
      </c>
      <c r="H95" s="160" t="s">
        <v>287</v>
      </c>
      <c r="I95" s="192" t="s">
        <v>287</v>
      </c>
      <c r="J95" s="160" t="s">
        <v>287</v>
      </c>
      <c r="K95" s="192" t="s">
        <v>287</v>
      </c>
      <c r="L95" s="160" t="s">
        <v>287</v>
      </c>
      <c r="M95" s="192" t="s">
        <v>287</v>
      </c>
      <c r="N95" s="160" t="s">
        <v>287</v>
      </c>
      <c r="O95" s="192" t="s">
        <v>287</v>
      </c>
      <c r="P95" s="160" t="s">
        <v>287</v>
      </c>
      <c r="Q95" s="192" t="s">
        <v>287</v>
      </c>
      <c r="R95" s="160" t="s">
        <v>287</v>
      </c>
      <c r="S95" s="192" t="s">
        <v>287</v>
      </c>
      <c r="T95" s="160" t="s">
        <v>287</v>
      </c>
      <c r="U95" s="162" t="s">
        <v>287</v>
      </c>
      <c r="V95" s="160" t="s">
        <v>287</v>
      </c>
      <c r="W95" s="160" t="s">
        <v>287</v>
      </c>
      <c r="X95" s="160" t="s">
        <v>287</v>
      </c>
      <c r="Y95" s="160" t="s">
        <v>287</v>
      </c>
      <c r="Z95" s="160" t="s">
        <v>287</v>
      </c>
      <c r="AA95" s="160" t="s">
        <v>287</v>
      </c>
      <c r="AB95" s="160" t="s">
        <v>287</v>
      </c>
      <c r="AC95" s="206" t="s">
        <v>287</v>
      </c>
      <c r="AD95" s="145" t="s">
        <v>259</v>
      </c>
      <c r="AE95" s="181"/>
      <c r="AF95" s="181"/>
      <c r="AG95" s="131"/>
    </row>
    <row r="96" spans="1:33">
      <c r="A96" s="127" t="str">
        <f>VLOOKUP([1]ListOfRegions!A64,[1]ListOfRegions!A64:B138,2,0)</f>
        <v xml:space="preserve">  Κω</v>
      </c>
      <c r="B96" s="178">
        <f t="shared" si="37"/>
        <v>18</v>
      </c>
      <c r="C96" s="161" t="s">
        <v>287</v>
      </c>
      <c r="D96" s="160" t="s">
        <v>287</v>
      </c>
      <c r="E96" s="192" t="s">
        <v>287</v>
      </c>
      <c r="F96" s="160" t="s">
        <v>287</v>
      </c>
      <c r="G96" s="192" t="s">
        <v>287</v>
      </c>
      <c r="H96" s="160" t="s">
        <v>287</v>
      </c>
      <c r="I96" s="192" t="s">
        <v>287</v>
      </c>
      <c r="J96" s="160" t="s">
        <v>287</v>
      </c>
      <c r="K96" s="183">
        <v>18</v>
      </c>
      <c r="L96" s="166">
        <v>1.05</v>
      </c>
      <c r="M96" s="192" t="s">
        <v>287</v>
      </c>
      <c r="N96" s="160" t="s">
        <v>287</v>
      </c>
      <c r="O96" s="192" t="s">
        <v>287</v>
      </c>
      <c r="P96" s="160" t="s">
        <v>287</v>
      </c>
      <c r="Q96" s="192" t="s">
        <v>287</v>
      </c>
      <c r="R96" s="160" t="s">
        <v>287</v>
      </c>
      <c r="S96" s="192" t="s">
        <v>287</v>
      </c>
      <c r="T96" s="160" t="s">
        <v>287</v>
      </c>
      <c r="U96" s="162" t="s">
        <v>287</v>
      </c>
      <c r="V96" s="160" t="s">
        <v>287</v>
      </c>
      <c r="W96" s="160" t="s">
        <v>287</v>
      </c>
      <c r="X96" s="160" t="s">
        <v>287</v>
      </c>
      <c r="Y96" s="160" t="s">
        <v>287</v>
      </c>
      <c r="Z96" s="160" t="s">
        <v>287</v>
      </c>
      <c r="AA96" s="160" t="s">
        <v>287</v>
      </c>
      <c r="AB96" s="160" t="s">
        <v>287</v>
      </c>
      <c r="AC96" s="206" t="s">
        <v>287</v>
      </c>
      <c r="AD96" s="145" t="s">
        <v>260</v>
      </c>
      <c r="AE96" s="181"/>
      <c r="AF96" s="181"/>
      <c r="AG96" s="131"/>
    </row>
    <row r="97" spans="1:33">
      <c r="A97" s="127" t="str">
        <f>VLOOKUP([1]ListOfRegions!A65,[1]ListOfRegions!A65:B139,2,0)</f>
        <v xml:space="preserve">  Μήλου</v>
      </c>
      <c r="B97" s="178">
        <f t="shared" si="37"/>
        <v>6</v>
      </c>
      <c r="C97" s="161" t="s">
        <v>287</v>
      </c>
      <c r="D97" s="160" t="s">
        <v>287</v>
      </c>
      <c r="E97" s="192" t="s">
        <v>287</v>
      </c>
      <c r="F97" s="160" t="s">
        <v>287</v>
      </c>
      <c r="G97" s="192" t="s">
        <v>287</v>
      </c>
      <c r="H97" s="160" t="s">
        <v>287</v>
      </c>
      <c r="I97" s="192" t="s">
        <v>287</v>
      </c>
      <c r="J97" s="160" t="s">
        <v>287</v>
      </c>
      <c r="K97" s="183">
        <v>6</v>
      </c>
      <c r="L97" s="166">
        <v>0.1</v>
      </c>
      <c r="M97" s="192" t="s">
        <v>287</v>
      </c>
      <c r="N97" s="160" t="s">
        <v>287</v>
      </c>
      <c r="O97" s="192" t="s">
        <v>287</v>
      </c>
      <c r="P97" s="160" t="s">
        <v>287</v>
      </c>
      <c r="Q97" s="192" t="s">
        <v>287</v>
      </c>
      <c r="R97" s="160" t="s">
        <v>287</v>
      </c>
      <c r="S97" s="192" t="s">
        <v>287</v>
      </c>
      <c r="T97" s="160" t="s">
        <v>287</v>
      </c>
      <c r="U97" s="162" t="s">
        <v>287</v>
      </c>
      <c r="V97" s="160" t="s">
        <v>287</v>
      </c>
      <c r="W97" s="160" t="s">
        <v>287</v>
      </c>
      <c r="X97" s="160" t="s">
        <v>287</v>
      </c>
      <c r="Y97" s="160" t="s">
        <v>287</v>
      </c>
      <c r="Z97" s="160" t="s">
        <v>287</v>
      </c>
      <c r="AA97" s="160" t="s">
        <v>287</v>
      </c>
      <c r="AB97" s="160" t="s">
        <v>287</v>
      </c>
      <c r="AC97" s="206" t="s">
        <v>287</v>
      </c>
      <c r="AD97" s="145" t="s">
        <v>261</v>
      </c>
      <c r="AE97" s="181"/>
      <c r="AF97" s="181"/>
      <c r="AG97" s="131"/>
    </row>
    <row r="98" spans="1:33">
      <c r="A98" s="127" t="str">
        <f>VLOOKUP([1]ListOfRegions!A66,[1]ListOfRegions!A66:B140,2,0)</f>
        <v xml:space="preserve">  Μυκόνου.</v>
      </c>
      <c r="B98" s="178">
        <f t="shared" si="37"/>
        <v>0</v>
      </c>
      <c r="C98" s="161" t="s">
        <v>287</v>
      </c>
      <c r="D98" s="160" t="s">
        <v>287</v>
      </c>
      <c r="E98" s="192" t="s">
        <v>287</v>
      </c>
      <c r="F98" s="160" t="s">
        <v>287</v>
      </c>
      <c r="G98" s="192" t="s">
        <v>287</v>
      </c>
      <c r="H98" s="160" t="s">
        <v>287</v>
      </c>
      <c r="I98" s="192" t="s">
        <v>287</v>
      </c>
      <c r="J98" s="160" t="s">
        <v>287</v>
      </c>
      <c r="K98" s="192" t="s">
        <v>287</v>
      </c>
      <c r="L98" s="160" t="s">
        <v>287</v>
      </c>
      <c r="M98" s="192" t="s">
        <v>287</v>
      </c>
      <c r="N98" s="160" t="s">
        <v>287</v>
      </c>
      <c r="O98" s="192" t="s">
        <v>287</v>
      </c>
      <c r="P98" s="160" t="s">
        <v>287</v>
      </c>
      <c r="Q98" s="192" t="s">
        <v>287</v>
      </c>
      <c r="R98" s="160" t="s">
        <v>287</v>
      </c>
      <c r="S98" s="192" t="s">
        <v>287</v>
      </c>
      <c r="T98" s="160" t="s">
        <v>287</v>
      </c>
      <c r="U98" s="162" t="s">
        <v>287</v>
      </c>
      <c r="V98" s="160" t="s">
        <v>287</v>
      </c>
      <c r="W98" s="160" t="s">
        <v>287</v>
      </c>
      <c r="X98" s="160" t="s">
        <v>287</v>
      </c>
      <c r="Y98" s="160" t="s">
        <v>287</v>
      </c>
      <c r="Z98" s="160" t="s">
        <v>287</v>
      </c>
      <c r="AA98" s="160" t="s">
        <v>287</v>
      </c>
      <c r="AB98" s="160" t="s">
        <v>287</v>
      </c>
      <c r="AC98" s="206" t="s">
        <v>287</v>
      </c>
      <c r="AD98" s="145" t="s">
        <v>262</v>
      </c>
      <c r="AE98" s="181"/>
      <c r="AF98" s="181"/>
      <c r="AG98" s="131"/>
    </row>
    <row r="99" spans="1:33">
      <c r="A99" s="127" t="str">
        <f>VLOOKUP([1]ListOfRegions!A67,[1]ListOfRegions!A67:B141,2,0)</f>
        <v xml:space="preserve">  Νάξου</v>
      </c>
      <c r="B99" s="178">
        <f t="shared" si="37"/>
        <v>0</v>
      </c>
      <c r="C99" s="161" t="s">
        <v>287</v>
      </c>
      <c r="D99" s="160" t="s">
        <v>287</v>
      </c>
      <c r="E99" s="192" t="s">
        <v>287</v>
      </c>
      <c r="F99" s="160" t="s">
        <v>287</v>
      </c>
      <c r="G99" s="192" t="s">
        <v>287</v>
      </c>
      <c r="H99" s="160" t="s">
        <v>287</v>
      </c>
      <c r="I99" s="192" t="s">
        <v>287</v>
      </c>
      <c r="J99" s="160" t="s">
        <v>287</v>
      </c>
      <c r="K99" s="192" t="s">
        <v>287</v>
      </c>
      <c r="L99" s="160" t="s">
        <v>287</v>
      </c>
      <c r="M99" s="192" t="s">
        <v>287</v>
      </c>
      <c r="N99" s="160" t="s">
        <v>287</v>
      </c>
      <c r="O99" s="192" t="s">
        <v>287</v>
      </c>
      <c r="P99" s="160" t="s">
        <v>287</v>
      </c>
      <c r="Q99" s="192" t="s">
        <v>287</v>
      </c>
      <c r="R99" s="160" t="s">
        <v>287</v>
      </c>
      <c r="S99" s="192" t="s">
        <v>287</v>
      </c>
      <c r="T99" s="160" t="s">
        <v>287</v>
      </c>
      <c r="U99" s="162" t="s">
        <v>287</v>
      </c>
      <c r="V99" s="160" t="s">
        <v>287</v>
      </c>
      <c r="W99" s="160" t="s">
        <v>287</v>
      </c>
      <c r="X99" s="160" t="s">
        <v>287</v>
      </c>
      <c r="Y99" s="160" t="s">
        <v>287</v>
      </c>
      <c r="Z99" s="160" t="s">
        <v>287</v>
      </c>
      <c r="AA99" s="160" t="s">
        <v>287</v>
      </c>
      <c r="AB99" s="160" t="s">
        <v>287</v>
      </c>
      <c r="AC99" s="206" t="s">
        <v>287</v>
      </c>
      <c r="AD99" s="145" t="s">
        <v>263</v>
      </c>
      <c r="AE99" s="181"/>
      <c r="AF99" s="181"/>
      <c r="AG99" s="131"/>
    </row>
    <row r="100" spans="1:33">
      <c r="A100" s="127" t="str">
        <f>VLOOKUP([1]ListOfRegions!A68,[1]ListOfRegions!A68:B142,2,0)</f>
        <v xml:space="preserve">  Πάρου</v>
      </c>
      <c r="B100" s="178">
        <f t="shared" si="37"/>
        <v>5</v>
      </c>
      <c r="C100" s="161" t="s">
        <v>287</v>
      </c>
      <c r="D100" s="160" t="s">
        <v>287</v>
      </c>
      <c r="E100" s="192" t="s">
        <v>287</v>
      </c>
      <c r="F100" s="160" t="s">
        <v>287</v>
      </c>
      <c r="G100" s="192" t="s">
        <v>287</v>
      </c>
      <c r="H100" s="160" t="s">
        <v>287</v>
      </c>
      <c r="I100" s="192" t="s">
        <v>287</v>
      </c>
      <c r="J100" s="160" t="s">
        <v>287</v>
      </c>
      <c r="K100" s="197">
        <v>5</v>
      </c>
      <c r="L100" s="170">
        <v>0.1</v>
      </c>
      <c r="M100" s="192" t="s">
        <v>287</v>
      </c>
      <c r="N100" s="160" t="s">
        <v>287</v>
      </c>
      <c r="O100" s="192" t="s">
        <v>287</v>
      </c>
      <c r="P100" s="160" t="s">
        <v>287</v>
      </c>
      <c r="Q100" s="192" t="s">
        <v>287</v>
      </c>
      <c r="R100" s="160" t="s">
        <v>287</v>
      </c>
      <c r="S100" s="192" t="s">
        <v>287</v>
      </c>
      <c r="T100" s="160" t="s">
        <v>287</v>
      </c>
      <c r="U100" s="162" t="s">
        <v>287</v>
      </c>
      <c r="V100" s="160" t="s">
        <v>287</v>
      </c>
      <c r="W100" s="160" t="s">
        <v>287</v>
      </c>
      <c r="X100" s="160" t="s">
        <v>287</v>
      </c>
      <c r="Y100" s="160" t="s">
        <v>287</v>
      </c>
      <c r="Z100" s="160" t="s">
        <v>287</v>
      </c>
      <c r="AA100" s="160" t="s">
        <v>287</v>
      </c>
      <c r="AB100" s="160" t="s">
        <v>287</v>
      </c>
      <c r="AC100" s="206" t="s">
        <v>287</v>
      </c>
      <c r="AD100" s="145" t="s">
        <v>264</v>
      </c>
      <c r="AE100" s="181"/>
      <c r="AF100" s="181"/>
      <c r="AG100" s="131"/>
    </row>
    <row r="101" spans="1:33">
      <c r="A101" s="127" t="str">
        <f>VLOOKUP([1]ListOfRegions!A69,[1]ListOfRegions!A69:B143,2,0)</f>
        <v xml:space="preserve">  Ρόδου</v>
      </c>
      <c r="B101" s="178">
        <f t="shared" si="37"/>
        <v>120</v>
      </c>
      <c r="C101" s="161" t="s">
        <v>287</v>
      </c>
      <c r="D101" s="160" t="s">
        <v>287</v>
      </c>
      <c r="E101" s="192" t="s">
        <v>287</v>
      </c>
      <c r="F101" s="160" t="s">
        <v>287</v>
      </c>
      <c r="G101" s="192" t="s">
        <v>287</v>
      </c>
      <c r="H101" s="160" t="s">
        <v>287</v>
      </c>
      <c r="I101" s="192" t="s">
        <v>287</v>
      </c>
      <c r="J101" s="160" t="s">
        <v>287</v>
      </c>
      <c r="K101" s="197">
        <v>98</v>
      </c>
      <c r="L101" s="170">
        <v>6.85</v>
      </c>
      <c r="M101" s="192" t="s">
        <v>287</v>
      </c>
      <c r="N101" s="160" t="s">
        <v>287</v>
      </c>
      <c r="O101" s="192" t="s">
        <v>287</v>
      </c>
      <c r="P101" s="160" t="s">
        <v>287</v>
      </c>
      <c r="Q101" s="192" t="s">
        <v>287</v>
      </c>
      <c r="R101" s="169">
        <v>15</v>
      </c>
      <c r="S101" s="201">
        <v>3.64</v>
      </c>
      <c r="T101" s="160" t="s">
        <v>287</v>
      </c>
      <c r="U101" s="162" t="s">
        <v>287</v>
      </c>
      <c r="V101" s="160" t="s">
        <v>287</v>
      </c>
      <c r="W101" s="160" t="s">
        <v>287</v>
      </c>
      <c r="X101" s="160" t="s">
        <v>287</v>
      </c>
      <c r="Y101" s="160" t="s">
        <v>287</v>
      </c>
      <c r="Z101" s="160" t="s">
        <v>287</v>
      </c>
      <c r="AA101" s="160" t="s">
        <v>287</v>
      </c>
      <c r="AB101" s="159">
        <v>7</v>
      </c>
      <c r="AC101" s="206" t="s">
        <v>287</v>
      </c>
      <c r="AD101" s="145" t="s">
        <v>265</v>
      </c>
      <c r="AE101" s="181"/>
      <c r="AF101" s="181"/>
      <c r="AG101" s="131"/>
    </row>
    <row r="102" spans="1:33">
      <c r="A102" s="127" t="str">
        <f>VLOOKUP([1]ListOfRegions!A70,[1]ListOfRegions!A70:B144,2,0)</f>
        <v xml:space="preserve">  Τήνου</v>
      </c>
      <c r="B102" s="178">
        <f t="shared" si="37"/>
        <v>0</v>
      </c>
      <c r="C102" s="161" t="s">
        <v>287</v>
      </c>
      <c r="D102" s="160" t="s">
        <v>287</v>
      </c>
      <c r="E102" s="192" t="s">
        <v>287</v>
      </c>
      <c r="F102" s="160" t="s">
        <v>287</v>
      </c>
      <c r="G102" s="192" t="s">
        <v>287</v>
      </c>
      <c r="H102" s="160" t="s">
        <v>287</v>
      </c>
      <c r="I102" s="192" t="s">
        <v>287</v>
      </c>
      <c r="J102" s="160" t="s">
        <v>287</v>
      </c>
      <c r="K102" s="192" t="s">
        <v>287</v>
      </c>
      <c r="L102" s="160" t="s">
        <v>287</v>
      </c>
      <c r="M102" s="192" t="s">
        <v>287</v>
      </c>
      <c r="N102" s="160" t="s">
        <v>287</v>
      </c>
      <c r="O102" s="192" t="s">
        <v>287</v>
      </c>
      <c r="P102" s="160" t="s">
        <v>287</v>
      </c>
      <c r="Q102" s="192" t="s">
        <v>287</v>
      </c>
      <c r="R102" s="160" t="s">
        <v>287</v>
      </c>
      <c r="S102" s="192" t="s">
        <v>287</v>
      </c>
      <c r="T102" s="160" t="s">
        <v>287</v>
      </c>
      <c r="U102" s="162" t="s">
        <v>287</v>
      </c>
      <c r="V102" s="160" t="s">
        <v>287</v>
      </c>
      <c r="W102" s="160" t="s">
        <v>287</v>
      </c>
      <c r="X102" s="160" t="s">
        <v>287</v>
      </c>
      <c r="Y102" s="160" t="s">
        <v>287</v>
      </c>
      <c r="Z102" s="160" t="s">
        <v>287</v>
      </c>
      <c r="AA102" s="160" t="s">
        <v>287</v>
      </c>
      <c r="AB102" s="160" t="s">
        <v>287</v>
      </c>
      <c r="AC102" s="206" t="s">
        <v>287</v>
      </c>
      <c r="AD102" s="145" t="s">
        <v>266</v>
      </c>
      <c r="AE102" s="181"/>
      <c r="AF102" s="181"/>
      <c r="AG102" s="131"/>
    </row>
    <row r="103" spans="1:33">
      <c r="A103" s="305" t="s">
        <v>267</v>
      </c>
      <c r="B103" s="238">
        <f>SUM(C103,E103,G103,I103,K103,M103,O103,R103,T103,V103,X103,Z103,AB103,AC103)</f>
        <v>438</v>
      </c>
      <c r="C103" s="306">
        <f>SUM(C105:C108)</f>
        <v>0</v>
      </c>
      <c r="D103" s="234">
        <f t="shared" ref="D103:N103" si="38">SUM(D105:D108)</f>
        <v>0</v>
      </c>
      <c r="E103" s="236">
        <f t="shared" si="38"/>
        <v>0</v>
      </c>
      <c r="F103" s="234">
        <f t="shared" si="38"/>
        <v>0</v>
      </c>
      <c r="G103" s="236">
        <f t="shared" si="38"/>
        <v>0</v>
      </c>
      <c r="H103" s="234">
        <f t="shared" si="38"/>
        <v>0</v>
      </c>
      <c r="I103" s="236">
        <f>SUM(I105:I108)</f>
        <v>0</v>
      </c>
      <c r="J103" s="234">
        <f>SUM(J105:J108)</f>
        <v>0</v>
      </c>
      <c r="K103" s="236">
        <f t="shared" si="38"/>
        <v>37</v>
      </c>
      <c r="L103" s="234">
        <f t="shared" si="38"/>
        <v>2.6399999999999997</v>
      </c>
      <c r="M103" s="236">
        <f t="shared" si="38"/>
        <v>7</v>
      </c>
      <c r="N103" s="234">
        <f t="shared" si="38"/>
        <v>3.5999999999999997E-4</v>
      </c>
      <c r="O103" s="237">
        <f>SUM(O105:O108)</f>
        <v>0</v>
      </c>
      <c r="P103" s="224">
        <f t="shared" ref="P103:W103" si="39">SUM(P105:P108)</f>
        <v>0</v>
      </c>
      <c r="Q103" s="237">
        <f t="shared" si="39"/>
        <v>0</v>
      </c>
      <c r="R103" s="224">
        <f t="shared" si="39"/>
        <v>42</v>
      </c>
      <c r="S103" s="237">
        <f t="shared" si="39"/>
        <v>11.6</v>
      </c>
      <c r="T103" s="224">
        <f t="shared" si="39"/>
        <v>2</v>
      </c>
      <c r="U103" s="237">
        <f t="shared" si="39"/>
        <v>2</v>
      </c>
      <c r="V103" s="309">
        <f t="shared" si="39"/>
        <v>0</v>
      </c>
      <c r="W103" s="224">
        <f t="shared" si="39"/>
        <v>0</v>
      </c>
      <c r="X103" s="224">
        <f t="shared" ref="X103:AC103" si="40">SUM(X105:X108)</f>
        <v>2</v>
      </c>
      <c r="Y103" s="224">
        <f t="shared" si="40"/>
        <v>0.7</v>
      </c>
      <c r="Z103" s="224">
        <f t="shared" si="40"/>
        <v>0</v>
      </c>
      <c r="AA103" s="224">
        <f t="shared" si="40"/>
        <v>0</v>
      </c>
      <c r="AB103" s="224">
        <f t="shared" si="40"/>
        <v>348</v>
      </c>
      <c r="AC103" s="225">
        <f t="shared" si="40"/>
        <v>0</v>
      </c>
      <c r="AD103" s="307" t="s">
        <v>268</v>
      </c>
      <c r="AE103" s="308"/>
      <c r="AF103" s="308"/>
      <c r="AG103" s="131"/>
    </row>
    <row r="104" spans="1:33">
      <c r="A104" s="305"/>
      <c r="B104" s="239"/>
      <c r="C104" s="306"/>
      <c r="D104" s="234"/>
      <c r="E104" s="236"/>
      <c r="F104" s="234"/>
      <c r="G104" s="236"/>
      <c r="H104" s="234"/>
      <c r="I104" s="236"/>
      <c r="J104" s="234"/>
      <c r="K104" s="236"/>
      <c r="L104" s="234"/>
      <c r="M104" s="236"/>
      <c r="N104" s="234"/>
      <c r="O104" s="237"/>
      <c r="P104" s="224"/>
      <c r="Q104" s="237"/>
      <c r="R104" s="224"/>
      <c r="S104" s="237"/>
      <c r="T104" s="224"/>
      <c r="U104" s="237"/>
      <c r="V104" s="309"/>
      <c r="W104" s="224"/>
      <c r="X104" s="224"/>
      <c r="Y104" s="224"/>
      <c r="Z104" s="224"/>
      <c r="AA104" s="224"/>
      <c r="AB104" s="224"/>
      <c r="AC104" s="225"/>
      <c r="AD104" s="307"/>
      <c r="AE104" s="308"/>
      <c r="AF104" s="308"/>
      <c r="AG104" s="131"/>
    </row>
    <row r="105" spans="1:33">
      <c r="A105" s="127" t="str">
        <f>VLOOKUP([1]ListOfRegions!A71,[1]ListOfRegions!A71:B145,2,0)</f>
        <v xml:space="preserve">  Ηρακλείου</v>
      </c>
      <c r="B105" s="178">
        <f>SUM(C105,E105,G105,I105,K105,M105,O105,R105,T105,V105,X105,Z105,AB105,AC105)</f>
        <v>356</v>
      </c>
      <c r="C105" s="161" t="s">
        <v>287</v>
      </c>
      <c r="D105" s="160" t="s">
        <v>287</v>
      </c>
      <c r="E105" s="192" t="s">
        <v>287</v>
      </c>
      <c r="F105" s="160" t="s">
        <v>287</v>
      </c>
      <c r="G105" s="192" t="s">
        <v>287</v>
      </c>
      <c r="H105" s="160" t="s">
        <v>287</v>
      </c>
      <c r="I105" s="192" t="s">
        <v>287</v>
      </c>
      <c r="J105" s="160" t="s">
        <v>287</v>
      </c>
      <c r="K105" s="183">
        <v>24</v>
      </c>
      <c r="L105" s="166">
        <v>1.94</v>
      </c>
      <c r="M105" s="190">
        <v>7</v>
      </c>
      <c r="N105" s="166">
        <v>3.5999999999999997E-4</v>
      </c>
      <c r="O105" s="192" t="s">
        <v>287</v>
      </c>
      <c r="P105" s="160" t="s">
        <v>287</v>
      </c>
      <c r="Q105" s="192" t="s">
        <v>287</v>
      </c>
      <c r="R105" s="167">
        <v>30</v>
      </c>
      <c r="S105" s="200">
        <v>2.4</v>
      </c>
      <c r="T105" s="160" t="s">
        <v>287</v>
      </c>
      <c r="U105" s="162" t="s">
        <v>287</v>
      </c>
      <c r="V105" s="160" t="s">
        <v>287</v>
      </c>
      <c r="W105" s="160" t="s">
        <v>287</v>
      </c>
      <c r="X105" s="160" t="s">
        <v>287</v>
      </c>
      <c r="Y105" s="160" t="s">
        <v>287</v>
      </c>
      <c r="Z105" s="160" t="s">
        <v>287</v>
      </c>
      <c r="AA105" s="160" t="s">
        <v>287</v>
      </c>
      <c r="AB105" s="167">
        <v>295</v>
      </c>
      <c r="AC105" s="206" t="s">
        <v>287</v>
      </c>
      <c r="AD105" s="145" t="s">
        <v>269</v>
      </c>
      <c r="AE105" s="181"/>
      <c r="AF105" s="181"/>
      <c r="AG105" s="131"/>
    </row>
    <row r="106" spans="1:33">
      <c r="A106" s="127" t="str">
        <f>VLOOKUP([1]ListOfRegions!A72,[1]ListOfRegions!A72:B146,2,0)</f>
        <v xml:space="preserve">  Λασιθίου</v>
      </c>
      <c r="B106" s="178">
        <f>SUM(C106,E106,G106,I106,K106,M106,O106,R106,T106,V106,X106,Z106,AB106,AC106)</f>
        <v>21</v>
      </c>
      <c r="C106" s="161" t="s">
        <v>287</v>
      </c>
      <c r="D106" s="160" t="s">
        <v>287</v>
      </c>
      <c r="E106" s="192" t="s">
        <v>287</v>
      </c>
      <c r="F106" s="160" t="s">
        <v>287</v>
      </c>
      <c r="G106" s="192" t="s">
        <v>287</v>
      </c>
      <c r="H106" s="160" t="s">
        <v>287</v>
      </c>
      <c r="I106" s="192" t="s">
        <v>287</v>
      </c>
      <c r="J106" s="160" t="s">
        <v>287</v>
      </c>
      <c r="K106" s="192" t="s">
        <v>287</v>
      </c>
      <c r="L106" s="160" t="s">
        <v>287</v>
      </c>
      <c r="M106" s="192" t="s">
        <v>287</v>
      </c>
      <c r="N106" s="160" t="s">
        <v>287</v>
      </c>
      <c r="O106" s="192" t="s">
        <v>287</v>
      </c>
      <c r="P106" s="160" t="s">
        <v>287</v>
      </c>
      <c r="Q106" s="192" t="s">
        <v>287</v>
      </c>
      <c r="R106" s="167">
        <v>2</v>
      </c>
      <c r="S106" s="200">
        <v>1</v>
      </c>
      <c r="T106" s="167">
        <v>2</v>
      </c>
      <c r="U106" s="172">
        <v>2</v>
      </c>
      <c r="V106" s="162" t="s">
        <v>287</v>
      </c>
      <c r="W106" s="160" t="s">
        <v>287</v>
      </c>
      <c r="X106" s="168">
        <v>2</v>
      </c>
      <c r="Y106" s="166">
        <v>0.7</v>
      </c>
      <c r="Z106" s="160" t="s">
        <v>287</v>
      </c>
      <c r="AA106" s="160" t="s">
        <v>287</v>
      </c>
      <c r="AB106" s="167">
        <v>15</v>
      </c>
      <c r="AC106" s="206" t="s">
        <v>287</v>
      </c>
      <c r="AD106" s="145" t="s">
        <v>270</v>
      </c>
      <c r="AE106" s="181"/>
      <c r="AF106" s="181"/>
      <c r="AG106" s="131"/>
    </row>
    <row r="107" spans="1:33">
      <c r="A107" s="127" t="str">
        <f>VLOOKUP([1]ListOfRegions!A73,[1]ListOfRegions!A73:B147,2,0)</f>
        <v xml:space="preserve">  Ρεθύμνης</v>
      </c>
      <c r="B107" s="178">
        <f>SUM(C107,E107,G107,I107,K107,M107,O107,R107,T107,V107,X107,Z107,AB107,AC107)</f>
        <v>52</v>
      </c>
      <c r="C107" s="161" t="s">
        <v>287</v>
      </c>
      <c r="D107" s="160" t="s">
        <v>287</v>
      </c>
      <c r="E107" s="192" t="s">
        <v>287</v>
      </c>
      <c r="F107" s="160" t="s">
        <v>287</v>
      </c>
      <c r="G107" s="192" t="s">
        <v>287</v>
      </c>
      <c r="H107" s="160" t="s">
        <v>287</v>
      </c>
      <c r="I107" s="192" t="s">
        <v>287</v>
      </c>
      <c r="J107" s="160" t="s">
        <v>287</v>
      </c>
      <c r="K107" s="197">
        <v>13</v>
      </c>
      <c r="L107" s="170">
        <v>0.7</v>
      </c>
      <c r="M107" s="192" t="s">
        <v>287</v>
      </c>
      <c r="N107" s="160" t="s">
        <v>287</v>
      </c>
      <c r="O107" s="192" t="s">
        <v>287</v>
      </c>
      <c r="P107" s="160" t="s">
        <v>287</v>
      </c>
      <c r="Q107" s="192" t="s">
        <v>287</v>
      </c>
      <c r="R107" s="167">
        <v>1</v>
      </c>
      <c r="S107" s="200">
        <v>0.2</v>
      </c>
      <c r="T107" s="160" t="s">
        <v>287</v>
      </c>
      <c r="U107" s="162" t="s">
        <v>287</v>
      </c>
      <c r="V107" s="160" t="s">
        <v>287</v>
      </c>
      <c r="W107" s="160" t="s">
        <v>287</v>
      </c>
      <c r="X107" s="160" t="s">
        <v>287</v>
      </c>
      <c r="Y107" s="160" t="s">
        <v>287</v>
      </c>
      <c r="Z107" s="160" t="s">
        <v>287</v>
      </c>
      <c r="AA107" s="160" t="s">
        <v>287</v>
      </c>
      <c r="AB107" s="167">
        <v>38</v>
      </c>
      <c r="AC107" s="206" t="s">
        <v>287</v>
      </c>
      <c r="AD107" s="145" t="s">
        <v>271</v>
      </c>
      <c r="AE107" s="181"/>
      <c r="AF107" s="181"/>
      <c r="AG107" s="131"/>
    </row>
    <row r="108" spans="1:33" ht="10.8" thickBot="1">
      <c r="A108" s="128" t="str">
        <f>VLOOKUP([1]ListOfRegions!A74,[1]ListOfRegions!A74:B148,2,0)</f>
        <v xml:space="preserve">  Χανίων</v>
      </c>
      <c r="B108" s="179">
        <f>SUM(C108,E108,G108,I108,K108,M108,O108,R108,T108,V108,X108,Z108,AB108,AC108)</f>
        <v>9</v>
      </c>
      <c r="C108" s="164" t="s">
        <v>287</v>
      </c>
      <c r="D108" s="163" t="s">
        <v>287</v>
      </c>
      <c r="E108" s="195" t="s">
        <v>287</v>
      </c>
      <c r="F108" s="163" t="s">
        <v>287</v>
      </c>
      <c r="G108" s="195" t="s">
        <v>287</v>
      </c>
      <c r="H108" s="163" t="s">
        <v>287</v>
      </c>
      <c r="I108" s="195" t="s">
        <v>287</v>
      </c>
      <c r="J108" s="163" t="s">
        <v>287</v>
      </c>
      <c r="K108" s="195" t="s">
        <v>287</v>
      </c>
      <c r="L108" s="163" t="s">
        <v>287</v>
      </c>
      <c r="M108" s="195" t="s">
        <v>287</v>
      </c>
      <c r="N108" s="163" t="s">
        <v>287</v>
      </c>
      <c r="O108" s="195" t="s">
        <v>287</v>
      </c>
      <c r="P108" s="163" t="s">
        <v>287</v>
      </c>
      <c r="Q108" s="195" t="s">
        <v>287</v>
      </c>
      <c r="R108" s="208">
        <v>9</v>
      </c>
      <c r="S108" s="209">
        <v>8</v>
      </c>
      <c r="T108" s="163" t="s">
        <v>287</v>
      </c>
      <c r="U108" s="203" t="s">
        <v>287</v>
      </c>
      <c r="V108" s="163" t="s">
        <v>287</v>
      </c>
      <c r="W108" s="163" t="s">
        <v>287</v>
      </c>
      <c r="X108" s="163" t="s">
        <v>287</v>
      </c>
      <c r="Y108" s="163" t="s">
        <v>287</v>
      </c>
      <c r="Z108" s="163" t="s">
        <v>287</v>
      </c>
      <c r="AA108" s="163" t="s">
        <v>287</v>
      </c>
      <c r="AB108" s="163" t="s">
        <v>287</v>
      </c>
      <c r="AC108" s="210" t="s">
        <v>287</v>
      </c>
      <c r="AD108" s="146" t="s">
        <v>272</v>
      </c>
      <c r="AE108" s="129"/>
      <c r="AF108" s="129"/>
      <c r="AG108" s="131"/>
    </row>
    <row r="109" spans="1:33">
      <c r="A109" s="127"/>
      <c r="B109" s="148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37"/>
      <c r="AE109" s="181"/>
      <c r="AF109" s="181"/>
      <c r="AG109" s="131"/>
    </row>
    <row r="110" spans="1:33">
      <c r="A110" s="157" t="s">
        <v>273</v>
      </c>
      <c r="AB110" s="121" t="s">
        <v>274</v>
      </c>
      <c r="AC110" s="121"/>
      <c r="AD110" s="147"/>
      <c r="AE110" s="147"/>
      <c r="AF110" s="147"/>
    </row>
    <row r="111" spans="1:33">
      <c r="A111" s="120" t="s">
        <v>279</v>
      </c>
      <c r="AB111" s="228" t="s">
        <v>281</v>
      </c>
      <c r="AC111" s="228"/>
      <c r="AD111" s="228"/>
      <c r="AE111" s="228"/>
      <c r="AF111" s="228"/>
    </row>
    <row r="112" spans="1:33">
      <c r="A112" s="120" t="s">
        <v>280</v>
      </c>
      <c r="B112" s="130"/>
      <c r="C112" s="130"/>
      <c r="Q112" s="171"/>
      <c r="AB112" s="227" t="s">
        <v>282</v>
      </c>
      <c r="AC112" s="227"/>
      <c r="AD112" s="227"/>
      <c r="AE112" s="227"/>
      <c r="AF112" s="227"/>
    </row>
    <row r="114" spans="1:14">
      <c r="A114" s="131"/>
    </row>
    <row r="115" spans="1:14">
      <c r="A115" s="131"/>
    </row>
    <row r="116" spans="1:14">
      <c r="A116" s="131"/>
    </row>
    <row r="117" spans="1:14">
      <c r="A117" s="131"/>
    </row>
    <row r="118" spans="1:14">
      <c r="A118" s="131"/>
    </row>
    <row r="119" spans="1:14">
      <c r="A119" s="131"/>
    </row>
    <row r="120" spans="1:14">
      <c r="A120" s="131"/>
    </row>
    <row r="121" spans="1:14">
      <c r="A121" s="131"/>
    </row>
    <row r="122" spans="1:14">
      <c r="A122" s="131"/>
    </row>
    <row r="123" spans="1:14">
      <c r="A123" s="131"/>
    </row>
    <row r="124" spans="1:14">
      <c r="A124" s="132"/>
    </row>
    <row r="125" spans="1:14" s="131" customFormat="1">
      <c r="A125" s="311"/>
      <c r="B125" s="311"/>
      <c r="C125" s="311"/>
      <c r="D125" s="311"/>
      <c r="E125" s="311"/>
      <c r="F125" s="311"/>
      <c r="G125" s="312"/>
      <c r="H125" s="312"/>
      <c r="I125" s="312"/>
      <c r="J125" s="312"/>
      <c r="K125" s="312"/>
      <c r="L125" s="312"/>
      <c r="M125" s="312"/>
      <c r="N125" s="312"/>
    </row>
    <row r="126" spans="1:14" s="131" customFormat="1">
      <c r="A126" s="311"/>
      <c r="B126" s="311"/>
      <c r="C126" s="311"/>
      <c r="D126" s="311"/>
      <c r="E126" s="311"/>
      <c r="F126" s="311"/>
      <c r="G126" s="312"/>
      <c r="H126" s="312"/>
      <c r="I126" s="312"/>
      <c r="J126" s="312"/>
      <c r="K126" s="312"/>
      <c r="L126" s="312"/>
      <c r="M126" s="312"/>
      <c r="N126" s="312"/>
    </row>
    <row r="127" spans="1:14" s="131" customFormat="1">
      <c r="A127" s="311"/>
      <c r="B127" s="311"/>
      <c r="C127" s="311"/>
      <c r="D127" s="311"/>
      <c r="E127" s="311"/>
      <c r="F127" s="311"/>
      <c r="G127" s="312"/>
      <c r="H127" s="312"/>
      <c r="I127" s="312"/>
      <c r="J127" s="312"/>
      <c r="K127" s="312"/>
      <c r="L127" s="312"/>
      <c r="M127" s="312"/>
      <c r="N127" s="312"/>
    </row>
    <row r="128" spans="1:14" s="131" customFormat="1">
      <c r="A128" s="133"/>
      <c r="F128" s="317"/>
      <c r="G128" s="317"/>
      <c r="H128" s="317"/>
      <c r="I128" s="317"/>
      <c r="J128" s="317"/>
      <c r="K128" s="317"/>
      <c r="L128" s="317"/>
      <c r="M128" s="317"/>
      <c r="N128" s="317"/>
    </row>
    <row r="129" spans="1:14" s="131" customFormat="1">
      <c r="A129" s="313"/>
      <c r="B129" s="262"/>
      <c r="C129" s="314"/>
      <c r="D129" s="314"/>
      <c r="E129" s="314"/>
      <c r="F129" s="262"/>
      <c r="G129" s="262"/>
      <c r="H129" s="262"/>
      <c r="I129" s="262"/>
      <c r="J129" s="262"/>
      <c r="K129" s="262"/>
      <c r="L129" s="262"/>
      <c r="M129" s="262"/>
      <c r="N129" s="262"/>
    </row>
    <row r="130" spans="1:14" s="131" customFormat="1">
      <c r="A130" s="313"/>
      <c r="B130" s="314"/>
      <c r="C130" s="314"/>
      <c r="D130" s="314"/>
      <c r="E130" s="314"/>
      <c r="F130" s="262"/>
      <c r="G130" s="262"/>
      <c r="H130" s="262"/>
      <c r="I130" s="262"/>
      <c r="J130" s="262"/>
      <c r="K130" s="262"/>
      <c r="L130" s="262"/>
      <c r="M130" s="262"/>
      <c r="N130" s="262"/>
    </row>
    <row r="131" spans="1:14" s="131" customFormat="1">
      <c r="A131" s="313"/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</row>
    <row r="132" spans="1:14" s="131" customFormat="1">
      <c r="A132" s="313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262"/>
    </row>
    <row r="133" spans="1:14" s="131" customFormat="1">
      <c r="A133" s="135"/>
      <c r="N133" s="156"/>
    </row>
    <row r="134" spans="1:14" s="131" customFormat="1">
      <c r="A134" s="136"/>
      <c r="N134" s="156"/>
    </row>
    <row r="135" spans="1:14" s="131" customFormat="1">
      <c r="A135" s="316"/>
      <c r="B135" s="310"/>
      <c r="C135" s="310"/>
      <c r="D135" s="310"/>
      <c r="E135" s="310"/>
      <c r="F135" s="310"/>
      <c r="G135" s="310"/>
      <c r="H135" s="310"/>
      <c r="I135" s="180"/>
      <c r="J135" s="180"/>
      <c r="K135" s="310"/>
      <c r="L135" s="310"/>
      <c r="M135" s="310"/>
      <c r="N135" s="301"/>
    </row>
    <row r="136" spans="1:14" s="131" customFormat="1">
      <c r="A136" s="316"/>
      <c r="B136" s="310"/>
      <c r="C136" s="310"/>
      <c r="D136" s="310"/>
      <c r="E136" s="310"/>
      <c r="F136" s="310"/>
      <c r="G136" s="310"/>
      <c r="H136" s="310"/>
      <c r="I136" s="180"/>
      <c r="J136" s="180"/>
      <c r="K136" s="310"/>
      <c r="L136" s="310"/>
      <c r="M136" s="310"/>
      <c r="N136" s="301"/>
    </row>
    <row r="137" spans="1:14" s="131" customFormat="1">
      <c r="A137" s="316"/>
      <c r="B137" s="310"/>
      <c r="C137" s="310"/>
      <c r="D137" s="310"/>
      <c r="E137" s="310"/>
      <c r="F137" s="310"/>
      <c r="G137" s="310"/>
      <c r="H137" s="310"/>
      <c r="I137" s="180"/>
      <c r="J137" s="180"/>
      <c r="K137" s="310"/>
      <c r="L137" s="310"/>
      <c r="M137" s="310"/>
      <c r="N137" s="301"/>
    </row>
    <row r="138" spans="1:14" s="131" customFormat="1">
      <c r="A138" s="136"/>
      <c r="F138" s="125"/>
      <c r="G138" s="125"/>
      <c r="N138" s="137"/>
    </row>
    <row r="139" spans="1:14" s="131" customFormat="1">
      <c r="A139" s="136"/>
      <c r="F139" s="125"/>
      <c r="G139" s="125"/>
      <c r="N139" s="137"/>
    </row>
    <row r="140" spans="1:14" s="131" customFormat="1">
      <c r="A140" s="136"/>
      <c r="F140" s="125"/>
      <c r="G140" s="125"/>
      <c r="N140" s="137"/>
    </row>
    <row r="141" spans="1:14" s="131" customFormat="1">
      <c r="A141" s="136"/>
      <c r="F141" s="125"/>
      <c r="G141" s="125"/>
      <c r="N141" s="137"/>
    </row>
    <row r="142" spans="1:14" s="131" customFormat="1">
      <c r="A142" s="136"/>
      <c r="F142" s="125"/>
      <c r="G142" s="125"/>
      <c r="N142" s="137"/>
    </row>
    <row r="143" spans="1:14" s="131" customFormat="1">
      <c r="A143" s="136"/>
      <c r="F143" s="125"/>
      <c r="G143" s="125"/>
      <c r="N143" s="137"/>
    </row>
    <row r="144" spans="1:14" s="131" customFormat="1">
      <c r="A144" s="316"/>
      <c r="N144" s="304"/>
    </row>
    <row r="145" spans="1:14" s="131" customFormat="1">
      <c r="A145" s="316"/>
      <c r="N145" s="304"/>
    </row>
    <row r="146" spans="1:14" s="131" customFormat="1">
      <c r="A146" s="136"/>
      <c r="F146" s="125"/>
      <c r="G146" s="125"/>
      <c r="N146" s="137"/>
    </row>
    <row r="147" spans="1:14" s="131" customFormat="1">
      <c r="A147" s="136"/>
      <c r="F147" s="125"/>
      <c r="G147" s="125"/>
      <c r="N147" s="137"/>
    </row>
    <row r="148" spans="1:14" s="131" customFormat="1">
      <c r="A148" s="136"/>
      <c r="F148" s="125"/>
      <c r="G148" s="125"/>
      <c r="N148" s="137"/>
    </row>
    <row r="149" spans="1:14" s="131" customFormat="1">
      <c r="A149" s="136"/>
      <c r="F149" s="125"/>
      <c r="G149" s="125"/>
      <c r="N149" s="137"/>
    </row>
    <row r="150" spans="1:14" s="131" customFormat="1">
      <c r="A150" s="136"/>
      <c r="F150" s="125"/>
      <c r="G150" s="125"/>
      <c r="N150" s="137"/>
    </row>
    <row r="151" spans="1:14" s="131" customFormat="1">
      <c r="A151" s="136"/>
      <c r="F151" s="125"/>
      <c r="G151" s="125"/>
      <c r="N151" s="137"/>
    </row>
    <row r="152" spans="1:14" s="131" customFormat="1">
      <c r="A152" s="136"/>
      <c r="F152" s="125"/>
      <c r="G152" s="125"/>
      <c r="N152" s="137"/>
    </row>
    <row r="153" spans="1:14" s="131" customFormat="1">
      <c r="A153" s="136"/>
      <c r="F153" s="125"/>
      <c r="G153" s="125"/>
      <c r="N153" s="137"/>
    </row>
    <row r="154" spans="1:14" s="131" customFormat="1">
      <c r="A154" s="136"/>
      <c r="F154" s="125"/>
      <c r="G154" s="125"/>
      <c r="N154" s="137"/>
    </row>
    <row r="155" spans="1:14" s="131" customFormat="1">
      <c r="A155" s="136"/>
      <c r="F155" s="125"/>
      <c r="G155" s="125"/>
      <c r="N155" s="137"/>
    </row>
    <row r="156" spans="1:14" s="131" customFormat="1">
      <c r="A156" s="136"/>
      <c r="F156" s="125"/>
      <c r="G156" s="125"/>
      <c r="N156" s="137"/>
    </row>
    <row r="157" spans="1:14" s="131" customFormat="1">
      <c r="A157" s="315"/>
      <c r="N157" s="308"/>
    </row>
    <row r="158" spans="1:14" s="131" customFormat="1">
      <c r="A158" s="315"/>
      <c r="N158" s="308"/>
    </row>
    <row r="159" spans="1:14" s="131" customFormat="1">
      <c r="A159" s="136"/>
      <c r="F159" s="125"/>
      <c r="G159" s="125"/>
      <c r="N159" s="137"/>
    </row>
    <row r="160" spans="1:14" s="131" customFormat="1">
      <c r="A160" s="136"/>
      <c r="F160" s="125"/>
      <c r="G160" s="125"/>
      <c r="N160" s="137"/>
    </row>
    <row r="161" spans="1:14" s="131" customFormat="1">
      <c r="A161" s="136"/>
      <c r="F161" s="125"/>
      <c r="G161" s="125"/>
      <c r="N161" s="137"/>
    </row>
    <row r="162" spans="1:14" s="131" customFormat="1">
      <c r="A162" s="136"/>
      <c r="F162" s="125"/>
      <c r="G162" s="125"/>
      <c r="N162" s="137"/>
    </row>
    <row r="163" spans="1:14" s="131" customFormat="1">
      <c r="A163" s="315"/>
      <c r="N163" s="308"/>
    </row>
    <row r="164" spans="1:14" s="131" customFormat="1">
      <c r="A164" s="315"/>
      <c r="N164" s="308"/>
    </row>
    <row r="165" spans="1:14" s="131" customFormat="1">
      <c r="A165" s="136"/>
      <c r="F165" s="125"/>
      <c r="G165" s="125"/>
      <c r="N165" s="137"/>
    </row>
    <row r="166" spans="1:14" s="131" customFormat="1">
      <c r="A166" s="136"/>
      <c r="F166" s="125"/>
      <c r="G166" s="125"/>
      <c r="N166" s="137"/>
    </row>
    <row r="167" spans="1:14" s="131" customFormat="1">
      <c r="A167" s="136"/>
      <c r="F167" s="125"/>
      <c r="G167" s="125"/>
      <c r="N167" s="137"/>
    </row>
    <row r="168" spans="1:14" s="131" customFormat="1">
      <c r="A168" s="136"/>
      <c r="F168" s="125"/>
      <c r="G168" s="125"/>
      <c r="N168" s="137"/>
    </row>
    <row r="169" spans="1:14" s="131" customFormat="1">
      <c r="A169" s="136"/>
      <c r="F169" s="125"/>
      <c r="G169" s="125"/>
      <c r="N169" s="137"/>
    </row>
    <row r="170" spans="1:14" s="131" customFormat="1">
      <c r="A170" s="315"/>
      <c r="N170" s="308"/>
    </row>
    <row r="171" spans="1:14" s="131" customFormat="1">
      <c r="A171" s="315"/>
      <c r="N171" s="308"/>
    </row>
    <row r="172" spans="1:14" s="131" customFormat="1">
      <c r="A172" s="136"/>
      <c r="F172" s="125"/>
      <c r="G172" s="125"/>
      <c r="N172" s="137"/>
    </row>
    <row r="173" spans="1:14" s="131" customFormat="1">
      <c r="A173" s="136"/>
      <c r="F173" s="125"/>
      <c r="G173" s="125"/>
      <c r="N173" s="137"/>
    </row>
    <row r="174" spans="1:14" s="131" customFormat="1">
      <c r="A174" s="136"/>
      <c r="F174" s="125"/>
      <c r="G174" s="125"/>
      <c r="N174" s="137"/>
    </row>
    <row r="175" spans="1:14" s="131" customFormat="1">
      <c r="A175" s="136"/>
      <c r="F175" s="125"/>
      <c r="G175" s="125"/>
      <c r="N175" s="137"/>
    </row>
    <row r="176" spans="1:14" s="131" customFormat="1">
      <c r="A176" s="136"/>
      <c r="F176" s="125"/>
      <c r="G176" s="125"/>
      <c r="N176" s="137"/>
    </row>
    <row r="177" spans="1:14" s="131" customFormat="1">
      <c r="A177" s="315"/>
      <c r="N177" s="308"/>
    </row>
    <row r="178" spans="1:14" s="131" customFormat="1">
      <c r="A178" s="315"/>
      <c r="N178" s="308"/>
    </row>
    <row r="179" spans="1:14" s="131" customFormat="1">
      <c r="A179" s="136"/>
      <c r="F179" s="125"/>
      <c r="G179" s="125"/>
      <c r="N179" s="137"/>
    </row>
    <row r="180" spans="1:14" s="131" customFormat="1">
      <c r="A180" s="136"/>
      <c r="F180" s="125"/>
      <c r="G180" s="125"/>
      <c r="N180" s="137"/>
    </row>
    <row r="181" spans="1:14" s="131" customFormat="1">
      <c r="A181" s="136"/>
      <c r="F181" s="125"/>
      <c r="G181" s="125"/>
      <c r="N181" s="137"/>
    </row>
    <row r="182" spans="1:14" s="131" customFormat="1">
      <c r="A182" s="136"/>
      <c r="F182" s="125"/>
      <c r="G182" s="125"/>
      <c r="N182" s="137"/>
    </row>
    <row r="183" spans="1:14" s="131" customFormat="1">
      <c r="A183" s="136"/>
      <c r="F183" s="125"/>
      <c r="G183" s="125"/>
      <c r="N183" s="137"/>
    </row>
    <row r="184" spans="1:14" s="131" customFormat="1">
      <c r="A184" s="315"/>
      <c r="N184" s="308"/>
    </row>
    <row r="185" spans="1:14" s="131" customFormat="1">
      <c r="A185" s="315"/>
      <c r="N185" s="308"/>
    </row>
    <row r="186" spans="1:14" s="131" customFormat="1">
      <c r="A186" s="136"/>
      <c r="F186" s="125"/>
      <c r="G186" s="125"/>
      <c r="N186" s="137"/>
    </row>
    <row r="187" spans="1:14" s="131" customFormat="1">
      <c r="A187" s="136"/>
      <c r="F187" s="125"/>
      <c r="G187" s="125"/>
      <c r="N187" s="137"/>
    </row>
    <row r="188" spans="1:14" s="131" customFormat="1">
      <c r="A188" s="136"/>
      <c r="F188" s="125"/>
      <c r="G188" s="125"/>
      <c r="N188" s="137"/>
    </row>
    <row r="189" spans="1:14" s="131" customFormat="1">
      <c r="A189" s="315"/>
      <c r="N189" s="308"/>
    </row>
    <row r="190" spans="1:14" s="131" customFormat="1">
      <c r="A190" s="315"/>
      <c r="N190" s="308"/>
    </row>
    <row r="191" spans="1:14" s="131" customFormat="1">
      <c r="A191" s="136"/>
      <c r="F191" s="125"/>
      <c r="G191" s="125"/>
      <c r="N191" s="137"/>
    </row>
    <row r="192" spans="1:14" s="131" customFormat="1">
      <c r="A192" s="136"/>
      <c r="F192" s="125"/>
      <c r="G192" s="125"/>
      <c r="N192" s="137"/>
    </row>
    <row r="193" spans="1:14" s="131" customFormat="1">
      <c r="A193" s="136"/>
      <c r="F193" s="125"/>
      <c r="G193" s="125"/>
      <c r="N193" s="137"/>
    </row>
    <row r="194" spans="1:14" s="131" customFormat="1">
      <c r="A194" s="136"/>
      <c r="F194" s="125"/>
      <c r="G194" s="125"/>
      <c r="N194" s="137"/>
    </row>
    <row r="195" spans="1:14" s="131" customFormat="1">
      <c r="A195" s="136"/>
      <c r="F195" s="125"/>
      <c r="G195" s="125"/>
      <c r="N195" s="137"/>
    </row>
    <row r="196" spans="1:14" s="131" customFormat="1">
      <c r="A196" s="315"/>
      <c r="N196" s="308"/>
    </row>
    <row r="197" spans="1:14" s="131" customFormat="1">
      <c r="A197" s="315"/>
      <c r="N197" s="308"/>
    </row>
    <row r="198" spans="1:14" s="131" customFormat="1">
      <c r="A198" s="136"/>
      <c r="F198" s="125"/>
      <c r="G198" s="125"/>
      <c r="N198" s="137"/>
    </row>
    <row r="199" spans="1:14" s="131" customFormat="1">
      <c r="A199" s="136"/>
      <c r="F199" s="125"/>
      <c r="G199" s="125"/>
      <c r="N199" s="137"/>
    </row>
    <row r="200" spans="1:14" s="131" customFormat="1">
      <c r="A200" s="136"/>
      <c r="F200" s="125"/>
      <c r="G200" s="125"/>
      <c r="N200" s="137"/>
    </row>
    <row r="201" spans="1:14" s="131" customFormat="1">
      <c r="A201" s="136"/>
      <c r="F201" s="125"/>
      <c r="G201" s="125"/>
      <c r="N201" s="137"/>
    </row>
    <row r="202" spans="1:14" s="131" customFormat="1">
      <c r="A202" s="136"/>
      <c r="F202" s="125"/>
      <c r="G202" s="125"/>
      <c r="N202" s="137"/>
    </row>
    <row r="203" spans="1:14" s="131" customFormat="1">
      <c r="A203" s="136"/>
      <c r="F203" s="125"/>
      <c r="G203" s="125"/>
      <c r="N203" s="137"/>
    </row>
    <row r="204" spans="1:14" s="131" customFormat="1">
      <c r="A204" s="136"/>
      <c r="F204" s="125"/>
      <c r="G204" s="125"/>
      <c r="N204" s="137"/>
    </row>
    <row r="205" spans="1:14" s="131" customFormat="1">
      <c r="A205" s="136"/>
      <c r="F205" s="125"/>
      <c r="G205" s="125"/>
      <c r="N205" s="137"/>
    </row>
    <row r="206" spans="1:14" s="131" customFormat="1">
      <c r="A206" s="315"/>
      <c r="N206" s="308"/>
    </row>
    <row r="207" spans="1:14" s="131" customFormat="1">
      <c r="A207" s="315"/>
      <c r="N207" s="308"/>
    </row>
    <row r="208" spans="1:14" s="131" customFormat="1">
      <c r="A208" s="136"/>
      <c r="F208" s="125"/>
      <c r="G208" s="125"/>
      <c r="N208" s="137"/>
    </row>
    <row r="209" spans="1:14" s="131" customFormat="1">
      <c r="A209" s="136"/>
      <c r="F209" s="125"/>
      <c r="G209" s="125"/>
      <c r="N209" s="137"/>
    </row>
    <row r="210" spans="1:14" s="131" customFormat="1">
      <c r="A210" s="136"/>
      <c r="F210" s="125"/>
      <c r="G210" s="125"/>
      <c r="N210" s="137"/>
    </row>
    <row r="211" spans="1:14" s="131" customFormat="1">
      <c r="A211" s="136"/>
      <c r="F211" s="125"/>
      <c r="G211" s="125"/>
      <c r="N211" s="137"/>
    </row>
    <row r="212" spans="1:14" s="131" customFormat="1">
      <c r="A212" s="136"/>
      <c r="F212" s="125"/>
      <c r="G212" s="125"/>
      <c r="N212" s="137"/>
    </row>
    <row r="213" spans="1:14" s="131" customFormat="1">
      <c r="A213" s="315"/>
      <c r="N213" s="308"/>
    </row>
    <row r="214" spans="1:14" s="131" customFormat="1">
      <c r="A214" s="315"/>
      <c r="N214" s="308"/>
    </row>
    <row r="215" spans="1:14" s="131" customFormat="1">
      <c r="A215" s="136"/>
      <c r="F215" s="125"/>
      <c r="G215" s="125"/>
      <c r="N215" s="137"/>
    </row>
    <row r="216" spans="1:14" s="131" customFormat="1">
      <c r="A216" s="136"/>
      <c r="F216" s="125"/>
      <c r="G216" s="125"/>
      <c r="N216" s="137"/>
    </row>
    <row r="217" spans="1:14" s="131" customFormat="1">
      <c r="A217" s="136"/>
      <c r="F217" s="125"/>
      <c r="G217" s="125"/>
      <c r="N217" s="137"/>
    </row>
    <row r="218" spans="1:14" s="131" customFormat="1">
      <c r="A218" s="136"/>
      <c r="F218" s="125"/>
      <c r="G218" s="125"/>
      <c r="N218" s="137"/>
    </row>
    <row r="219" spans="1:14" s="131" customFormat="1">
      <c r="A219" s="136"/>
      <c r="F219" s="125"/>
      <c r="G219" s="125"/>
      <c r="N219" s="137"/>
    </row>
    <row r="220" spans="1:14" s="131" customFormat="1">
      <c r="A220" s="136"/>
      <c r="F220" s="125"/>
      <c r="G220" s="125"/>
      <c r="N220" s="137"/>
    </row>
    <row r="221" spans="1:14" s="131" customFormat="1">
      <c r="A221" s="136"/>
      <c r="F221" s="125"/>
      <c r="G221" s="125"/>
      <c r="N221" s="137"/>
    </row>
    <row r="222" spans="1:14" s="131" customFormat="1">
      <c r="A222" s="136"/>
      <c r="F222" s="125"/>
      <c r="G222" s="125"/>
      <c r="N222" s="137"/>
    </row>
    <row r="223" spans="1:14" s="131" customFormat="1">
      <c r="A223" s="136"/>
      <c r="F223" s="125"/>
      <c r="G223" s="125"/>
      <c r="N223" s="137"/>
    </row>
    <row r="224" spans="1:14" s="131" customFormat="1">
      <c r="A224" s="136"/>
      <c r="F224" s="125"/>
      <c r="G224" s="125"/>
      <c r="N224" s="137"/>
    </row>
    <row r="225" spans="1:14" s="131" customFormat="1">
      <c r="A225" s="136"/>
      <c r="F225" s="125"/>
      <c r="G225" s="125"/>
      <c r="N225" s="137"/>
    </row>
    <row r="226" spans="1:14" s="131" customFormat="1">
      <c r="A226" s="136"/>
      <c r="F226" s="125"/>
      <c r="G226" s="125"/>
      <c r="N226" s="137"/>
    </row>
    <row r="227" spans="1:14" s="131" customFormat="1">
      <c r="A227" s="136"/>
      <c r="F227" s="125"/>
      <c r="G227" s="125"/>
      <c r="N227" s="137"/>
    </row>
    <row r="228" spans="1:14" s="131" customFormat="1">
      <c r="A228" s="315"/>
      <c r="N228" s="308"/>
    </row>
    <row r="229" spans="1:14" s="131" customFormat="1">
      <c r="A229" s="315"/>
      <c r="N229" s="308"/>
    </row>
    <row r="230" spans="1:14" s="131" customFormat="1">
      <c r="A230" s="136"/>
      <c r="F230" s="125"/>
      <c r="G230" s="125"/>
      <c r="N230" s="137"/>
    </row>
    <row r="231" spans="1:14" s="131" customFormat="1">
      <c r="A231" s="136"/>
      <c r="F231" s="125"/>
      <c r="G231" s="125"/>
      <c r="N231" s="137"/>
    </row>
    <row r="232" spans="1:14" s="131" customFormat="1">
      <c r="A232" s="136"/>
      <c r="F232" s="125"/>
      <c r="G232" s="125"/>
      <c r="N232" s="137"/>
    </row>
    <row r="233" spans="1:14" s="131" customFormat="1">
      <c r="A233" s="136"/>
      <c r="F233" s="125"/>
      <c r="G233" s="125"/>
      <c r="N233" s="137"/>
    </row>
    <row r="234" spans="1:14" s="131" customFormat="1">
      <c r="A234" s="136"/>
    </row>
    <row r="235" spans="1:14">
      <c r="A235" s="138"/>
    </row>
  </sheetData>
  <mergeCells count="459">
    <mergeCell ref="C6:D6"/>
    <mergeCell ref="E6:F6"/>
    <mergeCell ref="A189:A190"/>
    <mergeCell ref="N189:N190"/>
    <mergeCell ref="A196:A197"/>
    <mergeCell ref="N196:N197"/>
    <mergeCell ref="A144:A145"/>
    <mergeCell ref="A206:A207"/>
    <mergeCell ref="N206:N207"/>
    <mergeCell ref="A170:A171"/>
    <mergeCell ref="N170:N171"/>
    <mergeCell ref="A177:A178"/>
    <mergeCell ref="N177:N178"/>
    <mergeCell ref="A184:A185"/>
    <mergeCell ref="N184:N185"/>
    <mergeCell ref="N144:N145"/>
    <mergeCell ref="AA8:AA9"/>
    <mergeCell ref="Z8:Z9"/>
    <mergeCell ref="N135:N137"/>
    <mergeCell ref="F128:N128"/>
    <mergeCell ref="S103:S104"/>
    <mergeCell ref="T103:T104"/>
    <mergeCell ref="A213:A214"/>
    <mergeCell ref="N213:N214"/>
    <mergeCell ref="A228:A229"/>
    <mergeCell ref="N228:N229"/>
    <mergeCell ref="A157:A158"/>
    <mergeCell ref="N157:N158"/>
    <mergeCell ref="A163:A164"/>
    <mergeCell ref="N163:N164"/>
    <mergeCell ref="F135:F137"/>
    <mergeCell ref="G135:G137"/>
    <mergeCell ref="H135:H137"/>
    <mergeCell ref="K135:K137"/>
    <mergeCell ref="A135:A137"/>
    <mergeCell ref="B135:B137"/>
    <mergeCell ref="L135:L137"/>
    <mergeCell ref="M135:M137"/>
    <mergeCell ref="C135:C137"/>
    <mergeCell ref="D135:D137"/>
    <mergeCell ref="E135:E137"/>
    <mergeCell ref="A125:F127"/>
    <mergeCell ref="G125:N127"/>
    <mergeCell ref="J103:J104"/>
    <mergeCell ref="A103:A104"/>
    <mergeCell ref="C103:C104"/>
    <mergeCell ref="D103:D104"/>
    <mergeCell ref="E103:E104"/>
    <mergeCell ref="A129:A132"/>
    <mergeCell ref="B129:E130"/>
    <mergeCell ref="F129:G131"/>
    <mergeCell ref="H129:K131"/>
    <mergeCell ref="L129:M131"/>
    <mergeCell ref="N129:N132"/>
    <mergeCell ref="B131:C131"/>
    <mergeCell ref="D131:E131"/>
    <mergeCell ref="F103:F104"/>
    <mergeCell ref="B103:B104"/>
    <mergeCell ref="AA88:AA89"/>
    <mergeCell ref="Z88:Z89"/>
    <mergeCell ref="Y88:Y89"/>
    <mergeCell ref="G103:G104"/>
    <mergeCell ref="H103:H104"/>
    <mergeCell ref="K103:K104"/>
    <mergeCell ref="L103:L104"/>
    <mergeCell ref="M103:M104"/>
    <mergeCell ref="U103:U104"/>
    <mergeCell ref="V103:V104"/>
    <mergeCell ref="W103:W104"/>
    <mergeCell ref="X103:X104"/>
    <mergeCell ref="O103:O104"/>
    <mergeCell ref="P103:P104"/>
    <mergeCell ref="Q103:Q104"/>
    <mergeCell ref="R103:R104"/>
    <mergeCell ref="Y103:Y104"/>
    <mergeCell ref="N103:N104"/>
    <mergeCell ref="I103:I104"/>
    <mergeCell ref="X88:X89"/>
    <mergeCell ref="AD88:AF89"/>
    <mergeCell ref="N88:N89"/>
    <mergeCell ref="O88:O89"/>
    <mergeCell ref="P88:P89"/>
    <mergeCell ref="Q88:Q89"/>
    <mergeCell ref="R88:R89"/>
    <mergeCell ref="S88:S89"/>
    <mergeCell ref="AD103:AF104"/>
    <mergeCell ref="V88:V89"/>
    <mergeCell ref="W88:W89"/>
    <mergeCell ref="G88:G89"/>
    <mergeCell ref="H88:H89"/>
    <mergeCell ref="K88:K89"/>
    <mergeCell ref="L88:L89"/>
    <mergeCell ref="M88:M89"/>
    <mergeCell ref="AC88:AC89"/>
    <mergeCell ref="AB88:AB89"/>
    <mergeCell ref="I88:I89"/>
    <mergeCell ref="J88:J89"/>
    <mergeCell ref="T88:T89"/>
    <mergeCell ref="U88:U89"/>
    <mergeCell ref="A88:A89"/>
    <mergeCell ref="C88:C89"/>
    <mergeCell ref="D88:D89"/>
    <mergeCell ref="E88:E89"/>
    <mergeCell ref="O81:O82"/>
    <mergeCell ref="B88:B89"/>
    <mergeCell ref="F88:F89"/>
    <mergeCell ref="P81:P82"/>
    <mergeCell ref="Q81:Q82"/>
    <mergeCell ref="G81:G82"/>
    <mergeCell ref="H81:H82"/>
    <mergeCell ref="K81:K82"/>
    <mergeCell ref="L81:L82"/>
    <mergeCell ref="A81:A82"/>
    <mergeCell ref="C81:C82"/>
    <mergeCell ref="D81:D82"/>
    <mergeCell ref="E81:E82"/>
    <mergeCell ref="F81:F82"/>
    <mergeCell ref="M81:M82"/>
    <mergeCell ref="N81:N82"/>
    <mergeCell ref="I81:I82"/>
    <mergeCell ref="J81:J82"/>
    <mergeCell ref="AD71:AF72"/>
    <mergeCell ref="N71:N72"/>
    <mergeCell ref="O71:O72"/>
    <mergeCell ref="P71:P72"/>
    <mergeCell ref="Q71:Q72"/>
    <mergeCell ref="R71:R72"/>
    <mergeCell ref="S71:S72"/>
    <mergeCell ref="AB71:AB72"/>
    <mergeCell ref="X81:X82"/>
    <mergeCell ref="AD81:AF82"/>
    <mergeCell ref="T81:T82"/>
    <mergeCell ref="Z71:Z72"/>
    <mergeCell ref="Y71:Y72"/>
    <mergeCell ref="R81:R82"/>
    <mergeCell ref="S81:S82"/>
    <mergeCell ref="U81:U82"/>
    <mergeCell ref="V81:V82"/>
    <mergeCell ref="W81:W82"/>
    <mergeCell ref="W64:W65"/>
    <mergeCell ref="J71:J72"/>
    <mergeCell ref="I64:I65"/>
    <mergeCell ref="J64:J65"/>
    <mergeCell ref="T71:T72"/>
    <mergeCell ref="U71:U72"/>
    <mergeCell ref="V71:V72"/>
    <mergeCell ref="W71:W72"/>
    <mergeCell ref="X71:X72"/>
    <mergeCell ref="I71:I72"/>
    <mergeCell ref="F71:F72"/>
    <mergeCell ref="G71:G72"/>
    <mergeCell ref="H71:H72"/>
    <mergeCell ref="K71:K72"/>
    <mergeCell ref="L71:L72"/>
    <mergeCell ref="M71:M72"/>
    <mergeCell ref="U64:U65"/>
    <mergeCell ref="V64:V65"/>
    <mergeCell ref="X64:X65"/>
    <mergeCell ref="AD64:AF65"/>
    <mergeCell ref="A71:A72"/>
    <mergeCell ref="C71:C72"/>
    <mergeCell ref="D71:D72"/>
    <mergeCell ref="E71:E72"/>
    <mergeCell ref="O64:O65"/>
    <mergeCell ref="P64:P65"/>
    <mergeCell ref="Q64:Q65"/>
    <mergeCell ref="R64:R65"/>
    <mergeCell ref="S64:S65"/>
    <mergeCell ref="T64:T65"/>
    <mergeCell ref="G64:G65"/>
    <mergeCell ref="H64:H65"/>
    <mergeCell ref="K64:K65"/>
    <mergeCell ref="L64:L65"/>
    <mergeCell ref="M64:M65"/>
    <mergeCell ref="N64:N65"/>
    <mergeCell ref="A64:A65"/>
    <mergeCell ref="C64:C65"/>
    <mergeCell ref="D64:D65"/>
    <mergeCell ref="E64:E65"/>
    <mergeCell ref="F64:F65"/>
    <mergeCell ref="B64:B65"/>
    <mergeCell ref="W59:W60"/>
    <mergeCell ref="X59:X60"/>
    <mergeCell ref="AD59:AF60"/>
    <mergeCell ref="N59:N60"/>
    <mergeCell ref="O59:O60"/>
    <mergeCell ref="P59:P60"/>
    <mergeCell ref="Q59:Q60"/>
    <mergeCell ref="R59:R60"/>
    <mergeCell ref="S59:S60"/>
    <mergeCell ref="AC59:AC60"/>
    <mergeCell ref="AB59:AB60"/>
    <mergeCell ref="AA59:AA60"/>
    <mergeCell ref="Z59:Z60"/>
    <mergeCell ref="Y59:Y60"/>
    <mergeCell ref="A59:A60"/>
    <mergeCell ref="B59:B60"/>
    <mergeCell ref="H59:H60"/>
    <mergeCell ref="K59:K60"/>
    <mergeCell ref="L59:L60"/>
    <mergeCell ref="M59:M60"/>
    <mergeCell ref="U52:U53"/>
    <mergeCell ref="V52:V53"/>
    <mergeCell ref="P52:P53"/>
    <mergeCell ref="Q52:Q53"/>
    <mergeCell ref="R52:R53"/>
    <mergeCell ref="H52:H53"/>
    <mergeCell ref="F52:F53"/>
    <mergeCell ref="I52:I53"/>
    <mergeCell ref="J52:J53"/>
    <mergeCell ref="I59:I60"/>
    <mergeCell ref="J59:J60"/>
    <mergeCell ref="T59:T60"/>
    <mergeCell ref="U59:U60"/>
    <mergeCell ref="V59:V60"/>
    <mergeCell ref="X52:X53"/>
    <mergeCell ref="AD52:AF53"/>
    <mergeCell ref="S52:S53"/>
    <mergeCell ref="T52:T53"/>
    <mergeCell ref="AC52:AC53"/>
    <mergeCell ref="AB52:AB53"/>
    <mergeCell ref="A52:A53"/>
    <mergeCell ref="C52:C53"/>
    <mergeCell ref="D52:D53"/>
    <mergeCell ref="E52:E53"/>
    <mergeCell ref="B52:B53"/>
    <mergeCell ref="G52:G53"/>
    <mergeCell ref="W52:W53"/>
    <mergeCell ref="C59:C60"/>
    <mergeCell ref="D59:D60"/>
    <mergeCell ref="E59:E60"/>
    <mergeCell ref="O52:O53"/>
    <mergeCell ref="N45:N46"/>
    <mergeCell ref="O45:O46"/>
    <mergeCell ref="L45:L46"/>
    <mergeCell ref="M45:M46"/>
    <mergeCell ref="K52:K53"/>
    <mergeCell ref="L52:L53"/>
    <mergeCell ref="M52:M53"/>
    <mergeCell ref="N52:N53"/>
    <mergeCell ref="F59:F60"/>
    <mergeCell ref="G59:G60"/>
    <mergeCell ref="V45:V46"/>
    <mergeCell ref="W45:W46"/>
    <mergeCell ref="X45:X46"/>
    <mergeCell ref="AD45:AF46"/>
    <mergeCell ref="E38:E39"/>
    <mergeCell ref="F45:F46"/>
    <mergeCell ref="G45:G46"/>
    <mergeCell ref="H45:H46"/>
    <mergeCell ref="K45:K46"/>
    <mergeCell ref="I38:I39"/>
    <mergeCell ref="P45:P46"/>
    <mergeCell ref="Q45:Q46"/>
    <mergeCell ref="R45:R46"/>
    <mergeCell ref="S45:S46"/>
    <mergeCell ref="T45:T46"/>
    <mergeCell ref="U45:U46"/>
    <mergeCell ref="AD38:AF39"/>
    <mergeCell ref="S38:S39"/>
    <mergeCell ref="T38:T39"/>
    <mergeCell ref="U38:U39"/>
    <mergeCell ref="V38:V39"/>
    <mergeCell ref="W38:W39"/>
    <mergeCell ref="A45:A46"/>
    <mergeCell ref="B45:B46"/>
    <mergeCell ref="C45:C46"/>
    <mergeCell ref="D45:D46"/>
    <mergeCell ref="E45:E46"/>
    <mergeCell ref="O38:O39"/>
    <mergeCell ref="A38:A39"/>
    <mergeCell ref="B38:B39"/>
    <mergeCell ref="C38:C39"/>
    <mergeCell ref="D38:D39"/>
    <mergeCell ref="J38:J39"/>
    <mergeCell ref="I45:I46"/>
    <mergeCell ref="J45:J46"/>
    <mergeCell ref="R38:R39"/>
    <mergeCell ref="G38:G39"/>
    <mergeCell ref="H38:H39"/>
    <mergeCell ref="K38:K39"/>
    <mergeCell ref="L38:L39"/>
    <mergeCell ref="AD18:AF19"/>
    <mergeCell ref="A32:A33"/>
    <mergeCell ref="C32:C33"/>
    <mergeCell ref="D32:D33"/>
    <mergeCell ref="E32:E33"/>
    <mergeCell ref="O18:O19"/>
    <mergeCell ref="P18:P19"/>
    <mergeCell ref="Q18:Q19"/>
    <mergeCell ref="R18:R19"/>
    <mergeCell ref="S18:S19"/>
    <mergeCell ref="T18:T19"/>
    <mergeCell ref="G18:G19"/>
    <mergeCell ref="H18:H19"/>
    <mergeCell ref="K18:K19"/>
    <mergeCell ref="L18:L19"/>
    <mergeCell ref="M18:M19"/>
    <mergeCell ref="N18:N19"/>
    <mergeCell ref="A18:A19"/>
    <mergeCell ref="C18:C19"/>
    <mergeCell ref="D18:D19"/>
    <mergeCell ref="E18:E19"/>
    <mergeCell ref="F18:F19"/>
    <mergeCell ref="B18:B19"/>
    <mergeCell ref="AD32:AF33"/>
    <mergeCell ref="T10:T11"/>
    <mergeCell ref="U10:U11"/>
    <mergeCell ref="V10:V11"/>
    <mergeCell ref="W10:W11"/>
    <mergeCell ref="X10:X11"/>
    <mergeCell ref="AD10:AF11"/>
    <mergeCell ref="AC10:AC11"/>
    <mergeCell ref="AB10:AB11"/>
    <mergeCell ref="AA10:AA11"/>
    <mergeCell ref="Z10:Z11"/>
    <mergeCell ref="Y10:Y11"/>
    <mergeCell ref="Q10:Q11"/>
    <mergeCell ref="I10:I11"/>
    <mergeCell ref="J10:J11"/>
    <mergeCell ref="Q8:Q9"/>
    <mergeCell ref="E8:E9"/>
    <mergeCell ref="R10:R11"/>
    <mergeCell ref="C8:C9"/>
    <mergeCell ref="D8:D9"/>
    <mergeCell ref="S10:S11"/>
    <mergeCell ref="F10:F11"/>
    <mergeCell ref="G10:G11"/>
    <mergeCell ref="H10:H11"/>
    <mergeCell ref="K10:K11"/>
    <mergeCell ref="L10:L11"/>
    <mergeCell ref="M10:M11"/>
    <mergeCell ref="O8:O9"/>
    <mergeCell ref="P8:P9"/>
    <mergeCell ref="X4:Y6"/>
    <mergeCell ref="AB4:AB6"/>
    <mergeCell ref="Y8:Y9"/>
    <mergeCell ref="AC8:AC9"/>
    <mergeCell ref="AB8:AB9"/>
    <mergeCell ref="A10:A11"/>
    <mergeCell ref="B10:B11"/>
    <mergeCell ref="C10:C11"/>
    <mergeCell ref="D10:D11"/>
    <mergeCell ref="E10:E11"/>
    <mergeCell ref="R8:R9"/>
    <mergeCell ref="G8:G9"/>
    <mergeCell ref="H8:H9"/>
    <mergeCell ref="K8:K9"/>
    <mergeCell ref="L8:L9"/>
    <mergeCell ref="M8:M9"/>
    <mergeCell ref="N8:N9"/>
    <mergeCell ref="A8:A9"/>
    <mergeCell ref="B8:B9"/>
    <mergeCell ref="N10:N11"/>
    <mergeCell ref="O10:O11"/>
    <mergeCell ref="P10:P11"/>
    <mergeCell ref="O3:R3"/>
    <mergeCell ref="V4:W6"/>
    <mergeCell ref="AC4:AC6"/>
    <mergeCell ref="G6:H6"/>
    <mergeCell ref="I6:J6"/>
    <mergeCell ref="G4:J5"/>
    <mergeCell ref="A4:A7"/>
    <mergeCell ref="F8:F9"/>
    <mergeCell ref="AD4:AF7"/>
    <mergeCell ref="O4:Q5"/>
    <mergeCell ref="R4:S6"/>
    <mergeCell ref="T4:U6"/>
    <mergeCell ref="W8:W9"/>
    <mergeCell ref="X8:X9"/>
    <mergeCell ref="AD8:AF9"/>
    <mergeCell ref="Z4:AA6"/>
    <mergeCell ref="B4:B7"/>
    <mergeCell ref="C4:F5"/>
    <mergeCell ref="K4:L6"/>
    <mergeCell ref="M4:N6"/>
    <mergeCell ref="U8:U9"/>
    <mergeCell ref="V8:V9"/>
    <mergeCell ref="S8:S9"/>
    <mergeCell ref="T8:T9"/>
    <mergeCell ref="B32:B33"/>
    <mergeCell ref="T32:T33"/>
    <mergeCell ref="U32:U33"/>
    <mergeCell ref="B71:B72"/>
    <mergeCell ref="B81:B82"/>
    <mergeCell ref="AC32:AC33"/>
    <mergeCell ref="AB32:AB33"/>
    <mergeCell ref="AA32:AA33"/>
    <mergeCell ref="Z32:Z33"/>
    <mergeCell ref="Y32:Y33"/>
    <mergeCell ref="AC38:AC39"/>
    <mergeCell ref="AB38:AB39"/>
    <mergeCell ref="AA38:AA39"/>
    <mergeCell ref="AA45:AA46"/>
    <mergeCell ref="Z45:Z46"/>
    <mergeCell ref="Y45:Y46"/>
    <mergeCell ref="F32:F33"/>
    <mergeCell ref="G32:G33"/>
    <mergeCell ref="H32:H33"/>
    <mergeCell ref="K32:K33"/>
    <mergeCell ref="L32:L33"/>
    <mergeCell ref="I32:I33"/>
    <mergeCell ref="J32:J33"/>
    <mergeCell ref="N32:N33"/>
    <mergeCell ref="X18:X19"/>
    <mergeCell ref="U18:U19"/>
    <mergeCell ref="V18:V19"/>
    <mergeCell ref="W18:W19"/>
    <mergeCell ref="I18:I19"/>
    <mergeCell ref="J18:J19"/>
    <mergeCell ref="F38:F39"/>
    <mergeCell ref="M32:M33"/>
    <mergeCell ref="X38:X39"/>
    <mergeCell ref="P38:P39"/>
    <mergeCell ref="Q38:Q39"/>
    <mergeCell ref="O32:O33"/>
    <mergeCell ref="P32:P33"/>
    <mergeCell ref="Q32:Q33"/>
    <mergeCell ref="R32:R33"/>
    <mergeCell ref="S32:S33"/>
    <mergeCell ref="V32:V33"/>
    <mergeCell ref="W32:W33"/>
    <mergeCell ref="X32:X33"/>
    <mergeCell ref="M38:M39"/>
    <mergeCell ref="N38:N39"/>
    <mergeCell ref="Y64:Y65"/>
    <mergeCell ref="AC18:AC19"/>
    <mergeCell ref="AB18:AB19"/>
    <mergeCell ref="AA18:AA19"/>
    <mergeCell ref="Z18:Z19"/>
    <mergeCell ref="Y18:Y19"/>
    <mergeCell ref="Z38:Z39"/>
    <mergeCell ref="Y38:Y39"/>
    <mergeCell ref="AC45:AC46"/>
    <mergeCell ref="AB45:AB46"/>
    <mergeCell ref="Y81:Y82"/>
    <mergeCell ref="AC103:AC104"/>
    <mergeCell ref="S1:AA1"/>
    <mergeCell ref="A1:H1"/>
    <mergeCell ref="AB112:AF112"/>
    <mergeCell ref="AB111:AF111"/>
    <mergeCell ref="AC81:AC82"/>
    <mergeCell ref="AB81:AB82"/>
    <mergeCell ref="AA81:AA82"/>
    <mergeCell ref="Z81:Z82"/>
    <mergeCell ref="AA52:AA53"/>
    <mergeCell ref="Z52:Z53"/>
    <mergeCell ref="Y52:Y53"/>
    <mergeCell ref="AC71:AC72"/>
    <mergeCell ref="J8:J9"/>
    <mergeCell ref="I8:I9"/>
    <mergeCell ref="AA71:AA72"/>
    <mergeCell ref="AC64:AC65"/>
    <mergeCell ref="AB64:AB65"/>
    <mergeCell ref="AA64:AA65"/>
    <mergeCell ref="Z64:Z65"/>
    <mergeCell ref="AB103:AB104"/>
    <mergeCell ref="AA103:AA104"/>
    <mergeCell ref="Z103:Z104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6:O12"/>
  <sheetViews>
    <sheetView workbookViewId="0">
      <selection activeCell="F9" sqref="F9"/>
    </sheetView>
  </sheetViews>
  <sheetFormatPr defaultRowHeight="14.4"/>
  <cols>
    <col min="1" max="1" width="8.88671875" style="149"/>
    <col min="2" max="2" width="9.109375" style="149" bestFit="1" customWidth="1"/>
    <col min="3" max="5" width="8.88671875" style="149"/>
    <col min="6" max="6" width="9.109375" style="149" bestFit="1" customWidth="1"/>
    <col min="7" max="16384" width="8.88671875" style="149"/>
  </cols>
  <sheetData>
    <row r="6" spans="2:15"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</row>
    <row r="7" spans="2:15"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</row>
    <row r="10" spans="2:15">
      <c r="B10" s="150"/>
    </row>
    <row r="12" spans="2:15">
      <c r="F12" s="1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2015-05-04T11:17:29Z</dcterms:created>
  <dcterms:modified xsi:type="dcterms:W3CDTF">2017-01-20T15:03:18Z</dcterms:modified>
</cp:coreProperties>
</file>