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0" yWindow="276" windowWidth="12192" windowHeight="6624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B6" i="1"/>
  <c r="B5" s="1"/>
  <c r="C6"/>
  <c r="C5" s="1"/>
  <c r="D6"/>
  <c r="D5" s="1"/>
  <c r="E6"/>
  <c r="E5" s="1"/>
  <c r="F6"/>
  <c r="F5" s="1"/>
  <c r="G6"/>
  <c r="G5" s="1"/>
  <c r="H6"/>
  <c r="H5" s="1"/>
  <c r="I6"/>
  <c r="I5" s="1"/>
  <c r="J6"/>
  <c r="J5" s="1"/>
  <c r="K6"/>
  <c r="K5" s="1"/>
  <c r="L6"/>
  <c r="L5" s="1"/>
  <c r="M6"/>
  <c r="M5" s="1"/>
  <c r="N6"/>
  <c r="N5" s="1"/>
  <c r="B13"/>
  <c r="C13"/>
  <c r="D13"/>
  <c r="E13"/>
  <c r="F13"/>
  <c r="G13"/>
  <c r="H13"/>
  <c r="I13"/>
  <c r="J13"/>
  <c r="K13"/>
  <c r="L13"/>
  <c r="M13"/>
  <c r="N13"/>
  <c r="B21"/>
  <c r="C21"/>
  <c r="D21"/>
  <c r="E21"/>
  <c r="F21"/>
  <c r="G21"/>
  <c r="H21"/>
  <c r="I21"/>
  <c r="J21"/>
  <c r="K21"/>
  <c r="L21"/>
  <c r="M21"/>
  <c r="N21"/>
  <c r="B26"/>
  <c r="C26"/>
  <c r="D26"/>
  <c r="E26"/>
  <c r="F26"/>
  <c r="G26"/>
  <c r="H26"/>
  <c r="I26"/>
  <c r="J26"/>
  <c r="K26"/>
  <c r="L26"/>
  <c r="M26"/>
  <c r="N26"/>
  <c r="B31"/>
  <c r="C31"/>
  <c r="D31"/>
  <c r="E31"/>
  <c r="F31"/>
  <c r="G31"/>
  <c r="H31"/>
  <c r="I31"/>
  <c r="J31"/>
  <c r="K31"/>
  <c r="L31"/>
  <c r="M31"/>
  <c r="N31"/>
  <c r="B37"/>
  <c r="C37"/>
  <c r="D37"/>
  <c r="E37"/>
  <c r="F37"/>
  <c r="G37"/>
  <c r="H37"/>
  <c r="I37"/>
  <c r="J37"/>
  <c r="K37"/>
  <c r="L37"/>
  <c r="M37"/>
  <c r="N37"/>
  <c r="B43"/>
  <c r="C43"/>
  <c r="D43"/>
  <c r="E43"/>
  <c r="F43"/>
  <c r="G43"/>
  <c r="H43"/>
  <c r="I43"/>
  <c r="J43"/>
  <c r="K43"/>
  <c r="L43"/>
  <c r="M43"/>
  <c r="N43"/>
  <c r="B49"/>
  <c r="C49"/>
  <c r="D49"/>
  <c r="E49"/>
  <c r="F49"/>
  <c r="G49"/>
  <c r="H49"/>
  <c r="I49"/>
  <c r="J49"/>
  <c r="K49"/>
  <c r="L49"/>
  <c r="M49"/>
  <c r="N49"/>
  <c r="B53"/>
  <c r="C53"/>
  <c r="D53"/>
  <c r="E53"/>
  <c r="F53"/>
  <c r="G53"/>
  <c r="H53"/>
  <c r="I53"/>
  <c r="J53"/>
  <c r="K53"/>
  <c r="L53"/>
  <c r="M53"/>
  <c r="N53"/>
  <c r="B59"/>
  <c r="C59"/>
  <c r="D59"/>
  <c r="E59"/>
  <c r="F59"/>
  <c r="G59"/>
  <c r="H59"/>
  <c r="I59"/>
  <c r="J59"/>
  <c r="K59"/>
  <c r="L59"/>
  <c r="M59"/>
  <c r="N59"/>
  <c r="B64"/>
  <c r="C64"/>
  <c r="D64"/>
  <c r="E64"/>
  <c r="F64"/>
  <c r="G64"/>
  <c r="H64"/>
  <c r="I64"/>
  <c r="J64"/>
  <c r="K64"/>
  <c r="L64"/>
  <c r="M64"/>
  <c r="N64"/>
  <c r="B70"/>
  <c r="C70"/>
  <c r="D70"/>
  <c r="E70"/>
  <c r="F70"/>
  <c r="G70"/>
  <c r="H70"/>
  <c r="I70"/>
  <c r="J70"/>
  <c r="K70"/>
  <c r="L70"/>
  <c r="M70"/>
  <c r="N70"/>
  <c r="B84"/>
  <c r="C84"/>
  <c r="D84"/>
  <c r="E84"/>
  <c r="F84"/>
  <c r="G84"/>
  <c r="H84"/>
  <c r="I84"/>
  <c r="J84"/>
  <c r="K84"/>
  <c r="L84"/>
  <c r="M84"/>
  <c r="N84"/>
</calcChain>
</file>

<file path=xl/sharedStrings.xml><?xml version="1.0" encoding="utf-8"?>
<sst xmlns="http://schemas.openxmlformats.org/spreadsheetml/2006/main" count="650" uniqueCount="187">
  <si>
    <t>Πίνακας 2γ. Κτηνοτροφικά όσπρια. Εκτάσεις και παραγωγή, κατά Περιφέρεια και περιφερειακή ενότητα: 2013</t>
  </si>
  <si>
    <t>Table 2c. Fodder seeds. Areas and production, by Regions and Regional Unities: 2013</t>
  </si>
  <si>
    <t>Εκτάσεις σε στρέμματα, παραγωγή σε τόνους</t>
  </si>
  <si>
    <t>Areas in stremmas, production in tons</t>
  </si>
  <si>
    <t>Περιφέρειες και Περιφερειακές Ενότητες</t>
  </si>
  <si>
    <t>Σύνολο Εκτάσεων 
Total Area</t>
  </si>
  <si>
    <t>Βίκος - Veltch</t>
  </si>
  <si>
    <t>Ρόβι - Bitter Veltch</t>
  </si>
  <si>
    <t>Λούπινα - Lupine</t>
  </si>
  <si>
    <t>Λαθούρια Veltching (Lathyrus)</t>
  </si>
  <si>
    <t>Σπόρος τριφυλλιών - Clover seeds</t>
  </si>
  <si>
    <r>
      <t>Λοιπά</t>
    </r>
    <r>
      <rPr>
        <vertAlign val="superscript"/>
        <sz val="8"/>
        <rFont val="Arial"/>
        <family val="2"/>
        <charset val="161"/>
      </rPr>
      <t>(1)</t>
    </r>
    <r>
      <rPr>
        <sz val="8"/>
        <rFont val="Arial"/>
        <family val="2"/>
        <charset val="161"/>
      </rPr>
      <t xml:space="preserve"> - Other</t>
    </r>
    <r>
      <rPr>
        <vertAlign val="superscript"/>
        <sz val="8"/>
        <rFont val="Arial"/>
        <family val="2"/>
        <charset val="161"/>
      </rPr>
      <t>(1)</t>
    </r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</si>
  <si>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</si>
  <si>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</si>
  <si>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</si>
  <si>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</si>
  <si>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</si>
  <si>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</si>
  <si>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>—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</si>
  <si>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</si>
  <si>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</si>
  <si>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</si>
  <si>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</si>
  <si>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</si>
  <si>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</si>
  <si>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</si>
  <si>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</si>
  <si>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</si>
  <si>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</si>
  <si>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</si>
  <si>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</si>
  <si>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</si>
  <si>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</si>
  <si>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</si>
  <si>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</si>
  <si>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</si>
  <si>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</si>
  <si>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</si>
  <si>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</si>
  <si>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</si>
  <si>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</si>
  <si>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</si>
  <si>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</si>
  <si>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</si>
  <si>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</si>
  <si>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</si>
  <si>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>Περιφέρεια Δυτικής Μακεδονίας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</si>
  <si>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</si>
  <si>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</si>
  <si>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</si>
  <si>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</si>
  <si>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</si>
  <si>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</si>
  <si>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</si>
  <si>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</si>
  <si>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</si>
  <si>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</si>
  <si>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</si>
  <si>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</si>
  <si>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</si>
  <si>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</si>
  <si>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</si>
  <si>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</si>
  <si>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</si>
  <si>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</si>
  <si>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</si>
  <si>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</si>
  <si>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</si>
  <si>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</si>
  <si>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</si>
  <si>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</si>
  <si>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</si>
  <si>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</si>
  <si>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</si>
  <si>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</si>
  <si>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</si>
  <si>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</si>
  <si>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</si>
  <si>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</si>
  <si>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</si>
  <si>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</si>
  <si>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</si>
  <si>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</si>
  <si>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</si>
  <si>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</si>
  <si>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</si>
  <si>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</si>
  <si>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</si>
  <si>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</si>
  <si>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</si>
  <si>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</si>
  <si>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</si>
  <si>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</si>
  <si>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</si>
  <si>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</si>
  <si>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</si>
  <si>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</si>
  <si>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</si>
  <si>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</si>
  <si>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</si>
  <si>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</si>
  <si>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</si>
  <si>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</si>
  <si>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</si>
  <si>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</si>
  <si>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</si>
  <si>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</si>
  <si>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</si>
  <si>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</si>
  <si>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</si>
  <si>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</si>
  <si>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</si>
  <si>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</si>
  <si>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</si>
  <si>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</si>
  <si>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</si>
  <si>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</si>
  <si>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</si>
  <si>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</si>
  <si>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</si>
  <si>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</si>
  <si>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</si>
  <si>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</si>
  <si>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 xml:space="preserve">  Ανατολικής Αττικής</t>
  </si>
  <si>
    <t xml:space="preserve">  Athens East Section</t>
  </si>
  <si>
    <t xml:space="preserve">  Δυτικής Αττικής</t>
  </si>
  <si>
    <t xml:space="preserve">  West Attica</t>
  </si>
  <si>
    <t xml:space="preserve">  Πειραιώς</t>
  </si>
  <si>
    <t xml:space="preserve">  Pireaus</t>
  </si>
  <si>
    <t xml:space="preserve">  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</si>
  <si>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</si>
  <si>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</si>
  <si>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</si>
  <si>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</si>
  <si>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</si>
  <si>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</si>
  <si>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</si>
  <si>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</si>
  <si>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</si>
  <si>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</si>
  <si>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</si>
  <si>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</si>
  <si>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</si>
  <si>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</si>
  <si>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</si>
  <si>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</si>
  <si>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</si>
  <si>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</si>
  <si>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</si>
  <si>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</si>
  <si>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</si>
  <si>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</si>
  <si>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</si>
  <si>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</si>
  <si>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</si>
  <si>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</si>
  <si>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</si>
  <si>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</si>
  <si>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</si>
  <si>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</si>
  <si>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</si>
  <si>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</si>
  <si>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</si>
  <si>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</si>
  <si>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</si>
  <si>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</si>
  <si>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</si>
  <si>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</si>
  <si>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</si>
  <si>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</si>
  <si>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</si>
  <si>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</si>
  <si>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</si>
  <si>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</si>
  <si>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</si>
  <si>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</si>
  <si>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</si>
  <si>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</si>
  <si>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</si>
  <si>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</si>
  <si>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</si>
  <si>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1=εκτάσεις,  2=παραγωγή</t>
  </si>
  <si>
    <t>1=areas  2=production</t>
  </si>
  <si>
    <t>(1) Μπιζέλια, κουκιά, φακή και λοιπά φυτά για καρπό</t>
  </si>
  <si>
    <t>(1) Peas, Broad beans, lentil and other fodder plants for seed</t>
  </si>
  <si>
    <t>―</t>
  </si>
  <si>
    <t>Region of Western Macedonia</t>
  </si>
</sst>
</file>

<file path=xl/styles.xml><?xml version="1.0" encoding="utf-8"?>
<styleSheet xmlns="http://schemas.openxmlformats.org/spreadsheetml/2006/main">
  <fonts count="13">
    <font>
      <sz val="10"/>
      <name val="Arial"/>
      <charset val="161"/>
    </font>
    <font>
      <b/>
      <sz val="8"/>
      <name val="Arial"/>
      <family val="2"/>
      <charset val="161"/>
    </font>
    <font>
      <sz val="8"/>
      <color indexed="8"/>
      <name val="Arial"/>
      <family val="2"/>
      <charset val="161"/>
    </font>
    <font>
      <sz val="8"/>
      <name val="Arial"/>
      <family val="2"/>
      <charset val="161"/>
    </font>
    <font>
      <vertAlign val="superscript"/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11"/>
      <color indexed="8"/>
      <name val="Arial"/>
      <family val="2"/>
      <charset val="161"/>
    </font>
    <font>
      <sz val="8"/>
      <color indexed="8"/>
      <name val="Calibri"/>
      <family val="2"/>
      <charset val="161"/>
    </font>
    <font>
      <sz val="8"/>
      <color indexed="8"/>
      <name val="Arial"/>
      <family val="2"/>
      <charset val="161"/>
    </font>
    <font>
      <sz val="8"/>
      <color indexed="8"/>
      <name val="Tahoma"/>
      <family val="2"/>
      <charset val="161"/>
    </font>
    <font>
      <sz val="8"/>
      <name val="Tahoma"/>
      <family val="2"/>
      <charset val="161"/>
    </font>
    <font>
      <b/>
      <sz val="9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Protection="1">
      <protection locked="0"/>
    </xf>
    <xf numFmtId="0" fontId="3" fillId="0" borderId="1" xfId="0" applyNumberFormat="1" applyFont="1" applyFill="1" applyBorder="1" applyAlignment="1" applyProtection="1">
      <alignment horizontal="left"/>
      <protection locked="0"/>
    </xf>
    <xf numFmtId="0" fontId="3" fillId="0" borderId="1" xfId="0" applyNumberFormat="1" applyFont="1" applyFill="1" applyBorder="1" applyAlignment="1" applyProtection="1">
      <protection locked="0"/>
    </xf>
    <xf numFmtId="0" fontId="3" fillId="0" borderId="1" xfId="0" applyNumberFormat="1" applyFont="1" applyFill="1" applyBorder="1" applyAlignment="1" applyProtection="1">
      <alignment horizontal="centerContinuous"/>
      <protection locked="0"/>
    </xf>
    <xf numFmtId="0" fontId="2" fillId="0" borderId="0" xfId="0" applyFont="1" applyBorder="1" applyProtection="1">
      <protection locked="0"/>
    </xf>
    <xf numFmtId="0" fontId="3" fillId="0" borderId="0" xfId="0" applyNumberFormat="1" applyFont="1" applyFill="1" applyBorder="1" applyAlignment="1" applyProtection="1">
      <protection locked="0"/>
    </xf>
    <xf numFmtId="0" fontId="3" fillId="0" borderId="2" xfId="0" applyNumberFormat="1" applyFont="1" applyFill="1" applyBorder="1" applyAlignment="1" applyProtection="1">
      <alignment horizontal="centerContinuous" vertical="center" wrapText="1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1" fillId="0" borderId="4" xfId="0" applyNumberFormat="1" applyFont="1" applyFill="1" applyBorder="1" applyAlignment="1" applyProtection="1">
      <alignment vertical="center" wrapText="1"/>
      <protection locked="0"/>
    </xf>
    <xf numFmtId="0" fontId="2" fillId="0" borderId="0" xfId="0" applyFont="1" applyAlignment="1" applyProtection="1">
      <protection locked="0"/>
    </xf>
    <xf numFmtId="49" fontId="2" fillId="0" borderId="0" xfId="0" applyNumberFormat="1" applyFont="1" applyAlignment="1" applyProtection="1">
      <alignment horizontal="left" wrapText="1"/>
      <protection locked="0"/>
    </xf>
    <xf numFmtId="3" fontId="3" fillId="0" borderId="0" xfId="0" applyNumberFormat="1" applyFont="1" applyFill="1" applyBorder="1" applyAlignment="1" applyProtection="1"/>
    <xf numFmtId="0" fontId="6" fillId="0" borderId="0" xfId="0" applyFont="1" applyBorder="1" applyAlignment="1" applyProtection="1">
      <alignment vertical="center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left" wrapText="1"/>
      <protection locked="0"/>
    </xf>
    <xf numFmtId="0" fontId="6" fillId="0" borderId="0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protection locked="0"/>
    </xf>
    <xf numFmtId="0" fontId="2" fillId="0" borderId="0" xfId="0" applyFont="1" applyBorder="1" applyAlignment="1" applyProtection="1">
      <protection locked="0"/>
    </xf>
    <xf numFmtId="49" fontId="2" fillId="0" borderId="0" xfId="0" applyNumberFormat="1" applyFont="1" applyAlignment="1" applyProtection="1">
      <alignment wrapText="1"/>
      <protection locked="0"/>
    </xf>
    <xf numFmtId="49" fontId="2" fillId="0" borderId="0" xfId="0" applyNumberFormat="1" applyFont="1" applyProtection="1">
      <protection locked="0"/>
    </xf>
    <xf numFmtId="0" fontId="8" fillId="0" borderId="0" xfId="0" applyFont="1" applyProtection="1">
      <protection locked="0"/>
    </xf>
    <xf numFmtId="0" fontId="3" fillId="0" borderId="5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6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7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Continuous" vertical="center" wrapText="1"/>
      <protection locked="0"/>
    </xf>
    <xf numFmtId="49" fontId="6" fillId="0" borderId="0" xfId="0" applyNumberFormat="1" applyFont="1" applyBorder="1" applyAlignment="1" applyProtection="1">
      <alignment horizontal="left" vertical="center" wrapText="1"/>
      <protection locked="0"/>
    </xf>
    <xf numFmtId="0" fontId="2" fillId="0" borderId="2" xfId="0" applyFont="1" applyBorder="1" applyProtection="1">
      <protection locked="0"/>
    </xf>
    <xf numFmtId="49" fontId="6" fillId="0" borderId="4" xfId="0" applyNumberFormat="1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49" fontId="2" fillId="0" borderId="2" xfId="0" applyNumberFormat="1" applyFont="1" applyBorder="1" applyAlignment="1" applyProtection="1">
      <alignment horizontal="left" wrapText="1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protection locked="0"/>
    </xf>
    <xf numFmtId="0" fontId="5" fillId="0" borderId="3" xfId="0" applyFont="1" applyFill="1" applyBorder="1" applyAlignment="1" applyProtection="1">
      <alignment horizontal="center"/>
      <protection locked="0"/>
    </xf>
    <xf numFmtId="3" fontId="6" fillId="0" borderId="8" xfId="0" applyNumberFormat="1" applyFont="1" applyBorder="1" applyAlignment="1" applyProtection="1">
      <alignment horizontal="right" vertical="center"/>
    </xf>
    <xf numFmtId="3" fontId="6" fillId="0" borderId="9" xfId="0" applyNumberFormat="1" applyFont="1" applyBorder="1" applyAlignment="1" applyProtection="1">
      <alignment horizontal="right" vertical="center"/>
    </xf>
    <xf numFmtId="0" fontId="12" fillId="0" borderId="7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0" xfId="0" applyNumberFormat="1" applyFont="1" applyFill="1" applyBorder="1" applyAlignment="1" applyProtection="1">
      <alignment horizontal="centerContinuous"/>
      <protection locked="0"/>
    </xf>
    <xf numFmtId="3" fontId="6" fillId="0" borderId="9" xfId="0" applyNumberFormat="1" applyFont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Border="1" applyAlignment="1" applyProtection="1">
      <alignment vertical="center" wrapText="1"/>
      <protection locked="0"/>
    </xf>
    <xf numFmtId="3" fontId="2" fillId="0" borderId="0" xfId="0" applyNumberFormat="1" applyFont="1" applyAlignment="1" applyProtection="1">
      <protection locked="0"/>
    </xf>
    <xf numFmtId="3" fontId="3" fillId="0" borderId="9" xfId="0" quotePrefix="1" applyNumberFormat="1" applyFont="1" applyFill="1" applyBorder="1" applyAlignment="1" applyProtection="1">
      <alignment horizontal="right" vertical="center"/>
    </xf>
    <xf numFmtId="3" fontId="3" fillId="0" borderId="9" xfId="0" applyNumberFormat="1" applyFont="1" applyFill="1" applyBorder="1" applyAlignment="1" applyProtection="1">
      <alignment horizontal="right" vertical="center"/>
    </xf>
    <xf numFmtId="3" fontId="10" fillId="2" borderId="9" xfId="0" applyNumberFormat="1" applyFont="1" applyFill="1" applyBorder="1" applyAlignment="1">
      <alignment horizontal="right" vertical="center" wrapText="1"/>
    </xf>
    <xf numFmtId="3" fontId="2" fillId="0" borderId="9" xfId="0" applyNumberFormat="1" applyFont="1" applyBorder="1" applyAlignment="1">
      <alignment horizontal="right" vertical="center"/>
    </xf>
    <xf numFmtId="3" fontId="9" fillId="0" borderId="9" xfId="0" applyNumberFormat="1" applyFont="1" applyBorder="1" applyAlignment="1">
      <alignment horizontal="right" vertical="center"/>
    </xf>
    <xf numFmtId="3" fontId="11" fillId="0" borderId="9" xfId="0" applyNumberFormat="1" applyFont="1" applyFill="1" applyBorder="1" applyAlignment="1" applyProtection="1">
      <alignment horizontal="right" vertical="center"/>
    </xf>
    <xf numFmtId="0" fontId="2" fillId="0" borderId="9" xfId="0" applyFont="1" applyBorder="1" applyAlignment="1" applyProtection="1">
      <alignment horizontal="right" vertical="center"/>
      <protection locked="0"/>
    </xf>
    <xf numFmtId="0" fontId="10" fillId="2" borderId="9" xfId="0" applyFont="1" applyFill="1" applyBorder="1" applyAlignment="1">
      <alignment horizontal="right" vertical="center" wrapText="1"/>
    </xf>
    <xf numFmtId="0" fontId="12" fillId="0" borderId="7" xfId="0" applyNumberFormat="1" applyFont="1" applyFill="1" applyBorder="1" applyAlignment="1" applyProtection="1">
      <alignment horizontal="left" vertical="center" wrapText="1"/>
      <protection locked="0"/>
    </xf>
    <xf numFmtId="0" fontId="3" fillId="0" borderId="10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11" xfId="0" applyNumberFormat="1" applyFont="1" applyFill="1" applyBorder="1" applyAlignment="1" applyProtection="1">
      <alignment horizontal="centerContinuous" vertical="center" wrapText="1"/>
      <protection locked="0"/>
    </xf>
    <xf numFmtId="0" fontId="3" fillId="0" borderId="12" xfId="0" applyNumberFormat="1" applyFont="1" applyFill="1" applyBorder="1" applyAlignment="1" applyProtection="1">
      <alignment horizontal="centerContinuous" vertical="center" wrapText="1"/>
      <protection locked="0"/>
    </xf>
    <xf numFmtId="0" fontId="5" fillId="0" borderId="13" xfId="0" applyFont="1" applyBorder="1" applyAlignment="1" applyProtection="1">
      <alignment horizontal="center"/>
      <protection locked="0"/>
    </xf>
    <xf numFmtId="3" fontId="6" fillId="0" borderId="14" xfId="0" applyNumberFormat="1" applyFont="1" applyBorder="1" applyAlignment="1" applyProtection="1">
      <alignment horizontal="right" vertical="center"/>
    </xf>
    <xf numFmtId="3" fontId="6" fillId="0" borderId="15" xfId="0" applyNumberFormat="1" applyFont="1" applyBorder="1" applyAlignment="1" applyProtection="1">
      <alignment horizontal="right" vertical="center"/>
    </xf>
    <xf numFmtId="3" fontId="6" fillId="0" borderId="16" xfId="0" applyNumberFormat="1" applyFont="1" applyBorder="1" applyAlignment="1" applyProtection="1">
      <alignment horizontal="right" vertical="center"/>
    </xf>
    <xf numFmtId="3" fontId="6" fillId="0" borderId="17" xfId="0" applyNumberFormat="1" applyFont="1" applyBorder="1" applyAlignment="1" applyProtection="1">
      <alignment horizontal="right" vertical="center"/>
    </xf>
    <xf numFmtId="3" fontId="2" fillId="0" borderId="16" xfId="0" applyNumberFormat="1" applyFont="1" applyBorder="1" applyAlignment="1" applyProtection="1">
      <alignment horizontal="right" vertical="center"/>
      <protection locked="0"/>
    </xf>
    <xf numFmtId="3" fontId="9" fillId="0" borderId="17" xfId="0" applyNumberFormat="1" applyFont="1" applyBorder="1" applyAlignment="1">
      <alignment vertical="center"/>
    </xf>
    <xf numFmtId="3" fontId="11" fillId="0" borderId="17" xfId="0" applyNumberFormat="1" applyFont="1" applyFill="1" applyBorder="1" applyAlignment="1" applyProtection="1">
      <alignment vertical="center"/>
    </xf>
    <xf numFmtId="3" fontId="6" fillId="0" borderId="16" xfId="0" applyNumberFormat="1" applyFont="1" applyBorder="1" applyAlignment="1" applyProtection="1">
      <alignment horizontal="right" vertical="center"/>
      <protection locked="0"/>
    </xf>
    <xf numFmtId="3" fontId="6" fillId="0" borderId="17" xfId="0" applyNumberFormat="1" applyFont="1" applyBorder="1" applyAlignment="1" applyProtection="1">
      <alignment horizontal="right" vertical="center"/>
      <protection locked="0"/>
    </xf>
    <xf numFmtId="0" fontId="2" fillId="0" borderId="17" xfId="0" applyFont="1" applyBorder="1" applyAlignment="1" applyProtection="1">
      <alignment vertical="center"/>
      <protection locked="0"/>
    </xf>
    <xf numFmtId="3" fontId="3" fillId="0" borderId="17" xfId="0" quotePrefix="1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3" fontId="2" fillId="0" borderId="18" xfId="0" applyNumberFormat="1" applyFont="1" applyBorder="1" applyAlignment="1" applyProtection="1">
      <alignment horizontal="right" vertical="center"/>
      <protection locked="0"/>
    </xf>
    <xf numFmtId="3" fontId="3" fillId="0" borderId="19" xfId="0" quotePrefix="1" applyNumberFormat="1" applyFont="1" applyFill="1" applyBorder="1" applyAlignment="1" applyProtection="1">
      <alignment horizontal="right" vertical="center"/>
    </xf>
    <xf numFmtId="3" fontId="11" fillId="0" borderId="19" xfId="0" applyNumberFormat="1" applyFont="1" applyFill="1" applyBorder="1" applyAlignment="1" applyProtection="1">
      <alignment horizontal="right" vertical="center"/>
    </xf>
    <xf numFmtId="3" fontId="3" fillId="0" borderId="19" xfId="0" applyNumberFormat="1" applyFont="1" applyFill="1" applyBorder="1" applyAlignment="1" applyProtection="1">
      <alignment horizontal="right" vertical="center"/>
    </xf>
    <xf numFmtId="3" fontId="9" fillId="0" borderId="19" xfId="0" applyNumberFormat="1" applyFont="1" applyBorder="1" applyAlignment="1">
      <alignment horizontal="right" vertical="center"/>
    </xf>
    <xf numFmtId="3" fontId="9" fillId="0" borderId="20" xfId="0" applyNumberFormat="1" applyFont="1" applyBorder="1" applyAlignment="1">
      <alignment vertical="center"/>
    </xf>
    <xf numFmtId="0" fontId="6" fillId="0" borderId="0" xfId="0" applyFont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7"/>
  <sheetViews>
    <sheetView showGridLines="0" tabSelected="1" topLeftCell="A13" zoomScale="115" workbookViewId="0">
      <selection activeCell="O25" sqref="O25"/>
    </sheetView>
  </sheetViews>
  <sheetFormatPr defaultRowHeight="10.199999999999999"/>
  <cols>
    <col min="1" max="1" width="33.44140625" style="3" customWidth="1"/>
    <col min="2" max="2" width="10.5546875" style="3" customWidth="1"/>
    <col min="3" max="3" width="7.33203125" style="3" customWidth="1"/>
    <col min="4" max="4" width="9.109375" style="3" customWidth="1"/>
    <col min="5" max="5" width="8" style="3" customWidth="1"/>
    <col min="6" max="6" width="7.77734375" style="3" customWidth="1"/>
    <col min="7" max="7" width="7.6640625" style="3" customWidth="1"/>
    <col min="8" max="8" width="8.6640625" style="3" customWidth="1"/>
    <col min="9" max="10" width="7.44140625" style="3" customWidth="1"/>
    <col min="11" max="12" width="6.44140625" style="3" customWidth="1"/>
    <col min="13" max="13" width="8" style="3" customWidth="1"/>
    <col min="14" max="14" width="7.6640625" style="3" customWidth="1"/>
    <col min="15" max="15" width="30.88671875" style="3" customWidth="1"/>
    <col min="16" max="16" width="7.6640625" style="3" customWidth="1"/>
    <col min="17" max="19" width="6.44140625" style="3" customWidth="1"/>
    <col min="20" max="20" width="6.109375" style="3" customWidth="1"/>
    <col min="21" max="21" width="7.33203125" style="3" customWidth="1"/>
    <col min="22" max="22" width="6.44140625" style="3" customWidth="1"/>
    <col min="23" max="16384" width="8.88671875" style="3"/>
  </cols>
  <sheetData>
    <row r="1" spans="1:21" ht="18.600000000000001" customHeight="1">
      <c r="A1" s="29" t="s">
        <v>0</v>
      </c>
      <c r="B1" s="29"/>
      <c r="C1" s="29"/>
      <c r="D1" s="29"/>
      <c r="E1" s="29"/>
      <c r="F1" s="29"/>
      <c r="G1" s="29"/>
      <c r="H1" s="29"/>
      <c r="I1" s="29" t="s">
        <v>1</v>
      </c>
      <c r="J1" s="29"/>
      <c r="K1" s="29"/>
      <c r="L1" s="29"/>
      <c r="M1" s="29"/>
      <c r="N1" s="29"/>
      <c r="O1" s="29"/>
      <c r="P1" s="29"/>
      <c r="Q1" s="29"/>
      <c r="R1" s="2"/>
      <c r="S1" s="2"/>
      <c r="T1" s="2"/>
      <c r="U1" s="2"/>
    </row>
    <row r="2" spans="1:21" ht="15" customHeight="1" thickBot="1">
      <c r="A2" s="4" t="s">
        <v>2</v>
      </c>
      <c r="B2" s="4"/>
      <c r="C2" s="4"/>
      <c r="D2" s="4"/>
      <c r="E2" s="4"/>
      <c r="F2" s="4"/>
      <c r="G2" s="5"/>
      <c r="H2" s="5"/>
      <c r="I2" s="5"/>
      <c r="J2" s="5"/>
      <c r="K2" s="5"/>
      <c r="L2" s="5"/>
      <c r="N2" s="6" t="s">
        <v>3</v>
      </c>
      <c r="O2" s="6"/>
      <c r="P2" s="41"/>
      <c r="Q2" s="41"/>
      <c r="R2" s="7"/>
      <c r="S2" s="8"/>
      <c r="T2" s="8"/>
      <c r="U2" s="8"/>
    </row>
    <row r="3" spans="1:21" ht="63" customHeight="1">
      <c r="A3" s="40" t="s">
        <v>4</v>
      </c>
      <c r="B3" s="56" t="s">
        <v>5</v>
      </c>
      <c r="C3" s="27" t="s">
        <v>6</v>
      </c>
      <c r="D3" s="26"/>
      <c r="E3" s="25" t="s">
        <v>7</v>
      </c>
      <c r="F3" s="26"/>
      <c r="G3" s="25" t="s">
        <v>8</v>
      </c>
      <c r="H3" s="26"/>
      <c r="I3" s="25" t="s">
        <v>9</v>
      </c>
      <c r="J3" s="26"/>
      <c r="K3" s="25" t="s">
        <v>10</v>
      </c>
      <c r="L3" s="26"/>
      <c r="M3" s="25" t="s">
        <v>11</v>
      </c>
      <c r="N3" s="57"/>
      <c r="O3" s="55" t="s">
        <v>12</v>
      </c>
      <c r="P3" s="28"/>
      <c r="Q3" s="28"/>
    </row>
    <row r="4" spans="1:21">
      <c r="A4" s="9"/>
      <c r="B4" s="58"/>
      <c r="C4" s="37">
        <v>1</v>
      </c>
      <c r="D4" s="37">
        <v>2</v>
      </c>
      <c r="E4" s="37">
        <v>1</v>
      </c>
      <c r="F4" s="37">
        <v>2</v>
      </c>
      <c r="G4" s="37">
        <v>1</v>
      </c>
      <c r="H4" s="37">
        <v>2</v>
      </c>
      <c r="I4" s="37">
        <v>1</v>
      </c>
      <c r="J4" s="37">
        <v>2</v>
      </c>
      <c r="K4" s="10">
        <v>1</v>
      </c>
      <c r="L4" s="10">
        <v>2</v>
      </c>
      <c r="M4" s="10">
        <v>1</v>
      </c>
      <c r="N4" s="59">
        <v>2</v>
      </c>
      <c r="O4" s="9"/>
      <c r="P4" s="28"/>
      <c r="Q4" s="28"/>
    </row>
    <row r="5" spans="1:21" ht="17.399999999999999" customHeight="1">
      <c r="A5" s="32" t="s">
        <v>13</v>
      </c>
      <c r="B5" s="60">
        <f>SUM(B6,B13,B21,B26,B31,B37,B43,B49,B53,B59,B64,B70,B84)</f>
        <v>126155</v>
      </c>
      <c r="C5" s="38">
        <f t="shared" ref="C5:N5" si="0">SUM(C6,C13,C21,C26,C31,C37,C43,C49,C53,C59,C64,C70,C84)</f>
        <v>71923</v>
      </c>
      <c r="D5" s="38">
        <f t="shared" si="0"/>
        <v>11849.206000000002</v>
      </c>
      <c r="E5" s="38">
        <f t="shared" si="0"/>
        <v>338</v>
      </c>
      <c r="F5" s="38">
        <f t="shared" si="0"/>
        <v>42.75</v>
      </c>
      <c r="G5" s="38">
        <f t="shared" si="0"/>
        <v>3113</v>
      </c>
      <c r="H5" s="38">
        <f t="shared" si="0"/>
        <v>519.50999999999988</v>
      </c>
      <c r="I5" s="38">
        <f t="shared" si="0"/>
        <v>972</v>
      </c>
      <c r="J5" s="38">
        <f t="shared" si="0"/>
        <v>162.78</v>
      </c>
      <c r="K5" s="38">
        <f t="shared" si="0"/>
        <v>12522</v>
      </c>
      <c r="L5" s="38">
        <f t="shared" si="0"/>
        <v>744.2299999999999</v>
      </c>
      <c r="M5" s="38">
        <f t="shared" si="0"/>
        <v>37287</v>
      </c>
      <c r="N5" s="61">
        <f t="shared" si="0"/>
        <v>6716.33</v>
      </c>
      <c r="O5" s="11" t="s">
        <v>14</v>
      </c>
      <c r="P5" s="2"/>
      <c r="Q5" s="2"/>
      <c r="R5" s="12"/>
    </row>
    <row r="6" spans="1:21" ht="16.8" customHeight="1">
      <c r="A6" s="30" t="s">
        <v>15</v>
      </c>
      <c r="B6" s="62">
        <f>SUM(B7:B12)</f>
        <v>1640</v>
      </c>
      <c r="C6" s="39">
        <f>SUM(C7:C12)</f>
        <v>805</v>
      </c>
      <c r="D6" s="39">
        <f t="shared" ref="D6:N6" si="1">SUM(D7:D12)</f>
        <v>256.84000000000003</v>
      </c>
      <c r="E6" s="39">
        <f t="shared" si="1"/>
        <v>0</v>
      </c>
      <c r="F6" s="39">
        <f t="shared" si="1"/>
        <v>0</v>
      </c>
      <c r="G6" s="39">
        <f t="shared" si="1"/>
        <v>0</v>
      </c>
      <c r="H6" s="39">
        <f t="shared" si="1"/>
        <v>0</v>
      </c>
      <c r="I6" s="39">
        <f t="shared" si="1"/>
        <v>0</v>
      </c>
      <c r="J6" s="39">
        <f t="shared" si="1"/>
        <v>0</v>
      </c>
      <c r="K6" s="39">
        <f t="shared" si="1"/>
        <v>2</v>
      </c>
      <c r="L6" s="39">
        <f t="shared" si="1"/>
        <v>0.3</v>
      </c>
      <c r="M6" s="39">
        <f t="shared" si="1"/>
        <v>833</v>
      </c>
      <c r="N6" s="63">
        <f t="shared" si="1"/>
        <v>258.14999999999998</v>
      </c>
      <c r="O6" s="1" t="s">
        <v>16</v>
      </c>
      <c r="P6" s="1"/>
      <c r="Q6" s="1"/>
      <c r="R6" s="2"/>
    </row>
    <row r="7" spans="1:21" ht="11.4" customHeight="1">
      <c r="A7" s="13" t="s">
        <v>17</v>
      </c>
      <c r="B7" s="64">
        <v>351</v>
      </c>
      <c r="C7" s="47">
        <v>269</v>
      </c>
      <c r="D7" s="47">
        <v>75.75</v>
      </c>
      <c r="E7" s="48" t="s">
        <v>18</v>
      </c>
      <c r="F7" s="48" t="s">
        <v>18</v>
      </c>
      <c r="G7" s="48" t="s">
        <v>18</v>
      </c>
      <c r="H7" s="48" t="s">
        <v>18</v>
      </c>
      <c r="I7" s="48" t="s">
        <v>18</v>
      </c>
      <c r="J7" s="48" t="s">
        <v>18</v>
      </c>
      <c r="K7" s="49">
        <v>2</v>
      </c>
      <c r="L7" s="50">
        <v>0.3</v>
      </c>
      <c r="M7" s="51">
        <v>80</v>
      </c>
      <c r="N7" s="65">
        <v>12.5</v>
      </c>
      <c r="O7" s="33" t="s">
        <v>19</v>
      </c>
      <c r="P7" s="12"/>
      <c r="Q7" s="12"/>
      <c r="R7" s="12"/>
    </row>
    <row r="8" spans="1:21">
      <c r="A8" s="13" t="s">
        <v>20</v>
      </c>
      <c r="B8" s="64">
        <v>619</v>
      </c>
      <c r="C8" s="47">
        <v>369</v>
      </c>
      <c r="D8" s="47">
        <v>144</v>
      </c>
      <c r="E8" s="48" t="s">
        <v>18</v>
      </c>
      <c r="F8" s="48" t="s">
        <v>18</v>
      </c>
      <c r="G8" s="48" t="s">
        <v>18</v>
      </c>
      <c r="H8" s="48" t="s">
        <v>18</v>
      </c>
      <c r="I8" s="48" t="s">
        <v>18</v>
      </c>
      <c r="J8" s="48" t="s">
        <v>18</v>
      </c>
      <c r="K8" s="48" t="s">
        <v>18</v>
      </c>
      <c r="L8" s="48" t="s">
        <v>18</v>
      </c>
      <c r="M8" s="51">
        <v>250</v>
      </c>
      <c r="N8" s="65">
        <v>119</v>
      </c>
      <c r="O8" s="33" t="s">
        <v>21</v>
      </c>
      <c r="P8" s="12"/>
      <c r="Q8" s="12"/>
      <c r="R8" s="12"/>
    </row>
    <row r="9" spans="1:21">
      <c r="A9" s="13" t="s">
        <v>22</v>
      </c>
      <c r="B9" s="64">
        <v>555</v>
      </c>
      <c r="C9" s="47">
        <v>92</v>
      </c>
      <c r="D9" s="47">
        <v>26.09</v>
      </c>
      <c r="E9" s="48" t="s">
        <v>18</v>
      </c>
      <c r="F9" s="48" t="s">
        <v>18</v>
      </c>
      <c r="G9" s="48" t="s">
        <v>18</v>
      </c>
      <c r="H9" s="48" t="s">
        <v>18</v>
      </c>
      <c r="I9" s="48" t="s">
        <v>18</v>
      </c>
      <c r="J9" s="48" t="s">
        <v>18</v>
      </c>
      <c r="K9" s="48" t="s">
        <v>18</v>
      </c>
      <c r="L9" s="48" t="s">
        <v>18</v>
      </c>
      <c r="M9" s="51">
        <v>463</v>
      </c>
      <c r="N9" s="65">
        <v>121.85</v>
      </c>
      <c r="O9" s="33" t="s">
        <v>23</v>
      </c>
      <c r="P9" s="12"/>
      <c r="Q9" s="12"/>
      <c r="R9" s="12"/>
      <c r="T9" s="14"/>
    </row>
    <row r="10" spans="1:21">
      <c r="A10" s="13" t="s">
        <v>24</v>
      </c>
      <c r="B10" s="64">
        <v>0</v>
      </c>
      <c r="C10" s="48" t="s">
        <v>18</v>
      </c>
      <c r="D10" s="48" t="s">
        <v>18</v>
      </c>
      <c r="E10" s="48" t="s">
        <v>18</v>
      </c>
      <c r="F10" s="48" t="s">
        <v>18</v>
      </c>
      <c r="G10" s="48" t="s">
        <v>18</v>
      </c>
      <c r="H10" s="48" t="s">
        <v>18</v>
      </c>
      <c r="I10" s="48" t="s">
        <v>18</v>
      </c>
      <c r="J10" s="48" t="s">
        <v>18</v>
      </c>
      <c r="K10" s="48" t="s">
        <v>18</v>
      </c>
      <c r="L10" s="48" t="s">
        <v>18</v>
      </c>
      <c r="M10" s="52">
        <v>0</v>
      </c>
      <c r="N10" s="66">
        <v>0</v>
      </c>
      <c r="O10" s="33" t="s">
        <v>25</v>
      </c>
      <c r="P10" s="12"/>
      <c r="Q10" s="12"/>
      <c r="R10" s="12"/>
    </row>
    <row r="11" spans="1:21">
      <c r="A11" s="13" t="s">
        <v>26</v>
      </c>
      <c r="B11" s="64">
        <v>115</v>
      </c>
      <c r="C11" s="47">
        <v>75</v>
      </c>
      <c r="D11" s="47">
        <v>11</v>
      </c>
      <c r="E11" s="48" t="s">
        <v>18</v>
      </c>
      <c r="F11" s="48" t="s">
        <v>18</v>
      </c>
      <c r="G11" s="48" t="s">
        <v>18</v>
      </c>
      <c r="H11" s="48" t="s">
        <v>18</v>
      </c>
      <c r="I11" s="48" t="s">
        <v>18</v>
      </c>
      <c r="J11" s="48" t="s">
        <v>18</v>
      </c>
      <c r="K11" s="48" t="s">
        <v>18</v>
      </c>
      <c r="L11" s="48" t="s">
        <v>18</v>
      </c>
      <c r="M11" s="51">
        <v>40</v>
      </c>
      <c r="N11" s="65">
        <v>4.8</v>
      </c>
      <c r="O11" s="33" t="s">
        <v>27</v>
      </c>
      <c r="P11" s="46"/>
      <c r="Q11" s="12"/>
      <c r="R11" s="12"/>
    </row>
    <row r="12" spans="1:21">
      <c r="A12" s="13" t="s">
        <v>28</v>
      </c>
      <c r="B12" s="64">
        <v>0</v>
      </c>
      <c r="C12" s="48" t="s">
        <v>18</v>
      </c>
      <c r="D12" s="48" t="s">
        <v>18</v>
      </c>
      <c r="E12" s="48" t="s">
        <v>18</v>
      </c>
      <c r="F12" s="48" t="s">
        <v>18</v>
      </c>
      <c r="G12" s="48" t="s">
        <v>18</v>
      </c>
      <c r="H12" s="48" t="s">
        <v>18</v>
      </c>
      <c r="I12" s="48" t="s">
        <v>18</v>
      </c>
      <c r="J12" s="48" t="s">
        <v>18</v>
      </c>
      <c r="K12" s="48" t="s">
        <v>18</v>
      </c>
      <c r="L12" s="48" t="s">
        <v>18</v>
      </c>
      <c r="M12" s="52" t="s">
        <v>18</v>
      </c>
      <c r="N12" s="66"/>
      <c r="O12" s="33" t="s">
        <v>29</v>
      </c>
      <c r="P12" s="46"/>
      <c r="Q12" s="12"/>
      <c r="R12" s="12"/>
    </row>
    <row r="13" spans="1:21" s="44" customFormat="1" ht="19.2" customHeight="1">
      <c r="A13" s="30" t="s">
        <v>30</v>
      </c>
      <c r="B13" s="67">
        <f>SUM(B14:B20)</f>
        <v>29830</v>
      </c>
      <c r="C13" s="42">
        <f t="shared" ref="C13:M13" si="2">SUM(C14:C20)</f>
        <v>16089</v>
      </c>
      <c r="D13" s="42">
        <f t="shared" si="2"/>
        <v>2794.15</v>
      </c>
      <c r="E13" s="42">
        <f t="shared" si="2"/>
        <v>57</v>
      </c>
      <c r="F13" s="42">
        <f t="shared" si="2"/>
        <v>6.35</v>
      </c>
      <c r="G13" s="42">
        <f>SUM(G14:G20)</f>
        <v>598</v>
      </c>
      <c r="H13" s="42">
        <f t="shared" si="2"/>
        <v>139</v>
      </c>
      <c r="I13" s="42">
        <f t="shared" si="2"/>
        <v>0</v>
      </c>
      <c r="J13" s="42">
        <f t="shared" si="2"/>
        <v>0</v>
      </c>
      <c r="K13" s="42">
        <f t="shared" si="2"/>
        <v>280</v>
      </c>
      <c r="L13" s="42">
        <f t="shared" si="2"/>
        <v>42</v>
      </c>
      <c r="M13" s="42">
        <f t="shared" si="2"/>
        <v>12806</v>
      </c>
      <c r="N13" s="68">
        <f>SUM(N14:N20)</f>
        <v>2030.51</v>
      </c>
      <c r="O13" s="15" t="s">
        <v>31</v>
      </c>
      <c r="P13" s="45"/>
      <c r="Q13" s="15"/>
      <c r="R13" s="43"/>
    </row>
    <row r="14" spans="1:21">
      <c r="A14" s="13" t="s">
        <v>32</v>
      </c>
      <c r="B14" s="64">
        <v>3086</v>
      </c>
      <c r="C14" s="47">
        <v>844</v>
      </c>
      <c r="D14" s="47">
        <v>137.565</v>
      </c>
      <c r="E14" s="49">
        <v>27</v>
      </c>
      <c r="F14" s="49">
        <v>1.35</v>
      </c>
      <c r="G14" s="49">
        <v>438</v>
      </c>
      <c r="H14" s="49">
        <v>113.4</v>
      </c>
      <c r="I14" s="48" t="s">
        <v>18</v>
      </c>
      <c r="J14" s="48" t="s">
        <v>18</v>
      </c>
      <c r="K14" s="49">
        <v>280</v>
      </c>
      <c r="L14" s="50">
        <v>42</v>
      </c>
      <c r="M14" s="51">
        <v>1497</v>
      </c>
      <c r="N14" s="65">
        <v>217.65</v>
      </c>
      <c r="O14" s="16" t="s">
        <v>33</v>
      </c>
      <c r="P14" s="12"/>
      <c r="Q14" s="12"/>
      <c r="R14" s="12"/>
    </row>
    <row r="15" spans="1:21">
      <c r="A15" s="13" t="s">
        <v>34</v>
      </c>
      <c r="B15" s="64">
        <v>20</v>
      </c>
      <c r="C15" s="47">
        <v>15</v>
      </c>
      <c r="D15" s="47">
        <v>5.5</v>
      </c>
      <c r="E15" s="52" t="s">
        <v>18</v>
      </c>
      <c r="F15" s="52" t="s">
        <v>18</v>
      </c>
      <c r="G15" s="52" t="s">
        <v>18</v>
      </c>
      <c r="H15" s="52" t="s">
        <v>18</v>
      </c>
      <c r="I15" s="48" t="s">
        <v>18</v>
      </c>
      <c r="J15" s="48" t="s">
        <v>18</v>
      </c>
      <c r="K15" s="48" t="s">
        <v>18</v>
      </c>
      <c r="L15" s="48" t="s">
        <v>18</v>
      </c>
      <c r="M15" s="51">
        <v>5</v>
      </c>
      <c r="N15" s="65">
        <v>2.5</v>
      </c>
      <c r="O15" s="16" t="s">
        <v>35</v>
      </c>
      <c r="P15" s="12"/>
      <c r="Q15" s="12"/>
      <c r="R15" s="12"/>
    </row>
    <row r="16" spans="1:21">
      <c r="A16" s="13" t="s">
        <v>36</v>
      </c>
      <c r="B16" s="64">
        <v>10913</v>
      </c>
      <c r="C16" s="47">
        <v>3323</v>
      </c>
      <c r="D16" s="47">
        <v>575.30499999999995</v>
      </c>
      <c r="E16" s="52" t="s">
        <v>18</v>
      </c>
      <c r="F16" s="52" t="s">
        <v>18</v>
      </c>
      <c r="G16" s="49">
        <v>160</v>
      </c>
      <c r="H16" s="49">
        <v>25.6</v>
      </c>
      <c r="I16" s="48" t="s">
        <v>18</v>
      </c>
      <c r="J16" s="48" t="s">
        <v>18</v>
      </c>
      <c r="K16" s="48" t="s">
        <v>18</v>
      </c>
      <c r="L16" s="48" t="s">
        <v>18</v>
      </c>
      <c r="M16" s="51">
        <v>7430</v>
      </c>
      <c r="N16" s="65">
        <v>1066.5999999999999</v>
      </c>
      <c r="O16" s="16" t="s">
        <v>37</v>
      </c>
      <c r="P16" s="46"/>
      <c r="Q16" s="12"/>
      <c r="R16" s="12"/>
    </row>
    <row r="17" spans="1:18">
      <c r="A17" s="13" t="s">
        <v>38</v>
      </c>
      <c r="B17" s="64">
        <v>270</v>
      </c>
      <c r="C17" s="47">
        <v>270</v>
      </c>
      <c r="D17" s="47">
        <v>47.5</v>
      </c>
      <c r="E17" s="52" t="s">
        <v>18</v>
      </c>
      <c r="F17" s="52" t="s">
        <v>18</v>
      </c>
      <c r="G17" s="52" t="s">
        <v>18</v>
      </c>
      <c r="H17" s="52" t="s">
        <v>18</v>
      </c>
      <c r="I17" s="48" t="s">
        <v>18</v>
      </c>
      <c r="J17" s="48" t="s">
        <v>18</v>
      </c>
      <c r="K17" s="48" t="s">
        <v>18</v>
      </c>
      <c r="L17" s="48" t="s">
        <v>18</v>
      </c>
      <c r="M17" s="51">
        <v>0</v>
      </c>
      <c r="N17" s="65">
        <v>0</v>
      </c>
      <c r="O17" s="16" t="s">
        <v>39</v>
      </c>
      <c r="P17" s="12"/>
      <c r="Q17" s="12"/>
      <c r="R17" s="12"/>
    </row>
    <row r="18" spans="1:18">
      <c r="A18" s="13" t="s">
        <v>40</v>
      </c>
      <c r="B18" s="64">
        <v>360</v>
      </c>
      <c r="C18" s="47">
        <v>360</v>
      </c>
      <c r="D18" s="47">
        <v>87.5</v>
      </c>
      <c r="E18" s="52" t="s">
        <v>18</v>
      </c>
      <c r="F18" s="52" t="s">
        <v>18</v>
      </c>
      <c r="G18" s="52" t="s">
        <v>18</v>
      </c>
      <c r="H18" s="52" t="s">
        <v>18</v>
      </c>
      <c r="I18" s="48" t="s">
        <v>18</v>
      </c>
      <c r="J18" s="48" t="s">
        <v>18</v>
      </c>
      <c r="K18" s="48" t="s">
        <v>18</v>
      </c>
      <c r="L18" s="48" t="s">
        <v>18</v>
      </c>
      <c r="M18" s="51">
        <v>0</v>
      </c>
      <c r="N18" s="65">
        <v>0</v>
      </c>
      <c r="O18" s="16" t="s">
        <v>41</v>
      </c>
      <c r="P18" s="12"/>
      <c r="Q18" s="12"/>
      <c r="R18" s="12"/>
    </row>
    <row r="19" spans="1:18">
      <c r="A19" s="13" t="s">
        <v>42</v>
      </c>
      <c r="B19" s="64">
        <v>2014</v>
      </c>
      <c r="C19" s="47">
        <v>1005</v>
      </c>
      <c r="D19" s="47">
        <v>251.9</v>
      </c>
      <c r="E19" s="52" t="s">
        <v>18</v>
      </c>
      <c r="F19" s="52" t="s">
        <v>18</v>
      </c>
      <c r="G19" s="52" t="s">
        <v>18</v>
      </c>
      <c r="H19" s="52" t="s">
        <v>18</v>
      </c>
      <c r="I19" s="48" t="s">
        <v>18</v>
      </c>
      <c r="J19" s="48" t="s">
        <v>18</v>
      </c>
      <c r="K19" s="48" t="s">
        <v>18</v>
      </c>
      <c r="L19" s="48" t="s">
        <v>18</v>
      </c>
      <c r="M19" s="51">
        <v>1009</v>
      </c>
      <c r="N19" s="65">
        <v>295.32</v>
      </c>
      <c r="O19" s="16" t="s">
        <v>43</v>
      </c>
      <c r="P19" s="12"/>
      <c r="Q19" s="12"/>
      <c r="R19" s="12"/>
    </row>
    <row r="20" spans="1:18">
      <c r="A20" s="13" t="s">
        <v>44</v>
      </c>
      <c r="B20" s="64">
        <v>13167</v>
      </c>
      <c r="C20" s="47">
        <v>10272</v>
      </c>
      <c r="D20" s="47">
        <v>1688.88</v>
      </c>
      <c r="E20" s="49">
        <v>30</v>
      </c>
      <c r="F20" s="49">
        <v>5</v>
      </c>
      <c r="G20" s="52" t="s">
        <v>18</v>
      </c>
      <c r="H20" s="52" t="s">
        <v>18</v>
      </c>
      <c r="I20" s="48" t="s">
        <v>18</v>
      </c>
      <c r="J20" s="48" t="s">
        <v>18</v>
      </c>
      <c r="K20" s="48" t="s">
        <v>18</v>
      </c>
      <c r="L20" s="48" t="s">
        <v>18</v>
      </c>
      <c r="M20" s="51">
        <v>2865</v>
      </c>
      <c r="N20" s="65">
        <v>448.44</v>
      </c>
      <c r="O20" s="16" t="s">
        <v>45</v>
      </c>
      <c r="P20" s="12"/>
      <c r="Q20" s="12"/>
      <c r="R20" s="12"/>
    </row>
    <row r="21" spans="1:18" ht="18" customHeight="1">
      <c r="A21" s="30" t="s">
        <v>46</v>
      </c>
      <c r="B21" s="67">
        <f>SUM(B22:B25)</f>
        <v>15574</v>
      </c>
      <c r="C21" s="42">
        <f>SUM(C22:C25)</f>
        <v>6512</v>
      </c>
      <c r="D21" s="42">
        <f t="shared" ref="D21:N21" si="3">SUM(D22:D25)</f>
        <v>1122.2449999999999</v>
      </c>
      <c r="E21" s="42">
        <f t="shared" si="3"/>
        <v>0</v>
      </c>
      <c r="F21" s="42">
        <f t="shared" si="3"/>
        <v>0</v>
      </c>
      <c r="G21" s="42">
        <f t="shared" si="3"/>
        <v>0</v>
      </c>
      <c r="H21" s="42">
        <f t="shared" si="3"/>
        <v>0</v>
      </c>
      <c r="I21" s="42">
        <f t="shared" si="3"/>
        <v>68</v>
      </c>
      <c r="J21" s="42">
        <f t="shared" si="3"/>
        <v>6.2</v>
      </c>
      <c r="K21" s="42">
        <f t="shared" si="3"/>
        <v>50</v>
      </c>
      <c r="L21" s="42">
        <f t="shared" si="3"/>
        <v>5</v>
      </c>
      <c r="M21" s="42">
        <f t="shared" si="3"/>
        <v>8944</v>
      </c>
      <c r="N21" s="68">
        <f t="shared" si="3"/>
        <v>1474.6999999999998</v>
      </c>
      <c r="O21" s="78" t="s">
        <v>186</v>
      </c>
      <c r="P21" s="12"/>
      <c r="Q21" s="12"/>
      <c r="R21" s="12"/>
    </row>
    <row r="22" spans="1:18">
      <c r="A22" s="13" t="s">
        <v>47</v>
      </c>
      <c r="B22" s="64">
        <v>3715</v>
      </c>
      <c r="C22" s="47">
        <v>1890</v>
      </c>
      <c r="D22" s="47">
        <v>380.65</v>
      </c>
      <c r="E22" s="52" t="s">
        <v>18</v>
      </c>
      <c r="F22" s="52" t="s">
        <v>18</v>
      </c>
      <c r="G22" s="52" t="s">
        <v>18</v>
      </c>
      <c r="H22" s="52" t="s">
        <v>18</v>
      </c>
      <c r="I22" s="49">
        <v>18</v>
      </c>
      <c r="J22" s="49">
        <v>2.7</v>
      </c>
      <c r="K22" s="48" t="s">
        <v>18</v>
      </c>
      <c r="L22" s="48" t="s">
        <v>18</v>
      </c>
      <c r="M22" s="51">
        <v>1807</v>
      </c>
      <c r="N22" s="65">
        <v>419.22499999999997</v>
      </c>
      <c r="O22" s="16" t="s">
        <v>48</v>
      </c>
      <c r="P22" s="12"/>
      <c r="Q22" s="12"/>
      <c r="R22" s="12"/>
    </row>
    <row r="23" spans="1:18">
      <c r="A23" s="13" t="s">
        <v>49</v>
      </c>
      <c r="B23" s="64">
        <v>11619</v>
      </c>
      <c r="C23" s="47">
        <v>4382</v>
      </c>
      <c r="D23" s="47">
        <v>700.79499999999996</v>
      </c>
      <c r="E23" s="52" t="s">
        <v>18</v>
      </c>
      <c r="F23" s="52" t="s">
        <v>18</v>
      </c>
      <c r="G23" s="52" t="s">
        <v>18</v>
      </c>
      <c r="H23" s="52" t="s">
        <v>18</v>
      </c>
      <c r="I23" s="49">
        <v>50</v>
      </c>
      <c r="J23" s="49">
        <v>3.5</v>
      </c>
      <c r="K23" s="49">
        <v>50</v>
      </c>
      <c r="L23" s="50">
        <v>5</v>
      </c>
      <c r="M23" s="51">
        <v>7137</v>
      </c>
      <c r="N23" s="65">
        <v>1055.4749999999999</v>
      </c>
      <c r="O23" s="16" t="s">
        <v>50</v>
      </c>
      <c r="P23" s="12"/>
      <c r="Q23" s="12"/>
      <c r="R23" s="12"/>
    </row>
    <row r="24" spans="1:18">
      <c r="A24" s="13" t="s">
        <v>51</v>
      </c>
      <c r="B24" s="64">
        <v>0</v>
      </c>
      <c r="C24" s="48" t="s">
        <v>18</v>
      </c>
      <c r="D24" s="47">
        <v>0</v>
      </c>
      <c r="E24" s="52" t="s">
        <v>18</v>
      </c>
      <c r="F24" s="52" t="s">
        <v>18</v>
      </c>
      <c r="G24" s="52" t="s">
        <v>18</v>
      </c>
      <c r="H24" s="52" t="s">
        <v>18</v>
      </c>
      <c r="I24" s="48" t="s">
        <v>18</v>
      </c>
      <c r="J24" s="48" t="s">
        <v>18</v>
      </c>
      <c r="K24" s="48" t="s">
        <v>18</v>
      </c>
      <c r="L24" s="48" t="s">
        <v>18</v>
      </c>
      <c r="M24" s="51">
        <v>0</v>
      </c>
      <c r="N24" s="65">
        <v>0</v>
      </c>
      <c r="O24" s="16" t="s">
        <v>52</v>
      </c>
      <c r="P24" s="12"/>
      <c r="Q24" s="12"/>
      <c r="R24" s="12"/>
    </row>
    <row r="25" spans="1:18">
      <c r="A25" s="13" t="s">
        <v>53</v>
      </c>
      <c r="B25" s="64">
        <v>240</v>
      </c>
      <c r="C25" s="47">
        <v>240</v>
      </c>
      <c r="D25" s="47">
        <v>40.799999999999997</v>
      </c>
      <c r="E25" s="52" t="s">
        <v>18</v>
      </c>
      <c r="F25" s="52" t="s">
        <v>18</v>
      </c>
      <c r="G25" s="52" t="s">
        <v>18</v>
      </c>
      <c r="H25" s="52" t="s">
        <v>18</v>
      </c>
      <c r="I25" s="48" t="s">
        <v>18</v>
      </c>
      <c r="J25" s="48" t="s">
        <v>18</v>
      </c>
      <c r="K25" s="48" t="s">
        <v>18</v>
      </c>
      <c r="L25" s="48" t="s">
        <v>18</v>
      </c>
      <c r="M25" s="51">
        <v>0</v>
      </c>
      <c r="N25" s="65">
        <v>0</v>
      </c>
      <c r="O25" s="16" t="s">
        <v>54</v>
      </c>
      <c r="P25" s="12"/>
      <c r="Q25" s="12"/>
      <c r="R25" s="12"/>
    </row>
    <row r="26" spans="1:18" ht="16.2" customHeight="1">
      <c r="A26" s="30" t="s">
        <v>55</v>
      </c>
      <c r="B26" s="67">
        <f>SUM(B27:B30)</f>
        <v>1853</v>
      </c>
      <c r="C26" s="42">
        <f t="shared" ref="C26:N26" si="4">SUM(C27:C30)</f>
        <v>379</v>
      </c>
      <c r="D26" s="42">
        <f t="shared" si="4"/>
        <v>83.805000000000007</v>
      </c>
      <c r="E26" s="42">
        <f t="shared" si="4"/>
        <v>0</v>
      </c>
      <c r="F26" s="42">
        <f t="shared" si="4"/>
        <v>0</v>
      </c>
      <c r="G26" s="42">
        <f t="shared" si="4"/>
        <v>115</v>
      </c>
      <c r="H26" s="42">
        <f t="shared" si="4"/>
        <v>11.06</v>
      </c>
      <c r="I26" s="42">
        <f t="shared" si="4"/>
        <v>0</v>
      </c>
      <c r="J26" s="42">
        <f t="shared" si="4"/>
        <v>0</v>
      </c>
      <c r="K26" s="42">
        <f t="shared" si="4"/>
        <v>720</v>
      </c>
      <c r="L26" s="42">
        <f t="shared" si="4"/>
        <v>38.799999999999997</v>
      </c>
      <c r="M26" s="42">
        <f t="shared" si="4"/>
        <v>639</v>
      </c>
      <c r="N26" s="68">
        <f t="shared" si="4"/>
        <v>67.98</v>
      </c>
      <c r="O26" s="17" t="s">
        <v>56</v>
      </c>
      <c r="P26" s="17"/>
      <c r="Q26" s="17"/>
      <c r="R26" s="12"/>
    </row>
    <row r="27" spans="1:18">
      <c r="A27" s="13" t="s">
        <v>57</v>
      </c>
      <c r="B27" s="64">
        <v>946</v>
      </c>
      <c r="C27" s="47">
        <v>96</v>
      </c>
      <c r="D27" s="47">
        <v>45.1</v>
      </c>
      <c r="E27" s="48" t="s">
        <v>18</v>
      </c>
      <c r="F27" s="48" t="s">
        <v>18</v>
      </c>
      <c r="G27" s="52" t="s">
        <v>18</v>
      </c>
      <c r="H27" s="52" t="s">
        <v>18</v>
      </c>
      <c r="I27" s="48" t="s">
        <v>18</v>
      </c>
      <c r="J27" s="48" t="s">
        <v>18</v>
      </c>
      <c r="K27" s="49">
        <v>330</v>
      </c>
      <c r="L27" s="50">
        <v>7</v>
      </c>
      <c r="M27" s="51">
        <v>520</v>
      </c>
      <c r="N27" s="65">
        <v>57</v>
      </c>
      <c r="O27" s="16" t="s">
        <v>58</v>
      </c>
      <c r="P27" s="12"/>
      <c r="Q27" s="12"/>
      <c r="R27" s="12"/>
    </row>
    <row r="28" spans="1:18">
      <c r="A28" s="13" t="s">
        <v>59</v>
      </c>
      <c r="B28" s="64">
        <v>680</v>
      </c>
      <c r="C28" s="47">
        <v>236</v>
      </c>
      <c r="D28" s="47">
        <v>13.145</v>
      </c>
      <c r="E28" s="48" t="s">
        <v>18</v>
      </c>
      <c r="F28" s="48" t="s">
        <v>18</v>
      </c>
      <c r="G28" s="49">
        <v>115</v>
      </c>
      <c r="H28" s="49">
        <v>11.06</v>
      </c>
      <c r="I28" s="48" t="s">
        <v>18</v>
      </c>
      <c r="J28" s="48" t="s">
        <v>18</v>
      </c>
      <c r="K28" s="49">
        <v>210</v>
      </c>
      <c r="L28" s="50">
        <v>20.399999999999999</v>
      </c>
      <c r="M28" s="51">
        <v>119</v>
      </c>
      <c r="N28" s="65">
        <v>10.98</v>
      </c>
      <c r="O28" s="16" t="s">
        <v>60</v>
      </c>
      <c r="P28" s="12"/>
      <c r="Q28" s="12"/>
      <c r="R28" s="12"/>
    </row>
    <row r="29" spans="1:18">
      <c r="A29" s="13" t="s">
        <v>61</v>
      </c>
      <c r="B29" s="64">
        <v>82</v>
      </c>
      <c r="C29" s="47">
        <v>2</v>
      </c>
      <c r="D29" s="47">
        <v>0.56000000000000005</v>
      </c>
      <c r="E29" s="48" t="s">
        <v>18</v>
      </c>
      <c r="F29" s="48" t="s">
        <v>18</v>
      </c>
      <c r="G29" s="52" t="s">
        <v>18</v>
      </c>
      <c r="H29" s="52" t="s">
        <v>18</v>
      </c>
      <c r="I29" s="48" t="s">
        <v>18</v>
      </c>
      <c r="J29" s="48" t="s">
        <v>18</v>
      </c>
      <c r="K29" s="49">
        <v>80</v>
      </c>
      <c r="L29" s="50">
        <v>1.4</v>
      </c>
      <c r="M29" s="51">
        <v>0</v>
      </c>
      <c r="N29" s="65">
        <v>0</v>
      </c>
      <c r="O29" s="16" t="s">
        <v>62</v>
      </c>
      <c r="P29" s="12"/>
      <c r="Q29" s="12"/>
      <c r="R29" s="12"/>
    </row>
    <row r="30" spans="1:18">
      <c r="A30" s="13" t="s">
        <v>63</v>
      </c>
      <c r="B30" s="64">
        <v>145</v>
      </c>
      <c r="C30" s="47">
        <v>45</v>
      </c>
      <c r="D30" s="47">
        <v>25</v>
      </c>
      <c r="E30" s="48" t="s">
        <v>18</v>
      </c>
      <c r="F30" s="48" t="s">
        <v>18</v>
      </c>
      <c r="G30" s="52" t="s">
        <v>18</v>
      </c>
      <c r="H30" s="52" t="s">
        <v>18</v>
      </c>
      <c r="I30" s="48" t="s">
        <v>18</v>
      </c>
      <c r="J30" s="48" t="s">
        <v>18</v>
      </c>
      <c r="K30" s="49">
        <v>100</v>
      </c>
      <c r="L30" s="50">
        <v>10</v>
      </c>
      <c r="M30" s="51">
        <v>0</v>
      </c>
      <c r="N30" s="65">
        <v>0</v>
      </c>
      <c r="O30" s="16" t="s">
        <v>64</v>
      </c>
      <c r="P30" s="12"/>
      <c r="Q30" s="12"/>
      <c r="R30" s="12"/>
    </row>
    <row r="31" spans="1:18" ht="19.2" customHeight="1">
      <c r="A31" s="30" t="s">
        <v>65</v>
      </c>
      <c r="B31" s="67">
        <f>SUM(B32:B36)</f>
        <v>21746</v>
      </c>
      <c r="C31" s="42">
        <f t="shared" ref="C31:N31" si="5">SUM(C32:C36)</f>
        <v>16020</v>
      </c>
      <c r="D31" s="42">
        <f t="shared" si="5"/>
        <v>2772.5350000000003</v>
      </c>
      <c r="E31" s="42">
        <f t="shared" si="5"/>
        <v>10</v>
      </c>
      <c r="F31" s="42">
        <f t="shared" si="5"/>
        <v>1.5</v>
      </c>
      <c r="G31" s="42">
        <f t="shared" si="5"/>
        <v>20</v>
      </c>
      <c r="H31" s="42">
        <f t="shared" si="5"/>
        <v>4</v>
      </c>
      <c r="I31" s="42">
        <f t="shared" si="5"/>
        <v>0</v>
      </c>
      <c r="J31" s="42">
        <f t="shared" si="5"/>
        <v>0</v>
      </c>
      <c r="K31" s="42">
        <f t="shared" si="5"/>
        <v>2218</v>
      </c>
      <c r="L31" s="42">
        <f t="shared" si="5"/>
        <v>189.95</v>
      </c>
      <c r="M31" s="42">
        <f t="shared" si="5"/>
        <v>3478</v>
      </c>
      <c r="N31" s="68">
        <f t="shared" si="5"/>
        <v>1214.8300000000002</v>
      </c>
      <c r="O31" s="17" t="s">
        <v>66</v>
      </c>
      <c r="P31" s="17"/>
      <c r="Q31" s="17"/>
      <c r="R31" s="12"/>
    </row>
    <row r="32" spans="1:18">
      <c r="A32" s="13" t="s">
        <v>67</v>
      </c>
      <c r="B32" s="64">
        <v>15090</v>
      </c>
      <c r="C32" s="47">
        <v>12370</v>
      </c>
      <c r="D32" s="47">
        <v>2017.67</v>
      </c>
      <c r="E32" s="52" t="s">
        <v>18</v>
      </c>
      <c r="F32" s="52" t="s">
        <v>18</v>
      </c>
      <c r="G32" s="52" t="s">
        <v>18</v>
      </c>
      <c r="H32" s="52" t="s">
        <v>18</v>
      </c>
      <c r="I32" s="48" t="s">
        <v>18</v>
      </c>
      <c r="J32" s="48" t="s">
        <v>18</v>
      </c>
      <c r="K32" s="49">
        <v>667</v>
      </c>
      <c r="L32" s="50">
        <v>111.95</v>
      </c>
      <c r="M32" s="51">
        <v>2053</v>
      </c>
      <c r="N32" s="65">
        <v>873.38</v>
      </c>
      <c r="O32" s="16" t="s">
        <v>68</v>
      </c>
      <c r="P32" s="12"/>
      <c r="Q32" s="12"/>
      <c r="R32" s="12"/>
    </row>
    <row r="33" spans="1:18">
      <c r="A33" s="13" t="s">
        <v>69</v>
      </c>
      <c r="B33" s="64">
        <v>4690</v>
      </c>
      <c r="C33" s="47">
        <v>2215</v>
      </c>
      <c r="D33" s="47">
        <v>467.9</v>
      </c>
      <c r="E33" s="52" t="s">
        <v>18</v>
      </c>
      <c r="F33" s="52" t="s">
        <v>18</v>
      </c>
      <c r="G33" s="52" t="s">
        <v>18</v>
      </c>
      <c r="H33" s="52" t="s">
        <v>18</v>
      </c>
      <c r="I33" s="48" t="s">
        <v>18</v>
      </c>
      <c r="J33" s="48" t="s">
        <v>18</v>
      </c>
      <c r="K33" s="49">
        <v>1550</v>
      </c>
      <c r="L33" s="50">
        <v>78</v>
      </c>
      <c r="M33" s="51">
        <v>925</v>
      </c>
      <c r="N33" s="65">
        <v>220.5</v>
      </c>
      <c r="O33" s="16" t="s">
        <v>70</v>
      </c>
      <c r="P33" s="12"/>
      <c r="Q33" s="12"/>
      <c r="R33" s="12"/>
    </row>
    <row r="34" spans="1:18">
      <c r="A34" s="13" t="s">
        <v>71</v>
      </c>
      <c r="B34" s="64">
        <v>20</v>
      </c>
      <c r="C34" s="48" t="s">
        <v>18</v>
      </c>
      <c r="D34" s="47">
        <v>0</v>
      </c>
      <c r="E34" s="52" t="s">
        <v>18</v>
      </c>
      <c r="F34" s="52" t="s">
        <v>18</v>
      </c>
      <c r="G34" s="49">
        <v>20</v>
      </c>
      <c r="H34" s="49">
        <v>4</v>
      </c>
      <c r="I34" s="48" t="s">
        <v>18</v>
      </c>
      <c r="J34" s="48" t="s">
        <v>18</v>
      </c>
      <c r="K34" s="48" t="s">
        <v>18</v>
      </c>
      <c r="L34" s="48" t="s">
        <v>18</v>
      </c>
      <c r="M34" s="51">
        <v>0</v>
      </c>
      <c r="N34" s="65">
        <v>0</v>
      </c>
      <c r="O34" s="16" t="s">
        <v>72</v>
      </c>
      <c r="P34" s="12"/>
      <c r="Q34" s="12"/>
      <c r="R34" s="12"/>
    </row>
    <row r="35" spans="1:18" ht="10.199999999999999" customHeight="1">
      <c r="A35" s="13" t="s">
        <v>73</v>
      </c>
      <c r="B35" s="64">
        <v>0</v>
      </c>
      <c r="C35" s="48" t="s">
        <v>18</v>
      </c>
      <c r="D35" s="48" t="s">
        <v>18</v>
      </c>
      <c r="E35" s="52" t="s">
        <v>18</v>
      </c>
      <c r="F35" s="52" t="s">
        <v>18</v>
      </c>
      <c r="G35" s="52" t="s">
        <v>18</v>
      </c>
      <c r="H35" s="52" t="s">
        <v>18</v>
      </c>
      <c r="I35" s="48" t="s">
        <v>18</v>
      </c>
      <c r="J35" s="48" t="s">
        <v>18</v>
      </c>
      <c r="K35" s="48" t="s">
        <v>18</v>
      </c>
      <c r="L35" s="48" t="s">
        <v>18</v>
      </c>
      <c r="M35" s="53" t="s">
        <v>18</v>
      </c>
      <c r="N35" s="69"/>
      <c r="O35" s="18" t="s">
        <v>74</v>
      </c>
      <c r="P35" s="18"/>
      <c r="Q35" s="18"/>
      <c r="R35" s="12"/>
    </row>
    <row r="36" spans="1:18">
      <c r="A36" s="13" t="s">
        <v>75</v>
      </c>
      <c r="B36" s="64">
        <v>1946</v>
      </c>
      <c r="C36" s="47">
        <v>1435</v>
      </c>
      <c r="D36" s="47">
        <v>286.96499999999997</v>
      </c>
      <c r="E36" s="49">
        <v>10</v>
      </c>
      <c r="F36" s="49">
        <v>1.5</v>
      </c>
      <c r="G36" s="52" t="s">
        <v>18</v>
      </c>
      <c r="H36" s="52" t="s">
        <v>18</v>
      </c>
      <c r="I36" s="48" t="s">
        <v>18</v>
      </c>
      <c r="J36" s="48" t="s">
        <v>18</v>
      </c>
      <c r="K36" s="48">
        <v>1</v>
      </c>
      <c r="L36" s="48" t="s">
        <v>18</v>
      </c>
      <c r="M36" s="51">
        <v>500</v>
      </c>
      <c r="N36" s="65">
        <v>120.95</v>
      </c>
      <c r="O36" s="16" t="s">
        <v>76</v>
      </c>
      <c r="P36" s="12"/>
      <c r="Q36" s="12"/>
      <c r="R36" s="12"/>
    </row>
    <row r="37" spans="1:18" ht="19.2" customHeight="1">
      <c r="A37" s="30" t="s">
        <v>77</v>
      </c>
      <c r="B37" s="67">
        <f>SUM(B38:B42)</f>
        <v>17206</v>
      </c>
      <c r="C37" s="42">
        <f t="shared" ref="C37:N37" si="6">SUM(C38:C42)</f>
        <v>5605</v>
      </c>
      <c r="D37" s="42">
        <f t="shared" si="6"/>
        <v>1033.56</v>
      </c>
      <c r="E37" s="42">
        <f t="shared" si="6"/>
        <v>0</v>
      </c>
      <c r="F37" s="42">
        <f t="shared" si="6"/>
        <v>0</v>
      </c>
      <c r="G37" s="42">
        <f t="shared" si="6"/>
        <v>0</v>
      </c>
      <c r="H37" s="42">
        <f t="shared" si="6"/>
        <v>0</v>
      </c>
      <c r="I37" s="42">
        <f t="shared" si="6"/>
        <v>94</v>
      </c>
      <c r="J37" s="42">
        <f t="shared" si="6"/>
        <v>5</v>
      </c>
      <c r="K37" s="42">
        <f t="shared" si="6"/>
        <v>9060</v>
      </c>
      <c r="L37" s="42">
        <f t="shared" si="6"/>
        <v>442.3</v>
      </c>
      <c r="M37" s="42">
        <f t="shared" si="6"/>
        <v>2447</v>
      </c>
      <c r="N37" s="68">
        <f t="shared" si="6"/>
        <v>366.25000000000006</v>
      </c>
      <c r="O37" s="19" t="s">
        <v>78</v>
      </c>
      <c r="P37" s="19"/>
      <c r="Q37" s="19"/>
      <c r="R37" s="12"/>
    </row>
    <row r="38" spans="1:18">
      <c r="A38" s="13" t="s">
        <v>79</v>
      </c>
      <c r="B38" s="64">
        <v>13231</v>
      </c>
      <c r="C38" s="47">
        <v>2846</v>
      </c>
      <c r="D38" s="47">
        <v>379.7</v>
      </c>
      <c r="E38" s="52" t="s">
        <v>18</v>
      </c>
      <c r="F38" s="52" t="s">
        <v>18</v>
      </c>
      <c r="G38" s="52" t="s">
        <v>18</v>
      </c>
      <c r="H38" s="52" t="s">
        <v>18</v>
      </c>
      <c r="I38" s="49">
        <v>90</v>
      </c>
      <c r="J38" s="49">
        <v>5</v>
      </c>
      <c r="K38" s="49">
        <v>8790</v>
      </c>
      <c r="L38" s="50">
        <v>426.45</v>
      </c>
      <c r="M38" s="51">
        <v>1505</v>
      </c>
      <c r="N38" s="65">
        <v>252.35</v>
      </c>
      <c r="O38" s="16" t="s">
        <v>80</v>
      </c>
      <c r="P38" s="12"/>
      <c r="Q38" s="12"/>
      <c r="R38" s="12"/>
    </row>
    <row r="39" spans="1:18">
      <c r="A39" s="13" t="s">
        <v>81</v>
      </c>
      <c r="B39" s="64">
        <v>1980</v>
      </c>
      <c r="C39" s="47">
        <v>1500</v>
      </c>
      <c r="D39" s="47">
        <v>521.5</v>
      </c>
      <c r="E39" s="52" t="s">
        <v>18</v>
      </c>
      <c r="F39" s="52" t="s">
        <v>18</v>
      </c>
      <c r="G39" s="52" t="s">
        <v>18</v>
      </c>
      <c r="H39" s="52" t="s">
        <v>18</v>
      </c>
      <c r="I39" s="52" t="s">
        <v>18</v>
      </c>
      <c r="J39" s="52" t="s">
        <v>18</v>
      </c>
      <c r="K39" s="49">
        <v>230</v>
      </c>
      <c r="L39" s="50">
        <v>11.2</v>
      </c>
      <c r="M39" s="51">
        <v>250</v>
      </c>
      <c r="N39" s="65">
        <v>43</v>
      </c>
      <c r="O39" s="16" t="s">
        <v>82</v>
      </c>
      <c r="P39" s="12"/>
      <c r="Q39" s="12"/>
      <c r="R39" s="12"/>
    </row>
    <row r="40" spans="1:18">
      <c r="A40" s="13" t="s">
        <v>83</v>
      </c>
      <c r="B40" s="64">
        <v>1860</v>
      </c>
      <c r="C40" s="47">
        <v>1174</v>
      </c>
      <c r="D40" s="47">
        <v>110.36</v>
      </c>
      <c r="E40" s="52" t="s">
        <v>18</v>
      </c>
      <c r="F40" s="52" t="s">
        <v>18</v>
      </c>
      <c r="G40" s="52" t="s">
        <v>18</v>
      </c>
      <c r="H40" s="52" t="s">
        <v>18</v>
      </c>
      <c r="I40" s="49">
        <v>4</v>
      </c>
      <c r="J40" s="52" t="s">
        <v>18</v>
      </c>
      <c r="K40" s="49">
        <v>5</v>
      </c>
      <c r="L40" s="50">
        <v>1.6</v>
      </c>
      <c r="M40" s="51">
        <v>677</v>
      </c>
      <c r="N40" s="65">
        <v>68.050000000000011</v>
      </c>
      <c r="O40" s="16" t="s">
        <v>84</v>
      </c>
      <c r="P40" s="12"/>
      <c r="Q40" s="12"/>
      <c r="R40" s="12"/>
    </row>
    <row r="41" spans="1:18">
      <c r="A41" s="13" t="s">
        <v>85</v>
      </c>
      <c r="B41" s="64">
        <v>35</v>
      </c>
      <c r="C41" s="48" t="s">
        <v>18</v>
      </c>
      <c r="D41" s="47">
        <v>0</v>
      </c>
      <c r="E41" s="52" t="s">
        <v>18</v>
      </c>
      <c r="F41" s="52" t="s">
        <v>18</v>
      </c>
      <c r="G41" s="52" t="s">
        <v>18</v>
      </c>
      <c r="H41" s="52" t="s">
        <v>18</v>
      </c>
      <c r="I41" s="48" t="s">
        <v>18</v>
      </c>
      <c r="J41" s="48" t="s">
        <v>18</v>
      </c>
      <c r="K41" s="49">
        <v>35</v>
      </c>
      <c r="L41" s="50">
        <v>3.05</v>
      </c>
      <c r="M41" s="51">
        <v>0</v>
      </c>
      <c r="N41" s="65">
        <v>0</v>
      </c>
      <c r="O41" s="16" t="s">
        <v>86</v>
      </c>
      <c r="P41" s="12"/>
      <c r="Q41" s="12"/>
      <c r="R41" s="12"/>
    </row>
    <row r="42" spans="1:18">
      <c r="A42" s="13" t="s">
        <v>87</v>
      </c>
      <c r="B42" s="64">
        <v>100</v>
      </c>
      <c r="C42" s="47">
        <v>85</v>
      </c>
      <c r="D42" s="47">
        <v>22</v>
      </c>
      <c r="E42" s="52" t="s">
        <v>18</v>
      </c>
      <c r="F42" s="52" t="s">
        <v>18</v>
      </c>
      <c r="G42" s="52" t="s">
        <v>18</v>
      </c>
      <c r="H42" s="52" t="s">
        <v>18</v>
      </c>
      <c r="I42" s="48" t="s">
        <v>18</v>
      </c>
      <c r="J42" s="48" t="s">
        <v>18</v>
      </c>
      <c r="K42" s="48" t="s">
        <v>18</v>
      </c>
      <c r="L42" s="48" t="s">
        <v>18</v>
      </c>
      <c r="M42" s="51">
        <v>15</v>
      </c>
      <c r="N42" s="65">
        <v>2.85</v>
      </c>
      <c r="O42" s="16" t="s">
        <v>88</v>
      </c>
      <c r="P42" s="12"/>
      <c r="Q42" s="12"/>
      <c r="R42" s="12"/>
    </row>
    <row r="43" spans="1:18" ht="18.600000000000001" customHeight="1">
      <c r="A43" s="30" t="s">
        <v>89</v>
      </c>
      <c r="B43" s="67">
        <f>SUM(B44:B48)</f>
        <v>1703</v>
      </c>
      <c r="C43" s="42">
        <f t="shared" ref="C43:N43" si="7">SUM(C44:C48)</f>
        <v>537</v>
      </c>
      <c r="D43" s="42">
        <f t="shared" si="7"/>
        <v>81.73</v>
      </c>
      <c r="E43" s="42">
        <f t="shared" si="7"/>
        <v>0</v>
      </c>
      <c r="F43" s="42">
        <f t="shared" si="7"/>
        <v>0</v>
      </c>
      <c r="G43" s="42">
        <f t="shared" si="7"/>
        <v>120</v>
      </c>
      <c r="H43" s="42">
        <f t="shared" si="7"/>
        <v>7.2</v>
      </c>
      <c r="I43" s="42">
        <f t="shared" si="7"/>
        <v>26</v>
      </c>
      <c r="J43" s="42">
        <f t="shared" si="7"/>
        <v>3.8</v>
      </c>
      <c r="K43" s="42">
        <f t="shared" si="7"/>
        <v>42</v>
      </c>
      <c r="L43" s="42">
        <f t="shared" si="7"/>
        <v>5.3800000000000008</v>
      </c>
      <c r="M43" s="42">
        <f t="shared" si="7"/>
        <v>978</v>
      </c>
      <c r="N43" s="68">
        <f t="shared" si="7"/>
        <v>137.61000000000001</v>
      </c>
      <c r="O43" s="17" t="s">
        <v>90</v>
      </c>
      <c r="P43" s="17"/>
      <c r="Q43" s="17"/>
      <c r="R43" s="12"/>
    </row>
    <row r="44" spans="1:18">
      <c r="A44" s="13" t="s">
        <v>91</v>
      </c>
      <c r="B44" s="64">
        <v>273</v>
      </c>
      <c r="C44" s="47">
        <v>36</v>
      </c>
      <c r="D44" s="47">
        <v>7.12</v>
      </c>
      <c r="E44" s="48" t="s">
        <v>18</v>
      </c>
      <c r="F44" s="48" t="s">
        <v>18</v>
      </c>
      <c r="G44" s="52" t="s">
        <v>18</v>
      </c>
      <c r="H44" s="48" t="s">
        <v>18</v>
      </c>
      <c r="I44" s="48" t="s">
        <v>18</v>
      </c>
      <c r="J44" s="48" t="s">
        <v>18</v>
      </c>
      <c r="K44" s="47">
        <v>29</v>
      </c>
      <c r="L44" s="50">
        <v>4.28</v>
      </c>
      <c r="M44" s="51">
        <v>208</v>
      </c>
      <c r="N44" s="65">
        <v>9.8000000000000007</v>
      </c>
      <c r="O44" s="16" t="s">
        <v>92</v>
      </c>
      <c r="P44" s="12"/>
      <c r="Q44" s="12"/>
      <c r="R44" s="12"/>
    </row>
    <row r="45" spans="1:18">
      <c r="A45" s="13" t="s">
        <v>93</v>
      </c>
      <c r="B45" s="64">
        <v>728</v>
      </c>
      <c r="C45" s="47">
        <v>256</v>
      </c>
      <c r="D45" s="47">
        <v>46.85</v>
      </c>
      <c r="E45" s="48" t="s">
        <v>18</v>
      </c>
      <c r="F45" s="48" t="s">
        <v>18</v>
      </c>
      <c r="G45" s="49">
        <v>120</v>
      </c>
      <c r="H45" s="47">
        <v>7.2</v>
      </c>
      <c r="I45" s="47">
        <v>26</v>
      </c>
      <c r="J45" s="47">
        <v>3.8</v>
      </c>
      <c r="K45" s="48" t="s">
        <v>18</v>
      </c>
      <c r="L45" s="48" t="s">
        <v>18</v>
      </c>
      <c r="M45" s="51">
        <v>326</v>
      </c>
      <c r="N45" s="65">
        <v>76.040000000000006</v>
      </c>
      <c r="O45" s="16" t="s">
        <v>94</v>
      </c>
      <c r="P45" s="12"/>
      <c r="Q45" s="12"/>
      <c r="R45" s="12"/>
    </row>
    <row r="46" spans="1:18">
      <c r="A46" s="13" t="s">
        <v>95</v>
      </c>
      <c r="B46" s="64">
        <v>0</v>
      </c>
      <c r="C46" s="48" t="s">
        <v>18</v>
      </c>
      <c r="D46" s="48" t="s">
        <v>18</v>
      </c>
      <c r="E46" s="48" t="s">
        <v>18</v>
      </c>
      <c r="F46" s="48" t="s">
        <v>18</v>
      </c>
      <c r="G46" s="52" t="s">
        <v>18</v>
      </c>
      <c r="H46" s="48" t="s">
        <v>18</v>
      </c>
      <c r="I46" s="48" t="s">
        <v>18</v>
      </c>
      <c r="J46" s="48" t="s">
        <v>18</v>
      </c>
      <c r="K46" s="48" t="s">
        <v>18</v>
      </c>
      <c r="L46" s="48" t="s">
        <v>18</v>
      </c>
      <c r="M46" s="53" t="s">
        <v>18</v>
      </c>
      <c r="N46" s="69"/>
      <c r="O46" s="16" t="s">
        <v>96</v>
      </c>
      <c r="P46" s="12"/>
      <c r="Q46" s="12"/>
      <c r="R46" s="12"/>
    </row>
    <row r="47" spans="1:18">
      <c r="A47" s="13" t="s">
        <v>97</v>
      </c>
      <c r="B47" s="64">
        <v>673</v>
      </c>
      <c r="C47" s="47">
        <v>223</v>
      </c>
      <c r="D47" s="47">
        <v>23.06</v>
      </c>
      <c r="E47" s="48" t="s">
        <v>18</v>
      </c>
      <c r="F47" s="48" t="s">
        <v>18</v>
      </c>
      <c r="G47" s="52" t="s">
        <v>18</v>
      </c>
      <c r="H47" s="52" t="s">
        <v>18</v>
      </c>
      <c r="I47" s="48" t="s">
        <v>18</v>
      </c>
      <c r="J47" s="48" t="s">
        <v>18</v>
      </c>
      <c r="K47" s="47">
        <v>13</v>
      </c>
      <c r="L47" s="50">
        <v>1.1000000000000001</v>
      </c>
      <c r="M47" s="51">
        <v>437</v>
      </c>
      <c r="N47" s="65">
        <v>50.47</v>
      </c>
      <c r="O47" s="16" t="s">
        <v>98</v>
      </c>
      <c r="P47" s="12"/>
      <c r="Q47" s="12"/>
      <c r="R47" s="12"/>
    </row>
    <row r="48" spans="1:18">
      <c r="A48" s="13" t="s">
        <v>99</v>
      </c>
      <c r="B48" s="64">
        <v>29</v>
      </c>
      <c r="C48" s="47">
        <v>22</v>
      </c>
      <c r="D48" s="47">
        <v>4.7</v>
      </c>
      <c r="E48" s="48" t="s">
        <v>18</v>
      </c>
      <c r="F48" s="48" t="s">
        <v>18</v>
      </c>
      <c r="G48" s="52" t="s">
        <v>18</v>
      </c>
      <c r="H48" s="52" t="s">
        <v>18</v>
      </c>
      <c r="I48" s="48" t="s">
        <v>18</v>
      </c>
      <c r="J48" s="48" t="s">
        <v>18</v>
      </c>
      <c r="K48" s="48" t="s">
        <v>18</v>
      </c>
      <c r="L48" s="48" t="s">
        <v>18</v>
      </c>
      <c r="M48" s="51">
        <v>7</v>
      </c>
      <c r="N48" s="65">
        <v>1.3</v>
      </c>
      <c r="O48" s="16" t="s">
        <v>100</v>
      </c>
      <c r="P48" s="12"/>
      <c r="Q48" s="12"/>
      <c r="R48" s="12"/>
    </row>
    <row r="49" spans="1:18" ht="16.2" customHeight="1">
      <c r="A49" s="30" t="s">
        <v>101</v>
      </c>
      <c r="B49" s="67">
        <f>SUM(B50:B52)</f>
        <v>10984</v>
      </c>
      <c r="C49" s="42">
        <f t="shared" ref="C49:N49" si="8">SUM(C50:C52)</f>
        <v>5514</v>
      </c>
      <c r="D49" s="42">
        <f t="shared" si="8"/>
        <v>679.81500000000005</v>
      </c>
      <c r="E49" s="42">
        <f t="shared" si="8"/>
        <v>27</v>
      </c>
      <c r="F49" s="42">
        <f t="shared" si="8"/>
        <v>3.4000000000000004</v>
      </c>
      <c r="G49" s="42">
        <f t="shared" si="8"/>
        <v>2146</v>
      </c>
      <c r="H49" s="42">
        <f t="shared" si="8"/>
        <v>344.10999999999996</v>
      </c>
      <c r="I49" s="42">
        <f t="shared" si="8"/>
        <v>111</v>
      </c>
      <c r="J49" s="42">
        <f t="shared" si="8"/>
        <v>14.299999999999999</v>
      </c>
      <c r="K49" s="42">
        <f t="shared" si="8"/>
        <v>145</v>
      </c>
      <c r="L49" s="42">
        <f t="shared" si="8"/>
        <v>20.5</v>
      </c>
      <c r="M49" s="42">
        <f t="shared" si="8"/>
        <v>3041</v>
      </c>
      <c r="N49" s="68">
        <f t="shared" si="8"/>
        <v>437.63</v>
      </c>
      <c r="O49" s="19" t="s">
        <v>102</v>
      </c>
      <c r="P49" s="19"/>
      <c r="Q49" s="19"/>
      <c r="R49" s="12"/>
    </row>
    <row r="50" spans="1:18">
      <c r="A50" s="13" t="s">
        <v>103</v>
      </c>
      <c r="B50" s="64">
        <v>3417</v>
      </c>
      <c r="C50" s="47">
        <v>2551</v>
      </c>
      <c r="D50" s="47">
        <v>379.16500000000002</v>
      </c>
      <c r="E50" s="47">
        <v>10</v>
      </c>
      <c r="F50" s="47">
        <v>2</v>
      </c>
      <c r="G50" s="49">
        <v>580</v>
      </c>
      <c r="H50" s="47">
        <v>89</v>
      </c>
      <c r="I50" s="47">
        <v>90</v>
      </c>
      <c r="J50" s="49">
        <v>10</v>
      </c>
      <c r="K50" s="49">
        <v>100</v>
      </c>
      <c r="L50" s="50">
        <v>17</v>
      </c>
      <c r="M50" s="51">
        <v>86</v>
      </c>
      <c r="N50" s="65">
        <v>11.87</v>
      </c>
      <c r="O50" s="16" t="s">
        <v>104</v>
      </c>
      <c r="P50" s="12"/>
      <c r="Q50" s="12"/>
      <c r="R50" s="12"/>
    </row>
    <row r="51" spans="1:18" ht="10.199999999999999" customHeight="1">
      <c r="A51" s="13" t="s">
        <v>105</v>
      </c>
      <c r="B51" s="64">
        <v>2712</v>
      </c>
      <c r="C51" s="47">
        <v>306</v>
      </c>
      <c r="D51" s="47">
        <v>61.32</v>
      </c>
      <c r="E51" s="47">
        <v>2</v>
      </c>
      <c r="F51" s="47">
        <v>0.2</v>
      </c>
      <c r="G51" s="49">
        <v>957</v>
      </c>
      <c r="H51" s="47">
        <v>196.9</v>
      </c>
      <c r="I51" s="47">
        <v>4</v>
      </c>
      <c r="J51" s="49">
        <v>1.2</v>
      </c>
      <c r="K51" s="49">
        <v>5</v>
      </c>
      <c r="L51" s="50">
        <v>1.5</v>
      </c>
      <c r="M51" s="51">
        <v>1438</v>
      </c>
      <c r="N51" s="65">
        <v>290.3</v>
      </c>
      <c r="O51" s="18" t="s">
        <v>106</v>
      </c>
      <c r="P51" s="18"/>
      <c r="Q51" s="18"/>
      <c r="R51" s="12"/>
    </row>
    <row r="52" spans="1:18">
      <c r="A52" s="13" t="s">
        <v>107</v>
      </c>
      <c r="B52" s="64">
        <v>4855</v>
      </c>
      <c r="C52" s="47">
        <v>2657</v>
      </c>
      <c r="D52" s="47">
        <v>239.33</v>
      </c>
      <c r="E52" s="47">
        <v>15</v>
      </c>
      <c r="F52" s="47">
        <v>1.2</v>
      </c>
      <c r="G52" s="49">
        <v>609</v>
      </c>
      <c r="H52" s="47">
        <v>58.21</v>
      </c>
      <c r="I52" s="47">
        <v>17</v>
      </c>
      <c r="J52" s="49">
        <v>3.1</v>
      </c>
      <c r="K52" s="49">
        <v>40</v>
      </c>
      <c r="L52" s="50">
        <v>2</v>
      </c>
      <c r="M52" s="51">
        <v>1517</v>
      </c>
      <c r="N52" s="65">
        <v>135.45999999999998</v>
      </c>
      <c r="O52" s="16" t="s">
        <v>108</v>
      </c>
      <c r="P52" s="12"/>
      <c r="Q52" s="12"/>
      <c r="R52" s="12"/>
    </row>
    <row r="53" spans="1:18" ht="18.600000000000001" customHeight="1">
      <c r="A53" s="30" t="s">
        <v>109</v>
      </c>
      <c r="B53" s="67">
        <f>SUM(B54:B58)</f>
        <v>5356</v>
      </c>
      <c r="C53" s="42">
        <f t="shared" ref="C53:N53" si="9">SUM(C54:C58)</f>
        <v>3956</v>
      </c>
      <c r="D53" s="42">
        <f t="shared" si="9"/>
        <v>774.51</v>
      </c>
      <c r="E53" s="42">
        <f t="shared" si="9"/>
        <v>12</v>
      </c>
      <c r="F53" s="42">
        <f t="shared" si="9"/>
        <v>2.0499999999999998</v>
      </c>
      <c r="G53" s="42">
        <f t="shared" si="9"/>
        <v>95</v>
      </c>
      <c r="H53" s="42">
        <f t="shared" si="9"/>
        <v>12.56</v>
      </c>
      <c r="I53" s="42">
        <f t="shared" si="9"/>
        <v>557</v>
      </c>
      <c r="J53" s="42">
        <f t="shared" si="9"/>
        <v>118.5</v>
      </c>
      <c r="K53" s="42">
        <f t="shared" si="9"/>
        <v>0</v>
      </c>
      <c r="L53" s="42">
        <f t="shared" si="9"/>
        <v>0</v>
      </c>
      <c r="M53" s="42">
        <f t="shared" si="9"/>
        <v>736</v>
      </c>
      <c r="N53" s="68">
        <f t="shared" si="9"/>
        <v>180.31000000000003</v>
      </c>
      <c r="O53" s="19" t="s">
        <v>110</v>
      </c>
      <c r="P53" s="19"/>
      <c r="Q53" s="19"/>
      <c r="R53" s="12"/>
    </row>
    <row r="54" spans="1:18">
      <c r="A54" s="13" t="s">
        <v>111</v>
      </c>
      <c r="B54" s="64">
        <v>2720</v>
      </c>
      <c r="C54" s="47">
        <v>2168</v>
      </c>
      <c r="D54" s="47">
        <v>368.66</v>
      </c>
      <c r="E54" s="47">
        <v>5</v>
      </c>
      <c r="F54" s="47">
        <v>0.75</v>
      </c>
      <c r="G54" s="49">
        <v>40</v>
      </c>
      <c r="H54" s="47">
        <v>6</v>
      </c>
      <c r="I54" s="47">
        <v>30</v>
      </c>
      <c r="J54" s="49">
        <v>4.5</v>
      </c>
      <c r="K54" s="48" t="s">
        <v>18</v>
      </c>
      <c r="L54" s="48" t="s">
        <v>18</v>
      </c>
      <c r="M54" s="51">
        <v>477</v>
      </c>
      <c r="N54" s="65">
        <v>123.98</v>
      </c>
      <c r="O54" s="16" t="s">
        <v>112</v>
      </c>
      <c r="P54" s="12"/>
      <c r="Q54" s="12"/>
      <c r="R54" s="12"/>
    </row>
    <row r="55" spans="1:18">
      <c r="A55" s="13" t="s">
        <v>113</v>
      </c>
      <c r="B55" s="64">
        <v>422</v>
      </c>
      <c r="C55" s="47">
        <v>385</v>
      </c>
      <c r="D55" s="47">
        <v>65.900000000000006</v>
      </c>
      <c r="E55" s="48" t="s">
        <v>18</v>
      </c>
      <c r="F55" s="47">
        <v>0</v>
      </c>
      <c r="G55" s="52" t="s">
        <v>18</v>
      </c>
      <c r="H55" s="48" t="s">
        <v>18</v>
      </c>
      <c r="I55" s="48" t="s">
        <v>18</v>
      </c>
      <c r="J55" s="48" t="s">
        <v>18</v>
      </c>
      <c r="K55" s="48" t="s">
        <v>18</v>
      </c>
      <c r="L55" s="48" t="s">
        <v>18</v>
      </c>
      <c r="M55" s="51">
        <v>37</v>
      </c>
      <c r="N55" s="65">
        <v>7</v>
      </c>
      <c r="O55" s="16" t="s">
        <v>114</v>
      </c>
      <c r="P55" s="12"/>
      <c r="Q55" s="12"/>
      <c r="R55" s="12"/>
    </row>
    <row r="56" spans="1:18">
      <c r="A56" s="13" t="s">
        <v>115</v>
      </c>
      <c r="B56" s="64">
        <v>1582</v>
      </c>
      <c r="C56" s="47">
        <v>876</v>
      </c>
      <c r="D56" s="47">
        <v>218.75</v>
      </c>
      <c r="E56" s="47">
        <v>2</v>
      </c>
      <c r="F56" s="47">
        <v>0.5</v>
      </c>
      <c r="G56" s="48" t="s">
        <v>18</v>
      </c>
      <c r="H56" s="48" t="s">
        <v>18</v>
      </c>
      <c r="I56" s="47">
        <v>527</v>
      </c>
      <c r="J56" s="49">
        <v>114</v>
      </c>
      <c r="K56" s="48" t="s">
        <v>18</v>
      </c>
      <c r="L56" s="48" t="s">
        <v>18</v>
      </c>
      <c r="M56" s="51">
        <v>177</v>
      </c>
      <c r="N56" s="65">
        <v>41.1</v>
      </c>
      <c r="O56" s="16" t="s">
        <v>116</v>
      </c>
      <c r="P56" s="12"/>
      <c r="Q56" s="12"/>
      <c r="R56" s="12"/>
    </row>
    <row r="57" spans="1:18">
      <c r="A57" s="13" t="s">
        <v>117</v>
      </c>
      <c r="B57" s="64">
        <v>201</v>
      </c>
      <c r="C57" s="47">
        <v>138</v>
      </c>
      <c r="D57" s="47">
        <v>30.65</v>
      </c>
      <c r="E57" s="48" t="s">
        <v>18</v>
      </c>
      <c r="F57" s="47">
        <v>0</v>
      </c>
      <c r="G57" s="47">
        <v>45</v>
      </c>
      <c r="H57" s="47">
        <v>5.8</v>
      </c>
      <c r="I57" s="48" t="s">
        <v>18</v>
      </c>
      <c r="J57" s="52" t="s">
        <v>18</v>
      </c>
      <c r="K57" s="48" t="s">
        <v>18</v>
      </c>
      <c r="L57" s="48" t="s">
        <v>18</v>
      </c>
      <c r="M57" s="51">
        <v>18</v>
      </c>
      <c r="N57" s="65">
        <v>4.58</v>
      </c>
      <c r="O57" s="16" t="s">
        <v>118</v>
      </c>
      <c r="P57" s="12"/>
      <c r="Q57" s="12"/>
      <c r="R57" s="12"/>
    </row>
    <row r="58" spans="1:18">
      <c r="A58" s="13" t="s">
        <v>119</v>
      </c>
      <c r="B58" s="64">
        <v>431</v>
      </c>
      <c r="C58" s="47">
        <v>389</v>
      </c>
      <c r="D58" s="47">
        <v>90.55</v>
      </c>
      <c r="E58" s="48">
        <v>5</v>
      </c>
      <c r="F58" s="48">
        <v>0.8</v>
      </c>
      <c r="G58" s="47">
        <v>10</v>
      </c>
      <c r="H58" s="47">
        <v>0.76</v>
      </c>
      <c r="I58" s="48" t="s">
        <v>18</v>
      </c>
      <c r="J58" s="48" t="s">
        <v>18</v>
      </c>
      <c r="K58" s="48" t="s">
        <v>18</v>
      </c>
      <c r="L58" s="48" t="s">
        <v>18</v>
      </c>
      <c r="M58" s="51">
        <v>27</v>
      </c>
      <c r="N58" s="65">
        <v>3.65</v>
      </c>
      <c r="O58" s="16" t="s">
        <v>120</v>
      </c>
      <c r="P58" s="12"/>
      <c r="Q58" s="12"/>
      <c r="R58" s="12"/>
    </row>
    <row r="59" spans="1:18" ht="19.8" customHeight="1">
      <c r="A59" s="30" t="s">
        <v>121</v>
      </c>
      <c r="B59" s="67">
        <f>SUM(B60:B63)</f>
        <v>958</v>
      </c>
      <c r="C59" s="42">
        <f t="shared" ref="C59:N59" si="10">SUM(C60:C63)</f>
        <v>942</v>
      </c>
      <c r="D59" s="42">
        <f t="shared" si="10"/>
        <v>181.27</v>
      </c>
      <c r="E59" s="42">
        <f t="shared" si="10"/>
        <v>0</v>
      </c>
      <c r="F59" s="42">
        <f t="shared" si="10"/>
        <v>0</v>
      </c>
      <c r="G59" s="42">
        <f t="shared" si="10"/>
        <v>0</v>
      </c>
      <c r="H59" s="42">
        <f t="shared" si="10"/>
        <v>0</v>
      </c>
      <c r="I59" s="42">
        <f t="shared" si="10"/>
        <v>4</v>
      </c>
      <c r="J59" s="42">
        <f t="shared" si="10"/>
        <v>0</v>
      </c>
      <c r="K59" s="42">
        <f t="shared" si="10"/>
        <v>0</v>
      </c>
      <c r="L59" s="42">
        <f t="shared" si="10"/>
        <v>0</v>
      </c>
      <c r="M59" s="42">
        <f t="shared" si="10"/>
        <v>12</v>
      </c>
      <c r="N59" s="68">
        <f t="shared" si="10"/>
        <v>1.2</v>
      </c>
      <c r="O59" s="17" t="s">
        <v>122</v>
      </c>
      <c r="P59" s="17"/>
      <c r="Q59" s="17"/>
      <c r="R59" s="12"/>
    </row>
    <row r="60" spans="1:18" ht="10.199999999999999" customHeight="1">
      <c r="A60" s="13" t="s">
        <v>123</v>
      </c>
      <c r="B60" s="64">
        <v>110</v>
      </c>
      <c r="C60" s="47">
        <v>110</v>
      </c>
      <c r="D60" s="47">
        <v>63</v>
      </c>
      <c r="E60" s="48" t="s">
        <v>18</v>
      </c>
      <c r="F60" s="48" t="s">
        <v>18</v>
      </c>
      <c r="G60" s="48" t="s">
        <v>18</v>
      </c>
      <c r="H60" s="48" t="s">
        <v>18</v>
      </c>
      <c r="I60" s="48" t="s">
        <v>18</v>
      </c>
      <c r="J60" s="48" t="s">
        <v>18</v>
      </c>
      <c r="K60" s="48" t="s">
        <v>18</v>
      </c>
      <c r="L60" s="48" t="s">
        <v>18</v>
      </c>
      <c r="M60" s="48" t="s">
        <v>18</v>
      </c>
      <c r="N60" s="70"/>
      <c r="O60" s="18" t="s">
        <v>124</v>
      </c>
      <c r="P60" s="18"/>
      <c r="Q60" s="18"/>
      <c r="R60" s="18"/>
    </row>
    <row r="61" spans="1:18" ht="10.199999999999999" customHeight="1">
      <c r="A61" s="13" t="s">
        <v>125</v>
      </c>
      <c r="B61" s="64">
        <v>520</v>
      </c>
      <c r="C61" s="47">
        <v>520</v>
      </c>
      <c r="D61" s="47">
        <v>56</v>
      </c>
      <c r="E61" s="48" t="s">
        <v>18</v>
      </c>
      <c r="F61" s="48" t="s">
        <v>18</v>
      </c>
      <c r="G61" s="48" t="s">
        <v>18</v>
      </c>
      <c r="H61" s="48" t="s">
        <v>18</v>
      </c>
      <c r="I61" s="48" t="s">
        <v>18</v>
      </c>
      <c r="J61" s="48" t="s">
        <v>18</v>
      </c>
      <c r="K61" s="48" t="s">
        <v>18</v>
      </c>
      <c r="L61" s="48" t="s">
        <v>18</v>
      </c>
      <c r="M61" s="48" t="s">
        <v>18</v>
      </c>
      <c r="N61" s="71"/>
      <c r="O61" s="18" t="s">
        <v>126</v>
      </c>
      <c r="P61" s="18"/>
      <c r="Q61" s="18"/>
      <c r="R61" s="18"/>
    </row>
    <row r="62" spans="1:18">
      <c r="A62" s="13" t="s">
        <v>127</v>
      </c>
      <c r="B62" s="64">
        <v>0</v>
      </c>
      <c r="C62" s="48" t="s">
        <v>18</v>
      </c>
      <c r="D62" s="48" t="s">
        <v>18</v>
      </c>
      <c r="E62" s="48" t="s">
        <v>18</v>
      </c>
      <c r="F62" s="48" t="s">
        <v>18</v>
      </c>
      <c r="G62" s="48" t="s">
        <v>18</v>
      </c>
      <c r="H62" s="48" t="s">
        <v>18</v>
      </c>
      <c r="I62" s="48" t="s">
        <v>18</v>
      </c>
      <c r="J62" s="48" t="s">
        <v>18</v>
      </c>
      <c r="K62" s="48" t="s">
        <v>18</v>
      </c>
      <c r="L62" s="48" t="s">
        <v>18</v>
      </c>
      <c r="M62" s="48" t="s">
        <v>18</v>
      </c>
      <c r="N62" s="70"/>
      <c r="O62" s="18" t="s">
        <v>128</v>
      </c>
      <c r="P62" s="18"/>
      <c r="Q62" s="18"/>
      <c r="R62" s="18"/>
    </row>
    <row r="63" spans="1:18" ht="10.199999999999999" customHeight="1">
      <c r="A63" s="13" t="s">
        <v>129</v>
      </c>
      <c r="B63" s="64">
        <v>328</v>
      </c>
      <c r="C63" s="47">
        <v>312</v>
      </c>
      <c r="D63" s="47">
        <v>62.27</v>
      </c>
      <c r="E63" s="48" t="s">
        <v>18</v>
      </c>
      <c r="F63" s="48" t="s">
        <v>18</v>
      </c>
      <c r="G63" s="48" t="s">
        <v>18</v>
      </c>
      <c r="H63" s="48" t="s">
        <v>18</v>
      </c>
      <c r="I63" s="49">
        <v>4</v>
      </c>
      <c r="J63" s="52" t="s">
        <v>18</v>
      </c>
      <c r="K63" s="48" t="s">
        <v>18</v>
      </c>
      <c r="L63" s="48" t="s">
        <v>18</v>
      </c>
      <c r="M63" s="51">
        <v>12</v>
      </c>
      <c r="N63" s="65">
        <v>1.2</v>
      </c>
      <c r="O63" s="18" t="s">
        <v>130</v>
      </c>
      <c r="P63" s="18"/>
      <c r="Q63" s="18"/>
      <c r="R63" s="18"/>
    </row>
    <row r="64" spans="1:18" ht="19.2" customHeight="1">
      <c r="A64" s="30" t="s">
        <v>131</v>
      </c>
      <c r="B64" s="67">
        <f>SUM(B65:B69)</f>
        <v>2408</v>
      </c>
      <c r="C64" s="42">
        <f t="shared" ref="C64:N64" si="11">SUM(C65:C69)</f>
        <v>1833</v>
      </c>
      <c r="D64" s="42">
        <f t="shared" si="11"/>
        <v>210.286</v>
      </c>
      <c r="E64" s="42">
        <f t="shared" si="11"/>
        <v>10</v>
      </c>
      <c r="F64" s="42">
        <f t="shared" si="11"/>
        <v>1.05</v>
      </c>
      <c r="G64" s="42">
        <f t="shared" si="11"/>
        <v>16</v>
      </c>
      <c r="H64" s="42">
        <f t="shared" si="11"/>
        <v>1.28</v>
      </c>
      <c r="I64" s="42">
        <f t="shared" si="11"/>
        <v>0</v>
      </c>
      <c r="J64" s="42">
        <f t="shared" si="11"/>
        <v>0</v>
      </c>
      <c r="K64" s="42">
        <f t="shared" si="11"/>
        <v>0</v>
      </c>
      <c r="L64" s="42">
        <f t="shared" si="11"/>
        <v>0</v>
      </c>
      <c r="M64" s="42">
        <f t="shared" si="11"/>
        <v>549</v>
      </c>
      <c r="N64" s="68">
        <f t="shared" si="11"/>
        <v>89.300000000000011</v>
      </c>
      <c r="O64" s="19" t="s">
        <v>132</v>
      </c>
      <c r="P64" s="19"/>
      <c r="Q64" s="19"/>
      <c r="R64" s="20"/>
    </row>
    <row r="65" spans="1:18">
      <c r="A65" s="13" t="s">
        <v>133</v>
      </c>
      <c r="B65" s="64">
        <v>917</v>
      </c>
      <c r="C65" s="47">
        <v>559</v>
      </c>
      <c r="D65" s="47">
        <v>57.36</v>
      </c>
      <c r="E65" s="52" t="s">
        <v>18</v>
      </c>
      <c r="F65" s="52" t="s">
        <v>18</v>
      </c>
      <c r="G65" s="48" t="s">
        <v>18</v>
      </c>
      <c r="H65" s="48" t="s">
        <v>18</v>
      </c>
      <c r="I65" s="48" t="s">
        <v>18</v>
      </c>
      <c r="J65" s="48" t="s">
        <v>18</v>
      </c>
      <c r="K65" s="48" t="s">
        <v>18</v>
      </c>
      <c r="L65" s="48" t="s">
        <v>18</v>
      </c>
      <c r="M65" s="51">
        <v>358</v>
      </c>
      <c r="N65" s="65">
        <v>58.680000000000007</v>
      </c>
      <c r="O65" s="16" t="s">
        <v>134</v>
      </c>
      <c r="P65" s="12"/>
      <c r="Q65" s="12"/>
      <c r="R65" s="12"/>
    </row>
    <row r="66" spans="1:18">
      <c r="A66" s="13" t="s">
        <v>135</v>
      </c>
      <c r="B66" s="64">
        <v>100</v>
      </c>
      <c r="C66" s="47">
        <v>68</v>
      </c>
      <c r="D66" s="47">
        <v>9.1999999999999993</v>
      </c>
      <c r="E66" s="52" t="s">
        <v>18</v>
      </c>
      <c r="F66" s="52" t="s">
        <v>18</v>
      </c>
      <c r="G66" s="49">
        <v>16</v>
      </c>
      <c r="H66" s="49">
        <v>1.28</v>
      </c>
      <c r="I66" s="48" t="s">
        <v>18</v>
      </c>
      <c r="J66" s="48" t="s">
        <v>18</v>
      </c>
      <c r="K66" s="48" t="s">
        <v>18</v>
      </c>
      <c r="L66" s="48" t="s">
        <v>18</v>
      </c>
      <c r="M66" s="51">
        <v>16</v>
      </c>
      <c r="N66" s="65">
        <v>1.3699999999999999</v>
      </c>
      <c r="O66" s="16" t="s">
        <v>136</v>
      </c>
      <c r="P66" s="12"/>
      <c r="Q66" s="12"/>
      <c r="R66" s="12"/>
    </row>
    <row r="67" spans="1:18">
      <c r="A67" s="13" t="s">
        <v>137</v>
      </c>
      <c r="B67" s="64">
        <v>503</v>
      </c>
      <c r="C67" s="47">
        <v>493</v>
      </c>
      <c r="D67" s="47">
        <v>55.496000000000002</v>
      </c>
      <c r="E67" s="49">
        <v>10</v>
      </c>
      <c r="F67" s="49">
        <v>1.05</v>
      </c>
      <c r="G67" s="48" t="s">
        <v>18</v>
      </c>
      <c r="H67" s="48" t="s">
        <v>18</v>
      </c>
      <c r="I67" s="48" t="s">
        <v>18</v>
      </c>
      <c r="J67" s="48" t="s">
        <v>18</v>
      </c>
      <c r="K67" s="48" t="s">
        <v>18</v>
      </c>
      <c r="L67" s="48" t="s">
        <v>18</v>
      </c>
      <c r="M67" s="51">
        <v>0</v>
      </c>
      <c r="N67" s="65">
        <v>0</v>
      </c>
      <c r="O67" s="16" t="s">
        <v>138</v>
      </c>
      <c r="P67" s="12"/>
      <c r="Q67" s="12"/>
      <c r="R67" s="12"/>
    </row>
    <row r="68" spans="1:18">
      <c r="A68" s="13" t="s">
        <v>139</v>
      </c>
      <c r="B68" s="64">
        <v>70</v>
      </c>
      <c r="C68" s="47">
        <v>57</v>
      </c>
      <c r="D68" s="47">
        <v>19.98</v>
      </c>
      <c r="E68" s="52" t="s">
        <v>18</v>
      </c>
      <c r="F68" s="52" t="s">
        <v>18</v>
      </c>
      <c r="G68" s="48" t="s">
        <v>18</v>
      </c>
      <c r="H68" s="48" t="s">
        <v>18</v>
      </c>
      <c r="I68" s="48" t="s">
        <v>18</v>
      </c>
      <c r="J68" s="48" t="s">
        <v>18</v>
      </c>
      <c r="K68" s="48" t="s">
        <v>18</v>
      </c>
      <c r="L68" s="48" t="s">
        <v>18</v>
      </c>
      <c r="M68" s="51">
        <v>13</v>
      </c>
      <c r="N68" s="65">
        <v>10</v>
      </c>
      <c r="O68" s="16" t="s">
        <v>140</v>
      </c>
      <c r="P68" s="12"/>
      <c r="Q68" s="12"/>
      <c r="R68" s="12"/>
    </row>
    <row r="69" spans="1:18">
      <c r="A69" s="13" t="s">
        <v>141</v>
      </c>
      <c r="B69" s="64">
        <v>818</v>
      </c>
      <c r="C69" s="47">
        <v>656</v>
      </c>
      <c r="D69" s="47">
        <v>68.25</v>
      </c>
      <c r="E69" s="52" t="s">
        <v>18</v>
      </c>
      <c r="F69" s="52" t="s">
        <v>18</v>
      </c>
      <c r="G69" s="48" t="s">
        <v>18</v>
      </c>
      <c r="H69" s="48" t="s">
        <v>18</v>
      </c>
      <c r="I69" s="48" t="s">
        <v>18</v>
      </c>
      <c r="J69" s="48" t="s">
        <v>18</v>
      </c>
      <c r="K69" s="48" t="s">
        <v>18</v>
      </c>
      <c r="L69" s="48" t="s">
        <v>18</v>
      </c>
      <c r="M69" s="51">
        <v>162</v>
      </c>
      <c r="N69" s="65">
        <v>19.25</v>
      </c>
      <c r="O69" s="16" t="s">
        <v>142</v>
      </c>
      <c r="P69" s="12"/>
      <c r="Q69" s="12"/>
      <c r="R69" s="12"/>
    </row>
    <row r="70" spans="1:18" ht="17.399999999999999" customHeight="1">
      <c r="A70" s="30" t="s">
        <v>143</v>
      </c>
      <c r="B70" s="67">
        <f>SUM(B71:B83)</f>
        <v>4116</v>
      </c>
      <c r="C70" s="42">
        <f t="shared" ref="C70:N70" si="12">SUM(C71:C83)</f>
        <v>2526</v>
      </c>
      <c r="D70" s="42">
        <f t="shared" si="12"/>
        <v>319.70499999999998</v>
      </c>
      <c r="E70" s="42">
        <f t="shared" si="12"/>
        <v>21</v>
      </c>
      <c r="F70" s="42">
        <f t="shared" si="12"/>
        <v>1.1000000000000001</v>
      </c>
      <c r="G70" s="42">
        <f t="shared" si="12"/>
        <v>0</v>
      </c>
      <c r="H70" s="42">
        <f t="shared" si="12"/>
        <v>0</v>
      </c>
      <c r="I70" s="42">
        <f t="shared" si="12"/>
        <v>59</v>
      </c>
      <c r="J70" s="42">
        <f t="shared" si="12"/>
        <v>5.0600000000000005</v>
      </c>
      <c r="K70" s="42">
        <f t="shared" si="12"/>
        <v>5</v>
      </c>
      <c r="L70" s="42">
        <f t="shared" si="12"/>
        <v>0</v>
      </c>
      <c r="M70" s="42">
        <f t="shared" si="12"/>
        <v>1505</v>
      </c>
      <c r="N70" s="68">
        <f t="shared" si="12"/>
        <v>261.75</v>
      </c>
      <c r="O70" s="15" t="s">
        <v>144</v>
      </c>
      <c r="P70" s="15"/>
      <c r="Q70" s="15"/>
      <c r="R70" s="12"/>
    </row>
    <row r="71" spans="1:18">
      <c r="A71" s="13" t="s">
        <v>145</v>
      </c>
      <c r="B71" s="64">
        <v>0</v>
      </c>
      <c r="C71" s="48" t="s">
        <v>18</v>
      </c>
      <c r="D71" s="48" t="s">
        <v>18</v>
      </c>
      <c r="E71" s="48" t="s">
        <v>18</v>
      </c>
      <c r="F71" s="48" t="s">
        <v>18</v>
      </c>
      <c r="G71" s="48" t="s">
        <v>18</v>
      </c>
      <c r="H71" s="48" t="s">
        <v>18</v>
      </c>
      <c r="I71" s="48" t="s">
        <v>18</v>
      </c>
      <c r="J71" s="48" t="s">
        <v>18</v>
      </c>
      <c r="K71" s="48" t="s">
        <v>18</v>
      </c>
      <c r="L71" s="48" t="s">
        <v>18</v>
      </c>
      <c r="M71" s="48" t="s">
        <v>18</v>
      </c>
      <c r="N71" s="70"/>
      <c r="O71" s="16" t="s">
        <v>146</v>
      </c>
      <c r="P71" s="12"/>
      <c r="Q71" s="12"/>
      <c r="R71" s="12"/>
    </row>
    <row r="72" spans="1:18">
      <c r="A72" s="13" t="s">
        <v>147</v>
      </c>
      <c r="B72" s="64">
        <v>490</v>
      </c>
      <c r="C72" s="47">
        <v>490</v>
      </c>
      <c r="D72" s="47">
        <v>78.66</v>
      </c>
      <c r="E72" s="48" t="s">
        <v>18</v>
      </c>
      <c r="F72" s="48" t="s">
        <v>18</v>
      </c>
      <c r="G72" s="48" t="s">
        <v>18</v>
      </c>
      <c r="H72" s="48" t="s">
        <v>18</v>
      </c>
      <c r="I72" s="48" t="s">
        <v>18</v>
      </c>
      <c r="J72" s="48" t="s">
        <v>18</v>
      </c>
      <c r="K72" s="48" t="s">
        <v>18</v>
      </c>
      <c r="L72" s="48" t="s">
        <v>18</v>
      </c>
      <c r="M72" s="48" t="s">
        <v>18</v>
      </c>
      <c r="N72" s="70"/>
      <c r="O72" s="16" t="s">
        <v>148</v>
      </c>
      <c r="P72" s="12"/>
      <c r="Q72" s="12"/>
      <c r="R72" s="12"/>
    </row>
    <row r="73" spans="1:18">
      <c r="A73" s="13" t="s">
        <v>149</v>
      </c>
      <c r="B73" s="64">
        <v>95</v>
      </c>
      <c r="C73" s="47">
        <v>90</v>
      </c>
      <c r="D73" s="47">
        <v>16.899999999999999</v>
      </c>
      <c r="E73" s="48" t="s">
        <v>18</v>
      </c>
      <c r="F73" s="48" t="s">
        <v>18</v>
      </c>
      <c r="G73" s="48" t="s">
        <v>18</v>
      </c>
      <c r="H73" s="48" t="s">
        <v>18</v>
      </c>
      <c r="I73" s="48" t="s">
        <v>18</v>
      </c>
      <c r="J73" s="48" t="s">
        <v>18</v>
      </c>
      <c r="K73" s="49">
        <v>5</v>
      </c>
      <c r="L73" s="48" t="s">
        <v>18</v>
      </c>
      <c r="M73" s="48" t="s">
        <v>18</v>
      </c>
      <c r="N73" s="70"/>
      <c r="O73" s="16" t="s">
        <v>150</v>
      </c>
      <c r="P73" s="12"/>
      <c r="Q73" s="12"/>
      <c r="R73" s="12"/>
    </row>
    <row r="74" spans="1:18">
      <c r="A74" s="13" t="s">
        <v>151</v>
      </c>
      <c r="B74" s="64">
        <v>200</v>
      </c>
      <c r="C74" s="47">
        <v>200</v>
      </c>
      <c r="D74" s="47">
        <v>14</v>
      </c>
      <c r="E74" s="48" t="s">
        <v>18</v>
      </c>
      <c r="F74" s="48" t="s">
        <v>18</v>
      </c>
      <c r="G74" s="48" t="s">
        <v>18</v>
      </c>
      <c r="H74" s="48" t="s">
        <v>18</v>
      </c>
      <c r="I74" s="48" t="s">
        <v>18</v>
      </c>
      <c r="J74" s="48" t="s">
        <v>18</v>
      </c>
      <c r="K74" s="48" t="s">
        <v>18</v>
      </c>
      <c r="L74" s="48" t="s">
        <v>18</v>
      </c>
      <c r="M74" s="48" t="s">
        <v>18</v>
      </c>
      <c r="N74" s="71"/>
      <c r="O74" s="16" t="s">
        <v>152</v>
      </c>
      <c r="P74" s="12"/>
      <c r="Q74" s="12"/>
      <c r="R74" s="12"/>
    </row>
    <row r="75" spans="1:18">
      <c r="A75" s="13" t="s">
        <v>153</v>
      </c>
      <c r="B75" s="64">
        <v>55</v>
      </c>
      <c r="C75" s="47">
        <v>40</v>
      </c>
      <c r="D75" s="47">
        <v>4</v>
      </c>
      <c r="E75" s="49">
        <v>10</v>
      </c>
      <c r="F75" s="49">
        <v>0.6</v>
      </c>
      <c r="G75" s="48" t="s">
        <v>18</v>
      </c>
      <c r="H75" s="48" t="s">
        <v>18</v>
      </c>
      <c r="I75" s="49">
        <v>5</v>
      </c>
      <c r="J75" s="52" t="s">
        <v>18</v>
      </c>
      <c r="K75" s="48" t="s">
        <v>18</v>
      </c>
      <c r="L75" s="48" t="s">
        <v>18</v>
      </c>
      <c r="M75" s="48" t="s">
        <v>18</v>
      </c>
      <c r="N75" s="70"/>
      <c r="O75" s="16" t="s">
        <v>154</v>
      </c>
      <c r="P75" s="12"/>
      <c r="Q75" s="12"/>
      <c r="R75" s="12"/>
    </row>
    <row r="76" spans="1:18">
      <c r="A76" s="13" t="s">
        <v>155</v>
      </c>
      <c r="B76" s="64">
        <v>1645</v>
      </c>
      <c r="C76" s="47">
        <v>645</v>
      </c>
      <c r="D76" s="47">
        <v>98.2</v>
      </c>
      <c r="E76" s="54" t="s">
        <v>18</v>
      </c>
      <c r="F76" s="49">
        <v>0</v>
      </c>
      <c r="G76" s="48" t="s">
        <v>18</v>
      </c>
      <c r="H76" s="48" t="s">
        <v>18</v>
      </c>
      <c r="I76" s="52" t="s">
        <v>18</v>
      </c>
      <c r="J76" s="52" t="s">
        <v>18</v>
      </c>
      <c r="K76" s="48" t="s">
        <v>18</v>
      </c>
      <c r="L76" s="48" t="s">
        <v>18</v>
      </c>
      <c r="M76" s="51">
        <v>1000</v>
      </c>
      <c r="N76" s="65">
        <v>200</v>
      </c>
      <c r="O76" s="16" t="s">
        <v>156</v>
      </c>
      <c r="P76" s="12"/>
      <c r="Q76" s="12"/>
      <c r="R76" s="12"/>
    </row>
    <row r="77" spans="1:18">
      <c r="A77" s="13" t="s">
        <v>157</v>
      </c>
      <c r="B77" s="64">
        <v>91</v>
      </c>
      <c r="C77" s="47">
        <v>70</v>
      </c>
      <c r="D77" s="47">
        <v>4.8449999999999998</v>
      </c>
      <c r="E77" s="49">
        <v>11</v>
      </c>
      <c r="F77" s="49">
        <v>0.5</v>
      </c>
      <c r="G77" s="48" t="s">
        <v>18</v>
      </c>
      <c r="H77" s="48" t="s">
        <v>18</v>
      </c>
      <c r="I77" s="49">
        <v>10</v>
      </c>
      <c r="J77" s="49">
        <v>0.66</v>
      </c>
      <c r="K77" s="48" t="s">
        <v>18</v>
      </c>
      <c r="L77" s="48" t="s">
        <v>18</v>
      </c>
      <c r="M77" s="48" t="s">
        <v>18</v>
      </c>
      <c r="N77" s="70"/>
      <c r="O77" s="16" t="s">
        <v>158</v>
      </c>
      <c r="P77" s="12"/>
      <c r="Q77" s="12"/>
      <c r="R77" s="12"/>
    </row>
    <row r="78" spans="1:18">
      <c r="A78" s="13" t="s">
        <v>159</v>
      </c>
      <c r="B78" s="64">
        <v>41</v>
      </c>
      <c r="C78" s="47">
        <v>39</v>
      </c>
      <c r="D78" s="47">
        <v>2.04</v>
      </c>
      <c r="E78" s="52" t="s">
        <v>18</v>
      </c>
      <c r="F78" s="52" t="s">
        <v>18</v>
      </c>
      <c r="G78" s="48" t="s">
        <v>18</v>
      </c>
      <c r="H78" s="48" t="s">
        <v>18</v>
      </c>
      <c r="I78" s="48" t="s">
        <v>18</v>
      </c>
      <c r="J78" s="48" t="s">
        <v>18</v>
      </c>
      <c r="K78" s="48" t="s">
        <v>18</v>
      </c>
      <c r="L78" s="48" t="s">
        <v>18</v>
      </c>
      <c r="M78" s="51">
        <v>2</v>
      </c>
      <c r="N78" s="71"/>
      <c r="O78" s="16" t="s">
        <v>160</v>
      </c>
      <c r="P78" s="12"/>
      <c r="Q78" s="12"/>
      <c r="R78" s="12"/>
    </row>
    <row r="79" spans="1:18">
      <c r="A79" s="13" t="s">
        <v>161</v>
      </c>
      <c r="B79" s="64">
        <v>0</v>
      </c>
      <c r="C79" s="48" t="s">
        <v>18</v>
      </c>
      <c r="D79" s="48" t="s">
        <v>18</v>
      </c>
      <c r="E79" s="52" t="s">
        <v>18</v>
      </c>
      <c r="F79" s="52" t="s">
        <v>18</v>
      </c>
      <c r="G79" s="48" t="s">
        <v>18</v>
      </c>
      <c r="H79" s="48" t="s">
        <v>18</v>
      </c>
      <c r="I79" s="48" t="s">
        <v>18</v>
      </c>
      <c r="J79" s="48" t="s">
        <v>18</v>
      </c>
      <c r="K79" s="48" t="s">
        <v>18</v>
      </c>
      <c r="L79" s="48" t="s">
        <v>18</v>
      </c>
      <c r="M79" s="48" t="s">
        <v>18</v>
      </c>
      <c r="N79" s="70"/>
      <c r="O79" s="16" t="s">
        <v>162</v>
      </c>
      <c r="P79" s="12"/>
      <c r="Q79" s="12"/>
      <c r="R79" s="12"/>
    </row>
    <row r="80" spans="1:18">
      <c r="A80" s="13" t="s">
        <v>163</v>
      </c>
      <c r="B80" s="64">
        <v>466</v>
      </c>
      <c r="C80" s="47">
        <v>267</v>
      </c>
      <c r="D80" s="47">
        <v>20.2</v>
      </c>
      <c r="E80" s="52" t="s">
        <v>18</v>
      </c>
      <c r="F80" s="52" t="s">
        <v>18</v>
      </c>
      <c r="G80" s="48" t="s">
        <v>18</v>
      </c>
      <c r="H80" s="48" t="s">
        <v>18</v>
      </c>
      <c r="I80" s="49">
        <v>4</v>
      </c>
      <c r="J80" s="48" t="s">
        <v>18</v>
      </c>
      <c r="K80" s="48" t="s">
        <v>18</v>
      </c>
      <c r="L80" s="48" t="s">
        <v>18</v>
      </c>
      <c r="M80" s="51">
        <v>195</v>
      </c>
      <c r="N80" s="65">
        <v>10.85</v>
      </c>
      <c r="O80" s="16" t="s">
        <v>164</v>
      </c>
      <c r="P80" s="12"/>
      <c r="Q80" s="12"/>
      <c r="R80" s="12"/>
    </row>
    <row r="81" spans="1:18">
      <c r="A81" s="13" t="s">
        <v>165</v>
      </c>
      <c r="B81" s="64">
        <v>140</v>
      </c>
      <c r="C81" s="47">
        <v>140</v>
      </c>
      <c r="D81" s="47">
        <v>14.6</v>
      </c>
      <c r="E81" s="52" t="s">
        <v>18</v>
      </c>
      <c r="F81" s="52" t="s">
        <v>18</v>
      </c>
      <c r="G81" s="48" t="s">
        <v>18</v>
      </c>
      <c r="H81" s="48" t="s">
        <v>18</v>
      </c>
      <c r="I81" s="48" t="s">
        <v>18</v>
      </c>
      <c r="J81" s="48" t="s">
        <v>18</v>
      </c>
      <c r="K81" s="48" t="s">
        <v>18</v>
      </c>
      <c r="L81" s="48" t="s">
        <v>18</v>
      </c>
      <c r="M81" s="48" t="s">
        <v>18</v>
      </c>
      <c r="N81" s="70"/>
      <c r="O81" s="16" t="s">
        <v>166</v>
      </c>
      <c r="P81" s="12"/>
      <c r="Q81" s="12"/>
      <c r="R81" s="12"/>
    </row>
    <row r="82" spans="1:18">
      <c r="A82" s="13" t="s">
        <v>167</v>
      </c>
      <c r="B82" s="64">
        <v>875</v>
      </c>
      <c r="C82" s="47">
        <v>530</v>
      </c>
      <c r="D82" s="47">
        <v>65.03</v>
      </c>
      <c r="E82" s="52" t="s">
        <v>18</v>
      </c>
      <c r="F82" s="52" t="s">
        <v>18</v>
      </c>
      <c r="G82" s="48" t="s">
        <v>18</v>
      </c>
      <c r="H82" s="48" t="s">
        <v>18</v>
      </c>
      <c r="I82" s="49">
        <v>40</v>
      </c>
      <c r="J82" s="49">
        <v>4.4000000000000004</v>
      </c>
      <c r="K82" s="48" t="s">
        <v>18</v>
      </c>
      <c r="L82" s="48" t="s">
        <v>18</v>
      </c>
      <c r="M82" s="51">
        <v>305</v>
      </c>
      <c r="N82" s="65">
        <v>50.5</v>
      </c>
      <c r="O82" s="16" t="s">
        <v>168</v>
      </c>
      <c r="P82" s="12"/>
      <c r="Q82" s="12"/>
      <c r="R82" s="12"/>
    </row>
    <row r="83" spans="1:18">
      <c r="A83" s="13" t="s">
        <v>169</v>
      </c>
      <c r="B83" s="64">
        <v>18</v>
      </c>
      <c r="C83" s="47">
        <v>15</v>
      </c>
      <c r="D83" s="47">
        <v>1.23</v>
      </c>
      <c r="E83" s="52" t="s">
        <v>18</v>
      </c>
      <c r="F83" s="52" t="s">
        <v>18</v>
      </c>
      <c r="G83" s="48" t="s">
        <v>18</v>
      </c>
      <c r="H83" s="48" t="s">
        <v>18</v>
      </c>
      <c r="I83" s="48" t="s">
        <v>18</v>
      </c>
      <c r="J83" s="48" t="s">
        <v>18</v>
      </c>
      <c r="K83" s="48" t="s">
        <v>18</v>
      </c>
      <c r="L83" s="48" t="s">
        <v>18</v>
      </c>
      <c r="M83" s="51">
        <v>3</v>
      </c>
      <c r="N83" s="65">
        <v>0.4</v>
      </c>
      <c r="O83" s="16" t="s">
        <v>170</v>
      </c>
      <c r="P83" s="12"/>
      <c r="Q83" s="12"/>
      <c r="R83" s="12"/>
    </row>
    <row r="84" spans="1:18" ht="16.2" customHeight="1">
      <c r="A84" s="30" t="s">
        <v>171</v>
      </c>
      <c r="B84" s="67">
        <f>SUM(B85:B88)</f>
        <v>12781</v>
      </c>
      <c r="C84" s="42">
        <f t="shared" ref="C84:N84" si="13">SUM(C85:C88)</f>
        <v>11205</v>
      </c>
      <c r="D84" s="42">
        <f t="shared" si="13"/>
        <v>1538.7550000000001</v>
      </c>
      <c r="E84" s="42">
        <f t="shared" si="13"/>
        <v>201</v>
      </c>
      <c r="F84" s="42">
        <f t="shared" si="13"/>
        <v>27.3</v>
      </c>
      <c r="G84" s="42">
        <f t="shared" si="13"/>
        <v>3</v>
      </c>
      <c r="H84" s="42">
        <f t="shared" si="13"/>
        <v>0.3</v>
      </c>
      <c r="I84" s="42">
        <f t="shared" si="13"/>
        <v>53</v>
      </c>
      <c r="J84" s="42">
        <f t="shared" si="13"/>
        <v>9.92</v>
      </c>
      <c r="K84" s="42">
        <f t="shared" si="13"/>
        <v>0</v>
      </c>
      <c r="L84" s="42">
        <f t="shared" si="13"/>
        <v>0</v>
      </c>
      <c r="M84" s="42">
        <f t="shared" si="13"/>
        <v>1319</v>
      </c>
      <c r="N84" s="68">
        <f t="shared" si="13"/>
        <v>196.10999999999999</v>
      </c>
      <c r="O84" s="17" t="s">
        <v>172</v>
      </c>
      <c r="P84" s="17"/>
      <c r="Q84" s="17"/>
      <c r="R84" s="12"/>
    </row>
    <row r="85" spans="1:18">
      <c r="A85" s="13" t="s">
        <v>173</v>
      </c>
      <c r="B85" s="64">
        <v>8795</v>
      </c>
      <c r="C85" s="47">
        <v>7954</v>
      </c>
      <c r="D85" s="47">
        <v>952.85</v>
      </c>
      <c r="E85" s="49">
        <v>199</v>
      </c>
      <c r="F85" s="49">
        <v>27</v>
      </c>
      <c r="G85" s="48" t="s">
        <v>18</v>
      </c>
      <c r="H85" s="48" t="s">
        <v>18</v>
      </c>
      <c r="I85" s="49">
        <v>4</v>
      </c>
      <c r="J85" s="49">
        <v>0.32</v>
      </c>
      <c r="K85" s="48" t="s">
        <v>18</v>
      </c>
      <c r="L85" s="48" t="s">
        <v>18</v>
      </c>
      <c r="M85" s="51">
        <v>638</v>
      </c>
      <c r="N85" s="65">
        <v>92.929999999999993</v>
      </c>
      <c r="O85" s="16" t="s">
        <v>174</v>
      </c>
      <c r="P85" s="12"/>
      <c r="Q85" s="12"/>
      <c r="R85" s="12"/>
    </row>
    <row r="86" spans="1:18">
      <c r="A86" s="13" t="s">
        <v>175</v>
      </c>
      <c r="B86" s="64">
        <v>2302</v>
      </c>
      <c r="C86" s="47">
        <v>1724</v>
      </c>
      <c r="D86" s="47">
        <v>354.97</v>
      </c>
      <c r="E86" s="49">
        <v>2</v>
      </c>
      <c r="F86" s="49">
        <v>0.3</v>
      </c>
      <c r="G86" s="48" t="s">
        <v>18</v>
      </c>
      <c r="H86" s="48" t="s">
        <v>18</v>
      </c>
      <c r="I86" s="49">
        <v>39</v>
      </c>
      <c r="J86" s="49">
        <v>6.6</v>
      </c>
      <c r="K86" s="48" t="s">
        <v>18</v>
      </c>
      <c r="L86" s="48" t="s">
        <v>18</v>
      </c>
      <c r="M86" s="51">
        <v>537</v>
      </c>
      <c r="N86" s="65">
        <v>49.050000000000004</v>
      </c>
      <c r="O86" s="16" t="s">
        <v>176</v>
      </c>
      <c r="P86" s="12"/>
      <c r="Q86" s="12"/>
      <c r="R86" s="12"/>
    </row>
    <row r="87" spans="1:18">
      <c r="A87" s="13" t="s">
        <v>177</v>
      </c>
      <c r="B87" s="64">
        <v>1647</v>
      </c>
      <c r="C87" s="47">
        <v>1490</v>
      </c>
      <c r="D87" s="47">
        <v>225.63499999999999</v>
      </c>
      <c r="E87" s="52" t="s">
        <v>18</v>
      </c>
      <c r="F87" s="52" t="s">
        <v>18</v>
      </c>
      <c r="G87" s="49">
        <v>3</v>
      </c>
      <c r="H87" s="52">
        <v>0.3</v>
      </c>
      <c r="I87" s="49">
        <v>10</v>
      </c>
      <c r="J87" s="49">
        <v>3</v>
      </c>
      <c r="K87" s="48" t="s">
        <v>18</v>
      </c>
      <c r="L87" s="48" t="s">
        <v>18</v>
      </c>
      <c r="M87" s="51">
        <v>144</v>
      </c>
      <c r="N87" s="65">
        <v>54.13</v>
      </c>
      <c r="O87" s="16" t="s">
        <v>178</v>
      </c>
      <c r="P87" s="21"/>
      <c r="Q87" s="21"/>
      <c r="R87" s="12"/>
    </row>
    <row r="88" spans="1:18" s="31" customFormat="1" ht="10.8" thickBot="1">
      <c r="A88" s="34" t="s">
        <v>179</v>
      </c>
      <c r="B88" s="72">
        <v>37</v>
      </c>
      <c r="C88" s="73">
        <v>37</v>
      </c>
      <c r="D88" s="73">
        <v>5.3</v>
      </c>
      <c r="E88" s="74" t="s">
        <v>18</v>
      </c>
      <c r="F88" s="74" t="s">
        <v>18</v>
      </c>
      <c r="G88" s="75" t="s">
        <v>18</v>
      </c>
      <c r="H88" s="75" t="s">
        <v>18</v>
      </c>
      <c r="I88" s="75" t="s">
        <v>18</v>
      </c>
      <c r="J88" s="75" t="s">
        <v>18</v>
      </c>
      <c r="K88" s="75" t="s">
        <v>18</v>
      </c>
      <c r="L88" s="75" t="s">
        <v>18</v>
      </c>
      <c r="M88" s="76">
        <v>0</v>
      </c>
      <c r="N88" s="77">
        <v>0</v>
      </c>
      <c r="O88" s="35" t="s">
        <v>180</v>
      </c>
      <c r="P88" s="36"/>
      <c r="Q88" s="36"/>
      <c r="R88" s="36"/>
    </row>
    <row r="89" spans="1:18" ht="10.199999999999999" customHeight="1">
      <c r="A89" s="22" t="s">
        <v>181</v>
      </c>
      <c r="K89" s="33" t="s">
        <v>182</v>
      </c>
      <c r="L89" s="33"/>
      <c r="M89" s="33"/>
    </row>
    <row r="90" spans="1:18">
      <c r="A90" s="23" t="s">
        <v>183</v>
      </c>
      <c r="K90" s="3" t="s">
        <v>184</v>
      </c>
    </row>
    <row r="107" spans="21:21">
      <c r="U107" s="24" t="s">
        <v>185</v>
      </c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ΣΠΥΡΟΥΛΗΣ ΣΤΕΡΓΙΟΣ (02279)</dc:creator>
  <cp:lastModifiedBy>s.spyroulis</cp:lastModifiedBy>
  <cp:lastPrinted>2015-10-01T10:19:44Z</cp:lastPrinted>
  <dcterms:created xsi:type="dcterms:W3CDTF">2017-01-19T08:40:03Z</dcterms:created>
  <dcterms:modified xsi:type="dcterms:W3CDTF">2017-01-20T15:00:24Z</dcterms:modified>
</cp:coreProperties>
</file>