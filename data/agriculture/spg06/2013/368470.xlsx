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36" yWindow="-204" windowWidth="14856" windowHeight="5760" firstSheet="1" activeTab="1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J8" i="1"/>
  <c r="D8"/>
  <c r="C8"/>
  <c r="E8"/>
  <c r="F8"/>
  <c r="G8"/>
  <c r="H8"/>
  <c r="I8"/>
  <c r="K8"/>
  <c r="L8"/>
  <c r="M8"/>
  <c r="N8"/>
  <c r="O8"/>
  <c r="P8"/>
  <c r="Q8"/>
  <c r="R8"/>
  <c r="B8"/>
  <c r="B27"/>
  <c r="D27"/>
  <c r="E27"/>
  <c r="F27"/>
  <c r="G27"/>
  <c r="H27"/>
  <c r="I27"/>
  <c r="J27"/>
  <c r="K27"/>
  <c r="L27"/>
  <c r="M27"/>
  <c r="N27"/>
  <c r="O27"/>
  <c r="P27"/>
  <c r="Q27"/>
  <c r="R27"/>
  <c r="C27"/>
  <c r="R18"/>
  <c r="D18"/>
  <c r="E18"/>
  <c r="B18" s="1"/>
  <c r="F18"/>
  <c r="G18"/>
  <c r="H18"/>
  <c r="I18"/>
  <c r="J18"/>
  <c r="K18"/>
  <c r="L18"/>
  <c r="M18"/>
  <c r="N18"/>
  <c r="O18"/>
  <c r="P18"/>
  <c r="Q18"/>
  <c r="C18"/>
  <c r="B90"/>
  <c r="B22"/>
  <c r="B41"/>
  <c r="B40"/>
  <c r="B91"/>
  <c r="B92"/>
  <c r="B93"/>
  <c r="B108"/>
  <c r="B107"/>
  <c r="B106"/>
  <c r="B105"/>
  <c r="B101"/>
  <c r="B100"/>
  <c r="B99"/>
  <c r="B98"/>
  <c r="B97"/>
  <c r="B96"/>
  <c r="B95"/>
  <c r="B94"/>
  <c r="B87"/>
  <c r="B86"/>
  <c r="B85"/>
  <c r="B84"/>
  <c r="B83"/>
  <c r="B80"/>
  <c r="B79"/>
  <c r="B78"/>
  <c r="B77"/>
  <c r="B70"/>
  <c r="B69"/>
  <c r="B68"/>
  <c r="B67"/>
  <c r="B66"/>
  <c r="B63"/>
  <c r="B62"/>
  <c r="B61"/>
  <c r="B58"/>
  <c r="B57"/>
  <c r="B56"/>
  <c r="B55"/>
  <c r="B54"/>
  <c r="B51"/>
  <c r="B50"/>
  <c r="B49"/>
  <c r="B48"/>
  <c r="B47"/>
  <c r="B42"/>
  <c r="B37"/>
  <c r="B36"/>
  <c r="B35"/>
  <c r="B34"/>
  <c r="B31"/>
  <c r="B30"/>
  <c r="B29"/>
  <c r="B28"/>
  <c r="B26"/>
  <c r="B25"/>
  <c r="B24"/>
  <c r="B23"/>
  <c r="B21"/>
  <c r="B20"/>
  <c r="B17"/>
  <c r="B16"/>
  <c r="B15"/>
  <c r="B14"/>
  <c r="B13"/>
  <c r="B12"/>
  <c r="C10"/>
  <c r="D10"/>
  <c r="E10"/>
  <c r="F10"/>
  <c r="G10"/>
  <c r="H10"/>
  <c r="I10"/>
  <c r="J10"/>
  <c r="K10"/>
  <c r="L10"/>
  <c r="M10"/>
  <c r="N10"/>
  <c r="O10"/>
  <c r="P10"/>
  <c r="Q10"/>
  <c r="R10"/>
  <c r="C32"/>
  <c r="D32"/>
  <c r="E32"/>
  <c r="F32"/>
  <c r="G32"/>
  <c r="H32"/>
  <c r="I32"/>
  <c r="J32"/>
  <c r="K32"/>
  <c r="L32"/>
  <c r="M32"/>
  <c r="N32"/>
  <c r="O32"/>
  <c r="P32"/>
  <c r="Q32"/>
  <c r="R32"/>
  <c r="C38"/>
  <c r="D38"/>
  <c r="E38"/>
  <c r="F38"/>
  <c r="G38"/>
  <c r="H38"/>
  <c r="I38"/>
  <c r="J38"/>
  <c r="K38"/>
  <c r="L38"/>
  <c r="M38"/>
  <c r="N38"/>
  <c r="O38"/>
  <c r="P38"/>
  <c r="Q38"/>
  <c r="R38"/>
  <c r="C45"/>
  <c r="B44"/>
  <c r="D45"/>
  <c r="E45"/>
  <c r="F45"/>
  <c r="G45"/>
  <c r="H45"/>
  <c r="I45"/>
  <c r="J45"/>
  <c r="K45"/>
  <c r="L45"/>
  <c r="M45"/>
  <c r="N45"/>
  <c r="O45"/>
  <c r="P45"/>
  <c r="Q45"/>
  <c r="R45"/>
  <c r="C52"/>
  <c r="D52"/>
  <c r="E52"/>
  <c r="F52"/>
  <c r="G52"/>
  <c r="H52"/>
  <c r="I52"/>
  <c r="J52"/>
  <c r="K52"/>
  <c r="L52"/>
  <c r="M52"/>
  <c r="N52"/>
  <c r="O52"/>
  <c r="P52"/>
  <c r="Q52"/>
  <c r="R52"/>
  <c r="C59"/>
  <c r="D59"/>
  <c r="E59"/>
  <c r="F59"/>
  <c r="G59"/>
  <c r="H59"/>
  <c r="I59"/>
  <c r="J59"/>
  <c r="K59"/>
  <c r="L59"/>
  <c r="M59"/>
  <c r="N59"/>
  <c r="O59"/>
  <c r="P59"/>
  <c r="Q59"/>
  <c r="R59"/>
  <c r="C64"/>
  <c r="D64"/>
  <c r="E64"/>
  <c r="F64"/>
  <c r="G64"/>
  <c r="H64"/>
  <c r="I64"/>
  <c r="J64"/>
  <c r="K64"/>
  <c r="L64"/>
  <c r="M64"/>
  <c r="N64"/>
  <c r="O64"/>
  <c r="P64"/>
  <c r="Q64"/>
  <c r="R64"/>
  <c r="C71"/>
  <c r="D71"/>
  <c r="E71"/>
  <c r="F71"/>
  <c r="G71"/>
  <c r="H71"/>
  <c r="I71"/>
  <c r="J71"/>
  <c r="K71"/>
  <c r="L71"/>
  <c r="M71"/>
  <c r="N71"/>
  <c r="O71"/>
  <c r="P71"/>
  <c r="Q71"/>
  <c r="R71"/>
  <c r="C81"/>
  <c r="D81"/>
  <c r="E81"/>
  <c r="F81"/>
  <c r="G81"/>
  <c r="H81"/>
  <c r="I81"/>
  <c r="J81"/>
  <c r="K81"/>
  <c r="L81"/>
  <c r="M81"/>
  <c r="N81"/>
  <c r="O81"/>
  <c r="P81"/>
  <c r="Q81"/>
  <c r="R81"/>
  <c r="C88"/>
  <c r="D88"/>
  <c r="E88"/>
  <c r="F88"/>
  <c r="G88"/>
  <c r="H88"/>
  <c r="I88"/>
  <c r="J88"/>
  <c r="K88"/>
  <c r="L88"/>
  <c r="M88"/>
  <c r="N88"/>
  <c r="O88"/>
  <c r="P88"/>
  <c r="Q88"/>
  <c r="R88"/>
  <c r="C103"/>
  <c r="B102"/>
  <c r="D103"/>
  <c r="E103"/>
  <c r="F103"/>
  <c r="G103"/>
  <c r="H103"/>
  <c r="I103"/>
  <c r="J103"/>
  <c r="K103"/>
  <c r="L103"/>
  <c r="M103"/>
  <c r="N103"/>
  <c r="O103"/>
  <c r="P103"/>
  <c r="Q103"/>
  <c r="R103"/>
  <c r="B59"/>
  <c r="B45"/>
  <c r="B10"/>
  <c r="B88"/>
  <c r="B81"/>
  <c r="B71"/>
  <c r="B64"/>
  <c r="B52"/>
  <c r="B32"/>
  <c r="B38"/>
  <c r="B103"/>
</calcChain>
</file>

<file path=xl/sharedStrings.xml><?xml version="1.0" encoding="utf-8"?>
<sst xmlns="http://schemas.openxmlformats.org/spreadsheetml/2006/main" count="785" uniqueCount="299">
  <si>
    <t xml:space="preserve">2. Αροτραίες καλλιέργειες </t>
  </si>
  <si>
    <t>2. Crops on arable land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</si>
  <si>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</si>
  <si>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</si>
  <si>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</si>
  <si>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</si>
  <si>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</si>
  <si>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</si>
  <si>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</si>
  <si>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</si>
  <si>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</si>
  <si>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</si>
  <si>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</si>
  <si>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</si>
  <si>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</si>
  <si>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</si>
  <si>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</si>
  <si>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</si>
  <si>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</si>
  <si>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</si>
  <si>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</si>
  <si>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</si>
  <si>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</si>
  <si>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</si>
  <si>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</si>
  <si>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</si>
  <si>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</si>
  <si>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</si>
  <si>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</si>
  <si>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</si>
  <si>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</si>
  <si>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</si>
  <si>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χωρίς συγκαλλιέργεια   grown alone</t>
  </si>
  <si>
    <t>Λαθούρι (Φάβα) Lathyrus</t>
  </si>
  <si>
    <t>Σύνολο Εκτάσεων Total Area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</si>
  <si>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</si>
  <si>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</si>
  <si>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</si>
  <si>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</si>
  <si>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</si>
  <si>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</si>
  <si>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</si>
  <si>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</si>
  <si>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</si>
  <si>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</si>
  <si>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</si>
  <si>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</si>
  <si>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</si>
  <si>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</si>
  <si>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</si>
  <si>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</si>
  <si>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</si>
  <si>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</si>
  <si>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</si>
  <si>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</si>
  <si>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</si>
  <si>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</si>
  <si>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</si>
  <si>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</si>
  <si>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</si>
  <si>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</si>
  <si>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</si>
  <si>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</si>
  <si>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</si>
  <si>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</si>
  <si>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</si>
  <si>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</si>
  <si>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</si>
  <si>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</si>
  <si>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</si>
  <si>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</si>
  <si>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</si>
  <si>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</si>
  <si>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</si>
  <si>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</si>
  <si>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</si>
  <si>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</si>
  <si>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</si>
  <si>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</si>
  <si>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</si>
  <si>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</si>
  <si>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</si>
  <si>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</si>
  <si>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</si>
  <si>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</si>
  <si>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</si>
  <si>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</si>
  <si>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</si>
  <si>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</si>
  <si>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</si>
  <si>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</si>
  <si>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</si>
  <si>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</si>
  <si>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</si>
  <si>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</si>
  <si>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</si>
  <si>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</si>
  <si>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</si>
  <si>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</si>
  <si>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</si>
  <si>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</si>
  <si>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</si>
  <si>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</si>
  <si>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</si>
  <si>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</si>
  <si>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</si>
  <si>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</si>
  <si>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</si>
  <si>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</si>
  <si>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</si>
  <si>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</si>
  <si>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</si>
  <si>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</si>
  <si>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</si>
  <si>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</si>
  <si>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</si>
  <si>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</si>
  <si>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</si>
  <si>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</si>
  <si>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</si>
  <si>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</si>
  <si>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</si>
  <si>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</si>
  <si>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</si>
  <si>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</si>
  <si>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</si>
  <si>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</si>
  <si>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</si>
  <si>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</si>
  <si>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</si>
  <si>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</si>
  <si>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</si>
  <si>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</si>
  <si>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</si>
  <si>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</si>
  <si>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</si>
  <si>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</si>
  <si>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</si>
  <si>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</si>
  <si>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</si>
  <si>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</si>
  <si>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</si>
  <si>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</si>
  <si>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</si>
  <si>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</si>
  <si>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</si>
  <si>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</si>
  <si>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</si>
  <si>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</si>
  <si>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</si>
  <si>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</si>
  <si>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</si>
  <si>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</si>
  <si>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</si>
  <si>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</si>
  <si>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</si>
  <si>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</si>
  <si>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</si>
  <si>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</si>
  <si>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</si>
  <si>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</si>
  <si>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</si>
  <si>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</si>
  <si>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</si>
  <si>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</si>
  <si>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</si>
  <si>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</si>
  <si>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</si>
  <si>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</si>
  <si>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</si>
  <si>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</si>
  <si>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</si>
  <si>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</si>
  <si>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</si>
  <si>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</si>
  <si>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</si>
  <si>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</si>
  <si>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</si>
  <si>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</si>
  <si>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</si>
  <si>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</si>
  <si>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</si>
  <si>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</si>
  <si>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</si>
  <si>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Περιφέρειες και Περιφερειακές Ενότητες ( Π.Ε.)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</si>
  <si>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</si>
  <si>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</si>
  <si>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</si>
  <si>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</si>
  <si>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</si>
  <si>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</si>
  <si>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</si>
  <si>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</si>
  <si>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</si>
  <si>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</si>
  <si>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</si>
  <si>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</si>
  <si>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</si>
  <si>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</si>
  <si>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</si>
  <si>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</si>
  <si>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</si>
  <si>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</si>
  <si>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</si>
  <si>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</si>
  <si>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</si>
  <si>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</si>
  <si>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</si>
  <si>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</si>
  <si>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</si>
  <si>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</si>
  <si>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</si>
  <si>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</si>
  <si>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</si>
  <si>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</si>
  <si>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</si>
  <si>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</si>
  <si>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</si>
  <si>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</si>
  <si>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</si>
  <si>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</si>
  <si>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</si>
  <si>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</si>
  <si>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</si>
  <si>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</si>
  <si>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</si>
  <si>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</si>
  <si>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</si>
  <si>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</si>
  <si>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</si>
  <si>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</si>
  <si>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</si>
  <si>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</si>
  <si>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</si>
  <si>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</si>
  <si>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</si>
  <si>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</si>
  <si>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</si>
  <si>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</si>
  <si>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</si>
  <si>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</si>
  <si>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</si>
  <si>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</si>
  <si>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</si>
  <si>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</si>
  <si>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</si>
  <si>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</si>
  <si>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</si>
  <si>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</si>
  <si>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</si>
  <si>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</si>
  <si>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</si>
  <si>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</si>
  <si>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</si>
  <si>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</si>
  <si>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</si>
  <si>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</si>
  <si>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</si>
  <si>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</si>
  <si>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</si>
  <si>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</si>
  <si>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</si>
  <si>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</si>
  <si>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</si>
  <si>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</si>
  <si>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</si>
  <si>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</si>
  <si>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</si>
  <si>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</si>
  <si>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</si>
  <si>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</si>
  <si>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</si>
  <si>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</si>
  <si>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</si>
  <si>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</si>
  <si>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</si>
  <si>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</si>
  <si>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</si>
  <si>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</si>
  <si>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</si>
  <si>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</si>
  <si>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</si>
  <si>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</si>
  <si>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</si>
  <si>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Κουκιά                   Broad beans</t>
  </si>
  <si>
    <t>Φακή                   Lentil</t>
  </si>
  <si>
    <t>Ρεβύθια             Chick-peas</t>
  </si>
  <si>
    <t>Μπιζέλια         Peas</t>
  </si>
  <si>
    <t>(1) Including beans grown with maize and other crops</t>
  </si>
  <si>
    <t>—</t>
  </si>
  <si>
    <t>συγκαλλιεργούμενα  grown with other crops (1)</t>
  </si>
  <si>
    <r>
      <t>Λοιπά βρώσιμα όσπρια</t>
    </r>
    <r>
      <rPr>
        <vertAlign val="superscript"/>
        <sz val="8"/>
        <rFont val="Arial"/>
        <family val="2"/>
        <charset val="161"/>
      </rPr>
      <t xml:space="preserve">  </t>
    </r>
    <r>
      <rPr>
        <sz val="8"/>
        <rFont val="Arial"/>
        <family val="2"/>
        <charset val="161"/>
      </rPr>
      <t xml:space="preserve">                Other edible pulse</t>
    </r>
  </si>
  <si>
    <t/>
  </si>
  <si>
    <t>(1) Περιλαμβάνονται τα φασόλια που συγκαλιεργούνται με αραβόσιτο (καλαμπόκι) και άλλα είδη.</t>
  </si>
  <si>
    <t>Πίνακας 2β. Βρώσιμα όσπρια. Εκτάσεις και παραγωγή κατά περιφέρειες και περιφερειακές ενότητες: 2013</t>
  </si>
  <si>
    <t>Table 2b. Edible pulse. Areas and production, by geograpic region and regional unities: 2013</t>
  </si>
  <si>
    <t>Περιφέρεια Δυτικής Μακεδονίας</t>
  </si>
  <si>
    <t>Region of Western Macedonia</t>
  </si>
  <si>
    <t>Φασόλια
Beans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</si>
</sst>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b/>
      <sz val="8"/>
      <color theme="1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4">
    <xf numFmtId="0" fontId="0" fillId="0" borderId="0" xfId="0"/>
    <xf numFmtId="0" fontId="0" fillId="0" borderId="0" xfId="0" applyBorder="1"/>
    <xf numFmtId="0" fontId="1" fillId="0" borderId="0" xfId="0" applyNumberFormat="1" applyFont="1" applyFill="1" applyBorder="1" applyAlignment="1" applyProtection="1"/>
    <xf numFmtId="0" fontId="2" fillId="0" borderId="0" xfId="0" applyFont="1" applyBorder="1" applyAlignment="1">
      <alignment horizontal="center"/>
    </xf>
    <xf numFmtId="49" fontId="13" fillId="0" borderId="0" xfId="0" applyNumberFormat="1" applyFont="1" applyBorder="1" applyAlignment="1">
      <alignment horizontal="left" wrapText="1" indent="1"/>
    </xf>
    <xf numFmtId="0" fontId="13" fillId="0" borderId="0" xfId="0" applyFont="1" applyBorder="1"/>
    <xf numFmtId="49" fontId="13" fillId="0" borderId="0" xfId="0" applyNumberFormat="1" applyFont="1" applyBorder="1" applyAlignment="1">
      <alignment horizontal="left" indent="1"/>
    </xf>
    <xf numFmtId="49" fontId="13" fillId="0" borderId="0" xfId="0" applyNumberFormat="1" applyFont="1" applyBorder="1" applyAlignment="1">
      <alignment wrapText="1"/>
    </xf>
    <xf numFmtId="0" fontId="13" fillId="0" borderId="0" xfId="0" applyFont="1" applyProtection="1">
      <protection locked="0"/>
    </xf>
    <xf numFmtId="0" fontId="1" fillId="0" borderId="1" xfId="0" applyNumberFormat="1" applyFont="1" applyFill="1" applyBorder="1" applyAlignment="1" applyProtection="1"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protection locked="0"/>
    </xf>
    <xf numFmtId="0" fontId="3" fillId="0" borderId="0" xfId="0" applyNumberFormat="1" applyFont="1" applyFill="1" applyBorder="1" applyAlignment="1" applyProtection="1">
      <alignment vertical="center" wrapText="1"/>
      <protection locked="0"/>
    </xf>
    <xf numFmtId="49" fontId="13" fillId="0" borderId="0" xfId="0" applyNumberFormat="1" applyFont="1" applyAlignment="1" applyProtection="1">
      <alignment horizontal="left" wrapText="1" indent="1"/>
      <protection locked="0"/>
    </xf>
    <xf numFmtId="0" fontId="13" fillId="0" borderId="0" xfId="0" applyFont="1" applyAlignment="1" applyProtection="1">
      <alignment horizontal="left" indent="1"/>
      <protection locked="0"/>
    </xf>
    <xf numFmtId="0" fontId="13" fillId="0" borderId="0" xfId="0" applyFont="1" applyBorder="1" applyAlignment="1" applyProtection="1">
      <protection locked="0"/>
    </xf>
    <xf numFmtId="49" fontId="13" fillId="0" borderId="1" xfId="0" applyNumberFormat="1" applyFont="1" applyBorder="1" applyAlignment="1" applyProtection="1">
      <alignment horizontal="left" wrapText="1" indent="1"/>
      <protection locked="0"/>
    </xf>
    <xf numFmtId="0" fontId="13" fillId="0" borderId="1" xfId="0" applyFont="1" applyBorder="1" applyAlignment="1" applyProtection="1">
      <alignment horizontal="left" indent="1"/>
      <protection locked="0"/>
    </xf>
    <xf numFmtId="0" fontId="13" fillId="0" borderId="1" xfId="0" applyFont="1" applyBorder="1" applyAlignment="1" applyProtection="1">
      <protection locked="0"/>
    </xf>
    <xf numFmtId="49" fontId="13" fillId="0" borderId="0" xfId="0" applyNumberFormat="1" applyFont="1" applyAlignment="1" applyProtection="1">
      <alignment wrapText="1"/>
      <protection locked="0"/>
    </xf>
    <xf numFmtId="49" fontId="13" fillId="0" borderId="0" xfId="0" applyNumberFormat="1" applyFont="1" applyProtection="1">
      <protection locked="0"/>
    </xf>
    <xf numFmtId="49" fontId="13" fillId="0" borderId="0" xfId="0" applyNumberFormat="1" applyFont="1" applyAlignment="1" applyProtection="1">
      <alignment horizontal="left" indent="2"/>
      <protection locked="0"/>
    </xf>
    <xf numFmtId="49" fontId="13" fillId="0" borderId="0" xfId="0" applyNumberFormat="1" applyFont="1" applyAlignment="1" applyProtection="1">
      <alignment horizontal="left" wrapText="1" indent="2"/>
      <protection locked="0"/>
    </xf>
    <xf numFmtId="49" fontId="4" fillId="2" borderId="5" xfId="0" applyNumberFormat="1" applyFont="1" applyFill="1" applyBorder="1"/>
    <xf numFmtId="49" fontId="4" fillId="2" borderId="6" xfId="0" applyNumberFormat="1" applyFont="1" applyFill="1" applyBorder="1" applyAlignment="1">
      <alignment horizontal="left"/>
    </xf>
    <xf numFmtId="0" fontId="5" fillId="2" borderId="6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horizontal="centerContinuous" vertical="center" wrapText="1"/>
    </xf>
    <xf numFmtId="49" fontId="6" fillId="2" borderId="6" xfId="0" applyNumberFormat="1" applyFont="1" applyFill="1" applyBorder="1" applyAlignment="1">
      <alignment vertical="center" textRotation="90"/>
    </xf>
    <xf numFmtId="0" fontId="5" fillId="2" borderId="7" xfId="0" applyNumberFormat="1" applyFont="1" applyFill="1" applyBorder="1" applyAlignment="1" applyProtection="1"/>
    <xf numFmtId="49" fontId="4" fillId="2" borderId="8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vertical="center" textRotation="90"/>
    </xf>
    <xf numFmtId="0" fontId="5" fillId="2" borderId="9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/>
    <xf numFmtId="49" fontId="4" fillId="8" borderId="8" xfId="0" applyNumberFormat="1" applyFont="1" applyFill="1" applyBorder="1"/>
    <xf numFmtId="49" fontId="4" fillId="8" borderId="0" xfId="0" applyNumberFormat="1" applyFont="1" applyFill="1" applyBorder="1" applyAlignment="1">
      <alignment horizontal="left"/>
    </xf>
    <xf numFmtId="0" fontId="5" fillId="8" borderId="0" xfId="0" applyNumberFormat="1" applyFont="1" applyFill="1" applyBorder="1" applyAlignment="1" applyProtection="1"/>
    <xf numFmtId="49" fontId="6" fillId="8" borderId="0" xfId="0" applyNumberFormat="1" applyFont="1" applyFill="1" applyBorder="1"/>
    <xf numFmtId="49" fontId="6" fillId="8" borderId="0" xfId="0" applyNumberFormat="1" applyFont="1" applyFill="1" applyBorder="1" applyAlignment="1">
      <alignment vertical="center" textRotation="90"/>
    </xf>
    <xf numFmtId="0" fontId="5" fillId="8" borderId="9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6" fillId="8" borderId="0" xfId="0" applyNumberFormat="1" applyFont="1" applyFill="1" applyBorder="1" applyAlignment="1">
      <alignment horizontal="left"/>
    </xf>
    <xf numFmtId="49" fontId="7" fillId="8" borderId="0" xfId="0" applyNumberFormat="1" applyFont="1" applyFill="1" applyBorder="1"/>
    <xf numFmtId="49" fontId="4" fillId="4" borderId="8" xfId="0" applyNumberFormat="1" applyFont="1" applyFill="1" applyBorder="1"/>
    <xf numFmtId="49" fontId="4" fillId="4" borderId="0" xfId="0" applyNumberFormat="1" applyFont="1" applyFill="1" applyBorder="1"/>
    <xf numFmtId="0" fontId="5" fillId="4" borderId="0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6" fillId="9" borderId="0" xfId="0" applyNumberFormat="1" applyFont="1" applyFill="1" applyBorder="1" applyAlignment="1">
      <alignment vertical="center" textRotation="90"/>
    </xf>
    <xf numFmtId="0" fontId="5" fillId="4" borderId="9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4" fillId="4" borderId="10" xfId="0" applyNumberFormat="1" applyFont="1" applyFill="1" applyBorder="1"/>
    <xf numFmtId="49" fontId="4" fillId="4" borderId="1" xfId="0" applyNumberFormat="1" applyFont="1" applyFill="1" applyBorder="1"/>
    <xf numFmtId="0" fontId="5" fillId="4" borderId="1" xfId="0" applyNumberFormat="1" applyFont="1" applyFill="1" applyBorder="1" applyAlignment="1" applyProtection="1"/>
    <xf numFmtId="49" fontId="6" fillId="9" borderId="1" xfId="0" applyNumberFormat="1" applyFont="1" applyFill="1" applyBorder="1" applyAlignment="1">
      <alignment vertical="center" textRotation="90"/>
    </xf>
    <xf numFmtId="0" fontId="5" fillId="4" borderId="11" xfId="0" applyNumberFormat="1" applyFont="1" applyFill="1" applyBorder="1" applyAlignment="1" applyProtection="1"/>
    <xf numFmtId="49" fontId="4" fillId="10" borderId="5" xfId="0" applyNumberFormat="1" applyFont="1" applyFill="1" applyBorder="1"/>
    <xf numFmtId="49" fontId="4" fillId="10" borderId="6" xfId="0" applyNumberFormat="1" applyFont="1" applyFill="1" applyBorder="1"/>
    <xf numFmtId="0" fontId="5" fillId="10" borderId="6" xfId="0" applyNumberFormat="1" applyFont="1" applyFill="1" applyBorder="1" applyAlignment="1" applyProtection="1"/>
    <xf numFmtId="49" fontId="6" fillId="10" borderId="6" xfId="0" applyNumberFormat="1" applyFont="1" applyFill="1" applyBorder="1"/>
    <xf numFmtId="49" fontId="6" fillId="10" borderId="6" xfId="0" applyNumberFormat="1" applyFont="1" applyFill="1" applyBorder="1" applyAlignment="1">
      <alignment vertical="center" textRotation="90"/>
    </xf>
    <xf numFmtId="0" fontId="5" fillId="10" borderId="7" xfId="0" applyNumberFormat="1" applyFont="1" applyFill="1" applyBorder="1" applyAlignment="1" applyProtection="1"/>
    <xf numFmtId="49" fontId="4" fillId="10" borderId="8" xfId="0" applyNumberFormat="1" applyFont="1" applyFill="1" applyBorder="1"/>
    <xf numFmtId="49" fontId="4" fillId="10" borderId="0" xfId="0" applyNumberFormat="1" applyFont="1" applyFill="1" applyBorder="1"/>
    <xf numFmtId="0" fontId="5" fillId="10" borderId="0" xfId="0" applyNumberFormat="1" applyFont="1" applyFill="1" applyBorder="1" applyAlignment="1" applyProtection="1"/>
    <xf numFmtId="49" fontId="6" fillId="10" borderId="0" xfId="0" applyNumberFormat="1" applyFont="1" applyFill="1" applyBorder="1" applyAlignment="1">
      <alignment vertical="center" textRotation="90"/>
    </xf>
    <xf numFmtId="0" fontId="5" fillId="10" borderId="9" xfId="0" applyNumberFormat="1" applyFont="1" applyFill="1" applyBorder="1" applyAlignment="1" applyProtection="1"/>
    <xf numFmtId="49" fontId="7" fillId="10" borderId="0" xfId="0" applyNumberFormat="1" applyFont="1" applyFill="1" applyBorder="1"/>
    <xf numFmtId="49" fontId="4" fillId="5" borderId="8" xfId="0" applyNumberFormat="1" applyFont="1" applyFill="1" applyBorder="1"/>
    <xf numFmtId="49" fontId="4" fillId="5" borderId="0" xfId="0" applyNumberFormat="1" applyFont="1" applyFill="1" applyBorder="1"/>
    <xf numFmtId="0" fontId="5" fillId="5" borderId="0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6" fillId="5" borderId="0" xfId="0" applyNumberFormat="1" applyFont="1" applyFill="1" applyBorder="1" applyAlignment="1">
      <alignment vertical="center" textRotation="90"/>
    </xf>
    <xf numFmtId="0" fontId="5" fillId="5" borderId="9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4" fillId="5" borderId="10" xfId="0" applyNumberFormat="1" applyFont="1" applyFill="1" applyBorder="1"/>
    <xf numFmtId="49" fontId="4" fillId="5" borderId="1" xfId="0" applyNumberFormat="1" applyFont="1" applyFill="1" applyBorder="1"/>
    <xf numFmtId="0" fontId="5" fillId="5" borderId="1" xfId="0" applyNumberFormat="1" applyFont="1" applyFill="1" applyBorder="1" applyAlignment="1" applyProtection="1"/>
    <xf numFmtId="49" fontId="6" fillId="5" borderId="1" xfId="0" applyNumberFormat="1" applyFont="1" applyFill="1" applyBorder="1" applyAlignment="1">
      <alignment vertical="center" textRotation="90"/>
    </xf>
    <xf numFmtId="0" fontId="5" fillId="5" borderId="11" xfId="0" applyNumberFormat="1" applyFont="1" applyFill="1" applyBorder="1" applyAlignment="1" applyProtection="1"/>
    <xf numFmtId="49" fontId="4" fillId="6" borderId="5" xfId="0" applyNumberFormat="1" applyFont="1" applyFill="1" applyBorder="1"/>
    <xf numFmtId="49" fontId="4" fillId="6" borderId="6" xfId="0" applyNumberFormat="1" applyFont="1" applyFill="1" applyBorder="1"/>
    <xf numFmtId="0" fontId="5" fillId="6" borderId="6" xfId="0" applyNumberFormat="1" applyFont="1" applyFill="1" applyBorder="1" applyAlignment="1" applyProtection="1"/>
    <xf numFmtId="49" fontId="6" fillId="6" borderId="6" xfId="0" applyNumberFormat="1" applyFont="1" applyFill="1" applyBorder="1"/>
    <xf numFmtId="0" fontId="8" fillId="6" borderId="6" xfId="0" applyNumberFormat="1" applyFont="1" applyFill="1" applyBorder="1" applyAlignment="1" applyProtection="1"/>
    <xf numFmtId="49" fontId="6" fillId="6" borderId="6" xfId="0" applyNumberFormat="1" applyFont="1" applyFill="1" applyBorder="1" applyAlignment="1">
      <alignment vertical="center" textRotation="90"/>
    </xf>
    <xf numFmtId="0" fontId="8" fillId="6" borderId="7" xfId="0" applyNumberFormat="1" applyFont="1" applyFill="1" applyBorder="1" applyAlignment="1" applyProtection="1"/>
    <xf numFmtId="49" fontId="4" fillId="6" borderId="8" xfId="0" applyNumberFormat="1" applyFont="1" applyFill="1" applyBorder="1"/>
    <xf numFmtId="49" fontId="4" fillId="6" borderId="0" xfId="0" applyNumberFormat="1" applyFont="1" applyFill="1" applyBorder="1"/>
    <xf numFmtId="0" fontId="5" fillId="6" borderId="0" xfId="0" applyNumberFormat="1" applyFont="1" applyFill="1" applyBorder="1" applyAlignment="1" applyProtection="1"/>
    <xf numFmtId="49" fontId="6" fillId="6" borderId="0" xfId="0" applyNumberFormat="1" applyFont="1" applyFill="1" applyBorder="1" applyAlignment="1">
      <alignment vertical="center" textRotation="90"/>
    </xf>
    <xf numFmtId="0" fontId="5" fillId="6" borderId="9" xfId="0" applyNumberFormat="1" applyFont="1" applyFill="1" applyBorder="1" applyAlignment="1" applyProtection="1"/>
    <xf numFmtId="49" fontId="7" fillId="6" borderId="0" xfId="0" applyNumberFormat="1" applyFont="1" applyFill="1" applyBorder="1"/>
    <xf numFmtId="49" fontId="4" fillId="11" borderId="8" xfId="0" applyNumberFormat="1" applyFont="1" applyFill="1" applyBorder="1"/>
    <xf numFmtId="49" fontId="4" fillId="11" borderId="0" xfId="0" applyNumberFormat="1" applyFont="1" applyFill="1" applyBorder="1"/>
    <xf numFmtId="0" fontId="5" fillId="11" borderId="0" xfId="0" applyNumberFormat="1" applyFont="1" applyFill="1" applyBorder="1" applyAlignment="1" applyProtection="1"/>
    <xf numFmtId="49" fontId="6" fillId="11" borderId="0" xfId="0" applyNumberFormat="1" applyFont="1" applyFill="1" applyBorder="1"/>
    <xf numFmtId="49" fontId="6" fillId="11" borderId="0" xfId="0" applyNumberFormat="1" applyFont="1" applyFill="1" applyBorder="1" applyAlignment="1">
      <alignment vertical="center" textRotation="90"/>
    </xf>
    <xf numFmtId="0" fontId="5" fillId="11" borderId="9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4" fillId="12" borderId="8" xfId="0" applyNumberFormat="1" applyFont="1" applyFill="1" applyBorder="1"/>
    <xf numFmtId="49" fontId="4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6" fillId="12" borderId="0" xfId="0" applyNumberFormat="1" applyFont="1" applyFill="1" applyBorder="1"/>
    <xf numFmtId="0" fontId="8" fillId="12" borderId="0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vertical="center" textRotation="90"/>
    </xf>
    <xf numFmtId="0" fontId="5" fillId="12" borderId="9" xfId="0" applyNumberFormat="1" applyFont="1" applyFill="1" applyBorder="1" applyAlignment="1" applyProtection="1"/>
    <xf numFmtId="49" fontId="4" fillId="12" borderId="10" xfId="0" applyNumberFormat="1" applyFont="1" applyFill="1" applyBorder="1"/>
    <xf numFmtId="49" fontId="4" fillId="12" borderId="1" xfId="0" applyNumberFormat="1" applyFont="1" applyFill="1" applyBorder="1"/>
    <xf numFmtId="0" fontId="5" fillId="12" borderId="1" xfId="0" applyNumberFormat="1" applyFont="1" applyFill="1" applyBorder="1" applyAlignment="1" applyProtection="1"/>
    <xf numFmtId="49" fontId="6" fillId="12" borderId="1" xfId="0" applyNumberFormat="1" applyFont="1" applyFill="1" applyBorder="1" applyAlignment="1">
      <alignment vertical="center" textRotation="90"/>
    </xf>
    <xf numFmtId="0" fontId="5" fillId="12" borderId="11" xfId="0" applyNumberFormat="1" applyFont="1" applyFill="1" applyBorder="1" applyAlignment="1" applyProtection="1"/>
    <xf numFmtId="0" fontId="9" fillId="6" borderId="6" xfId="0" applyNumberFormat="1" applyFont="1" applyFill="1" applyBorder="1" applyAlignment="1" applyProtection="1"/>
    <xf numFmtId="0" fontId="5" fillId="6" borderId="7" xfId="0" applyNumberFormat="1" applyFont="1" applyFill="1" applyBorder="1" applyAlignment="1" applyProtection="1"/>
    <xf numFmtId="0" fontId="8" fillId="6" borderId="0" xfId="0" applyNumberFormat="1" applyFont="1" applyFill="1" applyBorder="1" applyAlignment="1" applyProtection="1"/>
    <xf numFmtId="49" fontId="4" fillId="6" borderId="10" xfId="0" applyNumberFormat="1" applyFont="1" applyFill="1" applyBorder="1"/>
    <xf numFmtId="49" fontId="4" fillId="6" borderId="1" xfId="0" applyNumberFormat="1" applyFont="1" applyFill="1" applyBorder="1"/>
    <xf numFmtId="0" fontId="5" fillId="6" borderId="1" xfId="0" applyNumberFormat="1" applyFont="1" applyFill="1" applyBorder="1" applyAlignment="1" applyProtection="1"/>
    <xf numFmtId="0" fontId="5" fillId="6" borderId="11" xfId="0" applyNumberFormat="1" applyFont="1" applyFill="1" applyBorder="1" applyAlignment="1" applyProtection="1"/>
    <xf numFmtId="49" fontId="4" fillId="2" borderId="6" xfId="0" applyNumberFormat="1" applyFont="1" applyFill="1" applyBorder="1"/>
    <xf numFmtId="49" fontId="6" fillId="2" borderId="6" xfId="0" applyNumberFormat="1" applyFont="1" applyFill="1" applyBorder="1"/>
    <xf numFmtId="49" fontId="4" fillId="2" borderId="0" xfId="0" applyNumberFormat="1" applyFont="1" applyFill="1" applyBorder="1"/>
    <xf numFmtId="49" fontId="7" fillId="2" borderId="0" xfId="0" applyNumberFormat="1" applyFont="1" applyFill="1" applyBorder="1"/>
    <xf numFmtId="49" fontId="4" fillId="8" borderId="5" xfId="0" applyNumberFormat="1" applyFont="1" applyFill="1" applyBorder="1"/>
    <xf numFmtId="49" fontId="10" fillId="8" borderId="0" xfId="0" applyNumberFormat="1" applyFont="1" applyFill="1" applyBorder="1"/>
    <xf numFmtId="0" fontId="5" fillId="8" borderId="6" xfId="0" applyNumberFormat="1" applyFont="1" applyFill="1" applyBorder="1" applyAlignment="1" applyProtection="1"/>
    <xf numFmtId="49" fontId="6" fillId="8" borderId="6" xfId="0" applyNumberFormat="1" applyFont="1" applyFill="1" applyBorder="1"/>
    <xf numFmtId="49" fontId="4" fillId="8" borderId="6" xfId="0" applyNumberFormat="1" applyFont="1" applyFill="1" applyBorder="1"/>
    <xf numFmtId="0" fontId="5" fillId="8" borderId="7" xfId="0" applyNumberFormat="1" applyFont="1" applyFill="1" applyBorder="1" applyAlignment="1" applyProtection="1"/>
    <xf numFmtId="49" fontId="7" fillId="13" borderId="0" xfId="0" applyNumberFormat="1" applyFont="1" applyFill="1" applyBorder="1" applyAlignment="1">
      <alignment horizontal="left"/>
    </xf>
    <xf numFmtId="0" fontId="5" fillId="13" borderId="0" xfId="0" applyNumberFormat="1" applyFont="1" applyFill="1" applyBorder="1" applyAlignment="1" applyProtection="1">
      <alignment horizontal="left"/>
    </xf>
    <xf numFmtId="49" fontId="11" fillId="13" borderId="0" xfId="0" applyNumberFormat="1" applyFont="1" applyFill="1" applyBorder="1" applyAlignment="1">
      <alignment horizontal="left"/>
    </xf>
    <xf numFmtId="49" fontId="4" fillId="8" borderId="10" xfId="0" applyNumberFormat="1" applyFont="1" applyFill="1" applyBorder="1"/>
    <xf numFmtId="0" fontId="5" fillId="8" borderId="1" xfId="0" applyNumberFormat="1" applyFont="1" applyFill="1" applyBorder="1" applyAlignment="1" applyProtection="1"/>
    <xf numFmtId="49" fontId="4" fillId="8" borderId="1" xfId="0" applyNumberFormat="1" applyFont="1" applyFill="1" applyBorder="1"/>
    <xf numFmtId="0" fontId="5" fillId="8" borderId="11" xfId="0" applyNumberFormat="1" applyFont="1" applyFill="1" applyBorder="1" applyAlignment="1" applyProtection="1"/>
    <xf numFmtId="49" fontId="4" fillId="2" borderId="12" xfId="0" applyNumberFormat="1" applyFont="1" applyFill="1" applyBorder="1"/>
    <xf numFmtId="49" fontId="10" fillId="14" borderId="13" xfId="0" applyNumberFormat="1" applyFont="1" applyFill="1" applyBorder="1"/>
    <xf numFmtId="0" fontId="5" fillId="2" borderId="14" xfId="0" applyNumberFormat="1" applyFont="1" applyFill="1" applyBorder="1" applyAlignment="1" applyProtection="1"/>
    <xf numFmtId="49" fontId="7" fillId="2" borderId="14" xfId="0" applyNumberFormat="1" applyFont="1" applyFill="1" applyBorder="1"/>
    <xf numFmtId="49" fontId="4" fillId="2" borderId="14" xfId="0" applyNumberFormat="1" applyFont="1" applyFill="1" applyBorder="1"/>
    <xf numFmtId="0" fontId="5" fillId="2" borderId="15" xfId="0" applyNumberFormat="1" applyFont="1" applyFill="1" applyBorder="1" applyAlignment="1" applyProtection="1"/>
    <xf numFmtId="0" fontId="14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3" fontId="13" fillId="0" borderId="16" xfId="0" applyNumberFormat="1" applyFont="1" applyBorder="1" applyAlignment="1">
      <alignment vertical="top" wrapText="1"/>
    </xf>
    <xf numFmtId="3" fontId="1" fillId="0" borderId="16" xfId="0" quotePrefix="1" applyNumberFormat="1" applyFont="1" applyFill="1" applyBorder="1" applyAlignment="1" applyProtection="1">
      <alignment horizontal="right"/>
    </xf>
    <xf numFmtId="3" fontId="13" fillId="0" borderId="16" xfId="0" applyNumberFormat="1" applyFont="1" applyBorder="1" applyAlignment="1">
      <alignment horizontal="right" vertical="top" wrapText="1"/>
    </xf>
    <xf numFmtId="0" fontId="13" fillId="0" borderId="16" xfId="0" applyFont="1" applyBorder="1" applyAlignment="1">
      <alignment horizontal="right" vertical="top" wrapText="1"/>
    </xf>
    <xf numFmtId="3" fontId="13" fillId="0" borderId="16" xfId="0" applyNumberFormat="1" applyFont="1" applyBorder="1" applyAlignment="1">
      <alignment horizontal="right" wrapText="1"/>
    </xf>
    <xf numFmtId="3" fontId="1" fillId="0" borderId="19" xfId="0" quotePrefix="1" applyNumberFormat="1" applyFont="1" applyFill="1" applyBorder="1" applyAlignment="1" applyProtection="1">
      <alignment horizontal="right"/>
    </xf>
    <xf numFmtId="0" fontId="13" fillId="0" borderId="16" xfId="0" applyFont="1" applyBorder="1" applyAlignment="1">
      <alignment vertical="top" wrapText="1"/>
    </xf>
    <xf numFmtId="3" fontId="1" fillId="0" borderId="8" xfId="0" applyNumberFormat="1" applyFont="1" applyBorder="1" applyAlignment="1" applyProtection="1">
      <alignment horizontal="right" vertical="center"/>
      <protection locked="0"/>
    </xf>
    <xf numFmtId="3" fontId="1" fillId="0" borderId="20" xfId="0" applyNumberFormat="1" applyFont="1" applyBorder="1" applyAlignment="1" applyProtection="1">
      <alignment horizontal="right" vertical="center"/>
      <protection locked="0"/>
    </xf>
    <xf numFmtId="0" fontId="13" fillId="0" borderId="0" xfId="0" applyFont="1" applyBorder="1" applyAlignment="1" applyProtection="1">
      <alignment horizontal="left" indent="1"/>
      <protection locked="0"/>
    </xf>
    <xf numFmtId="0" fontId="2" fillId="0" borderId="34" xfId="0" applyFont="1" applyBorder="1" applyAlignment="1" applyProtection="1">
      <alignment horizontal="center"/>
      <protection locked="0"/>
    </xf>
    <xf numFmtId="3" fontId="13" fillId="0" borderId="0" xfId="0" applyNumberFormat="1" applyFont="1" applyBorder="1"/>
    <xf numFmtId="3" fontId="1" fillId="0" borderId="32" xfId="0" quotePrefix="1" applyNumberFormat="1" applyFont="1" applyFill="1" applyBorder="1" applyAlignment="1" applyProtection="1">
      <alignment horizontal="right"/>
    </xf>
    <xf numFmtId="3" fontId="13" fillId="0" borderId="19" xfId="0" applyNumberFormat="1" applyFont="1" applyBorder="1" applyAlignment="1">
      <alignment vertical="top" wrapText="1"/>
    </xf>
    <xf numFmtId="3" fontId="13" fillId="0" borderId="19" xfId="0" applyNumberFormat="1" applyFont="1" applyBorder="1" applyAlignment="1">
      <alignment horizontal="right" vertical="top" wrapText="1"/>
    </xf>
    <xf numFmtId="49" fontId="16" fillId="0" borderId="0" xfId="0" applyNumberFormat="1" applyFont="1" applyAlignment="1" applyProtection="1">
      <alignment horizontal="left" vertical="center" wrapText="1"/>
      <protection locked="0"/>
    </xf>
    <xf numFmtId="3" fontId="3" fillId="0" borderId="8" xfId="0" applyNumberFormat="1" applyFont="1" applyBorder="1" applyAlignment="1" applyProtection="1">
      <alignment horizontal="right" vertical="center"/>
      <protection locked="0"/>
    </xf>
    <xf numFmtId="0" fontId="16" fillId="0" borderId="0" xfId="0" applyFont="1" applyAlignment="1" applyProtection="1">
      <protection locked="0"/>
    </xf>
    <xf numFmtId="3" fontId="16" fillId="0" borderId="16" xfId="0" applyNumberFormat="1" applyFont="1" applyBorder="1" applyAlignment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3" fontId="16" fillId="0" borderId="0" xfId="0" applyNumberFormat="1" applyFont="1" applyBorder="1" applyAlignment="1">
      <alignment vertical="center" wrapText="1"/>
    </xf>
    <xf numFmtId="3" fontId="1" fillId="0" borderId="0" xfId="0" quotePrefix="1" applyNumberFormat="1" applyFont="1" applyFill="1" applyBorder="1" applyAlignment="1" applyProtection="1">
      <alignment horizontal="right"/>
    </xf>
    <xf numFmtId="3" fontId="13" fillId="0" borderId="1" xfId="0" applyNumberFormat="1" applyFont="1" applyBorder="1"/>
    <xf numFmtId="3" fontId="1" fillId="0" borderId="1" xfId="0" applyNumberFormat="1" applyFont="1" applyBorder="1"/>
    <xf numFmtId="3" fontId="1" fillId="0" borderId="1" xfId="0" quotePrefix="1" applyNumberFormat="1" applyFont="1" applyFill="1" applyBorder="1" applyAlignment="1" applyProtection="1">
      <alignment horizontal="right"/>
    </xf>
    <xf numFmtId="3" fontId="13" fillId="0" borderId="9" xfId="0" applyNumberFormat="1" applyFont="1" applyBorder="1"/>
    <xf numFmtId="3" fontId="1" fillId="0" borderId="9" xfId="0" quotePrefix="1" applyNumberFormat="1" applyFont="1" applyFill="1" applyBorder="1" applyAlignment="1" applyProtection="1">
      <alignment horizontal="right"/>
    </xf>
    <xf numFmtId="3" fontId="1" fillId="0" borderId="11" xfId="0" quotePrefix="1" applyNumberFormat="1" applyFont="1" applyFill="1" applyBorder="1" applyAlignment="1" applyProtection="1">
      <alignment horizontal="right"/>
    </xf>
    <xf numFmtId="3" fontId="16" fillId="0" borderId="9" xfId="0" applyNumberFormat="1" applyFont="1" applyBorder="1" applyAlignment="1">
      <alignment vertical="center" wrapText="1"/>
    </xf>
    <xf numFmtId="49" fontId="6" fillId="15" borderId="6" xfId="0" applyNumberFormat="1" applyFont="1" applyFill="1" applyBorder="1" applyAlignment="1">
      <alignment horizontal="center" vertical="center" textRotation="90"/>
    </xf>
    <xf numFmtId="49" fontId="6" fillId="15" borderId="0" xfId="0" applyNumberFormat="1" applyFont="1" applyFill="1" applyBorder="1" applyAlignment="1">
      <alignment horizontal="center" vertical="center" textRotation="90"/>
    </xf>
    <xf numFmtId="49" fontId="6" fillId="15" borderId="1" xfId="0" applyNumberFormat="1" applyFont="1" applyFill="1" applyBorder="1" applyAlignment="1">
      <alignment horizontal="center" vertical="center" textRotation="90"/>
    </xf>
    <xf numFmtId="49" fontId="6" fillId="3" borderId="6" xfId="0" applyNumberFormat="1" applyFont="1" applyFill="1" applyBorder="1" applyAlignment="1">
      <alignment horizontal="center" vertical="center" textRotation="90" wrapText="1"/>
    </xf>
    <xf numFmtId="49" fontId="6" fillId="3" borderId="0" xfId="0" applyNumberFormat="1" applyFont="1" applyFill="1" applyBorder="1" applyAlignment="1">
      <alignment horizontal="center" vertical="center" textRotation="90" wrapText="1"/>
    </xf>
    <xf numFmtId="49" fontId="6" fillId="3" borderId="1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left" vertical="center" wrapText="1"/>
    </xf>
    <xf numFmtId="49" fontId="6" fillId="2" borderId="6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center" vertical="center" textRotation="90" wrapText="1"/>
    </xf>
    <xf numFmtId="49" fontId="6" fillId="2" borderId="1" xfId="0" applyNumberFormat="1" applyFont="1" applyFill="1" applyBorder="1" applyAlignment="1">
      <alignment horizontal="center" vertical="center" textRotation="90" wrapText="1"/>
    </xf>
    <xf numFmtId="49" fontId="6" fillId="7" borderId="6" xfId="0" applyNumberFormat="1" applyFont="1" applyFill="1" applyBorder="1" applyAlignment="1">
      <alignment horizontal="center" vertical="center" textRotation="90" wrapText="1"/>
    </xf>
    <xf numFmtId="49" fontId="6" fillId="7" borderId="0" xfId="0" applyNumberFormat="1" applyFont="1" applyFill="1" applyBorder="1" applyAlignment="1">
      <alignment horizontal="center" vertical="center" textRotation="90" wrapText="1"/>
    </xf>
    <xf numFmtId="49" fontId="6" fillId="7" borderId="1" xfId="0" applyNumberFormat="1" applyFont="1" applyFill="1" applyBorder="1" applyAlignment="1">
      <alignment horizontal="center" vertical="center" textRotation="90" wrapText="1"/>
    </xf>
    <xf numFmtId="3" fontId="16" fillId="0" borderId="0" xfId="0" applyNumberFormat="1" applyFont="1" applyBorder="1" applyAlignment="1" applyProtection="1">
      <alignment horizontal="right" vertical="center"/>
    </xf>
    <xf numFmtId="3" fontId="16" fillId="0" borderId="16" xfId="0" applyNumberFormat="1" applyFont="1" applyBorder="1" applyAlignment="1" applyProtection="1">
      <alignment horizontal="right" vertical="center"/>
    </xf>
    <xf numFmtId="3" fontId="16" fillId="0" borderId="32" xfId="0" applyNumberFormat="1" applyFont="1" applyBorder="1" applyAlignment="1" applyProtection="1">
      <alignment horizontal="right" vertical="center"/>
    </xf>
    <xf numFmtId="3" fontId="16" fillId="0" borderId="9" xfId="0" applyNumberFormat="1" applyFont="1" applyBorder="1" applyAlignment="1" applyProtection="1">
      <alignment horizontal="right" vertical="center"/>
    </xf>
    <xf numFmtId="3" fontId="16" fillId="0" borderId="27" xfId="0" applyNumberFormat="1" applyFont="1" applyBorder="1" applyAlignment="1" applyProtection="1">
      <alignment horizontal="right" vertical="center"/>
    </xf>
    <xf numFmtId="3" fontId="16" fillId="0" borderId="26" xfId="0" applyNumberFormat="1" applyFont="1" applyBorder="1" applyAlignment="1" applyProtection="1">
      <alignment horizontal="right" vertical="center"/>
    </xf>
    <xf numFmtId="0" fontId="1" fillId="0" borderId="1" xfId="0" applyFont="1" applyFill="1" applyBorder="1" applyAlignment="1" applyProtection="1">
      <alignment horizontal="left"/>
      <protection locked="0"/>
    </xf>
    <xf numFmtId="0" fontId="3" fillId="0" borderId="0" xfId="0" applyNumberFormat="1" applyFont="1" applyFill="1" applyBorder="1" applyAlignment="1" applyProtection="1">
      <alignment horizontal="center" vertical="top" wrapText="1"/>
      <protection locked="0"/>
    </xf>
    <xf numFmtId="0" fontId="1" fillId="0" borderId="1" xfId="0" applyNumberFormat="1" applyFont="1" applyFill="1" applyBorder="1" applyAlignment="1" applyProtection="1">
      <alignment horizontal="right"/>
      <protection locked="0"/>
    </xf>
    <xf numFmtId="0" fontId="3" fillId="0" borderId="0" xfId="0" applyNumberFormat="1" applyFont="1" applyFill="1" applyBorder="1" applyAlignment="1" applyProtection="1">
      <alignment horizontal="center" wrapText="1"/>
      <protection locked="0"/>
    </xf>
    <xf numFmtId="3" fontId="16" fillId="0" borderId="35" xfId="0" applyNumberFormat="1" applyFont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/>
    <xf numFmtId="0" fontId="0" fillId="0" borderId="6" xfId="0" applyBorder="1"/>
    <xf numFmtId="0" fontId="0" fillId="0" borderId="22" xfId="0" applyBorder="1"/>
    <xf numFmtId="0" fontId="0" fillId="0" borderId="23" xfId="0" applyBorder="1"/>
    <xf numFmtId="0" fontId="0" fillId="0" borderId="28" xfId="0" applyBorder="1"/>
    <xf numFmtId="0" fontId="0" fillId="0" borderId="24" xfId="0" applyBorder="1"/>
    <xf numFmtId="0" fontId="1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/>
      <protection locked="0"/>
    </xf>
    <xf numFmtId="3" fontId="16" fillId="0" borderId="8" xfId="0" applyNumberFormat="1" applyFont="1" applyBorder="1" applyAlignment="1" applyProtection="1">
      <alignment horizontal="right" vertical="center"/>
    </xf>
    <xf numFmtId="0" fontId="0" fillId="0" borderId="18" xfId="0" applyBorder="1"/>
    <xf numFmtId="0" fontId="0" fillId="0" borderId="17" xfId="0" applyBorder="1"/>
    <xf numFmtId="0" fontId="1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3" xfId="0" applyNumberFormat="1" applyFont="1" applyFill="1" applyBorder="1" applyAlignment="1" applyProtection="1">
      <alignment horizontal="center" vertical="center" wrapText="1"/>
      <protection locked="0"/>
    </xf>
    <xf numFmtId="49" fontId="16" fillId="0" borderId="0" xfId="0" applyNumberFormat="1" applyFont="1" applyAlignment="1" applyProtection="1">
      <alignment horizontal="left" vertical="center" wrapText="1"/>
      <protection locked="0"/>
    </xf>
    <xf numFmtId="49" fontId="16" fillId="0" borderId="0" xfId="0" applyNumberFormat="1" applyFont="1" applyBorder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/>
      <protection locked="0"/>
    </xf>
    <xf numFmtId="3" fontId="16" fillId="0" borderId="25" xfId="0" applyNumberFormat="1" applyFont="1" applyBorder="1" applyAlignment="1" applyProtection="1">
      <alignment horizontal="right" vertical="center"/>
    </xf>
    <xf numFmtId="49" fontId="16" fillId="0" borderId="27" xfId="0" applyNumberFormat="1" applyFont="1" applyBorder="1" applyAlignment="1" applyProtection="1">
      <alignment horizontal="left" vertical="center"/>
      <protection locked="0"/>
    </xf>
    <xf numFmtId="49" fontId="16" fillId="0" borderId="0" xfId="0" applyNumberFormat="1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wrapText="1" indent="1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right"/>
      <protection locked="0"/>
    </xf>
    <xf numFmtId="0" fontId="16" fillId="0" borderId="0" xfId="0" applyFont="1" applyBorder="1" applyAlignment="1" applyProtection="1">
      <alignment vertical="center" wrapText="1"/>
      <protection locked="0"/>
    </xf>
    <xf numFmtId="0" fontId="16" fillId="0" borderId="0" xfId="0" applyFont="1" applyBorder="1" applyAlignment="1" applyProtection="1">
      <alignment vertical="center"/>
      <protection locked="0"/>
    </xf>
    <xf numFmtId="0" fontId="16" fillId="0" borderId="0" xfId="0" applyFont="1" applyBorder="1" applyAlignment="1" applyProtection="1">
      <alignment horizontal="left" vertical="center" wrapText="1"/>
      <protection locked="0"/>
    </xf>
    <xf numFmtId="0" fontId="3" fillId="0" borderId="27" xfId="0" applyNumberFormat="1" applyFont="1" applyFill="1" applyBorder="1" applyAlignment="1" applyProtection="1">
      <alignment vertical="center" wrapText="1"/>
      <protection locked="0"/>
    </xf>
    <xf numFmtId="0" fontId="3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16" fillId="0" borderId="9" xfId="0" applyNumberFormat="1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wrapText="1" indent="1"/>
      <protection locked="0"/>
    </xf>
    <xf numFmtId="0" fontId="13" fillId="0" borderId="0" xfId="0" applyFont="1" applyBorder="1" applyAlignment="1">
      <alignment horizontal="center"/>
    </xf>
    <xf numFmtId="49" fontId="16" fillId="0" borderId="0" xfId="0" applyNumberFormat="1" applyFont="1" applyBorder="1" applyAlignment="1">
      <alignment horizontal="left" vertical="center" wrapText="1"/>
    </xf>
    <xf numFmtId="49" fontId="16" fillId="0" borderId="0" xfId="0" applyNumberFormat="1" applyFont="1" applyBorder="1" applyAlignment="1">
      <alignment horizontal="center" vertical="center" wrapText="1"/>
    </xf>
    <xf numFmtId="49" fontId="16" fillId="0" borderId="0" xfId="0" applyNumberFormat="1" applyFont="1" applyBorder="1" applyAlignment="1">
      <alignment horizontal="left"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8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55" workbookViewId="0">
      <selection activeCell="A55" sqref="A1:IV65536"/>
    </sheetView>
  </sheetViews>
  <sheetFormatPr defaultRowHeight="14.4"/>
  <cols>
    <col min="2" max="2" width="20.109375" bestFit="1" customWidth="1"/>
  </cols>
  <sheetData>
    <row r="1" spans="1:13">
      <c r="A1" s="25" t="s">
        <v>187</v>
      </c>
      <c r="B1" s="26" t="s">
        <v>109</v>
      </c>
      <c r="C1" s="27"/>
      <c r="D1" s="28"/>
      <c r="E1" s="28"/>
      <c r="F1" s="28"/>
      <c r="G1" s="28"/>
      <c r="H1" s="178" t="s">
        <v>188</v>
      </c>
      <c r="I1" s="29"/>
      <c r="J1" s="27"/>
      <c r="K1" s="27"/>
      <c r="L1" s="27"/>
      <c r="M1" s="30"/>
    </row>
    <row r="2" spans="1:13">
      <c r="A2" s="31" t="s">
        <v>189</v>
      </c>
      <c r="B2" s="32" t="s">
        <v>110</v>
      </c>
      <c r="C2" s="33"/>
      <c r="D2" s="33"/>
      <c r="E2" s="33"/>
      <c r="F2" s="33"/>
      <c r="G2" s="33"/>
      <c r="H2" s="179"/>
      <c r="I2" s="34"/>
      <c r="J2" s="33"/>
      <c r="K2" s="33"/>
      <c r="L2" s="33"/>
      <c r="M2" s="35"/>
    </row>
    <row r="3" spans="1:13">
      <c r="A3" s="31" t="s">
        <v>190</v>
      </c>
      <c r="B3" s="32" t="s">
        <v>111</v>
      </c>
      <c r="C3" s="33"/>
      <c r="D3" s="181" t="s">
        <v>191</v>
      </c>
      <c r="E3" s="181"/>
      <c r="F3" s="181"/>
      <c r="G3" s="181"/>
      <c r="H3" s="179"/>
      <c r="I3" s="34"/>
      <c r="J3" s="33"/>
      <c r="K3" s="33"/>
      <c r="L3" s="33"/>
      <c r="M3" s="35"/>
    </row>
    <row r="4" spans="1:13">
      <c r="A4" s="31" t="s">
        <v>192</v>
      </c>
      <c r="B4" s="32" t="s">
        <v>112</v>
      </c>
      <c r="C4" s="33"/>
      <c r="D4" s="36" t="s">
        <v>193</v>
      </c>
      <c r="E4" s="33"/>
      <c r="F4" s="33"/>
      <c r="G4" s="33"/>
      <c r="H4" s="179"/>
      <c r="I4" s="34"/>
      <c r="J4" s="33"/>
      <c r="K4" s="33"/>
      <c r="L4" s="33"/>
      <c r="M4" s="35"/>
    </row>
    <row r="5" spans="1:13">
      <c r="A5" s="31" t="s">
        <v>194</v>
      </c>
      <c r="B5" s="32" t="s">
        <v>113</v>
      </c>
      <c r="C5" s="33"/>
      <c r="D5" s="33"/>
      <c r="E5" s="33"/>
      <c r="F5" s="33"/>
      <c r="G5" s="33"/>
      <c r="H5" s="179"/>
      <c r="I5" s="34"/>
      <c r="J5" s="33"/>
      <c r="K5" s="33"/>
      <c r="L5" s="33"/>
      <c r="M5" s="35"/>
    </row>
    <row r="6" spans="1:13">
      <c r="A6" s="31" t="s">
        <v>195</v>
      </c>
      <c r="B6" s="32" t="s">
        <v>114</v>
      </c>
      <c r="C6" s="33"/>
      <c r="D6" s="33"/>
      <c r="E6" s="33"/>
      <c r="F6" s="33"/>
      <c r="G6" s="33"/>
      <c r="H6" s="179"/>
      <c r="I6" s="34"/>
      <c r="J6" s="33"/>
      <c r="K6" s="33"/>
      <c r="L6" s="33"/>
      <c r="M6" s="35"/>
    </row>
    <row r="7" spans="1:13">
      <c r="A7" s="37" t="s">
        <v>196</v>
      </c>
      <c r="B7" s="38" t="s">
        <v>115</v>
      </c>
      <c r="C7" s="39"/>
      <c r="D7" s="40"/>
      <c r="E7" s="39"/>
      <c r="F7" s="39"/>
      <c r="G7" s="39"/>
      <c r="H7" s="179"/>
      <c r="I7" s="41"/>
      <c r="J7" s="39"/>
      <c r="K7" s="39"/>
      <c r="L7" s="39"/>
      <c r="M7" s="42"/>
    </row>
    <row r="8" spans="1:13">
      <c r="A8" s="37" t="s">
        <v>197</v>
      </c>
      <c r="B8" s="43" t="s">
        <v>116</v>
      </c>
      <c r="C8" s="39"/>
      <c r="D8" s="39"/>
      <c r="E8" s="39"/>
      <c r="F8" s="39"/>
      <c r="G8" s="39"/>
      <c r="H8" s="179"/>
      <c r="I8" s="41"/>
      <c r="J8" s="43"/>
      <c r="K8" s="44"/>
      <c r="L8" s="39"/>
      <c r="M8" s="42"/>
    </row>
    <row r="9" spans="1:13">
      <c r="A9" s="37" t="s">
        <v>198</v>
      </c>
      <c r="B9" s="43" t="s">
        <v>117</v>
      </c>
      <c r="C9" s="39"/>
      <c r="D9" s="39"/>
      <c r="E9" s="39"/>
      <c r="F9" s="39"/>
      <c r="G9" s="39"/>
      <c r="H9" s="179"/>
      <c r="I9" s="41"/>
      <c r="J9" s="39"/>
      <c r="K9" s="39"/>
      <c r="L9" s="39"/>
      <c r="M9" s="42"/>
    </row>
    <row r="10" spans="1:13">
      <c r="A10" s="37" t="s">
        <v>199</v>
      </c>
      <c r="B10" s="43" t="s">
        <v>118</v>
      </c>
      <c r="C10" s="39"/>
      <c r="D10" s="39"/>
      <c r="E10" s="39"/>
      <c r="F10" s="39"/>
      <c r="G10" s="39"/>
      <c r="H10" s="179"/>
      <c r="I10" s="41"/>
      <c r="J10" s="39"/>
      <c r="K10" s="39"/>
      <c r="L10" s="39"/>
      <c r="M10" s="42"/>
    </row>
    <row r="11" spans="1:13">
      <c r="A11" s="37" t="s">
        <v>200</v>
      </c>
      <c r="B11" s="43" t="s">
        <v>119</v>
      </c>
      <c r="C11" s="39"/>
      <c r="D11" s="45" t="s">
        <v>201</v>
      </c>
      <c r="E11" s="39"/>
      <c r="F11" s="39"/>
      <c r="G11" s="39"/>
      <c r="H11" s="179"/>
      <c r="I11" s="41"/>
      <c r="J11" s="39"/>
      <c r="K11" s="39"/>
      <c r="L11" s="39"/>
      <c r="M11" s="42"/>
    </row>
    <row r="12" spans="1:13">
      <c r="A12" s="37" t="s">
        <v>202</v>
      </c>
      <c r="B12" s="43" t="s">
        <v>120</v>
      </c>
      <c r="C12" s="39"/>
      <c r="D12" s="39"/>
      <c r="E12" s="39"/>
      <c r="F12" s="39"/>
      <c r="G12" s="39"/>
      <c r="H12" s="179"/>
      <c r="I12" s="41"/>
      <c r="J12" s="39"/>
      <c r="K12" s="39"/>
      <c r="L12" s="39"/>
      <c r="M12" s="42"/>
    </row>
    <row r="13" spans="1:13">
      <c r="A13" s="37" t="s">
        <v>203</v>
      </c>
      <c r="B13" s="43" t="s">
        <v>121</v>
      </c>
      <c r="C13" s="39"/>
      <c r="D13" s="39"/>
      <c r="E13" s="39"/>
      <c r="F13" s="39"/>
      <c r="G13" s="39"/>
      <c r="H13" s="179"/>
      <c r="I13" s="41"/>
      <c r="J13" s="39"/>
      <c r="K13" s="39"/>
      <c r="L13" s="39"/>
      <c r="M13" s="42"/>
    </row>
    <row r="14" spans="1:13">
      <c r="A14" s="37" t="s">
        <v>204</v>
      </c>
      <c r="B14" s="43" t="s">
        <v>122</v>
      </c>
      <c r="C14" s="39"/>
      <c r="D14" s="39"/>
      <c r="E14" s="39"/>
      <c r="F14" s="39"/>
      <c r="G14" s="39"/>
      <c r="H14" s="179"/>
      <c r="I14" s="41"/>
      <c r="J14" s="39"/>
      <c r="K14" s="39"/>
      <c r="L14" s="39"/>
      <c r="M14" s="42"/>
    </row>
    <row r="15" spans="1:13">
      <c r="A15" s="37" t="s">
        <v>205</v>
      </c>
      <c r="B15" s="43" t="s">
        <v>123</v>
      </c>
      <c r="C15" s="39"/>
      <c r="D15" s="39"/>
      <c r="E15" s="39"/>
      <c r="F15" s="39"/>
      <c r="G15" s="39"/>
      <c r="H15" s="179"/>
      <c r="I15" s="41"/>
      <c r="J15" s="39"/>
      <c r="K15" s="39"/>
      <c r="L15" s="39"/>
      <c r="M15" s="42"/>
    </row>
    <row r="16" spans="1:13">
      <c r="A16" s="37" t="s">
        <v>206</v>
      </c>
      <c r="B16" s="43" t="s">
        <v>124</v>
      </c>
      <c r="C16" s="39"/>
      <c r="D16" s="39"/>
      <c r="E16" s="39"/>
      <c r="F16" s="39"/>
      <c r="G16" s="39"/>
      <c r="H16" s="179"/>
      <c r="I16" s="41"/>
      <c r="J16" s="39"/>
      <c r="K16" s="39"/>
      <c r="L16" s="39"/>
      <c r="M16" s="42"/>
    </row>
    <row r="17" spans="1:13">
      <c r="A17" s="37" t="s">
        <v>207</v>
      </c>
      <c r="B17" s="43" t="s">
        <v>125</v>
      </c>
      <c r="C17" s="39"/>
      <c r="D17" s="39"/>
      <c r="E17" s="39"/>
      <c r="F17" s="39"/>
      <c r="G17" s="39"/>
      <c r="H17" s="179"/>
      <c r="I17" s="41"/>
      <c r="J17" s="39"/>
      <c r="K17" s="39"/>
      <c r="L17" s="39"/>
      <c r="M17" s="42"/>
    </row>
    <row r="18" spans="1:13">
      <c r="A18" s="46" t="s">
        <v>208</v>
      </c>
      <c r="B18" s="47" t="s">
        <v>126</v>
      </c>
      <c r="C18" s="48"/>
      <c r="D18" s="49"/>
      <c r="E18" s="48"/>
      <c r="F18" s="48"/>
      <c r="G18" s="48"/>
      <c r="H18" s="179"/>
      <c r="I18" s="50"/>
      <c r="J18" s="47"/>
      <c r="K18" s="47"/>
      <c r="L18" s="48"/>
      <c r="M18" s="51"/>
    </row>
    <row r="19" spans="1:13">
      <c r="A19" s="46" t="s">
        <v>209</v>
      </c>
      <c r="B19" s="47" t="s">
        <v>127</v>
      </c>
      <c r="C19" s="48"/>
      <c r="D19" s="48"/>
      <c r="E19" s="48"/>
      <c r="F19" s="48"/>
      <c r="G19" s="48"/>
      <c r="H19" s="179"/>
      <c r="I19" s="50"/>
      <c r="J19" s="47"/>
      <c r="K19" s="47"/>
      <c r="L19" s="48"/>
      <c r="M19" s="51"/>
    </row>
    <row r="20" spans="1:13">
      <c r="A20" s="46" t="s">
        <v>210</v>
      </c>
      <c r="B20" s="47" t="s">
        <v>128</v>
      </c>
      <c r="C20" s="48"/>
      <c r="D20" s="52" t="s">
        <v>211</v>
      </c>
      <c r="E20" s="48"/>
      <c r="F20" s="48"/>
      <c r="G20" s="48"/>
      <c r="H20" s="179"/>
      <c r="I20" s="50"/>
      <c r="J20" s="47"/>
      <c r="K20" s="47"/>
      <c r="L20" s="48"/>
      <c r="M20" s="51"/>
    </row>
    <row r="21" spans="1:13" ht="15" thickBot="1">
      <c r="A21" s="53" t="s">
        <v>212</v>
      </c>
      <c r="B21" s="54" t="s">
        <v>129</v>
      </c>
      <c r="C21" s="55"/>
      <c r="D21" s="55"/>
      <c r="E21" s="55"/>
      <c r="F21" s="55"/>
      <c r="G21" s="55"/>
      <c r="H21" s="180"/>
      <c r="I21" s="56"/>
      <c r="J21" s="54"/>
      <c r="K21" s="54"/>
      <c r="L21" s="55"/>
      <c r="M21" s="57"/>
    </row>
    <row r="22" spans="1:13">
      <c r="A22" s="58" t="s">
        <v>213</v>
      </c>
      <c r="B22" s="59" t="s">
        <v>130</v>
      </c>
      <c r="C22" s="60"/>
      <c r="D22" s="61"/>
      <c r="E22" s="60"/>
      <c r="F22" s="60"/>
      <c r="G22" s="62"/>
      <c r="H22" s="182" t="s">
        <v>214</v>
      </c>
      <c r="I22" s="60"/>
      <c r="J22" s="59"/>
      <c r="K22" s="59"/>
      <c r="L22" s="60"/>
      <c r="M22" s="63"/>
    </row>
    <row r="23" spans="1:13">
      <c r="A23" s="64" t="s">
        <v>215</v>
      </c>
      <c r="B23" s="65" t="s">
        <v>131</v>
      </c>
      <c r="C23" s="66"/>
      <c r="D23" s="66"/>
      <c r="E23" s="66"/>
      <c r="F23" s="66"/>
      <c r="G23" s="67"/>
      <c r="H23" s="183"/>
      <c r="I23" s="66"/>
      <c r="J23" s="65"/>
      <c r="K23" s="65"/>
      <c r="L23" s="66"/>
      <c r="M23" s="68"/>
    </row>
    <row r="24" spans="1:13">
      <c r="A24" s="64" t="s">
        <v>216</v>
      </c>
      <c r="B24" s="65" t="s">
        <v>132</v>
      </c>
      <c r="C24" s="66"/>
      <c r="D24" s="69" t="s">
        <v>217</v>
      </c>
      <c r="E24" s="66"/>
      <c r="F24" s="66"/>
      <c r="G24" s="67"/>
      <c r="H24" s="183"/>
      <c r="I24" s="66"/>
      <c r="J24" s="65"/>
      <c r="K24" s="65"/>
      <c r="L24" s="66"/>
      <c r="M24" s="68"/>
    </row>
    <row r="25" spans="1:13">
      <c r="A25" s="64" t="s">
        <v>218</v>
      </c>
      <c r="B25" s="65" t="s">
        <v>133</v>
      </c>
      <c r="C25" s="66"/>
      <c r="D25" s="66"/>
      <c r="E25" s="66"/>
      <c r="F25" s="66"/>
      <c r="G25" s="67"/>
      <c r="H25" s="183"/>
      <c r="I25" s="66"/>
      <c r="J25" s="65"/>
      <c r="K25" s="65"/>
      <c r="L25" s="66"/>
      <c r="M25" s="68"/>
    </row>
    <row r="26" spans="1:13">
      <c r="A26" s="64" t="s">
        <v>219</v>
      </c>
      <c r="B26" s="65" t="s">
        <v>134</v>
      </c>
      <c r="C26" s="66"/>
      <c r="D26" s="66"/>
      <c r="E26" s="66"/>
      <c r="F26" s="66"/>
      <c r="G26" s="67"/>
      <c r="H26" s="183"/>
      <c r="I26" s="66"/>
      <c r="J26" s="65"/>
      <c r="K26" s="65"/>
      <c r="L26" s="66"/>
      <c r="M26" s="68"/>
    </row>
    <row r="27" spans="1:13">
      <c r="A27" s="70" t="s">
        <v>220</v>
      </c>
      <c r="B27" s="71" t="s">
        <v>135</v>
      </c>
      <c r="C27" s="72"/>
      <c r="D27" s="73"/>
      <c r="E27" s="72"/>
      <c r="F27" s="72"/>
      <c r="G27" s="74"/>
      <c r="H27" s="183"/>
      <c r="I27" s="72"/>
      <c r="J27" s="71"/>
      <c r="K27" s="71"/>
      <c r="L27" s="72"/>
      <c r="M27" s="75"/>
    </row>
    <row r="28" spans="1:13">
      <c r="A28" s="70" t="s">
        <v>221</v>
      </c>
      <c r="B28" s="71" t="s">
        <v>136</v>
      </c>
      <c r="C28" s="72"/>
      <c r="D28" s="72"/>
      <c r="E28" s="72"/>
      <c r="F28" s="72"/>
      <c r="G28" s="74"/>
      <c r="H28" s="183"/>
      <c r="I28" s="72"/>
      <c r="J28" s="71"/>
      <c r="K28" s="71"/>
      <c r="L28" s="72"/>
      <c r="M28" s="75"/>
    </row>
    <row r="29" spans="1:13">
      <c r="A29" s="70" t="s">
        <v>222</v>
      </c>
      <c r="B29" s="71" t="s">
        <v>137</v>
      </c>
      <c r="C29" s="72"/>
      <c r="D29" s="76" t="s">
        <v>223</v>
      </c>
      <c r="E29" s="72"/>
      <c r="F29" s="72"/>
      <c r="G29" s="74"/>
      <c r="H29" s="183"/>
      <c r="I29" s="72"/>
      <c r="J29" s="71"/>
      <c r="K29" s="71"/>
      <c r="L29" s="72"/>
      <c r="M29" s="75"/>
    </row>
    <row r="30" spans="1:13">
      <c r="A30" s="70" t="s">
        <v>224</v>
      </c>
      <c r="B30" s="71" t="s">
        <v>138</v>
      </c>
      <c r="C30" s="72"/>
      <c r="D30" s="72"/>
      <c r="E30" s="72"/>
      <c r="F30" s="72"/>
      <c r="G30" s="74"/>
      <c r="H30" s="183"/>
      <c r="I30" s="72"/>
      <c r="J30" s="71"/>
      <c r="K30" s="71"/>
      <c r="L30" s="72"/>
      <c r="M30" s="75"/>
    </row>
    <row r="31" spans="1:13" ht="15" thickBot="1">
      <c r="A31" s="77" t="s">
        <v>225</v>
      </c>
      <c r="B31" s="78" t="s">
        <v>139</v>
      </c>
      <c r="C31" s="79"/>
      <c r="D31" s="79"/>
      <c r="E31" s="79"/>
      <c r="F31" s="79"/>
      <c r="G31" s="80"/>
      <c r="H31" s="184"/>
      <c r="I31" s="79"/>
      <c r="J31" s="78"/>
      <c r="K31" s="78"/>
      <c r="L31" s="79"/>
      <c r="M31" s="81"/>
    </row>
    <row r="32" spans="1:13">
      <c r="A32" s="82" t="s">
        <v>226</v>
      </c>
      <c r="B32" s="83" t="s">
        <v>140</v>
      </c>
      <c r="C32" s="84"/>
      <c r="D32" s="85"/>
      <c r="E32" s="86"/>
      <c r="F32" s="86"/>
      <c r="G32" s="87"/>
      <c r="H32" s="185" t="s">
        <v>227</v>
      </c>
      <c r="I32" s="86"/>
      <c r="J32" s="85"/>
      <c r="K32" s="85"/>
      <c r="L32" s="86"/>
      <c r="M32" s="88"/>
    </row>
    <row r="33" spans="1:13">
      <c r="A33" s="89" t="s">
        <v>228</v>
      </c>
      <c r="B33" s="90" t="s">
        <v>141</v>
      </c>
      <c r="C33" s="91"/>
      <c r="D33" s="91"/>
      <c r="E33" s="91"/>
      <c r="F33" s="91"/>
      <c r="G33" s="92"/>
      <c r="H33" s="186"/>
      <c r="I33" s="91"/>
      <c r="J33" s="90"/>
      <c r="K33" s="90"/>
      <c r="L33" s="91"/>
      <c r="M33" s="93"/>
    </row>
    <row r="34" spans="1:13">
      <c r="A34" s="89" t="s">
        <v>229</v>
      </c>
      <c r="B34" s="90" t="s">
        <v>142</v>
      </c>
      <c r="C34" s="91"/>
      <c r="D34" s="94" t="s">
        <v>230</v>
      </c>
      <c r="E34" s="91"/>
      <c r="F34" s="91"/>
      <c r="G34" s="92"/>
      <c r="H34" s="186"/>
      <c r="I34" s="91"/>
      <c r="J34" s="90"/>
      <c r="K34" s="90"/>
      <c r="L34" s="91"/>
      <c r="M34" s="93"/>
    </row>
    <row r="35" spans="1:13">
      <c r="A35" s="89" t="s">
        <v>231</v>
      </c>
      <c r="B35" s="90" t="s">
        <v>143</v>
      </c>
      <c r="C35" s="91"/>
      <c r="D35" s="91"/>
      <c r="E35" s="91"/>
      <c r="F35" s="91"/>
      <c r="G35" s="92"/>
      <c r="H35" s="186"/>
      <c r="I35" s="91"/>
      <c r="J35" s="90"/>
      <c r="K35" s="90"/>
      <c r="L35" s="91"/>
      <c r="M35" s="93"/>
    </row>
    <row r="36" spans="1:13">
      <c r="A36" s="89" t="s">
        <v>232</v>
      </c>
      <c r="B36" s="90" t="s">
        <v>144</v>
      </c>
      <c r="C36" s="91"/>
      <c r="D36" s="91"/>
      <c r="E36" s="91"/>
      <c r="F36" s="91"/>
      <c r="G36" s="92"/>
      <c r="H36" s="186"/>
      <c r="I36" s="91"/>
      <c r="J36" s="90"/>
      <c r="K36" s="90"/>
      <c r="L36" s="91"/>
      <c r="M36" s="93"/>
    </row>
    <row r="37" spans="1:13">
      <c r="A37" s="95" t="s">
        <v>233</v>
      </c>
      <c r="B37" s="96" t="s">
        <v>145</v>
      </c>
      <c r="C37" s="97"/>
      <c r="D37" s="98"/>
      <c r="E37" s="97"/>
      <c r="F37" s="97"/>
      <c r="G37" s="99"/>
      <c r="H37" s="186"/>
      <c r="I37" s="97"/>
      <c r="J37" s="96"/>
      <c r="K37" s="96"/>
      <c r="L37" s="97"/>
      <c r="M37" s="100"/>
    </row>
    <row r="38" spans="1:13">
      <c r="A38" s="95" t="s">
        <v>234</v>
      </c>
      <c r="B38" s="96" t="s">
        <v>146</v>
      </c>
      <c r="C38" s="97"/>
      <c r="D38" s="101" t="s">
        <v>235</v>
      </c>
      <c r="E38" s="97"/>
      <c r="F38" s="97"/>
      <c r="G38" s="99"/>
      <c r="H38" s="186"/>
      <c r="I38" s="97"/>
      <c r="J38" s="96"/>
      <c r="K38" s="96"/>
      <c r="L38" s="97"/>
      <c r="M38" s="100"/>
    </row>
    <row r="39" spans="1:13">
      <c r="A39" s="95" t="s">
        <v>236</v>
      </c>
      <c r="B39" s="96" t="s">
        <v>147</v>
      </c>
      <c r="C39" s="97"/>
      <c r="D39" s="97"/>
      <c r="E39" s="97"/>
      <c r="F39" s="97"/>
      <c r="G39" s="99"/>
      <c r="H39" s="186"/>
      <c r="I39" s="97"/>
      <c r="J39" s="96"/>
      <c r="K39" s="96"/>
      <c r="L39" s="97"/>
      <c r="M39" s="100"/>
    </row>
    <row r="40" spans="1:13">
      <c r="A40" s="102" t="s">
        <v>237</v>
      </c>
      <c r="B40" s="103" t="s">
        <v>148</v>
      </c>
      <c r="C40" s="104"/>
      <c r="D40" s="105"/>
      <c r="E40" s="106"/>
      <c r="F40" s="106"/>
      <c r="G40" s="107"/>
      <c r="H40" s="186"/>
      <c r="I40" s="104"/>
      <c r="J40" s="103"/>
      <c r="K40" s="103"/>
      <c r="L40" s="104"/>
      <c r="M40" s="108"/>
    </row>
    <row r="41" spans="1:13">
      <c r="A41" s="102" t="s">
        <v>238</v>
      </c>
      <c r="B41" s="103" t="s">
        <v>149</v>
      </c>
      <c r="C41" s="104"/>
      <c r="D41" s="104"/>
      <c r="E41" s="104"/>
      <c r="F41" s="104"/>
      <c r="G41" s="107"/>
      <c r="H41" s="186"/>
      <c r="I41" s="104"/>
      <c r="J41" s="103"/>
      <c r="K41" s="103"/>
      <c r="L41" s="104"/>
      <c r="M41" s="108"/>
    </row>
    <row r="42" spans="1:13">
      <c r="A42" s="102" t="s">
        <v>239</v>
      </c>
      <c r="B42" s="103" t="s">
        <v>150</v>
      </c>
      <c r="C42" s="104"/>
      <c r="D42" s="105" t="s">
        <v>240</v>
      </c>
      <c r="E42" s="104"/>
      <c r="F42" s="104"/>
      <c r="G42" s="107"/>
      <c r="H42" s="186"/>
      <c r="I42" s="104"/>
      <c r="J42" s="103"/>
      <c r="K42" s="103"/>
      <c r="L42" s="104"/>
      <c r="M42" s="108"/>
    </row>
    <row r="43" spans="1:13">
      <c r="A43" s="102" t="s">
        <v>241</v>
      </c>
      <c r="B43" s="103" t="s">
        <v>151</v>
      </c>
      <c r="C43" s="104"/>
      <c r="D43" s="104"/>
      <c r="E43" s="104"/>
      <c r="F43" s="104"/>
      <c r="G43" s="107"/>
      <c r="H43" s="186"/>
      <c r="I43" s="104"/>
      <c r="J43" s="103"/>
      <c r="K43" s="103"/>
      <c r="L43" s="104"/>
      <c r="M43" s="108"/>
    </row>
    <row r="44" spans="1:13" ht="15" thickBot="1">
      <c r="A44" s="109" t="s">
        <v>242</v>
      </c>
      <c r="B44" s="110" t="s">
        <v>152</v>
      </c>
      <c r="C44" s="111"/>
      <c r="D44" s="111"/>
      <c r="E44" s="111"/>
      <c r="F44" s="111"/>
      <c r="G44" s="112"/>
      <c r="H44" s="187"/>
      <c r="I44" s="111"/>
      <c r="J44" s="110"/>
      <c r="K44" s="110"/>
      <c r="L44" s="111"/>
      <c r="M44" s="113"/>
    </row>
    <row r="45" spans="1:13">
      <c r="A45" s="82" t="s">
        <v>243</v>
      </c>
      <c r="B45" s="83" t="s">
        <v>153</v>
      </c>
      <c r="C45" s="84"/>
      <c r="D45" s="84"/>
      <c r="E45" s="114"/>
      <c r="F45" s="84"/>
      <c r="G45" s="84"/>
      <c r="H45" s="178" t="s">
        <v>244</v>
      </c>
      <c r="I45" s="84"/>
      <c r="J45" s="83"/>
      <c r="K45" s="83"/>
      <c r="L45" s="84"/>
      <c r="M45" s="115"/>
    </row>
    <row r="46" spans="1:13">
      <c r="A46" s="89" t="s">
        <v>245</v>
      </c>
      <c r="B46" s="90" t="s">
        <v>154</v>
      </c>
      <c r="C46" s="91"/>
      <c r="D46" s="91"/>
      <c r="E46" s="91"/>
      <c r="F46" s="91"/>
      <c r="G46" s="91"/>
      <c r="H46" s="179"/>
      <c r="I46" s="91"/>
      <c r="J46" s="90"/>
      <c r="K46" s="90"/>
      <c r="L46" s="91"/>
      <c r="M46" s="93"/>
    </row>
    <row r="47" spans="1:13">
      <c r="A47" s="89" t="s">
        <v>246</v>
      </c>
      <c r="B47" s="90" t="s">
        <v>155</v>
      </c>
      <c r="C47" s="91"/>
      <c r="D47" s="91"/>
      <c r="E47" s="91"/>
      <c r="F47" s="91"/>
      <c r="G47" s="91"/>
      <c r="H47" s="179"/>
      <c r="I47" s="91"/>
      <c r="J47" s="90"/>
      <c r="K47" s="90"/>
      <c r="L47" s="91"/>
      <c r="M47" s="93"/>
    </row>
    <row r="48" spans="1:13">
      <c r="A48" s="89" t="s">
        <v>247</v>
      </c>
      <c r="B48" s="90" t="s">
        <v>156</v>
      </c>
      <c r="C48" s="91"/>
      <c r="D48" s="91"/>
      <c r="E48" s="91"/>
      <c r="F48" s="91"/>
      <c r="G48" s="91"/>
      <c r="H48" s="179"/>
      <c r="I48" s="91"/>
      <c r="J48" s="90"/>
      <c r="K48" s="90"/>
      <c r="L48" s="91"/>
      <c r="M48" s="93"/>
    </row>
    <row r="49" spans="1:13">
      <c r="A49" s="89" t="s">
        <v>248</v>
      </c>
      <c r="B49" s="90" t="s">
        <v>157</v>
      </c>
      <c r="C49" s="91"/>
      <c r="D49" s="91"/>
      <c r="E49" s="116" t="s">
        <v>249</v>
      </c>
      <c r="F49" s="91"/>
      <c r="G49" s="91"/>
      <c r="H49" s="179"/>
      <c r="I49" s="91"/>
      <c r="J49" s="90"/>
      <c r="K49" s="90"/>
      <c r="L49" s="91"/>
      <c r="M49" s="93"/>
    </row>
    <row r="50" spans="1:13">
      <c r="A50" s="89" t="s">
        <v>250</v>
      </c>
      <c r="B50" s="90" t="s">
        <v>158</v>
      </c>
      <c r="C50" s="91"/>
      <c r="D50" s="91"/>
      <c r="E50" s="91"/>
      <c r="F50" s="91"/>
      <c r="G50" s="91"/>
      <c r="H50" s="179"/>
      <c r="I50" s="91"/>
      <c r="J50" s="90"/>
      <c r="K50" s="90"/>
      <c r="L50" s="91"/>
      <c r="M50" s="93"/>
    </row>
    <row r="51" spans="1:13">
      <c r="A51" s="89" t="s">
        <v>251</v>
      </c>
      <c r="B51" s="90" t="s">
        <v>159</v>
      </c>
      <c r="C51" s="91"/>
      <c r="D51" s="91"/>
      <c r="E51" s="91"/>
      <c r="F51" s="91"/>
      <c r="G51" s="91"/>
      <c r="H51" s="179"/>
      <c r="I51" s="91"/>
      <c r="J51" s="90"/>
      <c r="K51" s="90"/>
      <c r="L51" s="91"/>
      <c r="M51" s="93"/>
    </row>
    <row r="52" spans="1:13" ht="15" thickBot="1">
      <c r="A52" s="117" t="s">
        <v>252</v>
      </c>
      <c r="B52" s="118" t="s">
        <v>160</v>
      </c>
      <c r="C52" s="119"/>
      <c r="D52" s="119"/>
      <c r="E52" s="119"/>
      <c r="F52" s="119"/>
      <c r="G52" s="119"/>
      <c r="H52" s="180"/>
      <c r="I52" s="119"/>
      <c r="J52" s="118"/>
      <c r="K52" s="118"/>
      <c r="L52" s="119"/>
      <c r="M52" s="120"/>
    </row>
    <row r="53" spans="1:13">
      <c r="A53" s="25" t="s">
        <v>253</v>
      </c>
      <c r="B53" s="121" t="s">
        <v>161</v>
      </c>
      <c r="C53" s="27"/>
      <c r="D53" s="122"/>
      <c r="E53" s="27"/>
      <c r="F53" s="27"/>
      <c r="G53" s="27"/>
      <c r="H53" s="175" t="s">
        <v>254</v>
      </c>
      <c r="I53" s="27"/>
      <c r="J53" s="121"/>
      <c r="K53" s="121"/>
      <c r="L53" s="27"/>
      <c r="M53" s="30"/>
    </row>
    <row r="54" spans="1:13">
      <c r="A54" s="31" t="s">
        <v>255</v>
      </c>
      <c r="B54" s="123" t="s">
        <v>162</v>
      </c>
      <c r="C54" s="33"/>
      <c r="D54" s="33"/>
      <c r="E54" s="33"/>
      <c r="F54" s="33"/>
      <c r="G54" s="33"/>
      <c r="H54" s="176"/>
      <c r="I54" s="33"/>
      <c r="J54" s="123"/>
      <c r="K54" s="123"/>
      <c r="L54" s="33"/>
      <c r="M54" s="35"/>
    </row>
    <row r="55" spans="1:13">
      <c r="A55" s="31" t="s">
        <v>256</v>
      </c>
      <c r="B55" s="123" t="s">
        <v>163</v>
      </c>
      <c r="C55" s="33"/>
      <c r="D55" s="124" t="s">
        <v>257</v>
      </c>
      <c r="E55" s="33"/>
      <c r="F55" s="33"/>
      <c r="G55" s="33"/>
      <c r="H55" s="176"/>
      <c r="I55" s="33"/>
      <c r="J55" s="123"/>
      <c r="K55" s="123"/>
      <c r="L55" s="33"/>
      <c r="M55" s="35"/>
    </row>
    <row r="56" spans="1:13">
      <c r="A56" s="31" t="s">
        <v>258</v>
      </c>
      <c r="B56" s="123" t="s">
        <v>164</v>
      </c>
      <c r="C56" s="33"/>
      <c r="D56" s="33"/>
      <c r="E56" s="33"/>
      <c r="F56" s="33"/>
      <c r="G56" s="33"/>
      <c r="H56" s="176"/>
      <c r="I56" s="33"/>
      <c r="J56" s="123"/>
      <c r="K56" s="123"/>
      <c r="L56" s="33"/>
      <c r="M56" s="35"/>
    </row>
    <row r="57" spans="1:13">
      <c r="A57" s="31" t="s">
        <v>259</v>
      </c>
      <c r="B57" s="123" t="s">
        <v>165</v>
      </c>
      <c r="C57" s="33"/>
      <c r="D57" s="33"/>
      <c r="E57" s="33"/>
      <c r="F57" s="33"/>
      <c r="G57" s="33"/>
      <c r="H57" s="176"/>
      <c r="I57" s="33"/>
      <c r="J57" s="123"/>
      <c r="K57" s="123"/>
      <c r="L57" s="33"/>
      <c r="M57" s="35"/>
    </row>
    <row r="58" spans="1:13">
      <c r="A58" s="70" t="s">
        <v>260</v>
      </c>
      <c r="B58" s="71" t="s">
        <v>166</v>
      </c>
      <c r="C58" s="72"/>
      <c r="D58" s="73"/>
      <c r="E58" s="72"/>
      <c r="F58" s="72"/>
      <c r="G58" s="72"/>
      <c r="H58" s="176"/>
      <c r="I58" s="72"/>
      <c r="J58" s="71"/>
      <c r="K58" s="71"/>
      <c r="L58" s="72"/>
      <c r="M58" s="75"/>
    </row>
    <row r="59" spans="1:13">
      <c r="A59" s="70" t="s">
        <v>261</v>
      </c>
      <c r="B59" s="71" t="s">
        <v>167</v>
      </c>
      <c r="C59" s="72"/>
      <c r="D59" s="72"/>
      <c r="E59" s="72"/>
      <c r="F59" s="72"/>
      <c r="G59" s="72"/>
      <c r="H59" s="176"/>
      <c r="I59" s="72"/>
      <c r="J59" s="71"/>
      <c r="K59" s="71"/>
      <c r="L59" s="72"/>
      <c r="M59" s="75"/>
    </row>
    <row r="60" spans="1:13">
      <c r="A60" s="70" t="s">
        <v>262</v>
      </c>
      <c r="B60" s="71" t="s">
        <v>168</v>
      </c>
      <c r="C60" s="72"/>
      <c r="D60" s="72"/>
      <c r="E60" s="72"/>
      <c r="F60" s="72"/>
      <c r="G60" s="72"/>
      <c r="H60" s="176"/>
      <c r="I60" s="72"/>
      <c r="J60" s="71"/>
      <c r="K60" s="71"/>
      <c r="L60" s="72"/>
      <c r="M60" s="75"/>
    </row>
    <row r="61" spans="1:13">
      <c r="A61" s="70" t="s">
        <v>263</v>
      </c>
      <c r="B61" s="71" t="s">
        <v>169</v>
      </c>
      <c r="C61" s="72"/>
      <c r="D61" s="72"/>
      <c r="E61" s="72"/>
      <c r="F61" s="72"/>
      <c r="G61" s="72"/>
      <c r="H61" s="176"/>
      <c r="I61" s="72"/>
      <c r="J61" s="71"/>
      <c r="K61" s="71"/>
      <c r="L61" s="72"/>
      <c r="M61" s="75"/>
    </row>
    <row r="62" spans="1:13">
      <c r="A62" s="70" t="s">
        <v>264</v>
      </c>
      <c r="B62" s="71" t="s">
        <v>170</v>
      </c>
      <c r="C62" s="72"/>
      <c r="D62" s="72"/>
      <c r="E62" s="72"/>
      <c r="F62" s="72"/>
      <c r="G62" s="72"/>
      <c r="H62" s="176"/>
      <c r="I62" s="72"/>
      <c r="J62" s="71"/>
      <c r="K62" s="71"/>
      <c r="L62" s="72"/>
      <c r="M62" s="75"/>
    </row>
    <row r="63" spans="1:13">
      <c r="A63" s="70" t="s">
        <v>265</v>
      </c>
      <c r="B63" s="71" t="s">
        <v>171</v>
      </c>
      <c r="C63" s="72"/>
      <c r="D63" s="76" t="s">
        <v>266</v>
      </c>
      <c r="E63" s="72"/>
      <c r="F63" s="72"/>
      <c r="G63" s="72"/>
      <c r="H63" s="176"/>
      <c r="I63" s="72"/>
      <c r="J63" s="71"/>
      <c r="K63" s="71"/>
      <c r="L63" s="72"/>
      <c r="M63" s="75"/>
    </row>
    <row r="64" spans="1:13">
      <c r="A64" s="70" t="s">
        <v>267</v>
      </c>
      <c r="B64" s="71" t="s">
        <v>172</v>
      </c>
      <c r="C64" s="72"/>
      <c r="D64" s="72"/>
      <c r="E64" s="72"/>
      <c r="F64" s="72"/>
      <c r="G64" s="72"/>
      <c r="H64" s="176"/>
      <c r="I64" s="72"/>
      <c r="J64" s="71"/>
      <c r="K64" s="71"/>
      <c r="L64" s="72"/>
      <c r="M64" s="75"/>
    </row>
    <row r="65" spans="1:13">
      <c r="A65" s="70" t="s">
        <v>268</v>
      </c>
      <c r="B65" s="71" t="s">
        <v>173</v>
      </c>
      <c r="C65" s="72"/>
      <c r="D65" s="72"/>
      <c r="E65" s="72"/>
      <c r="F65" s="72"/>
      <c r="G65" s="72"/>
      <c r="H65" s="176"/>
      <c r="I65" s="72"/>
      <c r="J65" s="71"/>
      <c r="K65" s="71"/>
      <c r="L65" s="72"/>
      <c r="M65" s="75"/>
    </row>
    <row r="66" spans="1:13">
      <c r="A66" s="70" t="s">
        <v>269</v>
      </c>
      <c r="B66" s="71" t="s">
        <v>174</v>
      </c>
      <c r="C66" s="72"/>
      <c r="D66" s="72"/>
      <c r="E66" s="72"/>
      <c r="F66" s="72"/>
      <c r="G66" s="72"/>
      <c r="H66" s="176"/>
      <c r="I66" s="72"/>
      <c r="J66" s="71"/>
      <c r="K66" s="71"/>
      <c r="L66" s="72"/>
      <c r="M66" s="75"/>
    </row>
    <row r="67" spans="1:13">
      <c r="A67" s="70" t="s">
        <v>270</v>
      </c>
      <c r="B67" s="71" t="s">
        <v>175</v>
      </c>
      <c r="C67" s="72"/>
      <c r="D67" s="72"/>
      <c r="E67" s="72"/>
      <c r="F67" s="72"/>
      <c r="G67" s="72"/>
      <c r="H67" s="176"/>
      <c r="I67" s="72"/>
      <c r="J67" s="71"/>
      <c r="K67" s="71"/>
      <c r="L67" s="72"/>
      <c r="M67" s="75"/>
    </row>
    <row r="68" spans="1:13">
      <c r="A68" s="70" t="s">
        <v>271</v>
      </c>
      <c r="B68" s="71" t="s">
        <v>176</v>
      </c>
      <c r="C68" s="72"/>
      <c r="D68" s="72"/>
      <c r="E68" s="72"/>
      <c r="F68" s="72"/>
      <c r="G68" s="72"/>
      <c r="H68" s="176"/>
      <c r="I68" s="72"/>
      <c r="J68" s="71"/>
      <c r="K68" s="71"/>
      <c r="L68" s="72"/>
      <c r="M68" s="75"/>
    </row>
    <row r="69" spans="1:13">
      <c r="A69" s="70" t="s">
        <v>272</v>
      </c>
      <c r="B69" s="71" t="s">
        <v>177</v>
      </c>
      <c r="C69" s="72"/>
      <c r="D69" s="72"/>
      <c r="E69" s="72"/>
      <c r="F69" s="72"/>
      <c r="G69" s="72"/>
      <c r="H69" s="176"/>
      <c r="I69" s="72"/>
      <c r="J69" s="71"/>
      <c r="K69" s="71"/>
      <c r="L69" s="72"/>
      <c r="M69" s="75"/>
    </row>
    <row r="70" spans="1:13" ht="15" thickBot="1">
      <c r="A70" s="77" t="s">
        <v>273</v>
      </c>
      <c r="B70" s="78" t="s">
        <v>178</v>
      </c>
      <c r="C70" s="79"/>
      <c r="D70" s="79"/>
      <c r="E70" s="79"/>
      <c r="F70" s="79"/>
      <c r="G70" s="79"/>
      <c r="H70" s="177"/>
      <c r="I70" s="79"/>
      <c r="J70" s="78"/>
      <c r="K70" s="78"/>
      <c r="L70" s="79"/>
      <c r="M70" s="81"/>
    </row>
    <row r="71" spans="1:13">
      <c r="A71" s="125" t="s">
        <v>274</v>
      </c>
      <c r="B71" s="126" t="s">
        <v>179</v>
      </c>
      <c r="C71" s="127"/>
      <c r="D71" s="128"/>
      <c r="E71" s="127"/>
      <c r="F71" s="127"/>
      <c r="G71" s="39"/>
      <c r="H71" s="127"/>
      <c r="I71" s="127"/>
      <c r="J71" s="129"/>
      <c r="K71" s="129"/>
      <c r="L71" s="127"/>
      <c r="M71" s="130"/>
    </row>
    <row r="72" spans="1:13">
      <c r="A72" s="37" t="s">
        <v>275</v>
      </c>
      <c r="B72" s="126" t="s">
        <v>180</v>
      </c>
      <c r="C72" s="39"/>
      <c r="D72" s="39"/>
      <c r="E72" s="39"/>
      <c r="F72" s="39"/>
      <c r="G72" s="39"/>
      <c r="H72" s="131" t="s">
        <v>276</v>
      </c>
      <c r="I72" s="132"/>
      <c r="J72" s="133"/>
      <c r="K72" s="133"/>
      <c r="L72" s="39"/>
      <c r="M72" s="42"/>
    </row>
    <row r="73" spans="1:13">
      <c r="A73" s="37" t="s">
        <v>277</v>
      </c>
      <c r="B73" s="126" t="s">
        <v>181</v>
      </c>
      <c r="C73" s="39"/>
      <c r="D73" s="45" t="s">
        <v>278</v>
      </c>
      <c r="E73" s="39"/>
      <c r="F73" s="44"/>
      <c r="G73" s="39"/>
      <c r="H73" s="39"/>
      <c r="I73" s="39"/>
      <c r="J73" s="43"/>
      <c r="K73" s="43"/>
      <c r="L73" s="39"/>
      <c r="M73" s="42"/>
    </row>
    <row r="74" spans="1:13" ht="15" thickBot="1">
      <c r="A74" s="134" t="s">
        <v>279</v>
      </c>
      <c r="B74" s="126" t="s">
        <v>182</v>
      </c>
      <c r="C74" s="135"/>
      <c r="D74" s="135"/>
      <c r="E74" s="135"/>
      <c r="F74" s="135"/>
      <c r="G74" s="135"/>
      <c r="H74" s="135"/>
      <c r="I74" s="135"/>
      <c r="J74" s="136"/>
      <c r="K74" s="136"/>
      <c r="L74" s="135"/>
      <c r="M74" s="137"/>
    </row>
    <row r="75" spans="1:13" ht="15" thickBot="1">
      <c r="A75" s="138" t="s">
        <v>280</v>
      </c>
      <c r="B75" s="139" t="s">
        <v>281</v>
      </c>
      <c r="C75" s="140"/>
      <c r="D75" s="141" t="s">
        <v>282</v>
      </c>
      <c r="E75" s="140"/>
      <c r="F75" s="140"/>
      <c r="G75" s="140"/>
      <c r="H75" s="140"/>
      <c r="I75" s="140"/>
      <c r="J75" s="142"/>
      <c r="K75" s="142"/>
      <c r="L75" s="140"/>
      <c r="M75" s="143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showGridLines="0" tabSelected="1" workbookViewId="0">
      <selection activeCell="D12" sqref="D12"/>
    </sheetView>
  </sheetViews>
  <sheetFormatPr defaultRowHeight="10.199999999999999"/>
  <cols>
    <col min="1" max="1" width="35.21875" style="8" customWidth="1"/>
    <col min="2" max="2" width="8" style="8" customWidth="1"/>
    <col min="3" max="3" width="7.33203125" style="8" customWidth="1"/>
    <col min="4" max="4" width="9.109375" style="8" customWidth="1"/>
    <col min="5" max="5" width="8" style="8" customWidth="1"/>
    <col min="6" max="6" width="7.77734375" style="8" customWidth="1"/>
    <col min="7" max="7" width="7.6640625" style="8" customWidth="1"/>
    <col min="8" max="8" width="7" style="8" customWidth="1"/>
    <col min="9" max="9" width="7.44140625" style="8" customWidth="1"/>
    <col min="10" max="10" width="6" style="8" customWidth="1"/>
    <col min="11" max="13" width="6.44140625" style="8" customWidth="1"/>
    <col min="14" max="14" width="7.6640625" style="8" customWidth="1"/>
    <col min="15" max="18" width="6.44140625" style="8" customWidth="1"/>
    <col min="19" max="19" width="9.6640625" style="8" customWidth="1"/>
    <col min="20" max="20" width="11" style="8" customWidth="1"/>
    <col min="21" max="21" width="10.21875" style="8" customWidth="1"/>
    <col min="22" max="22" width="6.44140625" style="8" customWidth="1"/>
    <col min="23" max="16384" width="8.88671875" style="8"/>
  </cols>
  <sheetData>
    <row r="1" spans="1:22" ht="14.4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197" t="s">
        <v>1</v>
      </c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</row>
    <row r="2" spans="1:22" ht="10.199999999999999" customHeight="1">
      <c r="A2" s="195" t="s">
        <v>294</v>
      </c>
      <c r="B2" s="195"/>
      <c r="C2" s="195"/>
      <c r="D2" s="195"/>
      <c r="E2" s="195"/>
      <c r="F2" s="195"/>
      <c r="G2" s="195"/>
      <c r="H2" s="195"/>
      <c r="I2" s="195" t="s">
        <v>295</v>
      </c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</row>
    <row r="3" spans="1:22" ht="10.8" thickBot="1">
      <c r="A3" s="227" t="s">
        <v>2</v>
      </c>
      <c r="B3" s="227"/>
      <c r="C3" s="227"/>
      <c r="D3" s="227"/>
      <c r="E3" s="227"/>
      <c r="F3" s="227"/>
      <c r="G3" s="9"/>
      <c r="H3" s="9"/>
      <c r="I3" s="9"/>
      <c r="J3" s="9"/>
      <c r="K3" s="9"/>
      <c r="L3" s="9"/>
      <c r="M3" s="194"/>
      <c r="N3" s="194"/>
      <c r="O3" s="194"/>
      <c r="P3" s="194"/>
      <c r="Q3" s="196" t="s">
        <v>3</v>
      </c>
      <c r="R3" s="196"/>
      <c r="S3" s="196"/>
      <c r="T3" s="196"/>
      <c r="U3" s="196"/>
    </row>
    <row r="4" spans="1:22" ht="14.4" customHeight="1">
      <c r="A4" s="251" t="s">
        <v>184</v>
      </c>
      <c r="B4" s="222" t="s">
        <v>34</v>
      </c>
      <c r="C4" s="201" t="s">
        <v>298</v>
      </c>
      <c r="D4" s="207"/>
      <c r="E4" s="207"/>
      <c r="F4" s="208"/>
      <c r="G4" s="201" t="s">
        <v>284</v>
      </c>
      <c r="H4" s="208"/>
      <c r="I4" s="201" t="s">
        <v>285</v>
      </c>
      <c r="J4" s="212"/>
      <c r="K4" s="201" t="s">
        <v>286</v>
      </c>
      <c r="L4" s="202"/>
      <c r="M4" s="201" t="s">
        <v>33</v>
      </c>
      <c r="N4" s="212"/>
      <c r="O4" s="201" t="s">
        <v>287</v>
      </c>
      <c r="P4" s="212"/>
      <c r="Q4" s="201" t="s">
        <v>291</v>
      </c>
      <c r="R4" s="215"/>
      <c r="S4" s="252" t="s">
        <v>4</v>
      </c>
      <c r="T4" s="252"/>
      <c r="U4" s="252"/>
    </row>
    <row r="5" spans="1:22">
      <c r="A5" s="252"/>
      <c r="B5" s="223"/>
      <c r="C5" s="209"/>
      <c r="D5" s="210"/>
      <c r="E5" s="210"/>
      <c r="F5" s="211"/>
      <c r="G5" s="220"/>
      <c r="H5" s="221"/>
      <c r="I5" s="203"/>
      <c r="J5" s="213"/>
      <c r="K5" s="203"/>
      <c r="L5" s="199"/>
      <c r="M5" s="203"/>
      <c r="N5" s="213"/>
      <c r="O5" s="203"/>
      <c r="P5" s="213"/>
      <c r="Q5" s="203"/>
      <c r="R5" s="216"/>
      <c r="S5" s="252"/>
      <c r="T5" s="252"/>
      <c r="U5" s="252"/>
    </row>
    <row r="6" spans="1:22" ht="40.799999999999997" customHeight="1">
      <c r="A6" s="252"/>
      <c r="B6" s="223"/>
      <c r="C6" s="205" t="s">
        <v>32</v>
      </c>
      <c r="D6" s="206"/>
      <c r="E6" s="205" t="s">
        <v>290</v>
      </c>
      <c r="F6" s="206"/>
      <c r="G6" s="209"/>
      <c r="H6" s="211"/>
      <c r="I6" s="204"/>
      <c r="J6" s="214"/>
      <c r="K6" s="204"/>
      <c r="L6" s="200"/>
      <c r="M6" s="204"/>
      <c r="N6" s="214"/>
      <c r="O6" s="204"/>
      <c r="P6" s="214"/>
      <c r="Q6" s="204"/>
      <c r="R6" s="217"/>
      <c r="S6" s="252"/>
      <c r="T6" s="252"/>
      <c r="U6" s="252"/>
    </row>
    <row r="7" spans="1:22">
      <c r="A7" s="253"/>
      <c r="B7" s="224"/>
      <c r="C7" s="10">
        <v>1</v>
      </c>
      <c r="D7" s="10">
        <v>2</v>
      </c>
      <c r="E7" s="10">
        <v>1</v>
      </c>
      <c r="F7" s="10">
        <v>2</v>
      </c>
      <c r="G7" s="10">
        <v>1</v>
      </c>
      <c r="H7" s="10">
        <v>2</v>
      </c>
      <c r="I7" s="10">
        <v>1</v>
      </c>
      <c r="J7" s="10">
        <v>2</v>
      </c>
      <c r="K7" s="10">
        <v>1</v>
      </c>
      <c r="L7" s="10">
        <v>2</v>
      </c>
      <c r="M7" s="11">
        <v>1</v>
      </c>
      <c r="N7" s="10">
        <v>2</v>
      </c>
      <c r="O7" s="10">
        <v>1</v>
      </c>
      <c r="P7" s="10">
        <v>2</v>
      </c>
      <c r="Q7" s="12">
        <v>1</v>
      </c>
      <c r="R7" s="156">
        <v>2</v>
      </c>
      <c r="S7" s="253"/>
      <c r="T7" s="253"/>
      <c r="U7" s="253"/>
    </row>
    <row r="8" spans="1:22" ht="11.4" customHeight="1">
      <c r="A8" s="229" t="s">
        <v>5</v>
      </c>
      <c r="B8" s="228">
        <f>SUM(B10,B18,B27,B32,B38,B45,B52,B59,B64,B71,B81,B88,B103)</f>
        <v>218277</v>
      </c>
      <c r="C8" s="193">
        <f>SUM(C10,C18,C27,C32,C38,C45,C52,C59,C64,C71,C81,C88,C103)</f>
        <v>86562</v>
      </c>
      <c r="D8" s="192">
        <f>SUM(D10,D18,D27,D32,D38,D45,D52,D59,D64,D71,D81,D88,D103)</f>
        <v>19764.401999999995</v>
      </c>
      <c r="E8" s="193">
        <f t="shared" ref="E8:R8" si="0">SUM(E10,E18,E27,E32,E38,E45,E52,E59,E64,E71,E81,E88,E103)</f>
        <v>13058</v>
      </c>
      <c r="F8" s="192">
        <f t="shared" si="0"/>
        <v>1564.319</v>
      </c>
      <c r="G8" s="193">
        <f t="shared" si="0"/>
        <v>15970</v>
      </c>
      <c r="H8" s="192">
        <f t="shared" si="0"/>
        <v>2928.1110000000003</v>
      </c>
      <c r="I8" s="193">
        <f t="shared" si="0"/>
        <v>55658</v>
      </c>
      <c r="J8" s="192">
        <f>SUM(J10,J18,J27,J32,J38,J45,J52,J59,J64,J71,J81,J88,J103)</f>
        <v>6866.9349999999995</v>
      </c>
      <c r="K8" s="193">
        <f t="shared" si="0"/>
        <v>35616</v>
      </c>
      <c r="L8" s="192">
        <f t="shared" si="0"/>
        <v>4487.1540000000005</v>
      </c>
      <c r="M8" s="193">
        <f t="shared" si="0"/>
        <v>4781</v>
      </c>
      <c r="N8" s="192">
        <f t="shared" si="0"/>
        <v>628.57099999999991</v>
      </c>
      <c r="O8" s="193">
        <f t="shared" si="0"/>
        <v>3710</v>
      </c>
      <c r="P8" s="192">
        <f t="shared" si="0"/>
        <v>602.93100000000004</v>
      </c>
      <c r="Q8" s="193">
        <f t="shared" si="0"/>
        <v>2922</v>
      </c>
      <c r="R8" s="198">
        <f t="shared" si="0"/>
        <v>507.73500000000001</v>
      </c>
      <c r="S8" s="237" t="s">
        <v>31</v>
      </c>
      <c r="T8" s="237"/>
      <c r="U8" s="237"/>
      <c r="V8" s="13"/>
    </row>
    <row r="9" spans="1:22">
      <c r="A9" s="230"/>
      <c r="B9" s="219"/>
      <c r="C9" s="189"/>
      <c r="D9" s="188"/>
      <c r="E9" s="189"/>
      <c r="F9" s="188"/>
      <c r="G9" s="189"/>
      <c r="H9" s="188"/>
      <c r="I9" s="189"/>
      <c r="J9" s="188"/>
      <c r="K9" s="189"/>
      <c r="L9" s="188"/>
      <c r="M9" s="189"/>
      <c r="N9" s="188"/>
      <c r="O9" s="189"/>
      <c r="P9" s="188"/>
      <c r="Q9" s="189"/>
      <c r="R9" s="191"/>
      <c r="S9" s="238"/>
      <c r="T9" s="238"/>
      <c r="U9" s="238"/>
      <c r="V9" s="13"/>
    </row>
    <row r="10" spans="1:22" ht="8.4" customHeight="1">
      <c r="A10" s="226" t="s">
        <v>6</v>
      </c>
      <c r="B10" s="219">
        <f>SUM(C10,E10,G10,I10,K10,M10,O10,Q10)</f>
        <v>15949</v>
      </c>
      <c r="C10" s="189">
        <f>SUM(C12:C17)</f>
        <v>12941</v>
      </c>
      <c r="D10" s="188">
        <f t="shared" ref="D10:R10" si="1">SUM(D12:D17)</f>
        <v>3146.2880000000005</v>
      </c>
      <c r="E10" s="189">
        <f t="shared" si="1"/>
        <v>1</v>
      </c>
      <c r="F10" s="188">
        <f t="shared" si="1"/>
        <v>0.5</v>
      </c>
      <c r="G10" s="189">
        <f t="shared" si="1"/>
        <v>218</v>
      </c>
      <c r="H10" s="188">
        <f t="shared" si="1"/>
        <v>38.99</v>
      </c>
      <c r="I10" s="189">
        <f t="shared" si="1"/>
        <v>844</v>
      </c>
      <c r="J10" s="188">
        <f t="shared" si="1"/>
        <v>81.784999999999997</v>
      </c>
      <c r="K10" s="189">
        <f t="shared" si="1"/>
        <v>1806</v>
      </c>
      <c r="L10" s="188">
        <f t="shared" si="1"/>
        <v>237.76999999999998</v>
      </c>
      <c r="M10" s="189">
        <f t="shared" si="1"/>
        <v>1</v>
      </c>
      <c r="N10" s="188">
        <f t="shared" si="1"/>
        <v>0.2</v>
      </c>
      <c r="O10" s="189">
        <f t="shared" si="1"/>
        <v>126</v>
      </c>
      <c r="P10" s="188">
        <f t="shared" si="1"/>
        <v>32.69</v>
      </c>
      <c r="Q10" s="189">
        <f t="shared" si="1"/>
        <v>12</v>
      </c>
      <c r="R10" s="191">
        <f t="shared" si="1"/>
        <v>1.2</v>
      </c>
      <c r="S10" s="239" t="s">
        <v>7</v>
      </c>
      <c r="T10" s="239"/>
      <c r="U10" s="239"/>
      <c r="V10" s="14"/>
    </row>
    <row r="11" spans="1:22" ht="15" customHeight="1">
      <c r="A11" s="226"/>
      <c r="B11" s="219"/>
      <c r="C11" s="189"/>
      <c r="D11" s="188"/>
      <c r="E11" s="189"/>
      <c r="F11" s="188"/>
      <c r="G11" s="189"/>
      <c r="H11" s="188"/>
      <c r="I11" s="189"/>
      <c r="J11" s="188"/>
      <c r="K11" s="189"/>
      <c r="L11" s="188"/>
      <c r="M11" s="189"/>
      <c r="N11" s="188"/>
      <c r="O11" s="189"/>
      <c r="P11" s="188"/>
      <c r="Q11" s="189"/>
      <c r="R11" s="191"/>
      <c r="S11" s="239"/>
      <c r="T11" s="239"/>
      <c r="U11" s="239"/>
      <c r="V11" s="14"/>
    </row>
    <row r="12" spans="1:22" ht="11.4" customHeight="1">
      <c r="A12" s="15" t="s">
        <v>109</v>
      </c>
      <c r="B12" s="153">
        <f t="shared" ref="B12:B17" si="2">SUM(C12,E12,G12,I12,K12,M12,O12,Q12)</f>
        <v>1145</v>
      </c>
      <c r="C12" s="146">
        <v>627</v>
      </c>
      <c r="D12" s="157">
        <v>88.21</v>
      </c>
      <c r="E12" s="147" t="s">
        <v>289</v>
      </c>
      <c r="F12" s="167" t="s">
        <v>289</v>
      </c>
      <c r="G12" s="150">
        <v>83</v>
      </c>
      <c r="H12" s="157">
        <v>17.23</v>
      </c>
      <c r="I12" s="148">
        <v>130</v>
      </c>
      <c r="J12" s="157">
        <v>18.600000000000001</v>
      </c>
      <c r="K12" s="148">
        <v>245</v>
      </c>
      <c r="L12" s="157">
        <v>26.98</v>
      </c>
      <c r="M12" s="147" t="s">
        <v>289</v>
      </c>
      <c r="N12" s="167" t="s">
        <v>289</v>
      </c>
      <c r="O12" s="148">
        <v>48</v>
      </c>
      <c r="P12" s="157">
        <v>10.1</v>
      </c>
      <c r="Q12" s="146">
        <v>12</v>
      </c>
      <c r="R12" s="171">
        <v>1.2</v>
      </c>
      <c r="S12" s="155" t="s">
        <v>35</v>
      </c>
      <c r="T12" s="13"/>
      <c r="U12" s="13"/>
      <c r="V12" s="13"/>
    </row>
    <row r="13" spans="1:22">
      <c r="A13" s="15" t="s">
        <v>110</v>
      </c>
      <c r="B13" s="153">
        <f t="shared" si="2"/>
        <v>4123</v>
      </c>
      <c r="C13" s="146">
        <v>3749</v>
      </c>
      <c r="D13" s="157">
        <v>794.7</v>
      </c>
      <c r="E13" s="147" t="s">
        <v>289</v>
      </c>
      <c r="F13" s="167" t="s">
        <v>289</v>
      </c>
      <c r="G13" s="147" t="s">
        <v>289</v>
      </c>
      <c r="H13" s="167" t="s">
        <v>289</v>
      </c>
      <c r="I13" s="148">
        <v>135</v>
      </c>
      <c r="J13" s="157">
        <v>5.9</v>
      </c>
      <c r="K13" s="148">
        <v>189</v>
      </c>
      <c r="L13" s="157">
        <v>19.149999999999999</v>
      </c>
      <c r="M13" s="147" t="s">
        <v>289</v>
      </c>
      <c r="N13" s="167" t="s">
        <v>289</v>
      </c>
      <c r="O13" s="148">
        <v>50</v>
      </c>
      <c r="P13" s="157">
        <v>9.5299999999999994</v>
      </c>
      <c r="Q13" s="147" t="s">
        <v>289</v>
      </c>
      <c r="R13" s="172" t="s">
        <v>289</v>
      </c>
      <c r="S13" s="155" t="s">
        <v>36</v>
      </c>
      <c r="T13" s="13"/>
      <c r="U13" s="13"/>
      <c r="V13" s="13"/>
    </row>
    <row r="14" spans="1:22">
      <c r="A14" s="15" t="s">
        <v>111</v>
      </c>
      <c r="B14" s="153">
        <f t="shared" si="2"/>
        <v>3371</v>
      </c>
      <c r="C14" s="146">
        <v>1531</v>
      </c>
      <c r="D14" s="157">
        <v>289.89</v>
      </c>
      <c r="E14" s="147" t="s">
        <v>289</v>
      </c>
      <c r="F14" s="167" t="s">
        <v>289</v>
      </c>
      <c r="G14" s="148">
        <v>117</v>
      </c>
      <c r="H14" s="157">
        <v>18.37</v>
      </c>
      <c r="I14" s="148">
        <v>576</v>
      </c>
      <c r="J14" s="157">
        <v>56.784999999999997</v>
      </c>
      <c r="K14" s="148">
        <v>1147</v>
      </c>
      <c r="L14" s="157">
        <v>156.4</v>
      </c>
      <c r="M14" s="147" t="s">
        <v>289</v>
      </c>
      <c r="N14" s="167" t="s">
        <v>289</v>
      </c>
      <c r="O14" s="149"/>
      <c r="P14" s="157">
        <v>0</v>
      </c>
      <c r="Q14" s="147" t="s">
        <v>289</v>
      </c>
      <c r="R14" s="172" t="s">
        <v>289</v>
      </c>
      <c r="S14" s="155" t="s">
        <v>37</v>
      </c>
      <c r="T14" s="13"/>
      <c r="U14" s="13"/>
      <c r="V14" s="13"/>
    </row>
    <row r="15" spans="1:22">
      <c r="A15" s="15" t="s">
        <v>112</v>
      </c>
      <c r="B15" s="153">
        <f t="shared" si="2"/>
        <v>150</v>
      </c>
      <c r="C15" s="146">
        <v>134</v>
      </c>
      <c r="D15" s="157">
        <v>32.21</v>
      </c>
      <c r="E15" s="147" t="s">
        <v>289</v>
      </c>
      <c r="F15" s="167" t="s">
        <v>289</v>
      </c>
      <c r="G15" s="148">
        <v>16</v>
      </c>
      <c r="H15" s="157">
        <v>2.79</v>
      </c>
      <c r="I15" s="147" t="s">
        <v>289</v>
      </c>
      <c r="J15" s="167" t="s">
        <v>289</v>
      </c>
      <c r="K15" s="147" t="s">
        <v>289</v>
      </c>
      <c r="L15" s="167" t="s">
        <v>289</v>
      </c>
      <c r="M15" s="147" t="s">
        <v>289</v>
      </c>
      <c r="N15" s="167" t="s">
        <v>289</v>
      </c>
      <c r="O15" s="147" t="s">
        <v>289</v>
      </c>
      <c r="P15" s="167" t="s">
        <v>289</v>
      </c>
      <c r="Q15" s="147" t="s">
        <v>289</v>
      </c>
      <c r="R15" s="172" t="s">
        <v>289</v>
      </c>
      <c r="S15" s="155" t="s">
        <v>38</v>
      </c>
      <c r="T15" s="13"/>
      <c r="U15" s="13"/>
      <c r="V15" s="13"/>
    </row>
    <row r="16" spans="1:22">
      <c r="A16" s="15" t="s">
        <v>113</v>
      </c>
      <c r="B16" s="153">
        <f t="shared" si="2"/>
        <v>6494</v>
      </c>
      <c r="C16" s="146">
        <v>6372</v>
      </c>
      <c r="D16" s="157">
        <v>1882.68</v>
      </c>
      <c r="E16" s="148">
        <v>1</v>
      </c>
      <c r="F16" s="157">
        <v>0.5</v>
      </c>
      <c r="G16" s="147" t="s">
        <v>289</v>
      </c>
      <c r="H16" s="167" t="s">
        <v>289</v>
      </c>
      <c r="I16" s="148">
        <v>3</v>
      </c>
      <c r="J16" s="157">
        <v>0.5</v>
      </c>
      <c r="K16" s="148">
        <v>114</v>
      </c>
      <c r="L16" s="157">
        <v>20.54</v>
      </c>
      <c r="M16" s="148">
        <v>1</v>
      </c>
      <c r="N16" s="157">
        <v>0.2</v>
      </c>
      <c r="O16" s="148">
        <v>3</v>
      </c>
      <c r="P16" s="157">
        <v>0.56000000000000005</v>
      </c>
      <c r="Q16" s="147" t="s">
        <v>289</v>
      </c>
      <c r="R16" s="172" t="s">
        <v>289</v>
      </c>
      <c r="S16" s="155" t="s">
        <v>39</v>
      </c>
      <c r="T16" s="13"/>
      <c r="U16" s="13"/>
      <c r="V16" s="13"/>
    </row>
    <row r="17" spans="1:22">
      <c r="A17" s="15" t="s">
        <v>114</v>
      </c>
      <c r="B17" s="153">
        <f t="shared" si="2"/>
        <v>666</v>
      </c>
      <c r="C17" s="146">
        <v>528</v>
      </c>
      <c r="D17" s="157">
        <v>58.597999999999999</v>
      </c>
      <c r="E17" s="147" t="s">
        <v>289</v>
      </c>
      <c r="F17" s="167" t="s">
        <v>289</v>
      </c>
      <c r="G17" s="148">
        <v>2</v>
      </c>
      <c r="H17" s="157">
        <v>0.6</v>
      </c>
      <c r="I17" s="147" t="s">
        <v>289</v>
      </c>
      <c r="J17" s="167" t="s">
        <v>289</v>
      </c>
      <c r="K17" s="148">
        <v>111</v>
      </c>
      <c r="L17" s="157">
        <v>14.7</v>
      </c>
      <c r="M17" s="147" t="s">
        <v>289</v>
      </c>
      <c r="N17" s="167" t="s">
        <v>289</v>
      </c>
      <c r="O17" s="148">
        <v>25</v>
      </c>
      <c r="P17" s="157">
        <v>12.5</v>
      </c>
      <c r="Q17" s="147" t="s">
        <v>289</v>
      </c>
      <c r="R17" s="172" t="s">
        <v>289</v>
      </c>
      <c r="S17" s="155" t="s">
        <v>40</v>
      </c>
      <c r="T17" s="13"/>
      <c r="U17" s="13"/>
      <c r="V17" s="13"/>
    </row>
    <row r="18" spans="1:22" ht="14.4" customHeight="1">
      <c r="A18" s="225" t="s">
        <v>8</v>
      </c>
      <c r="B18" s="190">
        <f>SUM(C18,E18,G18,I18,K18,M18,O18,Q18)</f>
        <v>16389</v>
      </c>
      <c r="C18" s="189">
        <f>SUM(C20:C26)</f>
        <v>5865</v>
      </c>
      <c r="D18" s="188">
        <f t="shared" ref="D18:Q18" si="3">SUM(D20:D26)</f>
        <v>1369.3400000000001</v>
      </c>
      <c r="E18" s="189">
        <f t="shared" si="3"/>
        <v>65</v>
      </c>
      <c r="F18" s="188">
        <f t="shared" si="3"/>
        <v>9.8000000000000007</v>
      </c>
      <c r="G18" s="189">
        <f t="shared" si="3"/>
        <v>315</v>
      </c>
      <c r="H18" s="188">
        <f t="shared" si="3"/>
        <v>79.139999999999986</v>
      </c>
      <c r="I18" s="189">
        <f t="shared" si="3"/>
        <v>3174</v>
      </c>
      <c r="J18" s="188">
        <f t="shared" si="3"/>
        <v>465.21999999999997</v>
      </c>
      <c r="K18" s="189">
        <f t="shared" si="3"/>
        <v>5169</v>
      </c>
      <c r="L18" s="188">
        <f t="shared" si="3"/>
        <v>866.14499999999998</v>
      </c>
      <c r="M18" s="189">
        <f t="shared" si="3"/>
        <v>22</v>
      </c>
      <c r="N18" s="188">
        <f t="shared" si="3"/>
        <v>5.2</v>
      </c>
      <c r="O18" s="189">
        <f t="shared" si="3"/>
        <v>639</v>
      </c>
      <c r="P18" s="188">
        <f t="shared" si="3"/>
        <v>81.949999999999989</v>
      </c>
      <c r="Q18" s="189">
        <f t="shared" si="3"/>
        <v>1140</v>
      </c>
      <c r="R18" s="191">
        <f>SUM(R20:R26)</f>
        <v>250.66000000000003</v>
      </c>
      <c r="S18" s="234" t="s">
        <v>9</v>
      </c>
      <c r="T18" s="234"/>
      <c r="U18" s="234"/>
      <c r="V18" s="13"/>
    </row>
    <row r="19" spans="1:22">
      <c r="A19" s="225"/>
      <c r="B19" s="190"/>
      <c r="C19" s="189"/>
      <c r="D19" s="188"/>
      <c r="E19" s="189"/>
      <c r="F19" s="188"/>
      <c r="G19" s="189"/>
      <c r="H19" s="188"/>
      <c r="I19" s="189"/>
      <c r="J19" s="188"/>
      <c r="K19" s="189"/>
      <c r="L19" s="188"/>
      <c r="M19" s="189"/>
      <c r="N19" s="188"/>
      <c r="O19" s="189"/>
      <c r="P19" s="188"/>
      <c r="Q19" s="189"/>
      <c r="R19" s="191"/>
      <c r="S19" s="234"/>
      <c r="T19" s="234"/>
      <c r="U19" s="234"/>
      <c r="V19" s="13"/>
    </row>
    <row r="20" spans="1:22" ht="11.4" customHeight="1">
      <c r="A20" s="15" t="s">
        <v>115</v>
      </c>
      <c r="B20" s="153">
        <f t="shared" ref="B20:B31" si="4">SUM(C20,E20,G20,I20,K20,M20,O20,Q20)</f>
        <v>3519</v>
      </c>
      <c r="C20" s="146">
        <v>692</v>
      </c>
      <c r="D20" s="157">
        <v>133.34</v>
      </c>
      <c r="E20" s="147" t="s">
        <v>289</v>
      </c>
      <c r="F20" s="167" t="s">
        <v>289</v>
      </c>
      <c r="G20" s="147" t="s">
        <v>289</v>
      </c>
      <c r="H20" s="167" t="s">
        <v>289</v>
      </c>
      <c r="I20" s="148">
        <v>886</v>
      </c>
      <c r="J20" s="157">
        <v>91.04</v>
      </c>
      <c r="K20" s="148">
        <v>1939</v>
      </c>
      <c r="L20" s="157">
        <v>204.28</v>
      </c>
      <c r="M20" s="147" t="s">
        <v>289</v>
      </c>
      <c r="N20" s="167" t="s">
        <v>289</v>
      </c>
      <c r="O20" s="147" t="s">
        <v>289</v>
      </c>
      <c r="P20" s="167" t="s">
        <v>289</v>
      </c>
      <c r="Q20" s="146">
        <v>2</v>
      </c>
      <c r="R20" s="171">
        <v>0.2</v>
      </c>
      <c r="S20" s="16" t="s">
        <v>41</v>
      </c>
      <c r="T20" s="13"/>
      <c r="U20" s="13"/>
      <c r="V20" s="13"/>
    </row>
    <row r="21" spans="1:22">
      <c r="A21" s="15" t="s">
        <v>116</v>
      </c>
      <c r="B21" s="153">
        <f>SUM(C21,E21,G21,I21,K21,M21,O22,Q21)</f>
        <v>774</v>
      </c>
      <c r="C21" s="146">
        <v>183</v>
      </c>
      <c r="D21" s="157">
        <v>52.7</v>
      </c>
      <c r="E21" s="148">
        <v>5</v>
      </c>
      <c r="F21" s="157">
        <v>1</v>
      </c>
      <c r="G21" s="147" t="s">
        <v>289</v>
      </c>
      <c r="H21" s="167" t="s">
        <v>289</v>
      </c>
      <c r="I21" s="147" t="s">
        <v>289</v>
      </c>
      <c r="J21" s="167" t="s">
        <v>289</v>
      </c>
      <c r="K21" s="147" t="s">
        <v>289</v>
      </c>
      <c r="L21" s="167" t="s">
        <v>289</v>
      </c>
      <c r="M21" s="147" t="s">
        <v>289</v>
      </c>
      <c r="N21" s="167" t="s">
        <v>289</v>
      </c>
      <c r="O21" s="147" t="s">
        <v>289</v>
      </c>
      <c r="P21" s="167" t="s">
        <v>289</v>
      </c>
      <c r="Q21" s="147" t="s">
        <v>289</v>
      </c>
      <c r="R21" s="172" t="s">
        <v>289</v>
      </c>
      <c r="S21" s="16" t="s">
        <v>42</v>
      </c>
      <c r="T21" s="13"/>
      <c r="U21" s="13"/>
      <c r="V21" s="13"/>
    </row>
    <row r="22" spans="1:22">
      <c r="A22" s="15" t="s">
        <v>117</v>
      </c>
      <c r="B22" s="153">
        <f>SUM(C22,E22,G22,I22,K22,M22,O23,Q22)</f>
        <v>1913</v>
      </c>
      <c r="C22" s="146">
        <v>207</v>
      </c>
      <c r="D22" s="157">
        <v>58.295000000000002</v>
      </c>
      <c r="E22" s="147" t="s">
        <v>289</v>
      </c>
      <c r="F22" s="167" t="s">
        <v>289</v>
      </c>
      <c r="G22" s="148">
        <v>117</v>
      </c>
      <c r="H22" s="157">
        <v>35.33</v>
      </c>
      <c r="I22" s="148">
        <v>1255</v>
      </c>
      <c r="J22" s="157">
        <v>174.125</v>
      </c>
      <c r="K22" s="148">
        <v>260</v>
      </c>
      <c r="L22" s="157">
        <v>41.255000000000003</v>
      </c>
      <c r="M22" s="148">
        <v>22</v>
      </c>
      <c r="N22" s="157">
        <v>5.2</v>
      </c>
      <c r="O22" s="148">
        <v>586</v>
      </c>
      <c r="P22" s="157">
        <v>71.349999999999994</v>
      </c>
      <c r="Q22" s="146">
        <v>52</v>
      </c>
      <c r="R22" s="171">
        <v>12.14</v>
      </c>
      <c r="S22" s="16" t="s">
        <v>43</v>
      </c>
      <c r="T22" s="13"/>
      <c r="U22" s="13"/>
      <c r="V22" s="13"/>
    </row>
    <row r="23" spans="1:22">
      <c r="A23" s="15" t="s">
        <v>118</v>
      </c>
      <c r="B23" s="153">
        <f t="shared" si="4"/>
        <v>1246</v>
      </c>
      <c r="C23" s="146">
        <v>951</v>
      </c>
      <c r="D23" s="157">
        <v>153.55000000000001</v>
      </c>
      <c r="E23" s="148">
        <v>50</v>
      </c>
      <c r="F23" s="157">
        <v>7.3</v>
      </c>
      <c r="G23" s="147" t="s">
        <v>289</v>
      </c>
      <c r="H23" s="167" t="s">
        <v>289</v>
      </c>
      <c r="I23" s="148">
        <v>100</v>
      </c>
      <c r="J23" s="157">
        <v>14</v>
      </c>
      <c r="K23" s="148">
        <v>145</v>
      </c>
      <c r="L23" s="157">
        <v>23.3</v>
      </c>
      <c r="M23" s="147" t="s">
        <v>289</v>
      </c>
      <c r="N23" s="167" t="s">
        <v>289</v>
      </c>
      <c r="O23" s="147" t="s">
        <v>289</v>
      </c>
      <c r="P23" s="167" t="s">
        <v>289</v>
      </c>
      <c r="Q23" s="147" t="s">
        <v>289</v>
      </c>
      <c r="R23" s="172" t="s">
        <v>289</v>
      </c>
      <c r="S23" s="16" t="s">
        <v>44</v>
      </c>
      <c r="T23" s="13"/>
      <c r="U23" s="13"/>
      <c r="V23" s="13"/>
    </row>
    <row r="24" spans="1:22">
      <c r="A24" s="15" t="s">
        <v>119</v>
      </c>
      <c r="B24" s="153">
        <f t="shared" si="4"/>
        <v>2819</v>
      </c>
      <c r="C24" s="146">
        <v>888</v>
      </c>
      <c r="D24" s="157">
        <v>230.53</v>
      </c>
      <c r="E24" s="147" t="s">
        <v>289</v>
      </c>
      <c r="F24" s="167" t="s">
        <v>289</v>
      </c>
      <c r="G24" s="148">
        <v>10</v>
      </c>
      <c r="H24" s="157">
        <v>0.8</v>
      </c>
      <c r="I24" s="148">
        <v>237</v>
      </c>
      <c r="J24" s="157">
        <v>50.094999999999999</v>
      </c>
      <c r="K24" s="148">
        <v>588</v>
      </c>
      <c r="L24" s="157">
        <v>104.34</v>
      </c>
      <c r="M24" s="147" t="s">
        <v>289</v>
      </c>
      <c r="N24" s="167" t="s">
        <v>289</v>
      </c>
      <c r="O24" s="148">
        <v>30</v>
      </c>
      <c r="P24" s="157">
        <v>6</v>
      </c>
      <c r="Q24" s="146">
        <v>1066</v>
      </c>
      <c r="R24" s="171">
        <v>234.52</v>
      </c>
      <c r="S24" s="16" t="s">
        <v>45</v>
      </c>
      <c r="T24" s="13"/>
      <c r="U24" s="13"/>
      <c r="V24" s="13"/>
    </row>
    <row r="25" spans="1:22">
      <c r="A25" s="15" t="s">
        <v>120</v>
      </c>
      <c r="B25" s="153">
        <f t="shared" si="4"/>
        <v>4783</v>
      </c>
      <c r="C25" s="146">
        <v>2539</v>
      </c>
      <c r="D25" s="157">
        <v>636.02499999999998</v>
      </c>
      <c r="E25" s="147" t="s">
        <v>289</v>
      </c>
      <c r="F25" s="167" t="s">
        <v>289</v>
      </c>
      <c r="G25" s="148">
        <v>13</v>
      </c>
      <c r="H25" s="157">
        <v>2.96</v>
      </c>
      <c r="I25" s="148">
        <v>513</v>
      </c>
      <c r="J25" s="157">
        <v>113.16</v>
      </c>
      <c r="K25" s="148">
        <v>1718</v>
      </c>
      <c r="L25" s="157">
        <v>416.45</v>
      </c>
      <c r="M25" s="147" t="s">
        <v>289</v>
      </c>
      <c r="N25" s="167" t="s">
        <v>289</v>
      </c>
      <c r="O25" s="147" t="s">
        <v>289</v>
      </c>
      <c r="P25" s="167" t="s">
        <v>289</v>
      </c>
      <c r="Q25" s="147" t="s">
        <v>289</v>
      </c>
      <c r="R25" s="172" t="s">
        <v>289</v>
      </c>
      <c r="S25" s="16" t="s">
        <v>46</v>
      </c>
      <c r="T25" s="13"/>
      <c r="U25" s="13"/>
      <c r="V25" s="13"/>
    </row>
    <row r="26" spans="1:22">
      <c r="A26" s="15" t="s">
        <v>121</v>
      </c>
      <c r="B26" s="153">
        <f t="shared" si="4"/>
        <v>1335</v>
      </c>
      <c r="C26" s="146">
        <v>405</v>
      </c>
      <c r="D26" s="157">
        <v>104.9</v>
      </c>
      <c r="E26" s="148">
        <v>10</v>
      </c>
      <c r="F26" s="157">
        <v>1.5</v>
      </c>
      <c r="G26" s="148">
        <v>175</v>
      </c>
      <c r="H26" s="157">
        <v>40.049999999999997</v>
      </c>
      <c r="I26" s="148">
        <v>183</v>
      </c>
      <c r="J26" s="157">
        <v>22.8</v>
      </c>
      <c r="K26" s="148">
        <v>519</v>
      </c>
      <c r="L26" s="157">
        <v>76.52</v>
      </c>
      <c r="M26" s="147" t="s">
        <v>289</v>
      </c>
      <c r="N26" s="167" t="s">
        <v>289</v>
      </c>
      <c r="O26" s="148">
        <v>23</v>
      </c>
      <c r="P26" s="157">
        <v>4.5999999999999996</v>
      </c>
      <c r="Q26" s="146">
        <v>20</v>
      </c>
      <c r="R26" s="171">
        <v>3.8</v>
      </c>
      <c r="S26" s="16" t="s">
        <v>47</v>
      </c>
      <c r="T26" s="13"/>
      <c r="U26" s="13"/>
      <c r="V26" s="13"/>
    </row>
    <row r="27" spans="1:22" ht="20.399999999999999" customHeight="1">
      <c r="A27" s="161" t="s">
        <v>296</v>
      </c>
      <c r="B27" s="162">
        <f>SUM(C27,E27,G27,I27,K27,M27,O27,Q27)</f>
        <v>55559</v>
      </c>
      <c r="C27" s="164">
        <f>SUM(C28:C31)</f>
        <v>31541</v>
      </c>
      <c r="D27" s="166">
        <f>SUM(D28:D31)</f>
        <v>7946.4</v>
      </c>
      <c r="E27" s="164">
        <f t="shared" ref="E27:R27" si="5">SUM(E28:E31)</f>
        <v>62</v>
      </c>
      <c r="F27" s="166">
        <f t="shared" si="5"/>
        <v>3.4969999999999999</v>
      </c>
      <c r="G27" s="164">
        <f t="shared" si="5"/>
        <v>30</v>
      </c>
      <c r="H27" s="166">
        <f t="shared" si="5"/>
        <v>4.0010000000000003</v>
      </c>
      <c r="I27" s="164">
        <f t="shared" si="5"/>
        <v>15764</v>
      </c>
      <c r="J27" s="166">
        <f t="shared" si="5"/>
        <v>1459.0550000000001</v>
      </c>
      <c r="K27" s="164">
        <f t="shared" si="5"/>
        <v>7335</v>
      </c>
      <c r="L27" s="166">
        <f t="shared" si="5"/>
        <v>719.19600000000003</v>
      </c>
      <c r="M27" s="164">
        <f t="shared" si="5"/>
        <v>51</v>
      </c>
      <c r="N27" s="166">
        <f t="shared" si="5"/>
        <v>3.0009999999999999</v>
      </c>
      <c r="O27" s="164">
        <f t="shared" si="5"/>
        <v>776</v>
      </c>
      <c r="P27" s="166">
        <f t="shared" si="5"/>
        <v>89.6</v>
      </c>
      <c r="Q27" s="164">
        <f t="shared" si="5"/>
        <v>0</v>
      </c>
      <c r="R27" s="174">
        <f t="shared" si="5"/>
        <v>0</v>
      </c>
      <c r="S27" s="165" t="s">
        <v>297</v>
      </c>
      <c r="T27" s="163"/>
      <c r="U27" s="13"/>
      <c r="V27" s="13"/>
    </row>
    <row r="28" spans="1:22">
      <c r="A28" s="15" t="s">
        <v>122</v>
      </c>
      <c r="B28" s="153">
        <f t="shared" si="4"/>
        <v>10679</v>
      </c>
      <c r="C28" s="146">
        <v>824</v>
      </c>
      <c r="D28" s="157">
        <v>202.78</v>
      </c>
      <c r="E28" s="148">
        <v>53</v>
      </c>
      <c r="F28" s="157">
        <v>2.597</v>
      </c>
      <c r="G28" s="148">
        <v>20</v>
      </c>
      <c r="H28" s="157">
        <v>4</v>
      </c>
      <c r="I28" s="148">
        <v>8568</v>
      </c>
      <c r="J28" s="157">
        <v>817.14</v>
      </c>
      <c r="K28" s="148">
        <v>1004</v>
      </c>
      <c r="L28" s="157">
        <v>139.72</v>
      </c>
      <c r="M28" s="147" t="s">
        <v>289</v>
      </c>
      <c r="N28" s="167" t="s">
        <v>289</v>
      </c>
      <c r="O28" s="148">
        <v>210</v>
      </c>
      <c r="P28" s="157">
        <v>15</v>
      </c>
      <c r="Q28" s="147" t="s">
        <v>289</v>
      </c>
      <c r="R28" s="172" t="s">
        <v>289</v>
      </c>
      <c r="S28" s="16" t="s">
        <v>48</v>
      </c>
      <c r="T28" s="13"/>
      <c r="U28" s="13"/>
      <c r="V28" s="13"/>
    </row>
    <row r="29" spans="1:22">
      <c r="A29" s="15" t="s">
        <v>123</v>
      </c>
      <c r="B29" s="153">
        <f t="shared" si="4"/>
        <v>13107</v>
      </c>
      <c r="C29" s="146">
        <v>689</v>
      </c>
      <c r="D29" s="157">
        <v>77.849999999999994</v>
      </c>
      <c r="E29" s="147" t="s">
        <v>289</v>
      </c>
      <c r="F29" s="167" t="s">
        <v>289</v>
      </c>
      <c r="G29" s="148">
        <v>10</v>
      </c>
      <c r="H29" s="157">
        <v>1E-3</v>
      </c>
      <c r="I29" s="148">
        <v>5849</v>
      </c>
      <c r="J29" s="157">
        <v>472.41500000000002</v>
      </c>
      <c r="K29" s="148">
        <v>5942</v>
      </c>
      <c r="L29" s="157">
        <v>528.82600000000002</v>
      </c>
      <c r="M29" s="148">
        <v>51</v>
      </c>
      <c r="N29" s="157">
        <v>3.0009999999999999</v>
      </c>
      <c r="O29" s="148">
        <v>566</v>
      </c>
      <c r="P29" s="157">
        <v>74.599999999999994</v>
      </c>
      <c r="Q29" s="147" t="s">
        <v>289</v>
      </c>
      <c r="R29" s="172" t="s">
        <v>289</v>
      </c>
      <c r="S29" s="16" t="s">
        <v>49</v>
      </c>
      <c r="T29" s="13"/>
      <c r="U29" s="13"/>
      <c r="V29" s="13"/>
    </row>
    <row r="30" spans="1:22">
      <c r="A30" s="15" t="s">
        <v>124</v>
      </c>
      <c r="B30" s="153">
        <f t="shared" si="4"/>
        <v>16764</v>
      </c>
      <c r="C30" s="146">
        <v>15230</v>
      </c>
      <c r="D30" s="157">
        <v>3970.4</v>
      </c>
      <c r="E30" s="148">
        <v>9</v>
      </c>
      <c r="F30" s="157">
        <v>0.9</v>
      </c>
      <c r="G30" s="147" t="s">
        <v>289</v>
      </c>
      <c r="H30" s="167" t="s">
        <v>289</v>
      </c>
      <c r="I30" s="148">
        <v>1265</v>
      </c>
      <c r="J30" s="157">
        <v>155.1</v>
      </c>
      <c r="K30" s="148">
        <v>260</v>
      </c>
      <c r="L30" s="157">
        <v>24.85</v>
      </c>
      <c r="M30" s="147" t="s">
        <v>289</v>
      </c>
      <c r="N30" s="167" t="s">
        <v>289</v>
      </c>
      <c r="O30" s="147" t="s">
        <v>289</v>
      </c>
      <c r="P30" s="167" t="s">
        <v>289</v>
      </c>
      <c r="Q30" s="147" t="s">
        <v>289</v>
      </c>
      <c r="R30" s="172" t="s">
        <v>289</v>
      </c>
      <c r="S30" s="16" t="s">
        <v>50</v>
      </c>
      <c r="T30" s="13"/>
      <c r="U30" s="13"/>
      <c r="V30" s="13"/>
    </row>
    <row r="31" spans="1:22">
      <c r="A31" s="15" t="s">
        <v>125</v>
      </c>
      <c r="B31" s="153">
        <f t="shared" si="4"/>
        <v>15009</v>
      </c>
      <c r="C31" s="146">
        <v>14798</v>
      </c>
      <c r="D31" s="157">
        <v>3695.37</v>
      </c>
      <c r="E31" s="147" t="s">
        <v>289</v>
      </c>
      <c r="F31" s="167" t="s">
        <v>289</v>
      </c>
      <c r="G31" s="147" t="s">
        <v>289</v>
      </c>
      <c r="H31" s="167" t="s">
        <v>289</v>
      </c>
      <c r="I31" s="148">
        <v>82</v>
      </c>
      <c r="J31" s="157">
        <v>14.4</v>
      </c>
      <c r="K31" s="148">
        <v>129</v>
      </c>
      <c r="L31" s="157">
        <v>25.8</v>
      </c>
      <c r="M31" s="147" t="s">
        <v>289</v>
      </c>
      <c r="N31" s="167" t="s">
        <v>289</v>
      </c>
      <c r="O31" s="147" t="s">
        <v>289</v>
      </c>
      <c r="P31" s="167" t="s">
        <v>289</v>
      </c>
      <c r="Q31" s="147" t="s">
        <v>289</v>
      </c>
      <c r="R31" s="172" t="s">
        <v>289</v>
      </c>
      <c r="S31" s="16" t="s">
        <v>51</v>
      </c>
      <c r="T31" s="13"/>
      <c r="U31" s="13"/>
      <c r="V31" s="13"/>
    </row>
    <row r="32" spans="1:22" ht="12" customHeight="1">
      <c r="A32" s="225" t="s">
        <v>10</v>
      </c>
      <c r="B32" s="190">
        <f>SUM(C32,E32,G32,I32,K32,M32,O32,Q32)</f>
        <v>6939</v>
      </c>
      <c r="C32" s="189">
        <f>SUM(C34:C37)</f>
        <v>4857</v>
      </c>
      <c r="D32" s="188">
        <f t="shared" ref="D32:R32" si="6">SUM(D34:D37)</f>
        <v>1164.578</v>
      </c>
      <c r="E32" s="189">
        <f t="shared" si="6"/>
        <v>1411</v>
      </c>
      <c r="F32" s="188">
        <f t="shared" si="6"/>
        <v>146.06</v>
      </c>
      <c r="G32" s="189">
        <f t="shared" si="6"/>
        <v>321</v>
      </c>
      <c r="H32" s="188">
        <f t="shared" si="6"/>
        <v>49.769999999999996</v>
      </c>
      <c r="I32" s="189">
        <f t="shared" si="6"/>
        <v>276</v>
      </c>
      <c r="J32" s="188">
        <f t="shared" si="6"/>
        <v>20.82</v>
      </c>
      <c r="K32" s="189">
        <f t="shared" si="6"/>
        <v>47</v>
      </c>
      <c r="L32" s="188">
        <f t="shared" si="6"/>
        <v>7.5799999999999992</v>
      </c>
      <c r="M32" s="189">
        <f t="shared" si="6"/>
        <v>4</v>
      </c>
      <c r="N32" s="188">
        <f t="shared" si="6"/>
        <v>0.4</v>
      </c>
      <c r="O32" s="189">
        <f t="shared" si="6"/>
        <v>16</v>
      </c>
      <c r="P32" s="188">
        <f t="shared" si="6"/>
        <v>4.3000000000000007</v>
      </c>
      <c r="Q32" s="189">
        <f t="shared" si="6"/>
        <v>7</v>
      </c>
      <c r="R32" s="191">
        <f t="shared" si="6"/>
        <v>1.4</v>
      </c>
      <c r="S32" s="235" t="s">
        <v>11</v>
      </c>
      <c r="T32" s="235"/>
      <c r="U32" s="235"/>
      <c r="V32" s="13"/>
    </row>
    <row r="33" spans="1:22">
      <c r="A33" s="225"/>
      <c r="B33" s="190"/>
      <c r="C33" s="189"/>
      <c r="D33" s="188"/>
      <c r="E33" s="189"/>
      <c r="F33" s="188"/>
      <c r="G33" s="189"/>
      <c r="H33" s="188"/>
      <c r="I33" s="189"/>
      <c r="J33" s="188"/>
      <c r="K33" s="189"/>
      <c r="L33" s="188"/>
      <c r="M33" s="189"/>
      <c r="N33" s="188"/>
      <c r="O33" s="189"/>
      <c r="P33" s="188"/>
      <c r="Q33" s="189"/>
      <c r="R33" s="191"/>
      <c r="S33" s="235"/>
      <c r="T33" s="235"/>
      <c r="U33" s="235"/>
      <c r="V33" s="13"/>
    </row>
    <row r="34" spans="1:22" ht="11.4" customHeight="1">
      <c r="A34" s="15" t="s">
        <v>126</v>
      </c>
      <c r="B34" s="153">
        <f>SUM(C34,E34,G34,I34,K34,M34,O34,Q34)</f>
        <v>1878</v>
      </c>
      <c r="C34" s="146">
        <v>1045</v>
      </c>
      <c r="D34" s="157">
        <v>261.38299999999998</v>
      </c>
      <c r="E34" s="148">
        <v>667</v>
      </c>
      <c r="F34" s="157">
        <v>56.56</v>
      </c>
      <c r="G34" s="148">
        <v>128</v>
      </c>
      <c r="H34" s="157">
        <v>18.079999999999998</v>
      </c>
      <c r="I34" s="148">
        <v>18</v>
      </c>
      <c r="J34" s="157">
        <v>3.7250000000000001</v>
      </c>
      <c r="K34" s="148">
        <v>7</v>
      </c>
      <c r="L34" s="157">
        <v>1.18</v>
      </c>
      <c r="M34" s="147" t="s">
        <v>289</v>
      </c>
      <c r="N34" s="167" t="s">
        <v>289</v>
      </c>
      <c r="O34" s="148">
        <v>6</v>
      </c>
      <c r="P34" s="157">
        <v>2.1</v>
      </c>
      <c r="Q34" s="146">
        <v>7</v>
      </c>
      <c r="R34" s="171">
        <v>1.4</v>
      </c>
      <c r="S34" s="16" t="s">
        <v>52</v>
      </c>
      <c r="T34" s="13"/>
      <c r="U34" s="13"/>
      <c r="V34" s="13"/>
    </row>
    <row r="35" spans="1:22">
      <c r="A35" s="15" t="s">
        <v>127</v>
      </c>
      <c r="B35" s="153">
        <f>SUM(C35,E35,G35,I35,K35,M35,O35,Q35)</f>
        <v>2244</v>
      </c>
      <c r="C35" s="146">
        <v>1358</v>
      </c>
      <c r="D35" s="157">
        <v>279.17</v>
      </c>
      <c r="E35" s="148">
        <v>730</v>
      </c>
      <c r="F35" s="157">
        <v>86.85</v>
      </c>
      <c r="G35" s="148">
        <v>39</v>
      </c>
      <c r="H35" s="157">
        <v>6.81</v>
      </c>
      <c r="I35" s="148">
        <v>89</v>
      </c>
      <c r="J35" s="157">
        <v>7.2949999999999999</v>
      </c>
      <c r="K35" s="148">
        <v>19</v>
      </c>
      <c r="L35" s="157">
        <v>2.2999999999999998</v>
      </c>
      <c r="M35" s="148">
        <v>3</v>
      </c>
      <c r="N35" s="157">
        <v>0.3</v>
      </c>
      <c r="O35" s="148">
        <v>6</v>
      </c>
      <c r="P35" s="157">
        <v>0.8</v>
      </c>
      <c r="Q35" s="147" t="s">
        <v>289</v>
      </c>
      <c r="R35" s="172" t="s">
        <v>289</v>
      </c>
      <c r="S35" s="16" t="s">
        <v>53</v>
      </c>
      <c r="T35" s="13"/>
      <c r="U35" s="13"/>
      <c r="V35" s="13"/>
    </row>
    <row r="36" spans="1:22">
      <c r="A36" s="15" t="s">
        <v>128</v>
      </c>
      <c r="B36" s="153">
        <f>SUM(C36,E36,G36,I36,K36,M36,O36,Q36)</f>
        <v>74</v>
      </c>
      <c r="C36" s="146">
        <v>34</v>
      </c>
      <c r="D36" s="157">
        <v>7.6349999999999998</v>
      </c>
      <c r="E36" s="148">
        <v>4</v>
      </c>
      <c r="F36" s="157">
        <v>0.65</v>
      </c>
      <c r="G36" s="148">
        <v>32</v>
      </c>
      <c r="H36" s="157">
        <v>7.36</v>
      </c>
      <c r="I36" s="147" t="s">
        <v>289</v>
      </c>
      <c r="J36" s="167" t="s">
        <v>289</v>
      </c>
      <c r="K36" s="147" t="s">
        <v>289</v>
      </c>
      <c r="L36" s="167" t="s">
        <v>289</v>
      </c>
      <c r="M36" s="147" t="s">
        <v>289</v>
      </c>
      <c r="N36" s="167" t="s">
        <v>289</v>
      </c>
      <c r="O36" s="148">
        <v>4</v>
      </c>
      <c r="P36" s="157">
        <v>1.4</v>
      </c>
      <c r="Q36" s="147" t="s">
        <v>289</v>
      </c>
      <c r="R36" s="172" t="s">
        <v>289</v>
      </c>
      <c r="S36" s="16" t="s">
        <v>54</v>
      </c>
      <c r="T36" s="13"/>
      <c r="U36" s="13"/>
      <c r="V36" s="13"/>
    </row>
    <row r="37" spans="1:22">
      <c r="A37" s="15" t="s">
        <v>129</v>
      </c>
      <c r="B37" s="153">
        <f>SUM(C37,E37,G37,I37,K37,M37,O37,Q37)</f>
        <v>2743</v>
      </c>
      <c r="C37" s="146">
        <v>2420</v>
      </c>
      <c r="D37" s="157">
        <v>616.39</v>
      </c>
      <c r="E37" s="148">
        <v>10</v>
      </c>
      <c r="F37" s="157">
        <v>2</v>
      </c>
      <c r="G37" s="148">
        <v>122</v>
      </c>
      <c r="H37" s="157">
        <v>17.52</v>
      </c>
      <c r="I37" s="148">
        <v>169</v>
      </c>
      <c r="J37" s="157">
        <v>9.8000000000000007</v>
      </c>
      <c r="K37" s="148">
        <v>21</v>
      </c>
      <c r="L37" s="157">
        <v>4.0999999999999996</v>
      </c>
      <c r="M37" s="148">
        <v>1</v>
      </c>
      <c r="N37" s="157">
        <v>0.1</v>
      </c>
      <c r="O37" s="147" t="s">
        <v>289</v>
      </c>
      <c r="P37" s="167" t="s">
        <v>289</v>
      </c>
      <c r="Q37" s="147" t="s">
        <v>289</v>
      </c>
      <c r="R37" s="172" t="s">
        <v>289</v>
      </c>
      <c r="S37" s="16" t="s">
        <v>55</v>
      </c>
      <c r="T37" s="13"/>
      <c r="U37" s="13"/>
      <c r="V37" s="13"/>
    </row>
    <row r="38" spans="1:22" ht="12" customHeight="1">
      <c r="A38" s="225" t="s">
        <v>12</v>
      </c>
      <c r="B38" s="190">
        <f>SUM(C38,E38,G38,I38,K38,M38,O38,Q38)</f>
        <v>44906</v>
      </c>
      <c r="C38" s="189">
        <f>SUM(C40:C44)</f>
        <v>5752</v>
      </c>
      <c r="D38" s="188">
        <f>SUM(D40:D44)</f>
        <v>1009.5649999999999</v>
      </c>
      <c r="E38" s="189">
        <f>SUM(E40:E44)</f>
        <v>301</v>
      </c>
      <c r="F38" s="188">
        <f t="shared" ref="F38:R38" si="7">SUM(F40:F44)</f>
        <v>49.84</v>
      </c>
      <c r="G38" s="189">
        <f t="shared" si="7"/>
        <v>28</v>
      </c>
      <c r="H38" s="188">
        <f t="shared" si="7"/>
        <v>5.95</v>
      </c>
      <c r="I38" s="189">
        <f t="shared" si="7"/>
        <v>29579</v>
      </c>
      <c r="J38" s="188">
        <f t="shared" si="7"/>
        <v>4205.2950000000001</v>
      </c>
      <c r="K38" s="189">
        <f t="shared" si="7"/>
        <v>8398</v>
      </c>
      <c r="L38" s="188">
        <f t="shared" si="7"/>
        <v>1100.4750000000001</v>
      </c>
      <c r="M38" s="189">
        <f t="shared" si="7"/>
        <v>173</v>
      </c>
      <c r="N38" s="188">
        <f t="shared" si="7"/>
        <v>15.54</v>
      </c>
      <c r="O38" s="189">
        <f t="shared" si="7"/>
        <v>495</v>
      </c>
      <c r="P38" s="188">
        <f t="shared" si="7"/>
        <v>91.3</v>
      </c>
      <c r="Q38" s="189">
        <f t="shared" si="7"/>
        <v>180</v>
      </c>
      <c r="R38" s="191">
        <f t="shared" si="7"/>
        <v>32.4</v>
      </c>
      <c r="S38" s="235" t="s">
        <v>13</v>
      </c>
      <c r="T38" s="235"/>
      <c r="U38" s="235"/>
      <c r="V38" s="13"/>
    </row>
    <row r="39" spans="1:22" ht="11.4" customHeight="1">
      <c r="A39" s="225"/>
      <c r="B39" s="190"/>
      <c r="C39" s="189"/>
      <c r="D39" s="188"/>
      <c r="E39" s="189"/>
      <c r="F39" s="188"/>
      <c r="G39" s="189"/>
      <c r="H39" s="188"/>
      <c r="I39" s="189"/>
      <c r="J39" s="188"/>
      <c r="K39" s="189"/>
      <c r="L39" s="188"/>
      <c r="M39" s="189"/>
      <c r="N39" s="188"/>
      <c r="O39" s="189"/>
      <c r="P39" s="188"/>
      <c r="Q39" s="189"/>
      <c r="R39" s="191"/>
      <c r="S39" s="235"/>
      <c r="T39" s="235"/>
      <c r="U39" s="235"/>
      <c r="V39" s="13"/>
    </row>
    <row r="40" spans="1:22" ht="11.4" customHeight="1">
      <c r="A40" s="15" t="s">
        <v>130</v>
      </c>
      <c r="B40" s="153">
        <f>SUM(C40,E40,G40,I40,K40,M40,O40,Q40)</f>
        <v>37445</v>
      </c>
      <c r="C40" s="146">
        <v>3101</v>
      </c>
      <c r="D40" s="157">
        <v>595.13</v>
      </c>
      <c r="E40" s="148">
        <v>146</v>
      </c>
      <c r="F40" s="157">
        <v>31.1</v>
      </c>
      <c r="G40" s="148">
        <v>4</v>
      </c>
      <c r="H40" s="157">
        <v>0.9</v>
      </c>
      <c r="I40" s="148">
        <v>27154</v>
      </c>
      <c r="J40" s="157">
        <v>3901.2249999999999</v>
      </c>
      <c r="K40" s="148">
        <v>6197</v>
      </c>
      <c r="L40" s="157">
        <v>829.47</v>
      </c>
      <c r="M40" s="148">
        <v>173</v>
      </c>
      <c r="N40" s="157">
        <v>15.54</v>
      </c>
      <c r="O40" s="148">
        <v>490</v>
      </c>
      <c r="P40" s="157">
        <v>89.3</v>
      </c>
      <c r="Q40" s="146">
        <v>180</v>
      </c>
      <c r="R40" s="171">
        <v>32.4</v>
      </c>
      <c r="S40" s="16" t="s">
        <v>56</v>
      </c>
      <c r="T40" s="13"/>
      <c r="U40" s="13"/>
      <c r="V40" s="13"/>
    </row>
    <row r="41" spans="1:22">
      <c r="A41" s="15" t="s">
        <v>131</v>
      </c>
      <c r="B41" s="153">
        <f>SUM(C41,E41,G41,I41,K41,M41,O41,Q41)</f>
        <v>2257</v>
      </c>
      <c r="C41" s="146">
        <v>762</v>
      </c>
      <c r="D41" s="157">
        <v>101.74</v>
      </c>
      <c r="E41" s="148">
        <v>121</v>
      </c>
      <c r="F41" s="157">
        <v>15.52</v>
      </c>
      <c r="G41" s="148">
        <v>18</v>
      </c>
      <c r="H41" s="157">
        <v>3.6</v>
      </c>
      <c r="I41" s="148">
        <v>845</v>
      </c>
      <c r="J41" s="157">
        <v>77.349999999999994</v>
      </c>
      <c r="K41" s="148">
        <v>511</v>
      </c>
      <c r="L41" s="157">
        <v>57.704999999999998</v>
      </c>
      <c r="M41" s="147" t="s">
        <v>289</v>
      </c>
      <c r="N41" s="167" t="s">
        <v>289</v>
      </c>
      <c r="O41" s="147" t="s">
        <v>289</v>
      </c>
      <c r="P41" s="167" t="s">
        <v>289</v>
      </c>
      <c r="Q41" s="147" t="s">
        <v>289</v>
      </c>
      <c r="R41" s="172" t="s">
        <v>289</v>
      </c>
      <c r="S41" s="16" t="s">
        <v>57</v>
      </c>
      <c r="T41" s="13"/>
      <c r="U41" s="13"/>
      <c r="V41" s="13"/>
    </row>
    <row r="42" spans="1:22">
      <c r="A42" s="15" t="s">
        <v>132</v>
      </c>
      <c r="B42" s="153">
        <f>SUM(C42,E42,G42,I42,K42,M42,O42,Q42)</f>
        <v>2863</v>
      </c>
      <c r="C42" s="146">
        <v>670</v>
      </c>
      <c r="D42" s="157">
        <v>109.28</v>
      </c>
      <c r="E42" s="147" t="s">
        <v>289</v>
      </c>
      <c r="F42" s="167" t="s">
        <v>289</v>
      </c>
      <c r="G42" s="148">
        <v>6</v>
      </c>
      <c r="H42" s="157">
        <v>1.45</v>
      </c>
      <c r="I42" s="148">
        <v>1325</v>
      </c>
      <c r="J42" s="157">
        <v>191.5</v>
      </c>
      <c r="K42" s="148">
        <v>857</v>
      </c>
      <c r="L42" s="157">
        <v>130.78</v>
      </c>
      <c r="M42" s="147" t="s">
        <v>289</v>
      </c>
      <c r="N42" s="167" t="s">
        <v>289</v>
      </c>
      <c r="O42" s="148">
        <v>5</v>
      </c>
      <c r="P42" s="157">
        <v>2</v>
      </c>
      <c r="Q42" s="147" t="s">
        <v>289</v>
      </c>
      <c r="R42" s="172" t="s">
        <v>289</v>
      </c>
      <c r="S42" s="16" t="s">
        <v>58</v>
      </c>
      <c r="T42" s="13"/>
      <c r="U42" s="13"/>
      <c r="V42" s="13"/>
    </row>
    <row r="43" spans="1:22">
      <c r="A43" s="15" t="s">
        <v>133</v>
      </c>
      <c r="B43" s="158" t="s">
        <v>289</v>
      </c>
      <c r="C43" s="147" t="s">
        <v>289</v>
      </c>
      <c r="D43" s="167" t="s">
        <v>289</v>
      </c>
      <c r="E43" s="147" t="s">
        <v>289</v>
      </c>
      <c r="F43" s="167" t="s">
        <v>289</v>
      </c>
      <c r="G43" s="147" t="s">
        <v>289</v>
      </c>
      <c r="H43" s="167" t="s">
        <v>289</v>
      </c>
      <c r="I43" s="147" t="s">
        <v>289</v>
      </c>
      <c r="J43" s="167" t="s">
        <v>289</v>
      </c>
      <c r="K43" s="147" t="s">
        <v>289</v>
      </c>
      <c r="L43" s="167" t="s">
        <v>289</v>
      </c>
      <c r="M43" s="147" t="s">
        <v>289</v>
      </c>
      <c r="N43" s="167" t="s">
        <v>289</v>
      </c>
      <c r="O43" s="147" t="s">
        <v>289</v>
      </c>
      <c r="P43" s="167" t="s">
        <v>289</v>
      </c>
      <c r="Q43" s="147" t="s">
        <v>289</v>
      </c>
      <c r="R43" s="172" t="s">
        <v>289</v>
      </c>
      <c r="S43" s="231" t="s">
        <v>59</v>
      </c>
      <c r="T43" s="241"/>
      <c r="U43" s="241"/>
      <c r="V43" s="13"/>
    </row>
    <row r="44" spans="1:22">
      <c r="A44" s="15" t="s">
        <v>134</v>
      </c>
      <c r="B44" s="153">
        <f>SUM(C45,E44,G44,I44,K44,M44,O44,Q44)</f>
        <v>7312</v>
      </c>
      <c r="C44" s="146">
        <v>1219</v>
      </c>
      <c r="D44" s="157">
        <v>203.41499999999999</v>
      </c>
      <c r="E44" s="148">
        <v>34</v>
      </c>
      <c r="F44" s="157">
        <v>3.22</v>
      </c>
      <c r="G44" s="147" t="s">
        <v>289</v>
      </c>
      <c r="H44" s="167" t="s">
        <v>289</v>
      </c>
      <c r="I44" s="148">
        <v>255</v>
      </c>
      <c r="J44" s="157">
        <v>35.22</v>
      </c>
      <c r="K44" s="148">
        <v>833</v>
      </c>
      <c r="L44" s="157">
        <v>82.52</v>
      </c>
      <c r="M44" s="147" t="s">
        <v>289</v>
      </c>
      <c r="N44" s="167" t="s">
        <v>289</v>
      </c>
      <c r="O44" s="147" t="s">
        <v>289</v>
      </c>
      <c r="P44" s="167" t="s">
        <v>289</v>
      </c>
      <c r="Q44" s="147" t="s">
        <v>289</v>
      </c>
      <c r="R44" s="172" t="s">
        <v>289</v>
      </c>
      <c r="S44" s="16" t="s">
        <v>60</v>
      </c>
      <c r="T44" s="13"/>
      <c r="U44" s="13"/>
      <c r="V44" s="13"/>
    </row>
    <row r="45" spans="1:22" ht="12" customHeight="1">
      <c r="A45" s="226" t="s">
        <v>14</v>
      </c>
      <c r="B45" s="190">
        <f>SUM(C45,E45,G45,I45,K45,M45,O45,Q45)</f>
        <v>24493</v>
      </c>
      <c r="C45" s="189">
        <f>SUM(C47:C51)</f>
        <v>6190</v>
      </c>
      <c r="D45" s="188">
        <f t="shared" ref="D45:R45" si="8">SUM(D47:D51)</f>
        <v>1122.75</v>
      </c>
      <c r="E45" s="189">
        <f t="shared" si="8"/>
        <v>922</v>
      </c>
      <c r="F45" s="188">
        <f t="shared" si="8"/>
        <v>80.94</v>
      </c>
      <c r="G45" s="189">
        <f t="shared" si="8"/>
        <v>2492</v>
      </c>
      <c r="H45" s="188">
        <f t="shared" si="8"/>
        <v>385.34000000000003</v>
      </c>
      <c r="I45" s="189">
        <f t="shared" si="8"/>
        <v>4317</v>
      </c>
      <c r="J45" s="188">
        <f t="shared" si="8"/>
        <v>465.12</v>
      </c>
      <c r="K45" s="189">
        <f t="shared" si="8"/>
        <v>9588</v>
      </c>
      <c r="L45" s="188">
        <f t="shared" si="8"/>
        <v>1060.0160000000001</v>
      </c>
      <c r="M45" s="189">
        <f t="shared" si="8"/>
        <v>558</v>
      </c>
      <c r="N45" s="188">
        <f t="shared" si="8"/>
        <v>76.199999999999989</v>
      </c>
      <c r="O45" s="189">
        <f t="shared" si="8"/>
        <v>294</v>
      </c>
      <c r="P45" s="188">
        <f t="shared" si="8"/>
        <v>87.7</v>
      </c>
      <c r="Q45" s="189">
        <f t="shared" si="8"/>
        <v>132</v>
      </c>
      <c r="R45" s="191">
        <f t="shared" si="8"/>
        <v>20.8</v>
      </c>
      <c r="S45" s="236" t="s">
        <v>15</v>
      </c>
      <c r="T45" s="236"/>
      <c r="U45" s="236"/>
      <c r="V45" s="13"/>
    </row>
    <row r="46" spans="1:22" ht="11.4" customHeight="1">
      <c r="A46" s="226"/>
      <c r="B46" s="190"/>
      <c r="C46" s="189"/>
      <c r="D46" s="188"/>
      <c r="E46" s="189"/>
      <c r="F46" s="188"/>
      <c r="G46" s="189"/>
      <c r="H46" s="188"/>
      <c r="I46" s="189"/>
      <c r="J46" s="188"/>
      <c r="K46" s="189"/>
      <c r="L46" s="188"/>
      <c r="M46" s="189"/>
      <c r="N46" s="188"/>
      <c r="O46" s="189"/>
      <c r="P46" s="188"/>
      <c r="Q46" s="189"/>
      <c r="R46" s="191"/>
      <c r="S46" s="236"/>
      <c r="T46" s="236"/>
      <c r="U46" s="236"/>
      <c r="V46" s="13"/>
    </row>
    <row r="47" spans="1:22" ht="11.4" customHeight="1">
      <c r="A47" s="15" t="s">
        <v>135</v>
      </c>
      <c r="B47" s="153">
        <f t="shared" ref="B47:B52" si="9">SUM(C47,E47,G47,I47,K47,M47,O47,Q47)</f>
        <v>10657</v>
      </c>
      <c r="C47" s="146">
        <v>1990</v>
      </c>
      <c r="D47" s="157">
        <v>462.54</v>
      </c>
      <c r="E47" s="148">
        <v>57</v>
      </c>
      <c r="F47" s="157">
        <v>6</v>
      </c>
      <c r="G47" s="148">
        <v>73</v>
      </c>
      <c r="H47" s="157">
        <v>33.299999999999997</v>
      </c>
      <c r="I47" s="148">
        <v>2281</v>
      </c>
      <c r="J47" s="157">
        <v>254.62</v>
      </c>
      <c r="K47" s="148">
        <v>5711</v>
      </c>
      <c r="L47" s="157">
        <v>625.08000000000004</v>
      </c>
      <c r="M47" s="148">
        <v>200</v>
      </c>
      <c r="N47" s="157">
        <v>43.9</v>
      </c>
      <c r="O47" s="148">
        <v>270</v>
      </c>
      <c r="P47" s="157">
        <v>83</v>
      </c>
      <c r="Q47" s="146">
        <v>75</v>
      </c>
      <c r="R47" s="171">
        <v>14.3</v>
      </c>
      <c r="S47" s="16" t="s">
        <v>61</v>
      </c>
      <c r="T47" s="13"/>
      <c r="U47" s="13"/>
      <c r="V47" s="13"/>
    </row>
    <row r="48" spans="1:22">
      <c r="A48" s="15" t="s">
        <v>136</v>
      </c>
      <c r="B48" s="153">
        <f t="shared" si="9"/>
        <v>6575</v>
      </c>
      <c r="C48" s="146">
        <v>1370</v>
      </c>
      <c r="D48" s="157">
        <v>272.55</v>
      </c>
      <c r="E48" s="149"/>
      <c r="F48" s="157"/>
      <c r="G48" s="148">
        <v>659</v>
      </c>
      <c r="H48" s="157">
        <v>99.25</v>
      </c>
      <c r="I48" s="148">
        <v>1870</v>
      </c>
      <c r="J48" s="157">
        <v>193.7</v>
      </c>
      <c r="K48" s="148">
        <v>2566</v>
      </c>
      <c r="L48" s="157">
        <v>295.5</v>
      </c>
      <c r="M48" s="148">
        <v>110</v>
      </c>
      <c r="N48" s="157">
        <v>11.2</v>
      </c>
      <c r="O48" s="147" t="s">
        <v>289</v>
      </c>
      <c r="P48" s="167" t="s">
        <v>289</v>
      </c>
      <c r="Q48" s="147" t="s">
        <v>289</v>
      </c>
      <c r="R48" s="172" t="s">
        <v>289</v>
      </c>
      <c r="S48" s="16" t="s">
        <v>62</v>
      </c>
      <c r="T48" s="13"/>
      <c r="U48" s="13"/>
      <c r="V48" s="13"/>
    </row>
    <row r="49" spans="1:22">
      <c r="A49" s="15" t="s">
        <v>137</v>
      </c>
      <c r="B49" s="153">
        <f t="shared" si="9"/>
        <v>5888</v>
      </c>
      <c r="C49" s="146">
        <v>2139</v>
      </c>
      <c r="D49" s="157">
        <v>287.32499999999999</v>
      </c>
      <c r="E49" s="148">
        <v>261</v>
      </c>
      <c r="F49" s="157">
        <v>24.16</v>
      </c>
      <c r="G49" s="148">
        <v>1750</v>
      </c>
      <c r="H49" s="157">
        <v>251.29</v>
      </c>
      <c r="I49" s="148">
        <v>161</v>
      </c>
      <c r="J49" s="157">
        <v>16.149999999999999</v>
      </c>
      <c r="K49" s="148">
        <v>1252</v>
      </c>
      <c r="L49" s="157">
        <v>138.126</v>
      </c>
      <c r="M49" s="148">
        <v>248</v>
      </c>
      <c r="N49" s="157">
        <v>21.1</v>
      </c>
      <c r="O49" s="148">
        <v>20</v>
      </c>
      <c r="P49" s="157">
        <v>4.3</v>
      </c>
      <c r="Q49" s="146">
        <v>57</v>
      </c>
      <c r="R49" s="171">
        <v>6.5</v>
      </c>
      <c r="S49" s="16" t="s">
        <v>63</v>
      </c>
      <c r="T49" s="13"/>
      <c r="U49" s="13"/>
      <c r="V49" s="13"/>
    </row>
    <row r="50" spans="1:22">
      <c r="A50" s="15" t="s">
        <v>138</v>
      </c>
      <c r="B50" s="153">
        <f t="shared" si="9"/>
        <v>1056</v>
      </c>
      <c r="C50" s="146">
        <v>470</v>
      </c>
      <c r="D50" s="157">
        <v>72.16</v>
      </c>
      <c r="E50" s="148">
        <v>577</v>
      </c>
      <c r="F50" s="157">
        <v>46.96</v>
      </c>
      <c r="G50" s="148">
        <v>2</v>
      </c>
      <c r="H50" s="157">
        <v>0.25</v>
      </c>
      <c r="I50" s="148">
        <v>1</v>
      </c>
      <c r="J50" s="157">
        <v>0.05</v>
      </c>
      <c r="K50" s="148">
        <v>2</v>
      </c>
      <c r="L50" s="157">
        <v>0.25</v>
      </c>
      <c r="M50" s="147" t="s">
        <v>289</v>
      </c>
      <c r="N50" s="167" t="s">
        <v>289</v>
      </c>
      <c r="O50" s="148">
        <v>4</v>
      </c>
      <c r="P50" s="157">
        <v>0.4</v>
      </c>
      <c r="Q50" s="147" t="s">
        <v>289</v>
      </c>
      <c r="R50" s="172" t="s">
        <v>289</v>
      </c>
      <c r="S50" s="16" t="s">
        <v>64</v>
      </c>
      <c r="T50" s="13"/>
      <c r="U50" s="13"/>
      <c r="V50" s="13"/>
    </row>
    <row r="51" spans="1:22">
      <c r="A51" s="15" t="s">
        <v>139</v>
      </c>
      <c r="B51" s="153">
        <f t="shared" si="9"/>
        <v>317</v>
      </c>
      <c r="C51" s="146">
        <v>221</v>
      </c>
      <c r="D51" s="157">
        <v>28.175000000000001</v>
      </c>
      <c r="E51" s="148">
        <v>27</v>
      </c>
      <c r="F51" s="157">
        <v>3.82</v>
      </c>
      <c r="G51" s="148">
        <v>8</v>
      </c>
      <c r="H51" s="157">
        <v>1.25</v>
      </c>
      <c r="I51" s="148">
        <v>4</v>
      </c>
      <c r="J51" s="157">
        <v>0.6</v>
      </c>
      <c r="K51" s="148">
        <v>57</v>
      </c>
      <c r="L51" s="157">
        <v>1.06</v>
      </c>
      <c r="M51" s="147" t="s">
        <v>289</v>
      </c>
      <c r="N51" s="167" t="s">
        <v>289</v>
      </c>
      <c r="O51" s="147" t="s">
        <v>289</v>
      </c>
      <c r="P51" s="167" t="s">
        <v>289</v>
      </c>
      <c r="Q51" s="147" t="s">
        <v>289</v>
      </c>
      <c r="R51" s="172" t="s">
        <v>289</v>
      </c>
      <c r="S51" s="16" t="s">
        <v>65</v>
      </c>
      <c r="T51" s="13"/>
      <c r="U51" s="13"/>
      <c r="V51" s="13"/>
    </row>
    <row r="52" spans="1:22" ht="12" customHeight="1">
      <c r="A52" s="225" t="s">
        <v>16</v>
      </c>
      <c r="B52" s="190">
        <f t="shared" si="9"/>
        <v>8477</v>
      </c>
      <c r="C52" s="189">
        <f>SUM(C54:C58)</f>
        <v>1361</v>
      </c>
      <c r="D52" s="188">
        <f t="shared" ref="D52:R52" si="10">SUM(D54:D58)</f>
        <v>182.11500000000004</v>
      </c>
      <c r="E52" s="189">
        <f t="shared" si="10"/>
        <v>3320</v>
      </c>
      <c r="F52" s="188">
        <f t="shared" si="10"/>
        <v>216.01200000000003</v>
      </c>
      <c r="G52" s="189">
        <f t="shared" si="10"/>
        <v>1097</v>
      </c>
      <c r="H52" s="188">
        <f t="shared" si="10"/>
        <v>128.16999999999999</v>
      </c>
      <c r="I52" s="189">
        <f t="shared" si="10"/>
        <v>766</v>
      </c>
      <c r="J52" s="188">
        <f t="shared" si="10"/>
        <v>47.489999999999995</v>
      </c>
      <c r="K52" s="189">
        <f t="shared" si="10"/>
        <v>621</v>
      </c>
      <c r="L52" s="188">
        <f t="shared" si="10"/>
        <v>64.589999999999989</v>
      </c>
      <c r="M52" s="189">
        <f t="shared" si="10"/>
        <v>308</v>
      </c>
      <c r="N52" s="188">
        <f t="shared" si="10"/>
        <v>34.69</v>
      </c>
      <c r="O52" s="189">
        <f t="shared" si="10"/>
        <v>508</v>
      </c>
      <c r="P52" s="188">
        <f t="shared" si="10"/>
        <v>58.92</v>
      </c>
      <c r="Q52" s="189">
        <f t="shared" si="10"/>
        <v>496</v>
      </c>
      <c r="R52" s="191">
        <f t="shared" si="10"/>
        <v>55.135000000000005</v>
      </c>
      <c r="S52" s="235" t="s">
        <v>17</v>
      </c>
      <c r="T52" s="235"/>
      <c r="U52" s="235"/>
      <c r="V52" s="13"/>
    </row>
    <row r="53" spans="1:22" ht="11.4" customHeight="1">
      <c r="A53" s="225"/>
      <c r="B53" s="190"/>
      <c r="C53" s="189"/>
      <c r="D53" s="188"/>
      <c r="E53" s="189"/>
      <c r="F53" s="188"/>
      <c r="G53" s="189"/>
      <c r="H53" s="188"/>
      <c r="I53" s="189"/>
      <c r="J53" s="188"/>
      <c r="K53" s="189"/>
      <c r="L53" s="188"/>
      <c r="M53" s="189"/>
      <c r="N53" s="188"/>
      <c r="O53" s="189"/>
      <c r="P53" s="188"/>
      <c r="Q53" s="189"/>
      <c r="R53" s="191"/>
      <c r="S53" s="235"/>
      <c r="T53" s="235"/>
      <c r="U53" s="235"/>
      <c r="V53" s="13"/>
    </row>
    <row r="54" spans="1:22" ht="11.4" customHeight="1">
      <c r="A54" s="15" t="s">
        <v>140</v>
      </c>
      <c r="B54" s="153">
        <f t="shared" ref="B54:B59" si="11">SUM(C54,E54,G54,I54,K54,M54,O54,Q54)</f>
        <v>6249</v>
      </c>
      <c r="C54" s="146">
        <v>1125</v>
      </c>
      <c r="D54" s="157">
        <v>124.30500000000001</v>
      </c>
      <c r="E54" s="148">
        <v>3217</v>
      </c>
      <c r="F54" s="157">
        <v>192.102</v>
      </c>
      <c r="G54" s="148">
        <v>769</v>
      </c>
      <c r="H54" s="157">
        <v>73.844999999999999</v>
      </c>
      <c r="I54" s="148">
        <v>39</v>
      </c>
      <c r="J54" s="157">
        <v>3.13</v>
      </c>
      <c r="K54" s="148">
        <v>467</v>
      </c>
      <c r="L54" s="157">
        <v>44.924999999999997</v>
      </c>
      <c r="M54" s="148">
        <v>102</v>
      </c>
      <c r="N54" s="157">
        <v>10.16</v>
      </c>
      <c r="O54" s="148">
        <v>320</v>
      </c>
      <c r="P54" s="157">
        <v>34.29</v>
      </c>
      <c r="Q54" s="146">
        <v>210</v>
      </c>
      <c r="R54" s="171">
        <v>19.489999999999998</v>
      </c>
      <c r="S54" s="16" t="s">
        <v>66</v>
      </c>
      <c r="T54" s="13"/>
      <c r="U54" s="13"/>
      <c r="V54" s="13"/>
    </row>
    <row r="55" spans="1:22">
      <c r="A55" s="15" t="s">
        <v>141</v>
      </c>
      <c r="B55" s="153">
        <f t="shared" si="11"/>
        <v>759</v>
      </c>
      <c r="C55" s="146">
        <v>118</v>
      </c>
      <c r="D55" s="157">
        <v>28.71</v>
      </c>
      <c r="E55" s="148">
        <v>96</v>
      </c>
      <c r="F55" s="157">
        <v>22.96</v>
      </c>
      <c r="G55" s="148">
        <v>143</v>
      </c>
      <c r="H55" s="157">
        <v>22.785</v>
      </c>
      <c r="I55" s="148">
        <v>82</v>
      </c>
      <c r="J55" s="157">
        <v>7.64</v>
      </c>
      <c r="K55" s="148">
        <v>40</v>
      </c>
      <c r="L55" s="157">
        <v>6.05</v>
      </c>
      <c r="M55" s="148">
        <v>148</v>
      </c>
      <c r="N55" s="157">
        <v>22.48</v>
      </c>
      <c r="O55" s="148">
        <v>108</v>
      </c>
      <c r="P55" s="157">
        <v>19.38</v>
      </c>
      <c r="Q55" s="146">
        <v>24</v>
      </c>
      <c r="R55" s="171">
        <v>3.08</v>
      </c>
      <c r="S55" s="16" t="s">
        <v>67</v>
      </c>
      <c r="T55" s="13"/>
      <c r="U55" s="13"/>
      <c r="V55" s="13"/>
    </row>
    <row r="56" spans="1:22">
      <c r="A56" s="15" t="s">
        <v>142</v>
      </c>
      <c r="B56" s="153">
        <f t="shared" si="11"/>
        <v>0</v>
      </c>
      <c r="C56" s="147" t="s">
        <v>289</v>
      </c>
      <c r="D56" s="167" t="s">
        <v>289</v>
      </c>
      <c r="E56" s="147" t="s">
        <v>289</v>
      </c>
      <c r="F56" s="167" t="s">
        <v>289</v>
      </c>
      <c r="G56" s="147" t="s">
        <v>289</v>
      </c>
      <c r="H56" s="167" t="s">
        <v>289</v>
      </c>
      <c r="I56" s="147" t="s">
        <v>289</v>
      </c>
      <c r="J56" s="167" t="s">
        <v>289</v>
      </c>
      <c r="K56" s="147" t="s">
        <v>289</v>
      </c>
      <c r="L56" s="167" t="s">
        <v>289</v>
      </c>
      <c r="M56" s="147" t="s">
        <v>289</v>
      </c>
      <c r="N56" s="167" t="s">
        <v>289</v>
      </c>
      <c r="O56" s="147" t="s">
        <v>289</v>
      </c>
      <c r="P56" s="167" t="s">
        <v>289</v>
      </c>
      <c r="Q56" s="147" t="s">
        <v>289</v>
      </c>
      <c r="R56" s="172" t="s">
        <v>289</v>
      </c>
      <c r="S56" s="16" t="s">
        <v>68</v>
      </c>
      <c r="T56" s="13"/>
      <c r="U56" s="13"/>
      <c r="V56" s="13"/>
    </row>
    <row r="57" spans="1:22">
      <c r="A57" s="15" t="s">
        <v>143</v>
      </c>
      <c r="B57" s="153">
        <f t="shared" si="11"/>
        <v>627</v>
      </c>
      <c r="C57" s="146">
        <v>92</v>
      </c>
      <c r="D57" s="157">
        <v>24.8</v>
      </c>
      <c r="E57" s="148">
        <v>2</v>
      </c>
      <c r="F57" s="157">
        <v>0.3</v>
      </c>
      <c r="G57" s="148">
        <v>111</v>
      </c>
      <c r="H57" s="157">
        <v>23.31</v>
      </c>
      <c r="I57" s="148">
        <v>81</v>
      </c>
      <c r="J57" s="157">
        <v>11.68</v>
      </c>
      <c r="K57" s="148">
        <v>59</v>
      </c>
      <c r="L57" s="157">
        <v>10.095000000000001</v>
      </c>
      <c r="M57" s="147" t="s">
        <v>289</v>
      </c>
      <c r="N57" s="167" t="s">
        <v>289</v>
      </c>
      <c r="O57" s="148">
        <v>22</v>
      </c>
      <c r="P57" s="157">
        <v>2.48</v>
      </c>
      <c r="Q57" s="146">
        <v>260</v>
      </c>
      <c r="R57" s="171">
        <v>32.42</v>
      </c>
      <c r="S57" s="16" t="s">
        <v>69</v>
      </c>
      <c r="T57" s="13"/>
      <c r="U57" s="13"/>
      <c r="V57" s="13"/>
    </row>
    <row r="58" spans="1:22">
      <c r="A58" s="15" t="s">
        <v>144</v>
      </c>
      <c r="B58" s="153">
        <f t="shared" si="11"/>
        <v>842</v>
      </c>
      <c r="C58" s="146">
        <v>26</v>
      </c>
      <c r="D58" s="157">
        <v>4.3</v>
      </c>
      <c r="E58" s="148">
        <v>5</v>
      </c>
      <c r="F58" s="157">
        <v>0.65</v>
      </c>
      <c r="G58" s="148">
        <v>74</v>
      </c>
      <c r="H58" s="157">
        <v>8.23</v>
      </c>
      <c r="I58" s="148">
        <v>564</v>
      </c>
      <c r="J58" s="157">
        <v>25.04</v>
      </c>
      <c r="K58" s="148">
        <v>55</v>
      </c>
      <c r="L58" s="157">
        <v>3.52</v>
      </c>
      <c r="M58" s="148">
        <v>58</v>
      </c>
      <c r="N58" s="157">
        <v>2.0499999999999998</v>
      </c>
      <c r="O58" s="148">
        <v>58</v>
      </c>
      <c r="P58" s="157">
        <v>2.77</v>
      </c>
      <c r="Q58" s="146">
        <v>2</v>
      </c>
      <c r="R58" s="171">
        <v>0.14499999999999999</v>
      </c>
      <c r="S58" s="16" t="s">
        <v>70</v>
      </c>
      <c r="T58" s="13"/>
      <c r="U58" s="13"/>
      <c r="V58" s="13"/>
    </row>
    <row r="59" spans="1:22" ht="12" customHeight="1">
      <c r="A59" s="240" t="s">
        <v>18</v>
      </c>
      <c r="B59" s="190">
        <f t="shared" si="11"/>
        <v>17777</v>
      </c>
      <c r="C59" s="189">
        <f>SUM(C61:C63)</f>
        <v>8696</v>
      </c>
      <c r="D59" s="188">
        <f t="shared" ref="D59:R59" si="12">SUM(D61:D63)</f>
        <v>2238.692</v>
      </c>
      <c r="E59" s="189">
        <f t="shared" si="12"/>
        <v>5733</v>
      </c>
      <c r="F59" s="188">
        <f t="shared" si="12"/>
        <v>871.1</v>
      </c>
      <c r="G59" s="189">
        <f t="shared" si="12"/>
        <v>1343</v>
      </c>
      <c r="H59" s="188">
        <f t="shared" si="12"/>
        <v>269.33699999999999</v>
      </c>
      <c r="I59" s="189">
        <f t="shared" si="12"/>
        <v>325</v>
      </c>
      <c r="J59" s="188">
        <f t="shared" si="12"/>
        <v>44.819999999999993</v>
      </c>
      <c r="K59" s="189">
        <f t="shared" si="12"/>
        <v>677</v>
      </c>
      <c r="L59" s="188">
        <f t="shared" si="12"/>
        <v>137.23500000000001</v>
      </c>
      <c r="M59" s="189">
        <f t="shared" si="12"/>
        <v>13</v>
      </c>
      <c r="N59" s="188">
        <f t="shared" si="12"/>
        <v>1.81</v>
      </c>
      <c r="O59" s="189">
        <f t="shared" si="12"/>
        <v>548</v>
      </c>
      <c r="P59" s="188">
        <f t="shared" si="12"/>
        <v>115.2</v>
      </c>
      <c r="Q59" s="189">
        <f t="shared" si="12"/>
        <v>442</v>
      </c>
      <c r="R59" s="191">
        <f t="shared" si="12"/>
        <v>83.13</v>
      </c>
      <c r="S59" s="236" t="s">
        <v>19</v>
      </c>
      <c r="T59" s="236"/>
      <c r="U59" s="236"/>
      <c r="V59" s="13"/>
    </row>
    <row r="60" spans="1:22" ht="11.4" customHeight="1">
      <c r="A60" s="240"/>
      <c r="B60" s="190"/>
      <c r="C60" s="189"/>
      <c r="D60" s="188"/>
      <c r="E60" s="189"/>
      <c r="F60" s="188"/>
      <c r="G60" s="189"/>
      <c r="H60" s="188"/>
      <c r="I60" s="189"/>
      <c r="J60" s="188"/>
      <c r="K60" s="189"/>
      <c r="L60" s="188"/>
      <c r="M60" s="189"/>
      <c r="N60" s="188"/>
      <c r="O60" s="189"/>
      <c r="P60" s="188"/>
      <c r="Q60" s="189"/>
      <c r="R60" s="191"/>
      <c r="S60" s="236"/>
      <c r="T60" s="236"/>
      <c r="U60" s="236"/>
      <c r="V60" s="13"/>
    </row>
    <row r="61" spans="1:22" ht="12" customHeight="1">
      <c r="A61" s="15" t="s">
        <v>145</v>
      </c>
      <c r="B61" s="153">
        <f>SUM(C61,E61,G61,I61,K61,M61,O61,Q61)</f>
        <v>4113</v>
      </c>
      <c r="C61" s="146">
        <v>2575</v>
      </c>
      <c r="D61" s="157">
        <v>678.95</v>
      </c>
      <c r="E61" s="148">
        <v>622</v>
      </c>
      <c r="F61" s="157">
        <v>97.55</v>
      </c>
      <c r="G61" s="148">
        <v>262</v>
      </c>
      <c r="H61" s="157">
        <v>44.75</v>
      </c>
      <c r="I61" s="148">
        <v>68</v>
      </c>
      <c r="J61" s="157">
        <v>10.11</v>
      </c>
      <c r="K61" s="148">
        <v>70</v>
      </c>
      <c r="L61" s="157">
        <v>11.15</v>
      </c>
      <c r="M61" s="148">
        <v>5</v>
      </c>
      <c r="N61" s="157">
        <v>0.7</v>
      </c>
      <c r="O61" s="148">
        <v>297</v>
      </c>
      <c r="P61" s="157">
        <v>70.33</v>
      </c>
      <c r="Q61" s="146">
        <v>214</v>
      </c>
      <c r="R61" s="171">
        <v>42.35</v>
      </c>
      <c r="S61" s="16" t="s">
        <v>71</v>
      </c>
      <c r="T61" s="13"/>
      <c r="U61" s="13"/>
      <c r="V61" s="13"/>
    </row>
    <row r="62" spans="1:22">
      <c r="A62" s="15" t="s">
        <v>146</v>
      </c>
      <c r="B62" s="153">
        <f>SUM(C62,E62,G62,I62,K62,M62,O62,Q62)</f>
        <v>4344</v>
      </c>
      <c r="C62" s="146">
        <v>2779</v>
      </c>
      <c r="D62" s="157">
        <v>820.64</v>
      </c>
      <c r="E62" s="148">
        <v>407</v>
      </c>
      <c r="F62" s="157">
        <v>81.7</v>
      </c>
      <c r="G62" s="148">
        <v>353</v>
      </c>
      <c r="H62" s="157">
        <v>76.77</v>
      </c>
      <c r="I62" s="148">
        <v>185</v>
      </c>
      <c r="J62" s="157">
        <v>23.88</v>
      </c>
      <c r="K62" s="148">
        <v>551</v>
      </c>
      <c r="L62" s="157">
        <v>118.255</v>
      </c>
      <c r="M62" s="148">
        <v>1</v>
      </c>
      <c r="N62" s="157">
        <v>0.2</v>
      </c>
      <c r="O62" s="148">
        <v>55</v>
      </c>
      <c r="P62" s="157">
        <v>11.87</v>
      </c>
      <c r="Q62" s="146">
        <v>13</v>
      </c>
      <c r="R62" s="171">
        <v>2.48</v>
      </c>
      <c r="S62" s="231" t="s">
        <v>72</v>
      </c>
      <c r="T62" s="241"/>
      <c r="U62" s="241"/>
      <c r="V62" s="13"/>
    </row>
    <row r="63" spans="1:22">
      <c r="A63" s="15" t="s">
        <v>147</v>
      </c>
      <c r="B63" s="153">
        <f>SUM(C63,E63,G63,I63,K63,M63,O63,Q63)</f>
        <v>9320</v>
      </c>
      <c r="C63" s="146">
        <v>3342</v>
      </c>
      <c r="D63" s="157">
        <v>739.10199999999998</v>
      </c>
      <c r="E63" s="148">
        <v>4704</v>
      </c>
      <c r="F63" s="157">
        <v>691.85</v>
      </c>
      <c r="G63" s="148">
        <v>728</v>
      </c>
      <c r="H63" s="157">
        <v>147.81700000000001</v>
      </c>
      <c r="I63" s="148">
        <v>72</v>
      </c>
      <c r="J63" s="157">
        <v>10.83</v>
      </c>
      <c r="K63" s="148">
        <v>56</v>
      </c>
      <c r="L63" s="157">
        <v>7.83</v>
      </c>
      <c r="M63" s="148">
        <v>7</v>
      </c>
      <c r="N63" s="157">
        <v>0.91</v>
      </c>
      <c r="O63" s="148">
        <v>196</v>
      </c>
      <c r="P63" s="157">
        <v>33</v>
      </c>
      <c r="Q63" s="146">
        <v>215</v>
      </c>
      <c r="R63" s="171">
        <v>38.299999999999997</v>
      </c>
      <c r="S63" s="16" t="s">
        <v>73</v>
      </c>
      <c r="T63" s="13"/>
      <c r="U63" s="13"/>
      <c r="V63" s="13"/>
    </row>
    <row r="64" spans="1:22" ht="11.4" customHeight="1">
      <c r="A64" s="226" t="s">
        <v>20</v>
      </c>
      <c r="B64" s="190">
        <f>SUM(C64,E64,G64,I64,K64,M64,O64,Q64)</f>
        <v>5875</v>
      </c>
      <c r="C64" s="189">
        <f>SUM(C66:C70)</f>
        <v>3088</v>
      </c>
      <c r="D64" s="188">
        <f t="shared" ref="D64:R64" si="13">SUM(D66:D70)</f>
        <v>711.67</v>
      </c>
      <c r="E64" s="189">
        <f t="shared" si="13"/>
        <v>558</v>
      </c>
      <c r="F64" s="188">
        <f t="shared" si="13"/>
        <v>91.27000000000001</v>
      </c>
      <c r="G64" s="189">
        <f t="shared" si="13"/>
        <v>720</v>
      </c>
      <c r="H64" s="188">
        <f t="shared" si="13"/>
        <v>175.00800000000004</v>
      </c>
      <c r="I64" s="189">
        <f t="shared" si="13"/>
        <v>112</v>
      </c>
      <c r="J64" s="188">
        <f t="shared" si="13"/>
        <v>24.400000000000002</v>
      </c>
      <c r="K64" s="189">
        <f t="shared" si="13"/>
        <v>317</v>
      </c>
      <c r="L64" s="188">
        <f t="shared" si="13"/>
        <v>63.5</v>
      </c>
      <c r="M64" s="189">
        <f t="shared" si="13"/>
        <v>950</v>
      </c>
      <c r="N64" s="188">
        <f t="shared" si="13"/>
        <v>228.29999999999998</v>
      </c>
      <c r="O64" s="189">
        <f t="shared" si="13"/>
        <v>70</v>
      </c>
      <c r="P64" s="188">
        <f t="shared" si="13"/>
        <v>8.25</v>
      </c>
      <c r="Q64" s="189">
        <f t="shared" si="13"/>
        <v>60</v>
      </c>
      <c r="R64" s="191">
        <f t="shared" si="13"/>
        <v>13.2</v>
      </c>
      <c r="S64" s="236" t="s">
        <v>21</v>
      </c>
      <c r="T64" s="236"/>
      <c r="U64" s="236"/>
      <c r="V64" s="13"/>
    </row>
    <row r="65" spans="1:22" ht="11.4" customHeight="1">
      <c r="A65" s="226"/>
      <c r="B65" s="190"/>
      <c r="C65" s="189"/>
      <c r="D65" s="188"/>
      <c r="E65" s="189"/>
      <c r="F65" s="188"/>
      <c r="G65" s="189"/>
      <c r="H65" s="188"/>
      <c r="I65" s="189"/>
      <c r="J65" s="188"/>
      <c r="K65" s="189"/>
      <c r="L65" s="188"/>
      <c r="M65" s="189"/>
      <c r="N65" s="188"/>
      <c r="O65" s="189"/>
      <c r="P65" s="188"/>
      <c r="Q65" s="189"/>
      <c r="R65" s="191"/>
      <c r="S65" s="236"/>
      <c r="T65" s="236"/>
      <c r="U65" s="236"/>
      <c r="V65" s="13"/>
    </row>
    <row r="66" spans="1:22" ht="11.4" customHeight="1">
      <c r="A66" s="15" t="s">
        <v>148</v>
      </c>
      <c r="B66" s="153">
        <f t="shared" ref="B66:B71" si="14">SUM(C66,E66,G66,I66,K66,M66,O66,Q66)</f>
        <v>1372</v>
      </c>
      <c r="C66" s="146">
        <v>603</v>
      </c>
      <c r="D66" s="157">
        <v>130.75</v>
      </c>
      <c r="E66" s="148">
        <v>197</v>
      </c>
      <c r="F66" s="157">
        <v>22.77</v>
      </c>
      <c r="G66" s="148">
        <v>405</v>
      </c>
      <c r="H66" s="157">
        <v>114.16800000000001</v>
      </c>
      <c r="I66" s="148">
        <v>4</v>
      </c>
      <c r="J66" s="157">
        <v>0.8</v>
      </c>
      <c r="K66" s="148">
        <v>150</v>
      </c>
      <c r="L66" s="157">
        <v>22</v>
      </c>
      <c r="M66" s="148">
        <v>12</v>
      </c>
      <c r="N66" s="157">
        <v>2.1</v>
      </c>
      <c r="O66" s="148">
        <v>1</v>
      </c>
      <c r="P66" s="157">
        <v>0.2</v>
      </c>
      <c r="Q66" s="147" t="s">
        <v>289</v>
      </c>
      <c r="R66" s="172" t="s">
        <v>289</v>
      </c>
      <c r="S66" s="16" t="s">
        <v>74</v>
      </c>
      <c r="T66" s="13"/>
      <c r="U66" s="13"/>
      <c r="V66" s="13"/>
    </row>
    <row r="67" spans="1:22">
      <c r="A67" s="15" t="s">
        <v>149</v>
      </c>
      <c r="B67" s="153">
        <f t="shared" si="14"/>
        <v>633</v>
      </c>
      <c r="C67" s="146">
        <v>505</v>
      </c>
      <c r="D67" s="157">
        <v>145.6</v>
      </c>
      <c r="E67" s="148">
        <v>5</v>
      </c>
      <c r="F67" s="157">
        <v>0.75</v>
      </c>
      <c r="G67" s="148">
        <v>96</v>
      </c>
      <c r="H67" s="157">
        <v>18.96</v>
      </c>
      <c r="I67" s="147" t="s">
        <v>289</v>
      </c>
      <c r="J67" s="167" t="s">
        <v>289</v>
      </c>
      <c r="K67" s="148">
        <v>20</v>
      </c>
      <c r="L67" s="157">
        <v>3</v>
      </c>
      <c r="M67" s="147" t="s">
        <v>289</v>
      </c>
      <c r="N67" s="167" t="s">
        <v>289</v>
      </c>
      <c r="O67" s="148">
        <v>7</v>
      </c>
      <c r="P67" s="157">
        <v>0.9</v>
      </c>
      <c r="Q67" s="147" t="s">
        <v>289</v>
      </c>
      <c r="R67" s="172" t="s">
        <v>289</v>
      </c>
      <c r="S67" s="16" t="s">
        <v>75</v>
      </c>
      <c r="T67" s="13"/>
      <c r="U67" s="13"/>
      <c r="V67" s="13"/>
    </row>
    <row r="68" spans="1:22">
      <c r="A68" s="15" t="s">
        <v>150</v>
      </c>
      <c r="B68" s="153">
        <f t="shared" si="14"/>
        <v>2533</v>
      </c>
      <c r="C68" s="146">
        <v>1190</v>
      </c>
      <c r="D68" s="157">
        <v>300.93</v>
      </c>
      <c r="E68" s="148">
        <v>82</v>
      </c>
      <c r="F68" s="157">
        <v>18.350000000000001</v>
      </c>
      <c r="G68" s="148">
        <v>88</v>
      </c>
      <c r="H68" s="157">
        <v>24.3</v>
      </c>
      <c r="I68" s="148">
        <v>90</v>
      </c>
      <c r="J68" s="157">
        <v>22</v>
      </c>
      <c r="K68" s="148">
        <v>112</v>
      </c>
      <c r="L68" s="157">
        <v>33.4</v>
      </c>
      <c r="M68" s="148">
        <v>938</v>
      </c>
      <c r="N68" s="157">
        <v>226.2</v>
      </c>
      <c r="O68" s="148">
        <v>33</v>
      </c>
      <c r="P68" s="157">
        <v>2.2999999999999998</v>
      </c>
      <c r="Q68" s="147" t="s">
        <v>289</v>
      </c>
      <c r="R68" s="172" t="s">
        <v>289</v>
      </c>
      <c r="S68" s="16" t="s">
        <v>76</v>
      </c>
      <c r="T68" s="13"/>
      <c r="U68" s="13"/>
      <c r="V68" s="13"/>
    </row>
    <row r="69" spans="1:22">
      <c r="A69" s="15" t="s">
        <v>151</v>
      </c>
      <c r="B69" s="153">
        <f t="shared" si="14"/>
        <v>377</v>
      </c>
      <c r="C69" s="146">
        <v>188</v>
      </c>
      <c r="D69" s="157">
        <v>34.75</v>
      </c>
      <c r="E69" s="148">
        <v>128</v>
      </c>
      <c r="F69" s="157">
        <v>25.4</v>
      </c>
      <c r="G69" s="148">
        <v>23</v>
      </c>
      <c r="H69" s="157">
        <v>3.47</v>
      </c>
      <c r="I69" s="148">
        <v>10</v>
      </c>
      <c r="J69" s="157">
        <v>0.8</v>
      </c>
      <c r="K69" s="148">
        <v>10</v>
      </c>
      <c r="L69" s="157">
        <v>2</v>
      </c>
      <c r="M69" s="147" t="s">
        <v>289</v>
      </c>
      <c r="N69" s="167" t="s">
        <v>289</v>
      </c>
      <c r="O69" s="148">
        <v>18</v>
      </c>
      <c r="P69" s="157">
        <v>3.35</v>
      </c>
      <c r="Q69" s="147" t="s">
        <v>289</v>
      </c>
      <c r="R69" s="172" t="s">
        <v>289</v>
      </c>
      <c r="S69" s="16" t="s">
        <v>77</v>
      </c>
      <c r="T69" s="13"/>
      <c r="U69" s="13"/>
      <c r="V69" s="13"/>
    </row>
    <row r="70" spans="1:22">
      <c r="A70" s="15" t="s">
        <v>152</v>
      </c>
      <c r="B70" s="153">
        <f t="shared" si="14"/>
        <v>960</v>
      </c>
      <c r="C70" s="146">
        <v>602</v>
      </c>
      <c r="D70" s="157">
        <v>99.64</v>
      </c>
      <c r="E70" s="148">
        <v>146</v>
      </c>
      <c r="F70" s="157">
        <v>24</v>
      </c>
      <c r="G70" s="148">
        <v>108</v>
      </c>
      <c r="H70" s="157">
        <v>14.11</v>
      </c>
      <c r="I70" s="148">
        <v>8</v>
      </c>
      <c r="J70" s="157">
        <v>0.8</v>
      </c>
      <c r="K70" s="148">
        <v>25</v>
      </c>
      <c r="L70" s="157">
        <v>3.1</v>
      </c>
      <c r="M70" s="147" t="s">
        <v>289</v>
      </c>
      <c r="N70" s="167" t="s">
        <v>289</v>
      </c>
      <c r="O70" s="148">
        <v>11</v>
      </c>
      <c r="P70" s="157">
        <v>1.5</v>
      </c>
      <c r="Q70" s="146">
        <v>60</v>
      </c>
      <c r="R70" s="171">
        <v>13.2</v>
      </c>
      <c r="S70" s="16" t="s">
        <v>78</v>
      </c>
      <c r="T70" s="13"/>
      <c r="U70" s="13"/>
      <c r="V70" s="13"/>
    </row>
    <row r="71" spans="1:22" ht="12" customHeight="1">
      <c r="A71" s="225" t="s">
        <v>22</v>
      </c>
      <c r="B71" s="190">
        <f t="shared" si="14"/>
        <v>346</v>
      </c>
      <c r="C71" s="189">
        <f>SUM(C73:C80)</f>
        <v>33</v>
      </c>
      <c r="D71" s="188">
        <f t="shared" ref="D71:R71" si="15">SUM(D73:D80)</f>
        <v>5.51</v>
      </c>
      <c r="E71" s="189">
        <f t="shared" si="15"/>
        <v>0</v>
      </c>
      <c r="F71" s="188">
        <f t="shared" si="15"/>
        <v>0</v>
      </c>
      <c r="G71" s="189">
        <f t="shared" si="15"/>
        <v>242</v>
      </c>
      <c r="H71" s="188">
        <f t="shared" si="15"/>
        <v>40.504999999999995</v>
      </c>
      <c r="I71" s="189">
        <f t="shared" si="15"/>
        <v>2</v>
      </c>
      <c r="J71" s="188">
        <f t="shared" si="15"/>
        <v>0.46</v>
      </c>
      <c r="K71" s="189">
        <f t="shared" si="15"/>
        <v>3</v>
      </c>
      <c r="L71" s="188">
        <f t="shared" si="15"/>
        <v>0.9</v>
      </c>
      <c r="M71" s="189">
        <f t="shared" si="15"/>
        <v>5</v>
      </c>
      <c r="N71" s="188">
        <f t="shared" si="15"/>
        <v>0.7</v>
      </c>
      <c r="O71" s="189">
        <f t="shared" si="15"/>
        <v>57</v>
      </c>
      <c r="P71" s="188">
        <f t="shared" si="15"/>
        <v>6.3</v>
      </c>
      <c r="Q71" s="189">
        <f t="shared" si="15"/>
        <v>4</v>
      </c>
      <c r="R71" s="191">
        <f t="shared" si="15"/>
        <v>0.88</v>
      </c>
      <c r="S71" s="235" t="s">
        <v>23</v>
      </c>
      <c r="T71" s="235"/>
      <c r="U71" s="235"/>
      <c r="V71" s="13"/>
    </row>
    <row r="72" spans="1:22" ht="11.4" customHeight="1">
      <c r="A72" s="225"/>
      <c r="B72" s="190"/>
      <c r="C72" s="189"/>
      <c r="D72" s="188"/>
      <c r="E72" s="189"/>
      <c r="F72" s="188"/>
      <c r="G72" s="189"/>
      <c r="H72" s="188"/>
      <c r="I72" s="189"/>
      <c r="J72" s="188"/>
      <c r="K72" s="189"/>
      <c r="L72" s="188"/>
      <c r="M72" s="189"/>
      <c r="N72" s="188"/>
      <c r="O72" s="189"/>
      <c r="P72" s="188"/>
      <c r="Q72" s="189"/>
      <c r="R72" s="191"/>
      <c r="S72" s="235"/>
      <c r="T72" s="235"/>
      <c r="U72" s="235"/>
      <c r="V72" s="13"/>
    </row>
    <row r="73" spans="1:22" ht="11.4" customHeight="1">
      <c r="A73" s="23" t="s">
        <v>185</v>
      </c>
      <c r="B73" s="158" t="s">
        <v>289</v>
      </c>
      <c r="C73" s="147" t="s">
        <v>289</v>
      </c>
      <c r="D73" s="167" t="s">
        <v>289</v>
      </c>
      <c r="E73" s="147" t="s">
        <v>289</v>
      </c>
      <c r="F73" s="167" t="s">
        <v>289</v>
      </c>
      <c r="G73" s="147" t="s">
        <v>289</v>
      </c>
      <c r="H73" s="167" t="s">
        <v>289</v>
      </c>
      <c r="I73" s="147" t="s">
        <v>289</v>
      </c>
      <c r="J73" s="167" t="s">
        <v>289</v>
      </c>
      <c r="K73" s="147" t="s">
        <v>289</v>
      </c>
      <c r="L73" s="167" t="s">
        <v>289</v>
      </c>
      <c r="M73" s="147" t="s">
        <v>289</v>
      </c>
      <c r="N73" s="167" t="s">
        <v>289</v>
      </c>
      <c r="O73" s="147" t="s">
        <v>289</v>
      </c>
      <c r="P73" s="167" t="s">
        <v>289</v>
      </c>
      <c r="Q73" s="147" t="s">
        <v>289</v>
      </c>
      <c r="R73" s="172" t="s">
        <v>289</v>
      </c>
      <c r="S73" s="231" t="s">
        <v>79</v>
      </c>
      <c r="T73" s="231"/>
      <c r="U73" s="231"/>
      <c r="V73" s="231"/>
    </row>
    <row r="74" spans="1:22" ht="10.199999999999999" customHeight="1">
      <c r="A74" s="24" t="s">
        <v>186</v>
      </c>
      <c r="B74" s="158" t="s">
        <v>289</v>
      </c>
      <c r="C74" s="147" t="s">
        <v>289</v>
      </c>
      <c r="D74" s="167" t="s">
        <v>289</v>
      </c>
      <c r="E74" s="147" t="s">
        <v>289</v>
      </c>
      <c r="F74" s="167" t="s">
        <v>289</v>
      </c>
      <c r="G74" s="147" t="s">
        <v>289</v>
      </c>
      <c r="H74" s="167" t="s">
        <v>289</v>
      </c>
      <c r="I74" s="147" t="s">
        <v>289</v>
      </c>
      <c r="J74" s="167" t="s">
        <v>289</v>
      </c>
      <c r="K74" s="147" t="s">
        <v>289</v>
      </c>
      <c r="L74" s="167" t="s">
        <v>289</v>
      </c>
      <c r="M74" s="147" t="s">
        <v>289</v>
      </c>
      <c r="N74" s="167" t="s">
        <v>289</v>
      </c>
      <c r="O74" s="147" t="s">
        <v>289</v>
      </c>
      <c r="P74" s="167" t="s">
        <v>289</v>
      </c>
      <c r="Q74" s="147" t="s">
        <v>289</v>
      </c>
      <c r="R74" s="172" t="s">
        <v>289</v>
      </c>
      <c r="S74" s="231" t="s">
        <v>80</v>
      </c>
      <c r="T74" s="231"/>
      <c r="U74" s="231"/>
      <c r="V74" s="231"/>
    </row>
    <row r="75" spans="1:22" ht="10.199999999999999" customHeight="1">
      <c r="A75" s="15" t="s">
        <v>155</v>
      </c>
      <c r="B75" s="158" t="s">
        <v>289</v>
      </c>
      <c r="C75" s="147" t="s">
        <v>289</v>
      </c>
      <c r="D75" s="167" t="s">
        <v>289</v>
      </c>
      <c r="E75" s="147" t="s">
        <v>289</v>
      </c>
      <c r="F75" s="167" t="s">
        <v>289</v>
      </c>
      <c r="G75" s="147" t="s">
        <v>289</v>
      </c>
      <c r="H75" s="167" t="s">
        <v>289</v>
      </c>
      <c r="I75" s="147" t="s">
        <v>289</v>
      </c>
      <c r="J75" s="167" t="s">
        <v>289</v>
      </c>
      <c r="K75" s="147" t="s">
        <v>289</v>
      </c>
      <c r="L75" s="167" t="s">
        <v>289</v>
      </c>
      <c r="M75" s="147" t="s">
        <v>289</v>
      </c>
      <c r="N75" s="167" t="s">
        <v>289</v>
      </c>
      <c r="O75" s="147" t="s">
        <v>289</v>
      </c>
      <c r="P75" s="167" t="s">
        <v>289</v>
      </c>
      <c r="Q75" s="147" t="s">
        <v>289</v>
      </c>
      <c r="R75" s="172" t="s">
        <v>289</v>
      </c>
      <c r="S75" s="231" t="s">
        <v>81</v>
      </c>
      <c r="T75" s="231"/>
      <c r="U75" s="231"/>
      <c r="V75" s="231"/>
    </row>
    <row r="76" spans="1:22" ht="10.199999999999999" customHeight="1">
      <c r="A76" s="15" t="s">
        <v>156</v>
      </c>
      <c r="B76" s="158" t="s">
        <v>289</v>
      </c>
      <c r="C76" s="147" t="s">
        <v>289</v>
      </c>
      <c r="D76" s="167" t="s">
        <v>289</v>
      </c>
      <c r="E76" s="147" t="s">
        <v>289</v>
      </c>
      <c r="F76" s="167" t="s">
        <v>289</v>
      </c>
      <c r="G76" s="147" t="s">
        <v>289</v>
      </c>
      <c r="H76" s="167" t="s">
        <v>289</v>
      </c>
      <c r="I76" s="147" t="s">
        <v>289</v>
      </c>
      <c r="J76" s="167" t="s">
        <v>289</v>
      </c>
      <c r="K76" s="147" t="s">
        <v>289</v>
      </c>
      <c r="L76" s="167" t="s">
        <v>289</v>
      </c>
      <c r="M76" s="147" t="s">
        <v>289</v>
      </c>
      <c r="N76" s="167" t="s">
        <v>289</v>
      </c>
      <c r="O76" s="147" t="s">
        <v>289</v>
      </c>
      <c r="P76" s="167" t="s">
        <v>289</v>
      </c>
      <c r="Q76" s="147" t="s">
        <v>289</v>
      </c>
      <c r="R76" s="172" t="s">
        <v>289</v>
      </c>
      <c r="S76" s="231" t="s">
        <v>82</v>
      </c>
      <c r="T76" s="231"/>
      <c r="U76" s="231"/>
      <c r="V76" s="231"/>
    </row>
    <row r="77" spans="1:22" ht="10.199999999999999" customHeight="1">
      <c r="A77" s="15" t="s">
        <v>157</v>
      </c>
      <c r="B77" s="153">
        <f>SUM(C77,E77,G77,I77,K77,M77,O77,Q77)</f>
        <v>120</v>
      </c>
      <c r="C77" s="147" t="s">
        <v>289</v>
      </c>
      <c r="D77" s="167" t="s">
        <v>289</v>
      </c>
      <c r="E77" s="147" t="s">
        <v>289</v>
      </c>
      <c r="F77" s="167" t="s">
        <v>289</v>
      </c>
      <c r="G77" s="148">
        <v>120</v>
      </c>
      <c r="H77" s="157">
        <v>21.5</v>
      </c>
      <c r="I77" s="147" t="s">
        <v>289</v>
      </c>
      <c r="J77" s="167" t="s">
        <v>289</v>
      </c>
      <c r="K77" s="147" t="s">
        <v>289</v>
      </c>
      <c r="L77" s="167" t="s">
        <v>289</v>
      </c>
      <c r="M77" s="147" t="s">
        <v>289</v>
      </c>
      <c r="N77" s="167" t="s">
        <v>289</v>
      </c>
      <c r="O77" s="147" t="s">
        <v>289</v>
      </c>
      <c r="P77" s="167" t="s">
        <v>289</v>
      </c>
      <c r="Q77" s="147" t="s">
        <v>289</v>
      </c>
      <c r="R77" s="172" t="s">
        <v>289</v>
      </c>
      <c r="S77" s="231" t="s">
        <v>83</v>
      </c>
      <c r="T77" s="231"/>
      <c r="U77" s="231"/>
      <c r="V77" s="231"/>
    </row>
    <row r="78" spans="1:22" ht="10.199999999999999" customHeight="1">
      <c r="A78" s="15" t="s">
        <v>158</v>
      </c>
      <c r="B78" s="153">
        <f>SUM(C78,E78,G78,I78,K78,M78,O78,Q78)</f>
        <v>149</v>
      </c>
      <c r="C78" s="146">
        <v>9</v>
      </c>
      <c r="D78" s="157">
        <v>3.15</v>
      </c>
      <c r="E78" s="147" t="s">
        <v>289</v>
      </c>
      <c r="F78" s="167" t="s">
        <v>289</v>
      </c>
      <c r="G78" s="148">
        <v>81</v>
      </c>
      <c r="H78" s="157">
        <v>8.9</v>
      </c>
      <c r="I78" s="148">
        <v>2</v>
      </c>
      <c r="J78" s="157">
        <v>0.46</v>
      </c>
      <c r="K78" s="148">
        <v>2</v>
      </c>
      <c r="L78" s="157">
        <v>0.5</v>
      </c>
      <c r="M78" s="148">
        <v>1</v>
      </c>
      <c r="N78" s="157">
        <v>0.3</v>
      </c>
      <c r="O78" s="148">
        <v>50</v>
      </c>
      <c r="P78" s="157">
        <v>5</v>
      </c>
      <c r="Q78" s="146">
        <v>4</v>
      </c>
      <c r="R78" s="171">
        <v>0.88</v>
      </c>
      <c r="S78" s="231" t="s">
        <v>84</v>
      </c>
      <c r="T78" s="231"/>
      <c r="U78" s="231"/>
      <c r="V78" s="231"/>
    </row>
    <row r="79" spans="1:22" ht="10.199999999999999" customHeight="1">
      <c r="A79" s="15" t="s">
        <v>159</v>
      </c>
      <c r="B79" s="153">
        <f>SUM(C79,E79,G79,I79,K79,M79,O79,Q79)</f>
        <v>0</v>
      </c>
      <c r="C79" s="147" t="s">
        <v>289</v>
      </c>
      <c r="D79" s="167" t="s">
        <v>289</v>
      </c>
      <c r="E79" s="147" t="s">
        <v>289</v>
      </c>
      <c r="F79" s="167" t="s">
        <v>289</v>
      </c>
      <c r="G79" s="147" t="s">
        <v>289</v>
      </c>
      <c r="H79" s="167" t="s">
        <v>289</v>
      </c>
      <c r="I79" s="147" t="s">
        <v>289</v>
      </c>
      <c r="J79" s="167" t="s">
        <v>289</v>
      </c>
      <c r="K79" s="147" t="s">
        <v>289</v>
      </c>
      <c r="L79" s="167" t="s">
        <v>289</v>
      </c>
      <c r="M79" s="147" t="s">
        <v>289</v>
      </c>
      <c r="N79" s="167" t="s">
        <v>289</v>
      </c>
      <c r="O79" s="147" t="s">
        <v>289</v>
      </c>
      <c r="P79" s="167" t="s">
        <v>289</v>
      </c>
      <c r="Q79" s="147" t="s">
        <v>289</v>
      </c>
      <c r="R79" s="172" t="s">
        <v>289</v>
      </c>
      <c r="S79" s="231" t="s">
        <v>85</v>
      </c>
      <c r="T79" s="231"/>
      <c r="U79" s="231"/>
      <c r="V79" s="231"/>
    </row>
    <row r="80" spans="1:22" ht="10.199999999999999" customHeight="1">
      <c r="A80" s="15" t="s">
        <v>160</v>
      </c>
      <c r="B80" s="153">
        <f>SUM(C80,E80,G80,I80,K80,M80,O80,Q80)</f>
        <v>77</v>
      </c>
      <c r="C80" s="146">
        <v>24</v>
      </c>
      <c r="D80" s="157">
        <v>2.36</v>
      </c>
      <c r="E80" s="147" t="s">
        <v>289</v>
      </c>
      <c r="F80" s="167" t="s">
        <v>289</v>
      </c>
      <c r="G80" s="148">
        <v>41</v>
      </c>
      <c r="H80" s="157">
        <v>10.105</v>
      </c>
      <c r="I80" s="147" t="s">
        <v>289</v>
      </c>
      <c r="J80" s="167" t="s">
        <v>289</v>
      </c>
      <c r="K80" s="148">
        <v>1</v>
      </c>
      <c r="L80" s="157">
        <v>0.4</v>
      </c>
      <c r="M80" s="148">
        <v>4</v>
      </c>
      <c r="N80" s="157">
        <v>0.4</v>
      </c>
      <c r="O80" s="148">
        <v>7</v>
      </c>
      <c r="P80" s="157">
        <v>1.3</v>
      </c>
      <c r="Q80" s="147" t="s">
        <v>289</v>
      </c>
      <c r="R80" s="172" t="s">
        <v>289</v>
      </c>
      <c r="S80" s="231" t="s">
        <v>86</v>
      </c>
      <c r="T80" s="231"/>
      <c r="U80" s="231"/>
      <c r="V80" s="231"/>
    </row>
    <row r="81" spans="1:22" ht="12" customHeight="1">
      <c r="A81" s="225" t="s">
        <v>24</v>
      </c>
      <c r="B81" s="190">
        <f>SUM(C81,E81,G81,I81,K81,M81,O81,Q81)</f>
        <v>5683</v>
      </c>
      <c r="C81" s="189">
        <f>SUM(C83:C87)</f>
        <v>2063</v>
      </c>
      <c r="D81" s="188">
        <f t="shared" ref="D81:R81" si="16">SUM(D83:D87)</f>
        <v>237.60399999999998</v>
      </c>
      <c r="E81" s="189">
        <f t="shared" si="16"/>
        <v>332</v>
      </c>
      <c r="F81" s="188">
        <f t="shared" si="16"/>
        <v>41.5</v>
      </c>
      <c r="G81" s="189">
        <f t="shared" si="16"/>
        <v>2328</v>
      </c>
      <c r="H81" s="188">
        <f t="shared" si="16"/>
        <v>359.57499999999999</v>
      </c>
      <c r="I81" s="189">
        <f t="shared" si="16"/>
        <v>229</v>
      </c>
      <c r="J81" s="188">
        <f t="shared" si="16"/>
        <v>15.870000000000001</v>
      </c>
      <c r="K81" s="189">
        <f t="shared" si="16"/>
        <v>455</v>
      </c>
      <c r="L81" s="188">
        <f t="shared" si="16"/>
        <v>45.533000000000001</v>
      </c>
      <c r="M81" s="189">
        <f t="shared" si="16"/>
        <v>125</v>
      </c>
      <c r="N81" s="188">
        <f t="shared" si="16"/>
        <v>12.88</v>
      </c>
      <c r="O81" s="189">
        <f t="shared" si="16"/>
        <v>65</v>
      </c>
      <c r="P81" s="188">
        <f t="shared" si="16"/>
        <v>7.7530000000000001</v>
      </c>
      <c r="Q81" s="189">
        <f t="shared" si="16"/>
        <v>86</v>
      </c>
      <c r="R81" s="191">
        <f t="shared" si="16"/>
        <v>13.39</v>
      </c>
      <c r="S81" s="236" t="s">
        <v>25</v>
      </c>
      <c r="T81" s="236"/>
      <c r="U81" s="236"/>
      <c r="V81" s="144"/>
    </row>
    <row r="82" spans="1:22" ht="11.4" customHeight="1">
      <c r="A82" s="225"/>
      <c r="B82" s="190"/>
      <c r="C82" s="189"/>
      <c r="D82" s="188"/>
      <c r="E82" s="189"/>
      <c r="F82" s="188"/>
      <c r="G82" s="189"/>
      <c r="H82" s="188"/>
      <c r="I82" s="189"/>
      <c r="J82" s="188"/>
      <c r="K82" s="189"/>
      <c r="L82" s="188"/>
      <c r="M82" s="189"/>
      <c r="N82" s="188"/>
      <c r="O82" s="189"/>
      <c r="P82" s="188"/>
      <c r="Q82" s="189"/>
      <c r="R82" s="191"/>
      <c r="S82" s="236"/>
      <c r="T82" s="236"/>
      <c r="U82" s="236"/>
      <c r="V82" s="144"/>
    </row>
    <row r="83" spans="1:22" ht="11.4" customHeight="1">
      <c r="A83" s="15" t="s">
        <v>161</v>
      </c>
      <c r="B83" s="153">
        <f t="shared" ref="B83:B92" si="17">SUM(C83,E83,G83,I83,K83,M83,O83,Q83)</f>
        <v>1823</v>
      </c>
      <c r="C83" s="146">
        <v>732</v>
      </c>
      <c r="D83" s="157">
        <v>110.45</v>
      </c>
      <c r="E83" s="148">
        <v>137</v>
      </c>
      <c r="F83" s="157">
        <v>21.9</v>
      </c>
      <c r="G83" s="148">
        <v>814</v>
      </c>
      <c r="H83" s="157">
        <v>183.76</v>
      </c>
      <c r="I83" s="148">
        <v>10</v>
      </c>
      <c r="J83" s="157">
        <v>1.45</v>
      </c>
      <c r="K83" s="148">
        <v>41</v>
      </c>
      <c r="L83" s="157">
        <v>7.09</v>
      </c>
      <c r="M83" s="148">
        <v>15</v>
      </c>
      <c r="N83" s="157">
        <v>0.15</v>
      </c>
      <c r="O83" s="148">
        <v>33</v>
      </c>
      <c r="P83" s="157">
        <v>4.173</v>
      </c>
      <c r="Q83" s="146">
        <v>41</v>
      </c>
      <c r="R83" s="171">
        <v>9.1</v>
      </c>
      <c r="S83" s="16" t="s">
        <v>87</v>
      </c>
      <c r="T83" s="13"/>
      <c r="U83" s="13"/>
      <c r="V83" s="13"/>
    </row>
    <row r="84" spans="1:22">
      <c r="A84" s="15" t="s">
        <v>162</v>
      </c>
      <c r="B84" s="153">
        <f t="shared" si="17"/>
        <v>199</v>
      </c>
      <c r="C84" s="146">
        <v>46</v>
      </c>
      <c r="D84" s="157">
        <v>16.149999999999999</v>
      </c>
      <c r="E84" s="148">
        <v>28</v>
      </c>
      <c r="F84" s="157">
        <v>9.5</v>
      </c>
      <c r="G84" s="148">
        <v>97</v>
      </c>
      <c r="H84" s="157">
        <v>9.0299999999999994</v>
      </c>
      <c r="I84" s="148">
        <v>8</v>
      </c>
      <c r="J84" s="157">
        <v>1.1200000000000001</v>
      </c>
      <c r="K84" s="147" t="s">
        <v>289</v>
      </c>
      <c r="L84" s="167" t="s">
        <v>289</v>
      </c>
      <c r="M84" s="148">
        <v>1</v>
      </c>
      <c r="N84" s="157">
        <v>0.1</v>
      </c>
      <c r="O84" s="148">
        <v>6</v>
      </c>
      <c r="P84" s="157">
        <v>0.7</v>
      </c>
      <c r="Q84" s="146">
        <v>13</v>
      </c>
      <c r="R84" s="171">
        <v>1.1399999999999999</v>
      </c>
      <c r="S84" s="16" t="s">
        <v>88</v>
      </c>
      <c r="T84" s="13"/>
      <c r="U84" s="13"/>
      <c r="V84" s="13"/>
    </row>
    <row r="85" spans="1:22">
      <c r="A85" s="15" t="s">
        <v>163</v>
      </c>
      <c r="B85" s="153">
        <f t="shared" si="17"/>
        <v>1330</v>
      </c>
      <c r="C85" s="146">
        <v>1086</v>
      </c>
      <c r="D85" s="157">
        <v>85.634</v>
      </c>
      <c r="E85" s="148">
        <v>150</v>
      </c>
      <c r="F85" s="157">
        <v>8.18</v>
      </c>
      <c r="G85" s="148">
        <v>44</v>
      </c>
      <c r="H85" s="157">
        <v>6</v>
      </c>
      <c r="I85" s="147" t="s">
        <v>289</v>
      </c>
      <c r="J85" s="167" t="s">
        <v>289</v>
      </c>
      <c r="K85" s="148">
        <v>32</v>
      </c>
      <c r="L85" s="157">
        <v>3.67</v>
      </c>
      <c r="M85" s="148">
        <v>5</v>
      </c>
      <c r="N85" s="157">
        <v>1.08</v>
      </c>
      <c r="O85" s="148">
        <v>11</v>
      </c>
      <c r="P85" s="157">
        <v>1.65</v>
      </c>
      <c r="Q85" s="146">
        <v>2</v>
      </c>
      <c r="R85" s="171">
        <v>0.06</v>
      </c>
      <c r="S85" s="16" t="s">
        <v>89</v>
      </c>
      <c r="T85" s="13"/>
      <c r="U85" s="13"/>
      <c r="V85" s="13"/>
    </row>
    <row r="86" spans="1:22">
      <c r="A86" s="15" t="s">
        <v>164</v>
      </c>
      <c r="B86" s="153">
        <f t="shared" si="17"/>
        <v>544</v>
      </c>
      <c r="C86" s="146">
        <v>139</v>
      </c>
      <c r="D86" s="157">
        <v>21.09</v>
      </c>
      <c r="E86" s="148">
        <v>12</v>
      </c>
      <c r="F86" s="157">
        <v>1.67</v>
      </c>
      <c r="G86" s="148">
        <v>218</v>
      </c>
      <c r="H86" s="157">
        <v>37.96</v>
      </c>
      <c r="I86" s="148">
        <v>19</v>
      </c>
      <c r="J86" s="157">
        <v>1.59</v>
      </c>
      <c r="K86" s="148">
        <v>39</v>
      </c>
      <c r="L86" s="157">
        <v>4.7779999999999996</v>
      </c>
      <c r="M86" s="148">
        <v>99</v>
      </c>
      <c r="N86" s="157">
        <v>11.05</v>
      </c>
      <c r="O86" s="148">
        <v>8</v>
      </c>
      <c r="P86" s="157">
        <v>0.73</v>
      </c>
      <c r="Q86" s="146">
        <v>10</v>
      </c>
      <c r="R86" s="171">
        <v>1.49</v>
      </c>
      <c r="S86" s="16" t="s">
        <v>90</v>
      </c>
      <c r="T86" s="13"/>
      <c r="U86" s="13"/>
      <c r="V86" s="13"/>
    </row>
    <row r="87" spans="1:22">
      <c r="A87" s="15" t="s">
        <v>165</v>
      </c>
      <c r="B87" s="153">
        <f t="shared" si="17"/>
        <v>1787</v>
      </c>
      <c r="C87" s="146">
        <v>60</v>
      </c>
      <c r="D87" s="157">
        <v>4.28</v>
      </c>
      <c r="E87" s="148">
        <v>5</v>
      </c>
      <c r="F87" s="157">
        <v>0.25</v>
      </c>
      <c r="G87" s="148">
        <v>1155</v>
      </c>
      <c r="H87" s="157">
        <v>122.825</v>
      </c>
      <c r="I87" s="148">
        <v>192</v>
      </c>
      <c r="J87" s="157">
        <v>11.71</v>
      </c>
      <c r="K87" s="148">
        <v>343</v>
      </c>
      <c r="L87" s="157">
        <v>29.995000000000001</v>
      </c>
      <c r="M87" s="148">
        <v>5</v>
      </c>
      <c r="N87" s="157">
        <v>0.5</v>
      </c>
      <c r="O87" s="148">
        <v>7</v>
      </c>
      <c r="P87" s="157">
        <v>0.5</v>
      </c>
      <c r="Q87" s="146">
        <v>20</v>
      </c>
      <c r="R87" s="171">
        <v>1.6</v>
      </c>
      <c r="S87" s="16" t="s">
        <v>91</v>
      </c>
      <c r="T87" s="13"/>
      <c r="U87" s="13"/>
      <c r="V87" s="13"/>
    </row>
    <row r="88" spans="1:22" ht="12" customHeight="1">
      <c r="A88" s="225" t="s">
        <v>26</v>
      </c>
      <c r="B88" s="190">
        <f t="shared" si="17"/>
        <v>5609</v>
      </c>
      <c r="C88" s="189">
        <f>SUM(C90:C102)</f>
        <v>1960</v>
      </c>
      <c r="D88" s="188">
        <f>SUM(D90:D102)</f>
        <v>210.81999999999996</v>
      </c>
      <c r="E88" s="189">
        <f t="shared" ref="E88:R88" si="18">SUM(E90:E102)</f>
        <v>215</v>
      </c>
      <c r="F88" s="188">
        <f t="shared" si="18"/>
        <v>35.300000000000004</v>
      </c>
      <c r="G88" s="189">
        <f t="shared" si="18"/>
        <v>487</v>
      </c>
      <c r="H88" s="188">
        <f t="shared" si="18"/>
        <v>60.36</v>
      </c>
      <c r="I88" s="189">
        <f t="shared" si="18"/>
        <v>52</v>
      </c>
      <c r="J88" s="188">
        <f t="shared" si="18"/>
        <v>6.5</v>
      </c>
      <c r="K88" s="189">
        <f t="shared" si="18"/>
        <v>397</v>
      </c>
      <c r="L88" s="188">
        <f t="shared" si="18"/>
        <v>34.440999999999995</v>
      </c>
      <c r="M88" s="189">
        <f t="shared" si="18"/>
        <v>2400</v>
      </c>
      <c r="N88" s="188">
        <f t="shared" si="18"/>
        <v>227.27499999999998</v>
      </c>
      <c r="O88" s="189">
        <f t="shared" si="18"/>
        <v>39</v>
      </c>
      <c r="P88" s="188">
        <f t="shared" si="18"/>
        <v>4.7780000000000005</v>
      </c>
      <c r="Q88" s="189">
        <f t="shared" si="18"/>
        <v>59</v>
      </c>
      <c r="R88" s="191">
        <f t="shared" si="18"/>
        <v>6.85</v>
      </c>
      <c r="S88" s="234" t="s">
        <v>27</v>
      </c>
      <c r="T88" s="234"/>
      <c r="U88" s="234"/>
      <c r="V88" s="13"/>
    </row>
    <row r="89" spans="1:22" ht="11.4" customHeight="1">
      <c r="A89" s="225"/>
      <c r="B89" s="190"/>
      <c r="C89" s="189"/>
      <c r="D89" s="188"/>
      <c r="E89" s="189"/>
      <c r="F89" s="188"/>
      <c r="G89" s="189"/>
      <c r="H89" s="188"/>
      <c r="I89" s="189"/>
      <c r="J89" s="188"/>
      <c r="K89" s="189"/>
      <c r="L89" s="188"/>
      <c r="M89" s="189"/>
      <c r="N89" s="188"/>
      <c r="O89" s="189"/>
      <c r="P89" s="188"/>
      <c r="Q89" s="189"/>
      <c r="R89" s="191"/>
      <c r="S89" s="234"/>
      <c r="T89" s="234"/>
      <c r="U89" s="234"/>
      <c r="V89" s="13"/>
    </row>
    <row r="90" spans="1:22" ht="11.4" customHeight="1">
      <c r="A90" s="15" t="s">
        <v>166</v>
      </c>
      <c r="B90" s="153">
        <f>SUM(C90,E90,G90,I90,K90,M90,O90,Q90)</f>
        <v>30</v>
      </c>
      <c r="C90" s="146">
        <v>15</v>
      </c>
      <c r="D90" s="157">
        <v>2</v>
      </c>
      <c r="E90" s="147" t="s">
        <v>289</v>
      </c>
      <c r="F90" s="167" t="s">
        <v>289</v>
      </c>
      <c r="G90" s="148">
        <v>11</v>
      </c>
      <c r="H90" s="157">
        <v>2.1</v>
      </c>
      <c r="I90" s="147" t="s">
        <v>289</v>
      </c>
      <c r="J90" s="167" t="s">
        <v>289</v>
      </c>
      <c r="K90" s="148">
        <v>4</v>
      </c>
      <c r="L90" s="157">
        <v>0.25</v>
      </c>
      <c r="M90" s="147" t="s">
        <v>289</v>
      </c>
      <c r="N90" s="167" t="s">
        <v>289</v>
      </c>
      <c r="O90" s="147" t="s">
        <v>289</v>
      </c>
      <c r="P90" s="167" t="s">
        <v>289</v>
      </c>
      <c r="Q90" s="147" t="s">
        <v>289</v>
      </c>
      <c r="R90" s="172" t="s">
        <v>289</v>
      </c>
      <c r="S90" s="16" t="s">
        <v>92</v>
      </c>
      <c r="T90" s="13"/>
      <c r="U90" s="13"/>
      <c r="V90" s="13"/>
    </row>
    <row r="91" spans="1:22">
      <c r="A91" s="15" t="s">
        <v>167</v>
      </c>
      <c r="B91" s="153">
        <f t="shared" si="17"/>
        <v>523</v>
      </c>
      <c r="C91" s="146">
        <v>232</v>
      </c>
      <c r="D91" s="157">
        <v>32.26</v>
      </c>
      <c r="E91" s="148">
        <v>167</v>
      </c>
      <c r="F91" s="157">
        <v>26</v>
      </c>
      <c r="G91" s="148">
        <v>113</v>
      </c>
      <c r="H91" s="157">
        <v>20.96</v>
      </c>
      <c r="I91" s="147" t="s">
        <v>289</v>
      </c>
      <c r="J91" s="167" t="s">
        <v>289</v>
      </c>
      <c r="K91" s="147" t="s">
        <v>289</v>
      </c>
      <c r="L91" s="167" t="s">
        <v>289</v>
      </c>
      <c r="M91" s="148">
        <v>11</v>
      </c>
      <c r="N91" s="157">
        <v>0.85</v>
      </c>
      <c r="O91" s="147" t="s">
        <v>289</v>
      </c>
      <c r="P91" s="167" t="s">
        <v>289</v>
      </c>
      <c r="Q91" s="147" t="s">
        <v>289</v>
      </c>
      <c r="R91" s="172" t="s">
        <v>289</v>
      </c>
      <c r="S91" s="16" t="s">
        <v>93</v>
      </c>
      <c r="T91" s="13"/>
      <c r="U91" s="13"/>
      <c r="V91" s="13"/>
    </row>
    <row r="92" spans="1:22">
      <c r="A92" s="15" t="s">
        <v>168</v>
      </c>
      <c r="B92" s="153">
        <f t="shared" si="17"/>
        <v>1872</v>
      </c>
      <c r="C92" s="146">
        <v>54</v>
      </c>
      <c r="D92" s="157">
        <v>3.22</v>
      </c>
      <c r="E92" s="148">
        <v>6</v>
      </c>
      <c r="F92" s="157">
        <v>1.6</v>
      </c>
      <c r="G92" s="148">
        <v>17</v>
      </c>
      <c r="H92" s="157">
        <v>2.52</v>
      </c>
      <c r="I92" s="148">
        <v>14</v>
      </c>
      <c r="J92" s="157">
        <v>1.5</v>
      </c>
      <c r="K92" s="148">
        <v>4</v>
      </c>
      <c r="L92" s="157">
        <v>0.22</v>
      </c>
      <c r="M92" s="148">
        <v>1773</v>
      </c>
      <c r="N92" s="157">
        <v>173.52</v>
      </c>
      <c r="O92" s="148">
        <v>2</v>
      </c>
      <c r="P92" s="157">
        <v>0.2</v>
      </c>
      <c r="Q92" s="146">
        <v>2</v>
      </c>
      <c r="R92" s="171">
        <v>0.5</v>
      </c>
      <c r="S92" s="16" t="s">
        <v>94</v>
      </c>
      <c r="T92" s="13"/>
      <c r="U92" s="13"/>
      <c r="V92" s="13"/>
    </row>
    <row r="93" spans="1:22">
      <c r="A93" s="15" t="s">
        <v>169</v>
      </c>
      <c r="B93" s="153">
        <f>SUM(C93,E93,G93,I93,K93,M93,O93,Q93)</f>
        <v>43</v>
      </c>
      <c r="C93" s="147" t="s">
        <v>289</v>
      </c>
      <c r="D93" s="167" t="s">
        <v>289</v>
      </c>
      <c r="E93" s="147" t="s">
        <v>289</v>
      </c>
      <c r="F93" s="167" t="s">
        <v>289</v>
      </c>
      <c r="G93" s="148">
        <v>15</v>
      </c>
      <c r="H93" s="157">
        <v>1.9</v>
      </c>
      <c r="I93" s="147" t="s">
        <v>289</v>
      </c>
      <c r="J93" s="167" t="s">
        <v>289</v>
      </c>
      <c r="K93" s="148">
        <v>2</v>
      </c>
      <c r="L93" s="157">
        <v>0.8</v>
      </c>
      <c r="M93" s="148">
        <v>26</v>
      </c>
      <c r="N93" s="157">
        <v>6.2</v>
      </c>
      <c r="O93" s="147" t="s">
        <v>289</v>
      </c>
      <c r="P93" s="167" t="s">
        <v>289</v>
      </c>
      <c r="Q93" s="147" t="s">
        <v>289</v>
      </c>
      <c r="R93" s="172" t="s">
        <v>289</v>
      </c>
      <c r="S93" s="16" t="s">
        <v>95</v>
      </c>
      <c r="T93" s="13"/>
      <c r="U93" s="13"/>
      <c r="V93" s="13"/>
    </row>
    <row r="94" spans="1:22">
      <c r="A94" s="15" t="s">
        <v>170</v>
      </c>
      <c r="B94" s="153">
        <f t="shared" ref="B94:B102" si="19">SUM(C95,E94,G94,I94,K94,M94,O94,Q94)</f>
        <v>63</v>
      </c>
      <c r="C94" s="147" t="s">
        <v>289</v>
      </c>
      <c r="D94" s="167" t="s">
        <v>289</v>
      </c>
      <c r="E94" s="147" t="s">
        <v>289</v>
      </c>
      <c r="F94" s="167" t="s">
        <v>289</v>
      </c>
      <c r="G94" s="148">
        <v>1</v>
      </c>
      <c r="H94" s="157">
        <v>0.08</v>
      </c>
      <c r="I94" s="148">
        <v>2</v>
      </c>
      <c r="J94" s="157">
        <v>0.15</v>
      </c>
      <c r="K94" s="148">
        <v>3</v>
      </c>
      <c r="L94" s="157">
        <v>0.25</v>
      </c>
      <c r="M94" s="148">
        <v>10</v>
      </c>
      <c r="N94" s="157">
        <v>0.7</v>
      </c>
      <c r="O94" s="147" t="s">
        <v>289</v>
      </c>
      <c r="P94" s="167" t="s">
        <v>289</v>
      </c>
      <c r="Q94" s="147" t="s">
        <v>289</v>
      </c>
      <c r="R94" s="172" t="s">
        <v>289</v>
      </c>
      <c r="S94" s="16" t="s">
        <v>96</v>
      </c>
      <c r="T94" s="13"/>
      <c r="U94" s="13"/>
      <c r="V94" s="13"/>
    </row>
    <row r="95" spans="1:22">
      <c r="A95" s="15" t="s">
        <v>171</v>
      </c>
      <c r="B95" s="153">
        <f t="shared" si="19"/>
        <v>83</v>
      </c>
      <c r="C95" s="146">
        <v>47</v>
      </c>
      <c r="D95" s="157">
        <v>6.9</v>
      </c>
      <c r="E95" s="148">
        <v>10</v>
      </c>
      <c r="F95" s="157">
        <v>4.5</v>
      </c>
      <c r="G95" s="148">
        <v>10</v>
      </c>
      <c r="H95" s="157">
        <v>1.8</v>
      </c>
      <c r="I95" s="147" t="s">
        <v>289</v>
      </c>
      <c r="J95" s="167" t="s">
        <v>289</v>
      </c>
      <c r="K95" s="147" t="s">
        <v>289</v>
      </c>
      <c r="L95" s="167" t="s">
        <v>289</v>
      </c>
      <c r="M95" s="147" t="s">
        <v>289</v>
      </c>
      <c r="N95" s="167" t="s">
        <v>289</v>
      </c>
      <c r="O95" s="148">
        <v>10</v>
      </c>
      <c r="P95" s="157">
        <v>0.8</v>
      </c>
      <c r="Q95" s="146">
        <v>10</v>
      </c>
      <c r="R95" s="171">
        <v>0.8</v>
      </c>
      <c r="S95" s="16" t="s">
        <v>97</v>
      </c>
      <c r="T95" s="13"/>
      <c r="U95" s="13"/>
      <c r="V95" s="13"/>
    </row>
    <row r="96" spans="1:22">
      <c r="A96" s="15" t="s">
        <v>172</v>
      </c>
      <c r="B96" s="153">
        <f t="shared" si="19"/>
        <v>232</v>
      </c>
      <c r="C96" s="146">
        <v>43</v>
      </c>
      <c r="D96" s="157">
        <v>11.35</v>
      </c>
      <c r="E96" s="147" t="s">
        <v>289</v>
      </c>
      <c r="F96" s="167" t="s">
        <v>289</v>
      </c>
      <c r="G96" s="148">
        <v>29</v>
      </c>
      <c r="H96" s="157">
        <v>1.78</v>
      </c>
      <c r="I96" s="148">
        <v>10</v>
      </c>
      <c r="J96" s="157">
        <v>0.83</v>
      </c>
      <c r="K96" s="148">
        <v>36</v>
      </c>
      <c r="L96" s="157">
        <v>2.6749999999999998</v>
      </c>
      <c r="M96" s="148">
        <v>55</v>
      </c>
      <c r="N96" s="157">
        <v>3.8250000000000002</v>
      </c>
      <c r="O96" s="148">
        <v>2</v>
      </c>
      <c r="P96" s="157">
        <v>2.8000000000000001E-2</v>
      </c>
      <c r="Q96" s="146">
        <v>3</v>
      </c>
      <c r="R96" s="171">
        <v>0.03</v>
      </c>
      <c r="S96" s="16" t="s">
        <v>98</v>
      </c>
      <c r="T96" s="13"/>
      <c r="U96" s="13"/>
      <c r="V96" s="13"/>
    </row>
    <row r="97" spans="1:22">
      <c r="A97" s="15" t="s">
        <v>173</v>
      </c>
      <c r="B97" s="153">
        <f t="shared" si="19"/>
        <v>278</v>
      </c>
      <c r="C97" s="146">
        <v>97</v>
      </c>
      <c r="D97" s="157">
        <v>10.64</v>
      </c>
      <c r="E97" s="147" t="s">
        <v>289</v>
      </c>
      <c r="F97" s="167" t="s">
        <v>289</v>
      </c>
      <c r="G97" s="148">
        <v>31</v>
      </c>
      <c r="H97" s="157">
        <v>1.92</v>
      </c>
      <c r="I97" s="147" t="s">
        <v>289</v>
      </c>
      <c r="J97" s="167" t="s">
        <v>289</v>
      </c>
      <c r="K97" s="148">
        <v>51</v>
      </c>
      <c r="L97" s="157">
        <v>2.5779999999999998</v>
      </c>
      <c r="M97" s="148">
        <v>26</v>
      </c>
      <c r="N97" s="157">
        <v>0.53</v>
      </c>
      <c r="O97" s="147" t="s">
        <v>289</v>
      </c>
      <c r="P97" s="167" t="s">
        <v>289</v>
      </c>
      <c r="Q97" s="152" t="s">
        <v>292</v>
      </c>
      <c r="R97" s="171">
        <v>0</v>
      </c>
      <c r="S97" s="16" t="s">
        <v>99</v>
      </c>
      <c r="T97" s="13"/>
      <c r="U97" s="13"/>
      <c r="V97" s="13"/>
    </row>
    <row r="98" spans="1:22">
      <c r="A98" s="15" t="s">
        <v>174</v>
      </c>
      <c r="B98" s="153">
        <f t="shared" si="19"/>
        <v>350</v>
      </c>
      <c r="C98" s="146">
        <v>170</v>
      </c>
      <c r="D98" s="157">
        <v>13.6</v>
      </c>
      <c r="E98" s="147" t="s">
        <v>289</v>
      </c>
      <c r="F98" s="167" t="s">
        <v>289</v>
      </c>
      <c r="G98" s="148">
        <v>2</v>
      </c>
      <c r="H98" s="157">
        <v>0.12</v>
      </c>
      <c r="I98" s="147" t="s">
        <v>289</v>
      </c>
      <c r="J98" s="167" t="s">
        <v>289</v>
      </c>
      <c r="K98" s="147" t="s">
        <v>289</v>
      </c>
      <c r="L98" s="167" t="s">
        <v>289</v>
      </c>
      <c r="M98" s="147" t="s">
        <v>289</v>
      </c>
      <c r="N98" s="167" t="s">
        <v>289</v>
      </c>
      <c r="O98" s="147" t="s">
        <v>289</v>
      </c>
      <c r="P98" s="167" t="s">
        <v>289</v>
      </c>
      <c r="Q98" s="147" t="s">
        <v>289</v>
      </c>
      <c r="R98" s="172" t="s">
        <v>289</v>
      </c>
      <c r="S98" s="16" t="s">
        <v>100</v>
      </c>
      <c r="T98" s="13"/>
      <c r="U98" s="13"/>
      <c r="V98" s="13"/>
    </row>
    <row r="99" spans="1:22">
      <c r="A99" s="15" t="s">
        <v>175</v>
      </c>
      <c r="B99" s="153">
        <f t="shared" si="19"/>
        <v>776</v>
      </c>
      <c r="C99" s="146">
        <v>348</v>
      </c>
      <c r="D99" s="157">
        <v>30.17</v>
      </c>
      <c r="E99" s="147" t="s">
        <v>289</v>
      </c>
      <c r="F99" s="167" t="s">
        <v>289</v>
      </c>
      <c r="G99" s="148">
        <v>116</v>
      </c>
      <c r="H99" s="157">
        <v>8.2799999999999994</v>
      </c>
      <c r="I99" s="148">
        <v>5</v>
      </c>
      <c r="J99" s="157">
        <v>0.18</v>
      </c>
      <c r="K99" s="148">
        <v>51</v>
      </c>
      <c r="L99" s="157">
        <v>3.38</v>
      </c>
      <c r="M99" s="148">
        <v>488</v>
      </c>
      <c r="N99" s="157">
        <v>38.75</v>
      </c>
      <c r="O99" s="147" t="s">
        <v>289</v>
      </c>
      <c r="P99" s="167" t="s">
        <v>289</v>
      </c>
      <c r="Q99" s="147" t="s">
        <v>289</v>
      </c>
      <c r="R99" s="172" t="s">
        <v>289</v>
      </c>
      <c r="S99" s="16" t="s">
        <v>101</v>
      </c>
      <c r="T99" s="13"/>
      <c r="U99" s="13"/>
      <c r="V99" s="13"/>
    </row>
    <row r="100" spans="1:22">
      <c r="A100" s="15" t="s">
        <v>176</v>
      </c>
      <c r="B100" s="153">
        <f t="shared" si="19"/>
        <v>997</v>
      </c>
      <c r="C100" s="146">
        <v>116</v>
      </c>
      <c r="D100" s="157">
        <v>13.35</v>
      </c>
      <c r="E100" s="148">
        <v>32</v>
      </c>
      <c r="F100" s="157">
        <v>3.2</v>
      </c>
      <c r="G100" s="148">
        <v>62</v>
      </c>
      <c r="H100" s="157">
        <v>8.9700000000000006</v>
      </c>
      <c r="I100" s="147" t="s">
        <v>289</v>
      </c>
      <c r="J100" s="167" t="s">
        <v>289</v>
      </c>
      <c r="K100" s="148">
        <v>144</v>
      </c>
      <c r="L100" s="157">
        <v>12.4</v>
      </c>
      <c r="M100" s="147" t="s">
        <v>289</v>
      </c>
      <c r="N100" s="167" t="s">
        <v>289</v>
      </c>
      <c r="O100" s="147" t="s">
        <v>289</v>
      </c>
      <c r="P100" s="167" t="s">
        <v>289</v>
      </c>
      <c r="Q100" s="147" t="s">
        <v>289</v>
      </c>
      <c r="R100" s="172" t="s">
        <v>289</v>
      </c>
      <c r="S100" s="16" t="s">
        <v>102</v>
      </c>
      <c r="T100" s="13"/>
      <c r="U100" s="13"/>
      <c r="V100" s="13"/>
    </row>
    <row r="101" spans="1:22">
      <c r="A101" s="15" t="s">
        <v>177</v>
      </c>
      <c r="B101" s="153">
        <f t="shared" si="19"/>
        <v>332</v>
      </c>
      <c r="C101" s="146">
        <v>759</v>
      </c>
      <c r="D101" s="157">
        <v>82.35</v>
      </c>
      <c r="E101" s="147" t="s">
        <v>289</v>
      </c>
      <c r="F101" s="167" t="s">
        <v>289</v>
      </c>
      <c r="G101" s="148">
        <v>56</v>
      </c>
      <c r="H101" s="157">
        <v>8.67</v>
      </c>
      <c r="I101" s="148">
        <v>21</v>
      </c>
      <c r="J101" s="157">
        <v>3.84</v>
      </c>
      <c r="K101" s="148">
        <v>96</v>
      </c>
      <c r="L101" s="157">
        <v>11.348000000000001</v>
      </c>
      <c r="M101" s="148">
        <v>11</v>
      </c>
      <c r="N101" s="157">
        <v>2.9</v>
      </c>
      <c r="O101" s="148">
        <v>25</v>
      </c>
      <c r="P101" s="157">
        <v>3.75</v>
      </c>
      <c r="Q101" s="146">
        <v>44</v>
      </c>
      <c r="R101" s="171">
        <v>5.52</v>
      </c>
      <c r="S101" s="16" t="s">
        <v>103</v>
      </c>
      <c r="T101" s="13"/>
      <c r="U101" s="13"/>
      <c r="V101" s="13"/>
    </row>
    <row r="102" spans="1:22">
      <c r="A102" s="15" t="s">
        <v>178</v>
      </c>
      <c r="B102" s="153">
        <f t="shared" si="19"/>
        <v>2245</v>
      </c>
      <c r="C102" s="146">
        <v>79</v>
      </c>
      <c r="D102" s="157">
        <v>4.9800000000000004</v>
      </c>
      <c r="E102" s="147" t="s">
        <v>289</v>
      </c>
      <c r="F102" s="167" t="s">
        <v>289</v>
      </c>
      <c r="G102" s="148">
        <v>24</v>
      </c>
      <c r="H102" s="157">
        <v>1.26</v>
      </c>
      <c r="I102" s="147" t="s">
        <v>289</v>
      </c>
      <c r="J102" s="167" t="s">
        <v>289</v>
      </c>
      <c r="K102" s="148">
        <v>6</v>
      </c>
      <c r="L102" s="157">
        <v>0.54</v>
      </c>
      <c r="M102" s="147" t="s">
        <v>289</v>
      </c>
      <c r="N102" s="167" t="s">
        <v>289</v>
      </c>
      <c r="O102" s="147" t="s">
        <v>289</v>
      </c>
      <c r="P102" s="167" t="s">
        <v>289</v>
      </c>
      <c r="Q102" s="147" t="s">
        <v>289</v>
      </c>
      <c r="R102" s="172" t="s">
        <v>289</v>
      </c>
      <c r="S102" s="16" t="s">
        <v>104</v>
      </c>
      <c r="T102" s="13"/>
      <c r="U102" s="13"/>
      <c r="V102" s="13"/>
    </row>
    <row r="103" spans="1:22" ht="12" customHeight="1">
      <c r="A103" s="225" t="s">
        <v>28</v>
      </c>
      <c r="B103" s="190">
        <f>SUM(C103,E103,G103,I103,K103,M103,O103,Q103)</f>
        <v>10275</v>
      </c>
      <c r="C103" s="189">
        <f>SUM(C105:C108)</f>
        <v>2215</v>
      </c>
      <c r="D103" s="188">
        <f t="shared" ref="D103:R103" si="20">SUM(D105:D108)</f>
        <v>419.06999999999994</v>
      </c>
      <c r="E103" s="189">
        <f t="shared" si="20"/>
        <v>138</v>
      </c>
      <c r="F103" s="188">
        <f t="shared" si="20"/>
        <v>18.5</v>
      </c>
      <c r="G103" s="189">
        <f t="shared" si="20"/>
        <v>6349</v>
      </c>
      <c r="H103" s="188">
        <f t="shared" si="20"/>
        <v>1331.9650000000001</v>
      </c>
      <c r="I103" s="189">
        <f t="shared" si="20"/>
        <v>218</v>
      </c>
      <c r="J103" s="188">
        <f t="shared" si="20"/>
        <v>30.1</v>
      </c>
      <c r="K103" s="189">
        <f t="shared" si="20"/>
        <v>803</v>
      </c>
      <c r="L103" s="188">
        <f t="shared" si="20"/>
        <v>149.773</v>
      </c>
      <c r="M103" s="189">
        <f t="shared" si="20"/>
        <v>171</v>
      </c>
      <c r="N103" s="188">
        <f t="shared" si="20"/>
        <v>22.375</v>
      </c>
      <c r="O103" s="189">
        <f t="shared" si="20"/>
        <v>77</v>
      </c>
      <c r="P103" s="188">
        <f t="shared" si="20"/>
        <v>14.19</v>
      </c>
      <c r="Q103" s="189">
        <f t="shared" si="20"/>
        <v>304</v>
      </c>
      <c r="R103" s="191">
        <f t="shared" si="20"/>
        <v>28.689999999999998</v>
      </c>
      <c r="S103" s="235" t="s">
        <v>29</v>
      </c>
      <c r="T103" s="235"/>
      <c r="U103" s="235"/>
      <c r="V103" s="13"/>
    </row>
    <row r="104" spans="1:22" ht="11.4" customHeight="1">
      <c r="A104" s="225"/>
      <c r="B104" s="190"/>
      <c r="C104" s="189"/>
      <c r="D104" s="188"/>
      <c r="E104" s="189"/>
      <c r="F104" s="188"/>
      <c r="G104" s="189"/>
      <c r="H104" s="188"/>
      <c r="I104" s="189"/>
      <c r="J104" s="188"/>
      <c r="K104" s="189"/>
      <c r="L104" s="188"/>
      <c r="M104" s="189"/>
      <c r="N104" s="188"/>
      <c r="O104" s="189"/>
      <c r="P104" s="188"/>
      <c r="Q104" s="189"/>
      <c r="R104" s="191"/>
      <c r="S104" s="235"/>
      <c r="T104" s="235"/>
      <c r="U104" s="235"/>
      <c r="V104" s="13"/>
    </row>
    <row r="105" spans="1:22" ht="11.4" customHeight="1">
      <c r="A105" s="15" t="s">
        <v>179</v>
      </c>
      <c r="B105" s="153">
        <f>SUM(C105,E105,G105,I105,K105,M105,O105,Q105)</f>
        <v>5171</v>
      </c>
      <c r="C105" s="146">
        <v>585</v>
      </c>
      <c r="D105" s="157">
        <v>73.319999999999993</v>
      </c>
      <c r="E105" s="148">
        <v>3</v>
      </c>
      <c r="F105" s="157">
        <v>0.15</v>
      </c>
      <c r="G105" s="148">
        <v>3703</v>
      </c>
      <c r="H105" s="157">
        <v>745.21500000000003</v>
      </c>
      <c r="I105" s="148">
        <v>76</v>
      </c>
      <c r="J105" s="157">
        <v>6.43</v>
      </c>
      <c r="K105" s="148">
        <v>465</v>
      </c>
      <c r="L105" s="157">
        <v>57.357999999999997</v>
      </c>
      <c r="M105" s="148">
        <v>72</v>
      </c>
      <c r="N105" s="157">
        <v>3.89</v>
      </c>
      <c r="O105" s="148">
        <v>33</v>
      </c>
      <c r="P105" s="157">
        <v>3.19</v>
      </c>
      <c r="Q105" s="146">
        <v>234</v>
      </c>
      <c r="R105" s="171">
        <v>18.36</v>
      </c>
      <c r="S105" s="16" t="s">
        <v>105</v>
      </c>
      <c r="T105" s="13"/>
      <c r="U105" s="13"/>
      <c r="V105" s="13"/>
    </row>
    <row r="106" spans="1:22">
      <c r="A106" s="15" t="s">
        <v>180</v>
      </c>
      <c r="B106" s="153">
        <f>SUM(C106,E106,G106,I106,K106,M106,O106,Q106)</f>
        <v>3117</v>
      </c>
      <c r="C106" s="146">
        <v>1121</v>
      </c>
      <c r="D106" s="157">
        <v>255.35</v>
      </c>
      <c r="E106" s="148">
        <v>87</v>
      </c>
      <c r="F106" s="157">
        <v>9.15</v>
      </c>
      <c r="G106" s="148">
        <v>1476</v>
      </c>
      <c r="H106" s="157">
        <v>369.13</v>
      </c>
      <c r="I106" s="148">
        <v>63</v>
      </c>
      <c r="J106" s="157">
        <v>11.92</v>
      </c>
      <c r="K106" s="148">
        <v>214</v>
      </c>
      <c r="L106" s="157">
        <v>71.155000000000001</v>
      </c>
      <c r="M106" s="148">
        <v>59</v>
      </c>
      <c r="N106" s="157">
        <v>13.55</v>
      </c>
      <c r="O106" s="148">
        <v>33</v>
      </c>
      <c r="P106" s="157">
        <v>9.6999999999999993</v>
      </c>
      <c r="Q106" s="146">
        <v>64</v>
      </c>
      <c r="R106" s="171">
        <v>9.4499999999999993</v>
      </c>
      <c r="S106" s="16" t="s">
        <v>106</v>
      </c>
      <c r="T106" s="13"/>
      <c r="U106" s="13"/>
      <c r="V106" s="13"/>
    </row>
    <row r="107" spans="1:22">
      <c r="A107" s="15" t="s">
        <v>181</v>
      </c>
      <c r="B107" s="153">
        <f>SUM(C107,E107,G107,I107,K107,M107,O107,Q107)</f>
        <v>1068</v>
      </c>
      <c r="C107" s="146">
        <v>270</v>
      </c>
      <c r="D107" s="157">
        <v>38.270000000000003</v>
      </c>
      <c r="E107" s="148">
        <v>17</v>
      </c>
      <c r="F107" s="157">
        <v>2.5</v>
      </c>
      <c r="G107" s="148">
        <v>558</v>
      </c>
      <c r="H107" s="157">
        <v>86.21</v>
      </c>
      <c r="I107" s="148">
        <v>68</v>
      </c>
      <c r="J107" s="157">
        <v>9.5500000000000007</v>
      </c>
      <c r="K107" s="148">
        <v>121</v>
      </c>
      <c r="L107" s="157">
        <v>20.91</v>
      </c>
      <c r="M107" s="148">
        <v>17</v>
      </c>
      <c r="N107" s="157">
        <v>1.97</v>
      </c>
      <c r="O107" s="148">
        <v>11</v>
      </c>
      <c r="P107" s="157">
        <v>1.3</v>
      </c>
      <c r="Q107" s="146">
        <v>6</v>
      </c>
      <c r="R107" s="171">
        <v>0.88</v>
      </c>
      <c r="S107" s="16" t="s">
        <v>107</v>
      </c>
      <c r="T107" s="17"/>
      <c r="U107" s="17"/>
      <c r="V107" s="13"/>
    </row>
    <row r="108" spans="1:22" ht="10.8" thickBot="1">
      <c r="A108" s="18" t="s">
        <v>182</v>
      </c>
      <c r="B108" s="154">
        <f>SUM(C108,E108,G108,I108,K108,M108,O108,Q108)</f>
        <v>919</v>
      </c>
      <c r="C108" s="159">
        <v>239</v>
      </c>
      <c r="D108" s="168">
        <v>52.13</v>
      </c>
      <c r="E108" s="160">
        <v>31</v>
      </c>
      <c r="F108" s="168">
        <v>6.7</v>
      </c>
      <c r="G108" s="160">
        <v>612</v>
      </c>
      <c r="H108" s="168">
        <v>131.41</v>
      </c>
      <c r="I108" s="160">
        <v>11</v>
      </c>
      <c r="J108" s="169">
        <v>2.2000000000000002</v>
      </c>
      <c r="K108" s="160">
        <v>3</v>
      </c>
      <c r="L108" s="168">
        <v>0.35</v>
      </c>
      <c r="M108" s="160">
        <v>23</v>
      </c>
      <c r="N108" s="168">
        <v>2.9649999999999999</v>
      </c>
      <c r="O108" s="151" t="s">
        <v>289</v>
      </c>
      <c r="P108" s="170" t="s">
        <v>289</v>
      </c>
      <c r="Q108" s="151" t="s">
        <v>289</v>
      </c>
      <c r="R108" s="173" t="s">
        <v>289</v>
      </c>
      <c r="S108" s="19" t="s">
        <v>108</v>
      </c>
      <c r="T108" s="20"/>
      <c r="U108" s="20"/>
      <c r="V108" s="13"/>
    </row>
    <row r="109" spans="1:22">
      <c r="A109" s="21" t="s">
        <v>30</v>
      </c>
      <c r="P109" s="232" t="s">
        <v>183</v>
      </c>
      <c r="Q109" s="232"/>
      <c r="R109" s="232"/>
      <c r="S109" s="233"/>
      <c r="T109" s="233"/>
      <c r="U109" s="233"/>
    </row>
    <row r="110" spans="1:22">
      <c r="A110" s="22" t="s">
        <v>293</v>
      </c>
      <c r="P110" s="8" t="s">
        <v>288</v>
      </c>
    </row>
    <row r="117" spans="14:14">
      <c r="N117" s="145" t="s">
        <v>283</v>
      </c>
    </row>
  </sheetData>
  <sheetProtection selectLockedCells="1" selectUnlockedCells="1"/>
  <mergeCells count="278">
    <mergeCell ref="S74:V74"/>
    <mergeCell ref="A10:A11"/>
    <mergeCell ref="S10:U11"/>
    <mergeCell ref="A45:A46"/>
    <mergeCell ref="S45:U46"/>
    <mergeCell ref="A59:A60"/>
    <mergeCell ref="S59:U60"/>
    <mergeCell ref="S43:U43"/>
    <mergeCell ref="S62:U62"/>
    <mergeCell ref="N10:N11"/>
    <mergeCell ref="L10:L11"/>
    <mergeCell ref="K10:K11"/>
    <mergeCell ref="J10:J11"/>
    <mergeCell ref="I32:I33"/>
    <mergeCell ref="I18:I19"/>
    <mergeCell ref="P18:P19"/>
    <mergeCell ref="O18:O19"/>
    <mergeCell ref="R38:R39"/>
    <mergeCell ref="Q38:Q39"/>
    <mergeCell ref="P38:P39"/>
    <mergeCell ref="O38:O39"/>
    <mergeCell ref="N38:N39"/>
    <mergeCell ref="M38:M39"/>
    <mergeCell ref="I38:I39"/>
    <mergeCell ref="S76:V76"/>
    <mergeCell ref="P109:R109"/>
    <mergeCell ref="S109:U109"/>
    <mergeCell ref="S88:U89"/>
    <mergeCell ref="S103:U104"/>
    <mergeCell ref="S75:V75"/>
    <mergeCell ref="O4:P6"/>
    <mergeCell ref="S71:U72"/>
    <mergeCell ref="S81:U82"/>
    <mergeCell ref="S52:U53"/>
    <mergeCell ref="S64:U65"/>
    <mergeCell ref="S73:V73"/>
    <mergeCell ref="S80:V80"/>
    <mergeCell ref="S79:V79"/>
    <mergeCell ref="S78:V78"/>
    <mergeCell ref="S77:V77"/>
    <mergeCell ref="S8:U9"/>
    <mergeCell ref="S18:U19"/>
    <mergeCell ref="S32:U33"/>
    <mergeCell ref="S38:U39"/>
    <mergeCell ref="P10:P11"/>
    <mergeCell ref="O10:O11"/>
    <mergeCell ref="R18:R19"/>
    <mergeCell ref="Q18:Q19"/>
    <mergeCell ref="A103:A104"/>
    <mergeCell ref="A88:A89"/>
    <mergeCell ref="A81:A82"/>
    <mergeCell ref="A71:A72"/>
    <mergeCell ref="A64:A65"/>
    <mergeCell ref="A3:F3"/>
    <mergeCell ref="B8:B9"/>
    <mergeCell ref="D8:D9"/>
    <mergeCell ref="F45:F46"/>
    <mergeCell ref="E45:E46"/>
    <mergeCell ref="A52:A53"/>
    <mergeCell ref="A38:A39"/>
    <mergeCell ref="A32:A33"/>
    <mergeCell ref="A18:A19"/>
    <mergeCell ref="A8:A9"/>
    <mergeCell ref="C8:C9"/>
    <mergeCell ref="C18:C19"/>
    <mergeCell ref="C32:C33"/>
    <mergeCell ref="B32:B33"/>
    <mergeCell ref="F81:F82"/>
    <mergeCell ref="E81:E82"/>
    <mergeCell ref="F71:F72"/>
    <mergeCell ref="B18:B19"/>
    <mergeCell ref="F18:F19"/>
    <mergeCell ref="A1:H1"/>
    <mergeCell ref="I10:I11"/>
    <mergeCell ref="H10:H11"/>
    <mergeCell ref="J8:J9"/>
    <mergeCell ref="I8:I9"/>
    <mergeCell ref="H8:H9"/>
    <mergeCell ref="F10:F11"/>
    <mergeCell ref="G8:G9"/>
    <mergeCell ref="B10:B11"/>
    <mergeCell ref="G4:H6"/>
    <mergeCell ref="D10:D11"/>
    <mergeCell ref="C10:C11"/>
    <mergeCell ref="C6:D6"/>
    <mergeCell ref="A4:A7"/>
    <mergeCell ref="B4:B7"/>
    <mergeCell ref="M3:P3"/>
    <mergeCell ref="I2:U2"/>
    <mergeCell ref="Q3:U3"/>
    <mergeCell ref="E10:E11"/>
    <mergeCell ref="I1:U1"/>
    <mergeCell ref="F8:F9"/>
    <mergeCell ref="E8:E9"/>
    <mergeCell ref="R8:R9"/>
    <mergeCell ref="Q8:Q9"/>
    <mergeCell ref="P8:P9"/>
    <mergeCell ref="S4:U7"/>
    <mergeCell ref="K4:L6"/>
    <mergeCell ref="E6:F6"/>
    <mergeCell ref="O8:O9"/>
    <mergeCell ref="M10:M11"/>
    <mergeCell ref="R10:R11"/>
    <mergeCell ref="Q10:Q11"/>
    <mergeCell ref="N8:N9"/>
    <mergeCell ref="M8:M9"/>
    <mergeCell ref="C4:F5"/>
    <mergeCell ref="I4:J6"/>
    <mergeCell ref="M4:N6"/>
    <mergeCell ref="A2:H2"/>
    <mergeCell ref="Q4:R6"/>
    <mergeCell ref="L8:L9"/>
    <mergeCell ref="K8:K9"/>
    <mergeCell ref="G10:G11"/>
    <mergeCell ref="R32:R33"/>
    <mergeCell ref="Q32:Q33"/>
    <mergeCell ref="P32:P33"/>
    <mergeCell ref="O32:O33"/>
    <mergeCell ref="N32:N33"/>
    <mergeCell ref="H32:H33"/>
    <mergeCell ref="M32:M33"/>
    <mergeCell ref="L32:L33"/>
    <mergeCell ref="K32:K33"/>
    <mergeCell ref="J32:J33"/>
    <mergeCell ref="N18:N19"/>
    <mergeCell ref="K18:K19"/>
    <mergeCell ref="J18:J19"/>
    <mergeCell ref="H18:H19"/>
    <mergeCell ref="M18:M19"/>
    <mergeCell ref="L18:L19"/>
    <mergeCell ref="G18:G19"/>
    <mergeCell ref="F38:F39"/>
    <mergeCell ref="E38:E39"/>
    <mergeCell ref="F32:F33"/>
    <mergeCell ref="E32:E33"/>
    <mergeCell ref="D32:D33"/>
    <mergeCell ref="O52:O53"/>
    <mergeCell ref="N52:N53"/>
    <mergeCell ref="M52:M53"/>
    <mergeCell ref="L52:L53"/>
    <mergeCell ref="K52:K53"/>
    <mergeCell ref="G45:G46"/>
    <mergeCell ref="M45:M46"/>
    <mergeCell ref="L45:L46"/>
    <mergeCell ref="K45:K46"/>
    <mergeCell ref="F52:F53"/>
    <mergeCell ref="R52:R53"/>
    <mergeCell ref="Q52:Q53"/>
    <mergeCell ref="G32:G33"/>
    <mergeCell ref="K38:K39"/>
    <mergeCell ref="J38:J39"/>
    <mergeCell ref="I45:I46"/>
    <mergeCell ref="H45:H46"/>
    <mergeCell ref="J45:J46"/>
    <mergeCell ref="L38:L39"/>
    <mergeCell ref="P52:P53"/>
    <mergeCell ref="I52:I53"/>
    <mergeCell ref="H52:H53"/>
    <mergeCell ref="G52:G53"/>
    <mergeCell ref="J52:J53"/>
    <mergeCell ref="R45:R46"/>
    <mergeCell ref="Q45:Q46"/>
    <mergeCell ref="P45:P46"/>
    <mergeCell ref="O45:O46"/>
    <mergeCell ref="N45:N46"/>
    <mergeCell ref="H38:H39"/>
    <mergeCell ref="G38:G39"/>
    <mergeCell ref="I59:I60"/>
    <mergeCell ref="H59:H60"/>
    <mergeCell ref="G59:G60"/>
    <mergeCell ref="R59:R60"/>
    <mergeCell ref="Q59:Q60"/>
    <mergeCell ref="P59:P60"/>
    <mergeCell ref="O59:O60"/>
    <mergeCell ref="N59:N60"/>
    <mergeCell ref="M59:M60"/>
    <mergeCell ref="R64:R65"/>
    <mergeCell ref="Q64:Q65"/>
    <mergeCell ref="P64:P65"/>
    <mergeCell ref="O64:O65"/>
    <mergeCell ref="N64:N65"/>
    <mergeCell ref="M64:M65"/>
    <mergeCell ref="L59:L60"/>
    <mergeCell ref="K59:K60"/>
    <mergeCell ref="J59:J60"/>
    <mergeCell ref="I64:I65"/>
    <mergeCell ref="H64:H65"/>
    <mergeCell ref="G64:G65"/>
    <mergeCell ref="R81:R82"/>
    <mergeCell ref="Q81:Q82"/>
    <mergeCell ref="P81:P82"/>
    <mergeCell ref="O81:O82"/>
    <mergeCell ref="N81:N82"/>
    <mergeCell ref="G81:G82"/>
    <mergeCell ref="I81:I82"/>
    <mergeCell ref="H81:H82"/>
    <mergeCell ref="H71:H72"/>
    <mergeCell ref="G71:G72"/>
    <mergeCell ref="I71:I72"/>
    <mergeCell ref="M71:M72"/>
    <mergeCell ref="L71:L72"/>
    <mergeCell ref="K71:K72"/>
    <mergeCell ref="J71:J72"/>
    <mergeCell ref="L64:L65"/>
    <mergeCell ref="R71:R72"/>
    <mergeCell ref="Q71:Q72"/>
    <mergeCell ref="P71:P72"/>
    <mergeCell ref="O71:O72"/>
    <mergeCell ref="N71:N72"/>
    <mergeCell ref="L88:L89"/>
    <mergeCell ref="K88:K89"/>
    <mergeCell ref="J88:J89"/>
    <mergeCell ref="M81:M82"/>
    <mergeCell ref="L81:L82"/>
    <mergeCell ref="K81:K82"/>
    <mergeCell ref="J81:J82"/>
    <mergeCell ref="K64:K65"/>
    <mergeCell ref="J64:J65"/>
    <mergeCell ref="H88:H89"/>
    <mergeCell ref="G88:G89"/>
    <mergeCell ref="F88:F89"/>
    <mergeCell ref="E88:E89"/>
    <mergeCell ref="R103:R104"/>
    <mergeCell ref="Q103:Q104"/>
    <mergeCell ref="P103:P104"/>
    <mergeCell ref="O103:O104"/>
    <mergeCell ref="N103:N104"/>
    <mergeCell ref="O88:O89"/>
    <mergeCell ref="M103:M104"/>
    <mergeCell ref="L103:L104"/>
    <mergeCell ref="K103:K104"/>
    <mergeCell ref="J103:J104"/>
    <mergeCell ref="I103:I104"/>
    <mergeCell ref="H103:H104"/>
    <mergeCell ref="I88:I89"/>
    <mergeCell ref="R88:R89"/>
    <mergeCell ref="Q88:Q89"/>
    <mergeCell ref="P88:P89"/>
    <mergeCell ref="G103:G104"/>
    <mergeCell ref="F103:F104"/>
    <mergeCell ref="N88:N89"/>
    <mergeCell ref="M88:M89"/>
    <mergeCell ref="E18:E19"/>
    <mergeCell ref="D18:D19"/>
    <mergeCell ref="B103:B104"/>
    <mergeCell ref="C64:C65"/>
    <mergeCell ref="B64:B65"/>
    <mergeCell ref="E71:E72"/>
    <mergeCell ref="D71:D72"/>
    <mergeCell ref="C103:C104"/>
    <mergeCell ref="C71:C72"/>
    <mergeCell ref="B88:B89"/>
    <mergeCell ref="C81:C82"/>
    <mergeCell ref="B81:B82"/>
    <mergeCell ref="D88:D89"/>
    <mergeCell ref="C88:C89"/>
    <mergeCell ref="C45:C46"/>
    <mergeCell ref="E59:E60"/>
    <mergeCell ref="E103:E104"/>
    <mergeCell ref="D103:D104"/>
    <mergeCell ref="C38:C39"/>
    <mergeCell ref="B38:B39"/>
    <mergeCell ref="D38:D39"/>
    <mergeCell ref="F64:F65"/>
    <mergeCell ref="E64:E65"/>
    <mergeCell ref="D64:D65"/>
    <mergeCell ref="E52:E53"/>
    <mergeCell ref="B45:B46"/>
    <mergeCell ref="D81:D82"/>
    <mergeCell ref="B71:B72"/>
    <mergeCell ref="F59:F60"/>
    <mergeCell ref="D45:D46"/>
    <mergeCell ref="D59:D60"/>
    <mergeCell ref="C59:C60"/>
    <mergeCell ref="B59:B60"/>
    <mergeCell ref="D52:D53"/>
    <mergeCell ref="C52:C53"/>
    <mergeCell ref="B52:B53"/>
  </mergeCells>
  <pageMargins left="0.7" right="0.7" top="0.75" bottom="0.75" header="0.3" footer="0.3"/>
  <pageSetup paperSize="9" orientation="portrait" horizontalDpi="200" verticalDpi="200" r:id="rId1"/>
  <ignoredErrors>
    <ignoredError sqref="B12:B17 B20:B21 B37 B63 B66:B70 B77:B80 B83:B87 B105:B108 B23:B26 B28:B31 B34:B36 B22:Q22 C34:Q36 B32:Q33 C28:Q31 B27:Q27 C23:Q26 B61:B62 B54:B58 B47:B51 B42 B40:R41 B43:R46 C42:R42 B52:R53 C47:R51 B59:R60 C54:R58 C61:R62 B94:B101 B90:R93 B102:R104 C94:R10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0"/>
  <sheetViews>
    <sheetView showGridLines="0" zoomScale="80" zoomScaleNormal="80" workbookViewId="0">
      <selection activeCell="A11" sqref="A11:A12"/>
    </sheetView>
  </sheetViews>
  <sheetFormatPr defaultRowHeight="14.4"/>
  <cols>
    <col min="1" max="1" width="37.21875" style="1" bestFit="1" customWidth="1"/>
    <col min="2" max="16384" width="8.88671875" style="1"/>
  </cols>
  <sheetData>
    <row r="1" spans="1:8">
      <c r="A1" s="246"/>
      <c r="B1" s="246"/>
      <c r="C1" s="246"/>
      <c r="D1" s="246"/>
      <c r="E1" s="246"/>
      <c r="F1" s="246"/>
      <c r="G1" s="246"/>
      <c r="H1" s="246"/>
    </row>
    <row r="2" spans="1:8">
      <c r="A2" s="247"/>
      <c r="B2" s="247"/>
      <c r="C2" s="247"/>
      <c r="D2" s="247"/>
      <c r="E2" s="247"/>
      <c r="F2" s="247"/>
      <c r="G2" s="247"/>
      <c r="H2" s="247"/>
    </row>
    <row r="3" spans="1:8">
      <c r="A3" s="247"/>
      <c r="B3" s="247"/>
      <c r="C3" s="247"/>
      <c r="D3" s="247"/>
      <c r="E3" s="247"/>
      <c r="F3" s="247"/>
      <c r="G3" s="247"/>
      <c r="H3" s="247"/>
    </row>
    <row r="4" spans="1:8">
      <c r="A4" s="248"/>
      <c r="B4" s="248"/>
      <c r="C4" s="248"/>
      <c r="D4" s="248"/>
      <c r="E4" s="248"/>
      <c r="F4" s="248"/>
      <c r="G4" s="2"/>
      <c r="H4" s="2"/>
    </row>
    <row r="5" spans="1:8">
      <c r="A5" s="249"/>
      <c r="B5" s="249"/>
      <c r="C5" s="249"/>
      <c r="D5" s="250"/>
      <c r="E5" s="250"/>
      <c r="F5" s="250"/>
      <c r="G5" s="249"/>
      <c r="H5" s="249"/>
    </row>
    <row r="6" spans="1:8">
      <c r="A6" s="249"/>
      <c r="B6" s="249"/>
      <c r="C6" s="250"/>
      <c r="D6" s="250"/>
      <c r="E6" s="250"/>
      <c r="F6" s="250"/>
      <c r="G6" s="249"/>
      <c r="H6" s="249"/>
    </row>
    <row r="7" spans="1:8">
      <c r="A7" s="249"/>
      <c r="B7" s="249"/>
      <c r="C7" s="249"/>
      <c r="D7" s="249"/>
      <c r="E7" s="249"/>
      <c r="F7" s="249"/>
      <c r="G7" s="249"/>
      <c r="H7" s="249"/>
    </row>
    <row r="8" spans="1:8">
      <c r="A8" s="249"/>
      <c r="B8" s="249"/>
      <c r="C8" s="3"/>
      <c r="D8" s="3"/>
      <c r="E8" s="3"/>
      <c r="F8" s="3"/>
      <c r="G8" s="3"/>
      <c r="H8" s="3"/>
    </row>
    <row r="9" spans="1:8">
      <c r="A9" s="245"/>
      <c r="B9" s="242"/>
      <c r="C9" s="242"/>
      <c r="D9" s="242"/>
      <c r="E9" s="242"/>
      <c r="F9" s="242"/>
      <c r="G9" s="242"/>
      <c r="H9" s="242"/>
    </row>
    <row r="10" spans="1:8">
      <c r="A10" s="245"/>
      <c r="B10" s="242"/>
      <c r="C10" s="242"/>
      <c r="D10" s="242"/>
      <c r="E10" s="242"/>
      <c r="F10" s="242"/>
      <c r="G10" s="242"/>
      <c r="H10" s="242"/>
    </row>
    <row r="11" spans="1:8">
      <c r="A11" s="243"/>
      <c r="B11" s="242"/>
      <c r="C11" s="242"/>
      <c r="D11" s="242"/>
      <c r="E11" s="242"/>
      <c r="F11" s="242"/>
      <c r="G11" s="242"/>
      <c r="H11" s="242"/>
    </row>
    <row r="12" spans="1:8">
      <c r="A12" s="243"/>
      <c r="B12" s="242"/>
      <c r="C12" s="242"/>
      <c r="D12" s="242"/>
      <c r="E12" s="242"/>
      <c r="F12" s="242"/>
      <c r="G12" s="242"/>
      <c r="H12" s="242"/>
    </row>
    <row r="13" spans="1:8">
      <c r="A13" s="4"/>
      <c r="B13" s="5"/>
      <c r="C13" s="5"/>
      <c r="D13" s="5"/>
      <c r="E13" s="5"/>
      <c r="F13" s="5"/>
      <c r="G13" s="5"/>
      <c r="H13" s="5"/>
    </row>
    <row r="14" spans="1:8">
      <c r="A14" s="4"/>
      <c r="B14" s="5"/>
      <c r="C14" s="5"/>
      <c r="D14" s="5"/>
      <c r="E14" s="5"/>
      <c r="F14" s="5"/>
      <c r="G14" s="5"/>
      <c r="H14" s="5"/>
    </row>
    <row r="15" spans="1:8">
      <c r="A15" s="4"/>
      <c r="B15" s="5"/>
      <c r="C15" s="5"/>
      <c r="D15" s="5"/>
      <c r="E15" s="5"/>
      <c r="F15" s="5"/>
      <c r="G15" s="5"/>
      <c r="H15" s="5"/>
    </row>
    <row r="16" spans="1:8">
      <c r="A16" s="4"/>
      <c r="B16" s="5"/>
      <c r="C16" s="5"/>
      <c r="D16" s="5"/>
      <c r="E16" s="5"/>
      <c r="F16" s="5"/>
      <c r="G16" s="5"/>
      <c r="H16" s="5"/>
    </row>
    <row r="17" spans="1:8">
      <c r="A17" s="4"/>
      <c r="B17" s="5"/>
      <c r="C17" s="5"/>
      <c r="D17" s="5"/>
      <c r="E17" s="5"/>
      <c r="F17" s="5"/>
      <c r="G17" s="5"/>
      <c r="H17" s="5"/>
    </row>
    <row r="18" spans="1:8">
      <c r="A18" s="4"/>
      <c r="B18" s="5"/>
      <c r="C18" s="5"/>
      <c r="D18" s="5"/>
      <c r="E18" s="5"/>
      <c r="F18" s="5"/>
      <c r="G18" s="5"/>
      <c r="H18" s="5"/>
    </row>
    <row r="19" spans="1:8">
      <c r="A19" s="243"/>
      <c r="B19" s="5"/>
      <c r="C19" s="5"/>
      <c r="D19" s="5"/>
      <c r="E19" s="5"/>
      <c r="F19" s="5"/>
      <c r="G19" s="5"/>
      <c r="H19" s="5"/>
    </row>
    <row r="20" spans="1:8">
      <c r="A20" s="243"/>
      <c r="B20" s="5"/>
      <c r="C20" s="5"/>
      <c r="D20" s="5"/>
      <c r="E20" s="5"/>
      <c r="F20" s="5"/>
      <c r="G20" s="5"/>
      <c r="H20" s="5"/>
    </row>
    <row r="21" spans="1:8">
      <c r="A21" s="4"/>
      <c r="B21" s="5"/>
      <c r="C21" s="5"/>
      <c r="D21" s="5"/>
      <c r="E21" s="5"/>
      <c r="F21" s="5"/>
      <c r="G21" s="5"/>
      <c r="H21" s="5"/>
    </row>
    <row r="22" spans="1:8">
      <c r="A22" s="4"/>
      <c r="B22" s="5"/>
      <c r="C22" s="5"/>
      <c r="D22" s="5"/>
      <c r="E22" s="5"/>
      <c r="F22" s="5"/>
      <c r="G22" s="5"/>
      <c r="H22" s="5"/>
    </row>
    <row r="23" spans="1:8">
      <c r="A23" s="4"/>
      <c r="B23" s="5"/>
      <c r="C23" s="5"/>
      <c r="D23" s="5"/>
      <c r="E23" s="5"/>
      <c r="F23" s="5"/>
      <c r="G23" s="5"/>
      <c r="H23" s="5"/>
    </row>
    <row r="24" spans="1:8">
      <c r="A24" s="4"/>
      <c r="B24" s="5"/>
      <c r="C24" s="5"/>
      <c r="D24" s="5"/>
      <c r="E24" s="5"/>
      <c r="F24" s="5"/>
      <c r="G24" s="5"/>
      <c r="H24" s="5"/>
    </row>
    <row r="25" spans="1:8">
      <c r="A25" s="4"/>
      <c r="B25" s="5"/>
      <c r="C25" s="5"/>
      <c r="D25" s="5"/>
      <c r="E25" s="5"/>
      <c r="F25" s="5"/>
      <c r="G25" s="5"/>
      <c r="H25" s="5"/>
    </row>
    <row r="26" spans="1:8">
      <c r="A26" s="4"/>
      <c r="B26" s="5"/>
      <c r="C26" s="5"/>
      <c r="D26" s="5"/>
      <c r="E26" s="5"/>
      <c r="F26" s="5"/>
      <c r="G26" s="5"/>
      <c r="H26" s="5"/>
    </row>
    <row r="27" spans="1:8">
      <c r="A27" s="4"/>
      <c r="B27" s="5"/>
      <c r="C27" s="5"/>
      <c r="D27" s="5"/>
      <c r="E27" s="5"/>
      <c r="F27" s="5"/>
      <c r="G27" s="5"/>
      <c r="H27" s="5"/>
    </row>
    <row r="28" spans="1:8">
      <c r="A28" s="4"/>
      <c r="B28" s="5"/>
      <c r="C28" s="5"/>
      <c r="D28" s="5"/>
      <c r="E28" s="5"/>
      <c r="F28" s="5"/>
      <c r="G28" s="5"/>
      <c r="H28" s="5"/>
    </row>
    <row r="29" spans="1:8">
      <c r="A29" s="4"/>
      <c r="B29" s="5"/>
      <c r="C29" s="5"/>
      <c r="D29" s="5"/>
      <c r="E29" s="5"/>
      <c r="F29" s="5"/>
      <c r="G29" s="5"/>
      <c r="H29" s="5"/>
    </row>
    <row r="30" spans="1:8">
      <c r="A30" s="4"/>
      <c r="B30" s="5"/>
      <c r="C30" s="5"/>
      <c r="D30" s="5"/>
      <c r="E30" s="5"/>
      <c r="F30" s="5"/>
      <c r="G30" s="5"/>
      <c r="H30" s="5"/>
    </row>
    <row r="31" spans="1:8">
      <c r="A31" s="4"/>
      <c r="B31" s="5"/>
      <c r="C31" s="5"/>
      <c r="D31" s="5"/>
      <c r="E31" s="5"/>
      <c r="F31" s="5"/>
      <c r="G31" s="5"/>
      <c r="H31" s="5"/>
    </row>
    <row r="32" spans="1:8">
      <c r="A32" s="243"/>
      <c r="B32" s="242"/>
      <c r="C32" s="242"/>
      <c r="D32" s="242"/>
      <c r="E32" s="242"/>
      <c r="F32" s="242"/>
      <c r="G32" s="242"/>
      <c r="H32" s="242"/>
    </row>
    <row r="33" spans="1:8">
      <c r="A33" s="243"/>
      <c r="B33" s="242"/>
      <c r="C33" s="242"/>
      <c r="D33" s="242"/>
      <c r="E33" s="242"/>
      <c r="F33" s="242"/>
      <c r="G33" s="242"/>
      <c r="H33" s="242"/>
    </row>
    <row r="34" spans="1:8">
      <c r="A34" s="4"/>
      <c r="B34" s="5"/>
      <c r="C34" s="5"/>
      <c r="D34" s="5"/>
      <c r="E34" s="5"/>
      <c r="F34" s="5"/>
      <c r="G34" s="5"/>
      <c r="H34" s="5"/>
    </row>
    <row r="35" spans="1:8">
      <c r="A35" s="4"/>
      <c r="B35" s="5"/>
      <c r="C35" s="5"/>
      <c r="D35" s="5"/>
      <c r="E35" s="5"/>
      <c r="F35" s="5"/>
      <c r="G35" s="5"/>
      <c r="H35" s="5"/>
    </row>
    <row r="36" spans="1:8">
      <c r="A36" s="4"/>
      <c r="B36" s="5"/>
      <c r="C36" s="5"/>
      <c r="D36" s="5"/>
      <c r="E36" s="5"/>
      <c r="F36" s="5"/>
      <c r="G36" s="5"/>
      <c r="H36" s="5"/>
    </row>
    <row r="37" spans="1:8">
      <c r="A37" s="4"/>
      <c r="B37" s="5"/>
      <c r="C37" s="5"/>
      <c r="D37" s="5"/>
      <c r="E37" s="5"/>
      <c r="F37" s="5"/>
      <c r="G37" s="5"/>
      <c r="H37" s="5"/>
    </row>
    <row r="38" spans="1:8">
      <c r="A38" s="243"/>
      <c r="B38" s="242"/>
      <c r="C38" s="242"/>
      <c r="D38" s="242"/>
      <c r="E38" s="242"/>
      <c r="F38" s="242"/>
      <c r="G38" s="242"/>
      <c r="H38" s="242"/>
    </row>
    <row r="39" spans="1:8">
      <c r="A39" s="243"/>
      <c r="B39" s="242"/>
      <c r="C39" s="242"/>
      <c r="D39" s="242"/>
      <c r="E39" s="242"/>
      <c r="F39" s="242"/>
      <c r="G39" s="242"/>
      <c r="H39" s="242"/>
    </row>
    <row r="40" spans="1:8">
      <c r="A40" s="4"/>
      <c r="B40" s="5"/>
      <c r="C40" s="5"/>
      <c r="D40" s="5"/>
      <c r="E40" s="5"/>
      <c r="F40" s="5"/>
      <c r="G40" s="5"/>
      <c r="H40" s="5"/>
    </row>
    <row r="41" spans="1:8">
      <c r="A41" s="4"/>
      <c r="B41" s="5"/>
      <c r="C41" s="5"/>
      <c r="D41" s="5"/>
      <c r="E41" s="5"/>
      <c r="F41" s="5"/>
      <c r="G41" s="5"/>
      <c r="H41" s="5"/>
    </row>
    <row r="42" spans="1:8">
      <c r="A42" s="4"/>
      <c r="B42" s="5"/>
      <c r="C42" s="5"/>
      <c r="D42" s="5"/>
      <c r="E42" s="5"/>
      <c r="F42" s="5"/>
      <c r="G42" s="5"/>
      <c r="H42" s="5"/>
    </row>
    <row r="43" spans="1:8">
      <c r="A43" s="4"/>
      <c r="B43" s="5"/>
      <c r="C43" s="5"/>
      <c r="D43" s="5"/>
      <c r="E43" s="5"/>
      <c r="F43" s="5"/>
      <c r="G43" s="5"/>
      <c r="H43" s="5"/>
    </row>
    <row r="44" spans="1:8">
      <c r="A44" s="4"/>
      <c r="B44" s="5"/>
      <c r="C44" s="5"/>
      <c r="D44" s="5"/>
      <c r="E44" s="5"/>
      <c r="F44" s="5"/>
      <c r="G44" s="5"/>
      <c r="H44" s="5"/>
    </row>
    <row r="45" spans="1:8">
      <c r="A45" s="243"/>
      <c r="B45" s="242"/>
      <c r="C45" s="242"/>
      <c r="D45" s="242"/>
      <c r="E45" s="242"/>
      <c r="F45" s="242"/>
      <c r="G45" s="242"/>
      <c r="H45" s="242"/>
    </row>
    <row r="46" spans="1:8">
      <c r="A46" s="243"/>
      <c r="B46" s="242"/>
      <c r="C46" s="242"/>
      <c r="D46" s="242"/>
      <c r="E46" s="242"/>
      <c r="F46" s="242"/>
      <c r="G46" s="242"/>
      <c r="H46" s="242"/>
    </row>
    <row r="47" spans="1:8">
      <c r="A47" s="4"/>
      <c r="B47" s="5"/>
      <c r="C47" s="5"/>
      <c r="D47" s="5"/>
      <c r="E47" s="5"/>
      <c r="F47" s="5"/>
      <c r="G47" s="5"/>
      <c r="H47" s="5"/>
    </row>
    <row r="48" spans="1:8">
      <c r="A48" s="4"/>
      <c r="B48" s="5"/>
      <c r="C48" s="5"/>
      <c r="D48" s="5"/>
      <c r="E48" s="5"/>
      <c r="F48" s="5"/>
      <c r="G48" s="5"/>
      <c r="H48" s="5"/>
    </row>
    <row r="49" spans="1:8">
      <c r="A49" s="4"/>
      <c r="B49" s="5"/>
      <c r="C49" s="5"/>
      <c r="D49" s="5"/>
      <c r="E49" s="5"/>
      <c r="F49" s="5"/>
      <c r="G49" s="5"/>
      <c r="H49" s="5"/>
    </row>
    <row r="50" spans="1:8">
      <c r="A50" s="4"/>
      <c r="B50" s="5"/>
      <c r="C50" s="5"/>
      <c r="D50" s="5"/>
      <c r="E50" s="5"/>
      <c r="F50" s="5"/>
      <c r="G50" s="5"/>
      <c r="H50" s="5"/>
    </row>
    <row r="51" spans="1:8">
      <c r="A51" s="4"/>
      <c r="B51" s="5"/>
      <c r="C51" s="5"/>
      <c r="D51" s="5"/>
      <c r="E51" s="5"/>
      <c r="F51" s="5"/>
      <c r="G51" s="5"/>
      <c r="H51" s="5"/>
    </row>
    <row r="52" spans="1:8">
      <c r="A52" s="243"/>
      <c r="B52" s="242"/>
      <c r="C52" s="242"/>
      <c r="D52" s="242"/>
      <c r="E52" s="242"/>
      <c r="F52" s="242"/>
      <c r="G52" s="242"/>
      <c r="H52" s="242"/>
    </row>
    <row r="53" spans="1:8">
      <c r="A53" s="243"/>
      <c r="B53" s="242"/>
      <c r="C53" s="242"/>
      <c r="D53" s="242"/>
      <c r="E53" s="242"/>
      <c r="F53" s="242"/>
      <c r="G53" s="242"/>
      <c r="H53" s="242"/>
    </row>
    <row r="54" spans="1:8">
      <c r="A54" s="4"/>
      <c r="B54" s="5"/>
      <c r="C54" s="5"/>
      <c r="D54" s="5"/>
      <c r="E54" s="5"/>
      <c r="F54" s="5"/>
      <c r="G54" s="5"/>
      <c r="H54" s="5"/>
    </row>
    <row r="55" spans="1:8">
      <c r="A55" s="4"/>
      <c r="B55" s="5"/>
      <c r="C55" s="5"/>
      <c r="D55" s="5"/>
      <c r="E55" s="5"/>
      <c r="F55" s="5"/>
      <c r="G55" s="5"/>
      <c r="H55" s="5"/>
    </row>
    <row r="56" spans="1:8">
      <c r="A56" s="4"/>
      <c r="B56" s="5"/>
      <c r="C56" s="5"/>
      <c r="D56" s="5"/>
      <c r="E56" s="5"/>
      <c r="F56" s="5"/>
      <c r="G56" s="5"/>
      <c r="H56" s="5"/>
    </row>
    <row r="57" spans="1:8">
      <c r="A57" s="4"/>
      <c r="B57" s="5"/>
      <c r="C57" s="5"/>
      <c r="D57" s="5"/>
      <c r="E57" s="5"/>
      <c r="F57" s="5"/>
      <c r="G57" s="5"/>
      <c r="H57" s="5"/>
    </row>
    <row r="58" spans="1:8">
      <c r="A58" s="4"/>
      <c r="B58" s="5"/>
      <c r="C58" s="5"/>
      <c r="D58" s="5"/>
      <c r="E58" s="5"/>
      <c r="F58" s="5"/>
      <c r="G58" s="5"/>
      <c r="H58" s="5"/>
    </row>
    <row r="59" spans="1:8">
      <c r="A59" s="244"/>
      <c r="B59" s="242"/>
      <c r="C59" s="242"/>
      <c r="D59" s="242"/>
      <c r="E59" s="242"/>
      <c r="F59" s="242"/>
      <c r="G59" s="242"/>
      <c r="H59" s="242"/>
    </row>
    <row r="60" spans="1:8">
      <c r="A60" s="244"/>
      <c r="B60" s="242"/>
      <c r="C60" s="242"/>
      <c r="D60" s="242"/>
      <c r="E60" s="242"/>
      <c r="F60" s="242"/>
      <c r="G60" s="242"/>
      <c r="H60" s="242"/>
    </row>
    <row r="61" spans="1:8">
      <c r="A61" s="4"/>
      <c r="B61" s="5"/>
      <c r="C61" s="5"/>
      <c r="D61" s="5"/>
      <c r="E61" s="5"/>
      <c r="F61" s="5"/>
      <c r="G61" s="5"/>
      <c r="H61" s="5"/>
    </row>
    <row r="62" spans="1:8">
      <c r="A62" s="4"/>
      <c r="B62" s="5"/>
      <c r="C62" s="5"/>
      <c r="D62" s="5"/>
      <c r="E62" s="5"/>
      <c r="F62" s="5"/>
      <c r="G62" s="5"/>
      <c r="H62" s="5"/>
    </row>
    <row r="63" spans="1:8">
      <c r="A63" s="4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243"/>
      <c r="B65" s="242"/>
      <c r="C65" s="242"/>
      <c r="D65" s="242"/>
      <c r="E65" s="242"/>
      <c r="F65" s="242"/>
      <c r="G65" s="242"/>
      <c r="H65" s="242"/>
    </row>
    <row r="66" spans="1:8">
      <c r="A66" s="243"/>
      <c r="B66" s="242"/>
      <c r="C66" s="242"/>
      <c r="D66" s="242"/>
      <c r="E66" s="242"/>
      <c r="F66" s="242"/>
      <c r="G66" s="242"/>
      <c r="H66" s="242"/>
    </row>
    <row r="67" spans="1:8">
      <c r="A67" s="4"/>
      <c r="B67" s="5"/>
      <c r="C67" s="5"/>
      <c r="D67" s="5"/>
      <c r="E67" s="5"/>
      <c r="F67" s="5"/>
      <c r="G67" s="5"/>
      <c r="H67" s="5"/>
    </row>
    <row r="68" spans="1:8">
      <c r="A68" s="4"/>
      <c r="B68" s="5"/>
      <c r="C68" s="5"/>
      <c r="D68" s="5"/>
      <c r="E68" s="5"/>
      <c r="F68" s="5"/>
      <c r="G68" s="5"/>
      <c r="H68" s="5"/>
    </row>
    <row r="69" spans="1:8">
      <c r="A69" s="4"/>
      <c r="B69" s="5"/>
      <c r="C69" s="5"/>
      <c r="D69" s="5"/>
      <c r="E69" s="5"/>
      <c r="F69" s="5"/>
      <c r="G69" s="5"/>
      <c r="H69" s="5"/>
    </row>
    <row r="70" spans="1:8">
      <c r="A70" s="4"/>
      <c r="B70" s="5"/>
      <c r="C70" s="5"/>
      <c r="D70" s="5"/>
      <c r="E70" s="5"/>
      <c r="F70" s="5"/>
      <c r="G70" s="5"/>
      <c r="H70" s="5"/>
    </row>
    <row r="71" spans="1:8">
      <c r="A71" s="4"/>
      <c r="B71" s="5"/>
      <c r="C71" s="5"/>
      <c r="D71" s="5"/>
      <c r="E71" s="5"/>
      <c r="F71" s="5"/>
      <c r="G71" s="5"/>
      <c r="H71" s="5"/>
    </row>
    <row r="72" spans="1:8">
      <c r="A72" s="243"/>
      <c r="B72" s="242"/>
      <c r="C72" s="242"/>
      <c r="D72" s="242"/>
      <c r="E72" s="242"/>
      <c r="F72" s="242"/>
      <c r="G72" s="242"/>
      <c r="H72" s="242"/>
    </row>
    <row r="73" spans="1:8">
      <c r="A73" s="243"/>
      <c r="B73" s="242"/>
      <c r="C73" s="242"/>
      <c r="D73" s="242"/>
      <c r="E73" s="242"/>
      <c r="F73" s="242"/>
      <c r="G73" s="242"/>
      <c r="H73" s="242"/>
    </row>
    <row r="74" spans="1:8">
      <c r="A74" s="6"/>
      <c r="B74" s="5"/>
      <c r="C74" s="5"/>
      <c r="D74" s="5"/>
      <c r="E74" s="5"/>
      <c r="F74" s="5"/>
      <c r="G74" s="5"/>
      <c r="H74" s="5"/>
    </row>
    <row r="75" spans="1:8">
      <c r="A75" s="4"/>
      <c r="B75" s="5"/>
      <c r="C75" s="5"/>
      <c r="D75" s="5"/>
      <c r="E75" s="5"/>
      <c r="F75" s="5"/>
      <c r="G75" s="5"/>
      <c r="H75" s="5"/>
    </row>
    <row r="76" spans="1:8">
      <c r="A76" s="4"/>
      <c r="B76" s="5"/>
      <c r="C76" s="5"/>
      <c r="D76" s="5"/>
      <c r="E76" s="5"/>
      <c r="F76" s="5"/>
      <c r="G76" s="5"/>
      <c r="H76" s="5"/>
    </row>
    <row r="77" spans="1:8">
      <c r="A77" s="4"/>
      <c r="B77" s="5"/>
      <c r="C77" s="5"/>
      <c r="D77" s="5"/>
      <c r="E77" s="5"/>
      <c r="F77" s="5"/>
      <c r="G77" s="5"/>
      <c r="H77" s="5"/>
    </row>
    <row r="78" spans="1:8">
      <c r="A78" s="4"/>
      <c r="B78" s="5"/>
      <c r="C78" s="5"/>
      <c r="D78" s="5"/>
      <c r="E78" s="5"/>
      <c r="F78" s="5"/>
      <c r="G78" s="5"/>
      <c r="H78" s="5"/>
    </row>
    <row r="79" spans="1:8">
      <c r="A79" s="4"/>
      <c r="B79" s="5"/>
      <c r="C79" s="5"/>
      <c r="D79" s="5"/>
      <c r="E79" s="5"/>
      <c r="F79" s="5"/>
      <c r="G79" s="5"/>
      <c r="H79" s="5"/>
    </row>
    <row r="80" spans="1:8">
      <c r="A80" s="4"/>
      <c r="B80" s="5"/>
      <c r="C80" s="5"/>
      <c r="D80" s="5"/>
      <c r="E80" s="5"/>
      <c r="F80" s="5"/>
      <c r="G80" s="5"/>
      <c r="H80" s="5"/>
    </row>
    <row r="81" spans="1:8">
      <c r="A81" s="4"/>
      <c r="B81" s="5"/>
      <c r="C81" s="5"/>
      <c r="D81" s="5"/>
      <c r="E81" s="5"/>
      <c r="F81" s="5"/>
      <c r="G81" s="5"/>
      <c r="H81" s="5"/>
    </row>
    <row r="82" spans="1:8">
      <c r="A82" s="243"/>
      <c r="B82" s="242"/>
      <c r="C82" s="242"/>
      <c r="D82" s="242"/>
      <c r="E82" s="242"/>
      <c r="F82" s="242"/>
      <c r="G82" s="242"/>
      <c r="H82" s="242"/>
    </row>
    <row r="83" spans="1:8">
      <c r="A83" s="243"/>
      <c r="B83" s="242"/>
      <c r="C83" s="242"/>
      <c r="D83" s="242"/>
      <c r="E83" s="242"/>
      <c r="F83" s="242"/>
      <c r="G83" s="242"/>
      <c r="H83" s="242"/>
    </row>
    <row r="84" spans="1:8">
      <c r="A84" s="4"/>
      <c r="B84" s="5"/>
      <c r="C84" s="5"/>
      <c r="D84" s="5"/>
      <c r="E84" s="5"/>
      <c r="F84" s="5"/>
      <c r="G84" s="5"/>
      <c r="H84" s="5"/>
    </row>
    <row r="85" spans="1:8">
      <c r="A85" s="4"/>
      <c r="B85" s="5"/>
      <c r="C85" s="5"/>
      <c r="D85" s="5"/>
      <c r="E85" s="5"/>
      <c r="F85" s="5"/>
      <c r="G85" s="5"/>
      <c r="H85" s="5"/>
    </row>
    <row r="86" spans="1:8">
      <c r="A86" s="4"/>
      <c r="B86" s="5"/>
      <c r="C86" s="5"/>
      <c r="D86" s="5"/>
      <c r="E86" s="5"/>
      <c r="F86" s="5"/>
      <c r="G86" s="5"/>
      <c r="H86" s="5"/>
    </row>
    <row r="87" spans="1:8">
      <c r="A87" s="4"/>
      <c r="B87" s="5"/>
      <c r="C87" s="5"/>
      <c r="D87" s="5"/>
      <c r="E87" s="5"/>
      <c r="F87" s="5"/>
      <c r="G87" s="5"/>
      <c r="H87" s="5"/>
    </row>
    <row r="88" spans="1:8">
      <c r="A88" s="4"/>
      <c r="B88" s="5"/>
      <c r="C88" s="5"/>
      <c r="D88" s="5"/>
      <c r="E88" s="5"/>
      <c r="F88" s="5"/>
      <c r="G88" s="5"/>
      <c r="H88" s="5"/>
    </row>
    <row r="89" spans="1:8">
      <c r="A89" s="243"/>
      <c r="B89" s="242"/>
      <c r="C89" s="242"/>
      <c r="D89" s="242"/>
      <c r="E89" s="242"/>
      <c r="F89" s="242"/>
      <c r="G89" s="242"/>
      <c r="H89" s="242"/>
    </row>
    <row r="90" spans="1:8">
      <c r="A90" s="243"/>
      <c r="B90" s="242"/>
      <c r="C90" s="242"/>
      <c r="D90" s="242"/>
      <c r="E90" s="242"/>
      <c r="F90" s="242"/>
      <c r="G90" s="242"/>
      <c r="H90" s="242"/>
    </row>
    <row r="91" spans="1:8">
      <c r="A91" s="4"/>
      <c r="B91" s="5"/>
      <c r="C91" s="5"/>
      <c r="D91" s="5"/>
      <c r="E91" s="5"/>
      <c r="F91" s="5"/>
      <c r="G91" s="5"/>
      <c r="H91" s="5"/>
    </row>
    <row r="92" spans="1:8">
      <c r="A92" s="4"/>
      <c r="B92" s="5"/>
      <c r="C92" s="5"/>
      <c r="D92" s="5"/>
      <c r="E92" s="5"/>
      <c r="F92" s="5"/>
      <c r="G92" s="5"/>
      <c r="H92" s="5"/>
    </row>
    <row r="93" spans="1:8">
      <c r="A93" s="4"/>
      <c r="B93" s="5"/>
      <c r="C93" s="5"/>
      <c r="D93" s="5"/>
      <c r="E93" s="5"/>
      <c r="F93" s="5"/>
      <c r="G93" s="5"/>
      <c r="H93" s="5"/>
    </row>
    <row r="94" spans="1:8">
      <c r="A94" s="4"/>
      <c r="B94" s="5"/>
      <c r="C94" s="5"/>
      <c r="D94" s="5"/>
      <c r="E94" s="5"/>
      <c r="F94" s="5"/>
      <c r="G94" s="5"/>
      <c r="H94" s="5"/>
    </row>
    <row r="95" spans="1:8">
      <c r="A95" s="4"/>
      <c r="B95" s="5"/>
      <c r="C95" s="5"/>
      <c r="D95" s="5"/>
      <c r="E95" s="5"/>
      <c r="F95" s="5"/>
      <c r="G95" s="5"/>
      <c r="H95" s="5"/>
    </row>
    <row r="96" spans="1:8">
      <c r="A96" s="4"/>
      <c r="B96" s="5"/>
      <c r="C96" s="5"/>
      <c r="D96" s="5"/>
      <c r="E96" s="5"/>
      <c r="F96" s="5"/>
      <c r="G96" s="5"/>
      <c r="H96" s="5"/>
    </row>
    <row r="97" spans="1:8">
      <c r="A97" s="4"/>
      <c r="B97" s="5"/>
      <c r="C97" s="5"/>
      <c r="D97" s="5"/>
      <c r="E97" s="5"/>
      <c r="F97" s="5"/>
      <c r="G97" s="5"/>
      <c r="H97" s="5"/>
    </row>
    <row r="98" spans="1:8">
      <c r="A98" s="4"/>
      <c r="B98" s="5"/>
      <c r="C98" s="5"/>
      <c r="D98" s="5"/>
      <c r="E98" s="5"/>
      <c r="F98" s="5"/>
      <c r="G98" s="5"/>
      <c r="H98" s="5"/>
    </row>
    <row r="99" spans="1:8">
      <c r="A99" s="4"/>
      <c r="B99" s="5"/>
      <c r="C99" s="5"/>
      <c r="D99" s="5"/>
      <c r="E99" s="5"/>
      <c r="F99" s="5"/>
      <c r="G99" s="5"/>
      <c r="H99" s="5"/>
    </row>
    <row r="100" spans="1:8">
      <c r="A100" s="4"/>
      <c r="B100" s="5"/>
      <c r="C100" s="5"/>
      <c r="D100" s="5"/>
      <c r="E100" s="5"/>
      <c r="F100" s="5"/>
      <c r="G100" s="5"/>
      <c r="H100" s="5"/>
    </row>
    <row r="101" spans="1:8">
      <c r="A101" s="4"/>
      <c r="B101" s="5"/>
      <c r="C101" s="5"/>
      <c r="D101" s="5"/>
      <c r="E101" s="5"/>
      <c r="F101" s="5"/>
      <c r="G101" s="5"/>
      <c r="H101" s="5"/>
    </row>
    <row r="102" spans="1:8">
      <c r="A102" s="4"/>
      <c r="B102" s="5"/>
      <c r="C102" s="5"/>
      <c r="D102" s="5"/>
      <c r="E102" s="5"/>
      <c r="F102" s="5"/>
      <c r="G102" s="5"/>
      <c r="H102" s="5"/>
    </row>
    <row r="103" spans="1:8">
      <c r="A103" s="4"/>
      <c r="B103" s="5"/>
      <c r="C103" s="5"/>
      <c r="D103" s="5"/>
      <c r="E103" s="5"/>
      <c r="F103" s="5"/>
      <c r="G103" s="5"/>
      <c r="H103" s="5"/>
    </row>
    <row r="104" spans="1:8">
      <c r="A104" s="243"/>
      <c r="B104" s="242"/>
      <c r="C104" s="242"/>
      <c r="D104" s="242"/>
      <c r="E104" s="242"/>
      <c r="F104" s="242"/>
      <c r="G104" s="242"/>
      <c r="H104" s="242"/>
    </row>
    <row r="105" spans="1:8">
      <c r="A105" s="243"/>
      <c r="B105" s="242"/>
      <c r="C105" s="242"/>
      <c r="D105" s="242"/>
      <c r="E105" s="242"/>
      <c r="F105" s="242"/>
      <c r="G105" s="242"/>
      <c r="H105" s="242"/>
    </row>
    <row r="106" spans="1:8">
      <c r="A106" s="4"/>
      <c r="B106" s="5"/>
      <c r="C106" s="5"/>
      <c r="D106" s="5"/>
      <c r="E106" s="5"/>
      <c r="F106" s="5"/>
      <c r="G106" s="5"/>
      <c r="H106" s="5"/>
    </row>
    <row r="107" spans="1:8">
      <c r="A107" s="4"/>
      <c r="B107" s="5"/>
      <c r="C107" s="5"/>
      <c r="D107" s="5"/>
      <c r="E107" s="5"/>
      <c r="F107" s="5"/>
      <c r="G107" s="5"/>
      <c r="H107" s="5"/>
    </row>
    <row r="108" spans="1:8">
      <c r="A108" s="4"/>
      <c r="B108" s="5"/>
      <c r="C108" s="5"/>
      <c r="D108" s="5"/>
      <c r="E108" s="5"/>
      <c r="F108" s="5"/>
      <c r="G108" s="5"/>
      <c r="H108" s="5"/>
    </row>
    <row r="109" spans="1:8">
      <c r="A109" s="4"/>
      <c r="B109" s="5"/>
      <c r="C109" s="5"/>
      <c r="D109" s="5"/>
      <c r="E109" s="5"/>
      <c r="F109" s="5"/>
      <c r="G109" s="5"/>
      <c r="H109" s="5"/>
    </row>
    <row r="110" spans="1:8">
      <c r="A110" s="7"/>
      <c r="B110" s="5"/>
      <c r="C110" s="5"/>
      <c r="D110" s="5"/>
      <c r="E110" s="5"/>
      <c r="F110" s="5"/>
      <c r="G110" s="5"/>
      <c r="H110" s="5"/>
    </row>
  </sheetData>
  <mergeCells count="106">
    <mergeCell ref="A1:H1"/>
    <mergeCell ref="A2:H3"/>
    <mergeCell ref="A4:F4"/>
    <mergeCell ref="A5:A8"/>
    <mergeCell ref="B5:B8"/>
    <mergeCell ref="C5:F6"/>
    <mergeCell ref="G5:H7"/>
    <mergeCell ref="C7:D7"/>
    <mergeCell ref="E7:F7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2015-04-30T09:20:35Z</cp:lastPrinted>
  <dcterms:created xsi:type="dcterms:W3CDTF">2015-04-28T10:32:32Z</dcterms:created>
  <dcterms:modified xsi:type="dcterms:W3CDTF">2017-01-20T15:00:51Z</dcterms:modified>
</cp:coreProperties>
</file>