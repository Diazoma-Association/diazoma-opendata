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84" yWindow="-252" windowWidth="15144" windowHeight="6000" firstSheet="1" activeTab="1"/>
  </bookViews>
  <sheets>
    <sheet name="ListOfRegions" sheetId="2" state="hidden" r:id="rId1"/>
    <sheet name="Πίνακας2(α)Συνολικός" sheetId="1" r:id="rId2"/>
    <sheet name="Sheet1" sheetId="3" r:id="rId3"/>
  </sheets>
  <calcPr calcId="124519"/>
</workbook>
</file>

<file path=xl/calcChain.xml><?xml version="1.0" encoding="utf-8"?>
<calcChain xmlns="http://schemas.openxmlformats.org/spreadsheetml/2006/main">
  <c r="D8" i="1"/>
  <c r="C8"/>
  <c r="B28"/>
  <c r="D27"/>
  <c r="E27"/>
  <c r="F27"/>
  <c r="G27"/>
  <c r="H27"/>
  <c r="I27"/>
  <c r="J27"/>
  <c r="K27"/>
  <c r="L27"/>
  <c r="M27"/>
  <c r="N27"/>
  <c r="O27"/>
  <c r="P27"/>
  <c r="Q27"/>
  <c r="R27"/>
  <c r="S27"/>
  <c r="T27"/>
  <c r="U27"/>
  <c r="V27"/>
  <c r="C27"/>
  <c r="B27" s="1"/>
  <c r="D18"/>
  <c r="E18"/>
  <c r="F18"/>
  <c r="G18"/>
  <c r="H18"/>
  <c r="I18"/>
  <c r="J18"/>
  <c r="K18"/>
  <c r="L18"/>
  <c r="M18"/>
  <c r="N18"/>
  <c r="O18"/>
  <c r="P18"/>
  <c r="Q18"/>
  <c r="R18"/>
  <c r="S18"/>
  <c r="T18"/>
  <c r="U18"/>
  <c r="V18"/>
  <c r="C18"/>
  <c r="B18" s="1"/>
  <c r="A28"/>
  <c r="B20"/>
  <c r="Q10"/>
  <c r="Q8" s="1"/>
  <c r="I38"/>
  <c r="Q103"/>
  <c r="Q88"/>
  <c r="Q81"/>
  <c r="Q71"/>
  <c r="Q64"/>
  <c r="Q59"/>
  <c r="Q52"/>
  <c r="Q45"/>
  <c r="Q38"/>
  <c r="Q32"/>
  <c r="B12"/>
  <c r="B21"/>
  <c r="B22"/>
  <c r="B23"/>
  <c r="B24"/>
  <c r="B25"/>
  <c r="B26"/>
  <c r="B29"/>
  <c r="B30"/>
  <c r="B31"/>
  <c r="B56"/>
  <c r="B54"/>
  <c r="B37"/>
  <c r="B35"/>
  <c r="B108"/>
  <c r="B107"/>
  <c r="B106"/>
  <c r="B105"/>
  <c r="B102"/>
  <c r="B101"/>
  <c r="B100"/>
  <c r="B99"/>
  <c r="B98"/>
  <c r="B97"/>
  <c r="B96"/>
  <c r="B95"/>
  <c r="B94"/>
  <c r="B93"/>
  <c r="B92"/>
  <c r="B91"/>
  <c r="B90"/>
  <c r="B87"/>
  <c r="B86"/>
  <c r="B85"/>
  <c r="B84"/>
  <c r="B83"/>
  <c r="B80"/>
  <c r="B79"/>
  <c r="B78"/>
  <c r="B77"/>
  <c r="B76"/>
  <c r="B75"/>
  <c r="B74"/>
  <c r="B73"/>
  <c r="B70"/>
  <c r="B69"/>
  <c r="B68"/>
  <c r="B67"/>
  <c r="B66"/>
  <c r="B63"/>
  <c r="B62"/>
  <c r="B61"/>
  <c r="B57"/>
  <c r="B55"/>
  <c r="B51"/>
  <c r="B50"/>
  <c r="B49"/>
  <c r="B48"/>
  <c r="B47"/>
  <c r="B44"/>
  <c r="B43"/>
  <c r="B42"/>
  <c r="B41"/>
  <c r="B40"/>
  <c r="B36"/>
  <c r="B34"/>
  <c r="B13"/>
  <c r="B14"/>
  <c r="B15"/>
  <c r="B17"/>
  <c r="P10"/>
  <c r="P8" s="1"/>
  <c r="V103"/>
  <c r="U103"/>
  <c r="T103"/>
  <c r="S103"/>
  <c r="R103"/>
  <c r="P103"/>
  <c r="O103"/>
  <c r="N103"/>
  <c r="M103"/>
  <c r="V88"/>
  <c r="U88"/>
  <c r="T88"/>
  <c r="S88"/>
  <c r="R88"/>
  <c r="P88"/>
  <c r="O88"/>
  <c r="N88"/>
  <c r="M88"/>
  <c r="V81"/>
  <c r="U81"/>
  <c r="T81"/>
  <c r="S81"/>
  <c r="R81"/>
  <c r="P81"/>
  <c r="O81"/>
  <c r="N81"/>
  <c r="M81"/>
  <c r="V71"/>
  <c r="U71"/>
  <c r="T71"/>
  <c r="S71"/>
  <c r="R71"/>
  <c r="P71"/>
  <c r="O71"/>
  <c r="N71"/>
  <c r="M71"/>
  <c r="V64"/>
  <c r="U64"/>
  <c r="T64"/>
  <c r="S64"/>
  <c r="R64"/>
  <c r="P64"/>
  <c r="O64"/>
  <c r="N64"/>
  <c r="M64"/>
  <c r="V59"/>
  <c r="U59"/>
  <c r="T59"/>
  <c r="S59"/>
  <c r="R59"/>
  <c r="P59"/>
  <c r="O59"/>
  <c r="N59"/>
  <c r="M59"/>
  <c r="V52"/>
  <c r="U52"/>
  <c r="T52"/>
  <c r="S52"/>
  <c r="R52"/>
  <c r="P52"/>
  <c r="O52"/>
  <c r="N52"/>
  <c r="M52"/>
  <c r="V45"/>
  <c r="U45"/>
  <c r="T45"/>
  <c r="S45"/>
  <c r="R45"/>
  <c r="P45"/>
  <c r="O45"/>
  <c r="N45"/>
  <c r="M45"/>
  <c r="V38"/>
  <c r="U38"/>
  <c r="T38"/>
  <c r="S38"/>
  <c r="R38"/>
  <c r="P38"/>
  <c r="O38"/>
  <c r="N38"/>
  <c r="M38"/>
  <c r="V32"/>
  <c r="U32"/>
  <c r="T32"/>
  <c r="S32"/>
  <c r="R32"/>
  <c r="P32"/>
  <c r="O32"/>
  <c r="N32"/>
  <c r="M32"/>
  <c r="V10"/>
  <c r="V8" s="1"/>
  <c r="U10"/>
  <c r="U8" s="1"/>
  <c r="T10"/>
  <c r="T8" s="1"/>
  <c r="S10"/>
  <c r="S8" s="1"/>
  <c r="R10"/>
  <c r="R8" s="1"/>
  <c r="O10"/>
  <c r="O8" s="1"/>
  <c r="N10"/>
  <c r="N8" s="1"/>
  <c r="M10"/>
  <c r="M8" s="1"/>
  <c r="A14"/>
  <c r="A13"/>
  <c r="A15"/>
  <c r="A16"/>
  <c r="A17"/>
  <c r="A12"/>
  <c r="A40"/>
  <c r="D103"/>
  <c r="E103"/>
  <c r="F103"/>
  <c r="G103"/>
  <c r="H103"/>
  <c r="I103"/>
  <c r="J103"/>
  <c r="K103"/>
  <c r="L103"/>
  <c r="C103"/>
  <c r="D88"/>
  <c r="E88"/>
  <c r="F88"/>
  <c r="G88"/>
  <c r="H88"/>
  <c r="I88"/>
  <c r="J88"/>
  <c r="K88"/>
  <c r="L88"/>
  <c r="C88"/>
  <c r="B88" s="1"/>
  <c r="D81"/>
  <c r="E81"/>
  <c r="F81"/>
  <c r="G81"/>
  <c r="H81"/>
  <c r="I81"/>
  <c r="J81"/>
  <c r="K81"/>
  <c r="L81"/>
  <c r="C81"/>
  <c r="B81" s="1"/>
  <c r="D71"/>
  <c r="E71"/>
  <c r="F71"/>
  <c r="G71"/>
  <c r="H71"/>
  <c r="I71"/>
  <c r="J71"/>
  <c r="K71"/>
  <c r="L71"/>
  <c r="C71"/>
  <c r="B71" s="1"/>
  <c r="D64"/>
  <c r="E64"/>
  <c r="F64"/>
  <c r="G64"/>
  <c r="H64"/>
  <c r="I64"/>
  <c r="J64"/>
  <c r="K64"/>
  <c r="L64"/>
  <c r="C64"/>
  <c r="D52"/>
  <c r="E52"/>
  <c r="F52"/>
  <c r="G52"/>
  <c r="H52"/>
  <c r="I52"/>
  <c r="J52"/>
  <c r="K52"/>
  <c r="L52"/>
  <c r="C52"/>
  <c r="D45"/>
  <c r="E45"/>
  <c r="F45"/>
  <c r="G45"/>
  <c r="H45"/>
  <c r="I45"/>
  <c r="J45"/>
  <c r="K45"/>
  <c r="L45"/>
  <c r="C45"/>
  <c r="D59"/>
  <c r="E59"/>
  <c r="F59"/>
  <c r="G59"/>
  <c r="B58" s="1"/>
  <c r="H59"/>
  <c r="I59"/>
  <c r="J59"/>
  <c r="K59"/>
  <c r="L59"/>
  <c r="C59"/>
  <c r="D38"/>
  <c r="E38"/>
  <c r="F38"/>
  <c r="G38"/>
  <c r="H38"/>
  <c r="J38"/>
  <c r="K38"/>
  <c r="L38"/>
  <c r="C38"/>
  <c r="B38" s="1"/>
  <c r="E32"/>
  <c r="F32"/>
  <c r="G32"/>
  <c r="H32"/>
  <c r="I32"/>
  <c r="J32"/>
  <c r="K32"/>
  <c r="L32"/>
  <c r="D32"/>
  <c r="C32"/>
  <c r="B32"/>
  <c r="L10"/>
  <c r="L8" s="1"/>
  <c r="K10"/>
  <c r="K8" s="1"/>
  <c r="J10"/>
  <c r="J8" s="1"/>
  <c r="I10"/>
  <c r="I8" s="1"/>
  <c r="H10"/>
  <c r="H8" s="1"/>
  <c r="G10"/>
  <c r="G8" s="1"/>
  <c r="F10"/>
  <c r="F8" s="1"/>
  <c r="E10"/>
  <c r="E8" s="1"/>
  <c r="D10"/>
  <c r="C10"/>
  <c r="A20"/>
  <c r="A21"/>
  <c r="A22"/>
  <c r="A23"/>
  <c r="A24"/>
  <c r="A25"/>
  <c r="A26"/>
  <c r="A29"/>
  <c r="A30"/>
  <c r="A31"/>
  <c r="A34"/>
  <c r="A35"/>
  <c r="A36"/>
  <c r="A37"/>
  <c r="A41"/>
  <c r="A42"/>
  <c r="A43"/>
  <c r="A44"/>
  <c r="A47"/>
  <c r="A48"/>
  <c r="A49"/>
  <c r="A50"/>
  <c r="A51"/>
  <c r="A54"/>
  <c r="A55"/>
  <c r="A56"/>
  <c r="A57"/>
  <c r="A58"/>
  <c r="A61"/>
  <c r="A62"/>
  <c r="A63"/>
  <c r="A66"/>
  <c r="A67"/>
  <c r="A68"/>
  <c r="A69"/>
  <c r="A70"/>
  <c r="A73"/>
  <c r="A74"/>
  <c r="A75"/>
  <c r="A76"/>
  <c r="A77"/>
  <c r="A78"/>
  <c r="A79"/>
  <c r="A80"/>
  <c r="A83"/>
  <c r="A84"/>
  <c r="A85"/>
  <c r="A86"/>
  <c r="A87"/>
  <c r="A90"/>
  <c r="A91"/>
  <c r="A92"/>
  <c r="A93"/>
  <c r="A94"/>
  <c r="A95"/>
  <c r="A96"/>
  <c r="A97"/>
  <c r="A98"/>
  <c r="A99"/>
  <c r="A100"/>
  <c r="A101"/>
  <c r="A102"/>
  <c r="A105"/>
  <c r="A106"/>
  <c r="A107"/>
  <c r="A108"/>
  <c r="B52"/>
  <c r="B64"/>
  <c r="B59"/>
  <c r="B45"/>
  <c r="B103"/>
  <c r="B10"/>
  <c r="B16"/>
  <c r="B8" l="1"/>
</calcChain>
</file>

<file path=xl/sharedStrings.xml><?xml version="1.0" encoding="utf-8"?>
<sst xmlns="http://schemas.openxmlformats.org/spreadsheetml/2006/main" count="876" uniqueCount="301">
  <si>
    <t xml:space="preserve">2. Αροτραίες καλλιέργειες </t>
  </si>
  <si>
    <t>2. Crops on arable land</t>
  </si>
  <si>
    <t>Εκτάσεις σε στρέμματα, παραγωγή σε τόνους</t>
  </si>
  <si>
    <t>Areas in stremmas, production in tons</t>
  </si>
  <si>
    <t>Regions and Regional Unities (NUTS 2)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</si>
  <si>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</si>
  <si>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</si>
  <si>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</si>
  <si>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</si>
  <si>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</si>
  <si>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</si>
  <si>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</si>
  <si>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</si>
  <si>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</si>
  <si>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</si>
  <si>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</si>
  <si>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</si>
  <si>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</si>
  <si>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</si>
  <si>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</si>
  <si>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</si>
  <si>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</si>
  <si>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</si>
  <si>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</si>
  <si>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</si>
  <si>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</si>
  <si>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</si>
  <si>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</si>
  <si>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</si>
  <si>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</si>
  <si>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</si>
  <si>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</si>
  <si>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</si>
  <si>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</si>
  <si>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</si>
  <si>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</si>
  <si>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</si>
  <si>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</si>
  <si>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</si>
  <si>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</si>
  <si>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</si>
  <si>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</si>
  <si>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</si>
  <si>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</si>
  <si>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</si>
  <si>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</si>
  <si>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</si>
  <si>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</si>
  <si>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</si>
  <si>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46</t>
  </si>
  <si>
    <t>49</t>
  </si>
  <si>
    <t>50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</si>
  <si>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</si>
  <si>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</si>
  <si>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</si>
  <si>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</si>
  <si>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</si>
  <si>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</si>
  <si>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</si>
  <si>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</si>
  <si>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</si>
  <si>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</si>
  <si>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</si>
  <si>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</si>
  <si>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</si>
  <si>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</si>
  <si>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</si>
  <si>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</si>
  <si>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</si>
  <si>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</si>
  <si>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</si>
  <si>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</si>
  <si>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</si>
  <si>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</si>
  <si>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</si>
  <si>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ΑΠΟΚΕΝΤΡΩΜΕΝΗ ΔΙΟΙΚΗΣΗ ΜΑΚΕΔΟΝΙΑΣ - ΘΡΑΚΗΣ</t>
  </si>
  <si>
    <t>ΠΕΡΙΦΕΡΕΙΑ ΑΝΑΤΟΛΙΚΗΣ ΜΑΚΕΔΟΝΙΑΣ</t>
  </si>
  <si>
    <t>ΚΑΙ ΘΡΑΚΗΣ</t>
  </si>
  <si>
    <t>ΠΕΡΙΦΕΡΕΙΑ ΚΕΝΤΡΙΚΗΣ ΜΑΚΕΔΟΝΙΑΣ</t>
  </si>
  <si>
    <t>ΠΕΡΙΦΕΡΕΙΑ ΗΠΕΙΡΟΥ</t>
  </si>
  <si>
    <t>ΑΠΟΚΕΝΤΡΩΜΕΝΗ ΔΙΟΙΚΗΣΗ ΘΕΣΣΑΛΙΑΣ - ΣΤΕΡΕΑΣ ΕΛΛΑΔΑΣ</t>
  </si>
  <si>
    <t>ΠΕΡΙΦΕΡΕΙΑ ΘΕΣΣΑΛΙΑΣ</t>
  </si>
  <si>
    <t>ΠΕΡΙΦΕΡΕΙΑ ΣΤΕΡΕΑΣ ΕΛΛΑΔΑΣ</t>
  </si>
  <si>
    <t>ΑΠΟΚΕΝΤΡΩΜΕΝΗ ΔΙΟΙΚΗΣΗ ΠΕΛΟΠΟΝΝΗΣΟΥ, ΔΥΤΙΚΗΣ ΕΛΛΑΔΑΣ ΚΑΙ ΙΟΝΙΟΥ</t>
  </si>
  <si>
    <t>ΠΕΡΙΦΕΡΕΙΑ ΙΟΝΙΩΝ ΝΗΣΩΝ</t>
  </si>
  <si>
    <t>ΠΕΡΙΦΕΡΕΙΑ ΔΥΤΙΚΗΣ ΕΛΛΑΔΑΣ</t>
  </si>
  <si>
    <t>ΠΕΡΙΦΕΡΕΙΑ ΠΕΛΟΠΟΝΝΗΣΟΥ</t>
  </si>
  <si>
    <t>45</t>
  </si>
  <si>
    <t>ΑΠΟΚΕΝΤΡΩΜΕΝΗ ΔΙΟΙΚΗΣΗ ΑΤΤΙΚΗΣ</t>
  </si>
  <si>
    <t>47</t>
  </si>
  <si>
    <t>48</t>
  </si>
  <si>
    <t>ΠΕΡΙΦΕΡΕΙΑ ΑΤΤΙΚΗΣ</t>
  </si>
  <si>
    <t>51</t>
  </si>
  <si>
    <t>ΑΠΟΚΕΝΤΡΩΜΕΝΗ ΔΙΟΙΚΗΣΗ ΑΙΓΑΙΟΥ</t>
  </si>
  <si>
    <t>ΠΕΡΙΦΕΡΕΙΑ ΒΟΡΕΙΟΥ ΑΙΓΑΙΟΥ</t>
  </si>
  <si>
    <t>ΠΕΡΙΦΕΡΕΙΑ ΝΟΤΙΟΥ ΑΙΓΑΙΟΥ</t>
  </si>
  <si>
    <t>ΑΠΟΚΕΝΤΡΩΜΕΝΗ ΔΙΟΙΚΗΣΗ ΚΡΗΤΗΣ</t>
  </si>
  <si>
    <t>ΠΕΡΙΦΕΡΕΙΑ ΚΡΗΤΗΣ</t>
  </si>
  <si>
    <t>99</t>
  </si>
  <si>
    <t>ΑΓΙΟ ΟΡΟΣ (ΑΥΤΟΔΙΟΙΚΗΤΟ)</t>
  </si>
  <si>
    <t>Σύνολο Ελλάδας</t>
  </si>
  <si>
    <t>Περιφέρεια Ανατολικής Μακεδονίας και Θράκης</t>
  </si>
  <si>
    <t>Περιφέρεια Κεντρικής Μακεδονίας</t>
  </si>
  <si>
    <t>Περιφέρεια Θεσσαλίας</t>
  </si>
  <si>
    <t>Περιφέρεια Στερεάς Ελλάδας</t>
  </si>
  <si>
    <t>Περιφέρεια Ιονίων Νήσων</t>
  </si>
  <si>
    <t>Περιφέρεια Δυτικής Ελλάδας</t>
  </si>
  <si>
    <t>Περιφέρεια Πελοποννήσου</t>
  </si>
  <si>
    <t>Περιφέρεια Αττικής</t>
  </si>
  <si>
    <t>Περιφέρεια Βορείου Αιγαίου</t>
  </si>
  <si>
    <t>Περιφέρεια Νοτίου Αιγαίου</t>
  </si>
  <si>
    <t>Περιφέρεια Κρήτης</t>
  </si>
  <si>
    <t>Περιφέρεια Ηπείρου</t>
  </si>
  <si>
    <t>1=εκτάσεις,  2=παραγωγή</t>
  </si>
  <si>
    <t>1=area,  2=production</t>
  </si>
  <si>
    <t>Region of Eastern Macedonia and Thrace</t>
  </si>
  <si>
    <t>Region of Central Macedonia</t>
  </si>
  <si>
    <t>Region of Epirus</t>
  </si>
  <si>
    <t>Region of Central Greece</t>
  </si>
  <si>
    <t>Region of Ionian Islands</t>
  </si>
  <si>
    <t>Region of Western Greece</t>
  </si>
  <si>
    <t>Region of Peloponnese</t>
  </si>
  <si>
    <t>Region of Attica</t>
  </si>
  <si>
    <t>Region of Northern Aegean</t>
  </si>
  <si>
    <t>Region of Southern Aegean</t>
  </si>
  <si>
    <t>Region of Crete</t>
  </si>
  <si>
    <t>Region of Thessally</t>
  </si>
  <si>
    <t xml:space="preserve">Αραβόσιτος - Maize </t>
  </si>
  <si>
    <t>Σόργο                Sorghum</t>
  </si>
  <si>
    <t>Greece Total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</si>
  <si>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</si>
  <si>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</si>
  <si>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</si>
  <si>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</si>
  <si>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</si>
  <si>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</si>
  <si>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</si>
  <si>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</si>
  <si>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</si>
  <si>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</si>
  <si>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</si>
  <si>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</si>
  <si>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</si>
  <si>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</si>
  <si>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</si>
  <si>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</si>
  <si>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</si>
  <si>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 xml:space="preserve">  Ionnina</t>
  </si>
  <si>
    <t xml:space="preserve">  Arta</t>
  </si>
  <si>
    <t xml:space="preserve">  Thesprotia</t>
  </si>
  <si>
    <t xml:space="preserve">  Preveza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</si>
  <si>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</si>
  <si>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</si>
  <si>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</si>
  <si>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</si>
  <si>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</si>
  <si>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</si>
  <si>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</si>
  <si>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</si>
  <si>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</si>
  <si>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</si>
  <si>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</si>
  <si>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</si>
  <si>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</si>
  <si>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</si>
  <si>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</si>
  <si>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 xml:space="preserve">  Achaia</t>
  </si>
  <si>
    <t xml:space="preserve">  Etolia and Akarnania</t>
  </si>
  <si>
    <t xml:space="preserve">  Ilia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</si>
  <si>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</si>
  <si>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</si>
  <si>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</si>
  <si>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</si>
  <si>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</si>
  <si>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</si>
  <si>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</si>
  <si>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</si>
  <si>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</si>
  <si>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</si>
  <si>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</si>
  <si>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</si>
  <si>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</si>
  <si>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</si>
  <si>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</si>
  <si>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</si>
  <si>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</si>
  <si>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</si>
  <si>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</si>
  <si>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</si>
  <si>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</si>
  <si>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</si>
  <si>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</si>
  <si>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</si>
  <si>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</si>
  <si>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</si>
  <si>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</si>
  <si>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</si>
  <si>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</si>
  <si>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</si>
  <si>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</si>
  <si>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</si>
  <si>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</si>
  <si>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</si>
  <si>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</si>
  <si>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</si>
  <si>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</si>
  <si>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</si>
  <si>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</si>
  <si>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</si>
  <si>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</si>
  <si>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</si>
  <si>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</si>
  <si>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</si>
  <si>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</si>
  <si>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</si>
  <si>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</si>
  <si>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</si>
  <si>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</si>
  <si>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</si>
  <si>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</si>
  <si>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</si>
  <si>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</si>
  <si>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</si>
  <si>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</si>
  <si>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</si>
  <si>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</si>
  <si>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</si>
  <si>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</si>
  <si>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</si>
  <si>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</si>
  <si>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</si>
  <si>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</si>
  <si>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</si>
  <si>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</si>
  <si>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</si>
  <si>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</si>
  <si>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</si>
  <si>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</si>
  <si>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</si>
  <si>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</si>
  <si>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</si>
  <si>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</si>
  <si>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</si>
  <si>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</si>
  <si>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</si>
  <si>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</si>
  <si>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</si>
  <si>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</si>
  <si>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Κεντρικού Τομέα Αθηνών</t>
  </si>
  <si>
    <t xml:space="preserve"> Βορείου Τομέα Αθηνών</t>
  </si>
  <si>
    <t xml:space="preserve">  Δυτικού Τομέα Αθηνών</t>
  </si>
  <si>
    <t xml:space="preserve">  Νοτίου Τομέα Αθηνών</t>
  </si>
  <si>
    <t xml:space="preserve">  Ανατολικής Αττικής</t>
  </si>
  <si>
    <t xml:space="preserve">  Δυτικής Αττικής</t>
  </si>
  <si>
    <t xml:space="preserve">  Πειραιώς</t>
  </si>
  <si>
    <t xml:space="preserve">  Νήσων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</si>
  <si>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</si>
  <si>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</si>
  <si>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</si>
  <si>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</si>
  <si>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</si>
  <si>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</si>
  <si>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</si>
  <si>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</si>
  <si>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</si>
  <si>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</si>
  <si>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</si>
  <si>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</si>
  <si>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</si>
  <si>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</si>
  <si>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</si>
  <si>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</si>
  <si>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</si>
  <si>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</si>
  <si>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</si>
  <si>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</si>
  <si>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</si>
  <si>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</si>
  <si>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 xml:space="preserve">  Αγίου Όρους</t>
  </si>
  <si>
    <t xml:space="preserve">Περιφέρειες και Περιφερειακές Ενότητες      </t>
  </si>
  <si>
    <t>Ρύζι                        Rice</t>
  </si>
  <si>
    <t>―</t>
  </si>
  <si>
    <t>Σκληρό                                    Hard</t>
  </si>
  <si>
    <t>Κριθάρι                                         Barley</t>
  </si>
  <si>
    <t xml:space="preserve">Βρώμη                                            Oats </t>
  </si>
  <si>
    <t xml:space="preserve">Σίκαλη                                             Rye </t>
  </si>
  <si>
    <r>
      <t>Λοιπά</t>
    </r>
    <r>
      <rPr>
        <vertAlign val="superscript"/>
        <sz val="8"/>
        <rFont val="Arial"/>
        <family val="2"/>
        <charset val="161"/>
      </rPr>
      <t xml:space="preserve">(1)    </t>
    </r>
    <r>
      <rPr>
        <sz val="8"/>
        <rFont val="Arial"/>
        <family val="2"/>
        <charset val="161"/>
      </rPr>
      <t xml:space="preserve">                           Other</t>
    </r>
  </si>
  <si>
    <t>(1) Σμιγδάνι, Κεχρί, φαλαρίδα, τριτικάλι, κλπ.</t>
  </si>
  <si>
    <t>(2) Maslin, millet, phalaris, triticale, etc.</t>
  </si>
  <si>
    <t xml:space="preserve"> χωρίς συγκαλλιέργεια grown alone</t>
  </si>
  <si>
    <t>συγκαλλιεργούμενος με φασόλια και άλλα είδη grown with beans and other crops</t>
  </si>
  <si>
    <t>—</t>
  </si>
  <si>
    <r>
      <rPr>
        <vertAlign val="superscript"/>
        <sz val="8"/>
        <color indexed="8"/>
        <rFont val="Arial"/>
        <family val="2"/>
        <charset val="161"/>
      </rPr>
      <t xml:space="preserve">(1) </t>
    </r>
    <r>
      <rPr>
        <sz val="8"/>
        <color indexed="8"/>
        <rFont val="Arial"/>
        <family val="2"/>
        <charset val="161"/>
      </rPr>
      <t>Maslin, millet, phalaris, triticale, etc.</t>
    </r>
  </si>
  <si>
    <t/>
  </si>
  <si>
    <t>2α. Σιτηρά για καρπό. Εκτάσεις και παραγωγή κατά περιφέρειες και περιφερειακές ενότητες. Έτος 2013</t>
  </si>
  <si>
    <t>Περιφέρεια Δυτικής Μακεδονίας</t>
  </si>
  <si>
    <t>Region of Western Macedonia</t>
  </si>
  <si>
    <t>Μαλακό
Soft</t>
  </si>
  <si>
    <t>Σύνολο Εκτάσεων
Total Area</t>
  </si>
  <si>
    <t>Σιτάρι
Wheat</t>
  </si>
  <si>
    <t>Table 2a. Cereals for grain. Areas and production, by geograpic region and regional unities, 2013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</si>
</sst>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charset val="161"/>
      <scheme val="minor"/>
    </font>
    <font>
      <b/>
      <sz val="9"/>
      <name val="Arial"/>
      <family val="2"/>
      <charset val="161"/>
    </font>
    <font>
      <sz val="9"/>
      <name val="Arial"/>
      <family val="2"/>
      <charset val="161"/>
    </font>
    <font>
      <sz val="9"/>
      <color indexed="64"/>
      <name val="Arial"/>
      <family val="2"/>
      <charset val="161"/>
    </font>
    <font>
      <sz val="10"/>
      <name val="Arial"/>
      <family val="2"/>
      <charset val="161"/>
    </font>
    <font>
      <b/>
      <sz val="9"/>
      <color indexed="64"/>
      <name val="Arial"/>
      <family val="2"/>
      <charset val="161"/>
    </font>
    <font>
      <b/>
      <sz val="10"/>
      <color indexed="64"/>
      <name val="Arial"/>
      <family val="2"/>
      <charset val="161"/>
    </font>
    <font>
      <b/>
      <sz val="10"/>
      <name val="Arial"/>
      <family val="2"/>
      <charset val="161"/>
    </font>
    <font>
      <sz val="10"/>
      <color indexed="64"/>
      <name val="Arial"/>
      <family val="2"/>
      <charset val="161"/>
    </font>
    <font>
      <b/>
      <sz val="8"/>
      <name val="Arial"/>
      <family val="2"/>
      <charset val="161"/>
    </font>
    <font>
      <sz val="8"/>
      <name val="Arial"/>
      <family val="2"/>
      <charset val="161"/>
    </font>
    <font>
      <sz val="8"/>
      <color indexed="8"/>
      <name val="Arial"/>
      <family val="2"/>
      <charset val="161"/>
    </font>
    <font>
      <b/>
      <sz val="8"/>
      <color indexed="8"/>
      <name val="Arial"/>
      <family val="2"/>
      <charset val="161"/>
    </font>
    <font>
      <sz val="8"/>
      <name val="Tahoma"/>
      <family val="2"/>
      <charset val="161"/>
    </font>
    <font>
      <vertAlign val="superscript"/>
      <sz val="8"/>
      <name val="Arial"/>
      <family val="2"/>
      <charset val="161"/>
    </font>
    <font>
      <vertAlign val="superscript"/>
      <sz val="8"/>
      <color indexed="8"/>
      <name val="Arial"/>
      <family val="2"/>
      <charset val="161"/>
    </font>
    <font>
      <b/>
      <sz val="11"/>
      <color theme="1"/>
      <name val="Calibri"/>
      <family val="2"/>
      <charset val="161"/>
      <scheme val="minor"/>
    </font>
    <font>
      <sz val="8"/>
      <color theme="1"/>
      <name val="Arial"/>
      <family val="2"/>
      <charset val="161"/>
    </font>
    <font>
      <sz val="8"/>
      <color theme="1"/>
      <name val="Calibri"/>
      <family val="2"/>
      <charset val="161"/>
    </font>
    <font>
      <sz val="11"/>
      <color theme="1"/>
      <name val="Arial"/>
      <family val="2"/>
      <charset val="161"/>
    </font>
    <font>
      <sz val="7"/>
      <color rgb="FF000000"/>
      <name val="Arial"/>
      <family val="2"/>
      <charset val="161"/>
    </font>
    <font>
      <b/>
      <sz val="8"/>
      <color theme="1"/>
      <name val="Arial"/>
      <family val="2"/>
      <charset val="161"/>
    </font>
  </fonts>
  <fills count="17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4">
    <xf numFmtId="0" fontId="0" fillId="0" borderId="0" xfId="0"/>
    <xf numFmtId="49" fontId="3" fillId="2" borderId="1" xfId="0" applyNumberFormat="1" applyFont="1" applyFill="1" applyBorder="1"/>
    <xf numFmtId="49" fontId="3" fillId="2" borderId="2" xfId="0" applyNumberFormat="1" applyFont="1" applyFill="1" applyBorder="1" applyAlignment="1">
      <alignment horizontal="left"/>
    </xf>
    <xf numFmtId="0" fontId="4" fillId="2" borderId="2" xfId="0" applyNumberFormat="1" applyFont="1" applyFill="1" applyBorder="1" applyAlignment="1" applyProtection="1"/>
    <xf numFmtId="49" fontId="5" fillId="2" borderId="0" xfId="0" applyNumberFormat="1" applyFont="1" applyFill="1" applyBorder="1" applyAlignment="1">
      <alignment horizontal="centerContinuous" vertical="center" wrapText="1"/>
    </xf>
    <xf numFmtId="49" fontId="5" fillId="2" borderId="2" xfId="0" applyNumberFormat="1" applyFont="1" applyFill="1" applyBorder="1" applyAlignment="1">
      <alignment vertical="center" textRotation="90"/>
    </xf>
    <xf numFmtId="0" fontId="4" fillId="2" borderId="3" xfId="0" applyNumberFormat="1" applyFont="1" applyFill="1" applyBorder="1" applyAlignment="1" applyProtection="1"/>
    <xf numFmtId="49" fontId="3" fillId="2" borderId="4" xfId="0" applyNumberFormat="1" applyFont="1" applyFill="1" applyBorder="1"/>
    <xf numFmtId="49" fontId="3" fillId="2" borderId="0" xfId="0" applyNumberFormat="1" applyFont="1" applyFill="1" applyBorder="1" applyAlignment="1">
      <alignment horizontal="left"/>
    </xf>
    <xf numFmtId="0" fontId="4" fillId="2" borderId="0" xfId="0" applyNumberFormat="1" applyFont="1" applyFill="1" applyBorder="1" applyAlignment="1" applyProtection="1"/>
    <xf numFmtId="49" fontId="5" fillId="2" borderId="0" xfId="0" applyNumberFormat="1" applyFont="1" applyFill="1" applyBorder="1" applyAlignment="1">
      <alignment vertical="center" textRotation="90"/>
    </xf>
    <xf numFmtId="0" fontId="4" fillId="2" borderId="5" xfId="0" applyNumberFormat="1" applyFont="1" applyFill="1" applyBorder="1" applyAlignment="1" applyProtection="1"/>
    <xf numFmtId="0" fontId="7" fillId="2" borderId="0" xfId="0" applyNumberFormat="1" applyFont="1" applyFill="1" applyBorder="1" applyAlignment="1" applyProtection="1"/>
    <xf numFmtId="49" fontId="3" fillId="8" borderId="4" xfId="0" applyNumberFormat="1" applyFont="1" applyFill="1" applyBorder="1"/>
    <xf numFmtId="49" fontId="3" fillId="8" borderId="0" xfId="0" applyNumberFormat="1" applyFont="1" applyFill="1" applyBorder="1" applyAlignment="1">
      <alignment horizontal="left"/>
    </xf>
    <xf numFmtId="0" fontId="4" fillId="8" borderId="0" xfId="0" applyNumberFormat="1" applyFont="1" applyFill="1" applyBorder="1" applyAlignment="1" applyProtection="1"/>
    <xf numFmtId="49" fontId="5" fillId="8" borderId="0" xfId="0" applyNumberFormat="1" applyFont="1" applyFill="1" applyBorder="1"/>
    <xf numFmtId="49" fontId="5" fillId="8" borderId="0" xfId="0" applyNumberFormat="1" applyFont="1" applyFill="1" applyBorder="1" applyAlignment="1">
      <alignment vertical="center" textRotation="90"/>
    </xf>
    <xf numFmtId="0" fontId="4" fillId="8" borderId="5" xfId="0" applyNumberFormat="1" applyFont="1" applyFill="1" applyBorder="1" applyAlignment="1" applyProtection="1"/>
    <xf numFmtId="49" fontId="3" fillId="8" borderId="0" xfId="0" applyNumberFormat="1" applyFont="1" applyFill="1" applyBorder="1"/>
    <xf numFmtId="49" fontId="5" fillId="8" borderId="0" xfId="0" applyNumberFormat="1" applyFont="1" applyFill="1" applyBorder="1" applyAlignment="1">
      <alignment horizontal="left"/>
    </xf>
    <xf numFmtId="49" fontId="6" fillId="8" borderId="0" xfId="0" applyNumberFormat="1" applyFont="1" applyFill="1" applyBorder="1"/>
    <xf numFmtId="49" fontId="3" fillId="4" borderId="4" xfId="0" applyNumberFormat="1" applyFont="1" applyFill="1" applyBorder="1"/>
    <xf numFmtId="49" fontId="3" fillId="4" borderId="0" xfId="0" applyNumberFormat="1" applyFont="1" applyFill="1" applyBorder="1"/>
    <xf numFmtId="0" fontId="4" fillId="4" borderId="0" xfId="0" applyNumberFormat="1" applyFont="1" applyFill="1" applyBorder="1" applyAlignment="1" applyProtection="1"/>
    <xf numFmtId="49" fontId="5" fillId="4" borderId="0" xfId="0" applyNumberFormat="1" applyFont="1" applyFill="1" applyBorder="1"/>
    <xf numFmtId="49" fontId="5" fillId="9" borderId="0" xfId="0" applyNumberFormat="1" applyFont="1" applyFill="1" applyBorder="1" applyAlignment="1">
      <alignment vertical="center" textRotation="90"/>
    </xf>
    <xf numFmtId="0" fontId="4" fillId="4" borderId="5" xfId="0" applyNumberFormat="1" applyFont="1" applyFill="1" applyBorder="1" applyAlignment="1" applyProtection="1"/>
    <xf numFmtId="49" fontId="6" fillId="4" borderId="0" xfId="0" applyNumberFormat="1" applyFont="1" applyFill="1" applyBorder="1"/>
    <xf numFmtId="49" fontId="3" fillId="4" borderId="6" xfId="0" applyNumberFormat="1" applyFont="1" applyFill="1" applyBorder="1"/>
    <xf numFmtId="49" fontId="3" fillId="4" borderId="7" xfId="0" applyNumberFormat="1" applyFont="1" applyFill="1" applyBorder="1"/>
    <xf numFmtId="0" fontId="4" fillId="4" borderId="7" xfId="0" applyNumberFormat="1" applyFont="1" applyFill="1" applyBorder="1" applyAlignment="1" applyProtection="1"/>
    <xf numFmtId="49" fontId="5" fillId="9" borderId="7" xfId="0" applyNumberFormat="1" applyFont="1" applyFill="1" applyBorder="1" applyAlignment="1">
      <alignment vertical="center" textRotation="90"/>
    </xf>
    <xf numFmtId="0" fontId="4" fillId="4" borderId="8" xfId="0" applyNumberFormat="1" applyFont="1" applyFill="1" applyBorder="1" applyAlignment="1" applyProtection="1"/>
    <xf numFmtId="49" fontId="3" fillId="10" borderId="1" xfId="0" applyNumberFormat="1" applyFont="1" applyFill="1" applyBorder="1"/>
    <xf numFmtId="49" fontId="3" fillId="10" borderId="2" xfId="0" applyNumberFormat="1" applyFont="1" applyFill="1" applyBorder="1"/>
    <xf numFmtId="0" fontId="4" fillId="10" borderId="2" xfId="0" applyNumberFormat="1" applyFont="1" applyFill="1" applyBorder="1" applyAlignment="1" applyProtection="1"/>
    <xf numFmtId="49" fontId="5" fillId="10" borderId="2" xfId="0" applyNumberFormat="1" applyFont="1" applyFill="1" applyBorder="1"/>
    <xf numFmtId="49" fontId="5" fillId="10" borderId="2" xfId="0" applyNumberFormat="1" applyFont="1" applyFill="1" applyBorder="1" applyAlignment="1">
      <alignment vertical="center" textRotation="90"/>
    </xf>
    <xf numFmtId="0" fontId="4" fillId="10" borderId="3" xfId="0" applyNumberFormat="1" applyFont="1" applyFill="1" applyBorder="1" applyAlignment="1" applyProtection="1"/>
    <xf numFmtId="49" fontId="3" fillId="10" borderId="4" xfId="0" applyNumberFormat="1" applyFont="1" applyFill="1" applyBorder="1"/>
    <xf numFmtId="49" fontId="3" fillId="10" borderId="0" xfId="0" applyNumberFormat="1" applyFont="1" applyFill="1" applyBorder="1"/>
    <xf numFmtId="0" fontId="4" fillId="10" borderId="0" xfId="0" applyNumberFormat="1" applyFont="1" applyFill="1" applyBorder="1" applyAlignment="1" applyProtection="1"/>
    <xf numFmtId="49" fontId="5" fillId="10" borderId="0" xfId="0" applyNumberFormat="1" applyFont="1" applyFill="1" applyBorder="1" applyAlignment="1">
      <alignment vertical="center" textRotation="90"/>
    </xf>
    <xf numFmtId="0" fontId="4" fillId="10" borderId="5" xfId="0" applyNumberFormat="1" applyFont="1" applyFill="1" applyBorder="1" applyAlignment="1" applyProtection="1"/>
    <xf numFmtId="49" fontId="6" fillId="10" borderId="0" xfId="0" applyNumberFormat="1" applyFont="1" applyFill="1" applyBorder="1"/>
    <xf numFmtId="49" fontId="3" fillId="5" borderId="4" xfId="0" applyNumberFormat="1" applyFont="1" applyFill="1" applyBorder="1"/>
    <xf numFmtId="49" fontId="3" fillId="5" borderId="0" xfId="0" applyNumberFormat="1" applyFont="1" applyFill="1" applyBorder="1"/>
    <xf numFmtId="0" fontId="4" fillId="5" borderId="0" xfId="0" applyNumberFormat="1" applyFont="1" applyFill="1" applyBorder="1" applyAlignment="1" applyProtection="1"/>
    <xf numFmtId="49" fontId="5" fillId="5" borderId="0" xfId="0" applyNumberFormat="1" applyFont="1" applyFill="1" applyBorder="1"/>
    <xf numFmtId="49" fontId="5" fillId="5" borderId="0" xfId="0" applyNumberFormat="1" applyFont="1" applyFill="1" applyBorder="1" applyAlignment="1">
      <alignment vertical="center" textRotation="90"/>
    </xf>
    <xf numFmtId="0" fontId="4" fillId="5" borderId="5" xfId="0" applyNumberFormat="1" applyFont="1" applyFill="1" applyBorder="1" applyAlignment="1" applyProtection="1"/>
    <xf numFmtId="49" fontId="6" fillId="5" borderId="0" xfId="0" applyNumberFormat="1" applyFont="1" applyFill="1" applyBorder="1"/>
    <xf numFmtId="49" fontId="3" fillId="5" borderId="6" xfId="0" applyNumberFormat="1" applyFont="1" applyFill="1" applyBorder="1"/>
    <xf numFmtId="49" fontId="3" fillId="5" borderId="7" xfId="0" applyNumberFormat="1" applyFont="1" applyFill="1" applyBorder="1"/>
    <xf numFmtId="0" fontId="4" fillId="5" borderId="7" xfId="0" applyNumberFormat="1" applyFont="1" applyFill="1" applyBorder="1" applyAlignment="1" applyProtection="1"/>
    <xf numFmtId="49" fontId="5" fillId="5" borderId="7" xfId="0" applyNumberFormat="1" applyFont="1" applyFill="1" applyBorder="1" applyAlignment="1">
      <alignment vertical="center" textRotation="90"/>
    </xf>
    <xf numFmtId="0" fontId="4" fillId="5" borderId="8" xfId="0" applyNumberFormat="1" applyFont="1" applyFill="1" applyBorder="1" applyAlignment="1" applyProtection="1"/>
    <xf numFmtId="49" fontId="3" fillId="6" borderId="1" xfId="0" applyNumberFormat="1" applyFont="1" applyFill="1" applyBorder="1"/>
    <xf numFmtId="49" fontId="3" fillId="6" borderId="2" xfId="0" applyNumberFormat="1" applyFont="1" applyFill="1" applyBorder="1"/>
    <xf numFmtId="0" fontId="4" fillId="6" borderId="2" xfId="0" applyNumberFormat="1" applyFont="1" applyFill="1" applyBorder="1" applyAlignment="1" applyProtection="1"/>
    <xf numFmtId="49" fontId="5" fillId="6" borderId="2" xfId="0" applyNumberFormat="1" applyFont="1" applyFill="1" applyBorder="1"/>
    <xf numFmtId="0" fontId="7" fillId="6" borderId="2" xfId="0" applyNumberFormat="1" applyFont="1" applyFill="1" applyBorder="1" applyAlignment="1" applyProtection="1"/>
    <xf numFmtId="49" fontId="5" fillId="6" borderId="2" xfId="0" applyNumberFormat="1" applyFont="1" applyFill="1" applyBorder="1" applyAlignment="1">
      <alignment vertical="center" textRotation="90"/>
    </xf>
    <xf numFmtId="0" fontId="7" fillId="6" borderId="3" xfId="0" applyNumberFormat="1" applyFont="1" applyFill="1" applyBorder="1" applyAlignment="1" applyProtection="1"/>
    <xf numFmtId="49" fontId="3" fillId="6" borderId="4" xfId="0" applyNumberFormat="1" applyFont="1" applyFill="1" applyBorder="1"/>
    <xf numFmtId="49" fontId="3" fillId="6" borderId="0" xfId="0" applyNumberFormat="1" applyFont="1" applyFill="1" applyBorder="1"/>
    <xf numFmtId="0" fontId="4" fillId="6" borderId="0" xfId="0" applyNumberFormat="1" applyFont="1" applyFill="1" applyBorder="1" applyAlignment="1" applyProtection="1"/>
    <xf numFmtId="49" fontId="5" fillId="6" borderId="0" xfId="0" applyNumberFormat="1" applyFont="1" applyFill="1" applyBorder="1" applyAlignment="1">
      <alignment vertical="center" textRotation="90"/>
    </xf>
    <xf numFmtId="0" fontId="4" fillId="6" borderId="5" xfId="0" applyNumberFormat="1" applyFont="1" applyFill="1" applyBorder="1" applyAlignment="1" applyProtection="1"/>
    <xf numFmtId="49" fontId="6" fillId="6" borderId="0" xfId="0" applyNumberFormat="1" applyFont="1" applyFill="1" applyBorder="1"/>
    <xf numFmtId="49" fontId="3" fillId="11" borderId="4" xfId="0" applyNumberFormat="1" applyFont="1" applyFill="1" applyBorder="1"/>
    <xf numFmtId="49" fontId="3" fillId="11" borderId="0" xfId="0" applyNumberFormat="1" applyFont="1" applyFill="1" applyBorder="1"/>
    <xf numFmtId="0" fontId="4" fillId="11" borderId="0" xfId="0" applyNumberFormat="1" applyFont="1" applyFill="1" applyBorder="1" applyAlignment="1" applyProtection="1"/>
    <xf numFmtId="49" fontId="5" fillId="11" borderId="0" xfId="0" applyNumberFormat="1" applyFont="1" applyFill="1" applyBorder="1"/>
    <xf numFmtId="49" fontId="5" fillId="11" borderId="0" xfId="0" applyNumberFormat="1" applyFont="1" applyFill="1" applyBorder="1" applyAlignment="1">
      <alignment vertical="center" textRotation="90"/>
    </xf>
    <xf numFmtId="0" fontId="4" fillId="11" borderId="5" xfId="0" applyNumberFormat="1" applyFont="1" applyFill="1" applyBorder="1" applyAlignment="1" applyProtection="1"/>
    <xf numFmtId="49" fontId="6" fillId="11" borderId="0" xfId="0" applyNumberFormat="1" applyFont="1" applyFill="1" applyBorder="1"/>
    <xf numFmtId="0" fontId="1" fillId="6" borderId="2" xfId="0" applyNumberFormat="1" applyFont="1" applyFill="1" applyBorder="1" applyAlignment="1" applyProtection="1"/>
    <xf numFmtId="0" fontId="4" fillId="6" borderId="3" xfId="0" applyNumberFormat="1" applyFont="1" applyFill="1" applyBorder="1" applyAlignment="1" applyProtection="1"/>
    <xf numFmtId="0" fontId="7" fillId="6" borderId="0" xfId="0" applyNumberFormat="1" applyFont="1" applyFill="1" applyBorder="1" applyAlignment="1" applyProtection="1"/>
    <xf numFmtId="49" fontId="3" fillId="6" borderId="6" xfId="0" applyNumberFormat="1" applyFont="1" applyFill="1" applyBorder="1"/>
    <xf numFmtId="49" fontId="3" fillId="6" borderId="7" xfId="0" applyNumberFormat="1" applyFont="1" applyFill="1" applyBorder="1"/>
    <xf numFmtId="0" fontId="4" fillId="6" borderId="7" xfId="0" applyNumberFormat="1" applyFont="1" applyFill="1" applyBorder="1" applyAlignment="1" applyProtection="1"/>
    <xf numFmtId="0" fontId="4" fillId="6" borderId="8" xfId="0" applyNumberFormat="1" applyFont="1" applyFill="1" applyBorder="1" applyAlignment="1" applyProtection="1"/>
    <xf numFmtId="49" fontId="3" fillId="2" borderId="2" xfId="0" applyNumberFormat="1" applyFont="1" applyFill="1" applyBorder="1"/>
    <xf numFmtId="49" fontId="5" fillId="2" borderId="2" xfId="0" applyNumberFormat="1" applyFont="1" applyFill="1" applyBorder="1"/>
    <xf numFmtId="49" fontId="3" fillId="2" borderId="0" xfId="0" applyNumberFormat="1" applyFont="1" applyFill="1" applyBorder="1"/>
    <xf numFmtId="49" fontId="6" fillId="2" borderId="0" xfId="0" applyNumberFormat="1" applyFont="1" applyFill="1" applyBorder="1"/>
    <xf numFmtId="49" fontId="3" fillId="8" borderId="1" xfId="0" applyNumberFormat="1" applyFont="1" applyFill="1" applyBorder="1"/>
    <xf numFmtId="49" fontId="2" fillId="8" borderId="0" xfId="0" applyNumberFormat="1" applyFont="1" applyFill="1" applyBorder="1"/>
    <xf numFmtId="0" fontId="4" fillId="8" borderId="2" xfId="0" applyNumberFormat="1" applyFont="1" applyFill="1" applyBorder="1" applyAlignment="1" applyProtection="1"/>
    <xf numFmtId="49" fontId="5" fillId="8" borderId="2" xfId="0" applyNumberFormat="1" applyFont="1" applyFill="1" applyBorder="1"/>
    <xf numFmtId="49" fontId="3" fillId="8" borderId="2" xfId="0" applyNumberFormat="1" applyFont="1" applyFill="1" applyBorder="1"/>
    <xf numFmtId="0" fontId="4" fillId="8" borderId="3" xfId="0" applyNumberFormat="1" applyFont="1" applyFill="1" applyBorder="1" applyAlignment="1" applyProtection="1"/>
    <xf numFmtId="49" fontId="6" fillId="12" borderId="0" xfId="0" applyNumberFormat="1" applyFont="1" applyFill="1" applyBorder="1" applyAlignment="1">
      <alignment horizontal="left"/>
    </xf>
    <xf numFmtId="0" fontId="4" fillId="12" borderId="0" xfId="0" applyNumberFormat="1" applyFont="1" applyFill="1" applyBorder="1" applyAlignment="1" applyProtection="1">
      <alignment horizontal="left"/>
    </xf>
    <xf numFmtId="49" fontId="8" fillId="12" borderId="0" xfId="0" applyNumberFormat="1" applyFont="1" applyFill="1" applyBorder="1" applyAlignment="1">
      <alignment horizontal="left"/>
    </xf>
    <xf numFmtId="49" fontId="3" fillId="8" borderId="6" xfId="0" applyNumberFormat="1" applyFont="1" applyFill="1" applyBorder="1"/>
    <xf numFmtId="0" fontId="4" fillId="8" borderId="7" xfId="0" applyNumberFormat="1" applyFont="1" applyFill="1" applyBorder="1" applyAlignment="1" applyProtection="1"/>
    <xf numFmtId="49" fontId="3" fillId="8" borderId="7" xfId="0" applyNumberFormat="1" applyFont="1" applyFill="1" applyBorder="1"/>
    <xf numFmtId="0" fontId="4" fillId="8" borderId="8" xfId="0" applyNumberFormat="1" applyFont="1" applyFill="1" applyBorder="1" applyAlignment="1" applyProtection="1"/>
    <xf numFmtId="49" fontId="3" fillId="2" borderId="9" xfId="0" applyNumberFormat="1" applyFont="1" applyFill="1" applyBorder="1"/>
    <xf numFmtId="49" fontId="2" fillId="13" borderId="10" xfId="0" applyNumberFormat="1" applyFont="1" applyFill="1" applyBorder="1"/>
    <xf numFmtId="0" fontId="4" fillId="2" borderId="11" xfId="0" applyNumberFormat="1" applyFont="1" applyFill="1" applyBorder="1" applyAlignment="1" applyProtection="1"/>
    <xf numFmtId="49" fontId="6" fillId="2" borderId="11" xfId="0" applyNumberFormat="1" applyFont="1" applyFill="1" applyBorder="1"/>
    <xf numFmtId="49" fontId="3" fillId="2" borderId="11" xfId="0" applyNumberFormat="1" applyFont="1" applyFill="1" applyBorder="1"/>
    <xf numFmtId="0" fontId="4" fillId="2" borderId="12" xfId="0" applyNumberFormat="1" applyFont="1" applyFill="1" applyBorder="1" applyAlignment="1" applyProtection="1"/>
    <xf numFmtId="49" fontId="3" fillId="14" borderId="4" xfId="0" applyNumberFormat="1" applyFont="1" applyFill="1" applyBorder="1"/>
    <xf numFmtId="49" fontId="3" fillId="14" borderId="0" xfId="0" applyNumberFormat="1" applyFont="1" applyFill="1" applyBorder="1"/>
    <xf numFmtId="0" fontId="4" fillId="14" borderId="0" xfId="0" applyNumberFormat="1" applyFont="1" applyFill="1" applyBorder="1" applyAlignment="1" applyProtection="1"/>
    <xf numFmtId="49" fontId="5" fillId="14" borderId="0" xfId="0" applyNumberFormat="1" applyFont="1" applyFill="1" applyBorder="1"/>
    <xf numFmtId="0" fontId="7" fillId="14" borderId="0" xfId="0" applyNumberFormat="1" applyFont="1" applyFill="1" applyBorder="1" applyAlignment="1" applyProtection="1"/>
    <xf numFmtId="49" fontId="5" fillId="14" borderId="0" xfId="0" applyNumberFormat="1" applyFont="1" applyFill="1" applyBorder="1" applyAlignment="1">
      <alignment vertical="center" textRotation="90"/>
    </xf>
    <xf numFmtId="49" fontId="3" fillId="14" borderId="6" xfId="0" applyNumberFormat="1" applyFont="1" applyFill="1" applyBorder="1"/>
    <xf numFmtId="49" fontId="3" fillId="14" borderId="7" xfId="0" applyNumberFormat="1" applyFont="1" applyFill="1" applyBorder="1"/>
    <xf numFmtId="0" fontId="4" fillId="14" borderId="7" xfId="0" applyNumberFormat="1" applyFont="1" applyFill="1" applyBorder="1" applyAlignment="1" applyProtection="1"/>
    <xf numFmtId="49" fontId="5" fillId="14" borderId="7" xfId="0" applyNumberFormat="1" applyFont="1" applyFill="1" applyBorder="1" applyAlignment="1">
      <alignment vertical="center" textRotation="90"/>
    </xf>
    <xf numFmtId="0" fontId="4" fillId="14" borderId="5" xfId="0" applyNumberFormat="1" applyFont="1" applyFill="1" applyBorder="1" applyAlignment="1" applyProtection="1"/>
    <xf numFmtId="0" fontId="4" fillId="14" borderId="8" xfId="0" applyNumberFormat="1" applyFont="1" applyFill="1" applyBorder="1" applyAlignment="1" applyProtection="1"/>
    <xf numFmtId="0" fontId="9" fillId="0" borderId="0" xfId="0" applyNumberFormat="1" applyFont="1" applyFill="1" applyBorder="1" applyAlignment="1" applyProtection="1">
      <alignment horizontal="centerContinuous"/>
    </xf>
    <xf numFmtId="0" fontId="11" fillId="0" borderId="13" xfId="0" applyFont="1" applyBorder="1" applyAlignment="1">
      <alignment horizontal="center"/>
    </xf>
    <xf numFmtId="0" fontId="17" fillId="0" borderId="0" xfId="0" applyFont="1" applyAlignment="1">
      <alignment horizontal="left" indent="2"/>
    </xf>
    <xf numFmtId="0" fontId="17" fillId="0" borderId="0" xfId="0" applyFont="1"/>
    <xf numFmtId="0" fontId="17" fillId="0" borderId="0" xfId="0" applyFont="1" applyBorder="1"/>
    <xf numFmtId="0" fontId="17" fillId="0" borderId="0" xfId="0" applyFont="1" applyAlignment="1">
      <alignment horizontal="right" vertical="center"/>
    </xf>
    <xf numFmtId="0" fontId="17" fillId="0" borderId="0" xfId="0" applyFont="1" applyBorder="1" applyAlignment="1">
      <alignment vertical="center"/>
    </xf>
    <xf numFmtId="0" fontId="10" fillId="0" borderId="7" xfId="0" applyNumberFormat="1" applyFont="1" applyFill="1" applyBorder="1" applyAlignment="1" applyProtection="1">
      <alignment horizontal="left"/>
    </xf>
    <xf numFmtId="0" fontId="10" fillId="0" borderId="0" xfId="0" applyNumberFormat="1" applyFont="1" applyFill="1" applyBorder="1" applyAlignment="1" applyProtection="1"/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7" fillId="0" borderId="0" xfId="0" applyFont="1" applyAlignment="1">
      <alignment horizontal="left"/>
    </xf>
    <xf numFmtId="0" fontId="17" fillId="0" borderId="0" xfId="0" applyFont="1" applyBorder="1" applyAlignment="1">
      <alignment horizontal="left"/>
    </xf>
    <xf numFmtId="0" fontId="17" fillId="0" borderId="7" xfId="0" applyFont="1" applyBorder="1" applyAlignment="1">
      <alignment horizontal="left" indent="2"/>
    </xf>
    <xf numFmtId="0" fontId="17" fillId="0" borderId="7" xfId="0" applyFont="1" applyBorder="1" applyAlignment="1">
      <alignment horizontal="left"/>
    </xf>
    <xf numFmtId="49" fontId="10" fillId="0" borderId="0" xfId="0" applyNumberFormat="1" applyFont="1" applyFill="1" applyBorder="1"/>
    <xf numFmtId="0" fontId="10" fillId="0" borderId="0" xfId="0" applyNumberFormat="1" applyFont="1" applyFill="1" applyBorder="1" applyAlignment="1" applyProtection="1">
      <alignment horizontal="left" indent="2"/>
    </xf>
    <xf numFmtId="0" fontId="10" fillId="0" borderId="0" xfId="0" applyFont="1" applyFill="1" applyBorder="1" applyAlignment="1" applyProtection="1">
      <alignment horizontal="left" indent="2"/>
    </xf>
    <xf numFmtId="0" fontId="11" fillId="0" borderId="0" xfId="0" applyFont="1" applyBorder="1" applyAlignment="1">
      <alignment horizontal="center"/>
    </xf>
    <xf numFmtId="49" fontId="9" fillId="0" borderId="0" xfId="0" applyNumberFormat="1" applyFont="1" applyFill="1" applyBorder="1" applyAlignment="1" applyProtection="1">
      <alignment horizontal="left" indent="2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49" fontId="17" fillId="0" borderId="0" xfId="0" applyNumberFormat="1" applyFont="1" applyBorder="1"/>
    <xf numFmtId="0" fontId="13" fillId="0" borderId="0" xfId="0" applyNumberFormat="1" applyFont="1" applyFill="1" applyBorder="1" applyAlignment="1" applyProtection="1"/>
    <xf numFmtId="0" fontId="17" fillId="0" borderId="0" xfId="0" applyFont="1" applyBorder="1" applyAlignment="1">
      <alignment horizontal="left" indent="2"/>
    </xf>
    <xf numFmtId="49" fontId="17" fillId="0" borderId="0" xfId="0" applyNumberFormat="1" applyFont="1"/>
    <xf numFmtId="0" fontId="18" fillId="0" borderId="0" xfId="0" applyFont="1" applyBorder="1"/>
    <xf numFmtId="3" fontId="10" fillId="0" borderId="17" xfId="0" applyNumberFormat="1" applyFont="1" applyFill="1" applyBorder="1" applyAlignment="1" applyProtection="1">
      <alignment horizontal="right"/>
    </xf>
    <xf numFmtId="3" fontId="10" fillId="0" borderId="17" xfId="0" quotePrefix="1" applyNumberFormat="1" applyFont="1" applyFill="1" applyBorder="1" applyAlignment="1" applyProtection="1">
      <alignment horizontal="right"/>
    </xf>
    <xf numFmtId="3" fontId="10" fillId="0" borderId="18" xfId="0" quotePrefix="1" applyNumberFormat="1" applyFont="1" applyFill="1" applyBorder="1" applyAlignment="1" applyProtection="1">
      <alignment horizontal="right"/>
    </xf>
    <xf numFmtId="49" fontId="10" fillId="0" borderId="2" xfId="0" applyNumberFormat="1" applyFont="1" applyFill="1" applyBorder="1" applyAlignment="1">
      <alignment vertical="center"/>
    </xf>
    <xf numFmtId="49" fontId="10" fillId="0" borderId="0" xfId="0" applyNumberFormat="1" applyFont="1" applyFill="1" applyBorder="1" applyAlignment="1">
      <alignment vertical="center"/>
    </xf>
    <xf numFmtId="0" fontId="10" fillId="0" borderId="7" xfId="0" applyNumberFormat="1" applyFont="1" applyFill="1" applyBorder="1" applyAlignment="1" applyProtection="1"/>
    <xf numFmtId="0" fontId="18" fillId="0" borderId="0" xfId="0" applyFont="1"/>
    <xf numFmtId="3" fontId="10" fillId="0" borderId="0" xfId="0" applyNumberFormat="1" applyFont="1" applyFill="1" applyBorder="1" applyAlignment="1" applyProtection="1">
      <alignment horizontal="left" wrapText="1" indent="2"/>
    </xf>
    <xf numFmtId="3" fontId="10" fillId="0" borderId="7" xfId="0" applyNumberFormat="1" applyFont="1" applyFill="1" applyBorder="1" applyAlignment="1" applyProtection="1">
      <alignment horizontal="left" wrapText="1" indent="2"/>
    </xf>
    <xf numFmtId="0" fontId="16" fillId="0" borderId="0" xfId="0" applyFont="1"/>
    <xf numFmtId="3" fontId="10" fillId="0" borderId="4" xfId="0" applyNumberFormat="1" applyFont="1" applyFill="1" applyBorder="1" applyAlignment="1" applyProtection="1">
      <alignment horizontal="right" vertical="center" wrapText="1"/>
    </xf>
    <xf numFmtId="3" fontId="17" fillId="0" borderId="0" xfId="0" applyNumberFormat="1" applyFont="1" applyBorder="1" applyAlignment="1">
      <alignment vertical="top" wrapText="1"/>
    </xf>
    <xf numFmtId="3" fontId="17" fillId="0" borderId="0" xfId="0" applyNumberFormat="1" applyFont="1" applyBorder="1"/>
    <xf numFmtId="3" fontId="17" fillId="0" borderId="17" xfId="0" applyNumberFormat="1" applyFont="1" applyBorder="1" applyAlignment="1">
      <alignment vertical="top" wrapText="1"/>
    </xf>
    <xf numFmtId="3" fontId="17" fillId="0" borderId="17" xfId="0" applyNumberFormat="1" applyFont="1" applyBorder="1"/>
    <xf numFmtId="3" fontId="10" fillId="0" borderId="0" xfId="0" quotePrefix="1" applyNumberFormat="1" applyFont="1" applyFill="1" applyBorder="1" applyAlignment="1" applyProtection="1">
      <alignment horizontal="right"/>
    </xf>
    <xf numFmtId="0" fontId="19" fillId="0" borderId="17" xfId="0" applyFont="1" applyBorder="1" applyAlignment="1">
      <alignment vertical="top" wrapText="1"/>
    </xf>
    <xf numFmtId="3" fontId="10" fillId="0" borderId="17" xfId="0" applyNumberFormat="1" applyFont="1" applyBorder="1" applyAlignment="1">
      <alignment vertical="top" wrapText="1"/>
    </xf>
    <xf numFmtId="3" fontId="17" fillId="0" borderId="17" xfId="0" applyNumberFormat="1" applyFont="1" applyBorder="1" applyAlignment="1">
      <alignment vertical="top"/>
    </xf>
    <xf numFmtId="3" fontId="10" fillId="0" borderId="0" xfId="0" applyNumberFormat="1" applyFont="1" applyFill="1" applyBorder="1" applyAlignment="1" applyProtection="1">
      <alignment horizontal="right"/>
    </xf>
    <xf numFmtId="3" fontId="10" fillId="0" borderId="0" xfId="0" applyNumberFormat="1" applyFont="1" applyBorder="1"/>
    <xf numFmtId="3" fontId="20" fillId="15" borderId="17" xfId="0" applyNumberFormat="1" applyFont="1" applyFill="1" applyBorder="1" applyAlignment="1">
      <alignment horizontal="right" vertical="top" wrapText="1"/>
    </xf>
    <xf numFmtId="0" fontId="20" fillId="15" borderId="17" xfId="0" applyFont="1" applyFill="1" applyBorder="1" applyAlignment="1">
      <alignment horizontal="right" vertical="top" wrapText="1"/>
    </xf>
    <xf numFmtId="3" fontId="10" fillId="15" borderId="17" xfId="0" quotePrefix="1" applyNumberFormat="1" applyFont="1" applyFill="1" applyBorder="1" applyAlignment="1" applyProtection="1">
      <alignment horizontal="right"/>
    </xf>
    <xf numFmtId="3" fontId="17" fillId="0" borderId="17" xfId="0" applyNumberFormat="1" applyFont="1" applyBorder="1" applyAlignment="1">
      <alignment horizontal="right" vertical="top" wrapText="1"/>
    </xf>
    <xf numFmtId="0" fontId="17" fillId="0" borderId="17" xfId="0" applyFont="1" applyBorder="1" applyAlignment="1">
      <alignment horizontal="right" vertical="top" wrapText="1"/>
    </xf>
    <xf numFmtId="3" fontId="10" fillId="0" borderId="17" xfId="0" applyNumberFormat="1" applyFont="1" applyBorder="1" applyAlignment="1">
      <alignment horizontal="right" vertical="top" wrapText="1"/>
    </xf>
    <xf numFmtId="3" fontId="10" fillId="0" borderId="6" xfId="0" applyNumberFormat="1" applyFont="1" applyFill="1" applyBorder="1" applyAlignment="1" applyProtection="1">
      <alignment horizontal="right" vertical="center" wrapText="1"/>
    </xf>
    <xf numFmtId="3" fontId="9" fillId="0" borderId="4" xfId="0" applyNumberFormat="1" applyFont="1" applyFill="1" applyBorder="1" applyAlignment="1" applyProtection="1">
      <alignment horizontal="right" vertical="center" wrapText="1"/>
    </xf>
    <xf numFmtId="0" fontId="21" fillId="0" borderId="0" xfId="0" applyFont="1" applyAlignment="1">
      <alignment horizontal="left" vertical="center"/>
    </xf>
    <xf numFmtId="3" fontId="17" fillId="0" borderId="0" xfId="0" applyNumberFormat="1" applyFont="1" applyBorder="1" applyAlignment="1">
      <alignment horizontal="right"/>
    </xf>
    <xf numFmtId="3" fontId="9" fillId="0" borderId="0" xfId="0" applyNumberFormat="1" applyFont="1" applyFill="1" applyBorder="1" applyAlignment="1" applyProtection="1">
      <alignment vertical="center" wrapText="1"/>
    </xf>
    <xf numFmtId="3" fontId="21" fillId="0" borderId="17" xfId="0" applyNumberFormat="1" applyFont="1" applyBorder="1" applyAlignment="1">
      <alignment horizontal="right" vertical="center" wrapText="1"/>
    </xf>
    <xf numFmtId="0" fontId="10" fillId="0" borderId="0" xfId="0" applyNumberFormat="1" applyFont="1" applyFill="1" applyBorder="1" applyAlignment="1" applyProtection="1">
      <alignment vertical="center"/>
    </xf>
    <xf numFmtId="3" fontId="10" fillId="0" borderId="7" xfId="0" quotePrefix="1" applyNumberFormat="1" applyFont="1" applyFill="1" applyBorder="1" applyAlignment="1" applyProtection="1">
      <alignment horizontal="right"/>
    </xf>
    <xf numFmtId="3" fontId="21" fillId="0" borderId="0" xfId="0" applyNumberFormat="1" applyFont="1" applyBorder="1" applyAlignment="1">
      <alignment horizontal="right" vertical="center" wrapText="1"/>
    </xf>
    <xf numFmtId="3" fontId="10" fillId="15" borderId="0" xfId="0" quotePrefix="1" applyNumberFormat="1" applyFont="1" applyFill="1" applyBorder="1" applyAlignment="1" applyProtection="1">
      <alignment horizontal="right"/>
    </xf>
    <xf numFmtId="3" fontId="10" fillId="0" borderId="5" xfId="0" quotePrefix="1" applyNumberFormat="1" applyFont="1" applyFill="1" applyBorder="1" applyAlignment="1" applyProtection="1">
      <alignment horizontal="right"/>
    </xf>
    <xf numFmtId="3" fontId="17" fillId="0" borderId="17" xfId="0" applyNumberFormat="1" applyFont="1" applyFill="1" applyBorder="1" applyAlignment="1">
      <alignment wrapText="1"/>
    </xf>
    <xf numFmtId="3" fontId="17" fillId="0" borderId="17" xfId="0" applyNumberFormat="1" applyFont="1" applyFill="1" applyBorder="1" applyAlignment="1">
      <alignment horizontal="right" vertical="top" wrapText="1"/>
    </xf>
    <xf numFmtId="3" fontId="17" fillId="0" borderId="17" xfId="0" applyNumberFormat="1" applyFont="1" applyFill="1" applyBorder="1" applyAlignment="1">
      <alignment horizontal="right" wrapText="1"/>
    </xf>
    <xf numFmtId="3" fontId="17" fillId="0" borderId="0" xfId="0" applyNumberFormat="1" applyFont="1" applyBorder="1" applyAlignment="1"/>
    <xf numFmtId="3" fontId="17" fillId="0" borderId="5" xfId="0" applyNumberFormat="1" applyFont="1" applyBorder="1"/>
    <xf numFmtId="3" fontId="21" fillId="0" borderId="5" xfId="0" applyNumberFormat="1" applyFont="1" applyBorder="1" applyAlignment="1">
      <alignment horizontal="right" vertical="center" wrapText="1"/>
    </xf>
    <xf numFmtId="0" fontId="19" fillId="0" borderId="18" xfId="0" applyFont="1" applyBorder="1" applyAlignment="1">
      <alignment vertical="top" wrapText="1"/>
    </xf>
    <xf numFmtId="3" fontId="17" fillId="0" borderId="7" xfId="0" applyNumberFormat="1" applyFont="1" applyBorder="1"/>
    <xf numFmtId="3" fontId="17" fillId="0" borderId="18" xfId="0" applyNumberFormat="1" applyFont="1" applyBorder="1" applyAlignment="1">
      <alignment vertical="top" wrapText="1"/>
    </xf>
    <xf numFmtId="3" fontId="17" fillId="0" borderId="18" xfId="0" applyNumberFormat="1" applyFont="1" applyBorder="1" applyAlignment="1">
      <alignment horizontal="right" vertical="top" wrapText="1"/>
    </xf>
    <xf numFmtId="3" fontId="10" fillId="0" borderId="8" xfId="0" quotePrefix="1" applyNumberFormat="1" applyFont="1" applyFill="1" applyBorder="1" applyAlignment="1" applyProtection="1">
      <alignment horizontal="right"/>
    </xf>
    <xf numFmtId="49" fontId="5" fillId="16" borderId="2" xfId="0" applyNumberFormat="1" applyFont="1" applyFill="1" applyBorder="1" applyAlignment="1">
      <alignment horizontal="center" vertical="center" textRotation="90"/>
    </xf>
    <xf numFmtId="49" fontId="5" fillId="16" borderId="0" xfId="0" applyNumberFormat="1" applyFont="1" applyFill="1" applyBorder="1" applyAlignment="1">
      <alignment horizontal="center" vertical="center" textRotation="90"/>
    </xf>
    <xf numFmtId="49" fontId="5" fillId="16" borderId="7" xfId="0" applyNumberFormat="1" applyFont="1" applyFill="1" applyBorder="1" applyAlignment="1">
      <alignment horizontal="center" vertical="center" textRotation="90"/>
    </xf>
    <xf numFmtId="49" fontId="5" fillId="3" borderId="2" xfId="0" applyNumberFormat="1" applyFont="1" applyFill="1" applyBorder="1" applyAlignment="1">
      <alignment horizontal="center" vertical="center" textRotation="90" wrapText="1"/>
    </xf>
    <xf numFmtId="49" fontId="5" fillId="3" borderId="0" xfId="0" applyNumberFormat="1" applyFont="1" applyFill="1" applyBorder="1" applyAlignment="1">
      <alignment horizontal="center" vertical="center" textRotation="90" wrapText="1"/>
    </xf>
    <xf numFmtId="49" fontId="5" fillId="3" borderId="7" xfId="0" applyNumberFormat="1" applyFont="1" applyFill="1" applyBorder="1" applyAlignment="1">
      <alignment horizontal="center" vertical="center" textRotation="90" wrapText="1"/>
    </xf>
    <xf numFmtId="49" fontId="6" fillId="2" borderId="0" xfId="0" applyNumberFormat="1" applyFont="1" applyFill="1" applyBorder="1" applyAlignment="1">
      <alignment horizontal="left" vertical="center" wrapText="1"/>
    </xf>
    <xf numFmtId="49" fontId="5" fillId="2" borderId="2" xfId="0" applyNumberFormat="1" applyFont="1" applyFill="1" applyBorder="1" applyAlignment="1">
      <alignment horizontal="center" vertical="center" textRotation="90" wrapText="1"/>
    </xf>
    <xf numFmtId="49" fontId="5" fillId="2" borderId="0" xfId="0" applyNumberFormat="1" applyFont="1" applyFill="1" applyBorder="1" applyAlignment="1">
      <alignment horizontal="center" vertical="center" textRotation="90" wrapText="1"/>
    </xf>
    <xf numFmtId="49" fontId="5" fillId="2" borderId="7" xfId="0" applyNumberFormat="1" applyFont="1" applyFill="1" applyBorder="1" applyAlignment="1">
      <alignment horizontal="center" vertical="center" textRotation="90" wrapText="1"/>
    </xf>
    <xf numFmtId="49" fontId="5" fillId="7" borderId="2" xfId="0" applyNumberFormat="1" applyFont="1" applyFill="1" applyBorder="1" applyAlignment="1">
      <alignment horizontal="center" vertical="center" textRotation="90" wrapText="1"/>
    </xf>
    <xf numFmtId="49" fontId="5" fillId="7" borderId="0" xfId="0" applyNumberFormat="1" applyFont="1" applyFill="1" applyBorder="1" applyAlignment="1">
      <alignment horizontal="center" vertical="center" textRotation="90" wrapText="1"/>
    </xf>
    <xf numFmtId="49" fontId="5" fillId="7" borderId="7" xfId="0" applyNumberFormat="1" applyFont="1" applyFill="1" applyBorder="1" applyAlignment="1">
      <alignment horizontal="center" vertical="center" textRotation="90" wrapText="1"/>
    </xf>
    <xf numFmtId="3" fontId="9" fillId="0" borderId="17" xfId="0" applyNumberFormat="1" applyFont="1" applyBorder="1" applyAlignment="1" applyProtection="1">
      <alignment horizontal="right" vertical="center"/>
    </xf>
    <xf numFmtId="0" fontId="21" fillId="0" borderId="0" xfId="0" applyFont="1" applyBorder="1" applyAlignment="1">
      <alignment horizontal="left" vertical="center"/>
    </xf>
    <xf numFmtId="0" fontId="21" fillId="0" borderId="0" xfId="0" applyFont="1" applyAlignment="1">
      <alignment horizontal="left" vertical="center"/>
    </xf>
    <xf numFmtId="3" fontId="9" fillId="0" borderId="0" xfId="0" applyNumberFormat="1" applyFont="1" applyBorder="1" applyAlignment="1" applyProtection="1">
      <alignment horizontal="right" vertical="center"/>
    </xf>
    <xf numFmtId="0" fontId="17" fillId="0" borderId="2" xfId="0" applyFont="1" applyBorder="1" applyAlignment="1">
      <alignment horizontal="center" vertical="center"/>
    </xf>
    <xf numFmtId="49" fontId="9" fillId="0" borderId="5" xfId="0" applyNumberFormat="1" applyFont="1" applyFill="1" applyBorder="1" applyAlignment="1" applyProtection="1">
      <alignment horizontal="center" vertical="center" wrapText="1"/>
    </xf>
    <xf numFmtId="0" fontId="10" fillId="0" borderId="25" xfId="0" applyNumberFormat="1" applyFont="1" applyFill="1" applyBorder="1" applyAlignment="1" applyProtection="1">
      <alignment horizontal="center" vertical="center" wrapText="1"/>
    </xf>
    <xf numFmtId="0" fontId="10" fillId="0" borderId="26" xfId="0" applyNumberFormat="1" applyFont="1" applyFill="1" applyBorder="1" applyAlignment="1" applyProtection="1">
      <alignment horizontal="center" vertical="center" wrapText="1"/>
    </xf>
    <xf numFmtId="0" fontId="10" fillId="0" borderId="20" xfId="0" applyNumberFormat="1" applyFont="1" applyFill="1" applyBorder="1" applyAlignment="1" applyProtection="1">
      <alignment horizontal="center" vertical="center" wrapText="1"/>
    </xf>
    <xf numFmtId="0" fontId="10" fillId="0" borderId="19" xfId="0" applyNumberFormat="1" applyFont="1" applyFill="1" applyBorder="1" applyAlignment="1" applyProtection="1">
      <alignment horizontal="center" vertical="center" wrapText="1"/>
    </xf>
    <xf numFmtId="0" fontId="10" fillId="0" borderId="22" xfId="0" applyNumberFormat="1" applyFont="1" applyFill="1" applyBorder="1" applyAlignment="1" applyProtection="1">
      <alignment horizontal="center" vertical="center" wrapText="1"/>
    </xf>
    <xf numFmtId="0" fontId="10" fillId="0" borderId="23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horizontal="center" vertical="center" wrapText="1"/>
    </xf>
    <xf numFmtId="0" fontId="10" fillId="0" borderId="3" xfId="0" applyNumberFormat="1" applyFont="1" applyFill="1" applyBorder="1" applyAlignment="1" applyProtection="1">
      <alignment horizontal="center" vertical="center" wrapText="1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0" fillId="0" borderId="5" xfId="0" applyNumberFormat="1" applyFont="1" applyFill="1" applyBorder="1" applyAlignment="1" applyProtection="1">
      <alignment horizontal="center" vertical="center" wrapText="1"/>
    </xf>
    <xf numFmtId="0" fontId="10" fillId="0" borderId="21" xfId="0" applyNumberFormat="1" applyFont="1" applyFill="1" applyBorder="1" applyAlignment="1" applyProtection="1">
      <alignment horizontal="center" vertical="center" wrapText="1"/>
    </xf>
    <xf numFmtId="0" fontId="10" fillId="0" borderId="27" xfId="0" applyNumberFormat="1" applyFont="1" applyFill="1" applyBorder="1" applyAlignment="1" applyProtection="1">
      <alignment horizontal="center" vertical="center" wrapText="1"/>
    </xf>
    <xf numFmtId="0" fontId="10" fillId="0" borderId="16" xfId="0" applyNumberFormat="1" applyFont="1" applyFill="1" applyBorder="1" applyAlignment="1" applyProtection="1">
      <alignment horizontal="center" vertical="center" wrapText="1"/>
    </xf>
    <xf numFmtId="0" fontId="0" fillId="0" borderId="15" xfId="0" applyBorder="1"/>
    <xf numFmtId="0" fontId="10" fillId="0" borderId="28" xfId="0" applyNumberFormat="1" applyFont="1" applyFill="1" applyBorder="1" applyAlignment="1" applyProtection="1">
      <alignment horizontal="center" vertical="center" wrapText="1"/>
    </xf>
    <xf numFmtId="3" fontId="9" fillId="0" borderId="5" xfId="0" applyNumberFormat="1" applyFont="1" applyBorder="1" applyAlignment="1" applyProtection="1">
      <alignment horizontal="right" vertical="center"/>
    </xf>
    <xf numFmtId="3" fontId="9" fillId="0" borderId="30" xfId="0" applyNumberFormat="1" applyFont="1" applyFill="1" applyBorder="1" applyAlignment="1" applyProtection="1">
      <alignment horizontal="right" vertical="center" wrapText="1"/>
    </xf>
    <xf numFmtId="3" fontId="9" fillId="0" borderId="17" xfId="0" applyNumberFormat="1" applyFont="1" applyFill="1" applyBorder="1" applyAlignment="1" applyProtection="1">
      <alignment horizontal="right" vertical="center" wrapText="1"/>
    </xf>
    <xf numFmtId="3" fontId="9" fillId="0" borderId="29" xfId="0" applyNumberFormat="1" applyFont="1" applyFill="1" applyBorder="1" applyAlignment="1" applyProtection="1">
      <alignment horizontal="right" vertical="center" wrapText="1"/>
    </xf>
    <xf numFmtId="3" fontId="9" fillId="0" borderId="0" xfId="0" applyNumberFormat="1" applyFont="1" applyFill="1" applyBorder="1" applyAlignment="1" applyProtection="1">
      <alignment horizontal="right" vertical="center" wrapText="1"/>
    </xf>
    <xf numFmtId="0" fontId="9" fillId="0" borderId="0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vertical="center" wrapText="1"/>
    </xf>
    <xf numFmtId="0" fontId="10" fillId="0" borderId="21" xfId="0" applyNumberFormat="1" applyFont="1" applyFill="1" applyBorder="1" applyAlignment="1" applyProtection="1">
      <alignment vertical="center" wrapText="1"/>
    </xf>
    <xf numFmtId="0" fontId="9" fillId="0" borderId="0" xfId="0" applyNumberFormat="1" applyFont="1" applyFill="1" applyBorder="1" applyAlignment="1" applyProtection="1">
      <alignment horizontal="left" vertical="center" wrapText="1"/>
    </xf>
    <xf numFmtId="3" fontId="9" fillId="0" borderId="31" xfId="0" applyNumberFormat="1" applyFont="1" applyFill="1" applyBorder="1" applyAlignment="1" applyProtection="1">
      <alignment horizontal="right" vertical="center" wrapText="1"/>
    </xf>
    <xf numFmtId="3" fontId="9" fillId="0" borderId="5" xfId="0" applyNumberFormat="1" applyFont="1" applyFill="1" applyBorder="1" applyAlignment="1" applyProtection="1">
      <alignment horizontal="right" vertical="center" wrapText="1"/>
    </xf>
    <xf numFmtId="0" fontId="21" fillId="0" borderId="0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3" fontId="9" fillId="0" borderId="17" xfId="0" applyNumberFormat="1" applyFont="1" applyFill="1" applyBorder="1" applyAlignment="1" applyProtection="1">
      <alignment horizontal="right" vertical="center"/>
    </xf>
    <xf numFmtId="3" fontId="9" fillId="0" borderId="0" xfId="0" applyNumberFormat="1" applyFont="1" applyFill="1" applyBorder="1" applyAlignment="1" applyProtection="1">
      <alignment horizontal="right" vertical="center"/>
    </xf>
    <xf numFmtId="3" fontId="9" fillId="0" borderId="5" xfId="0" applyNumberFormat="1" applyFont="1" applyFill="1" applyBorder="1" applyAlignment="1" applyProtection="1">
      <alignment horizontal="right" vertical="center"/>
    </xf>
    <xf numFmtId="3" fontId="12" fillId="0" borderId="0" xfId="0" applyNumberFormat="1" applyFont="1" applyBorder="1" applyAlignment="1" applyProtection="1">
      <alignment horizontal="right" vertical="center"/>
    </xf>
    <xf numFmtId="0" fontId="21" fillId="0" borderId="0" xfId="0" applyFont="1" applyBorder="1" applyAlignment="1">
      <alignment horizontal="right" vertical="center"/>
    </xf>
    <xf numFmtId="3" fontId="12" fillId="0" borderId="17" xfId="0" applyNumberFormat="1" applyFont="1" applyBorder="1" applyAlignment="1" applyProtection="1">
      <alignment horizontal="right" vertical="center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10" fillId="0" borderId="0" xfId="0" applyFont="1" applyFill="1" applyBorder="1" applyAlignment="1" applyProtection="1">
      <alignment horizontal="center" vertical="center" wrapText="1"/>
    </xf>
    <xf numFmtId="0" fontId="17" fillId="0" borderId="0" xfId="0" applyFont="1" applyBorder="1" applyAlignment="1">
      <alignment horizontal="center" vertical="center"/>
    </xf>
    <xf numFmtId="0" fontId="10" fillId="0" borderId="0" xfId="0" applyNumberFormat="1" applyFont="1" applyFill="1" applyBorder="1" applyAlignment="1" applyProtection="1">
      <alignment vertical="center" wrapText="1"/>
    </xf>
    <xf numFmtId="0" fontId="10" fillId="0" borderId="0" xfId="0" applyNumberFormat="1" applyFont="1" applyFill="1" applyBorder="1" applyAlignment="1" applyProtection="1">
      <alignment horizontal="right"/>
    </xf>
    <xf numFmtId="49" fontId="21" fillId="0" borderId="0" xfId="0" applyNumberFormat="1" applyFont="1" applyBorder="1" applyAlignment="1">
      <alignment horizontal="left" vertical="center"/>
    </xf>
    <xf numFmtId="49" fontId="21" fillId="0" borderId="0" xfId="0" applyNumberFormat="1" applyFont="1" applyBorder="1" applyAlignment="1">
      <alignment horizontal="left" vertical="center" wrapText="1"/>
    </xf>
    <xf numFmtId="3" fontId="9" fillId="0" borderId="4" xfId="0" applyNumberFormat="1" applyFont="1" applyFill="1" applyBorder="1" applyAlignment="1" applyProtection="1">
      <alignment horizontal="right" vertical="center" wrapText="1"/>
    </xf>
    <xf numFmtId="49" fontId="9" fillId="0" borderId="0" xfId="0" applyNumberFormat="1" applyFont="1" applyFill="1" applyBorder="1" applyAlignment="1" applyProtection="1">
      <alignment horizontal="left" vertical="center" wrapText="1"/>
    </xf>
    <xf numFmtId="3" fontId="9" fillId="0" borderId="32" xfId="0" applyNumberFormat="1" applyFont="1" applyFill="1" applyBorder="1" applyAlignment="1" applyProtection="1">
      <alignment horizontal="right" vertical="center" wrapText="1"/>
    </xf>
    <xf numFmtId="49" fontId="9" fillId="0" borderId="5" xfId="0" applyNumberFormat="1" applyFont="1" applyFill="1" applyBorder="1" applyAlignment="1" applyProtection="1">
      <alignment horizontal="left" vertical="center" wrapText="1"/>
    </xf>
    <xf numFmtId="49" fontId="9" fillId="0" borderId="29" xfId="0" applyNumberFormat="1" applyFont="1" applyFill="1" applyBorder="1" applyAlignment="1" applyProtection="1">
      <alignment horizontal="left" vertical="center" wrapText="1" indent="1"/>
    </xf>
    <xf numFmtId="49" fontId="9" fillId="0" borderId="0" xfId="0" applyNumberFormat="1" applyFont="1" applyFill="1" applyBorder="1" applyAlignment="1" applyProtection="1">
      <alignment horizontal="left" vertical="center" wrapText="1" indent="1"/>
    </xf>
    <xf numFmtId="0" fontId="9" fillId="0" borderId="0" xfId="0" applyNumberFormat="1" applyFont="1" applyFill="1" applyBorder="1" applyAlignment="1" applyProtection="1">
      <alignment horizontal="center" wrapText="1"/>
    </xf>
    <xf numFmtId="0" fontId="10" fillId="0" borderId="15" xfId="0" applyNumberFormat="1" applyFont="1" applyFill="1" applyBorder="1" applyAlignment="1" applyProtection="1">
      <alignment horizontal="center" vertical="center" wrapText="1"/>
    </xf>
    <xf numFmtId="0" fontId="10" fillId="0" borderId="33" xfId="0" applyNumberFormat="1" applyFont="1" applyFill="1" applyBorder="1" applyAlignment="1" applyProtection="1">
      <alignment horizontal="center" vertical="center" wrapText="1"/>
    </xf>
    <xf numFmtId="0" fontId="10" fillId="0" borderId="24" xfId="0" applyNumberFormat="1" applyFont="1" applyFill="1" applyBorder="1" applyAlignment="1" applyProtection="1">
      <alignment horizontal="center" vertical="center" wrapText="1"/>
    </xf>
    <xf numFmtId="0" fontId="10" fillId="0" borderId="34" xfId="0" applyNumberFormat="1" applyFont="1" applyFill="1" applyBorder="1" applyAlignment="1" applyProtection="1">
      <alignment horizontal="center" vertical="center" wrapText="1"/>
    </xf>
    <xf numFmtId="0" fontId="10" fillId="0" borderId="26" xfId="0" applyNumberFormat="1" applyFont="1" applyFill="1" applyBorder="1" applyAlignment="1" applyProtection="1">
      <alignment vertical="center" wrapText="1"/>
    </xf>
    <xf numFmtId="0" fontId="10" fillId="0" borderId="22" xfId="0" applyNumberFormat="1" applyFont="1" applyFill="1" applyBorder="1" applyAlignment="1" applyProtection="1">
      <alignment vertical="center" wrapText="1"/>
    </xf>
    <xf numFmtId="0" fontId="10" fillId="0" borderId="23" xfId="0" applyNumberFormat="1" applyFont="1" applyFill="1" applyBorder="1" applyAlignment="1" applyProtection="1">
      <alignment vertical="center" wrapText="1"/>
    </xf>
    <xf numFmtId="0" fontId="10" fillId="0" borderId="7" xfId="0" applyFont="1" applyFill="1" applyBorder="1" applyAlignment="1" applyProtection="1">
      <alignment horizontal="left"/>
    </xf>
    <xf numFmtId="0" fontId="9" fillId="0" borderId="32" xfId="0" applyNumberFormat="1" applyFont="1" applyFill="1" applyBorder="1" applyAlignment="1" applyProtection="1">
      <alignment horizontal="left" vertical="center" wrapText="1"/>
    </xf>
    <xf numFmtId="0" fontId="9" fillId="0" borderId="29" xfId="0" applyNumberFormat="1" applyFont="1" applyFill="1" applyBorder="1" applyAlignment="1" applyProtection="1">
      <alignment horizontal="left" vertical="center" wrapText="1"/>
    </xf>
    <xf numFmtId="0" fontId="9" fillId="0" borderId="4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zoomScale="80" zoomScaleNormal="80" workbookViewId="0">
      <selection sqref="A1:IV65536"/>
    </sheetView>
  </sheetViews>
  <sheetFormatPr defaultRowHeight="14.4"/>
  <cols>
    <col min="2" max="2" width="35.6640625" bestFit="1" customWidth="1"/>
  </cols>
  <sheetData>
    <row r="1" spans="1:13">
      <c r="A1" s="1" t="s">
        <v>5</v>
      </c>
      <c r="B1" s="2" t="s">
        <v>204</v>
      </c>
      <c r="C1" s="3"/>
      <c r="D1" s="4"/>
      <c r="E1" s="4"/>
      <c r="F1" s="4"/>
      <c r="G1" s="4"/>
      <c r="H1" s="199" t="s">
        <v>75</v>
      </c>
      <c r="I1" s="5"/>
      <c r="J1" s="3"/>
      <c r="K1" s="3"/>
      <c r="L1" s="3"/>
      <c r="M1" s="6"/>
    </row>
    <row r="2" spans="1:13">
      <c r="A2" s="7" t="s">
        <v>6</v>
      </c>
      <c r="B2" s="8" t="s">
        <v>205</v>
      </c>
      <c r="C2" s="9"/>
      <c r="D2" s="9"/>
      <c r="E2" s="9"/>
      <c r="F2" s="9"/>
      <c r="G2" s="9"/>
      <c r="H2" s="200"/>
      <c r="I2" s="10"/>
      <c r="J2" s="9"/>
      <c r="K2" s="9"/>
      <c r="L2" s="9"/>
      <c r="M2" s="11"/>
    </row>
    <row r="3" spans="1:13">
      <c r="A3" s="7" t="s">
        <v>7</v>
      </c>
      <c r="B3" s="8" t="s">
        <v>206</v>
      </c>
      <c r="C3" s="9"/>
      <c r="D3" s="202" t="s">
        <v>76</v>
      </c>
      <c r="E3" s="202"/>
      <c r="F3" s="202"/>
      <c r="G3" s="202"/>
      <c r="H3" s="200"/>
      <c r="I3" s="10"/>
      <c r="J3" s="9"/>
      <c r="K3" s="9"/>
      <c r="L3" s="9"/>
      <c r="M3" s="11"/>
    </row>
    <row r="4" spans="1:13">
      <c r="A4" s="7" t="s">
        <v>8</v>
      </c>
      <c r="B4" s="8" t="s">
        <v>207</v>
      </c>
      <c r="C4" s="9"/>
      <c r="D4" s="12" t="s">
        <v>77</v>
      </c>
      <c r="E4" s="9"/>
      <c r="F4" s="9"/>
      <c r="G4" s="9"/>
      <c r="H4" s="200"/>
      <c r="I4" s="10"/>
      <c r="J4" s="9"/>
      <c r="K4" s="9"/>
      <c r="L4" s="9"/>
      <c r="M4" s="11"/>
    </row>
    <row r="5" spans="1:13">
      <c r="A5" s="7" t="s">
        <v>9</v>
      </c>
      <c r="B5" s="8" t="s">
        <v>208</v>
      </c>
      <c r="C5" s="9"/>
      <c r="D5" s="9"/>
      <c r="E5" s="9"/>
      <c r="F5" s="9"/>
      <c r="G5" s="9"/>
      <c r="H5" s="200"/>
      <c r="I5" s="10"/>
      <c r="J5" s="9"/>
      <c r="K5" s="9"/>
      <c r="L5" s="9"/>
      <c r="M5" s="11"/>
    </row>
    <row r="6" spans="1:13">
      <c r="A6" s="7" t="s">
        <v>10</v>
      </c>
      <c r="B6" s="8" t="s">
        <v>209</v>
      </c>
      <c r="C6" s="9"/>
      <c r="D6" s="9"/>
      <c r="E6" s="9"/>
      <c r="F6" s="9"/>
      <c r="G6" s="9"/>
      <c r="H6" s="200"/>
      <c r="I6" s="10"/>
      <c r="J6" s="9"/>
      <c r="K6" s="9"/>
      <c r="L6" s="9"/>
      <c r="M6" s="11"/>
    </row>
    <row r="7" spans="1:13">
      <c r="A7" s="13" t="s">
        <v>11</v>
      </c>
      <c r="B7" s="14" t="s">
        <v>210</v>
      </c>
      <c r="C7" s="15"/>
      <c r="D7" s="16"/>
      <c r="E7" s="15"/>
      <c r="F7" s="15"/>
      <c r="G7" s="15"/>
      <c r="H7" s="200"/>
      <c r="I7" s="17"/>
      <c r="J7" s="15"/>
      <c r="K7" s="15"/>
      <c r="L7" s="15"/>
      <c r="M7" s="18"/>
    </row>
    <row r="8" spans="1:13">
      <c r="A8" s="13" t="s">
        <v>12</v>
      </c>
      <c r="B8" s="19" t="s">
        <v>211</v>
      </c>
      <c r="C8" s="15"/>
      <c r="D8" s="15"/>
      <c r="E8" s="15"/>
      <c r="F8" s="15"/>
      <c r="G8" s="15"/>
      <c r="H8" s="200"/>
      <c r="I8" s="17"/>
      <c r="J8" s="19"/>
      <c r="K8" s="20"/>
      <c r="L8" s="15"/>
      <c r="M8" s="18"/>
    </row>
    <row r="9" spans="1:13">
      <c r="A9" s="13" t="s">
        <v>13</v>
      </c>
      <c r="B9" s="19" t="s">
        <v>212</v>
      </c>
      <c r="C9" s="15"/>
      <c r="D9" s="15"/>
      <c r="E9" s="15"/>
      <c r="F9" s="15"/>
      <c r="G9" s="15"/>
      <c r="H9" s="200"/>
      <c r="I9" s="17"/>
      <c r="J9" s="15"/>
      <c r="K9" s="15"/>
      <c r="L9" s="15"/>
      <c r="M9" s="18"/>
    </row>
    <row r="10" spans="1:13">
      <c r="A10" s="13" t="s">
        <v>14</v>
      </c>
      <c r="B10" s="19" t="s">
        <v>213</v>
      </c>
      <c r="C10" s="15"/>
      <c r="D10" s="15"/>
      <c r="E10" s="15"/>
      <c r="F10" s="15"/>
      <c r="G10" s="15"/>
      <c r="H10" s="200"/>
      <c r="I10" s="17"/>
      <c r="J10" s="15"/>
      <c r="K10" s="15"/>
      <c r="L10" s="15"/>
      <c r="M10" s="18"/>
    </row>
    <row r="11" spans="1:13">
      <c r="A11" s="13" t="s">
        <v>15</v>
      </c>
      <c r="B11" s="19" t="s">
        <v>214</v>
      </c>
      <c r="C11" s="15"/>
      <c r="D11" s="21" t="s">
        <v>78</v>
      </c>
      <c r="E11" s="15"/>
      <c r="F11" s="15"/>
      <c r="G11" s="15"/>
      <c r="H11" s="200"/>
      <c r="I11" s="17"/>
      <c r="J11" s="15"/>
      <c r="K11" s="15"/>
      <c r="L11" s="15"/>
      <c r="M11" s="18"/>
    </row>
    <row r="12" spans="1:13">
      <c r="A12" s="13" t="s">
        <v>16</v>
      </c>
      <c r="B12" s="19" t="s">
        <v>215</v>
      </c>
      <c r="C12" s="15"/>
      <c r="D12" s="15"/>
      <c r="E12" s="15"/>
      <c r="F12" s="15"/>
      <c r="G12" s="15"/>
      <c r="H12" s="200"/>
      <c r="I12" s="17"/>
      <c r="J12" s="15"/>
      <c r="K12" s="15"/>
      <c r="L12" s="15"/>
      <c r="M12" s="18"/>
    </row>
    <row r="13" spans="1:13">
      <c r="A13" s="13" t="s">
        <v>17</v>
      </c>
      <c r="B13" s="19" t="s">
        <v>216</v>
      </c>
      <c r="C13" s="15"/>
      <c r="D13" s="15"/>
      <c r="E13" s="15"/>
      <c r="F13" s="15"/>
      <c r="G13" s="15"/>
      <c r="H13" s="200"/>
      <c r="I13" s="17"/>
      <c r="J13" s="15"/>
      <c r="K13" s="15"/>
      <c r="L13" s="15"/>
      <c r="M13" s="18"/>
    </row>
    <row r="14" spans="1:13">
      <c r="A14" s="13" t="s">
        <v>18</v>
      </c>
      <c r="B14" s="19" t="s">
        <v>217</v>
      </c>
      <c r="C14" s="15"/>
      <c r="D14" s="15"/>
      <c r="E14" s="15"/>
      <c r="F14" s="15"/>
      <c r="G14" s="15"/>
      <c r="H14" s="200"/>
      <c r="I14" s="17"/>
      <c r="J14" s="15"/>
      <c r="K14" s="15"/>
      <c r="L14" s="15"/>
      <c r="M14" s="18"/>
    </row>
    <row r="15" spans="1:13">
      <c r="A15" s="13" t="s">
        <v>19</v>
      </c>
      <c r="B15" s="19" t="s">
        <v>218</v>
      </c>
      <c r="C15" s="15"/>
      <c r="D15" s="15"/>
      <c r="E15" s="15"/>
      <c r="F15" s="15"/>
      <c r="G15" s="15"/>
      <c r="H15" s="200"/>
      <c r="I15" s="17"/>
      <c r="J15" s="15"/>
      <c r="K15" s="15"/>
      <c r="L15" s="15"/>
      <c r="M15" s="18"/>
    </row>
    <row r="16" spans="1:13">
      <c r="A16" s="13" t="s">
        <v>20</v>
      </c>
      <c r="B16" s="19" t="s">
        <v>219</v>
      </c>
      <c r="C16" s="15"/>
      <c r="D16" s="15"/>
      <c r="E16" s="15"/>
      <c r="F16" s="15"/>
      <c r="G16" s="15"/>
      <c r="H16" s="200"/>
      <c r="I16" s="17"/>
      <c r="J16" s="15"/>
      <c r="K16" s="15"/>
      <c r="L16" s="15"/>
      <c r="M16" s="18"/>
    </row>
    <row r="17" spans="1:13">
      <c r="A17" s="13" t="s">
        <v>21</v>
      </c>
      <c r="B17" s="19" t="s">
        <v>220</v>
      </c>
      <c r="C17" s="15"/>
      <c r="D17" s="15"/>
      <c r="E17" s="15"/>
      <c r="F17" s="15"/>
      <c r="G17" s="15"/>
      <c r="H17" s="200"/>
      <c r="I17" s="17"/>
      <c r="J17" s="15"/>
      <c r="K17" s="15"/>
      <c r="L17" s="15"/>
      <c r="M17" s="18"/>
    </row>
    <row r="18" spans="1:13">
      <c r="A18" s="22" t="s">
        <v>22</v>
      </c>
      <c r="B18" s="23" t="s">
        <v>221</v>
      </c>
      <c r="C18" s="24"/>
      <c r="D18" s="25"/>
      <c r="E18" s="24"/>
      <c r="F18" s="24"/>
      <c r="G18" s="24"/>
      <c r="H18" s="200"/>
      <c r="I18" s="26"/>
      <c r="J18" s="23"/>
      <c r="K18" s="23"/>
      <c r="L18" s="24"/>
      <c r="M18" s="27"/>
    </row>
    <row r="19" spans="1:13">
      <c r="A19" s="22" t="s">
        <v>23</v>
      </c>
      <c r="B19" s="23" t="s">
        <v>222</v>
      </c>
      <c r="C19" s="24"/>
      <c r="D19" s="24"/>
      <c r="E19" s="24"/>
      <c r="F19" s="24"/>
      <c r="G19" s="24"/>
      <c r="H19" s="200"/>
      <c r="I19" s="26"/>
      <c r="J19" s="23"/>
      <c r="K19" s="23"/>
      <c r="L19" s="24"/>
      <c r="M19" s="27"/>
    </row>
    <row r="20" spans="1:13">
      <c r="A20" s="22" t="s">
        <v>24</v>
      </c>
      <c r="B20" s="23" t="s">
        <v>223</v>
      </c>
      <c r="C20" s="24"/>
      <c r="D20" s="28" t="s">
        <v>79</v>
      </c>
      <c r="E20" s="24"/>
      <c r="F20" s="24"/>
      <c r="G20" s="24"/>
      <c r="H20" s="200"/>
      <c r="I20" s="26"/>
      <c r="J20" s="23"/>
      <c r="K20" s="23"/>
      <c r="L20" s="24"/>
      <c r="M20" s="27"/>
    </row>
    <row r="21" spans="1:13" ht="15" thickBot="1">
      <c r="A21" s="29" t="s">
        <v>25</v>
      </c>
      <c r="B21" s="30" t="s">
        <v>224</v>
      </c>
      <c r="C21" s="31"/>
      <c r="D21" s="31"/>
      <c r="E21" s="31"/>
      <c r="F21" s="31"/>
      <c r="G21" s="31"/>
      <c r="H21" s="201"/>
      <c r="I21" s="32"/>
      <c r="J21" s="30"/>
      <c r="K21" s="30"/>
      <c r="L21" s="31"/>
      <c r="M21" s="33"/>
    </row>
    <row r="22" spans="1:13">
      <c r="A22" s="34" t="s">
        <v>26</v>
      </c>
      <c r="B22" s="35" t="s">
        <v>225</v>
      </c>
      <c r="C22" s="36"/>
      <c r="D22" s="37"/>
      <c r="E22" s="36"/>
      <c r="F22" s="36"/>
      <c r="G22" s="38"/>
      <c r="H22" s="203" t="s">
        <v>80</v>
      </c>
      <c r="I22" s="36"/>
      <c r="J22" s="35"/>
      <c r="K22" s="35"/>
      <c r="L22" s="36"/>
      <c r="M22" s="39"/>
    </row>
    <row r="23" spans="1:13">
      <c r="A23" s="40" t="s">
        <v>27</v>
      </c>
      <c r="B23" s="41" t="s">
        <v>226</v>
      </c>
      <c r="C23" s="42"/>
      <c r="D23" s="42"/>
      <c r="E23" s="42"/>
      <c r="F23" s="42"/>
      <c r="G23" s="43"/>
      <c r="H23" s="204"/>
      <c r="I23" s="42"/>
      <c r="J23" s="41"/>
      <c r="K23" s="41"/>
      <c r="L23" s="42"/>
      <c r="M23" s="44"/>
    </row>
    <row r="24" spans="1:13">
      <c r="A24" s="40" t="s">
        <v>28</v>
      </c>
      <c r="B24" s="41" t="s">
        <v>227</v>
      </c>
      <c r="C24" s="42"/>
      <c r="D24" s="45" t="s">
        <v>81</v>
      </c>
      <c r="E24" s="42"/>
      <c r="F24" s="42"/>
      <c r="G24" s="43"/>
      <c r="H24" s="204"/>
      <c r="I24" s="42"/>
      <c r="J24" s="41"/>
      <c r="K24" s="41"/>
      <c r="L24" s="42"/>
      <c r="M24" s="44"/>
    </row>
    <row r="25" spans="1:13">
      <c r="A25" s="40" t="s">
        <v>29</v>
      </c>
      <c r="B25" s="41" t="s">
        <v>228</v>
      </c>
      <c r="C25" s="42"/>
      <c r="D25" s="42"/>
      <c r="E25" s="42"/>
      <c r="F25" s="42"/>
      <c r="G25" s="43"/>
      <c r="H25" s="204"/>
      <c r="I25" s="42"/>
      <c r="J25" s="41"/>
      <c r="K25" s="41"/>
      <c r="L25" s="42"/>
      <c r="M25" s="44"/>
    </row>
    <row r="26" spans="1:13">
      <c r="A26" s="40" t="s">
        <v>30</v>
      </c>
      <c r="B26" s="41" t="s">
        <v>229</v>
      </c>
      <c r="C26" s="42"/>
      <c r="D26" s="42"/>
      <c r="E26" s="42"/>
      <c r="F26" s="42"/>
      <c r="G26" s="43"/>
      <c r="H26" s="204"/>
      <c r="I26" s="42"/>
      <c r="J26" s="41"/>
      <c r="K26" s="41"/>
      <c r="L26" s="42"/>
      <c r="M26" s="44"/>
    </row>
    <row r="27" spans="1:13">
      <c r="A27" s="46" t="s">
        <v>31</v>
      </c>
      <c r="B27" s="47" t="s">
        <v>230</v>
      </c>
      <c r="C27" s="48"/>
      <c r="D27" s="49"/>
      <c r="E27" s="48"/>
      <c r="F27" s="48"/>
      <c r="G27" s="50"/>
      <c r="H27" s="204"/>
      <c r="I27" s="48"/>
      <c r="J27" s="47"/>
      <c r="K27" s="47"/>
      <c r="L27" s="48"/>
      <c r="M27" s="51"/>
    </row>
    <row r="28" spans="1:13">
      <c r="A28" s="46" t="s">
        <v>32</v>
      </c>
      <c r="B28" s="47" t="s">
        <v>231</v>
      </c>
      <c r="C28" s="48"/>
      <c r="D28" s="48"/>
      <c r="E28" s="48"/>
      <c r="F28" s="48"/>
      <c r="G28" s="50"/>
      <c r="H28" s="204"/>
      <c r="I28" s="48"/>
      <c r="J28" s="47"/>
      <c r="K28" s="47"/>
      <c r="L28" s="48"/>
      <c r="M28" s="51"/>
    </row>
    <row r="29" spans="1:13">
      <c r="A29" s="46" t="s">
        <v>33</v>
      </c>
      <c r="B29" s="47" t="s">
        <v>232</v>
      </c>
      <c r="C29" s="48"/>
      <c r="D29" s="52" t="s">
        <v>82</v>
      </c>
      <c r="E29" s="48"/>
      <c r="F29" s="48"/>
      <c r="G29" s="50"/>
      <c r="H29" s="204"/>
      <c r="I29" s="48"/>
      <c r="J29" s="47"/>
      <c r="K29" s="47"/>
      <c r="L29" s="48"/>
      <c r="M29" s="51"/>
    </row>
    <row r="30" spans="1:13">
      <c r="A30" s="46" t="s">
        <v>34</v>
      </c>
      <c r="B30" s="47" t="s">
        <v>233</v>
      </c>
      <c r="C30" s="48"/>
      <c r="D30" s="48"/>
      <c r="E30" s="48"/>
      <c r="F30" s="48"/>
      <c r="G30" s="50"/>
      <c r="H30" s="204"/>
      <c r="I30" s="48"/>
      <c r="J30" s="47"/>
      <c r="K30" s="47"/>
      <c r="L30" s="48"/>
      <c r="M30" s="51"/>
    </row>
    <row r="31" spans="1:13" ht="15" thickBot="1">
      <c r="A31" s="53" t="s">
        <v>35</v>
      </c>
      <c r="B31" s="54" t="s">
        <v>234</v>
      </c>
      <c r="C31" s="55"/>
      <c r="D31" s="55"/>
      <c r="E31" s="55"/>
      <c r="F31" s="55"/>
      <c r="G31" s="56"/>
      <c r="H31" s="205"/>
      <c r="I31" s="55"/>
      <c r="J31" s="54"/>
      <c r="K31" s="54"/>
      <c r="L31" s="55"/>
      <c r="M31" s="57"/>
    </row>
    <row r="32" spans="1:13">
      <c r="A32" s="58" t="s">
        <v>36</v>
      </c>
      <c r="B32" s="59" t="s">
        <v>235</v>
      </c>
      <c r="C32" s="60"/>
      <c r="D32" s="61"/>
      <c r="E32" s="62"/>
      <c r="F32" s="62"/>
      <c r="G32" s="63"/>
      <c r="H32" s="206" t="s">
        <v>83</v>
      </c>
      <c r="I32" s="62"/>
      <c r="J32" s="61"/>
      <c r="K32" s="61"/>
      <c r="L32" s="62"/>
      <c r="M32" s="64"/>
    </row>
    <row r="33" spans="1:13">
      <c r="A33" s="65" t="s">
        <v>37</v>
      </c>
      <c r="B33" s="66" t="s">
        <v>236</v>
      </c>
      <c r="C33" s="67"/>
      <c r="D33" s="67"/>
      <c r="E33" s="67"/>
      <c r="F33" s="67"/>
      <c r="G33" s="68"/>
      <c r="H33" s="207"/>
      <c r="I33" s="67"/>
      <c r="J33" s="66"/>
      <c r="K33" s="66"/>
      <c r="L33" s="67"/>
      <c r="M33" s="69"/>
    </row>
    <row r="34" spans="1:13">
      <c r="A34" s="65" t="s">
        <v>38</v>
      </c>
      <c r="B34" s="66" t="s">
        <v>237</v>
      </c>
      <c r="C34" s="67"/>
      <c r="D34" s="70" t="s">
        <v>84</v>
      </c>
      <c r="E34" s="67"/>
      <c r="F34" s="67"/>
      <c r="G34" s="68"/>
      <c r="H34" s="207"/>
      <c r="I34" s="67"/>
      <c r="J34" s="66"/>
      <c r="K34" s="66"/>
      <c r="L34" s="67"/>
      <c r="M34" s="69"/>
    </row>
    <row r="35" spans="1:13">
      <c r="A35" s="65" t="s">
        <v>39</v>
      </c>
      <c r="B35" s="66" t="s">
        <v>238</v>
      </c>
      <c r="C35" s="67"/>
      <c r="D35" s="67"/>
      <c r="E35" s="67"/>
      <c r="F35" s="67"/>
      <c r="G35" s="68"/>
      <c r="H35" s="207"/>
      <c r="I35" s="67"/>
      <c r="J35" s="66"/>
      <c r="K35" s="66"/>
      <c r="L35" s="67"/>
      <c r="M35" s="69"/>
    </row>
    <row r="36" spans="1:13">
      <c r="A36" s="65" t="s">
        <v>40</v>
      </c>
      <c r="B36" s="66" t="s">
        <v>239</v>
      </c>
      <c r="C36" s="67"/>
      <c r="D36" s="67"/>
      <c r="E36" s="67"/>
      <c r="F36" s="67"/>
      <c r="G36" s="68"/>
      <c r="H36" s="207"/>
      <c r="I36" s="67"/>
      <c r="J36" s="66"/>
      <c r="K36" s="66"/>
      <c r="L36" s="67"/>
      <c r="M36" s="69"/>
    </row>
    <row r="37" spans="1:13">
      <c r="A37" s="71" t="s">
        <v>41</v>
      </c>
      <c r="B37" s="72" t="s">
        <v>240</v>
      </c>
      <c r="C37" s="73"/>
      <c r="D37" s="74"/>
      <c r="E37" s="73"/>
      <c r="F37" s="73"/>
      <c r="G37" s="75"/>
      <c r="H37" s="207"/>
      <c r="I37" s="73"/>
      <c r="J37" s="72"/>
      <c r="K37" s="72"/>
      <c r="L37" s="73"/>
      <c r="M37" s="76"/>
    </row>
    <row r="38" spans="1:13">
      <c r="A38" s="71" t="s">
        <v>42</v>
      </c>
      <c r="B38" s="72" t="s">
        <v>241</v>
      </c>
      <c r="C38" s="73"/>
      <c r="D38" s="77" t="s">
        <v>85</v>
      </c>
      <c r="E38" s="73"/>
      <c r="F38" s="73"/>
      <c r="G38" s="75"/>
      <c r="H38" s="207"/>
      <c r="I38" s="73"/>
      <c r="J38" s="72"/>
      <c r="K38" s="72"/>
      <c r="L38" s="73"/>
      <c r="M38" s="76"/>
    </row>
    <row r="39" spans="1:13">
      <c r="A39" s="71" t="s">
        <v>43</v>
      </c>
      <c r="B39" s="72" t="s">
        <v>242</v>
      </c>
      <c r="C39" s="73"/>
      <c r="D39" s="73"/>
      <c r="E39" s="73"/>
      <c r="F39" s="73"/>
      <c r="G39" s="75"/>
      <c r="H39" s="207"/>
      <c r="I39" s="73"/>
      <c r="J39" s="72"/>
      <c r="K39" s="72"/>
      <c r="L39" s="73"/>
      <c r="M39" s="76"/>
    </row>
    <row r="40" spans="1:13">
      <c r="A40" s="108" t="s">
        <v>44</v>
      </c>
      <c r="B40" s="109" t="s">
        <v>243</v>
      </c>
      <c r="C40" s="110"/>
      <c r="D40" s="111"/>
      <c r="E40" s="112"/>
      <c r="F40" s="112"/>
      <c r="G40" s="113"/>
      <c r="H40" s="207"/>
      <c r="I40" s="110"/>
      <c r="J40" s="109"/>
      <c r="K40" s="109"/>
      <c r="L40" s="110"/>
      <c r="M40" s="118"/>
    </row>
    <row r="41" spans="1:13">
      <c r="A41" s="108" t="s">
        <v>45</v>
      </c>
      <c r="B41" s="109" t="s">
        <v>244</v>
      </c>
      <c r="C41" s="110"/>
      <c r="D41" s="110"/>
      <c r="E41" s="110"/>
      <c r="F41" s="110"/>
      <c r="G41" s="113"/>
      <c r="H41" s="207"/>
      <c r="I41" s="110"/>
      <c r="J41" s="109"/>
      <c r="K41" s="109"/>
      <c r="L41" s="110"/>
      <c r="M41" s="118"/>
    </row>
    <row r="42" spans="1:13">
      <c r="A42" s="108" t="s">
        <v>46</v>
      </c>
      <c r="B42" s="109" t="s">
        <v>245</v>
      </c>
      <c r="C42" s="110"/>
      <c r="D42" s="111" t="s">
        <v>86</v>
      </c>
      <c r="E42" s="110"/>
      <c r="F42" s="110"/>
      <c r="G42" s="113"/>
      <c r="H42" s="207"/>
      <c r="I42" s="110"/>
      <c r="J42" s="109"/>
      <c r="K42" s="109"/>
      <c r="L42" s="110"/>
      <c r="M42" s="118"/>
    </row>
    <row r="43" spans="1:13">
      <c r="A43" s="108" t="s">
        <v>47</v>
      </c>
      <c r="B43" s="109" t="s">
        <v>246</v>
      </c>
      <c r="C43" s="110"/>
      <c r="D43" s="110"/>
      <c r="E43" s="110"/>
      <c r="F43" s="110"/>
      <c r="G43" s="113"/>
      <c r="H43" s="207"/>
      <c r="I43" s="110"/>
      <c r="J43" s="109"/>
      <c r="K43" s="109"/>
      <c r="L43" s="110"/>
      <c r="M43" s="118"/>
    </row>
    <row r="44" spans="1:13" ht="15" thickBot="1">
      <c r="A44" s="114" t="s">
        <v>48</v>
      </c>
      <c r="B44" s="115" t="s">
        <v>247</v>
      </c>
      <c r="C44" s="116"/>
      <c r="D44" s="116"/>
      <c r="E44" s="116"/>
      <c r="F44" s="116"/>
      <c r="G44" s="117"/>
      <c r="H44" s="208"/>
      <c r="I44" s="116"/>
      <c r="J44" s="115"/>
      <c r="K44" s="115"/>
      <c r="L44" s="116"/>
      <c r="M44" s="119"/>
    </row>
    <row r="45" spans="1:13">
      <c r="A45" s="58" t="s">
        <v>87</v>
      </c>
      <c r="B45" s="59" t="s">
        <v>248</v>
      </c>
      <c r="C45" s="60"/>
      <c r="D45" s="60"/>
      <c r="E45" s="78"/>
      <c r="F45" s="60"/>
      <c r="G45" s="60"/>
      <c r="H45" s="199" t="s">
        <v>88</v>
      </c>
      <c r="I45" s="60"/>
      <c r="J45" s="59"/>
      <c r="K45" s="59"/>
      <c r="L45" s="60"/>
      <c r="M45" s="79"/>
    </row>
    <row r="46" spans="1:13">
      <c r="A46" s="65" t="s">
        <v>49</v>
      </c>
      <c r="B46" s="66" t="s">
        <v>249</v>
      </c>
      <c r="C46" s="67"/>
      <c r="D46" s="67"/>
      <c r="E46" s="67"/>
      <c r="F46" s="67"/>
      <c r="G46" s="67"/>
      <c r="H46" s="200"/>
      <c r="I46" s="67"/>
      <c r="J46" s="66"/>
      <c r="K46" s="66"/>
      <c r="L46" s="67"/>
      <c r="M46" s="69"/>
    </row>
    <row r="47" spans="1:13">
      <c r="A47" s="65" t="s">
        <v>89</v>
      </c>
      <c r="B47" s="66" t="s">
        <v>250</v>
      </c>
      <c r="C47" s="67"/>
      <c r="D47" s="67"/>
      <c r="E47" s="67"/>
      <c r="F47" s="67"/>
      <c r="G47" s="67"/>
      <c r="H47" s="200"/>
      <c r="I47" s="67"/>
      <c r="J47" s="66"/>
      <c r="K47" s="66"/>
      <c r="L47" s="67"/>
      <c r="M47" s="69"/>
    </row>
    <row r="48" spans="1:13">
      <c r="A48" s="65" t="s">
        <v>90</v>
      </c>
      <c r="B48" s="66" t="s">
        <v>251</v>
      </c>
      <c r="C48" s="67"/>
      <c r="D48" s="67"/>
      <c r="E48" s="67"/>
      <c r="F48" s="67"/>
      <c r="G48" s="67"/>
      <c r="H48" s="200"/>
      <c r="I48" s="67"/>
      <c r="J48" s="66"/>
      <c r="K48" s="66"/>
      <c r="L48" s="67"/>
      <c r="M48" s="69"/>
    </row>
    <row r="49" spans="1:13">
      <c r="A49" s="65" t="s">
        <v>50</v>
      </c>
      <c r="B49" s="66" t="s">
        <v>252</v>
      </c>
      <c r="C49" s="67"/>
      <c r="D49" s="67"/>
      <c r="E49" s="80" t="s">
        <v>91</v>
      </c>
      <c r="F49" s="67"/>
      <c r="G49" s="67"/>
      <c r="H49" s="200"/>
      <c r="I49" s="67"/>
      <c r="J49" s="66"/>
      <c r="K49" s="66"/>
      <c r="L49" s="67"/>
      <c r="M49" s="69"/>
    </row>
    <row r="50" spans="1:13">
      <c r="A50" s="65" t="s">
        <v>51</v>
      </c>
      <c r="B50" s="66" t="s">
        <v>253</v>
      </c>
      <c r="C50" s="67"/>
      <c r="D50" s="67"/>
      <c r="E50" s="67"/>
      <c r="F50" s="67"/>
      <c r="G50" s="67"/>
      <c r="H50" s="200"/>
      <c r="I50" s="67"/>
      <c r="J50" s="66"/>
      <c r="K50" s="66"/>
      <c r="L50" s="67"/>
      <c r="M50" s="69"/>
    </row>
    <row r="51" spans="1:13">
      <c r="A51" s="65" t="s">
        <v>92</v>
      </c>
      <c r="B51" s="66" t="s">
        <v>254</v>
      </c>
      <c r="C51" s="67"/>
      <c r="D51" s="67"/>
      <c r="E51" s="67"/>
      <c r="F51" s="67"/>
      <c r="G51" s="67"/>
      <c r="H51" s="200"/>
      <c r="I51" s="67"/>
      <c r="J51" s="66"/>
      <c r="K51" s="66"/>
      <c r="L51" s="67"/>
      <c r="M51" s="69"/>
    </row>
    <row r="52" spans="1:13" ht="15" thickBot="1">
      <c r="A52" s="81" t="s">
        <v>52</v>
      </c>
      <c r="B52" s="82" t="s">
        <v>255</v>
      </c>
      <c r="C52" s="83"/>
      <c r="D52" s="83"/>
      <c r="E52" s="83"/>
      <c r="F52" s="83"/>
      <c r="G52" s="83"/>
      <c r="H52" s="201"/>
      <c r="I52" s="83"/>
      <c r="J52" s="82"/>
      <c r="K52" s="82"/>
      <c r="L52" s="83"/>
      <c r="M52" s="84"/>
    </row>
    <row r="53" spans="1:13">
      <c r="A53" s="1" t="s">
        <v>53</v>
      </c>
      <c r="B53" s="85" t="s">
        <v>256</v>
      </c>
      <c r="C53" s="3"/>
      <c r="D53" s="86"/>
      <c r="E53" s="3"/>
      <c r="F53" s="3"/>
      <c r="G53" s="3"/>
      <c r="H53" s="196" t="s">
        <v>93</v>
      </c>
      <c r="I53" s="3"/>
      <c r="J53" s="85"/>
      <c r="K53" s="85"/>
      <c r="L53" s="3"/>
      <c r="M53" s="6"/>
    </row>
    <row r="54" spans="1:13">
      <c r="A54" s="7" t="s">
        <v>54</v>
      </c>
      <c r="B54" s="87" t="s">
        <v>257</v>
      </c>
      <c r="C54" s="9"/>
      <c r="D54" s="9"/>
      <c r="E54" s="9"/>
      <c r="F54" s="9"/>
      <c r="G54" s="9"/>
      <c r="H54" s="197"/>
      <c r="I54" s="9"/>
      <c r="J54" s="87"/>
      <c r="K54" s="87"/>
      <c r="L54" s="9"/>
      <c r="M54" s="11"/>
    </row>
    <row r="55" spans="1:13">
      <c r="A55" s="7" t="s">
        <v>55</v>
      </c>
      <c r="B55" s="87" t="s">
        <v>258</v>
      </c>
      <c r="C55" s="9"/>
      <c r="D55" s="88" t="s">
        <v>94</v>
      </c>
      <c r="E55" s="9"/>
      <c r="F55" s="9"/>
      <c r="G55" s="9"/>
      <c r="H55" s="197"/>
      <c r="I55" s="9"/>
      <c r="J55" s="87"/>
      <c r="K55" s="87"/>
      <c r="L55" s="9"/>
      <c r="M55" s="11"/>
    </row>
    <row r="56" spans="1:13">
      <c r="A56" s="7" t="s">
        <v>56</v>
      </c>
      <c r="B56" s="87" t="s">
        <v>259</v>
      </c>
      <c r="C56" s="9"/>
      <c r="D56" s="9"/>
      <c r="E56" s="9"/>
      <c r="F56" s="9"/>
      <c r="G56" s="9"/>
      <c r="H56" s="197"/>
      <c r="I56" s="9"/>
      <c r="J56" s="87"/>
      <c r="K56" s="87"/>
      <c r="L56" s="9"/>
      <c r="M56" s="11"/>
    </row>
    <row r="57" spans="1:13">
      <c r="A57" s="7" t="s">
        <v>57</v>
      </c>
      <c r="B57" s="87" t="s">
        <v>260</v>
      </c>
      <c r="C57" s="9"/>
      <c r="D57" s="9"/>
      <c r="E57" s="9"/>
      <c r="F57" s="9"/>
      <c r="G57" s="9"/>
      <c r="H57" s="197"/>
      <c r="I57" s="9"/>
      <c r="J57" s="87"/>
      <c r="K57" s="87"/>
      <c r="L57" s="9"/>
      <c r="M57" s="11"/>
    </row>
    <row r="58" spans="1:13">
      <c r="A58" s="46" t="s">
        <v>58</v>
      </c>
      <c r="B58" s="47" t="s">
        <v>261</v>
      </c>
      <c r="C58" s="48"/>
      <c r="D58" s="49"/>
      <c r="E58" s="48"/>
      <c r="F58" s="48"/>
      <c r="G58" s="48"/>
      <c r="H58" s="197"/>
      <c r="I58" s="48"/>
      <c r="J58" s="47"/>
      <c r="K58" s="47"/>
      <c r="L58" s="48"/>
      <c r="M58" s="51"/>
    </row>
    <row r="59" spans="1:13">
      <c r="A59" s="46" t="s">
        <v>59</v>
      </c>
      <c r="B59" s="47" t="s">
        <v>262</v>
      </c>
      <c r="C59" s="48"/>
      <c r="D59" s="48"/>
      <c r="E59" s="48"/>
      <c r="F59" s="48"/>
      <c r="G59" s="48"/>
      <c r="H59" s="197"/>
      <c r="I59" s="48"/>
      <c r="J59" s="47"/>
      <c r="K59" s="47"/>
      <c r="L59" s="48"/>
      <c r="M59" s="51"/>
    </row>
    <row r="60" spans="1:13">
      <c r="A60" s="46" t="s">
        <v>60</v>
      </c>
      <c r="B60" s="47" t="s">
        <v>263</v>
      </c>
      <c r="C60" s="48"/>
      <c r="D60" s="48"/>
      <c r="E60" s="48"/>
      <c r="F60" s="48"/>
      <c r="G60" s="48"/>
      <c r="H60" s="197"/>
      <c r="I60" s="48"/>
      <c r="J60" s="47"/>
      <c r="K60" s="47"/>
      <c r="L60" s="48"/>
      <c r="M60" s="51"/>
    </row>
    <row r="61" spans="1:13">
      <c r="A61" s="46" t="s">
        <v>61</v>
      </c>
      <c r="B61" s="47" t="s">
        <v>264</v>
      </c>
      <c r="C61" s="48"/>
      <c r="D61" s="48"/>
      <c r="E61" s="48"/>
      <c r="F61" s="48"/>
      <c r="G61" s="48"/>
      <c r="H61" s="197"/>
      <c r="I61" s="48"/>
      <c r="J61" s="47"/>
      <c r="K61" s="47"/>
      <c r="L61" s="48"/>
      <c r="M61" s="51"/>
    </row>
    <row r="62" spans="1:13">
      <c r="A62" s="46" t="s">
        <v>62</v>
      </c>
      <c r="B62" s="47" t="s">
        <v>265</v>
      </c>
      <c r="C62" s="48"/>
      <c r="D62" s="48"/>
      <c r="E62" s="48"/>
      <c r="F62" s="48"/>
      <c r="G62" s="48"/>
      <c r="H62" s="197"/>
      <c r="I62" s="48"/>
      <c r="J62" s="47"/>
      <c r="K62" s="47"/>
      <c r="L62" s="48"/>
      <c r="M62" s="51"/>
    </row>
    <row r="63" spans="1:13">
      <c r="A63" s="46" t="s">
        <v>63</v>
      </c>
      <c r="B63" s="47" t="s">
        <v>266</v>
      </c>
      <c r="C63" s="48"/>
      <c r="D63" s="52" t="s">
        <v>95</v>
      </c>
      <c r="E63" s="48"/>
      <c r="F63" s="48"/>
      <c r="G63" s="48"/>
      <c r="H63" s="197"/>
      <c r="I63" s="48"/>
      <c r="J63" s="47"/>
      <c r="K63" s="47"/>
      <c r="L63" s="48"/>
      <c r="M63" s="51"/>
    </row>
    <row r="64" spans="1:13">
      <c r="A64" s="46" t="s">
        <v>64</v>
      </c>
      <c r="B64" s="47" t="s">
        <v>267</v>
      </c>
      <c r="C64" s="48"/>
      <c r="D64" s="48"/>
      <c r="E64" s="48"/>
      <c r="F64" s="48"/>
      <c r="G64" s="48"/>
      <c r="H64" s="197"/>
      <c r="I64" s="48"/>
      <c r="J64" s="47"/>
      <c r="K64" s="47"/>
      <c r="L64" s="48"/>
      <c r="M64" s="51"/>
    </row>
    <row r="65" spans="1:13">
      <c r="A65" s="46" t="s">
        <v>65</v>
      </c>
      <c r="B65" s="47" t="s">
        <v>268</v>
      </c>
      <c r="C65" s="48"/>
      <c r="D65" s="48"/>
      <c r="E65" s="48"/>
      <c r="F65" s="48"/>
      <c r="G65" s="48"/>
      <c r="H65" s="197"/>
      <c r="I65" s="48"/>
      <c r="J65" s="47"/>
      <c r="K65" s="47"/>
      <c r="L65" s="48"/>
      <c r="M65" s="51"/>
    </row>
    <row r="66" spans="1:13">
      <c r="A66" s="46" t="s">
        <v>66</v>
      </c>
      <c r="B66" s="47" t="s">
        <v>269</v>
      </c>
      <c r="C66" s="48"/>
      <c r="D66" s="48"/>
      <c r="E66" s="48"/>
      <c r="F66" s="48"/>
      <c r="G66" s="48"/>
      <c r="H66" s="197"/>
      <c r="I66" s="48"/>
      <c r="J66" s="47"/>
      <c r="K66" s="47"/>
      <c r="L66" s="48"/>
      <c r="M66" s="51"/>
    </row>
    <row r="67" spans="1:13">
      <c r="A67" s="46" t="s">
        <v>67</v>
      </c>
      <c r="B67" s="47" t="s">
        <v>270</v>
      </c>
      <c r="C67" s="48"/>
      <c r="D67" s="48"/>
      <c r="E67" s="48"/>
      <c r="F67" s="48"/>
      <c r="G67" s="48"/>
      <c r="H67" s="197"/>
      <c r="I67" s="48"/>
      <c r="J67" s="47"/>
      <c r="K67" s="47"/>
      <c r="L67" s="48"/>
      <c r="M67" s="51"/>
    </row>
    <row r="68" spans="1:13">
      <c r="A68" s="46" t="s">
        <v>68</v>
      </c>
      <c r="B68" s="47" t="s">
        <v>271</v>
      </c>
      <c r="C68" s="48"/>
      <c r="D68" s="48"/>
      <c r="E68" s="48"/>
      <c r="F68" s="48"/>
      <c r="G68" s="48"/>
      <c r="H68" s="197"/>
      <c r="I68" s="48"/>
      <c r="J68" s="47"/>
      <c r="K68" s="47"/>
      <c r="L68" s="48"/>
      <c r="M68" s="51"/>
    </row>
    <row r="69" spans="1:13">
      <c r="A69" s="46" t="s">
        <v>69</v>
      </c>
      <c r="B69" s="47" t="s">
        <v>272</v>
      </c>
      <c r="C69" s="48"/>
      <c r="D69" s="48"/>
      <c r="E69" s="48"/>
      <c r="F69" s="48"/>
      <c r="G69" s="48"/>
      <c r="H69" s="197"/>
      <c r="I69" s="48"/>
      <c r="J69" s="47"/>
      <c r="K69" s="47"/>
      <c r="L69" s="48"/>
      <c r="M69" s="51"/>
    </row>
    <row r="70" spans="1:13" ht="15" thickBot="1">
      <c r="A70" s="53" t="s">
        <v>70</v>
      </c>
      <c r="B70" s="54" t="s">
        <v>273</v>
      </c>
      <c r="C70" s="55"/>
      <c r="D70" s="55"/>
      <c r="E70" s="55"/>
      <c r="F70" s="55"/>
      <c r="G70" s="55"/>
      <c r="H70" s="198"/>
      <c r="I70" s="55"/>
      <c r="J70" s="54"/>
      <c r="K70" s="54"/>
      <c r="L70" s="55"/>
      <c r="M70" s="57"/>
    </row>
    <row r="71" spans="1:13">
      <c r="A71" s="89" t="s">
        <v>71</v>
      </c>
      <c r="B71" s="90" t="s">
        <v>274</v>
      </c>
      <c r="C71" s="91"/>
      <c r="D71" s="92"/>
      <c r="E71" s="91"/>
      <c r="F71" s="91"/>
      <c r="G71" s="15"/>
      <c r="H71" s="91"/>
      <c r="I71" s="91"/>
      <c r="J71" s="93"/>
      <c r="K71" s="93"/>
      <c r="L71" s="91"/>
      <c r="M71" s="94"/>
    </row>
    <row r="72" spans="1:13">
      <c r="A72" s="13" t="s">
        <v>72</v>
      </c>
      <c r="B72" s="90" t="s">
        <v>275</v>
      </c>
      <c r="C72" s="15"/>
      <c r="D72" s="15"/>
      <c r="E72" s="15"/>
      <c r="F72" s="15"/>
      <c r="G72" s="15"/>
      <c r="H72" s="95" t="s">
        <v>96</v>
      </c>
      <c r="I72" s="96"/>
      <c r="J72" s="97"/>
      <c r="K72" s="97"/>
      <c r="L72" s="15"/>
      <c r="M72" s="18"/>
    </row>
    <row r="73" spans="1:13">
      <c r="A73" s="13" t="s">
        <v>73</v>
      </c>
      <c r="B73" s="90" t="s">
        <v>276</v>
      </c>
      <c r="C73" s="15"/>
      <c r="D73" s="21" t="s">
        <v>97</v>
      </c>
      <c r="E73" s="15"/>
      <c r="F73" s="20"/>
      <c r="G73" s="15"/>
      <c r="H73" s="15"/>
      <c r="I73" s="15"/>
      <c r="J73" s="19"/>
      <c r="K73" s="19"/>
      <c r="L73" s="15"/>
      <c r="M73" s="18"/>
    </row>
    <row r="74" spans="1:13" ht="15" thickBot="1">
      <c r="A74" s="98" t="s">
        <v>74</v>
      </c>
      <c r="B74" s="90" t="s">
        <v>277</v>
      </c>
      <c r="C74" s="99"/>
      <c r="D74" s="99"/>
      <c r="E74" s="99"/>
      <c r="F74" s="99"/>
      <c r="G74" s="99"/>
      <c r="H74" s="99"/>
      <c r="I74" s="99"/>
      <c r="J74" s="100"/>
      <c r="K74" s="100"/>
      <c r="L74" s="99"/>
      <c r="M74" s="101"/>
    </row>
    <row r="75" spans="1:13" ht="15" thickBot="1">
      <c r="A75" s="102" t="s">
        <v>98</v>
      </c>
      <c r="B75" s="103" t="s">
        <v>278</v>
      </c>
      <c r="C75" s="104"/>
      <c r="D75" s="105" t="s">
        <v>99</v>
      </c>
      <c r="E75" s="104"/>
      <c r="F75" s="104"/>
      <c r="G75" s="104"/>
      <c r="H75" s="104"/>
      <c r="I75" s="104"/>
      <c r="J75" s="106"/>
      <c r="K75" s="106"/>
      <c r="L75" s="104"/>
      <c r="M75" s="107"/>
    </row>
  </sheetData>
  <mergeCells count="6">
    <mergeCell ref="H53:H70"/>
    <mergeCell ref="H1:H21"/>
    <mergeCell ref="D3:G3"/>
    <mergeCell ref="H22:H31"/>
    <mergeCell ref="H32:H44"/>
    <mergeCell ref="H45:H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234"/>
  <sheetViews>
    <sheetView showGridLines="0" tabSelected="1" topLeftCell="E1" zoomScale="85" zoomScaleNormal="85" workbookViewId="0">
      <selection activeCell="L18" sqref="L18:L19"/>
    </sheetView>
  </sheetViews>
  <sheetFormatPr defaultRowHeight="10.199999999999999"/>
  <cols>
    <col min="1" max="1" width="35.109375" style="123" customWidth="1"/>
    <col min="2" max="6" width="11.21875" style="123" customWidth="1"/>
    <col min="7" max="7" width="12.88671875" style="123" customWidth="1"/>
    <col min="8" max="8" width="11" style="123" customWidth="1"/>
    <col min="9" max="9" width="12.88671875" style="123" customWidth="1"/>
    <col min="10" max="10" width="9.6640625" style="123" customWidth="1"/>
    <col min="11" max="12" width="8.88671875" style="123" customWidth="1"/>
    <col min="13" max="14" width="9.5546875" style="123" customWidth="1"/>
    <col min="15" max="16" width="16.77734375" style="123" customWidth="1"/>
    <col min="17" max="17" width="7.6640625" style="123" customWidth="1"/>
    <col min="18" max="18" width="6.77734375" style="123" customWidth="1"/>
    <col min="19" max="20" width="8" style="123" customWidth="1"/>
    <col min="21" max="23" width="9.6640625" style="123" customWidth="1"/>
    <col min="24" max="24" width="7.109375" style="123" customWidth="1"/>
    <col min="25" max="26" width="10.109375" style="123" customWidth="1"/>
    <col min="27" max="16384" width="8.88671875" style="123"/>
  </cols>
  <sheetData>
    <row r="1" spans="1:26" ht="14.4" customHeight="1">
      <c r="A1" s="120" t="s">
        <v>0</v>
      </c>
      <c r="B1" s="120"/>
      <c r="C1" s="120"/>
      <c r="D1" s="120"/>
      <c r="E1" s="120"/>
      <c r="F1" s="120"/>
      <c r="M1" s="180"/>
      <c r="N1" s="180"/>
      <c r="O1" s="262" t="s">
        <v>1</v>
      </c>
      <c r="P1" s="262"/>
      <c r="Q1" s="262"/>
      <c r="R1" s="262"/>
      <c r="S1" s="262"/>
      <c r="T1" s="262"/>
      <c r="U1" s="126"/>
      <c r="V1" s="126"/>
      <c r="W1" s="126"/>
      <c r="X1" s="126"/>
      <c r="Y1" s="126"/>
      <c r="Z1" s="126"/>
    </row>
    <row r="2" spans="1:26" ht="10.199999999999999" customHeight="1">
      <c r="A2" s="235" t="s">
        <v>294</v>
      </c>
      <c r="B2" s="235"/>
      <c r="C2" s="235"/>
      <c r="D2" s="235"/>
      <c r="E2" s="235"/>
      <c r="F2" s="235"/>
      <c r="G2" s="235"/>
      <c r="M2" s="180"/>
      <c r="N2" s="180"/>
      <c r="O2" s="235" t="s">
        <v>300</v>
      </c>
      <c r="P2" s="235"/>
      <c r="Q2" s="235"/>
      <c r="R2" s="235"/>
      <c r="S2" s="235"/>
      <c r="T2" s="235"/>
      <c r="U2" s="235"/>
      <c r="V2" s="126"/>
      <c r="W2" s="126"/>
      <c r="X2" s="126"/>
      <c r="Y2" s="126"/>
      <c r="Z2" s="126"/>
    </row>
    <row r="3" spans="1:26" ht="15" customHeight="1" thickBot="1">
      <c r="A3" s="127" t="s">
        <v>2</v>
      </c>
      <c r="B3" s="127"/>
      <c r="C3" s="127"/>
      <c r="D3" s="127"/>
      <c r="E3" s="127"/>
      <c r="F3" s="127"/>
      <c r="G3" s="152"/>
      <c r="H3" s="152"/>
      <c r="I3" s="152"/>
      <c r="J3" s="152"/>
      <c r="K3" s="152"/>
      <c r="L3" s="152"/>
      <c r="M3" s="270"/>
      <c r="N3" s="270"/>
      <c r="O3" s="270"/>
      <c r="P3" s="270"/>
      <c r="Q3" s="152"/>
      <c r="R3" s="152"/>
      <c r="S3" s="152"/>
      <c r="T3" s="152"/>
      <c r="U3" s="152"/>
      <c r="V3" s="152"/>
      <c r="W3" s="152" t="s">
        <v>3</v>
      </c>
      <c r="X3" s="152"/>
      <c r="Y3" s="152"/>
      <c r="Z3" s="128"/>
    </row>
    <row r="4" spans="1:26">
      <c r="A4" s="222" t="s">
        <v>279</v>
      </c>
      <c r="B4" s="264" t="s">
        <v>298</v>
      </c>
      <c r="C4" s="215" t="s">
        <v>299</v>
      </c>
      <c r="D4" s="236"/>
      <c r="E4" s="236"/>
      <c r="F4" s="267"/>
      <c r="G4" s="215" t="s">
        <v>283</v>
      </c>
      <c r="H4" s="216"/>
      <c r="I4" s="215" t="s">
        <v>284</v>
      </c>
      <c r="J4" s="216"/>
      <c r="K4" s="215" t="s">
        <v>285</v>
      </c>
      <c r="L4" s="216"/>
      <c r="M4" s="221" t="s">
        <v>127</v>
      </c>
      <c r="N4" s="236"/>
      <c r="O4" s="236"/>
      <c r="P4" s="236"/>
      <c r="Q4" s="215" t="s">
        <v>280</v>
      </c>
      <c r="R4" s="216"/>
      <c r="S4" s="215" t="s">
        <v>128</v>
      </c>
      <c r="T4" s="216"/>
      <c r="U4" s="221" t="s">
        <v>286</v>
      </c>
      <c r="V4" s="222"/>
      <c r="W4" s="223" t="s">
        <v>4</v>
      </c>
      <c r="X4" s="223"/>
      <c r="Y4" s="223"/>
    </row>
    <row r="5" spans="1:26">
      <c r="A5" s="224"/>
      <c r="B5" s="265"/>
      <c r="C5" s="268"/>
      <c r="D5" s="237"/>
      <c r="E5" s="237"/>
      <c r="F5" s="269"/>
      <c r="G5" s="217"/>
      <c r="H5" s="218"/>
      <c r="I5" s="217"/>
      <c r="J5" s="218"/>
      <c r="K5" s="217"/>
      <c r="L5" s="218"/>
      <c r="M5" s="237"/>
      <c r="N5" s="237"/>
      <c r="O5" s="237"/>
      <c r="P5" s="237"/>
      <c r="Q5" s="217"/>
      <c r="R5" s="218"/>
      <c r="S5" s="217"/>
      <c r="T5" s="218"/>
      <c r="U5" s="223"/>
      <c r="V5" s="224"/>
      <c r="W5" s="223"/>
      <c r="X5" s="223"/>
      <c r="Y5" s="223"/>
    </row>
    <row r="6" spans="1:26" ht="30.6" customHeight="1">
      <c r="A6" s="224"/>
      <c r="B6" s="265"/>
      <c r="C6" s="227" t="s">
        <v>297</v>
      </c>
      <c r="D6" s="263"/>
      <c r="E6" s="227" t="s">
        <v>282</v>
      </c>
      <c r="F6" s="263"/>
      <c r="G6" s="219"/>
      <c r="H6" s="220"/>
      <c r="I6" s="219"/>
      <c r="J6" s="220"/>
      <c r="K6" s="219"/>
      <c r="L6" s="220"/>
      <c r="M6" s="227" t="s">
        <v>289</v>
      </c>
      <c r="N6" s="228"/>
      <c r="O6" s="227" t="s">
        <v>290</v>
      </c>
      <c r="P6" s="229"/>
      <c r="Q6" s="219"/>
      <c r="R6" s="220"/>
      <c r="S6" s="219"/>
      <c r="T6" s="220"/>
      <c r="U6" s="225"/>
      <c r="V6" s="226"/>
      <c r="W6" s="223"/>
      <c r="X6" s="223"/>
      <c r="Y6" s="223"/>
    </row>
    <row r="7" spans="1:26">
      <c r="A7" s="226"/>
      <c r="B7" s="266"/>
      <c r="C7" s="121">
        <v>1</v>
      </c>
      <c r="D7" s="121">
        <v>2</v>
      </c>
      <c r="E7" s="121">
        <v>1</v>
      </c>
      <c r="F7" s="121">
        <v>2</v>
      </c>
      <c r="G7" s="121">
        <v>1</v>
      </c>
      <c r="H7" s="121">
        <v>2</v>
      </c>
      <c r="I7" s="121">
        <v>1</v>
      </c>
      <c r="J7" s="121">
        <v>2</v>
      </c>
      <c r="K7" s="121">
        <v>1</v>
      </c>
      <c r="L7" s="121">
        <v>2</v>
      </c>
      <c r="M7" s="130">
        <v>1</v>
      </c>
      <c r="N7" s="121">
        <v>2</v>
      </c>
      <c r="O7" s="121">
        <v>1</v>
      </c>
      <c r="P7" s="121">
        <v>2</v>
      </c>
      <c r="Q7" s="130">
        <v>1</v>
      </c>
      <c r="R7" s="121">
        <v>2</v>
      </c>
      <c r="S7" s="121">
        <v>1</v>
      </c>
      <c r="T7" s="131">
        <v>2</v>
      </c>
      <c r="U7" s="121">
        <v>1</v>
      </c>
      <c r="V7" s="129">
        <v>2</v>
      </c>
      <c r="W7" s="225"/>
      <c r="X7" s="225"/>
      <c r="Y7" s="225"/>
    </row>
    <row r="8" spans="1:26" ht="11.4" customHeight="1">
      <c r="A8" s="260" t="s">
        <v>100</v>
      </c>
      <c r="B8" s="258">
        <f>SUM(C8,E8,G8,I8,K8,M8,O8,Q8,S8,U8)</f>
        <v>11031406</v>
      </c>
      <c r="C8" s="231">
        <f>SUM(C10,C18,C27,C32,C38,C45,C52,C59,C64,C71,C81,C88,C103)</f>
        <v>1836690</v>
      </c>
      <c r="D8" s="233">
        <f>SUM(D10,D18,D27,D32,D38,D45,D52,D59,D64,D71,D81,D88,D103)</f>
        <v>520652.13099999994</v>
      </c>
      <c r="E8" s="231">
        <f t="shared" ref="E8:V8" si="0">SUM(E10,E18,E27,E32,E38,E45,E52,E59,E64,E71,E81,E88,E103)</f>
        <v>4758143</v>
      </c>
      <c r="F8" s="233">
        <f t="shared" si="0"/>
        <v>1311207.9640000002</v>
      </c>
      <c r="G8" s="231">
        <f t="shared" si="0"/>
        <v>1370879</v>
      </c>
      <c r="H8" s="233">
        <f t="shared" si="0"/>
        <v>381071.17699999997</v>
      </c>
      <c r="I8" s="231">
        <f t="shared" si="0"/>
        <v>449487</v>
      </c>
      <c r="J8" s="233">
        <f t="shared" si="0"/>
        <v>92238.205000000002</v>
      </c>
      <c r="K8" s="231">
        <f t="shared" si="0"/>
        <v>149699</v>
      </c>
      <c r="L8" s="233">
        <f t="shared" si="0"/>
        <v>31808.926999999996</v>
      </c>
      <c r="M8" s="231">
        <f t="shared" si="0"/>
        <v>2116831</v>
      </c>
      <c r="N8" s="233">
        <f t="shared" si="0"/>
        <v>2268797.8130000001</v>
      </c>
      <c r="O8" s="231">
        <f t="shared" si="0"/>
        <v>15762</v>
      </c>
      <c r="P8" s="233">
        <f t="shared" si="0"/>
        <v>6441.0369999999994</v>
      </c>
      <c r="Q8" s="231">
        <f t="shared" si="0"/>
        <v>281001</v>
      </c>
      <c r="R8" s="233">
        <f t="shared" si="0"/>
        <v>235939.32</v>
      </c>
      <c r="S8" s="231">
        <f t="shared" si="0"/>
        <v>954</v>
      </c>
      <c r="T8" s="233">
        <f t="shared" si="0"/>
        <v>225</v>
      </c>
      <c r="U8" s="231">
        <f t="shared" si="0"/>
        <v>51960</v>
      </c>
      <c r="V8" s="239">
        <f t="shared" si="0"/>
        <v>11345.866</v>
      </c>
      <c r="W8" s="271" t="s">
        <v>129</v>
      </c>
      <c r="X8" s="272"/>
      <c r="Y8" s="272"/>
    </row>
    <row r="9" spans="1:26">
      <c r="A9" s="261"/>
      <c r="B9" s="256"/>
      <c r="C9" s="232"/>
      <c r="D9" s="234"/>
      <c r="E9" s="232"/>
      <c r="F9" s="234"/>
      <c r="G9" s="232"/>
      <c r="H9" s="234"/>
      <c r="I9" s="232"/>
      <c r="J9" s="234"/>
      <c r="K9" s="232"/>
      <c r="L9" s="234"/>
      <c r="M9" s="232"/>
      <c r="N9" s="234"/>
      <c r="O9" s="232"/>
      <c r="P9" s="234"/>
      <c r="Q9" s="232"/>
      <c r="R9" s="234"/>
      <c r="S9" s="232"/>
      <c r="T9" s="234"/>
      <c r="U9" s="232"/>
      <c r="V9" s="240"/>
      <c r="W9" s="273"/>
      <c r="X9" s="238"/>
      <c r="Y9" s="238"/>
    </row>
    <row r="10" spans="1:26" ht="14.4" customHeight="1">
      <c r="A10" s="214" t="s">
        <v>101</v>
      </c>
      <c r="B10" s="256">
        <f>SUM(C10,E10,G10,I10,K10,M10,O10,Q10,S10,U10)</f>
        <v>1596364</v>
      </c>
      <c r="C10" s="248">
        <f t="shared" ref="C10:L10" si="1">SUM(C12:C17)</f>
        <v>379703</v>
      </c>
      <c r="D10" s="246">
        <f t="shared" si="1"/>
        <v>118677.224</v>
      </c>
      <c r="E10" s="248">
        <f t="shared" si="1"/>
        <v>531848</v>
      </c>
      <c r="F10" s="246">
        <f t="shared" si="1"/>
        <v>153259.745</v>
      </c>
      <c r="G10" s="248">
        <f t="shared" si="1"/>
        <v>122171</v>
      </c>
      <c r="H10" s="246">
        <f t="shared" si="1"/>
        <v>34238.014999999999</v>
      </c>
      <c r="I10" s="248">
        <f t="shared" si="1"/>
        <v>7612</v>
      </c>
      <c r="J10" s="246">
        <f t="shared" si="1"/>
        <v>1543.0900000000001</v>
      </c>
      <c r="K10" s="248">
        <f t="shared" si="1"/>
        <v>8549</v>
      </c>
      <c r="L10" s="246">
        <f t="shared" si="1"/>
        <v>1841.08</v>
      </c>
      <c r="M10" s="209">
        <f>SUM(M12:M17)</f>
        <v>518828</v>
      </c>
      <c r="N10" s="212">
        <f t="shared" ref="N10:V10" si="2">SUM(N12:N17)</f>
        <v>549302.65500000003</v>
      </c>
      <c r="O10" s="209">
        <f t="shared" si="2"/>
        <v>5</v>
      </c>
      <c r="P10" s="212">
        <f t="shared" si="2"/>
        <v>4</v>
      </c>
      <c r="Q10" s="209">
        <f>SUM(Q12:Q17)</f>
        <v>24265</v>
      </c>
      <c r="R10" s="212">
        <f t="shared" si="2"/>
        <v>16925.75</v>
      </c>
      <c r="S10" s="209">
        <f t="shared" si="2"/>
        <v>80</v>
      </c>
      <c r="T10" s="212">
        <f t="shared" si="2"/>
        <v>11</v>
      </c>
      <c r="U10" s="209">
        <f t="shared" si="2"/>
        <v>3303</v>
      </c>
      <c r="V10" s="230">
        <f t="shared" si="2"/>
        <v>991.17</v>
      </c>
      <c r="W10" s="238" t="s">
        <v>115</v>
      </c>
      <c r="X10" s="238"/>
      <c r="Y10" s="238"/>
    </row>
    <row r="11" spans="1:26" ht="12" customHeight="1">
      <c r="A11" s="214"/>
      <c r="B11" s="256"/>
      <c r="C11" s="248"/>
      <c r="D11" s="246"/>
      <c r="E11" s="248"/>
      <c r="F11" s="246"/>
      <c r="G11" s="248"/>
      <c r="H11" s="246"/>
      <c r="I11" s="248"/>
      <c r="J11" s="246"/>
      <c r="K11" s="248"/>
      <c r="L11" s="246"/>
      <c r="M11" s="209"/>
      <c r="N11" s="212"/>
      <c r="O11" s="209"/>
      <c r="P11" s="212"/>
      <c r="Q11" s="209"/>
      <c r="R11" s="212"/>
      <c r="S11" s="209"/>
      <c r="T11" s="212"/>
      <c r="U11" s="209"/>
      <c r="V11" s="230"/>
      <c r="W11" s="238"/>
      <c r="X11" s="238"/>
      <c r="Y11" s="238"/>
    </row>
    <row r="12" spans="1:26">
      <c r="A12" s="154" t="str">
        <f>VLOOKUP(ListOfRegions!$A$1,ListOfRegions!$A$1:B75,2,0)</f>
        <v xml:space="preserve">  Ροδόπης</v>
      </c>
      <c r="B12" s="157">
        <f t="shared" ref="B12:B17" si="3">SUM(C12,E12,G12,I12,K12,M12,O12,Q12,S12,U12)</f>
        <v>222442</v>
      </c>
      <c r="C12" s="160">
        <v>68318</v>
      </c>
      <c r="D12" s="188">
        <v>21797</v>
      </c>
      <c r="E12" s="165">
        <v>87259</v>
      </c>
      <c r="F12" s="159">
        <v>24740.724999999999</v>
      </c>
      <c r="G12" s="160">
        <v>38832</v>
      </c>
      <c r="H12" s="159">
        <v>10860.115</v>
      </c>
      <c r="I12" s="160">
        <v>1455</v>
      </c>
      <c r="J12" s="159">
        <v>246.25</v>
      </c>
      <c r="K12" s="168">
        <v>2145</v>
      </c>
      <c r="L12" s="159">
        <v>318.3</v>
      </c>
      <c r="M12" s="160">
        <v>23723</v>
      </c>
      <c r="N12" s="159">
        <v>26725.7</v>
      </c>
      <c r="O12" s="148" t="s">
        <v>291</v>
      </c>
      <c r="P12" s="162" t="s">
        <v>291</v>
      </c>
      <c r="Q12" s="148">
        <v>0</v>
      </c>
      <c r="R12" s="162">
        <v>0</v>
      </c>
      <c r="S12" s="148" t="s">
        <v>291</v>
      </c>
      <c r="T12" s="162" t="s">
        <v>291</v>
      </c>
      <c r="U12" s="171">
        <v>710</v>
      </c>
      <c r="V12" s="189">
        <v>152.5</v>
      </c>
      <c r="W12" s="122" t="s">
        <v>130</v>
      </c>
      <c r="X12" s="132"/>
      <c r="Y12" s="132"/>
    </row>
    <row r="13" spans="1:26">
      <c r="A13" s="154" t="str">
        <f>VLOOKUP(ListOfRegions!$A$2,ListOfRegions!$A$2:B76,2,0)</f>
        <v xml:space="preserve">  Δράμας</v>
      </c>
      <c r="B13" s="157">
        <f t="shared" si="3"/>
        <v>326637</v>
      </c>
      <c r="C13" s="160">
        <v>60443</v>
      </c>
      <c r="D13" s="188">
        <v>15686.77</v>
      </c>
      <c r="E13" s="160">
        <v>99851</v>
      </c>
      <c r="F13" s="159">
        <v>28030.084999999999</v>
      </c>
      <c r="G13" s="160">
        <v>33197</v>
      </c>
      <c r="H13" s="159">
        <v>8309.4500000000007</v>
      </c>
      <c r="I13" s="160">
        <v>4860</v>
      </c>
      <c r="J13" s="159">
        <v>933.8</v>
      </c>
      <c r="K13" s="168">
        <v>750</v>
      </c>
      <c r="L13" s="159">
        <v>109</v>
      </c>
      <c r="M13" s="160">
        <v>127431</v>
      </c>
      <c r="N13" s="159">
        <v>125657.7</v>
      </c>
      <c r="O13" s="148" t="s">
        <v>291</v>
      </c>
      <c r="P13" s="162" t="s">
        <v>291</v>
      </c>
      <c r="Q13" s="148">
        <v>0</v>
      </c>
      <c r="R13" s="162">
        <v>0</v>
      </c>
      <c r="S13" s="148" t="s">
        <v>291</v>
      </c>
      <c r="T13" s="162" t="s">
        <v>291</v>
      </c>
      <c r="U13" s="171">
        <v>105</v>
      </c>
      <c r="V13" s="189">
        <v>31.53</v>
      </c>
      <c r="W13" s="122" t="s">
        <v>131</v>
      </c>
      <c r="X13" s="132"/>
      <c r="Y13" s="132"/>
    </row>
    <row r="14" spans="1:26">
      <c r="A14" s="154" t="str">
        <f>VLOOKUP(ListOfRegions!A3,ListOfRegions!A3:B77,2,0)</f>
        <v xml:space="preserve">  Έβρου</v>
      </c>
      <c r="B14" s="157">
        <f t="shared" si="3"/>
        <v>562194</v>
      </c>
      <c r="C14" s="160">
        <v>163774</v>
      </c>
      <c r="D14" s="188">
        <v>55377.569000000003</v>
      </c>
      <c r="E14" s="160">
        <v>309516</v>
      </c>
      <c r="F14" s="159">
        <v>91180.88</v>
      </c>
      <c r="G14" s="160">
        <v>34777</v>
      </c>
      <c r="H14" s="159">
        <v>10829.84</v>
      </c>
      <c r="I14" s="160">
        <v>827</v>
      </c>
      <c r="J14" s="159">
        <v>270.64</v>
      </c>
      <c r="K14" s="168">
        <v>4299</v>
      </c>
      <c r="L14" s="159">
        <v>1201.56</v>
      </c>
      <c r="M14" s="160">
        <v>44068</v>
      </c>
      <c r="N14" s="159">
        <v>50543.14</v>
      </c>
      <c r="O14" s="148" t="s">
        <v>291</v>
      </c>
      <c r="P14" s="162" t="s">
        <v>291</v>
      </c>
      <c r="Q14" s="185">
        <v>2500</v>
      </c>
      <c r="R14" s="177">
        <v>1750</v>
      </c>
      <c r="S14" s="148" t="s">
        <v>291</v>
      </c>
      <c r="T14" s="162" t="s">
        <v>291</v>
      </c>
      <c r="U14" s="171">
        <v>2433</v>
      </c>
      <c r="V14" s="189">
        <v>796.14</v>
      </c>
      <c r="W14" s="122" t="s">
        <v>132</v>
      </c>
      <c r="X14" s="132"/>
      <c r="Y14" s="132"/>
    </row>
    <row r="15" spans="1:26">
      <c r="A15" s="154" t="str">
        <f>VLOOKUP(ListOfRegions!A4,ListOfRegions!A4:B78,2,0)</f>
        <v xml:space="preserve">  Θάσου</v>
      </c>
      <c r="B15" s="157">
        <f t="shared" si="3"/>
        <v>22</v>
      </c>
      <c r="C15" s="148" t="s">
        <v>291</v>
      </c>
      <c r="D15" s="162" t="s">
        <v>291</v>
      </c>
      <c r="E15" s="148" t="s">
        <v>291</v>
      </c>
      <c r="F15" s="162" t="s">
        <v>291</v>
      </c>
      <c r="G15" s="148" t="s">
        <v>291</v>
      </c>
      <c r="H15" s="162" t="s">
        <v>291</v>
      </c>
      <c r="I15" s="148" t="s">
        <v>291</v>
      </c>
      <c r="J15" s="162" t="s">
        <v>291</v>
      </c>
      <c r="K15" s="148" t="s">
        <v>291</v>
      </c>
      <c r="L15" s="162" t="s">
        <v>291</v>
      </c>
      <c r="M15" s="160">
        <v>22</v>
      </c>
      <c r="N15" s="159">
        <v>17.75</v>
      </c>
      <c r="O15" s="148" t="s">
        <v>291</v>
      </c>
      <c r="P15" s="162" t="s">
        <v>291</v>
      </c>
      <c r="Q15" s="148">
        <v>0</v>
      </c>
      <c r="R15" s="162">
        <v>0</v>
      </c>
      <c r="S15" s="148" t="s">
        <v>291</v>
      </c>
      <c r="T15" s="162" t="s">
        <v>291</v>
      </c>
      <c r="U15" s="148" t="s">
        <v>291</v>
      </c>
      <c r="V15" s="184" t="s">
        <v>291</v>
      </c>
      <c r="W15" s="122" t="s">
        <v>133</v>
      </c>
      <c r="X15" s="132"/>
      <c r="Y15" s="132"/>
    </row>
    <row r="16" spans="1:26">
      <c r="A16" s="154" t="str">
        <f>VLOOKUP(ListOfRegions!A5,ListOfRegions!A5:B79,2,0)</f>
        <v xml:space="preserve">  Καβάλας</v>
      </c>
      <c r="B16" s="157">
        <f t="shared" si="3"/>
        <v>245913</v>
      </c>
      <c r="C16" s="160">
        <v>24696</v>
      </c>
      <c r="D16" s="188">
        <v>6675.3050000000003</v>
      </c>
      <c r="E16" s="160">
        <v>10434</v>
      </c>
      <c r="F16" s="159">
        <v>2500.3000000000002</v>
      </c>
      <c r="G16" s="160">
        <v>5775</v>
      </c>
      <c r="H16" s="159">
        <v>1274.69</v>
      </c>
      <c r="I16" s="160">
        <v>470</v>
      </c>
      <c r="J16" s="159">
        <v>92.4</v>
      </c>
      <c r="K16" s="168">
        <v>340</v>
      </c>
      <c r="L16" s="159">
        <v>79.52</v>
      </c>
      <c r="M16" s="160">
        <v>182293</v>
      </c>
      <c r="N16" s="159">
        <v>187253.25</v>
      </c>
      <c r="O16" s="173">
        <v>5</v>
      </c>
      <c r="P16" s="167">
        <v>4</v>
      </c>
      <c r="Q16" s="161">
        <v>21765</v>
      </c>
      <c r="R16" s="159">
        <v>15175.75</v>
      </c>
      <c r="S16" s="171">
        <v>80</v>
      </c>
      <c r="T16" s="158">
        <v>11</v>
      </c>
      <c r="U16" s="171">
        <v>55</v>
      </c>
      <c r="V16" s="189">
        <v>11</v>
      </c>
      <c r="W16" s="122" t="s">
        <v>134</v>
      </c>
      <c r="X16" s="132"/>
      <c r="Y16" s="132"/>
    </row>
    <row r="17" spans="1:28">
      <c r="A17" s="154" t="str">
        <f>VLOOKUP(ListOfRegions!A6,ListOfRegions!A6:B80,2,0)</f>
        <v xml:space="preserve">  Ξάνθης</v>
      </c>
      <c r="B17" s="157">
        <f t="shared" si="3"/>
        <v>239156</v>
      </c>
      <c r="C17" s="160">
        <v>62472</v>
      </c>
      <c r="D17" s="188">
        <v>19140.580000000002</v>
      </c>
      <c r="E17" s="160">
        <v>24788</v>
      </c>
      <c r="F17" s="159">
        <v>6807.7550000000001</v>
      </c>
      <c r="G17" s="160">
        <v>9590</v>
      </c>
      <c r="H17" s="159">
        <v>2963.92</v>
      </c>
      <c r="I17" s="148" t="s">
        <v>291</v>
      </c>
      <c r="J17" s="162" t="s">
        <v>291</v>
      </c>
      <c r="K17" s="168">
        <v>1015</v>
      </c>
      <c r="L17" s="159">
        <v>132.69999999999999</v>
      </c>
      <c r="M17" s="160">
        <v>141291</v>
      </c>
      <c r="N17" s="159">
        <v>159105.11499999999</v>
      </c>
      <c r="O17" s="148" t="s">
        <v>291</v>
      </c>
      <c r="P17" s="162" t="s">
        <v>291</v>
      </c>
      <c r="Q17" s="148">
        <v>0</v>
      </c>
      <c r="R17" s="162">
        <v>0</v>
      </c>
      <c r="S17" s="148" t="s">
        <v>291</v>
      </c>
      <c r="T17" s="162" t="s">
        <v>291</v>
      </c>
      <c r="U17" s="148" t="s">
        <v>291</v>
      </c>
      <c r="V17" s="184" t="s">
        <v>291</v>
      </c>
      <c r="W17" s="122" t="s">
        <v>135</v>
      </c>
      <c r="X17" s="132"/>
      <c r="Y17" s="132"/>
    </row>
    <row r="18" spans="1:28" ht="14.4" customHeight="1">
      <c r="A18" s="259" t="s">
        <v>102</v>
      </c>
      <c r="B18" s="256">
        <f>SUM(C18,E18,G18,I18,K18,M18,O18,Q18,S18,U18)</f>
        <v>3480646</v>
      </c>
      <c r="C18" s="243">
        <f>SUM(C20:C26)</f>
        <v>670645</v>
      </c>
      <c r="D18" s="244">
        <f t="shared" ref="D18:V18" si="4">SUM(D20:D26)</f>
        <v>175353.45500000002</v>
      </c>
      <c r="E18" s="243">
        <f t="shared" si="4"/>
        <v>1632197</v>
      </c>
      <c r="F18" s="244">
        <f t="shared" si="4"/>
        <v>390054.23600000003</v>
      </c>
      <c r="G18" s="243">
        <f t="shared" si="4"/>
        <v>335651</v>
      </c>
      <c r="H18" s="244">
        <f t="shared" si="4"/>
        <v>106553.94</v>
      </c>
      <c r="I18" s="243">
        <f t="shared" si="4"/>
        <v>48585</v>
      </c>
      <c r="J18" s="244">
        <f t="shared" si="4"/>
        <v>9761.18</v>
      </c>
      <c r="K18" s="243">
        <f t="shared" si="4"/>
        <v>27568</v>
      </c>
      <c r="L18" s="244">
        <f t="shared" si="4"/>
        <v>5298.0700000000006</v>
      </c>
      <c r="M18" s="243">
        <f t="shared" si="4"/>
        <v>495896</v>
      </c>
      <c r="N18" s="244">
        <f t="shared" si="4"/>
        <v>535751.54500000004</v>
      </c>
      <c r="O18" s="243">
        <f t="shared" si="4"/>
        <v>250</v>
      </c>
      <c r="P18" s="244">
        <f t="shared" si="4"/>
        <v>184</v>
      </c>
      <c r="Q18" s="243">
        <f t="shared" si="4"/>
        <v>232344</v>
      </c>
      <c r="R18" s="244">
        <f t="shared" si="4"/>
        <v>203136.01</v>
      </c>
      <c r="S18" s="243">
        <f t="shared" si="4"/>
        <v>465</v>
      </c>
      <c r="T18" s="244">
        <f t="shared" si="4"/>
        <v>61</v>
      </c>
      <c r="U18" s="243">
        <f t="shared" si="4"/>
        <v>37045</v>
      </c>
      <c r="V18" s="245">
        <f t="shared" si="4"/>
        <v>7787.9720000000016</v>
      </c>
      <c r="W18" s="241" t="s">
        <v>116</v>
      </c>
      <c r="X18" s="242"/>
      <c r="Y18" s="242"/>
    </row>
    <row r="19" spans="1:28">
      <c r="A19" s="259"/>
      <c r="B19" s="256"/>
      <c r="C19" s="243"/>
      <c r="D19" s="244"/>
      <c r="E19" s="243"/>
      <c r="F19" s="244"/>
      <c r="G19" s="243"/>
      <c r="H19" s="244"/>
      <c r="I19" s="243"/>
      <c r="J19" s="244"/>
      <c r="K19" s="243"/>
      <c r="L19" s="244"/>
      <c r="M19" s="243"/>
      <c r="N19" s="244"/>
      <c r="O19" s="243"/>
      <c r="P19" s="244"/>
      <c r="Q19" s="243"/>
      <c r="R19" s="244"/>
      <c r="S19" s="243"/>
      <c r="T19" s="244"/>
      <c r="U19" s="243"/>
      <c r="V19" s="245"/>
      <c r="W19" s="241"/>
      <c r="X19" s="242"/>
      <c r="Y19" s="242"/>
    </row>
    <row r="20" spans="1:28">
      <c r="A20" s="154" t="str">
        <f>VLOOKUP(ListOfRegions!A7,ListOfRegions!A7:B81,2,0)</f>
        <v xml:space="preserve">  Θεσσαλονίκης</v>
      </c>
      <c r="B20" s="157">
        <f>SUM(C20,E20,G20,I20,K20,M20,O20,Q20,S20,U20)</f>
        <v>867997</v>
      </c>
      <c r="C20" s="160">
        <v>201238</v>
      </c>
      <c r="D20" s="159">
        <v>55396.69</v>
      </c>
      <c r="E20" s="160">
        <v>271096</v>
      </c>
      <c r="F20" s="159">
        <v>72347.331999999995</v>
      </c>
      <c r="G20" s="160">
        <v>117882</v>
      </c>
      <c r="H20" s="159">
        <v>35286.705000000002</v>
      </c>
      <c r="I20" s="160">
        <v>17657</v>
      </c>
      <c r="J20" s="159">
        <v>3717.05</v>
      </c>
      <c r="K20" s="168">
        <v>16645</v>
      </c>
      <c r="L20" s="159">
        <v>3150.99</v>
      </c>
      <c r="M20" s="160">
        <v>57438</v>
      </c>
      <c r="N20" s="159">
        <v>67608.800000000003</v>
      </c>
      <c r="O20" s="148" t="s">
        <v>291</v>
      </c>
      <c r="P20" s="162" t="s">
        <v>291</v>
      </c>
      <c r="Q20" s="161">
        <v>177582</v>
      </c>
      <c r="R20" s="159">
        <v>168093.2</v>
      </c>
      <c r="S20" s="148" t="s">
        <v>291</v>
      </c>
      <c r="T20" s="162" t="s">
        <v>291</v>
      </c>
      <c r="U20" s="171">
        <v>8459</v>
      </c>
      <c r="V20" s="189">
        <v>2262.11</v>
      </c>
      <c r="W20" s="122" t="s">
        <v>136</v>
      </c>
      <c r="X20" s="132"/>
      <c r="Y20" s="132"/>
    </row>
    <row r="21" spans="1:28">
      <c r="A21" s="154" t="str">
        <f>VLOOKUP(ListOfRegions!A8,ListOfRegions!A8:B82,2,0)</f>
        <v xml:space="preserve">  Ημαθίας</v>
      </c>
      <c r="B21" s="157">
        <f t="shared" ref="B21:B31" si="5">SUM(C21,E21,G21,I21,K21,M21,O21,Q21,S21,U21)</f>
        <v>148485</v>
      </c>
      <c r="C21" s="160">
        <v>17097</v>
      </c>
      <c r="D21" s="159">
        <v>6267.41</v>
      </c>
      <c r="E21" s="160">
        <v>52561</v>
      </c>
      <c r="F21" s="159">
        <v>17524.939999999999</v>
      </c>
      <c r="G21" s="160">
        <v>10614</v>
      </c>
      <c r="H21" s="159">
        <v>3648.9</v>
      </c>
      <c r="I21" s="160">
        <v>170</v>
      </c>
      <c r="J21" s="159">
        <v>58.5</v>
      </c>
      <c r="K21" s="148" t="s">
        <v>291</v>
      </c>
      <c r="L21" s="162" t="s">
        <v>291</v>
      </c>
      <c r="M21" s="160">
        <v>54218</v>
      </c>
      <c r="N21" s="159">
        <v>53241.25</v>
      </c>
      <c r="O21" s="171">
        <v>190</v>
      </c>
      <c r="P21" s="159">
        <v>152</v>
      </c>
      <c r="Q21" s="161">
        <v>12815</v>
      </c>
      <c r="R21" s="159">
        <v>8077.8</v>
      </c>
      <c r="S21" s="148" t="s">
        <v>291</v>
      </c>
      <c r="T21" s="162" t="s">
        <v>291</v>
      </c>
      <c r="U21" s="171">
        <v>820</v>
      </c>
      <c r="V21" s="189">
        <v>260.89999999999998</v>
      </c>
      <c r="W21" s="122" t="s">
        <v>137</v>
      </c>
      <c r="X21" s="132"/>
      <c r="Y21" s="132"/>
    </row>
    <row r="22" spans="1:28">
      <c r="A22" s="154" t="str">
        <f>VLOOKUP(ListOfRegions!A9,ListOfRegions!A9:B83,2,0)</f>
        <v xml:space="preserve">  Κιλκίς</v>
      </c>
      <c r="B22" s="157">
        <f t="shared" si="5"/>
        <v>693402</v>
      </c>
      <c r="C22" s="160">
        <v>205289</v>
      </c>
      <c r="D22" s="159">
        <v>39849.925000000003</v>
      </c>
      <c r="E22" s="160">
        <v>395479</v>
      </c>
      <c r="F22" s="159">
        <v>76346.27</v>
      </c>
      <c r="G22" s="160">
        <v>30344</v>
      </c>
      <c r="H22" s="159">
        <v>6080.48</v>
      </c>
      <c r="I22" s="160">
        <v>3710</v>
      </c>
      <c r="J22" s="159">
        <v>667.94</v>
      </c>
      <c r="K22" s="168">
        <v>4744</v>
      </c>
      <c r="L22" s="159">
        <v>720.98500000000001</v>
      </c>
      <c r="M22" s="160">
        <v>33660</v>
      </c>
      <c r="N22" s="159">
        <v>32423.345000000001</v>
      </c>
      <c r="O22" s="148" t="s">
        <v>291</v>
      </c>
      <c r="P22" s="162" t="s">
        <v>291</v>
      </c>
      <c r="Q22" s="148">
        <v>0</v>
      </c>
      <c r="R22" s="162">
        <v>0</v>
      </c>
      <c r="S22" s="171">
        <v>465</v>
      </c>
      <c r="T22" s="158">
        <v>61</v>
      </c>
      <c r="U22" s="171">
        <v>19711</v>
      </c>
      <c r="V22" s="189">
        <v>3601.2820000000002</v>
      </c>
      <c r="W22" s="122" t="s">
        <v>138</v>
      </c>
      <c r="X22" s="132"/>
      <c r="Y22" s="132"/>
    </row>
    <row r="23" spans="1:28">
      <c r="A23" s="154" t="str">
        <f>VLOOKUP(ListOfRegions!A10,ListOfRegions!A10:B84,2,0)</f>
        <v xml:space="preserve">  Πέλλας</v>
      </c>
      <c r="B23" s="157">
        <f t="shared" si="5"/>
        <v>252921</v>
      </c>
      <c r="C23" s="160">
        <v>33490</v>
      </c>
      <c r="D23" s="159">
        <v>9323.57</v>
      </c>
      <c r="E23" s="160">
        <v>82266</v>
      </c>
      <c r="F23" s="159">
        <v>26832.26</v>
      </c>
      <c r="G23" s="160">
        <v>43136</v>
      </c>
      <c r="H23" s="159">
        <v>15234.78</v>
      </c>
      <c r="I23" s="160">
        <v>2800</v>
      </c>
      <c r="J23" s="159">
        <v>570.63499999999999</v>
      </c>
      <c r="K23" s="168">
        <v>1558</v>
      </c>
      <c r="L23" s="159">
        <v>309.47500000000002</v>
      </c>
      <c r="M23" s="160">
        <v>88000</v>
      </c>
      <c r="N23" s="159">
        <v>87803.1</v>
      </c>
      <c r="O23" s="171">
        <v>50</v>
      </c>
      <c r="P23" s="159">
        <v>30</v>
      </c>
      <c r="Q23" s="186">
        <v>631</v>
      </c>
      <c r="R23" s="159">
        <v>529.03</v>
      </c>
      <c r="S23" s="148" t="s">
        <v>291</v>
      </c>
      <c r="T23" s="162" t="s">
        <v>291</v>
      </c>
      <c r="U23" s="171">
        <v>990</v>
      </c>
      <c r="V23" s="189">
        <v>288.10000000000002</v>
      </c>
      <c r="W23" s="122" t="s">
        <v>139</v>
      </c>
      <c r="X23" s="132"/>
      <c r="Y23" s="132"/>
    </row>
    <row r="24" spans="1:28">
      <c r="A24" s="154" t="str">
        <f>VLOOKUP(ListOfRegions!A11,ListOfRegions!A11:B85,2,0)</f>
        <v xml:space="preserve">  Πιερίας</v>
      </c>
      <c r="B24" s="157">
        <f t="shared" si="5"/>
        <v>243060</v>
      </c>
      <c r="C24" s="160">
        <v>59985</v>
      </c>
      <c r="D24" s="159">
        <v>19916.54</v>
      </c>
      <c r="E24" s="160">
        <v>116641</v>
      </c>
      <c r="F24" s="159">
        <v>33346.148999999998</v>
      </c>
      <c r="G24" s="160">
        <v>21655</v>
      </c>
      <c r="H24" s="159">
        <v>7148.2</v>
      </c>
      <c r="I24" s="160">
        <v>4950</v>
      </c>
      <c r="J24" s="159">
        <v>1297.44</v>
      </c>
      <c r="K24" s="168">
        <v>90</v>
      </c>
      <c r="L24" s="159">
        <v>20.8</v>
      </c>
      <c r="M24" s="160">
        <v>28159</v>
      </c>
      <c r="N24" s="159">
        <v>32036.3</v>
      </c>
      <c r="O24" s="148" t="s">
        <v>291</v>
      </c>
      <c r="P24" s="162" t="s">
        <v>291</v>
      </c>
      <c r="Q24" s="186">
        <v>10580</v>
      </c>
      <c r="R24" s="159">
        <v>8464</v>
      </c>
      <c r="S24" s="148" t="s">
        <v>291</v>
      </c>
      <c r="T24" s="162" t="s">
        <v>291</v>
      </c>
      <c r="U24" s="171">
        <v>1000</v>
      </c>
      <c r="V24" s="189">
        <v>200</v>
      </c>
      <c r="W24" s="122" t="s">
        <v>140</v>
      </c>
      <c r="X24" s="132"/>
      <c r="Y24" s="132"/>
    </row>
    <row r="25" spans="1:28">
      <c r="A25" s="154" t="str">
        <f>VLOOKUP(ListOfRegions!A12,ListOfRegions!A12:B86,2,0)</f>
        <v xml:space="preserve">  Σερρών</v>
      </c>
      <c r="B25" s="157">
        <f t="shared" si="5"/>
        <v>903051</v>
      </c>
      <c r="C25" s="160">
        <v>110910</v>
      </c>
      <c r="D25" s="159">
        <v>36188.224999999999</v>
      </c>
      <c r="E25" s="160">
        <v>447496</v>
      </c>
      <c r="F25" s="159">
        <v>109515.59</v>
      </c>
      <c r="G25" s="160">
        <v>75654</v>
      </c>
      <c r="H25" s="159">
        <v>29186.525000000001</v>
      </c>
      <c r="I25" s="160">
        <v>930</v>
      </c>
      <c r="J25" s="159">
        <v>262.60000000000002</v>
      </c>
      <c r="K25" s="168">
        <v>3580</v>
      </c>
      <c r="L25" s="159">
        <v>929.14</v>
      </c>
      <c r="M25" s="160">
        <v>231449</v>
      </c>
      <c r="N25" s="159">
        <v>259470.32</v>
      </c>
      <c r="O25" s="148" t="s">
        <v>291</v>
      </c>
      <c r="P25" s="162" t="s">
        <v>291</v>
      </c>
      <c r="Q25" s="161">
        <v>30736</v>
      </c>
      <c r="R25" s="159">
        <v>17971.98</v>
      </c>
      <c r="S25" s="148" t="s">
        <v>291</v>
      </c>
      <c r="T25" s="162" t="s">
        <v>291</v>
      </c>
      <c r="U25" s="171">
        <v>2296</v>
      </c>
      <c r="V25" s="189">
        <v>610.23</v>
      </c>
      <c r="W25" s="122" t="s">
        <v>141</v>
      </c>
      <c r="X25" s="132"/>
      <c r="Y25" s="132"/>
    </row>
    <row r="26" spans="1:28">
      <c r="A26" s="154" t="str">
        <f>VLOOKUP(ListOfRegions!A13,ListOfRegions!A13:B87,2,0)</f>
        <v xml:space="preserve">  Χαλκιδικής</v>
      </c>
      <c r="B26" s="157">
        <f t="shared" si="5"/>
        <v>371730</v>
      </c>
      <c r="C26" s="160">
        <v>42636</v>
      </c>
      <c r="D26" s="159">
        <v>8411.0949999999993</v>
      </c>
      <c r="E26" s="160">
        <v>266658</v>
      </c>
      <c r="F26" s="159">
        <v>54141.695</v>
      </c>
      <c r="G26" s="160">
        <v>36366</v>
      </c>
      <c r="H26" s="159">
        <v>9968.35</v>
      </c>
      <c r="I26" s="160">
        <v>18368</v>
      </c>
      <c r="J26" s="159">
        <v>3187.0149999999999</v>
      </c>
      <c r="K26" s="168">
        <v>951</v>
      </c>
      <c r="L26" s="159">
        <v>166.68</v>
      </c>
      <c r="M26" s="160">
        <v>2972</v>
      </c>
      <c r="N26" s="159">
        <v>3168.43</v>
      </c>
      <c r="O26" s="171">
        <v>10</v>
      </c>
      <c r="P26" s="159">
        <v>2</v>
      </c>
      <c r="Q26" s="148">
        <v>0</v>
      </c>
      <c r="R26" s="162">
        <v>0</v>
      </c>
      <c r="S26" s="148" t="s">
        <v>291</v>
      </c>
      <c r="T26" s="162" t="s">
        <v>291</v>
      </c>
      <c r="U26" s="171">
        <v>3769</v>
      </c>
      <c r="V26" s="189">
        <v>565.35</v>
      </c>
      <c r="W26" s="122" t="s">
        <v>142</v>
      </c>
      <c r="X26" s="132"/>
      <c r="Y26" s="132"/>
      <c r="AB26" s="153" t="s">
        <v>291</v>
      </c>
    </row>
    <row r="27" spans="1:28" ht="18" customHeight="1">
      <c r="A27" s="178" t="s">
        <v>295</v>
      </c>
      <c r="B27" s="175">
        <f>SUM(C27,E27,G27,I27,K27,M27,O27,Q27,S27,U27)</f>
        <v>1361286</v>
      </c>
      <c r="C27" s="179">
        <f>SUM(C28:C31)</f>
        <v>481295</v>
      </c>
      <c r="D27" s="182">
        <f t="shared" ref="D27:V27" si="6">SUM(D28:D31)</f>
        <v>136818.492</v>
      </c>
      <c r="E27" s="179">
        <f t="shared" si="6"/>
        <v>403312</v>
      </c>
      <c r="F27" s="182">
        <f t="shared" si="6"/>
        <v>100348.368</v>
      </c>
      <c r="G27" s="179">
        <f t="shared" si="6"/>
        <v>216860</v>
      </c>
      <c r="H27" s="182">
        <f t="shared" si="6"/>
        <v>64497.039999999994</v>
      </c>
      <c r="I27" s="179">
        <f t="shared" si="6"/>
        <v>10650</v>
      </c>
      <c r="J27" s="182">
        <f t="shared" si="6"/>
        <v>2469.3249999999998</v>
      </c>
      <c r="K27" s="179">
        <f t="shared" si="6"/>
        <v>96639</v>
      </c>
      <c r="L27" s="182">
        <f t="shared" si="6"/>
        <v>21089.918999999998</v>
      </c>
      <c r="M27" s="179">
        <f t="shared" si="6"/>
        <v>144361</v>
      </c>
      <c r="N27" s="182">
        <f t="shared" si="6"/>
        <v>176100.14</v>
      </c>
      <c r="O27" s="179">
        <f t="shared" si="6"/>
        <v>54</v>
      </c>
      <c r="P27" s="182">
        <f t="shared" si="6"/>
        <v>34</v>
      </c>
      <c r="Q27" s="179">
        <f t="shared" si="6"/>
        <v>0</v>
      </c>
      <c r="R27" s="182">
        <f t="shared" si="6"/>
        <v>0</v>
      </c>
      <c r="S27" s="179">
        <f t="shared" si="6"/>
        <v>0</v>
      </c>
      <c r="T27" s="182">
        <f t="shared" si="6"/>
        <v>0</v>
      </c>
      <c r="U27" s="179">
        <f t="shared" si="6"/>
        <v>8115</v>
      </c>
      <c r="V27" s="190">
        <f t="shared" si="6"/>
        <v>1769.64</v>
      </c>
      <c r="W27" s="176" t="s">
        <v>296</v>
      </c>
      <c r="X27" s="132"/>
      <c r="Y27" s="132"/>
      <c r="AB27" s="153"/>
    </row>
    <row r="28" spans="1:28">
      <c r="A28" s="154" t="str">
        <f>VLOOKUP(ListOfRegions!A14,ListOfRegions!A14:B88,2,0)</f>
        <v xml:space="preserve">  Κοζάνης</v>
      </c>
      <c r="B28" s="157">
        <f t="shared" si="5"/>
        <v>676839</v>
      </c>
      <c r="C28" s="160">
        <v>182922</v>
      </c>
      <c r="D28" s="159">
        <v>56447.451999999997</v>
      </c>
      <c r="E28" s="160">
        <v>328536</v>
      </c>
      <c r="F28" s="159">
        <v>83658.267999999996</v>
      </c>
      <c r="G28" s="160">
        <v>80672</v>
      </c>
      <c r="H28" s="159">
        <v>27138.175999999999</v>
      </c>
      <c r="I28" s="160">
        <v>6464</v>
      </c>
      <c r="J28" s="159">
        <v>1479.2</v>
      </c>
      <c r="K28" s="168">
        <v>15147</v>
      </c>
      <c r="L28" s="159">
        <v>3523.25</v>
      </c>
      <c r="M28" s="160">
        <v>62033</v>
      </c>
      <c r="N28" s="159">
        <v>79985.679999999993</v>
      </c>
      <c r="O28" s="171">
        <v>45</v>
      </c>
      <c r="P28" s="159">
        <v>33.1</v>
      </c>
      <c r="Q28" s="148">
        <v>0</v>
      </c>
      <c r="R28" s="162">
        <v>0</v>
      </c>
      <c r="S28" s="148" t="s">
        <v>291</v>
      </c>
      <c r="T28" s="162" t="s">
        <v>291</v>
      </c>
      <c r="U28" s="171">
        <v>1020</v>
      </c>
      <c r="V28" s="189">
        <v>195.1</v>
      </c>
      <c r="W28" s="122" t="s">
        <v>143</v>
      </c>
      <c r="X28" s="132"/>
      <c r="Y28" s="132"/>
    </row>
    <row r="29" spans="1:28">
      <c r="A29" s="154" t="str">
        <f>VLOOKUP(ListOfRegions!A15,ListOfRegions!A15:B89,2,0)</f>
        <v xml:space="preserve">  Γρεβενών</v>
      </c>
      <c r="B29" s="157">
        <f t="shared" si="5"/>
        <v>255705</v>
      </c>
      <c r="C29" s="160">
        <v>171312</v>
      </c>
      <c r="D29" s="159">
        <v>51226.885000000002</v>
      </c>
      <c r="E29" s="160">
        <v>8773</v>
      </c>
      <c r="F29" s="159">
        <v>2400.9699999999998</v>
      </c>
      <c r="G29" s="160">
        <v>58260</v>
      </c>
      <c r="H29" s="159">
        <v>18936.240000000002</v>
      </c>
      <c r="I29" s="160">
        <v>3378</v>
      </c>
      <c r="J29" s="159">
        <v>817.625</v>
      </c>
      <c r="K29" s="168">
        <v>798</v>
      </c>
      <c r="L29" s="159">
        <v>127.6</v>
      </c>
      <c r="M29" s="160">
        <v>7626</v>
      </c>
      <c r="N29" s="159">
        <v>8078.25</v>
      </c>
      <c r="O29" s="170" t="s">
        <v>291</v>
      </c>
      <c r="P29" s="183" t="s">
        <v>291</v>
      </c>
      <c r="Q29" s="148">
        <v>0</v>
      </c>
      <c r="R29" s="162">
        <v>0</v>
      </c>
      <c r="S29" s="148" t="s">
        <v>291</v>
      </c>
      <c r="T29" s="162" t="s">
        <v>291</v>
      </c>
      <c r="U29" s="171">
        <v>5558</v>
      </c>
      <c r="V29" s="189">
        <v>1268.1400000000001</v>
      </c>
      <c r="W29" s="122" t="s">
        <v>144</v>
      </c>
      <c r="X29" s="132"/>
      <c r="Y29" s="132"/>
    </row>
    <row r="30" spans="1:28">
      <c r="A30" s="154" t="str">
        <f>VLOOKUP(ListOfRegions!A16,ListOfRegions!A16:B90,2,0)</f>
        <v xml:space="preserve">  Καστοριάς</v>
      </c>
      <c r="B30" s="157">
        <f t="shared" si="5"/>
        <v>159361</v>
      </c>
      <c r="C30" s="160">
        <v>78500</v>
      </c>
      <c r="D30" s="159">
        <v>16807.830000000002</v>
      </c>
      <c r="E30" s="160">
        <v>39387</v>
      </c>
      <c r="F30" s="159">
        <v>7977.88</v>
      </c>
      <c r="G30" s="160">
        <v>15077</v>
      </c>
      <c r="H30" s="159">
        <v>3553.32</v>
      </c>
      <c r="I30" s="160">
        <v>658</v>
      </c>
      <c r="J30" s="159">
        <v>139.5</v>
      </c>
      <c r="K30" s="168">
        <v>12429</v>
      </c>
      <c r="L30" s="159">
        <v>2512.1799999999998</v>
      </c>
      <c r="M30" s="160">
        <v>12801</v>
      </c>
      <c r="N30" s="159">
        <v>12691.3</v>
      </c>
      <c r="O30" s="171">
        <v>9</v>
      </c>
      <c r="P30" s="159">
        <v>0.9</v>
      </c>
      <c r="Q30" s="148">
        <v>0</v>
      </c>
      <c r="R30" s="162">
        <v>0</v>
      </c>
      <c r="S30" s="148" t="s">
        <v>291</v>
      </c>
      <c r="T30" s="162" t="s">
        <v>291</v>
      </c>
      <c r="U30" s="171">
        <v>500</v>
      </c>
      <c r="V30" s="189">
        <v>100</v>
      </c>
      <c r="W30" s="122" t="s">
        <v>145</v>
      </c>
      <c r="X30" s="132"/>
      <c r="Y30" s="132"/>
    </row>
    <row r="31" spans="1:28">
      <c r="A31" s="154" t="str">
        <f>VLOOKUP(ListOfRegions!A17,ListOfRegions!A17:B91,2,0)</f>
        <v xml:space="preserve">  Φλώρινας</v>
      </c>
      <c r="B31" s="157">
        <f t="shared" si="5"/>
        <v>269381</v>
      </c>
      <c r="C31" s="160">
        <v>48561</v>
      </c>
      <c r="D31" s="159">
        <v>12336.325000000001</v>
      </c>
      <c r="E31" s="160">
        <v>26616</v>
      </c>
      <c r="F31" s="159">
        <v>6311.25</v>
      </c>
      <c r="G31" s="160">
        <v>62851</v>
      </c>
      <c r="H31" s="159">
        <v>14869.304</v>
      </c>
      <c r="I31" s="160">
        <v>150</v>
      </c>
      <c r="J31" s="159">
        <v>33</v>
      </c>
      <c r="K31" s="168">
        <v>68265</v>
      </c>
      <c r="L31" s="159">
        <v>14926.888999999999</v>
      </c>
      <c r="M31" s="160">
        <v>61901</v>
      </c>
      <c r="N31" s="159">
        <v>75344.91</v>
      </c>
      <c r="O31" s="170" t="s">
        <v>291</v>
      </c>
      <c r="P31" s="183" t="s">
        <v>291</v>
      </c>
      <c r="Q31" s="148">
        <v>0</v>
      </c>
      <c r="R31" s="162">
        <v>0</v>
      </c>
      <c r="S31" s="148" t="s">
        <v>291</v>
      </c>
      <c r="T31" s="162" t="s">
        <v>291</v>
      </c>
      <c r="U31" s="171">
        <v>1037</v>
      </c>
      <c r="V31" s="189">
        <v>206.4</v>
      </c>
      <c r="W31" s="122" t="s">
        <v>146</v>
      </c>
      <c r="X31" s="132"/>
      <c r="Y31" s="132"/>
    </row>
    <row r="32" spans="1:28" ht="14.4" customHeight="1">
      <c r="A32" s="257" t="s">
        <v>112</v>
      </c>
      <c r="B32" s="256">
        <f>SUM(C32,E32,G32,I32,K32,M32,O32,Q32,S32,U32)</f>
        <v>154455</v>
      </c>
      <c r="C32" s="243">
        <f>SUM(C34:C37)</f>
        <v>4806</v>
      </c>
      <c r="D32" s="244">
        <f>SUM(D34:D37)</f>
        <v>1277.3499999999999</v>
      </c>
      <c r="E32" s="243">
        <f t="shared" ref="E32:L32" si="7">SUM(E34:E37)</f>
        <v>1440</v>
      </c>
      <c r="F32" s="244">
        <f t="shared" si="7"/>
        <v>363.28</v>
      </c>
      <c r="G32" s="243">
        <f t="shared" si="7"/>
        <v>7199</v>
      </c>
      <c r="H32" s="244">
        <f t="shared" si="7"/>
        <v>1762.4800000000002</v>
      </c>
      <c r="I32" s="243">
        <f t="shared" si="7"/>
        <v>15225</v>
      </c>
      <c r="J32" s="244">
        <f t="shared" si="7"/>
        <v>3915.0860000000002</v>
      </c>
      <c r="K32" s="243">
        <f t="shared" si="7"/>
        <v>8957</v>
      </c>
      <c r="L32" s="244">
        <f t="shared" si="7"/>
        <v>1860.16</v>
      </c>
      <c r="M32" s="209">
        <f>SUM(M34:M37)</f>
        <v>112425</v>
      </c>
      <c r="N32" s="212">
        <f t="shared" ref="N32:V32" si="8">SUM(N34:N37)</f>
        <v>108233.76800000001</v>
      </c>
      <c r="O32" s="209">
        <f t="shared" si="8"/>
        <v>1476</v>
      </c>
      <c r="P32" s="212">
        <f t="shared" si="8"/>
        <v>591.85</v>
      </c>
      <c r="Q32" s="209">
        <f>SUM(Q34:Q37)</f>
        <v>2770</v>
      </c>
      <c r="R32" s="212">
        <f t="shared" si="8"/>
        <v>1995</v>
      </c>
      <c r="S32" s="209">
        <f t="shared" si="8"/>
        <v>120</v>
      </c>
      <c r="T32" s="212">
        <f t="shared" si="8"/>
        <v>15</v>
      </c>
      <c r="U32" s="209">
        <f t="shared" si="8"/>
        <v>37</v>
      </c>
      <c r="V32" s="230">
        <f t="shared" si="8"/>
        <v>7.16</v>
      </c>
      <c r="W32" s="210" t="s">
        <v>117</v>
      </c>
      <c r="X32" s="211"/>
      <c r="Y32" s="211"/>
    </row>
    <row r="33" spans="1:25">
      <c r="A33" s="257"/>
      <c r="B33" s="256"/>
      <c r="C33" s="243"/>
      <c r="D33" s="244"/>
      <c r="E33" s="243"/>
      <c r="F33" s="244"/>
      <c r="G33" s="243"/>
      <c r="H33" s="244"/>
      <c r="I33" s="243"/>
      <c r="J33" s="244"/>
      <c r="K33" s="243"/>
      <c r="L33" s="244"/>
      <c r="M33" s="209"/>
      <c r="N33" s="212"/>
      <c r="O33" s="209"/>
      <c r="P33" s="212"/>
      <c r="Q33" s="209"/>
      <c r="R33" s="212"/>
      <c r="S33" s="209"/>
      <c r="T33" s="212"/>
      <c r="U33" s="209"/>
      <c r="V33" s="230"/>
      <c r="W33" s="210"/>
      <c r="X33" s="211"/>
      <c r="Y33" s="211"/>
    </row>
    <row r="34" spans="1:25">
      <c r="A34" s="154" t="str">
        <f>VLOOKUP(ListOfRegions!A18,ListOfRegions!A18:B92,2,0)</f>
        <v xml:space="preserve">  Ιωαννίνων</v>
      </c>
      <c r="B34" s="157">
        <f>SUM(C34,E34,G34,I34,K34,M34,O34,Q34,S34,U34)</f>
        <v>55744</v>
      </c>
      <c r="C34" s="160">
        <v>3736</v>
      </c>
      <c r="D34" s="159">
        <v>1077.81</v>
      </c>
      <c r="E34" s="160">
        <v>420</v>
      </c>
      <c r="F34" s="159">
        <v>84.73</v>
      </c>
      <c r="G34" s="160">
        <v>4443</v>
      </c>
      <c r="H34" s="159">
        <v>1035.6500000000001</v>
      </c>
      <c r="I34" s="160">
        <v>1696</v>
      </c>
      <c r="J34" s="159">
        <v>341.45600000000002</v>
      </c>
      <c r="K34" s="168">
        <v>8487</v>
      </c>
      <c r="L34" s="159">
        <v>1774.96</v>
      </c>
      <c r="M34" s="160">
        <v>36236</v>
      </c>
      <c r="N34" s="159">
        <v>33352.675000000003</v>
      </c>
      <c r="O34" s="171">
        <v>669</v>
      </c>
      <c r="P34" s="159">
        <v>255.4</v>
      </c>
      <c r="Q34" s="147">
        <v>0</v>
      </c>
      <c r="R34" s="166">
        <v>0</v>
      </c>
      <c r="S34" s="171">
        <v>50</v>
      </c>
      <c r="T34" s="158">
        <v>7</v>
      </c>
      <c r="U34" s="171">
        <v>7</v>
      </c>
      <c r="V34" s="189">
        <v>2.36</v>
      </c>
      <c r="W34" s="122" t="s">
        <v>147</v>
      </c>
      <c r="X34" s="132"/>
      <c r="Y34" s="132"/>
    </row>
    <row r="35" spans="1:25">
      <c r="A35" s="154" t="str">
        <f>VLOOKUP(ListOfRegions!A19,ListOfRegions!A19:B93,2,0)</f>
        <v xml:space="preserve">  Άρτας</v>
      </c>
      <c r="B35" s="157">
        <f>SUM(C35,E35,G35,I35,K35,M35,O35,Q35,S35,U35)</f>
        <v>27015</v>
      </c>
      <c r="C35" s="160">
        <v>990</v>
      </c>
      <c r="D35" s="159">
        <v>186.4</v>
      </c>
      <c r="E35" s="160">
        <v>655</v>
      </c>
      <c r="F35" s="159">
        <v>195.4</v>
      </c>
      <c r="G35" s="160">
        <v>1368</v>
      </c>
      <c r="H35" s="159">
        <v>415.38</v>
      </c>
      <c r="I35" s="160">
        <v>3709</v>
      </c>
      <c r="J35" s="159">
        <v>974.35</v>
      </c>
      <c r="K35" s="168">
        <v>23</v>
      </c>
      <c r="L35" s="159">
        <v>3.6</v>
      </c>
      <c r="M35" s="160">
        <v>18772</v>
      </c>
      <c r="N35" s="159">
        <v>15876.5</v>
      </c>
      <c r="O35" s="171">
        <v>798</v>
      </c>
      <c r="P35" s="159">
        <v>327.7</v>
      </c>
      <c r="Q35" s="186">
        <v>670</v>
      </c>
      <c r="R35" s="159">
        <v>335</v>
      </c>
      <c r="S35" s="148" t="s">
        <v>291</v>
      </c>
      <c r="T35" s="162" t="s">
        <v>291</v>
      </c>
      <c r="U35" s="171">
        <v>30</v>
      </c>
      <c r="V35" s="189">
        <v>4.8</v>
      </c>
      <c r="W35" s="122" t="s">
        <v>148</v>
      </c>
      <c r="X35" s="132"/>
      <c r="Y35" s="132"/>
    </row>
    <row r="36" spans="1:25">
      <c r="A36" s="154" t="str">
        <f>VLOOKUP(ListOfRegions!A20,ListOfRegions!A20:B94,2,0)</f>
        <v xml:space="preserve">  Θεσπρωτίας</v>
      </c>
      <c r="B36" s="157">
        <f>SUM(C36,E36,G36,I36,K36,M36,O36,Q36,S36,U36)</f>
        <v>20492</v>
      </c>
      <c r="C36" s="160">
        <v>3</v>
      </c>
      <c r="D36" s="159">
        <v>0.84</v>
      </c>
      <c r="E36" s="160">
        <v>10</v>
      </c>
      <c r="F36" s="159">
        <v>2</v>
      </c>
      <c r="G36" s="160">
        <v>623</v>
      </c>
      <c r="H36" s="159">
        <v>160</v>
      </c>
      <c r="I36" s="160">
        <v>3148</v>
      </c>
      <c r="J36" s="159">
        <v>712.6</v>
      </c>
      <c r="K36" s="168">
        <v>101</v>
      </c>
      <c r="L36" s="159">
        <v>12.9</v>
      </c>
      <c r="M36" s="160">
        <v>14503</v>
      </c>
      <c r="N36" s="159">
        <v>14245.96</v>
      </c>
      <c r="O36" s="171">
        <v>4</v>
      </c>
      <c r="P36" s="159">
        <v>0.75</v>
      </c>
      <c r="Q36" s="161">
        <v>2100</v>
      </c>
      <c r="R36" s="159">
        <v>1660</v>
      </c>
      <c r="S36" s="148" t="s">
        <v>291</v>
      </c>
      <c r="T36" s="162" t="s">
        <v>291</v>
      </c>
      <c r="U36" s="148" t="s">
        <v>291</v>
      </c>
      <c r="V36" s="184" t="s">
        <v>291</v>
      </c>
      <c r="W36" s="122" t="s">
        <v>149</v>
      </c>
      <c r="X36" s="132"/>
      <c r="Y36" s="132"/>
    </row>
    <row r="37" spans="1:25">
      <c r="A37" s="154" t="str">
        <f>VLOOKUP(ListOfRegions!A21,ListOfRegions!A21:B95,2,0)</f>
        <v xml:space="preserve">  Πρέβεζας</v>
      </c>
      <c r="B37" s="157">
        <f>SUM(C37,E37,G37,I37,K37,M37,O37,Q37,S37,U37)</f>
        <v>51204</v>
      </c>
      <c r="C37" s="160">
        <v>77</v>
      </c>
      <c r="D37" s="159">
        <v>12.3</v>
      </c>
      <c r="E37" s="160">
        <v>355</v>
      </c>
      <c r="F37" s="159">
        <v>81.150000000000006</v>
      </c>
      <c r="G37" s="160">
        <v>765</v>
      </c>
      <c r="H37" s="159">
        <v>151.44999999999999</v>
      </c>
      <c r="I37" s="160">
        <v>6672</v>
      </c>
      <c r="J37" s="159">
        <v>1886.68</v>
      </c>
      <c r="K37" s="168">
        <v>346</v>
      </c>
      <c r="L37" s="159">
        <v>68.7</v>
      </c>
      <c r="M37" s="160">
        <v>42914</v>
      </c>
      <c r="N37" s="159">
        <v>44758.633000000002</v>
      </c>
      <c r="O37" s="171">
        <v>5</v>
      </c>
      <c r="P37" s="159">
        <v>8</v>
      </c>
      <c r="Q37" s="147">
        <v>0</v>
      </c>
      <c r="R37" s="166">
        <v>0</v>
      </c>
      <c r="S37" s="171">
        <v>70</v>
      </c>
      <c r="T37" s="158">
        <v>8</v>
      </c>
      <c r="U37" s="148" t="s">
        <v>291</v>
      </c>
      <c r="V37" s="184" t="s">
        <v>291</v>
      </c>
      <c r="W37" s="122" t="s">
        <v>150</v>
      </c>
      <c r="X37" s="132"/>
      <c r="Y37" s="132"/>
    </row>
    <row r="38" spans="1:25" ht="11.4" customHeight="1">
      <c r="A38" s="257" t="s">
        <v>103</v>
      </c>
      <c r="B38" s="256">
        <f>SUM(C38,E38,G38,I38,K38,M38,O38,Q38,S38,U38)</f>
        <v>2094709</v>
      </c>
      <c r="C38" s="243">
        <f>SUM(C40:C44)</f>
        <v>211287</v>
      </c>
      <c r="D38" s="244">
        <f t="shared" ref="D38:L38" si="9">SUM(D40:D44)</f>
        <v>66393.278000000006</v>
      </c>
      <c r="E38" s="243">
        <f t="shared" si="9"/>
        <v>1170883</v>
      </c>
      <c r="F38" s="244">
        <f t="shared" si="9"/>
        <v>395482.179</v>
      </c>
      <c r="G38" s="243">
        <f t="shared" si="9"/>
        <v>305267</v>
      </c>
      <c r="H38" s="244">
        <f t="shared" si="9"/>
        <v>99091.846999999994</v>
      </c>
      <c r="I38" s="243">
        <f>SUM(I40:I44)</f>
        <v>40185</v>
      </c>
      <c r="J38" s="244">
        <f t="shared" si="9"/>
        <v>10714.041999999999</v>
      </c>
      <c r="K38" s="243">
        <f t="shared" si="9"/>
        <v>6664</v>
      </c>
      <c r="L38" s="244">
        <f t="shared" si="9"/>
        <v>1413.1399999999999</v>
      </c>
      <c r="M38" s="209">
        <f>SUM(M40:M44)</f>
        <v>355568</v>
      </c>
      <c r="N38" s="212">
        <f t="shared" ref="N38:V38" si="10">SUM(N40:N44)</f>
        <v>429573.1</v>
      </c>
      <c r="O38" s="209">
        <f t="shared" si="10"/>
        <v>1675</v>
      </c>
      <c r="P38" s="212">
        <f t="shared" si="10"/>
        <v>1751.4499999999998</v>
      </c>
      <c r="Q38" s="209">
        <f>SUM(Q40:Q44)</f>
        <v>0</v>
      </c>
      <c r="R38" s="212">
        <f t="shared" si="10"/>
        <v>0</v>
      </c>
      <c r="S38" s="209">
        <f t="shared" si="10"/>
        <v>100</v>
      </c>
      <c r="T38" s="212">
        <f t="shared" si="10"/>
        <v>100</v>
      </c>
      <c r="U38" s="209">
        <f t="shared" si="10"/>
        <v>3080</v>
      </c>
      <c r="V38" s="230">
        <f t="shared" si="10"/>
        <v>734.5</v>
      </c>
      <c r="W38" s="210" t="s">
        <v>126</v>
      </c>
      <c r="X38" s="211"/>
      <c r="Y38" s="211"/>
    </row>
    <row r="39" spans="1:25">
      <c r="A39" s="257"/>
      <c r="B39" s="256"/>
      <c r="C39" s="243"/>
      <c r="D39" s="244"/>
      <c r="E39" s="243"/>
      <c r="F39" s="244"/>
      <c r="G39" s="243"/>
      <c r="H39" s="244"/>
      <c r="I39" s="243"/>
      <c r="J39" s="244"/>
      <c r="K39" s="243"/>
      <c r="L39" s="244"/>
      <c r="M39" s="209"/>
      <c r="N39" s="212"/>
      <c r="O39" s="209"/>
      <c r="P39" s="212"/>
      <c r="Q39" s="209"/>
      <c r="R39" s="212"/>
      <c r="S39" s="209"/>
      <c r="T39" s="212"/>
      <c r="U39" s="209"/>
      <c r="V39" s="230"/>
      <c r="W39" s="210"/>
      <c r="X39" s="211"/>
      <c r="Y39" s="211"/>
    </row>
    <row r="40" spans="1:25">
      <c r="A40" s="154" t="str">
        <f>VLOOKUP(ListOfRegions!A22,ListOfRegions!A22:B96,2,0)</f>
        <v xml:space="preserve">  Λάρισας</v>
      </c>
      <c r="B40" s="157">
        <f t="shared" ref="B40:B45" si="11">SUM(C40,E40,G40,I40,K40,M40,O40,Q40,S40,U40)</f>
        <v>1313769</v>
      </c>
      <c r="C40" s="160">
        <v>141385</v>
      </c>
      <c r="D40" s="159">
        <v>43103.506000000001</v>
      </c>
      <c r="E40" s="160">
        <v>786815</v>
      </c>
      <c r="F40" s="159">
        <v>274395.09399999998</v>
      </c>
      <c r="G40" s="160">
        <v>199818</v>
      </c>
      <c r="H40" s="159">
        <v>67101.48</v>
      </c>
      <c r="I40" s="160">
        <v>23790</v>
      </c>
      <c r="J40" s="159">
        <v>6732.7120000000004</v>
      </c>
      <c r="K40" s="168">
        <v>6412</v>
      </c>
      <c r="L40" s="159">
        <v>1380.12</v>
      </c>
      <c r="M40" s="160">
        <v>151031</v>
      </c>
      <c r="N40" s="159">
        <v>185940.85</v>
      </c>
      <c r="O40" s="171">
        <v>1500</v>
      </c>
      <c r="P40" s="159">
        <v>1710</v>
      </c>
      <c r="Q40" s="148" t="s">
        <v>291</v>
      </c>
      <c r="R40" s="162" t="s">
        <v>291</v>
      </c>
      <c r="S40" s="171">
        <v>100</v>
      </c>
      <c r="T40" s="158">
        <v>100</v>
      </c>
      <c r="U40" s="171">
        <v>2918</v>
      </c>
      <c r="V40" s="189">
        <v>701.5</v>
      </c>
      <c r="W40" s="122" t="s">
        <v>151</v>
      </c>
      <c r="X40" s="132"/>
      <c r="Y40" s="132"/>
    </row>
    <row r="41" spans="1:25">
      <c r="A41" s="154" t="str">
        <f>VLOOKUP(ListOfRegions!A23,ListOfRegions!A23:B97,2,0)</f>
        <v xml:space="preserve">  Καρδίτσας</v>
      </c>
      <c r="B41" s="157">
        <f t="shared" si="11"/>
        <v>308276</v>
      </c>
      <c r="C41" s="160">
        <v>23782</v>
      </c>
      <c r="D41" s="159">
        <v>8354.5</v>
      </c>
      <c r="E41" s="160">
        <v>192388</v>
      </c>
      <c r="F41" s="159">
        <v>67690.850000000006</v>
      </c>
      <c r="G41" s="160">
        <v>10696</v>
      </c>
      <c r="H41" s="159">
        <v>3566.1</v>
      </c>
      <c r="I41" s="160">
        <v>7545</v>
      </c>
      <c r="J41" s="159">
        <v>2039</v>
      </c>
      <c r="K41" s="168">
        <v>30</v>
      </c>
      <c r="L41" s="159">
        <v>4.5</v>
      </c>
      <c r="M41" s="160">
        <v>73694</v>
      </c>
      <c r="N41" s="159">
        <v>79135.475000000006</v>
      </c>
      <c r="O41" s="171">
        <v>141</v>
      </c>
      <c r="P41" s="159">
        <v>31.85</v>
      </c>
      <c r="Q41" s="148" t="s">
        <v>291</v>
      </c>
      <c r="R41" s="162" t="s">
        <v>291</v>
      </c>
      <c r="S41" s="148" t="s">
        <v>291</v>
      </c>
      <c r="T41" s="162" t="s">
        <v>291</v>
      </c>
      <c r="U41" s="148" t="s">
        <v>291</v>
      </c>
      <c r="V41" s="184" t="s">
        <v>291</v>
      </c>
      <c r="W41" s="122" t="s">
        <v>152</v>
      </c>
      <c r="X41" s="132"/>
      <c r="Y41" s="132"/>
    </row>
    <row r="42" spans="1:25">
      <c r="A42" s="154" t="str">
        <f>VLOOKUP(ListOfRegions!A24,ListOfRegions!A24:B98,2,0)</f>
        <v xml:space="preserve">  Μαγνησίας</v>
      </c>
      <c r="B42" s="157">
        <f t="shared" si="11"/>
        <v>264037</v>
      </c>
      <c r="C42" s="160">
        <v>10350</v>
      </c>
      <c r="D42" s="159">
        <v>2746</v>
      </c>
      <c r="E42" s="160">
        <v>148952</v>
      </c>
      <c r="F42" s="159">
        <v>38063.599999999999</v>
      </c>
      <c r="G42" s="160">
        <v>73211</v>
      </c>
      <c r="H42" s="159">
        <v>21283.85</v>
      </c>
      <c r="I42" s="160">
        <v>4006</v>
      </c>
      <c r="J42" s="159">
        <v>773.5</v>
      </c>
      <c r="K42" s="148" t="s">
        <v>291</v>
      </c>
      <c r="L42" s="162" t="s">
        <v>291</v>
      </c>
      <c r="M42" s="160">
        <v>27518</v>
      </c>
      <c r="N42" s="159">
        <v>38193.800000000003</v>
      </c>
      <c r="O42" s="172"/>
      <c r="P42" s="159">
        <v>0</v>
      </c>
      <c r="Q42" s="148" t="s">
        <v>291</v>
      </c>
      <c r="R42" s="162" t="s">
        <v>291</v>
      </c>
      <c r="S42" s="148" t="s">
        <v>291</v>
      </c>
      <c r="T42" s="162" t="s">
        <v>291</v>
      </c>
      <c r="U42" s="148" t="s">
        <v>291</v>
      </c>
      <c r="V42" s="184" t="s">
        <v>291</v>
      </c>
      <c r="W42" s="122" t="s">
        <v>153</v>
      </c>
      <c r="X42" s="132"/>
      <c r="Y42" s="132"/>
    </row>
    <row r="43" spans="1:25">
      <c r="A43" s="154" t="str">
        <f>VLOOKUP(ListOfRegions!A25,ListOfRegions!A25:B99,2,0)</f>
        <v xml:space="preserve">  Σποράδων</v>
      </c>
      <c r="B43" s="157">
        <f t="shared" si="11"/>
        <v>15</v>
      </c>
      <c r="C43" s="148" t="s">
        <v>291</v>
      </c>
      <c r="D43" s="162" t="s">
        <v>291</v>
      </c>
      <c r="E43" s="148" t="s">
        <v>291</v>
      </c>
      <c r="F43" s="162" t="s">
        <v>291</v>
      </c>
      <c r="G43" s="148" t="s">
        <v>291</v>
      </c>
      <c r="H43" s="162" t="s">
        <v>291</v>
      </c>
      <c r="I43" s="148" t="s">
        <v>291</v>
      </c>
      <c r="J43" s="162" t="s">
        <v>291</v>
      </c>
      <c r="K43" s="148" t="s">
        <v>291</v>
      </c>
      <c r="L43" s="162" t="s">
        <v>291</v>
      </c>
      <c r="M43" s="160">
        <v>15</v>
      </c>
      <c r="N43" s="159">
        <v>8</v>
      </c>
      <c r="O43" s="148" t="s">
        <v>291</v>
      </c>
      <c r="P43" s="162" t="s">
        <v>291</v>
      </c>
      <c r="Q43" s="148" t="s">
        <v>291</v>
      </c>
      <c r="R43" s="162" t="s">
        <v>291</v>
      </c>
      <c r="S43" s="148" t="s">
        <v>291</v>
      </c>
      <c r="T43" s="162" t="s">
        <v>291</v>
      </c>
      <c r="U43" s="148" t="s">
        <v>291</v>
      </c>
      <c r="V43" s="184" t="s">
        <v>291</v>
      </c>
      <c r="W43" s="122" t="s">
        <v>154</v>
      </c>
      <c r="X43" s="132"/>
      <c r="Y43" s="132"/>
    </row>
    <row r="44" spans="1:25">
      <c r="A44" s="154" t="str">
        <f>VLOOKUP(ListOfRegions!A26,ListOfRegions!A26:B100,2,0)</f>
        <v xml:space="preserve">  Τρικάλων</v>
      </c>
      <c r="B44" s="157">
        <f t="shared" si="11"/>
        <v>208612</v>
      </c>
      <c r="C44" s="160">
        <v>35770</v>
      </c>
      <c r="D44" s="159">
        <v>12189.272000000001</v>
      </c>
      <c r="E44" s="160">
        <v>42728</v>
      </c>
      <c r="F44" s="159">
        <v>15332.635</v>
      </c>
      <c r="G44" s="160">
        <v>21542</v>
      </c>
      <c r="H44" s="159">
        <v>7140.4170000000004</v>
      </c>
      <c r="I44" s="160">
        <v>4844</v>
      </c>
      <c r="J44" s="159">
        <v>1168.83</v>
      </c>
      <c r="K44" s="168">
        <v>222</v>
      </c>
      <c r="L44" s="159">
        <v>28.52</v>
      </c>
      <c r="M44" s="160">
        <v>103310</v>
      </c>
      <c r="N44" s="159">
        <v>126294.97500000001</v>
      </c>
      <c r="O44" s="171">
        <v>34</v>
      </c>
      <c r="P44" s="159">
        <v>9.6</v>
      </c>
      <c r="Q44" s="148" t="s">
        <v>291</v>
      </c>
      <c r="R44" s="162" t="s">
        <v>291</v>
      </c>
      <c r="S44" s="148" t="s">
        <v>291</v>
      </c>
      <c r="T44" s="162" t="s">
        <v>291</v>
      </c>
      <c r="U44" s="171">
        <v>162</v>
      </c>
      <c r="V44" s="189">
        <v>33</v>
      </c>
      <c r="W44" s="122" t="s">
        <v>155</v>
      </c>
      <c r="X44" s="132"/>
      <c r="Y44" s="132"/>
    </row>
    <row r="45" spans="1:25" ht="11.4" customHeight="1">
      <c r="A45" s="257" t="s">
        <v>104</v>
      </c>
      <c r="B45" s="256">
        <f t="shared" si="11"/>
        <v>1072570</v>
      </c>
      <c r="C45" s="243">
        <f>SUM(C47:C51)</f>
        <v>32771</v>
      </c>
      <c r="D45" s="244">
        <f t="shared" ref="D45:L45" si="12">SUM(D47:D51)</f>
        <v>8553.3649999999998</v>
      </c>
      <c r="E45" s="243">
        <f t="shared" si="12"/>
        <v>780579</v>
      </c>
      <c r="F45" s="244">
        <f t="shared" si="12"/>
        <v>227924.92600000001</v>
      </c>
      <c r="G45" s="243">
        <f t="shared" si="12"/>
        <v>113263</v>
      </c>
      <c r="H45" s="244">
        <f t="shared" si="12"/>
        <v>29442.480000000007</v>
      </c>
      <c r="I45" s="243">
        <f t="shared" si="12"/>
        <v>34428</v>
      </c>
      <c r="J45" s="244">
        <f t="shared" si="12"/>
        <v>6624.36</v>
      </c>
      <c r="K45" s="243">
        <f t="shared" si="12"/>
        <v>96</v>
      </c>
      <c r="L45" s="244">
        <f t="shared" si="12"/>
        <v>36.85</v>
      </c>
      <c r="M45" s="209">
        <f>SUM(M47:M51)</f>
        <v>101551</v>
      </c>
      <c r="N45" s="212">
        <f t="shared" ref="N45:V45" si="13">SUM(N47:N51)</f>
        <v>103636.296</v>
      </c>
      <c r="O45" s="209">
        <f t="shared" si="13"/>
        <v>1062</v>
      </c>
      <c r="P45" s="212">
        <f t="shared" si="13"/>
        <v>241.363</v>
      </c>
      <c r="Q45" s="209">
        <f>SUM(Q47:Q51)</f>
        <v>8720</v>
      </c>
      <c r="R45" s="212">
        <f t="shared" si="13"/>
        <v>6583.16</v>
      </c>
      <c r="S45" s="209">
        <f t="shared" si="13"/>
        <v>100</v>
      </c>
      <c r="T45" s="212">
        <f t="shared" si="13"/>
        <v>16</v>
      </c>
      <c r="U45" s="209">
        <f t="shared" si="13"/>
        <v>0</v>
      </c>
      <c r="V45" s="230">
        <f t="shared" si="13"/>
        <v>0</v>
      </c>
      <c r="W45" s="210" t="s">
        <v>118</v>
      </c>
      <c r="X45" s="211"/>
      <c r="Y45" s="211"/>
    </row>
    <row r="46" spans="1:25">
      <c r="A46" s="257"/>
      <c r="B46" s="256"/>
      <c r="C46" s="243"/>
      <c r="D46" s="244"/>
      <c r="E46" s="243"/>
      <c r="F46" s="244"/>
      <c r="G46" s="243"/>
      <c r="H46" s="244"/>
      <c r="I46" s="243"/>
      <c r="J46" s="244"/>
      <c r="K46" s="243"/>
      <c r="L46" s="244"/>
      <c r="M46" s="209"/>
      <c r="N46" s="212"/>
      <c r="O46" s="209"/>
      <c r="P46" s="212"/>
      <c r="Q46" s="209"/>
      <c r="R46" s="212"/>
      <c r="S46" s="209"/>
      <c r="T46" s="212"/>
      <c r="U46" s="209"/>
      <c r="V46" s="230"/>
      <c r="W46" s="210"/>
      <c r="X46" s="211"/>
      <c r="Y46" s="211"/>
    </row>
    <row r="47" spans="1:25">
      <c r="A47" s="154" t="str">
        <f>VLOOKUP(ListOfRegions!A27,ListOfRegions!A27:B101,2,0)</f>
        <v xml:space="preserve">  Φθιώτιδας</v>
      </c>
      <c r="B47" s="157">
        <f t="shared" ref="B47:B52" si="14">SUM(C47,E47,G47,I47,K47,M47,O47,Q47,S47,U47)</f>
        <v>574893</v>
      </c>
      <c r="C47" s="160">
        <v>19887</v>
      </c>
      <c r="D47" s="159">
        <v>5541.2749999999996</v>
      </c>
      <c r="E47" s="160">
        <v>435888</v>
      </c>
      <c r="F47" s="159">
        <v>122960.966</v>
      </c>
      <c r="G47" s="160">
        <v>43020</v>
      </c>
      <c r="H47" s="159">
        <v>12827.1</v>
      </c>
      <c r="I47" s="160">
        <v>9424</v>
      </c>
      <c r="J47" s="159">
        <v>1938</v>
      </c>
      <c r="K47" s="168">
        <v>31</v>
      </c>
      <c r="L47" s="159">
        <v>9.6</v>
      </c>
      <c r="M47" s="160">
        <v>57781</v>
      </c>
      <c r="N47" s="159">
        <v>60503.17</v>
      </c>
      <c r="O47" s="171">
        <v>62</v>
      </c>
      <c r="P47" s="159">
        <v>26.63</v>
      </c>
      <c r="Q47" s="185">
        <v>8700</v>
      </c>
      <c r="R47" s="188">
        <v>6578.76</v>
      </c>
      <c r="S47" s="171">
        <v>100</v>
      </c>
      <c r="T47" s="158">
        <v>16</v>
      </c>
      <c r="U47" s="148" t="s">
        <v>291</v>
      </c>
      <c r="V47" s="184" t="s">
        <v>291</v>
      </c>
      <c r="W47" s="122" t="s">
        <v>156</v>
      </c>
      <c r="X47" s="132"/>
      <c r="Y47" s="132"/>
    </row>
    <row r="48" spans="1:25">
      <c r="A48" s="154" t="str">
        <f>VLOOKUP(ListOfRegions!A28,ListOfRegions!A28:B102,2,0)</f>
        <v xml:space="preserve">  Βοιωτίας</v>
      </c>
      <c r="B48" s="157">
        <f t="shared" si="14"/>
        <v>353653</v>
      </c>
      <c r="C48" s="160">
        <v>80</v>
      </c>
      <c r="D48" s="159">
        <v>24</v>
      </c>
      <c r="E48" s="160">
        <v>279435</v>
      </c>
      <c r="F48" s="159">
        <v>91987.5</v>
      </c>
      <c r="G48" s="160">
        <v>41775</v>
      </c>
      <c r="H48" s="159">
        <v>9636.2000000000007</v>
      </c>
      <c r="I48" s="160">
        <v>5570</v>
      </c>
      <c r="J48" s="159">
        <v>1445.3</v>
      </c>
      <c r="K48" s="169"/>
      <c r="L48" s="159">
        <v>0</v>
      </c>
      <c r="M48" s="160">
        <v>26793</v>
      </c>
      <c r="N48" s="159">
        <v>30222.3</v>
      </c>
      <c r="O48" s="172"/>
      <c r="P48" s="159">
        <v>0</v>
      </c>
      <c r="Q48" s="148" t="s">
        <v>291</v>
      </c>
      <c r="R48" s="162" t="s">
        <v>291</v>
      </c>
      <c r="S48" s="148" t="s">
        <v>291</v>
      </c>
      <c r="T48" s="162" t="s">
        <v>291</v>
      </c>
      <c r="U48" s="148" t="s">
        <v>291</v>
      </c>
      <c r="V48" s="184" t="s">
        <v>291</v>
      </c>
      <c r="W48" s="122" t="s">
        <v>157</v>
      </c>
      <c r="X48" s="132"/>
      <c r="Y48" s="132"/>
    </row>
    <row r="49" spans="1:25">
      <c r="A49" s="154" t="str">
        <f>VLOOKUP(ListOfRegions!A29,ListOfRegions!A29:B103,2,0)</f>
        <v xml:space="preserve">  Εύβοιας</v>
      </c>
      <c r="B49" s="157">
        <f t="shared" si="14"/>
        <v>121601</v>
      </c>
      <c r="C49" s="160">
        <v>6892</v>
      </c>
      <c r="D49" s="159">
        <v>1853.44</v>
      </c>
      <c r="E49" s="160">
        <v>59522</v>
      </c>
      <c r="F49" s="159">
        <v>12020.61</v>
      </c>
      <c r="G49" s="160">
        <v>26785</v>
      </c>
      <c r="H49" s="159">
        <v>6680.08</v>
      </c>
      <c r="I49" s="160">
        <v>14805</v>
      </c>
      <c r="J49" s="159">
        <v>2740.86</v>
      </c>
      <c r="K49" s="168">
        <v>55</v>
      </c>
      <c r="L49" s="159">
        <v>24.75</v>
      </c>
      <c r="M49" s="160">
        <v>13120</v>
      </c>
      <c r="N49" s="159">
        <v>10525.925999999999</v>
      </c>
      <c r="O49" s="171">
        <v>402</v>
      </c>
      <c r="P49" s="159">
        <v>89.582999999999998</v>
      </c>
      <c r="Q49" s="187">
        <v>20</v>
      </c>
      <c r="R49" s="159">
        <v>4.4000000000000004</v>
      </c>
      <c r="S49" s="148" t="s">
        <v>291</v>
      </c>
      <c r="T49" s="162" t="s">
        <v>291</v>
      </c>
      <c r="U49" s="148" t="s">
        <v>291</v>
      </c>
      <c r="V49" s="184" t="s">
        <v>291</v>
      </c>
      <c r="W49" s="122" t="s">
        <v>158</v>
      </c>
      <c r="X49" s="132"/>
      <c r="Y49" s="132"/>
    </row>
    <row r="50" spans="1:25">
      <c r="A50" s="154" t="str">
        <f>VLOOKUP(ListOfRegions!A30,ListOfRegions!A30:B104,2,0)</f>
        <v xml:space="preserve">  Ευρυτανίας</v>
      </c>
      <c r="B50" s="157">
        <f t="shared" si="14"/>
        <v>1331</v>
      </c>
      <c r="C50" s="160">
        <v>18</v>
      </c>
      <c r="D50" s="159">
        <v>1.9</v>
      </c>
      <c r="E50" s="160">
        <v>104</v>
      </c>
      <c r="F50" s="159">
        <v>10.4</v>
      </c>
      <c r="G50" s="160">
        <v>49</v>
      </c>
      <c r="H50" s="159">
        <v>5.4</v>
      </c>
      <c r="I50" s="160">
        <v>163</v>
      </c>
      <c r="J50" s="159">
        <v>20.5</v>
      </c>
      <c r="K50" s="148" t="s">
        <v>291</v>
      </c>
      <c r="L50" s="162" t="s">
        <v>291</v>
      </c>
      <c r="M50" s="160">
        <v>420</v>
      </c>
      <c r="N50" s="159">
        <v>191.47</v>
      </c>
      <c r="O50" s="171">
        <v>577</v>
      </c>
      <c r="P50" s="159">
        <v>122.14</v>
      </c>
      <c r="Q50" s="148" t="s">
        <v>291</v>
      </c>
      <c r="R50" s="162" t="s">
        <v>291</v>
      </c>
      <c r="S50" s="148" t="s">
        <v>291</v>
      </c>
      <c r="T50" s="162" t="s">
        <v>291</v>
      </c>
      <c r="U50" s="148" t="s">
        <v>291</v>
      </c>
      <c r="V50" s="184" t="s">
        <v>291</v>
      </c>
      <c r="W50" s="122" t="s">
        <v>159</v>
      </c>
      <c r="X50" s="132"/>
      <c r="Y50" s="132"/>
    </row>
    <row r="51" spans="1:25">
      <c r="A51" s="154" t="str">
        <f>VLOOKUP(ListOfRegions!A31,ListOfRegions!A31:B105,2,0)</f>
        <v xml:space="preserve">  Φωκίδας</v>
      </c>
      <c r="B51" s="157">
        <f t="shared" si="14"/>
        <v>21092</v>
      </c>
      <c r="C51" s="160">
        <v>5894</v>
      </c>
      <c r="D51" s="159">
        <v>1132.75</v>
      </c>
      <c r="E51" s="160">
        <v>5630</v>
      </c>
      <c r="F51" s="159">
        <v>945.45</v>
      </c>
      <c r="G51" s="160">
        <v>1634</v>
      </c>
      <c r="H51" s="159">
        <v>293.7</v>
      </c>
      <c r="I51" s="160">
        <v>4466</v>
      </c>
      <c r="J51" s="159">
        <v>479.7</v>
      </c>
      <c r="K51" s="168">
        <v>10</v>
      </c>
      <c r="L51" s="159">
        <v>2.5</v>
      </c>
      <c r="M51" s="160">
        <v>3437</v>
      </c>
      <c r="N51" s="159">
        <v>2193.4299999999998</v>
      </c>
      <c r="O51" s="171">
        <v>21</v>
      </c>
      <c r="P51" s="159">
        <v>3.01</v>
      </c>
      <c r="Q51" s="148" t="s">
        <v>291</v>
      </c>
      <c r="R51" s="162" t="s">
        <v>291</v>
      </c>
      <c r="S51" s="148" t="s">
        <v>291</v>
      </c>
      <c r="T51" s="162" t="s">
        <v>291</v>
      </c>
      <c r="U51" s="148" t="s">
        <v>291</v>
      </c>
      <c r="V51" s="184" t="s">
        <v>291</v>
      </c>
      <c r="W51" s="122" t="s">
        <v>160</v>
      </c>
      <c r="X51" s="132"/>
      <c r="Y51" s="132"/>
    </row>
    <row r="52" spans="1:25" ht="11.4" customHeight="1">
      <c r="A52" s="257" t="s">
        <v>105</v>
      </c>
      <c r="B52" s="256">
        <f t="shared" si="14"/>
        <v>35098</v>
      </c>
      <c r="C52" s="243">
        <f>SUM(C54:C58)</f>
        <v>610</v>
      </c>
      <c r="D52" s="244">
        <f t="shared" ref="D52:L52" si="15">SUM(D54:D58)</f>
        <v>40.67</v>
      </c>
      <c r="E52" s="243">
        <f t="shared" si="15"/>
        <v>15066</v>
      </c>
      <c r="F52" s="244">
        <f t="shared" si="15"/>
        <v>2162.5650000000001</v>
      </c>
      <c r="G52" s="243">
        <f>SUM(G54:G58)</f>
        <v>2598</v>
      </c>
      <c r="H52" s="244">
        <f>SUM(H54:H58)</f>
        <v>330.78000000000003</v>
      </c>
      <c r="I52" s="243">
        <f t="shared" si="15"/>
        <v>9086</v>
      </c>
      <c r="J52" s="244">
        <f t="shared" si="15"/>
        <v>1170.9549999999999</v>
      </c>
      <c r="K52" s="243">
        <f t="shared" si="15"/>
        <v>743</v>
      </c>
      <c r="L52" s="244">
        <f t="shared" si="15"/>
        <v>136.13800000000001</v>
      </c>
      <c r="M52" s="209">
        <f>SUM(M54:M58)</f>
        <v>3380</v>
      </c>
      <c r="N52" s="212">
        <f t="shared" ref="N52:V52" si="16">SUM(N54:N58)</f>
        <v>980.53300000000002</v>
      </c>
      <c r="O52" s="209">
        <f t="shared" si="16"/>
        <v>3613</v>
      </c>
      <c r="P52" s="212">
        <f t="shared" si="16"/>
        <v>518.58900000000006</v>
      </c>
      <c r="Q52" s="209">
        <f>SUM(Q54:Q58)</f>
        <v>0</v>
      </c>
      <c r="R52" s="212">
        <f t="shared" si="16"/>
        <v>0</v>
      </c>
      <c r="S52" s="209">
        <f t="shared" si="16"/>
        <v>0</v>
      </c>
      <c r="T52" s="212">
        <f t="shared" si="16"/>
        <v>0</v>
      </c>
      <c r="U52" s="209">
        <f t="shared" si="16"/>
        <v>2</v>
      </c>
      <c r="V52" s="230">
        <f t="shared" si="16"/>
        <v>0.5</v>
      </c>
      <c r="W52" s="210" t="s">
        <v>119</v>
      </c>
      <c r="X52" s="211"/>
      <c r="Y52" s="211"/>
    </row>
    <row r="53" spans="1:25" ht="11.4" customHeight="1">
      <c r="A53" s="257"/>
      <c r="B53" s="256"/>
      <c r="C53" s="243"/>
      <c r="D53" s="244"/>
      <c r="E53" s="243"/>
      <c r="F53" s="244"/>
      <c r="G53" s="243"/>
      <c r="H53" s="244"/>
      <c r="I53" s="243"/>
      <c r="J53" s="244"/>
      <c r="K53" s="243"/>
      <c r="L53" s="244"/>
      <c r="M53" s="209"/>
      <c r="N53" s="212"/>
      <c r="O53" s="209"/>
      <c r="P53" s="212"/>
      <c r="Q53" s="209"/>
      <c r="R53" s="212"/>
      <c r="S53" s="209"/>
      <c r="T53" s="212"/>
      <c r="U53" s="209"/>
      <c r="V53" s="230"/>
      <c r="W53" s="210"/>
      <c r="X53" s="211"/>
      <c r="Y53" s="211"/>
    </row>
    <row r="54" spans="1:25">
      <c r="A54" s="154" t="str">
        <f>VLOOKUP(ListOfRegions!A32,ListOfRegions!A32:B106,2,0)</f>
        <v xml:space="preserve">  Κέρκυρας</v>
      </c>
      <c r="B54" s="157">
        <f t="shared" ref="B54:B59" si="17">SUM(C54,E54,G54,I54,K54,M54,O54,Q54,S54,U54)</f>
        <v>6547</v>
      </c>
      <c r="C54" s="160">
        <v>32</v>
      </c>
      <c r="D54" s="159">
        <v>5.4</v>
      </c>
      <c r="E54" s="148" t="s">
        <v>291</v>
      </c>
      <c r="F54" s="162" t="s">
        <v>291</v>
      </c>
      <c r="G54" s="160">
        <v>49</v>
      </c>
      <c r="H54" s="159">
        <v>7.91</v>
      </c>
      <c r="I54" s="160">
        <v>325</v>
      </c>
      <c r="J54" s="159">
        <v>35.43</v>
      </c>
      <c r="K54" s="168">
        <v>19</v>
      </c>
      <c r="L54" s="159">
        <v>6.5</v>
      </c>
      <c r="M54" s="160">
        <v>2678</v>
      </c>
      <c r="N54" s="159">
        <v>710.375</v>
      </c>
      <c r="O54" s="171">
        <v>3444</v>
      </c>
      <c r="P54" s="159">
        <v>457.48899999999998</v>
      </c>
      <c r="Q54" s="148" t="s">
        <v>291</v>
      </c>
      <c r="R54" s="162" t="s">
        <v>291</v>
      </c>
      <c r="S54" s="148" t="s">
        <v>291</v>
      </c>
      <c r="T54" s="162" t="s">
        <v>291</v>
      </c>
      <c r="U54" s="148" t="s">
        <v>291</v>
      </c>
      <c r="V54" s="184" t="s">
        <v>291</v>
      </c>
      <c r="W54" s="122" t="s">
        <v>161</v>
      </c>
      <c r="X54" s="132"/>
      <c r="Y54" s="132"/>
    </row>
    <row r="55" spans="1:25" ht="13.8">
      <c r="A55" s="154" t="str">
        <f>VLOOKUP(ListOfRegions!A33,ListOfRegions!A33:B107,2,0)</f>
        <v xml:space="preserve">  Ζακύνθου</v>
      </c>
      <c r="B55" s="157">
        <f t="shared" si="17"/>
        <v>17557</v>
      </c>
      <c r="C55" s="163" t="s">
        <v>293</v>
      </c>
      <c r="D55" s="159">
        <v>0</v>
      </c>
      <c r="E55" s="160">
        <v>11924</v>
      </c>
      <c r="F55" s="159">
        <v>1768.91</v>
      </c>
      <c r="G55" s="160">
        <v>1993</v>
      </c>
      <c r="H55" s="159">
        <v>250.25</v>
      </c>
      <c r="I55" s="160">
        <v>2214</v>
      </c>
      <c r="J55" s="159">
        <v>336.27499999999998</v>
      </c>
      <c r="K55" s="168">
        <v>709</v>
      </c>
      <c r="L55" s="159">
        <v>124.788</v>
      </c>
      <c r="M55" s="160">
        <v>578</v>
      </c>
      <c r="N55" s="159">
        <v>229.05799999999999</v>
      </c>
      <c r="O55" s="171">
        <v>139</v>
      </c>
      <c r="P55" s="159">
        <v>50.35</v>
      </c>
      <c r="Q55" s="148" t="s">
        <v>291</v>
      </c>
      <c r="R55" s="162" t="s">
        <v>291</v>
      </c>
      <c r="S55" s="148" t="s">
        <v>291</v>
      </c>
      <c r="T55" s="162" t="s">
        <v>291</v>
      </c>
      <c r="U55" s="148" t="s">
        <v>291</v>
      </c>
      <c r="V55" s="184" t="s">
        <v>291</v>
      </c>
      <c r="W55" s="122" t="s">
        <v>162</v>
      </c>
      <c r="X55" s="132"/>
      <c r="Y55" s="132"/>
    </row>
    <row r="56" spans="1:25">
      <c r="A56" s="154" t="str">
        <f>VLOOKUP(ListOfRegions!A34,ListOfRegions!A34:B108,2,0)</f>
        <v xml:space="preserve">  Ιθάκης</v>
      </c>
      <c r="B56" s="157">
        <f>SUM(C56,E56,G57,I56,K56,M56,O56,Q56,S56,U56)</f>
        <v>330</v>
      </c>
      <c r="C56" s="148" t="s">
        <v>291</v>
      </c>
      <c r="D56" s="162" t="s">
        <v>291</v>
      </c>
      <c r="E56" s="148" t="s">
        <v>291</v>
      </c>
      <c r="F56" s="162" t="s">
        <v>291</v>
      </c>
      <c r="G56" s="148" t="s">
        <v>291</v>
      </c>
      <c r="H56" s="162" t="s">
        <v>291</v>
      </c>
      <c r="I56" s="148" t="s">
        <v>291</v>
      </c>
      <c r="J56" s="162" t="s">
        <v>291</v>
      </c>
      <c r="K56" s="148" t="s">
        <v>291</v>
      </c>
      <c r="L56" s="162" t="s">
        <v>291</v>
      </c>
      <c r="M56" s="148" t="s">
        <v>291</v>
      </c>
      <c r="N56" s="162" t="s">
        <v>291</v>
      </c>
      <c r="O56" s="148" t="s">
        <v>291</v>
      </c>
      <c r="P56" s="162" t="s">
        <v>291</v>
      </c>
      <c r="Q56" s="148" t="s">
        <v>291</v>
      </c>
      <c r="R56" s="162" t="s">
        <v>291</v>
      </c>
      <c r="S56" s="148" t="s">
        <v>291</v>
      </c>
      <c r="T56" s="162" t="s">
        <v>291</v>
      </c>
      <c r="U56" s="148" t="s">
        <v>291</v>
      </c>
      <c r="V56" s="184" t="s">
        <v>291</v>
      </c>
      <c r="W56" s="122" t="s">
        <v>163</v>
      </c>
      <c r="X56" s="132"/>
      <c r="Y56" s="132"/>
    </row>
    <row r="57" spans="1:25">
      <c r="A57" s="154" t="str">
        <f>VLOOKUP(ListOfRegions!A35,ListOfRegions!A35:B109,2,0)</f>
        <v xml:space="preserve">  Κεφαλληνίας</v>
      </c>
      <c r="B57" s="157">
        <f>SUM(C57,E57,G58,I57,K57,M57,O57,Q57,S57,U57)</f>
        <v>10052</v>
      </c>
      <c r="C57" s="160">
        <v>536</v>
      </c>
      <c r="D57" s="159">
        <v>29.95</v>
      </c>
      <c r="E57" s="160">
        <v>3124</v>
      </c>
      <c r="F57" s="159">
        <v>388.45499999999998</v>
      </c>
      <c r="G57" s="160">
        <v>330</v>
      </c>
      <c r="H57" s="159">
        <v>45.85</v>
      </c>
      <c r="I57" s="160">
        <v>6141</v>
      </c>
      <c r="J57" s="159">
        <v>751.19</v>
      </c>
      <c r="K57" s="168">
        <v>6</v>
      </c>
      <c r="L57" s="159">
        <v>0.35</v>
      </c>
      <c r="M57" s="160">
        <v>15</v>
      </c>
      <c r="N57" s="159">
        <v>2.6</v>
      </c>
      <c r="O57" s="171">
        <v>2</v>
      </c>
      <c r="P57" s="159">
        <v>0.3</v>
      </c>
      <c r="Q57" s="148" t="s">
        <v>291</v>
      </c>
      <c r="R57" s="162" t="s">
        <v>291</v>
      </c>
      <c r="S57" s="148" t="s">
        <v>291</v>
      </c>
      <c r="T57" s="162" t="s">
        <v>291</v>
      </c>
      <c r="U57" s="171">
        <v>2</v>
      </c>
      <c r="V57" s="189">
        <v>0.5</v>
      </c>
      <c r="W57" s="122" t="s">
        <v>164</v>
      </c>
      <c r="X57" s="132"/>
      <c r="Y57" s="132"/>
    </row>
    <row r="58" spans="1:25">
      <c r="A58" s="154" t="str">
        <f>VLOOKUP(ListOfRegions!A36,ListOfRegions!A36:B110,2,0)</f>
        <v xml:space="preserve">  Λευκάδας</v>
      </c>
      <c r="B58" s="157">
        <f>SUM(C58,E58,G59,I58,K58,M58,O58,Q58,S58,U58)</f>
        <v>73147</v>
      </c>
      <c r="C58" s="160">
        <v>42</v>
      </c>
      <c r="D58" s="159">
        <v>5.32</v>
      </c>
      <c r="E58" s="160">
        <v>18</v>
      </c>
      <c r="F58" s="159">
        <v>5.2</v>
      </c>
      <c r="G58" s="160">
        <v>226</v>
      </c>
      <c r="H58" s="159">
        <v>26.77</v>
      </c>
      <c r="I58" s="160">
        <v>406</v>
      </c>
      <c r="J58" s="159">
        <v>48.06</v>
      </c>
      <c r="K58" s="168">
        <v>9</v>
      </c>
      <c r="L58" s="159">
        <v>4.5</v>
      </c>
      <c r="M58" s="160">
        <v>109</v>
      </c>
      <c r="N58" s="159">
        <v>38.5</v>
      </c>
      <c r="O58" s="171">
        <v>28</v>
      </c>
      <c r="P58" s="159">
        <v>10.45</v>
      </c>
      <c r="Q58" s="148" t="s">
        <v>291</v>
      </c>
      <c r="R58" s="162" t="s">
        <v>291</v>
      </c>
      <c r="S58" s="148" t="s">
        <v>291</v>
      </c>
      <c r="T58" s="162" t="s">
        <v>291</v>
      </c>
      <c r="U58" s="148" t="s">
        <v>291</v>
      </c>
      <c r="V58" s="184" t="s">
        <v>291</v>
      </c>
      <c r="W58" s="122" t="s">
        <v>165</v>
      </c>
      <c r="X58" s="132"/>
      <c r="Y58" s="132"/>
    </row>
    <row r="59" spans="1:25" ht="11.4" customHeight="1">
      <c r="A59" s="257" t="s">
        <v>106</v>
      </c>
      <c r="B59" s="256">
        <f t="shared" si="17"/>
        <v>733997</v>
      </c>
      <c r="C59" s="243">
        <f>SUM(C61:C63)</f>
        <v>21395</v>
      </c>
      <c r="D59" s="244">
        <f t="shared" ref="D59:L59" si="18">SUM(D61:D63)</f>
        <v>5235.6170000000002</v>
      </c>
      <c r="E59" s="243">
        <f t="shared" si="18"/>
        <v>60655</v>
      </c>
      <c r="F59" s="244">
        <f t="shared" si="18"/>
        <v>13334.42</v>
      </c>
      <c r="G59" s="243">
        <f t="shared" si="18"/>
        <v>72535</v>
      </c>
      <c r="H59" s="244">
        <f t="shared" si="18"/>
        <v>16029.919999999998</v>
      </c>
      <c r="I59" s="243">
        <f t="shared" si="18"/>
        <v>205437</v>
      </c>
      <c r="J59" s="244">
        <f t="shared" si="18"/>
        <v>40760.892</v>
      </c>
      <c r="K59" s="243">
        <f t="shared" si="18"/>
        <v>266</v>
      </c>
      <c r="L59" s="244">
        <f t="shared" si="18"/>
        <v>82.8</v>
      </c>
      <c r="M59" s="209">
        <f>SUM(M61:M63)</f>
        <v>355556</v>
      </c>
      <c r="N59" s="212">
        <f t="shared" ref="N59:V59" si="19">SUM(N61:N63)</f>
        <v>343747.44099999999</v>
      </c>
      <c r="O59" s="209">
        <f t="shared" si="19"/>
        <v>6223</v>
      </c>
      <c r="P59" s="212">
        <f t="shared" si="19"/>
        <v>2615.19</v>
      </c>
      <c r="Q59" s="209">
        <f>SUM(Q61:Q63)</f>
        <v>11905</v>
      </c>
      <c r="R59" s="212">
        <f t="shared" si="19"/>
        <v>6804</v>
      </c>
      <c r="S59" s="209">
        <f t="shared" si="19"/>
        <v>20</v>
      </c>
      <c r="T59" s="212">
        <f t="shared" si="19"/>
        <v>4</v>
      </c>
      <c r="U59" s="209">
        <f t="shared" si="19"/>
        <v>5</v>
      </c>
      <c r="V59" s="230">
        <f t="shared" si="19"/>
        <v>0.8</v>
      </c>
      <c r="W59" s="210" t="s">
        <v>120</v>
      </c>
      <c r="X59" s="211"/>
      <c r="Y59" s="211"/>
    </row>
    <row r="60" spans="1:25">
      <c r="A60" s="257"/>
      <c r="B60" s="256"/>
      <c r="C60" s="243"/>
      <c r="D60" s="244"/>
      <c r="E60" s="243"/>
      <c r="F60" s="244"/>
      <c r="G60" s="243"/>
      <c r="H60" s="244"/>
      <c r="I60" s="243"/>
      <c r="J60" s="244"/>
      <c r="K60" s="243"/>
      <c r="L60" s="244"/>
      <c r="M60" s="209"/>
      <c r="N60" s="212"/>
      <c r="O60" s="209"/>
      <c r="P60" s="212"/>
      <c r="Q60" s="209"/>
      <c r="R60" s="212"/>
      <c r="S60" s="209"/>
      <c r="T60" s="212"/>
      <c r="U60" s="209"/>
      <c r="V60" s="230"/>
      <c r="W60" s="210"/>
      <c r="X60" s="211"/>
      <c r="Y60" s="211"/>
    </row>
    <row r="61" spans="1:25">
      <c r="A61" s="154" t="str">
        <f>VLOOKUP(ListOfRegions!A37,ListOfRegions!A37:B111,2,0)</f>
        <v xml:space="preserve">  Αχαϊας</v>
      </c>
      <c r="B61" s="157">
        <f>SUM(C61,E61,G61,I61,K61,M61,O61,Q61,S61,U61)</f>
        <v>182878</v>
      </c>
      <c r="C61" s="160">
        <v>9193</v>
      </c>
      <c r="D61" s="159">
        <v>2114.0149999999999</v>
      </c>
      <c r="E61" s="160">
        <v>37342</v>
      </c>
      <c r="F61" s="159">
        <v>8729.15</v>
      </c>
      <c r="G61" s="160">
        <v>28109</v>
      </c>
      <c r="H61" s="159">
        <v>6447.8</v>
      </c>
      <c r="I61" s="160">
        <v>67639</v>
      </c>
      <c r="J61" s="159">
        <v>15578.66</v>
      </c>
      <c r="K61" s="168">
        <v>104</v>
      </c>
      <c r="L61" s="159">
        <v>34.799999999999997</v>
      </c>
      <c r="M61" s="160">
        <v>39829</v>
      </c>
      <c r="N61" s="159">
        <v>29467.7</v>
      </c>
      <c r="O61" s="171">
        <v>657</v>
      </c>
      <c r="P61" s="159">
        <v>265.55</v>
      </c>
      <c r="Q61" s="148" t="s">
        <v>291</v>
      </c>
      <c r="R61" s="162" t="s">
        <v>291</v>
      </c>
      <c r="S61" s="148" t="s">
        <v>291</v>
      </c>
      <c r="T61" s="162" t="s">
        <v>291</v>
      </c>
      <c r="U61" s="171">
        <v>5</v>
      </c>
      <c r="V61" s="189">
        <v>0.8</v>
      </c>
      <c r="W61" s="122" t="s">
        <v>166</v>
      </c>
      <c r="X61" s="132"/>
      <c r="Y61" s="132"/>
    </row>
    <row r="62" spans="1:25">
      <c r="A62" s="154" t="str">
        <f>VLOOKUP(ListOfRegions!A38,ListOfRegions!A38:B112,2,0)</f>
        <v xml:space="preserve">  Αιτωλ/νανίας</v>
      </c>
      <c r="B62" s="157">
        <f>SUM(C62,E62,G62,I62,K62,M62,O62,Q62,S62,U62)</f>
        <v>256402</v>
      </c>
      <c r="C62" s="160">
        <v>7242</v>
      </c>
      <c r="D62" s="159">
        <v>1693.645</v>
      </c>
      <c r="E62" s="160">
        <v>21190</v>
      </c>
      <c r="F62" s="159">
        <v>4152.16</v>
      </c>
      <c r="G62" s="160">
        <v>8882</v>
      </c>
      <c r="H62" s="159">
        <v>1923.43</v>
      </c>
      <c r="I62" s="160">
        <v>64946</v>
      </c>
      <c r="J62" s="159">
        <v>10873.415999999999</v>
      </c>
      <c r="K62" s="169"/>
      <c r="L62" s="159">
        <v>0</v>
      </c>
      <c r="M62" s="160">
        <v>141388</v>
      </c>
      <c r="N62" s="159">
        <v>143495.53</v>
      </c>
      <c r="O62" s="171">
        <v>849</v>
      </c>
      <c r="P62" s="159">
        <v>494.44</v>
      </c>
      <c r="Q62" s="161">
        <v>11905</v>
      </c>
      <c r="R62" s="159">
        <v>6804</v>
      </c>
      <c r="S62" s="148" t="s">
        <v>291</v>
      </c>
      <c r="T62" s="162" t="s">
        <v>291</v>
      </c>
      <c r="U62" s="148" t="s">
        <v>291</v>
      </c>
      <c r="V62" s="184" t="s">
        <v>291</v>
      </c>
      <c r="W62" s="122" t="s">
        <v>167</v>
      </c>
      <c r="X62" s="132"/>
      <c r="Y62" s="132"/>
    </row>
    <row r="63" spans="1:25">
      <c r="A63" s="154" t="str">
        <f>VLOOKUP(ListOfRegions!A39,ListOfRegions!A39:B113,2,0)</f>
        <v xml:space="preserve">  Ηλείας</v>
      </c>
      <c r="B63" s="157">
        <f>SUM(C63,E63,G63,I63,K63,M63,O63,Q63,S63,U63)</f>
        <v>294717</v>
      </c>
      <c r="C63" s="160">
        <v>4960</v>
      </c>
      <c r="D63" s="159">
        <v>1427.9570000000001</v>
      </c>
      <c r="E63" s="160">
        <v>2123</v>
      </c>
      <c r="F63" s="159">
        <v>453.11</v>
      </c>
      <c r="G63" s="160">
        <v>35544</v>
      </c>
      <c r="H63" s="159">
        <v>7658.69</v>
      </c>
      <c r="I63" s="160">
        <v>72852</v>
      </c>
      <c r="J63" s="159">
        <v>14308.816000000001</v>
      </c>
      <c r="K63" s="168">
        <v>162</v>
      </c>
      <c r="L63" s="159">
        <v>48</v>
      </c>
      <c r="M63" s="160">
        <v>174339</v>
      </c>
      <c r="N63" s="159">
        <v>170784.21100000001</v>
      </c>
      <c r="O63" s="171">
        <v>4717</v>
      </c>
      <c r="P63" s="159">
        <v>1855.2</v>
      </c>
      <c r="Q63" s="148" t="s">
        <v>291</v>
      </c>
      <c r="R63" s="162" t="s">
        <v>291</v>
      </c>
      <c r="S63" s="171">
        <v>20</v>
      </c>
      <c r="T63" s="158">
        <v>4</v>
      </c>
      <c r="U63" s="148" t="s">
        <v>291</v>
      </c>
      <c r="V63" s="184" t="s">
        <v>291</v>
      </c>
      <c r="W63" s="122" t="s">
        <v>168</v>
      </c>
      <c r="X63" s="132"/>
      <c r="Y63" s="132"/>
    </row>
    <row r="64" spans="1:25" ht="11.4" customHeight="1">
      <c r="A64" s="257" t="s">
        <v>107</v>
      </c>
      <c r="B64" s="256">
        <f>SUM(C64,E64,G64,I64,K64,M64,O64,Q64,S64,U64)</f>
        <v>210867</v>
      </c>
      <c r="C64" s="243">
        <f>SUM(C66:C70)</f>
        <v>25320</v>
      </c>
      <c r="D64" s="244">
        <f t="shared" ref="D64:L64" si="20">SUM(D66:D70)</f>
        <v>6563.89</v>
      </c>
      <c r="E64" s="243">
        <f t="shared" si="20"/>
        <v>59713</v>
      </c>
      <c r="F64" s="244">
        <f t="shared" si="20"/>
        <v>14304.775</v>
      </c>
      <c r="G64" s="243">
        <f t="shared" si="20"/>
        <v>46134</v>
      </c>
      <c r="H64" s="244">
        <f t="shared" si="20"/>
        <v>10550.344999999999</v>
      </c>
      <c r="I64" s="243">
        <f t="shared" si="20"/>
        <v>50302</v>
      </c>
      <c r="J64" s="244">
        <f t="shared" si="20"/>
        <v>10646.98</v>
      </c>
      <c r="K64" s="243">
        <f t="shared" si="20"/>
        <v>171</v>
      </c>
      <c r="L64" s="244">
        <f t="shared" si="20"/>
        <v>44.870000000000005</v>
      </c>
      <c r="M64" s="209">
        <f>SUM(M66:M70)</f>
        <v>27492</v>
      </c>
      <c r="N64" s="212">
        <f t="shared" ref="N64:V64" si="21">SUM(N66:N70)</f>
        <v>20923.059999999998</v>
      </c>
      <c r="O64" s="209">
        <f t="shared" si="21"/>
        <v>690</v>
      </c>
      <c r="P64" s="212">
        <f t="shared" si="21"/>
        <v>337.13</v>
      </c>
      <c r="Q64" s="209">
        <f>SUM(Q66:Q70)</f>
        <v>980</v>
      </c>
      <c r="R64" s="212">
        <f t="shared" si="21"/>
        <v>493.5</v>
      </c>
      <c r="S64" s="209">
        <f t="shared" si="21"/>
        <v>21</v>
      </c>
      <c r="T64" s="212">
        <f t="shared" si="21"/>
        <v>13</v>
      </c>
      <c r="U64" s="209">
        <f t="shared" si="21"/>
        <v>44</v>
      </c>
      <c r="V64" s="230">
        <f t="shared" si="21"/>
        <v>14.12</v>
      </c>
      <c r="W64" s="210" t="s">
        <v>121</v>
      </c>
      <c r="X64" s="211"/>
      <c r="Y64" s="211"/>
    </row>
    <row r="65" spans="1:25">
      <c r="A65" s="257"/>
      <c r="B65" s="256"/>
      <c r="C65" s="243"/>
      <c r="D65" s="244"/>
      <c r="E65" s="243"/>
      <c r="F65" s="244"/>
      <c r="G65" s="243"/>
      <c r="H65" s="244"/>
      <c r="I65" s="243"/>
      <c r="J65" s="244"/>
      <c r="K65" s="243"/>
      <c r="L65" s="244"/>
      <c r="M65" s="209"/>
      <c r="N65" s="212"/>
      <c r="O65" s="209"/>
      <c r="P65" s="212"/>
      <c r="Q65" s="209"/>
      <c r="R65" s="212"/>
      <c r="S65" s="209"/>
      <c r="T65" s="212"/>
      <c r="U65" s="209"/>
      <c r="V65" s="230"/>
      <c r="W65" s="210"/>
      <c r="X65" s="211"/>
      <c r="Y65" s="211"/>
    </row>
    <row r="66" spans="1:25">
      <c r="A66" s="154" t="str">
        <f>VLOOKUP(ListOfRegions!A40,ListOfRegions!A40:B114,2,0)</f>
        <v xml:space="preserve">  Αρκαδίας</v>
      </c>
      <c r="B66" s="157">
        <f t="shared" ref="B66:B71" si="22">SUM(C66,E66,G66,I66,K66,M66,O66,Q66,S66,U66)</f>
        <v>87062</v>
      </c>
      <c r="C66" s="160">
        <v>18454</v>
      </c>
      <c r="D66" s="159">
        <v>4857.18</v>
      </c>
      <c r="E66" s="160">
        <v>17351</v>
      </c>
      <c r="F66" s="159">
        <v>4382.6750000000002</v>
      </c>
      <c r="G66" s="160">
        <v>18359</v>
      </c>
      <c r="H66" s="159">
        <v>4351.0749999999998</v>
      </c>
      <c r="I66" s="160">
        <v>24270</v>
      </c>
      <c r="J66" s="159">
        <v>4957.6400000000003</v>
      </c>
      <c r="K66" s="168">
        <v>49</v>
      </c>
      <c r="L66" s="159">
        <v>7.8</v>
      </c>
      <c r="M66" s="160">
        <v>8347</v>
      </c>
      <c r="N66" s="159">
        <v>5005</v>
      </c>
      <c r="O66" s="171">
        <v>197</v>
      </c>
      <c r="P66" s="159">
        <v>153.27000000000001</v>
      </c>
      <c r="Q66" s="148" t="s">
        <v>291</v>
      </c>
      <c r="R66" s="162" t="s">
        <v>291</v>
      </c>
      <c r="S66" s="171">
        <v>1</v>
      </c>
      <c r="T66" s="158">
        <v>0</v>
      </c>
      <c r="U66" s="171">
        <v>34</v>
      </c>
      <c r="V66" s="189">
        <v>11.12</v>
      </c>
      <c r="W66" s="122" t="s">
        <v>169</v>
      </c>
      <c r="X66" s="132"/>
      <c r="Y66" s="132"/>
    </row>
    <row r="67" spans="1:25">
      <c r="A67" s="154" t="str">
        <f>VLOOKUP(ListOfRegions!A41,ListOfRegions!A41:B115,2,0)</f>
        <v xml:space="preserve">  Αργολίδας</v>
      </c>
      <c r="B67" s="157">
        <f t="shared" si="22"/>
        <v>28963</v>
      </c>
      <c r="C67" s="160">
        <v>1190</v>
      </c>
      <c r="D67" s="159">
        <v>222.5</v>
      </c>
      <c r="E67" s="160">
        <v>10800</v>
      </c>
      <c r="F67" s="159">
        <v>2103.9699999999998</v>
      </c>
      <c r="G67" s="160">
        <v>7499</v>
      </c>
      <c r="H67" s="159">
        <v>1517.82</v>
      </c>
      <c r="I67" s="160">
        <v>7871</v>
      </c>
      <c r="J67" s="159">
        <v>1463.81</v>
      </c>
      <c r="K67" s="148" t="s">
        <v>291</v>
      </c>
      <c r="L67" s="162" t="s">
        <v>291</v>
      </c>
      <c r="M67" s="160">
        <v>1598</v>
      </c>
      <c r="N67" s="159">
        <v>1288.5</v>
      </c>
      <c r="O67" s="171">
        <v>5</v>
      </c>
      <c r="P67" s="159">
        <v>1.5</v>
      </c>
      <c r="Q67" s="148" t="s">
        <v>291</v>
      </c>
      <c r="R67" s="162" t="s">
        <v>291</v>
      </c>
      <c r="S67" s="148" t="s">
        <v>291</v>
      </c>
      <c r="T67" s="162" t="s">
        <v>291</v>
      </c>
      <c r="U67" s="148" t="s">
        <v>291</v>
      </c>
      <c r="V67" s="184" t="s">
        <v>291</v>
      </c>
      <c r="W67" s="122" t="s">
        <v>170</v>
      </c>
      <c r="X67" s="132"/>
      <c r="Y67" s="132"/>
    </row>
    <row r="68" spans="1:25">
      <c r="A68" s="154" t="str">
        <f>VLOOKUP(ListOfRegions!A42,ListOfRegions!A42:B116,2,0)</f>
        <v xml:space="preserve">  Κορινθίας</v>
      </c>
      <c r="B68" s="157">
        <f t="shared" si="22"/>
        <v>58833</v>
      </c>
      <c r="C68" s="160">
        <v>2976</v>
      </c>
      <c r="D68" s="159">
        <v>764.25</v>
      </c>
      <c r="E68" s="160">
        <v>29331</v>
      </c>
      <c r="F68" s="159">
        <v>7234.94</v>
      </c>
      <c r="G68" s="160">
        <v>15330</v>
      </c>
      <c r="H68" s="159">
        <v>3388.91</v>
      </c>
      <c r="I68" s="160">
        <v>9969</v>
      </c>
      <c r="J68" s="159">
        <v>2307.9899999999998</v>
      </c>
      <c r="K68" s="169"/>
      <c r="L68" s="159">
        <v>0</v>
      </c>
      <c r="M68" s="160">
        <v>1150</v>
      </c>
      <c r="N68" s="159">
        <v>1044.95</v>
      </c>
      <c r="O68" s="171">
        <v>77</v>
      </c>
      <c r="P68" s="159">
        <v>37</v>
      </c>
      <c r="Q68" s="148" t="s">
        <v>291</v>
      </c>
      <c r="R68" s="162" t="s">
        <v>291</v>
      </c>
      <c r="S68" s="148" t="s">
        <v>291</v>
      </c>
      <c r="T68" s="162" t="s">
        <v>291</v>
      </c>
      <c r="U68" s="148" t="s">
        <v>291</v>
      </c>
      <c r="V68" s="184" t="s">
        <v>291</v>
      </c>
      <c r="W68" s="122" t="s">
        <v>171</v>
      </c>
      <c r="X68" s="132"/>
      <c r="Y68" s="132"/>
    </row>
    <row r="69" spans="1:25">
      <c r="A69" s="154" t="str">
        <f>VLOOKUP(ListOfRegions!A43,ListOfRegions!A43:B117,2,0)</f>
        <v xml:space="preserve">  Λακωνίας</v>
      </c>
      <c r="B69" s="157">
        <f t="shared" si="22"/>
        <v>16483</v>
      </c>
      <c r="C69" s="160">
        <v>1921</v>
      </c>
      <c r="D69" s="159">
        <v>504.41</v>
      </c>
      <c r="E69" s="160">
        <v>1260</v>
      </c>
      <c r="F69" s="159">
        <v>320.99</v>
      </c>
      <c r="G69" s="160">
        <v>3384</v>
      </c>
      <c r="H69" s="159">
        <v>947.65</v>
      </c>
      <c r="I69" s="160">
        <v>4314</v>
      </c>
      <c r="J69" s="159">
        <v>965.73</v>
      </c>
      <c r="K69" s="168">
        <v>75</v>
      </c>
      <c r="L69" s="159">
        <v>21.5</v>
      </c>
      <c r="M69" s="160">
        <v>5376</v>
      </c>
      <c r="N69" s="159">
        <v>4377.8</v>
      </c>
      <c r="O69" s="171">
        <v>133</v>
      </c>
      <c r="P69" s="159">
        <v>75.2</v>
      </c>
      <c r="Q69" s="148" t="s">
        <v>291</v>
      </c>
      <c r="R69" s="162" t="s">
        <v>291</v>
      </c>
      <c r="S69" s="171">
        <v>20</v>
      </c>
      <c r="T69" s="158">
        <v>13</v>
      </c>
      <c r="U69" s="148" t="s">
        <v>291</v>
      </c>
      <c r="V69" s="184" t="s">
        <v>291</v>
      </c>
      <c r="W69" s="122" t="s">
        <v>172</v>
      </c>
      <c r="X69" s="132"/>
      <c r="Y69" s="132"/>
    </row>
    <row r="70" spans="1:25">
      <c r="A70" s="154" t="str">
        <f>VLOOKUP(ListOfRegions!A44,ListOfRegions!A44:B118,2,0)</f>
        <v xml:space="preserve">  Μεσσηνίας</v>
      </c>
      <c r="B70" s="157">
        <f t="shared" si="22"/>
        <v>19526</v>
      </c>
      <c r="C70" s="160">
        <v>779</v>
      </c>
      <c r="D70" s="159">
        <v>215.55</v>
      </c>
      <c r="E70" s="160">
        <v>971</v>
      </c>
      <c r="F70" s="159">
        <v>262.2</v>
      </c>
      <c r="G70" s="160">
        <v>1562</v>
      </c>
      <c r="H70" s="159">
        <v>344.89</v>
      </c>
      <c r="I70" s="160">
        <v>3878</v>
      </c>
      <c r="J70" s="159">
        <v>951.81</v>
      </c>
      <c r="K70" s="168">
        <v>47</v>
      </c>
      <c r="L70" s="159">
        <v>15.57</v>
      </c>
      <c r="M70" s="160">
        <v>11021</v>
      </c>
      <c r="N70" s="159">
        <v>9206.81</v>
      </c>
      <c r="O70" s="171">
        <v>278</v>
      </c>
      <c r="P70" s="159">
        <v>70.16</v>
      </c>
      <c r="Q70" s="161">
        <v>980</v>
      </c>
      <c r="R70" s="159">
        <v>493.5</v>
      </c>
      <c r="S70" s="148" t="s">
        <v>291</v>
      </c>
      <c r="T70" s="162" t="s">
        <v>291</v>
      </c>
      <c r="U70" s="171">
        <v>10</v>
      </c>
      <c r="V70" s="189">
        <v>3</v>
      </c>
      <c r="W70" s="122" t="s">
        <v>173</v>
      </c>
      <c r="X70" s="132"/>
      <c r="Y70" s="132"/>
    </row>
    <row r="71" spans="1:25" ht="11.4" customHeight="1">
      <c r="A71" s="257" t="s">
        <v>108</v>
      </c>
      <c r="B71" s="256">
        <f t="shared" si="22"/>
        <v>35217</v>
      </c>
      <c r="C71" s="243">
        <f>SUM(C73:C80)</f>
        <v>406</v>
      </c>
      <c r="D71" s="244">
        <f t="shared" ref="D71:L71" si="23">SUM(D73:D80)</f>
        <v>53.6</v>
      </c>
      <c r="E71" s="243">
        <f t="shared" si="23"/>
        <v>25398</v>
      </c>
      <c r="F71" s="244">
        <f t="shared" si="23"/>
        <v>3806.5830000000001</v>
      </c>
      <c r="G71" s="243">
        <f t="shared" si="23"/>
        <v>7119</v>
      </c>
      <c r="H71" s="244">
        <f t="shared" si="23"/>
        <v>952.94999999999993</v>
      </c>
      <c r="I71" s="243">
        <f t="shared" si="23"/>
        <v>2288</v>
      </c>
      <c r="J71" s="244">
        <f t="shared" si="23"/>
        <v>291.32000000000005</v>
      </c>
      <c r="K71" s="243">
        <f t="shared" si="23"/>
        <v>0</v>
      </c>
      <c r="L71" s="244">
        <f t="shared" si="23"/>
        <v>0</v>
      </c>
      <c r="M71" s="209">
        <f>SUM(M73:M80)</f>
        <v>6</v>
      </c>
      <c r="N71" s="212">
        <f t="shared" ref="N71:V71" si="24">SUM(N73:N80)</f>
        <v>8.5</v>
      </c>
      <c r="O71" s="209">
        <f t="shared" si="24"/>
        <v>0</v>
      </c>
      <c r="P71" s="212">
        <f t="shared" si="24"/>
        <v>0</v>
      </c>
      <c r="Q71" s="209">
        <f>SUM(Q73:Q80)</f>
        <v>0</v>
      </c>
      <c r="R71" s="212">
        <f t="shared" si="24"/>
        <v>0</v>
      </c>
      <c r="S71" s="209">
        <f t="shared" si="24"/>
        <v>0</v>
      </c>
      <c r="T71" s="212">
        <f t="shared" si="24"/>
        <v>0</v>
      </c>
      <c r="U71" s="209">
        <f t="shared" si="24"/>
        <v>0</v>
      </c>
      <c r="V71" s="230">
        <f t="shared" si="24"/>
        <v>0</v>
      </c>
      <c r="W71" s="210" t="s">
        <v>122</v>
      </c>
      <c r="X71" s="211"/>
      <c r="Y71" s="211"/>
    </row>
    <row r="72" spans="1:25" ht="11.4" customHeight="1">
      <c r="A72" s="257"/>
      <c r="B72" s="256"/>
      <c r="C72" s="243"/>
      <c r="D72" s="244"/>
      <c r="E72" s="243"/>
      <c r="F72" s="244"/>
      <c r="G72" s="243"/>
      <c r="H72" s="244"/>
      <c r="I72" s="243"/>
      <c r="J72" s="244"/>
      <c r="K72" s="243"/>
      <c r="L72" s="244"/>
      <c r="M72" s="209"/>
      <c r="N72" s="212"/>
      <c r="O72" s="209"/>
      <c r="P72" s="212"/>
      <c r="Q72" s="209"/>
      <c r="R72" s="212"/>
      <c r="S72" s="209"/>
      <c r="T72" s="212"/>
      <c r="U72" s="209"/>
      <c r="V72" s="230"/>
      <c r="W72" s="210"/>
      <c r="X72" s="211"/>
      <c r="Y72" s="211"/>
    </row>
    <row r="73" spans="1:25">
      <c r="A73" s="154" t="str">
        <f>VLOOKUP(ListOfRegions!A45,ListOfRegions!A45:B119,2,0)</f>
        <v xml:space="preserve">  Κεντρικού Τομέα Αθηνών</v>
      </c>
      <c r="B73" s="157">
        <f t="shared" ref="B73:B80" si="25">SUM(C73,E73,G73,I73,K73,M73,O73,Q73,S73,U73)</f>
        <v>0</v>
      </c>
      <c r="C73" s="148" t="s">
        <v>291</v>
      </c>
      <c r="D73" s="162" t="s">
        <v>291</v>
      </c>
      <c r="E73" s="148" t="s">
        <v>291</v>
      </c>
      <c r="F73" s="162" t="s">
        <v>291</v>
      </c>
      <c r="G73" s="148" t="s">
        <v>291</v>
      </c>
      <c r="H73" s="162" t="s">
        <v>291</v>
      </c>
      <c r="I73" s="148" t="s">
        <v>291</v>
      </c>
      <c r="J73" s="162" t="s">
        <v>291</v>
      </c>
      <c r="K73" s="148" t="s">
        <v>291</v>
      </c>
      <c r="L73" s="162" t="s">
        <v>291</v>
      </c>
      <c r="M73" s="148" t="s">
        <v>291</v>
      </c>
      <c r="N73" s="162" t="s">
        <v>291</v>
      </c>
      <c r="O73" s="148" t="s">
        <v>291</v>
      </c>
      <c r="P73" s="162" t="s">
        <v>291</v>
      </c>
      <c r="Q73" s="148" t="s">
        <v>291</v>
      </c>
      <c r="R73" s="162" t="s">
        <v>291</v>
      </c>
      <c r="S73" s="148" t="s">
        <v>291</v>
      </c>
      <c r="T73" s="162" t="s">
        <v>291</v>
      </c>
      <c r="U73" s="148" t="s">
        <v>291</v>
      </c>
      <c r="V73" s="184" t="s">
        <v>291</v>
      </c>
      <c r="W73" s="122" t="s">
        <v>174</v>
      </c>
      <c r="X73" s="132"/>
      <c r="Y73" s="132"/>
    </row>
    <row r="74" spans="1:25">
      <c r="A74" s="154" t="str">
        <f>VLOOKUP(ListOfRegions!A46,ListOfRegions!A46:B120,2,0)</f>
        <v xml:space="preserve"> Βορείου Τομέα Αθηνών</v>
      </c>
      <c r="B74" s="157">
        <f t="shared" si="25"/>
        <v>20</v>
      </c>
      <c r="C74" s="148" t="s">
        <v>291</v>
      </c>
      <c r="D74" s="162" t="s">
        <v>291</v>
      </c>
      <c r="E74" s="160">
        <v>20</v>
      </c>
      <c r="F74" s="159">
        <v>4</v>
      </c>
      <c r="G74" s="148" t="s">
        <v>291</v>
      </c>
      <c r="H74" s="162" t="s">
        <v>291</v>
      </c>
      <c r="I74" s="148" t="s">
        <v>291</v>
      </c>
      <c r="J74" s="162" t="s">
        <v>291</v>
      </c>
      <c r="K74" s="148" t="s">
        <v>291</v>
      </c>
      <c r="L74" s="162" t="s">
        <v>291</v>
      </c>
      <c r="M74" s="148" t="s">
        <v>291</v>
      </c>
      <c r="N74" s="162" t="s">
        <v>291</v>
      </c>
      <c r="O74" s="148" t="s">
        <v>291</v>
      </c>
      <c r="P74" s="162" t="s">
        <v>291</v>
      </c>
      <c r="Q74" s="148" t="s">
        <v>291</v>
      </c>
      <c r="R74" s="162" t="s">
        <v>291</v>
      </c>
      <c r="S74" s="148" t="s">
        <v>291</v>
      </c>
      <c r="T74" s="162" t="s">
        <v>291</v>
      </c>
      <c r="U74" s="148" t="s">
        <v>291</v>
      </c>
      <c r="V74" s="184" t="s">
        <v>291</v>
      </c>
      <c r="W74" s="122" t="s">
        <v>175</v>
      </c>
      <c r="X74" s="132"/>
      <c r="Y74" s="132"/>
    </row>
    <row r="75" spans="1:25">
      <c r="A75" s="154" t="str">
        <f>VLOOKUP(ListOfRegions!A47,ListOfRegions!A47:B121,2,0)</f>
        <v xml:space="preserve">  Δυτικού Τομέα Αθηνών</v>
      </c>
      <c r="B75" s="157">
        <f t="shared" si="25"/>
        <v>0</v>
      </c>
      <c r="C75" s="148" t="s">
        <v>291</v>
      </c>
      <c r="D75" s="162" t="s">
        <v>291</v>
      </c>
      <c r="E75" s="148" t="s">
        <v>291</v>
      </c>
      <c r="F75" s="162" t="s">
        <v>291</v>
      </c>
      <c r="G75" s="148" t="s">
        <v>291</v>
      </c>
      <c r="H75" s="162" t="s">
        <v>291</v>
      </c>
      <c r="I75" s="148" t="s">
        <v>291</v>
      </c>
      <c r="J75" s="162" t="s">
        <v>291</v>
      </c>
      <c r="K75" s="148" t="s">
        <v>291</v>
      </c>
      <c r="L75" s="162" t="s">
        <v>291</v>
      </c>
      <c r="M75" s="148" t="s">
        <v>291</v>
      </c>
      <c r="N75" s="162" t="s">
        <v>291</v>
      </c>
      <c r="O75" s="148" t="s">
        <v>291</v>
      </c>
      <c r="P75" s="162" t="s">
        <v>291</v>
      </c>
      <c r="Q75" s="148" t="s">
        <v>291</v>
      </c>
      <c r="R75" s="162" t="s">
        <v>291</v>
      </c>
      <c r="S75" s="148" t="s">
        <v>291</v>
      </c>
      <c r="T75" s="162" t="s">
        <v>291</v>
      </c>
      <c r="U75" s="148" t="s">
        <v>291</v>
      </c>
      <c r="V75" s="184" t="s">
        <v>291</v>
      </c>
      <c r="W75" s="122" t="s">
        <v>176</v>
      </c>
      <c r="X75" s="132"/>
      <c r="Y75" s="132"/>
    </row>
    <row r="76" spans="1:25">
      <c r="A76" s="154" t="str">
        <f>VLOOKUP(ListOfRegions!A48,ListOfRegions!A48:B122,2,0)</f>
        <v xml:space="preserve">  Νοτίου Τομέα Αθηνών</v>
      </c>
      <c r="B76" s="157">
        <f t="shared" si="25"/>
        <v>0</v>
      </c>
      <c r="C76" s="148" t="s">
        <v>291</v>
      </c>
      <c r="D76" s="162" t="s">
        <v>291</v>
      </c>
      <c r="E76" s="148" t="s">
        <v>291</v>
      </c>
      <c r="F76" s="162" t="s">
        <v>291</v>
      </c>
      <c r="G76" s="148" t="s">
        <v>291</v>
      </c>
      <c r="H76" s="162" t="s">
        <v>291</v>
      </c>
      <c r="I76" s="148" t="s">
        <v>291</v>
      </c>
      <c r="J76" s="162" t="s">
        <v>291</v>
      </c>
      <c r="K76" s="148" t="s">
        <v>291</v>
      </c>
      <c r="L76" s="162" t="s">
        <v>291</v>
      </c>
      <c r="M76" s="148" t="s">
        <v>291</v>
      </c>
      <c r="N76" s="162" t="s">
        <v>291</v>
      </c>
      <c r="O76" s="148" t="s">
        <v>291</v>
      </c>
      <c r="P76" s="162" t="s">
        <v>291</v>
      </c>
      <c r="Q76" s="148" t="s">
        <v>291</v>
      </c>
      <c r="R76" s="162" t="s">
        <v>291</v>
      </c>
      <c r="S76" s="148" t="s">
        <v>291</v>
      </c>
      <c r="T76" s="162" t="s">
        <v>291</v>
      </c>
      <c r="U76" s="148" t="s">
        <v>291</v>
      </c>
      <c r="V76" s="184" t="s">
        <v>291</v>
      </c>
      <c r="W76" s="122" t="s">
        <v>177</v>
      </c>
      <c r="X76" s="132"/>
      <c r="Y76" s="132"/>
    </row>
    <row r="77" spans="1:25">
      <c r="A77" s="154" t="str">
        <f>VLOOKUP(ListOfRegions!A49,ListOfRegions!A49:B123,2,0)</f>
        <v xml:space="preserve">  Ανατολικής Αττικής</v>
      </c>
      <c r="B77" s="157">
        <f t="shared" si="25"/>
        <v>18988</v>
      </c>
      <c r="C77" s="160">
        <v>143</v>
      </c>
      <c r="D77" s="159">
        <v>23.6</v>
      </c>
      <c r="E77" s="160">
        <v>16693</v>
      </c>
      <c r="F77" s="159">
        <v>2597.7730000000001</v>
      </c>
      <c r="G77" s="160">
        <v>1795</v>
      </c>
      <c r="H77" s="159">
        <v>297.64999999999998</v>
      </c>
      <c r="I77" s="160">
        <v>355</v>
      </c>
      <c r="J77" s="159">
        <v>54.1</v>
      </c>
      <c r="K77" s="148" t="s">
        <v>291</v>
      </c>
      <c r="L77" s="162" t="s">
        <v>291</v>
      </c>
      <c r="M77" s="160">
        <v>2</v>
      </c>
      <c r="N77" s="159">
        <v>2</v>
      </c>
      <c r="O77" s="148" t="s">
        <v>291</v>
      </c>
      <c r="P77" s="162" t="s">
        <v>291</v>
      </c>
      <c r="Q77" s="148" t="s">
        <v>291</v>
      </c>
      <c r="R77" s="162" t="s">
        <v>291</v>
      </c>
      <c r="S77" s="148" t="s">
        <v>291</v>
      </c>
      <c r="T77" s="162" t="s">
        <v>291</v>
      </c>
      <c r="U77" s="148" t="s">
        <v>291</v>
      </c>
      <c r="V77" s="184" t="s">
        <v>291</v>
      </c>
      <c r="W77" s="122" t="s">
        <v>178</v>
      </c>
      <c r="X77" s="132"/>
      <c r="Y77" s="132"/>
    </row>
    <row r="78" spans="1:25">
      <c r="A78" s="154" t="str">
        <f>VLOOKUP(ListOfRegions!A50,ListOfRegions!A50:B124,2,0)</f>
        <v xml:space="preserve">  Δυτικής Αττικής</v>
      </c>
      <c r="B78" s="157">
        <f t="shared" si="25"/>
        <v>15104</v>
      </c>
      <c r="C78" s="148" t="s">
        <v>291</v>
      </c>
      <c r="D78" s="162" t="s">
        <v>291</v>
      </c>
      <c r="E78" s="160">
        <v>8100</v>
      </c>
      <c r="F78" s="159">
        <v>1118</v>
      </c>
      <c r="G78" s="160">
        <v>5150</v>
      </c>
      <c r="H78" s="159">
        <v>631</v>
      </c>
      <c r="I78" s="160">
        <v>1850</v>
      </c>
      <c r="J78" s="159">
        <v>227</v>
      </c>
      <c r="K78" s="148" t="s">
        <v>291</v>
      </c>
      <c r="L78" s="162" t="s">
        <v>291</v>
      </c>
      <c r="M78" s="160">
        <v>4</v>
      </c>
      <c r="N78" s="159">
        <v>6.5</v>
      </c>
      <c r="O78" s="148" t="s">
        <v>291</v>
      </c>
      <c r="P78" s="162" t="s">
        <v>291</v>
      </c>
      <c r="Q78" s="148" t="s">
        <v>291</v>
      </c>
      <c r="R78" s="162" t="s">
        <v>291</v>
      </c>
      <c r="S78" s="148" t="s">
        <v>291</v>
      </c>
      <c r="T78" s="162" t="s">
        <v>291</v>
      </c>
      <c r="U78" s="148" t="s">
        <v>291</v>
      </c>
      <c r="V78" s="184" t="s">
        <v>291</v>
      </c>
      <c r="W78" s="122" t="s">
        <v>179</v>
      </c>
      <c r="X78" s="132"/>
      <c r="Y78" s="132"/>
    </row>
    <row r="79" spans="1:25">
      <c r="A79" s="154" t="str">
        <f>VLOOKUP(ListOfRegions!A51,ListOfRegions!A51:B125,2,0)</f>
        <v xml:space="preserve">  Πειραιώς</v>
      </c>
      <c r="B79" s="157">
        <f t="shared" si="25"/>
        <v>0</v>
      </c>
      <c r="C79" s="148" t="s">
        <v>291</v>
      </c>
      <c r="D79" s="162" t="s">
        <v>291</v>
      </c>
      <c r="E79" s="148" t="s">
        <v>291</v>
      </c>
      <c r="F79" s="162" t="s">
        <v>291</v>
      </c>
      <c r="G79" s="148" t="s">
        <v>291</v>
      </c>
      <c r="H79" s="162" t="s">
        <v>291</v>
      </c>
      <c r="I79" s="148" t="s">
        <v>291</v>
      </c>
      <c r="J79" s="162" t="s">
        <v>291</v>
      </c>
      <c r="K79" s="148" t="s">
        <v>291</v>
      </c>
      <c r="L79" s="162" t="s">
        <v>291</v>
      </c>
      <c r="M79" s="148" t="s">
        <v>291</v>
      </c>
      <c r="N79" s="162" t="s">
        <v>291</v>
      </c>
      <c r="O79" s="148" t="s">
        <v>291</v>
      </c>
      <c r="P79" s="162" t="s">
        <v>291</v>
      </c>
      <c r="Q79" s="148" t="s">
        <v>291</v>
      </c>
      <c r="R79" s="162" t="s">
        <v>291</v>
      </c>
      <c r="S79" s="148" t="s">
        <v>291</v>
      </c>
      <c r="T79" s="162" t="s">
        <v>291</v>
      </c>
      <c r="U79" s="148" t="s">
        <v>291</v>
      </c>
      <c r="V79" s="184" t="s">
        <v>291</v>
      </c>
      <c r="W79" s="122" t="s">
        <v>180</v>
      </c>
      <c r="X79" s="132"/>
      <c r="Y79" s="132"/>
    </row>
    <row r="80" spans="1:25">
      <c r="A80" s="154" t="str">
        <f>VLOOKUP(ListOfRegions!A52,ListOfRegions!A52:B126,2,0)</f>
        <v xml:space="preserve">  Νήσων</v>
      </c>
      <c r="B80" s="157">
        <f t="shared" si="25"/>
        <v>1105</v>
      </c>
      <c r="C80" s="160">
        <v>263</v>
      </c>
      <c r="D80" s="159">
        <v>30</v>
      </c>
      <c r="E80" s="160">
        <v>585</v>
      </c>
      <c r="F80" s="159">
        <v>86.81</v>
      </c>
      <c r="G80" s="160">
        <v>174</v>
      </c>
      <c r="H80" s="159">
        <v>24.3</v>
      </c>
      <c r="I80" s="160">
        <v>83</v>
      </c>
      <c r="J80" s="159">
        <v>10.220000000000001</v>
      </c>
      <c r="K80" s="148" t="s">
        <v>291</v>
      </c>
      <c r="L80" s="162" t="s">
        <v>291</v>
      </c>
      <c r="M80" s="148" t="s">
        <v>291</v>
      </c>
      <c r="N80" s="162" t="s">
        <v>291</v>
      </c>
      <c r="O80" s="148" t="s">
        <v>291</v>
      </c>
      <c r="P80" s="162" t="s">
        <v>291</v>
      </c>
      <c r="Q80" s="148" t="s">
        <v>291</v>
      </c>
      <c r="R80" s="162" t="s">
        <v>291</v>
      </c>
      <c r="S80" s="148" t="s">
        <v>291</v>
      </c>
      <c r="T80" s="162" t="s">
        <v>291</v>
      </c>
      <c r="U80" s="148" t="s">
        <v>291</v>
      </c>
      <c r="V80" s="184" t="s">
        <v>291</v>
      </c>
      <c r="W80" s="122" t="s">
        <v>181</v>
      </c>
      <c r="X80" s="132"/>
      <c r="Y80" s="132"/>
    </row>
    <row r="81" spans="1:25" ht="11.4" customHeight="1">
      <c r="A81" s="257" t="s">
        <v>109</v>
      </c>
      <c r="B81" s="256">
        <f>SUM(C81,E81,G81,I81,K81,M81,O81,Q81,S81,U81)</f>
        <v>146692</v>
      </c>
      <c r="C81" s="243">
        <f>SUM(C83:C87)</f>
        <v>604</v>
      </c>
      <c r="D81" s="244">
        <f t="shared" ref="D81:L81" si="26">SUM(D83:D87)</f>
        <v>152.78</v>
      </c>
      <c r="E81" s="243">
        <f t="shared" si="26"/>
        <v>43698</v>
      </c>
      <c r="F81" s="244">
        <f t="shared" si="26"/>
        <v>5969.32</v>
      </c>
      <c r="G81" s="243">
        <f t="shared" si="26"/>
        <v>92735</v>
      </c>
      <c r="H81" s="244">
        <f t="shared" si="26"/>
        <v>10982.029999999999</v>
      </c>
      <c r="I81" s="243">
        <f t="shared" si="26"/>
        <v>8635</v>
      </c>
      <c r="J81" s="244">
        <f t="shared" si="26"/>
        <v>1126.9749999999999</v>
      </c>
      <c r="K81" s="243">
        <f t="shared" si="26"/>
        <v>9</v>
      </c>
      <c r="L81" s="244">
        <f t="shared" si="26"/>
        <v>1</v>
      </c>
      <c r="M81" s="209">
        <f>SUM(M83:M87)</f>
        <v>662</v>
      </c>
      <c r="N81" s="212">
        <f t="shared" ref="N81:V81" si="27">SUM(N83:N87)</f>
        <v>174.19</v>
      </c>
      <c r="O81" s="209">
        <f t="shared" si="27"/>
        <v>327</v>
      </c>
      <c r="P81" s="212">
        <f t="shared" si="27"/>
        <v>89.014999999999986</v>
      </c>
      <c r="Q81" s="209">
        <f>SUM(Q83:Q87)</f>
        <v>13</v>
      </c>
      <c r="R81" s="212">
        <f t="shared" si="27"/>
        <v>1.6</v>
      </c>
      <c r="S81" s="209">
        <f t="shared" si="27"/>
        <v>0</v>
      </c>
      <c r="T81" s="212">
        <f t="shared" si="27"/>
        <v>0</v>
      </c>
      <c r="U81" s="209">
        <f t="shared" si="27"/>
        <v>9</v>
      </c>
      <c r="V81" s="230">
        <f t="shared" si="27"/>
        <v>0.69</v>
      </c>
      <c r="W81" s="210" t="s">
        <v>123</v>
      </c>
      <c r="X81" s="211"/>
      <c r="Y81" s="211"/>
    </row>
    <row r="82" spans="1:25" ht="11.4" customHeight="1">
      <c r="A82" s="257"/>
      <c r="B82" s="256"/>
      <c r="C82" s="243"/>
      <c r="D82" s="244"/>
      <c r="E82" s="243"/>
      <c r="F82" s="244"/>
      <c r="G82" s="243"/>
      <c r="H82" s="244"/>
      <c r="I82" s="243"/>
      <c r="J82" s="244"/>
      <c r="K82" s="243"/>
      <c r="L82" s="244"/>
      <c r="M82" s="209"/>
      <c r="N82" s="212"/>
      <c r="O82" s="209"/>
      <c r="P82" s="212"/>
      <c r="Q82" s="209"/>
      <c r="R82" s="212"/>
      <c r="S82" s="209"/>
      <c r="T82" s="212"/>
      <c r="U82" s="209"/>
      <c r="V82" s="230"/>
      <c r="W82" s="210"/>
      <c r="X82" s="211"/>
      <c r="Y82" s="211"/>
    </row>
    <row r="83" spans="1:25" ht="13.8">
      <c r="A83" s="154" t="str">
        <f>VLOOKUP(ListOfRegions!A53,ListOfRegions!A53:B127,2,0)</f>
        <v xml:space="preserve">  Λέσβου</v>
      </c>
      <c r="B83" s="157">
        <f t="shared" ref="B83:B88" si="28">SUM(C83,E83,G83,I83,K83,M83,O83,Q83,S83,U83)</f>
        <v>9395</v>
      </c>
      <c r="C83" s="163" t="s">
        <v>293</v>
      </c>
      <c r="D83" s="159">
        <v>0</v>
      </c>
      <c r="E83" s="160">
        <v>6544</v>
      </c>
      <c r="F83" s="159">
        <v>1088.4000000000001</v>
      </c>
      <c r="G83" s="160">
        <v>1198</v>
      </c>
      <c r="H83" s="159">
        <v>152.28</v>
      </c>
      <c r="I83" s="160">
        <v>1237</v>
      </c>
      <c r="J83" s="159">
        <v>172.35</v>
      </c>
      <c r="K83" s="148" t="s">
        <v>291</v>
      </c>
      <c r="L83" s="162" t="s">
        <v>291</v>
      </c>
      <c r="M83" s="160">
        <v>279</v>
      </c>
      <c r="N83" s="159">
        <v>64.790000000000006</v>
      </c>
      <c r="O83" s="171">
        <v>137</v>
      </c>
      <c r="P83" s="159">
        <v>57.225000000000001</v>
      </c>
      <c r="Q83" s="148" t="s">
        <v>291</v>
      </c>
      <c r="R83" s="162" t="s">
        <v>291</v>
      </c>
      <c r="S83" s="148" t="s">
        <v>291</v>
      </c>
      <c r="T83" s="162" t="s">
        <v>291</v>
      </c>
      <c r="U83" s="148" t="s">
        <v>291</v>
      </c>
      <c r="V83" s="184" t="s">
        <v>291</v>
      </c>
      <c r="W83" s="122" t="s">
        <v>182</v>
      </c>
      <c r="X83" s="132"/>
      <c r="Y83" s="132"/>
    </row>
    <row r="84" spans="1:25">
      <c r="A84" s="154" t="str">
        <f>VLOOKUP(ListOfRegions!A54,ListOfRegions!A54:B128,2,0)</f>
        <v xml:space="preserve">  Ικαρίας</v>
      </c>
      <c r="B84" s="157">
        <f t="shared" si="28"/>
        <v>571</v>
      </c>
      <c r="C84" s="160">
        <v>4</v>
      </c>
      <c r="D84" s="159">
        <v>0.8</v>
      </c>
      <c r="E84" s="160">
        <v>2</v>
      </c>
      <c r="F84" s="159">
        <v>0.28000000000000003</v>
      </c>
      <c r="G84" s="160">
        <v>182</v>
      </c>
      <c r="H84" s="159">
        <v>22.3</v>
      </c>
      <c r="I84" s="160">
        <v>286</v>
      </c>
      <c r="J84" s="159">
        <v>29.4</v>
      </c>
      <c r="K84" s="148" t="s">
        <v>291</v>
      </c>
      <c r="L84" s="162" t="s">
        <v>291</v>
      </c>
      <c r="M84" s="160">
        <v>67</v>
      </c>
      <c r="N84" s="159">
        <v>39</v>
      </c>
      <c r="O84" s="171">
        <v>30</v>
      </c>
      <c r="P84" s="159">
        <v>16.5</v>
      </c>
      <c r="Q84" s="148" t="s">
        <v>291</v>
      </c>
      <c r="R84" s="162" t="s">
        <v>291</v>
      </c>
      <c r="S84" s="148" t="s">
        <v>291</v>
      </c>
      <c r="T84" s="162" t="s">
        <v>291</v>
      </c>
      <c r="U84" s="148" t="s">
        <v>291</v>
      </c>
      <c r="V84" s="184" t="s">
        <v>291</v>
      </c>
      <c r="W84" s="122" t="s">
        <v>183</v>
      </c>
      <c r="X84" s="132"/>
      <c r="Y84" s="132"/>
    </row>
    <row r="85" spans="1:25">
      <c r="A85" s="154" t="str">
        <f>VLOOKUP(ListOfRegions!A55,ListOfRegions!A55:B129,2,0)</f>
        <v xml:space="preserve">  Λήμνου</v>
      </c>
      <c r="B85" s="157">
        <f t="shared" si="28"/>
        <v>129449</v>
      </c>
      <c r="C85" s="160">
        <v>600</v>
      </c>
      <c r="D85" s="159">
        <v>151.97999999999999</v>
      </c>
      <c r="E85" s="160">
        <v>31164</v>
      </c>
      <c r="F85" s="159">
        <v>4153.6499999999996</v>
      </c>
      <c r="G85" s="160">
        <v>90475</v>
      </c>
      <c r="H85" s="159">
        <v>10723.15</v>
      </c>
      <c r="I85" s="160">
        <v>6735</v>
      </c>
      <c r="J85" s="159">
        <v>879.08</v>
      </c>
      <c r="K85" s="147">
        <v>9</v>
      </c>
      <c r="L85" s="166">
        <v>1</v>
      </c>
      <c r="M85" s="160">
        <v>304</v>
      </c>
      <c r="N85" s="159">
        <v>65.150000000000006</v>
      </c>
      <c r="O85" s="171">
        <v>149</v>
      </c>
      <c r="P85" s="159">
        <v>14.75</v>
      </c>
      <c r="Q85" s="187">
        <v>13</v>
      </c>
      <c r="R85" s="159">
        <v>1.6</v>
      </c>
      <c r="S85" s="148" t="s">
        <v>291</v>
      </c>
      <c r="T85" s="162" t="s">
        <v>291</v>
      </c>
      <c r="U85" s="148" t="s">
        <v>291</v>
      </c>
      <c r="V85" s="184" t="s">
        <v>291</v>
      </c>
      <c r="W85" s="122" t="s">
        <v>184</v>
      </c>
      <c r="X85" s="132"/>
      <c r="Y85" s="132"/>
    </row>
    <row r="86" spans="1:25">
      <c r="A86" s="154" t="str">
        <f>VLOOKUP(ListOfRegions!A56,ListOfRegions!A56:B130,2,0)</f>
        <v xml:space="preserve">  Σάμου.</v>
      </c>
      <c r="B86" s="157">
        <f t="shared" si="28"/>
        <v>4898</v>
      </c>
      <c r="C86" s="148" t="s">
        <v>291</v>
      </c>
      <c r="D86" s="162" t="s">
        <v>291</v>
      </c>
      <c r="E86" s="160">
        <v>4521</v>
      </c>
      <c r="F86" s="159">
        <v>570.49</v>
      </c>
      <c r="G86" s="160">
        <v>104</v>
      </c>
      <c r="H86" s="159">
        <v>12.92</v>
      </c>
      <c r="I86" s="160">
        <v>246</v>
      </c>
      <c r="J86" s="159">
        <v>32.924999999999997</v>
      </c>
      <c r="K86" s="148" t="s">
        <v>291</v>
      </c>
      <c r="L86" s="162" t="s">
        <v>291</v>
      </c>
      <c r="M86" s="160">
        <v>12</v>
      </c>
      <c r="N86" s="159">
        <v>5.25</v>
      </c>
      <c r="O86" s="171">
        <v>6</v>
      </c>
      <c r="P86" s="159">
        <v>0.24</v>
      </c>
      <c r="Q86" s="148" t="s">
        <v>291</v>
      </c>
      <c r="R86" s="162" t="s">
        <v>291</v>
      </c>
      <c r="S86" s="148" t="s">
        <v>291</v>
      </c>
      <c r="T86" s="162" t="s">
        <v>291</v>
      </c>
      <c r="U86" s="171">
        <v>9</v>
      </c>
      <c r="V86" s="189">
        <v>0.69</v>
      </c>
      <c r="W86" s="122" t="s">
        <v>185</v>
      </c>
      <c r="X86" s="132"/>
      <c r="Y86" s="132"/>
    </row>
    <row r="87" spans="1:25">
      <c r="A87" s="154" t="str">
        <f>VLOOKUP(ListOfRegions!A57,ListOfRegions!A57:B131,2,0)</f>
        <v xml:space="preserve">  Χίου</v>
      </c>
      <c r="B87" s="157">
        <f t="shared" si="28"/>
        <v>2379</v>
      </c>
      <c r="C87" s="148" t="s">
        <v>291</v>
      </c>
      <c r="D87" s="162" t="s">
        <v>291</v>
      </c>
      <c r="E87" s="160">
        <v>1467</v>
      </c>
      <c r="F87" s="159">
        <v>156.5</v>
      </c>
      <c r="G87" s="160">
        <v>776</v>
      </c>
      <c r="H87" s="159">
        <v>71.38</v>
      </c>
      <c r="I87" s="160">
        <v>131</v>
      </c>
      <c r="J87" s="159">
        <v>13.22</v>
      </c>
      <c r="K87" s="148" t="s">
        <v>291</v>
      </c>
      <c r="L87" s="162" t="s">
        <v>291</v>
      </c>
      <c r="M87" s="148" t="s">
        <v>291</v>
      </c>
      <c r="N87" s="162" t="s">
        <v>291</v>
      </c>
      <c r="O87" s="171">
        <v>5</v>
      </c>
      <c r="P87" s="159">
        <v>0.3</v>
      </c>
      <c r="Q87" s="148" t="s">
        <v>291</v>
      </c>
      <c r="R87" s="162" t="s">
        <v>291</v>
      </c>
      <c r="S87" s="148" t="s">
        <v>291</v>
      </c>
      <c r="T87" s="162" t="s">
        <v>291</v>
      </c>
      <c r="U87" s="148" t="s">
        <v>291</v>
      </c>
      <c r="V87" s="184" t="s">
        <v>291</v>
      </c>
      <c r="W87" s="122" t="s">
        <v>186</v>
      </c>
      <c r="X87" s="132"/>
      <c r="Y87" s="132"/>
    </row>
    <row r="88" spans="1:25" ht="11.4" customHeight="1">
      <c r="A88" s="257" t="s">
        <v>110</v>
      </c>
      <c r="B88" s="256">
        <f t="shared" si="28"/>
        <v>71509</v>
      </c>
      <c r="C88" s="243">
        <f>SUM(C90:C102)</f>
        <v>3505</v>
      </c>
      <c r="D88" s="244">
        <f t="shared" ref="D88:L88" si="29">SUM(D90:D102)</f>
        <v>503.36</v>
      </c>
      <c r="E88" s="243">
        <f t="shared" si="29"/>
        <v>23134</v>
      </c>
      <c r="F88" s="244">
        <f t="shared" si="29"/>
        <v>2535.9720000000002</v>
      </c>
      <c r="G88" s="243">
        <f t="shared" si="29"/>
        <v>36369</v>
      </c>
      <c r="H88" s="244">
        <f t="shared" si="29"/>
        <v>4766.01</v>
      </c>
      <c r="I88" s="243">
        <f t="shared" si="29"/>
        <v>7650</v>
      </c>
      <c r="J88" s="244">
        <f t="shared" si="29"/>
        <v>1459.1799999999998</v>
      </c>
      <c r="K88" s="243">
        <f t="shared" si="29"/>
        <v>0</v>
      </c>
      <c r="L88" s="244">
        <f t="shared" si="29"/>
        <v>0</v>
      </c>
      <c r="M88" s="209">
        <f>SUM(M90:M102)</f>
        <v>312</v>
      </c>
      <c r="N88" s="212">
        <f t="shared" ref="N88:V88" si="30">SUM(N90:N102)</f>
        <v>87.48</v>
      </c>
      <c r="O88" s="209">
        <f t="shared" si="30"/>
        <v>260</v>
      </c>
      <c r="P88" s="212">
        <f t="shared" si="30"/>
        <v>55.25</v>
      </c>
      <c r="Q88" s="209">
        <f>SUM(Q90:Q102)</f>
        <v>0</v>
      </c>
      <c r="R88" s="212">
        <f t="shared" si="30"/>
        <v>0</v>
      </c>
      <c r="S88" s="209">
        <f t="shared" si="30"/>
        <v>30</v>
      </c>
      <c r="T88" s="212">
        <f t="shared" si="30"/>
        <v>2</v>
      </c>
      <c r="U88" s="209">
        <f t="shared" si="30"/>
        <v>249</v>
      </c>
      <c r="V88" s="230">
        <f t="shared" si="30"/>
        <v>31.434000000000001</v>
      </c>
      <c r="W88" s="210" t="s">
        <v>124</v>
      </c>
      <c r="X88" s="211"/>
      <c r="Y88" s="211"/>
    </row>
    <row r="89" spans="1:25" ht="11.4" customHeight="1">
      <c r="A89" s="257"/>
      <c r="B89" s="256"/>
      <c r="C89" s="243"/>
      <c r="D89" s="244"/>
      <c r="E89" s="243"/>
      <c r="F89" s="244"/>
      <c r="G89" s="243"/>
      <c r="H89" s="244"/>
      <c r="I89" s="243"/>
      <c r="J89" s="244"/>
      <c r="K89" s="243"/>
      <c r="L89" s="244"/>
      <c r="M89" s="209"/>
      <c r="N89" s="212"/>
      <c r="O89" s="209"/>
      <c r="P89" s="212"/>
      <c r="Q89" s="209"/>
      <c r="R89" s="212"/>
      <c r="S89" s="209"/>
      <c r="T89" s="212"/>
      <c r="U89" s="209"/>
      <c r="V89" s="230"/>
      <c r="W89" s="210"/>
      <c r="X89" s="211"/>
      <c r="Y89" s="211"/>
    </row>
    <row r="90" spans="1:25">
      <c r="A90" s="154" t="str">
        <f>VLOOKUP(ListOfRegions!A58,ListOfRegions!A58:B132,2,0)</f>
        <v xml:space="preserve">  Σύρου</v>
      </c>
      <c r="B90" s="157">
        <f t="shared" ref="B90:B102" si="31">SUM(C90,E90,G90,I90,K90,M90,O90,Q90,S90,U90)</f>
        <v>255</v>
      </c>
      <c r="C90" s="148" t="s">
        <v>291</v>
      </c>
      <c r="D90" s="162" t="s">
        <v>291</v>
      </c>
      <c r="E90" s="148" t="s">
        <v>291</v>
      </c>
      <c r="F90" s="162" t="s">
        <v>291</v>
      </c>
      <c r="G90" s="160">
        <v>255</v>
      </c>
      <c r="H90" s="159">
        <v>42.5</v>
      </c>
      <c r="I90" s="148" t="s">
        <v>291</v>
      </c>
      <c r="J90" s="162" t="s">
        <v>291</v>
      </c>
      <c r="K90" s="148" t="s">
        <v>291</v>
      </c>
      <c r="L90" s="162" t="s">
        <v>291</v>
      </c>
      <c r="M90" s="148" t="s">
        <v>291</v>
      </c>
      <c r="N90" s="162" t="s">
        <v>291</v>
      </c>
      <c r="O90" s="148" t="s">
        <v>291</v>
      </c>
      <c r="P90" s="162" t="s">
        <v>291</v>
      </c>
      <c r="Q90" s="148" t="s">
        <v>291</v>
      </c>
      <c r="R90" s="162" t="s">
        <v>291</v>
      </c>
      <c r="S90" s="148" t="s">
        <v>291</v>
      </c>
      <c r="T90" s="162" t="s">
        <v>291</v>
      </c>
      <c r="U90" s="148" t="s">
        <v>291</v>
      </c>
      <c r="V90" s="184" t="s">
        <v>291</v>
      </c>
      <c r="W90" s="122" t="s">
        <v>187</v>
      </c>
      <c r="X90" s="132"/>
      <c r="Y90" s="132"/>
    </row>
    <row r="91" spans="1:25">
      <c r="A91" s="154" t="str">
        <f>VLOOKUP(ListOfRegions!A59,ListOfRegions!A59:B133,2,0)</f>
        <v xml:space="preserve">  Άνδρου</v>
      </c>
      <c r="B91" s="157">
        <f t="shared" si="31"/>
        <v>6231</v>
      </c>
      <c r="C91" s="164">
        <v>58</v>
      </c>
      <c r="D91" s="167">
        <v>11.6</v>
      </c>
      <c r="E91" s="148" t="s">
        <v>291</v>
      </c>
      <c r="F91" s="162" t="s">
        <v>291</v>
      </c>
      <c r="G91" s="160">
        <v>3876</v>
      </c>
      <c r="H91" s="159">
        <v>494.77</v>
      </c>
      <c r="I91" s="160">
        <v>1760</v>
      </c>
      <c r="J91" s="159">
        <v>233.39</v>
      </c>
      <c r="K91" s="148" t="s">
        <v>291</v>
      </c>
      <c r="L91" s="162" t="s">
        <v>291</v>
      </c>
      <c r="M91" s="160">
        <v>261</v>
      </c>
      <c r="N91" s="159">
        <v>62.2</v>
      </c>
      <c r="O91" s="171">
        <v>216</v>
      </c>
      <c r="P91" s="159">
        <v>46.75</v>
      </c>
      <c r="Q91" s="148" t="s">
        <v>291</v>
      </c>
      <c r="R91" s="162" t="s">
        <v>291</v>
      </c>
      <c r="S91" s="148" t="s">
        <v>291</v>
      </c>
      <c r="T91" s="162" t="s">
        <v>291</v>
      </c>
      <c r="U91" s="171">
        <v>60</v>
      </c>
      <c r="V91" s="189">
        <v>8.234</v>
      </c>
      <c r="W91" s="122" t="s">
        <v>188</v>
      </c>
      <c r="X91" s="132"/>
      <c r="Y91" s="132"/>
    </row>
    <row r="92" spans="1:25">
      <c r="A92" s="154" t="str">
        <f>VLOOKUP(ListOfRegions!A60,ListOfRegions!A60:B134,2,0)</f>
        <v xml:space="preserve">  Θήρας</v>
      </c>
      <c r="B92" s="157">
        <f t="shared" si="31"/>
        <v>1611</v>
      </c>
      <c r="C92" s="164">
        <v>8</v>
      </c>
      <c r="D92" s="167">
        <v>0.9</v>
      </c>
      <c r="E92" s="147" t="s">
        <v>291</v>
      </c>
      <c r="F92" s="166" t="s">
        <v>291</v>
      </c>
      <c r="G92" s="160">
        <v>1581</v>
      </c>
      <c r="H92" s="159">
        <v>164.86</v>
      </c>
      <c r="I92" s="160">
        <v>20</v>
      </c>
      <c r="J92" s="159">
        <v>0.7</v>
      </c>
      <c r="K92" s="148" t="s">
        <v>291</v>
      </c>
      <c r="L92" s="162" t="s">
        <v>291</v>
      </c>
      <c r="M92" s="148" t="s">
        <v>291</v>
      </c>
      <c r="N92" s="162" t="s">
        <v>291</v>
      </c>
      <c r="O92" s="171">
        <v>2</v>
      </c>
      <c r="P92" s="159">
        <v>0.5</v>
      </c>
      <c r="Q92" s="148" t="s">
        <v>291</v>
      </c>
      <c r="R92" s="162" t="s">
        <v>291</v>
      </c>
      <c r="S92" s="148" t="s">
        <v>291</v>
      </c>
      <c r="T92" s="162" t="s">
        <v>291</v>
      </c>
      <c r="U92" s="148" t="s">
        <v>291</v>
      </c>
      <c r="V92" s="184" t="s">
        <v>291</v>
      </c>
      <c r="W92" s="122" t="s">
        <v>189</v>
      </c>
      <c r="X92" s="132"/>
      <c r="Y92" s="132"/>
    </row>
    <row r="93" spans="1:25">
      <c r="A93" s="154" t="str">
        <f>VLOOKUP(ListOfRegions!A61,ListOfRegions!A61:B135,2,0)</f>
        <v xml:space="preserve">  Καλύμνου</v>
      </c>
      <c r="B93" s="157">
        <f t="shared" si="31"/>
        <v>1989</v>
      </c>
      <c r="C93" s="148" t="s">
        <v>291</v>
      </c>
      <c r="D93" s="162" t="s">
        <v>291</v>
      </c>
      <c r="E93" s="164">
        <v>518</v>
      </c>
      <c r="F93" s="167">
        <v>69.790000000000006</v>
      </c>
      <c r="G93" s="160">
        <v>1341</v>
      </c>
      <c r="H93" s="159">
        <v>132.1</v>
      </c>
      <c r="I93" s="160">
        <v>130</v>
      </c>
      <c r="J93" s="159">
        <v>22</v>
      </c>
      <c r="K93" s="148" t="s">
        <v>291</v>
      </c>
      <c r="L93" s="162" t="s">
        <v>291</v>
      </c>
      <c r="M93" s="148" t="s">
        <v>291</v>
      </c>
      <c r="N93" s="162" t="s">
        <v>291</v>
      </c>
      <c r="O93" s="148" t="s">
        <v>291</v>
      </c>
      <c r="P93" s="162" t="s">
        <v>291</v>
      </c>
      <c r="Q93" s="148" t="s">
        <v>291</v>
      </c>
      <c r="R93" s="162" t="s">
        <v>291</v>
      </c>
      <c r="S93" s="148" t="s">
        <v>291</v>
      </c>
      <c r="T93" s="162" t="s">
        <v>291</v>
      </c>
      <c r="U93" s="148" t="s">
        <v>291</v>
      </c>
      <c r="V93" s="184" t="s">
        <v>291</v>
      </c>
      <c r="W93" s="122" t="s">
        <v>190</v>
      </c>
      <c r="X93" s="132"/>
      <c r="Y93" s="132"/>
    </row>
    <row r="94" spans="1:25">
      <c r="A94" s="154" t="str">
        <f>VLOOKUP(ListOfRegions!A62,ListOfRegions!A62:B136,2,0)</f>
        <v xml:space="preserve">  Καρπάθου</v>
      </c>
      <c r="B94" s="157">
        <f t="shared" si="31"/>
        <v>150</v>
      </c>
      <c r="C94" s="164">
        <v>50</v>
      </c>
      <c r="D94" s="167">
        <v>4</v>
      </c>
      <c r="E94" s="164">
        <v>100</v>
      </c>
      <c r="F94" s="167">
        <v>10</v>
      </c>
      <c r="G94" s="148" t="s">
        <v>291</v>
      </c>
      <c r="H94" s="162" t="s">
        <v>291</v>
      </c>
      <c r="I94" s="148" t="s">
        <v>291</v>
      </c>
      <c r="J94" s="162" t="s">
        <v>291</v>
      </c>
      <c r="K94" s="148" t="s">
        <v>291</v>
      </c>
      <c r="L94" s="162" t="s">
        <v>291</v>
      </c>
      <c r="M94" s="148" t="s">
        <v>291</v>
      </c>
      <c r="N94" s="162" t="s">
        <v>291</v>
      </c>
      <c r="O94" s="148" t="s">
        <v>291</v>
      </c>
      <c r="P94" s="162" t="s">
        <v>291</v>
      </c>
      <c r="Q94" s="148" t="s">
        <v>291</v>
      </c>
      <c r="R94" s="162" t="s">
        <v>291</v>
      </c>
      <c r="S94" s="148" t="s">
        <v>291</v>
      </c>
      <c r="T94" s="162" t="s">
        <v>291</v>
      </c>
      <c r="U94" s="148" t="s">
        <v>291</v>
      </c>
      <c r="V94" s="184" t="s">
        <v>291</v>
      </c>
      <c r="W94" s="122" t="s">
        <v>191</v>
      </c>
      <c r="X94" s="132"/>
      <c r="Y94" s="132"/>
    </row>
    <row r="95" spans="1:25">
      <c r="A95" s="154" t="str">
        <f>VLOOKUP(ListOfRegions!A63,ListOfRegions!A63:B137,2,0)</f>
        <v xml:space="preserve">  Κύθνου</v>
      </c>
      <c r="B95" s="157">
        <f t="shared" si="31"/>
        <v>1820</v>
      </c>
      <c r="C95" s="164">
        <v>10</v>
      </c>
      <c r="D95" s="167">
        <v>0.1</v>
      </c>
      <c r="E95" s="148" t="s">
        <v>291</v>
      </c>
      <c r="F95" s="162" t="s">
        <v>291</v>
      </c>
      <c r="G95" s="160">
        <v>1600</v>
      </c>
      <c r="H95" s="159">
        <v>164</v>
      </c>
      <c r="I95" s="160">
        <v>120</v>
      </c>
      <c r="J95" s="159">
        <v>12</v>
      </c>
      <c r="K95" s="148" t="s">
        <v>291</v>
      </c>
      <c r="L95" s="162" t="s">
        <v>291</v>
      </c>
      <c r="M95" s="160">
        <v>50</v>
      </c>
      <c r="N95" s="159">
        <v>25</v>
      </c>
      <c r="O95" s="171">
        <v>10</v>
      </c>
      <c r="P95" s="159">
        <v>5</v>
      </c>
      <c r="Q95" s="148" t="s">
        <v>291</v>
      </c>
      <c r="R95" s="162" t="s">
        <v>291</v>
      </c>
      <c r="S95" s="171">
        <v>10</v>
      </c>
      <c r="T95" s="158">
        <v>0</v>
      </c>
      <c r="U95" s="171">
        <v>20</v>
      </c>
      <c r="V95" s="189">
        <v>6</v>
      </c>
      <c r="W95" s="122" t="s">
        <v>192</v>
      </c>
      <c r="X95" s="132"/>
      <c r="Y95" s="132"/>
    </row>
    <row r="96" spans="1:25">
      <c r="A96" s="154" t="str">
        <f>VLOOKUP(ListOfRegions!A64,ListOfRegions!A64:B138,2,0)</f>
        <v xml:space="preserve">  Κω</v>
      </c>
      <c r="B96" s="157">
        <f t="shared" si="31"/>
        <v>12040</v>
      </c>
      <c r="C96" s="148" t="s">
        <v>291</v>
      </c>
      <c r="D96" s="162" t="s">
        <v>291</v>
      </c>
      <c r="E96" s="164">
        <v>3760</v>
      </c>
      <c r="F96" s="167">
        <v>778.6</v>
      </c>
      <c r="G96" s="160">
        <v>3960</v>
      </c>
      <c r="H96" s="159">
        <v>864</v>
      </c>
      <c r="I96" s="160">
        <v>4300</v>
      </c>
      <c r="J96" s="159">
        <v>1032.55</v>
      </c>
      <c r="K96" s="148" t="s">
        <v>291</v>
      </c>
      <c r="L96" s="162" t="s">
        <v>291</v>
      </c>
      <c r="M96" s="148" t="s">
        <v>291</v>
      </c>
      <c r="N96" s="162" t="s">
        <v>291</v>
      </c>
      <c r="O96" s="148" t="s">
        <v>291</v>
      </c>
      <c r="P96" s="162" t="s">
        <v>291</v>
      </c>
      <c r="Q96" s="148" t="s">
        <v>291</v>
      </c>
      <c r="R96" s="162" t="s">
        <v>291</v>
      </c>
      <c r="S96" s="171">
        <v>20</v>
      </c>
      <c r="T96" s="158">
        <v>2</v>
      </c>
      <c r="U96" s="148" t="s">
        <v>291</v>
      </c>
      <c r="V96" s="184" t="s">
        <v>291</v>
      </c>
      <c r="W96" s="122" t="s">
        <v>193</v>
      </c>
      <c r="X96" s="132"/>
      <c r="Y96" s="132"/>
    </row>
    <row r="97" spans="1:25">
      <c r="A97" s="154" t="str">
        <f>VLOOKUP(ListOfRegions!A65,ListOfRegions!A65:B139,2,0)</f>
        <v xml:space="preserve">  Μήλου</v>
      </c>
      <c r="B97" s="157">
        <f t="shared" si="31"/>
        <v>5765</v>
      </c>
      <c r="C97" s="164">
        <v>296</v>
      </c>
      <c r="D97" s="167">
        <v>42.56</v>
      </c>
      <c r="E97" s="148" t="s">
        <v>291</v>
      </c>
      <c r="F97" s="162" t="s">
        <v>291</v>
      </c>
      <c r="G97" s="160">
        <v>4984</v>
      </c>
      <c r="H97" s="159">
        <v>760.3</v>
      </c>
      <c r="I97" s="160">
        <v>425</v>
      </c>
      <c r="J97" s="159">
        <v>51.7</v>
      </c>
      <c r="K97" s="148" t="s">
        <v>291</v>
      </c>
      <c r="L97" s="162" t="s">
        <v>291</v>
      </c>
      <c r="M97" s="148" t="s">
        <v>291</v>
      </c>
      <c r="N97" s="162" t="s">
        <v>291</v>
      </c>
      <c r="O97" s="148" t="s">
        <v>291</v>
      </c>
      <c r="P97" s="162" t="s">
        <v>291</v>
      </c>
      <c r="Q97" s="148" t="s">
        <v>291</v>
      </c>
      <c r="R97" s="162" t="s">
        <v>291</v>
      </c>
      <c r="S97" s="148" t="s">
        <v>291</v>
      </c>
      <c r="T97" s="162" t="s">
        <v>291</v>
      </c>
      <c r="U97" s="171">
        <v>60</v>
      </c>
      <c r="V97" s="189">
        <v>5.5</v>
      </c>
      <c r="W97" s="122" t="s">
        <v>194</v>
      </c>
      <c r="X97" s="132"/>
      <c r="Y97" s="132"/>
    </row>
    <row r="98" spans="1:25">
      <c r="A98" s="154" t="str">
        <f>VLOOKUP(ListOfRegions!A66,ListOfRegions!A66:B140,2,0)</f>
        <v xml:space="preserve">  Μυκόνου.</v>
      </c>
      <c r="B98" s="157">
        <f t="shared" si="31"/>
        <v>380</v>
      </c>
      <c r="C98" s="148" t="s">
        <v>291</v>
      </c>
      <c r="D98" s="162" t="s">
        <v>291</v>
      </c>
      <c r="E98" s="148" t="s">
        <v>291</v>
      </c>
      <c r="F98" s="162" t="s">
        <v>291</v>
      </c>
      <c r="G98" s="160">
        <v>380</v>
      </c>
      <c r="H98" s="159">
        <v>38</v>
      </c>
      <c r="I98" s="148" t="s">
        <v>291</v>
      </c>
      <c r="J98" s="162" t="s">
        <v>291</v>
      </c>
      <c r="K98" s="148" t="s">
        <v>291</v>
      </c>
      <c r="L98" s="162" t="s">
        <v>291</v>
      </c>
      <c r="M98" s="148" t="s">
        <v>291</v>
      </c>
      <c r="N98" s="162" t="s">
        <v>291</v>
      </c>
      <c r="O98" s="148" t="s">
        <v>291</v>
      </c>
      <c r="P98" s="162" t="s">
        <v>291</v>
      </c>
      <c r="Q98" s="148" t="s">
        <v>291</v>
      </c>
      <c r="R98" s="162" t="s">
        <v>291</v>
      </c>
      <c r="S98" s="148" t="s">
        <v>291</v>
      </c>
      <c r="T98" s="162" t="s">
        <v>291</v>
      </c>
      <c r="U98" s="148" t="s">
        <v>291</v>
      </c>
      <c r="V98" s="184" t="s">
        <v>291</v>
      </c>
      <c r="W98" s="122" t="s">
        <v>195</v>
      </c>
      <c r="X98" s="132"/>
      <c r="Y98" s="132"/>
    </row>
    <row r="99" spans="1:25">
      <c r="A99" s="154" t="str">
        <f>VLOOKUP(ListOfRegions!A67,ListOfRegions!A67:B141,2,0)</f>
        <v xml:space="preserve">  Νάξου</v>
      </c>
      <c r="B99" s="157">
        <f t="shared" si="31"/>
        <v>3123</v>
      </c>
      <c r="C99" s="164">
        <v>80</v>
      </c>
      <c r="D99" s="167">
        <v>3.75</v>
      </c>
      <c r="E99" s="164">
        <v>52</v>
      </c>
      <c r="F99" s="167">
        <v>6.4</v>
      </c>
      <c r="G99" s="160">
        <v>2714</v>
      </c>
      <c r="H99" s="159">
        <v>254.98</v>
      </c>
      <c r="I99" s="160">
        <v>172</v>
      </c>
      <c r="J99" s="159">
        <v>10.8</v>
      </c>
      <c r="K99" s="148" t="s">
        <v>291</v>
      </c>
      <c r="L99" s="162" t="s">
        <v>291</v>
      </c>
      <c r="M99" s="148" t="s">
        <v>291</v>
      </c>
      <c r="N99" s="162" t="s">
        <v>291</v>
      </c>
      <c r="O99" s="148" t="s">
        <v>291</v>
      </c>
      <c r="P99" s="162" t="s">
        <v>291</v>
      </c>
      <c r="Q99" s="148" t="s">
        <v>291</v>
      </c>
      <c r="R99" s="162" t="s">
        <v>291</v>
      </c>
      <c r="S99" s="148" t="s">
        <v>291</v>
      </c>
      <c r="T99" s="162" t="s">
        <v>291</v>
      </c>
      <c r="U99" s="171">
        <v>105</v>
      </c>
      <c r="V99" s="189">
        <v>10.5</v>
      </c>
      <c r="W99" s="122" t="s">
        <v>196</v>
      </c>
      <c r="X99" s="132"/>
      <c r="Y99" s="132"/>
    </row>
    <row r="100" spans="1:25">
      <c r="A100" s="154" t="str">
        <f>VLOOKUP(ListOfRegions!A68,ListOfRegions!A68:B142,2,0)</f>
        <v xml:space="preserve">  Πάρου</v>
      </c>
      <c r="B100" s="157">
        <f t="shared" si="31"/>
        <v>14538</v>
      </c>
      <c r="C100" s="160">
        <v>523</v>
      </c>
      <c r="D100" s="159">
        <v>53.05</v>
      </c>
      <c r="E100" s="164">
        <v>1118</v>
      </c>
      <c r="F100" s="167">
        <v>78.400000000000006</v>
      </c>
      <c r="G100" s="160">
        <v>12760</v>
      </c>
      <c r="H100" s="159">
        <v>1477.5</v>
      </c>
      <c r="I100" s="160">
        <v>105</v>
      </c>
      <c r="J100" s="159">
        <v>16.8</v>
      </c>
      <c r="K100" s="148" t="s">
        <v>291</v>
      </c>
      <c r="L100" s="162" t="s">
        <v>291</v>
      </c>
      <c r="M100" s="148" t="s">
        <v>291</v>
      </c>
      <c r="N100" s="162" t="s">
        <v>291</v>
      </c>
      <c r="O100" s="173">
        <v>32</v>
      </c>
      <c r="P100" s="167">
        <v>3</v>
      </c>
      <c r="Q100" s="148" t="s">
        <v>291</v>
      </c>
      <c r="R100" s="162" t="s">
        <v>291</v>
      </c>
      <c r="S100" s="148" t="s">
        <v>291</v>
      </c>
      <c r="T100" s="162" t="s">
        <v>291</v>
      </c>
      <c r="U100" s="148" t="s">
        <v>291</v>
      </c>
      <c r="V100" s="184" t="s">
        <v>291</v>
      </c>
      <c r="W100" s="122" t="s">
        <v>197</v>
      </c>
      <c r="X100" s="132"/>
      <c r="Y100" s="132"/>
    </row>
    <row r="101" spans="1:25">
      <c r="A101" s="154" t="str">
        <f>VLOOKUP(ListOfRegions!A69,ListOfRegions!A69:B143,2,0)</f>
        <v xml:space="preserve">  Ρόδου</v>
      </c>
      <c r="B101" s="157">
        <f t="shared" si="31"/>
        <v>22546</v>
      </c>
      <c r="C101" s="160">
        <v>2480</v>
      </c>
      <c r="D101" s="159">
        <v>387.4</v>
      </c>
      <c r="E101" s="164">
        <v>17562</v>
      </c>
      <c r="F101" s="167">
        <v>1591.482</v>
      </c>
      <c r="G101" s="160">
        <v>1941</v>
      </c>
      <c r="H101" s="159">
        <v>287.64999999999998</v>
      </c>
      <c r="I101" s="160">
        <v>558</v>
      </c>
      <c r="J101" s="159">
        <v>72.14</v>
      </c>
      <c r="K101" s="148" t="s">
        <v>291</v>
      </c>
      <c r="L101" s="162" t="s">
        <v>291</v>
      </c>
      <c r="M101" s="147">
        <v>1</v>
      </c>
      <c r="N101" s="166">
        <v>0.28000000000000003</v>
      </c>
      <c r="O101" s="148" t="s">
        <v>291</v>
      </c>
      <c r="P101" s="162" t="s">
        <v>291</v>
      </c>
      <c r="Q101" s="148" t="s">
        <v>291</v>
      </c>
      <c r="R101" s="162" t="s">
        <v>291</v>
      </c>
      <c r="S101" s="148" t="s">
        <v>291</v>
      </c>
      <c r="T101" s="162" t="s">
        <v>291</v>
      </c>
      <c r="U101" s="171">
        <v>4</v>
      </c>
      <c r="V101" s="189">
        <v>1.2</v>
      </c>
      <c r="W101" s="122" t="s">
        <v>198</v>
      </c>
      <c r="X101" s="132"/>
      <c r="Y101" s="132"/>
    </row>
    <row r="102" spans="1:25">
      <c r="A102" s="154" t="str">
        <f>VLOOKUP(ListOfRegions!A70,ListOfRegions!A70:B144,2,0)</f>
        <v xml:space="preserve">  Τήνου</v>
      </c>
      <c r="B102" s="157">
        <f t="shared" si="31"/>
        <v>1061</v>
      </c>
      <c r="C102" s="148" t="s">
        <v>291</v>
      </c>
      <c r="D102" s="162" t="s">
        <v>291</v>
      </c>
      <c r="E102" s="164">
        <v>24</v>
      </c>
      <c r="F102" s="167">
        <v>1.3</v>
      </c>
      <c r="G102" s="160">
        <v>977</v>
      </c>
      <c r="H102" s="159">
        <v>85.35</v>
      </c>
      <c r="I102" s="160">
        <v>60</v>
      </c>
      <c r="J102" s="159">
        <v>7.1</v>
      </c>
      <c r="K102" s="148" t="s">
        <v>291</v>
      </c>
      <c r="L102" s="162" t="s">
        <v>291</v>
      </c>
      <c r="M102" s="148" t="s">
        <v>291</v>
      </c>
      <c r="N102" s="162" t="s">
        <v>291</v>
      </c>
      <c r="O102" s="148" t="s">
        <v>291</v>
      </c>
      <c r="P102" s="162" t="s">
        <v>291</v>
      </c>
      <c r="Q102" s="148" t="s">
        <v>291</v>
      </c>
      <c r="R102" s="162" t="s">
        <v>291</v>
      </c>
      <c r="S102" s="148" t="s">
        <v>291</v>
      </c>
      <c r="T102" s="162" t="s">
        <v>291</v>
      </c>
      <c r="U102" s="148" t="s">
        <v>291</v>
      </c>
      <c r="V102" s="184" t="s">
        <v>291</v>
      </c>
      <c r="W102" s="122" t="s">
        <v>199</v>
      </c>
      <c r="X102" s="132"/>
      <c r="Y102" s="132"/>
    </row>
    <row r="103" spans="1:25" ht="11.4" customHeight="1">
      <c r="A103" s="257" t="s">
        <v>111</v>
      </c>
      <c r="B103" s="256">
        <f>SUM(C103,E103,G103,I103,K103,M103,O103,Q103,S103,U103)</f>
        <v>37996</v>
      </c>
      <c r="C103" s="243">
        <f>SUM(C105:C108)</f>
        <v>4343</v>
      </c>
      <c r="D103" s="244">
        <f t="shared" ref="D103:L103" si="32">SUM(D105:D108)</f>
        <v>1029.05</v>
      </c>
      <c r="E103" s="243">
        <f t="shared" si="32"/>
        <v>10220</v>
      </c>
      <c r="F103" s="244">
        <f t="shared" si="32"/>
        <v>1661.595</v>
      </c>
      <c r="G103" s="243">
        <f t="shared" si="32"/>
        <v>12978</v>
      </c>
      <c r="H103" s="244">
        <f t="shared" si="32"/>
        <v>1873.3400000000001</v>
      </c>
      <c r="I103" s="243">
        <f t="shared" si="32"/>
        <v>9404</v>
      </c>
      <c r="J103" s="244">
        <f t="shared" si="32"/>
        <v>1754.8200000000002</v>
      </c>
      <c r="K103" s="243">
        <f t="shared" si="32"/>
        <v>37</v>
      </c>
      <c r="L103" s="244">
        <f t="shared" si="32"/>
        <v>4.9000000000000004</v>
      </c>
      <c r="M103" s="209">
        <f>SUM(M105:M108)</f>
        <v>794</v>
      </c>
      <c r="N103" s="212">
        <f t="shared" ref="N103:V103" si="33">SUM(N105:N108)</f>
        <v>279.10500000000002</v>
      </c>
      <c r="O103" s="209">
        <f t="shared" si="33"/>
        <v>127</v>
      </c>
      <c r="P103" s="212">
        <f t="shared" si="33"/>
        <v>19.200000000000003</v>
      </c>
      <c r="Q103" s="209">
        <f>SUM(Q105:Q108)</f>
        <v>4</v>
      </c>
      <c r="R103" s="212">
        <f t="shared" si="33"/>
        <v>0.3</v>
      </c>
      <c r="S103" s="209">
        <f t="shared" si="33"/>
        <v>18</v>
      </c>
      <c r="T103" s="212">
        <f t="shared" si="33"/>
        <v>3</v>
      </c>
      <c r="U103" s="209">
        <f t="shared" si="33"/>
        <v>71</v>
      </c>
      <c r="V103" s="230">
        <f t="shared" si="33"/>
        <v>7.88</v>
      </c>
      <c r="W103" s="210" t="s">
        <v>125</v>
      </c>
      <c r="X103" s="211"/>
      <c r="Y103" s="211"/>
    </row>
    <row r="104" spans="1:25" ht="11.4" customHeight="1">
      <c r="A104" s="257"/>
      <c r="B104" s="256"/>
      <c r="C104" s="243"/>
      <c r="D104" s="244"/>
      <c r="E104" s="243"/>
      <c r="F104" s="244"/>
      <c r="G104" s="243"/>
      <c r="H104" s="244"/>
      <c r="I104" s="243"/>
      <c r="J104" s="244"/>
      <c r="K104" s="243"/>
      <c r="L104" s="244"/>
      <c r="M104" s="209"/>
      <c r="N104" s="212"/>
      <c r="O104" s="209"/>
      <c r="P104" s="212"/>
      <c r="Q104" s="209"/>
      <c r="R104" s="212"/>
      <c r="S104" s="209"/>
      <c r="T104" s="212"/>
      <c r="U104" s="209"/>
      <c r="V104" s="230"/>
      <c r="W104" s="210"/>
      <c r="X104" s="211"/>
      <c r="Y104" s="211"/>
    </row>
    <row r="105" spans="1:25">
      <c r="A105" s="154" t="str">
        <f>VLOOKUP(ListOfRegions!A71,ListOfRegions!A71:B145,2,0)</f>
        <v xml:space="preserve">  Ηρακλείου</v>
      </c>
      <c r="B105" s="157">
        <f>SUM(C105,E105,G105,I105,K105,M105,O105,Q105,S105,U105)</f>
        <v>25391</v>
      </c>
      <c r="C105" s="160">
        <v>2160</v>
      </c>
      <c r="D105" s="159">
        <v>296.25</v>
      </c>
      <c r="E105" s="160">
        <v>9182</v>
      </c>
      <c r="F105" s="159">
        <v>1312.085</v>
      </c>
      <c r="G105" s="160">
        <v>10085</v>
      </c>
      <c r="H105" s="159">
        <v>1320.89</v>
      </c>
      <c r="I105" s="160">
        <v>3816</v>
      </c>
      <c r="J105" s="159">
        <v>438.31</v>
      </c>
      <c r="K105" s="168">
        <v>12</v>
      </c>
      <c r="L105" s="159">
        <v>1.8</v>
      </c>
      <c r="M105" s="160">
        <v>78</v>
      </c>
      <c r="N105" s="159">
        <v>161.78</v>
      </c>
      <c r="O105" s="171">
        <v>2</v>
      </c>
      <c r="P105" s="159">
        <v>0.15</v>
      </c>
      <c r="Q105" s="148" t="s">
        <v>291</v>
      </c>
      <c r="R105" s="162" t="s">
        <v>291</v>
      </c>
      <c r="S105" s="148" t="s">
        <v>291</v>
      </c>
      <c r="T105" s="162" t="s">
        <v>291</v>
      </c>
      <c r="U105" s="171">
        <v>56</v>
      </c>
      <c r="V105" s="189">
        <v>6.08</v>
      </c>
      <c r="W105" s="122" t="s">
        <v>200</v>
      </c>
      <c r="X105" s="132"/>
      <c r="Y105" s="132"/>
    </row>
    <row r="106" spans="1:25">
      <c r="A106" s="154" t="str">
        <f>VLOOKUP(ListOfRegions!A72,ListOfRegions!A72:B146,2,0)</f>
        <v xml:space="preserve">  Λασιθίου</v>
      </c>
      <c r="B106" s="157">
        <f>SUM(C106,E106,G106,I106,K106,M106,O106,Q106,S106,U106)</f>
        <v>7335</v>
      </c>
      <c r="C106" s="160">
        <v>2103</v>
      </c>
      <c r="D106" s="159">
        <v>717.36</v>
      </c>
      <c r="E106" s="160">
        <v>697</v>
      </c>
      <c r="F106" s="159">
        <v>294.2</v>
      </c>
      <c r="G106" s="160">
        <v>1545</v>
      </c>
      <c r="H106" s="159">
        <v>368.495</v>
      </c>
      <c r="I106" s="160">
        <v>2418</v>
      </c>
      <c r="J106" s="159">
        <v>791.15</v>
      </c>
      <c r="K106" s="168">
        <v>15</v>
      </c>
      <c r="L106" s="159">
        <v>1</v>
      </c>
      <c r="M106" s="160">
        <v>434</v>
      </c>
      <c r="N106" s="159">
        <v>53.8</v>
      </c>
      <c r="O106" s="171">
        <v>86</v>
      </c>
      <c r="P106" s="159">
        <v>8</v>
      </c>
      <c r="Q106" s="186">
        <v>4</v>
      </c>
      <c r="R106" s="159">
        <v>0.3</v>
      </c>
      <c r="S106" s="171">
        <v>18</v>
      </c>
      <c r="T106" s="158">
        <v>3</v>
      </c>
      <c r="U106" s="171">
        <v>15</v>
      </c>
      <c r="V106" s="189">
        <v>1.8</v>
      </c>
      <c r="W106" s="122" t="s">
        <v>201</v>
      </c>
      <c r="X106" s="132"/>
      <c r="Y106" s="132"/>
    </row>
    <row r="107" spans="1:25">
      <c r="A107" s="154" t="str">
        <f>VLOOKUP(ListOfRegions!A73,ListOfRegions!A73:B147,2,0)</f>
        <v xml:space="preserve">  Ρεθύμνης</v>
      </c>
      <c r="B107" s="157">
        <f>SUM(C107,E107,G107,I107,K107,M107,O107,Q107,S107,U107)</f>
        <v>4376</v>
      </c>
      <c r="C107" s="160">
        <v>80</v>
      </c>
      <c r="D107" s="159">
        <v>15.44</v>
      </c>
      <c r="E107" s="160">
        <v>341</v>
      </c>
      <c r="F107" s="159">
        <v>55.31</v>
      </c>
      <c r="G107" s="160">
        <v>907</v>
      </c>
      <c r="H107" s="159">
        <v>135.95500000000001</v>
      </c>
      <c r="I107" s="160">
        <v>3005</v>
      </c>
      <c r="J107" s="159">
        <v>503.36</v>
      </c>
      <c r="K107" s="168">
        <v>10</v>
      </c>
      <c r="L107" s="159">
        <v>2.1</v>
      </c>
      <c r="M107" s="160">
        <v>26</v>
      </c>
      <c r="N107" s="159">
        <v>5.65</v>
      </c>
      <c r="O107" s="171">
        <v>7</v>
      </c>
      <c r="P107" s="159">
        <v>2.2000000000000002</v>
      </c>
      <c r="Q107" s="148" t="s">
        <v>291</v>
      </c>
      <c r="R107" s="162" t="s">
        <v>291</v>
      </c>
      <c r="S107" s="148" t="s">
        <v>291</v>
      </c>
      <c r="T107" s="162" t="s">
        <v>291</v>
      </c>
      <c r="U107" s="148" t="s">
        <v>291</v>
      </c>
      <c r="V107" s="184" t="s">
        <v>291</v>
      </c>
      <c r="W107" s="122" t="s">
        <v>202</v>
      </c>
      <c r="X107" s="133"/>
      <c r="Y107" s="133"/>
    </row>
    <row r="108" spans="1:25" ht="14.4" thickBot="1">
      <c r="A108" s="155" t="str">
        <f>VLOOKUP(ListOfRegions!A74,ListOfRegions!A74:B148,2,0)</f>
        <v xml:space="preserve">  Χανίων</v>
      </c>
      <c r="B108" s="174">
        <f>SUM(C108,E108,G108,I108,K108,M108,O108,Q108,S108,U108)</f>
        <v>894</v>
      </c>
      <c r="C108" s="191" t="s">
        <v>293</v>
      </c>
      <c r="D108" s="192">
        <v>0</v>
      </c>
      <c r="E108" s="149" t="s">
        <v>291</v>
      </c>
      <c r="F108" s="181" t="s">
        <v>291</v>
      </c>
      <c r="G108" s="193">
        <v>441</v>
      </c>
      <c r="H108" s="192">
        <v>48</v>
      </c>
      <c r="I108" s="193">
        <v>165</v>
      </c>
      <c r="J108" s="192">
        <v>22</v>
      </c>
      <c r="K108" s="149" t="s">
        <v>291</v>
      </c>
      <c r="L108" s="181" t="s">
        <v>291</v>
      </c>
      <c r="M108" s="193">
        <v>256</v>
      </c>
      <c r="N108" s="192">
        <v>57.875</v>
      </c>
      <c r="O108" s="194">
        <v>32</v>
      </c>
      <c r="P108" s="192">
        <v>8.85</v>
      </c>
      <c r="Q108" s="149" t="s">
        <v>291</v>
      </c>
      <c r="R108" s="181" t="s">
        <v>291</v>
      </c>
      <c r="S108" s="149" t="s">
        <v>291</v>
      </c>
      <c r="T108" s="181" t="s">
        <v>291</v>
      </c>
      <c r="U108" s="149" t="s">
        <v>291</v>
      </c>
      <c r="V108" s="195" t="s">
        <v>291</v>
      </c>
      <c r="W108" s="134" t="s">
        <v>203</v>
      </c>
      <c r="X108" s="135"/>
      <c r="Y108" s="135"/>
    </row>
    <row r="109" spans="1:25" ht="14.4" customHeight="1">
      <c r="A109" s="150" t="s">
        <v>113</v>
      </c>
      <c r="K109" s="126" t="s">
        <v>114</v>
      </c>
      <c r="L109" s="126"/>
      <c r="M109" s="151" t="s">
        <v>113</v>
      </c>
      <c r="N109" s="151"/>
      <c r="X109" s="213" t="s">
        <v>114</v>
      </c>
      <c r="Y109" s="213"/>
    </row>
    <row r="110" spans="1:25" ht="11.4">
      <c r="A110" s="151" t="s">
        <v>287</v>
      </c>
      <c r="K110" s="125" t="s">
        <v>292</v>
      </c>
      <c r="L110" s="125"/>
      <c r="M110" s="151"/>
      <c r="N110" s="151"/>
      <c r="X110" s="123" t="s">
        <v>288</v>
      </c>
    </row>
    <row r="111" spans="1:25">
      <c r="A111" s="136"/>
    </row>
    <row r="112" spans="1:25">
      <c r="A112" s="136"/>
    </row>
    <row r="113" spans="1:20">
      <c r="A113" s="124"/>
    </row>
    <row r="114" spans="1:20">
      <c r="A114" s="124"/>
    </row>
    <row r="115" spans="1:20">
      <c r="A115" s="124"/>
    </row>
    <row r="116" spans="1:20">
      <c r="A116" s="124"/>
    </row>
    <row r="117" spans="1:20">
      <c r="A117" s="124"/>
    </row>
    <row r="118" spans="1:20">
      <c r="A118" s="124"/>
    </row>
    <row r="119" spans="1:20">
      <c r="A119" s="124"/>
    </row>
    <row r="120" spans="1:20">
      <c r="A120" s="124"/>
    </row>
    <row r="121" spans="1:20">
      <c r="A121" s="124"/>
    </row>
    <row r="122" spans="1:20">
      <c r="A122" s="124"/>
    </row>
    <row r="123" spans="1:20">
      <c r="A123" s="137"/>
      <c r="T123" s="153" t="s">
        <v>291</v>
      </c>
    </row>
    <row r="124" spans="1:20" s="124" customFormat="1" ht="12" customHeight="1">
      <c r="A124" s="249"/>
      <c r="B124" s="249"/>
      <c r="C124" s="249"/>
      <c r="D124" s="249"/>
      <c r="E124" s="249"/>
      <c r="F124" s="249"/>
      <c r="G124" s="251"/>
      <c r="H124" s="251"/>
      <c r="I124" s="251"/>
      <c r="J124" s="251"/>
      <c r="K124" s="251"/>
      <c r="L124" s="251"/>
    </row>
    <row r="125" spans="1:20" s="124" customFormat="1" ht="12" customHeight="1">
      <c r="A125" s="249"/>
      <c r="B125" s="249"/>
      <c r="C125" s="249"/>
      <c r="D125" s="249"/>
      <c r="E125" s="249"/>
      <c r="F125" s="249"/>
      <c r="G125" s="251"/>
      <c r="H125" s="251"/>
      <c r="I125" s="251"/>
      <c r="J125" s="251"/>
      <c r="K125" s="251"/>
      <c r="L125" s="251"/>
    </row>
    <row r="126" spans="1:20" s="124" customFormat="1">
      <c r="A126" s="249"/>
      <c r="B126" s="249"/>
      <c r="C126" s="249"/>
      <c r="D126" s="249"/>
      <c r="E126" s="249"/>
      <c r="F126" s="249"/>
      <c r="G126" s="251"/>
      <c r="H126" s="251"/>
      <c r="I126" s="251"/>
      <c r="J126" s="251"/>
      <c r="K126" s="251"/>
      <c r="L126" s="251"/>
    </row>
    <row r="127" spans="1:20" s="124" customFormat="1" ht="11.4" customHeight="1">
      <c r="A127" s="138"/>
      <c r="F127" s="253"/>
      <c r="G127" s="253"/>
      <c r="H127" s="253"/>
      <c r="I127" s="253"/>
      <c r="J127" s="253"/>
      <c r="K127" s="253"/>
      <c r="L127" s="253"/>
      <c r="N127" s="146" t="s">
        <v>281</v>
      </c>
    </row>
    <row r="128" spans="1:20" s="124" customFormat="1" ht="11.4" customHeight="1">
      <c r="A128" s="250"/>
      <c r="B128" s="223"/>
      <c r="C128" s="252"/>
      <c r="D128" s="252"/>
      <c r="E128" s="252"/>
      <c r="F128" s="223"/>
      <c r="G128" s="223"/>
      <c r="H128" s="223"/>
      <c r="I128" s="223"/>
      <c r="J128" s="223"/>
      <c r="K128" s="223"/>
      <c r="L128" s="223"/>
    </row>
    <row r="129" spans="1:12" s="124" customFormat="1">
      <c r="A129" s="250"/>
      <c r="B129" s="252"/>
      <c r="C129" s="252"/>
      <c r="D129" s="252"/>
      <c r="E129" s="252"/>
      <c r="F129" s="223"/>
      <c r="G129" s="223"/>
      <c r="H129" s="223"/>
      <c r="I129" s="223"/>
      <c r="J129" s="223"/>
      <c r="K129" s="223"/>
      <c r="L129" s="223"/>
    </row>
    <row r="130" spans="1:12" s="124" customFormat="1" ht="49.2" customHeight="1">
      <c r="A130" s="250"/>
      <c r="B130" s="223"/>
      <c r="C130" s="223"/>
      <c r="D130" s="223"/>
      <c r="E130" s="223"/>
      <c r="F130" s="223"/>
      <c r="G130" s="223"/>
      <c r="H130" s="223"/>
      <c r="I130" s="223"/>
      <c r="J130" s="223"/>
      <c r="K130" s="223"/>
      <c r="L130" s="223"/>
    </row>
    <row r="131" spans="1:12" s="124" customFormat="1">
      <c r="A131" s="250"/>
      <c r="B131" s="139"/>
      <c r="C131" s="139"/>
      <c r="D131" s="139"/>
      <c r="E131" s="139"/>
      <c r="F131" s="139"/>
      <c r="G131" s="139"/>
      <c r="H131" s="139"/>
      <c r="I131" s="139"/>
      <c r="J131" s="139"/>
      <c r="K131" s="139"/>
      <c r="L131" s="223"/>
    </row>
    <row r="132" spans="1:12" s="124" customFormat="1" ht="11.4" customHeight="1">
      <c r="A132" s="140"/>
      <c r="L132" s="141"/>
    </row>
    <row r="133" spans="1:12" s="124" customFormat="1">
      <c r="A133" s="142"/>
      <c r="L133" s="141"/>
    </row>
    <row r="134" spans="1:12" s="124" customFormat="1">
      <c r="A134" s="255"/>
      <c r="B134" s="247"/>
      <c r="C134" s="247"/>
      <c r="D134" s="247"/>
      <c r="E134" s="247"/>
      <c r="F134" s="247"/>
      <c r="G134" s="247"/>
      <c r="H134" s="247"/>
      <c r="I134" s="247"/>
      <c r="J134" s="247"/>
      <c r="K134" s="247"/>
      <c r="L134" s="238"/>
    </row>
    <row r="135" spans="1:12" s="124" customFormat="1" ht="11.4" customHeight="1">
      <c r="A135" s="255"/>
      <c r="B135" s="247"/>
      <c r="C135" s="247"/>
      <c r="D135" s="247"/>
      <c r="E135" s="247"/>
      <c r="F135" s="247"/>
      <c r="G135" s="247"/>
      <c r="H135" s="247"/>
      <c r="I135" s="247"/>
      <c r="J135" s="247"/>
      <c r="K135" s="247"/>
      <c r="L135" s="238"/>
    </row>
    <row r="136" spans="1:12" s="124" customFormat="1">
      <c r="A136" s="255"/>
      <c r="B136" s="247"/>
      <c r="C136" s="247"/>
      <c r="D136" s="247"/>
      <c r="E136" s="247"/>
      <c r="F136" s="247"/>
      <c r="G136" s="247"/>
      <c r="H136" s="247"/>
      <c r="I136" s="247"/>
      <c r="J136" s="247"/>
      <c r="K136" s="247"/>
      <c r="L136" s="238"/>
    </row>
    <row r="137" spans="1:12" s="124" customFormat="1">
      <c r="A137" s="142"/>
      <c r="F137" s="143"/>
      <c r="G137" s="143"/>
      <c r="L137" s="144"/>
    </row>
    <row r="138" spans="1:12" s="124" customFormat="1">
      <c r="A138" s="142"/>
      <c r="F138" s="143"/>
      <c r="G138" s="143"/>
      <c r="L138" s="144"/>
    </row>
    <row r="139" spans="1:12" s="124" customFormat="1">
      <c r="A139" s="142"/>
      <c r="F139" s="143"/>
      <c r="G139" s="143"/>
      <c r="L139" s="144"/>
    </row>
    <row r="140" spans="1:12" s="124" customFormat="1">
      <c r="A140" s="142"/>
      <c r="F140" s="143"/>
      <c r="G140" s="143"/>
      <c r="L140" s="144"/>
    </row>
    <row r="141" spans="1:12" s="124" customFormat="1">
      <c r="A141" s="142"/>
      <c r="F141" s="143"/>
      <c r="G141" s="143"/>
      <c r="L141" s="144"/>
    </row>
    <row r="142" spans="1:12" s="124" customFormat="1">
      <c r="A142" s="142"/>
      <c r="F142" s="143"/>
      <c r="G142" s="143"/>
      <c r="L142" s="144"/>
    </row>
    <row r="143" spans="1:12" s="124" customFormat="1">
      <c r="A143" s="255"/>
      <c r="L143" s="241"/>
    </row>
    <row r="144" spans="1:12" s="124" customFormat="1">
      <c r="A144" s="255"/>
      <c r="L144" s="241"/>
    </row>
    <row r="145" spans="1:12" s="124" customFormat="1">
      <c r="A145" s="142"/>
      <c r="F145" s="143"/>
      <c r="G145" s="143"/>
      <c r="L145" s="144"/>
    </row>
    <row r="146" spans="1:12" s="124" customFormat="1">
      <c r="A146" s="142"/>
      <c r="F146" s="143"/>
      <c r="G146" s="143"/>
      <c r="L146" s="144"/>
    </row>
    <row r="147" spans="1:12" s="124" customFormat="1">
      <c r="A147" s="142"/>
      <c r="F147" s="143"/>
      <c r="G147" s="143"/>
      <c r="L147" s="144"/>
    </row>
    <row r="148" spans="1:12" s="124" customFormat="1">
      <c r="A148" s="142"/>
      <c r="F148" s="143"/>
      <c r="G148" s="143"/>
      <c r="L148" s="144"/>
    </row>
    <row r="149" spans="1:12" s="124" customFormat="1">
      <c r="A149" s="142"/>
      <c r="F149" s="143"/>
      <c r="G149" s="143"/>
      <c r="L149" s="144"/>
    </row>
    <row r="150" spans="1:12" s="124" customFormat="1">
      <c r="A150" s="142"/>
      <c r="F150" s="143"/>
      <c r="G150" s="143"/>
      <c r="L150" s="144"/>
    </row>
    <row r="151" spans="1:12" s="124" customFormat="1">
      <c r="A151" s="142"/>
      <c r="F151" s="143"/>
      <c r="G151" s="143"/>
      <c r="L151" s="144"/>
    </row>
    <row r="152" spans="1:12" s="124" customFormat="1">
      <c r="A152" s="142"/>
      <c r="F152" s="143"/>
      <c r="G152" s="143"/>
      <c r="L152" s="144"/>
    </row>
    <row r="153" spans="1:12" s="124" customFormat="1">
      <c r="A153" s="142"/>
      <c r="F153" s="143"/>
      <c r="G153" s="143"/>
      <c r="L153" s="144"/>
    </row>
    <row r="154" spans="1:12" s="124" customFormat="1">
      <c r="A154" s="142"/>
      <c r="F154" s="143"/>
      <c r="G154" s="143"/>
      <c r="L154" s="144"/>
    </row>
    <row r="155" spans="1:12" s="124" customFormat="1">
      <c r="A155" s="142"/>
      <c r="F155" s="143"/>
      <c r="G155" s="143"/>
      <c r="L155" s="144"/>
    </row>
    <row r="156" spans="1:12" s="124" customFormat="1">
      <c r="A156" s="254"/>
      <c r="L156" s="210"/>
    </row>
    <row r="157" spans="1:12" s="124" customFormat="1">
      <c r="A157" s="254"/>
      <c r="L157" s="210"/>
    </row>
    <row r="158" spans="1:12" s="124" customFormat="1">
      <c r="A158" s="142"/>
      <c r="F158" s="143"/>
      <c r="G158" s="143"/>
      <c r="L158" s="144"/>
    </row>
    <row r="159" spans="1:12" s="124" customFormat="1">
      <c r="A159" s="142"/>
      <c r="F159" s="143"/>
      <c r="G159" s="143"/>
      <c r="L159" s="144"/>
    </row>
    <row r="160" spans="1:12" s="124" customFormat="1">
      <c r="A160" s="142"/>
      <c r="F160" s="143"/>
      <c r="G160" s="143"/>
      <c r="L160" s="144"/>
    </row>
    <row r="161" spans="1:12" s="124" customFormat="1">
      <c r="A161" s="142"/>
      <c r="F161" s="143"/>
      <c r="G161" s="143"/>
      <c r="L161" s="144"/>
    </row>
    <row r="162" spans="1:12" s="124" customFormat="1">
      <c r="A162" s="254"/>
      <c r="L162" s="210"/>
    </row>
    <row r="163" spans="1:12" s="124" customFormat="1">
      <c r="A163" s="254"/>
      <c r="L163" s="210"/>
    </row>
    <row r="164" spans="1:12" s="124" customFormat="1">
      <c r="A164" s="142"/>
      <c r="F164" s="143"/>
      <c r="G164" s="143"/>
      <c r="L164" s="144"/>
    </row>
    <row r="165" spans="1:12" s="124" customFormat="1">
      <c r="A165" s="142"/>
      <c r="F165" s="143"/>
      <c r="G165" s="143"/>
      <c r="L165" s="144"/>
    </row>
    <row r="166" spans="1:12" s="124" customFormat="1">
      <c r="A166" s="142"/>
      <c r="F166" s="143"/>
      <c r="G166" s="143"/>
      <c r="L166" s="144"/>
    </row>
    <row r="167" spans="1:12" s="124" customFormat="1">
      <c r="A167" s="142"/>
      <c r="F167" s="143"/>
      <c r="G167" s="143"/>
      <c r="L167" s="144"/>
    </row>
    <row r="168" spans="1:12" s="124" customFormat="1">
      <c r="A168" s="142"/>
      <c r="F168" s="143"/>
      <c r="G168" s="143"/>
      <c r="L168" s="144"/>
    </row>
    <row r="169" spans="1:12" s="124" customFormat="1">
      <c r="A169" s="254"/>
      <c r="L169" s="210"/>
    </row>
    <row r="170" spans="1:12" s="124" customFormat="1">
      <c r="A170" s="254"/>
      <c r="L170" s="210"/>
    </row>
    <row r="171" spans="1:12" s="124" customFormat="1">
      <c r="A171" s="142"/>
      <c r="F171" s="143"/>
      <c r="G171" s="143"/>
      <c r="L171" s="144"/>
    </row>
    <row r="172" spans="1:12" s="124" customFormat="1">
      <c r="A172" s="142"/>
      <c r="F172" s="143"/>
      <c r="G172" s="143"/>
      <c r="L172" s="144"/>
    </row>
    <row r="173" spans="1:12" s="124" customFormat="1">
      <c r="A173" s="142"/>
      <c r="F173" s="143"/>
      <c r="G173" s="143"/>
      <c r="L173" s="144"/>
    </row>
    <row r="174" spans="1:12" s="124" customFormat="1">
      <c r="A174" s="142"/>
      <c r="F174" s="143"/>
      <c r="G174" s="143"/>
      <c r="L174" s="144"/>
    </row>
    <row r="175" spans="1:12" s="124" customFormat="1">
      <c r="A175" s="142"/>
      <c r="F175" s="143"/>
      <c r="G175" s="143"/>
      <c r="L175" s="144"/>
    </row>
    <row r="176" spans="1:12" s="124" customFormat="1">
      <c r="A176" s="254"/>
      <c r="L176" s="210"/>
    </row>
    <row r="177" spans="1:12" s="124" customFormat="1">
      <c r="A177" s="254"/>
      <c r="L177" s="210"/>
    </row>
    <row r="178" spans="1:12" s="124" customFormat="1">
      <c r="A178" s="142"/>
      <c r="F178" s="143"/>
      <c r="G178" s="143"/>
      <c r="L178" s="144"/>
    </row>
    <row r="179" spans="1:12" s="124" customFormat="1">
      <c r="A179" s="142"/>
      <c r="F179" s="143"/>
      <c r="G179" s="143"/>
      <c r="L179" s="144"/>
    </row>
    <row r="180" spans="1:12" s="124" customFormat="1">
      <c r="A180" s="142"/>
      <c r="F180" s="143"/>
      <c r="G180" s="143"/>
      <c r="L180" s="144"/>
    </row>
    <row r="181" spans="1:12" s="124" customFormat="1">
      <c r="A181" s="142"/>
      <c r="F181" s="143"/>
      <c r="G181" s="143"/>
      <c r="L181" s="144"/>
    </row>
    <row r="182" spans="1:12" s="124" customFormat="1">
      <c r="A182" s="142"/>
      <c r="F182" s="143"/>
      <c r="G182" s="143"/>
      <c r="L182" s="144"/>
    </row>
    <row r="183" spans="1:12" s="124" customFormat="1">
      <c r="A183" s="254"/>
      <c r="L183" s="210"/>
    </row>
    <row r="184" spans="1:12" s="124" customFormat="1">
      <c r="A184" s="254"/>
      <c r="L184" s="210"/>
    </row>
    <row r="185" spans="1:12" s="124" customFormat="1">
      <c r="A185" s="142"/>
      <c r="F185" s="143"/>
      <c r="G185" s="143"/>
      <c r="L185" s="144"/>
    </row>
    <row r="186" spans="1:12" s="124" customFormat="1">
      <c r="A186" s="142"/>
      <c r="F186" s="143"/>
      <c r="G186" s="143"/>
      <c r="L186" s="144"/>
    </row>
    <row r="187" spans="1:12" s="124" customFormat="1">
      <c r="A187" s="142"/>
      <c r="F187" s="143"/>
      <c r="G187" s="143"/>
      <c r="L187" s="144"/>
    </row>
    <row r="188" spans="1:12" s="124" customFormat="1">
      <c r="A188" s="254"/>
      <c r="L188" s="210"/>
    </row>
    <row r="189" spans="1:12" s="124" customFormat="1">
      <c r="A189" s="254"/>
      <c r="L189" s="210"/>
    </row>
    <row r="190" spans="1:12" s="124" customFormat="1">
      <c r="A190" s="142"/>
      <c r="F190" s="143"/>
      <c r="G190" s="143"/>
      <c r="L190" s="144"/>
    </row>
    <row r="191" spans="1:12" s="124" customFormat="1">
      <c r="A191" s="142"/>
      <c r="F191" s="143"/>
      <c r="G191" s="143"/>
      <c r="L191" s="144"/>
    </row>
    <row r="192" spans="1:12" s="124" customFormat="1">
      <c r="A192" s="142"/>
      <c r="F192" s="143"/>
      <c r="G192" s="143"/>
      <c r="L192" s="144"/>
    </row>
    <row r="193" spans="1:12" s="124" customFormat="1">
      <c r="A193" s="142"/>
      <c r="F193" s="143"/>
      <c r="G193" s="143"/>
      <c r="L193" s="144"/>
    </row>
    <row r="194" spans="1:12" s="124" customFormat="1">
      <c r="A194" s="142"/>
      <c r="F194" s="143"/>
      <c r="G194" s="143"/>
      <c r="L194" s="144"/>
    </row>
    <row r="195" spans="1:12" s="124" customFormat="1">
      <c r="A195" s="254"/>
      <c r="L195" s="210"/>
    </row>
    <row r="196" spans="1:12" s="124" customFormat="1">
      <c r="A196" s="254"/>
      <c r="L196" s="210"/>
    </row>
    <row r="197" spans="1:12" s="124" customFormat="1">
      <c r="A197" s="142"/>
      <c r="F197" s="143"/>
      <c r="G197" s="143"/>
      <c r="L197" s="144"/>
    </row>
    <row r="198" spans="1:12" s="124" customFormat="1">
      <c r="A198" s="142"/>
      <c r="F198" s="143"/>
      <c r="G198" s="143"/>
      <c r="L198" s="144"/>
    </row>
    <row r="199" spans="1:12" s="124" customFormat="1">
      <c r="A199" s="142"/>
      <c r="F199" s="143"/>
      <c r="G199" s="143"/>
      <c r="L199" s="144"/>
    </row>
    <row r="200" spans="1:12" s="124" customFormat="1">
      <c r="A200" s="142"/>
      <c r="F200" s="143"/>
      <c r="G200" s="143"/>
      <c r="L200" s="144"/>
    </row>
    <row r="201" spans="1:12" s="124" customFormat="1">
      <c r="A201" s="142"/>
      <c r="F201" s="143"/>
      <c r="G201" s="143"/>
      <c r="L201" s="144"/>
    </row>
    <row r="202" spans="1:12" s="124" customFormat="1">
      <c r="A202" s="142"/>
      <c r="F202" s="143"/>
      <c r="G202" s="143"/>
      <c r="L202" s="144"/>
    </row>
    <row r="203" spans="1:12" s="124" customFormat="1">
      <c r="A203" s="142"/>
      <c r="F203" s="143"/>
      <c r="G203" s="143"/>
      <c r="L203" s="144"/>
    </row>
    <row r="204" spans="1:12" s="124" customFormat="1">
      <c r="A204" s="142"/>
      <c r="F204" s="143"/>
      <c r="G204" s="143"/>
      <c r="L204" s="144"/>
    </row>
    <row r="205" spans="1:12" s="124" customFormat="1">
      <c r="A205" s="254"/>
      <c r="L205" s="210"/>
    </row>
    <row r="206" spans="1:12" s="124" customFormat="1">
      <c r="A206" s="254"/>
      <c r="L206" s="210"/>
    </row>
    <row r="207" spans="1:12" s="124" customFormat="1">
      <c r="A207" s="142"/>
      <c r="F207" s="143"/>
      <c r="G207" s="143"/>
      <c r="L207" s="144"/>
    </row>
    <row r="208" spans="1:12" s="124" customFormat="1">
      <c r="A208" s="142"/>
      <c r="F208" s="143"/>
      <c r="G208" s="143"/>
      <c r="L208" s="144"/>
    </row>
    <row r="209" spans="1:12" s="124" customFormat="1">
      <c r="A209" s="142"/>
      <c r="F209" s="143"/>
      <c r="G209" s="143"/>
      <c r="L209" s="144"/>
    </row>
    <row r="210" spans="1:12" s="124" customFormat="1">
      <c r="A210" s="142"/>
      <c r="F210" s="143"/>
      <c r="G210" s="143"/>
      <c r="L210" s="144"/>
    </row>
    <row r="211" spans="1:12" s="124" customFormat="1">
      <c r="A211" s="142"/>
      <c r="F211" s="143"/>
      <c r="G211" s="143"/>
      <c r="L211" s="144"/>
    </row>
    <row r="212" spans="1:12" s="124" customFormat="1">
      <c r="A212" s="254"/>
      <c r="L212" s="210"/>
    </row>
    <row r="213" spans="1:12" s="124" customFormat="1">
      <c r="A213" s="254"/>
      <c r="L213" s="210"/>
    </row>
    <row r="214" spans="1:12" s="124" customFormat="1">
      <c r="A214" s="142"/>
      <c r="F214" s="143"/>
      <c r="G214" s="143"/>
      <c r="L214" s="144"/>
    </row>
    <row r="215" spans="1:12" s="124" customFormat="1">
      <c r="A215" s="142"/>
      <c r="F215" s="143"/>
      <c r="G215" s="143"/>
      <c r="L215" s="144"/>
    </row>
    <row r="216" spans="1:12" s="124" customFormat="1">
      <c r="A216" s="142"/>
      <c r="F216" s="143"/>
      <c r="G216" s="143"/>
      <c r="L216" s="144"/>
    </row>
    <row r="217" spans="1:12" s="124" customFormat="1">
      <c r="A217" s="142"/>
      <c r="F217" s="143"/>
      <c r="G217" s="143"/>
      <c r="L217" s="144"/>
    </row>
    <row r="218" spans="1:12" s="124" customFormat="1">
      <c r="A218" s="142"/>
      <c r="F218" s="143"/>
      <c r="G218" s="143"/>
      <c r="L218" s="144"/>
    </row>
    <row r="219" spans="1:12" s="124" customFormat="1">
      <c r="A219" s="142"/>
      <c r="F219" s="143"/>
      <c r="G219" s="143"/>
      <c r="L219" s="144"/>
    </row>
    <row r="220" spans="1:12" s="124" customFormat="1">
      <c r="A220" s="142"/>
      <c r="F220" s="143"/>
      <c r="G220" s="143"/>
      <c r="L220" s="144"/>
    </row>
    <row r="221" spans="1:12" s="124" customFormat="1">
      <c r="A221" s="142"/>
      <c r="F221" s="143"/>
      <c r="G221" s="143"/>
      <c r="L221" s="144"/>
    </row>
    <row r="222" spans="1:12" s="124" customFormat="1">
      <c r="A222" s="142"/>
      <c r="F222" s="143"/>
      <c r="G222" s="143"/>
      <c r="L222" s="144"/>
    </row>
    <row r="223" spans="1:12" s="124" customFormat="1">
      <c r="A223" s="142"/>
      <c r="F223" s="143"/>
      <c r="G223" s="143"/>
      <c r="L223" s="144"/>
    </row>
    <row r="224" spans="1:12" s="124" customFormat="1">
      <c r="A224" s="142"/>
      <c r="F224" s="143"/>
      <c r="G224" s="143"/>
      <c r="L224" s="144"/>
    </row>
    <row r="225" spans="1:12" s="124" customFormat="1">
      <c r="A225" s="142"/>
      <c r="F225" s="143"/>
      <c r="G225" s="143"/>
      <c r="L225" s="144"/>
    </row>
    <row r="226" spans="1:12" s="124" customFormat="1">
      <c r="A226" s="142"/>
      <c r="F226" s="143"/>
      <c r="G226" s="143"/>
      <c r="L226" s="144"/>
    </row>
    <row r="227" spans="1:12" s="124" customFormat="1">
      <c r="A227" s="254"/>
      <c r="L227" s="210"/>
    </row>
    <row r="228" spans="1:12" s="124" customFormat="1">
      <c r="A228" s="254"/>
      <c r="L228" s="210"/>
    </row>
    <row r="229" spans="1:12" s="124" customFormat="1">
      <c r="A229" s="142"/>
      <c r="F229" s="143"/>
      <c r="G229" s="143"/>
      <c r="L229" s="144"/>
    </row>
    <row r="230" spans="1:12" s="124" customFormat="1">
      <c r="A230" s="142"/>
      <c r="F230" s="143"/>
      <c r="G230" s="143"/>
      <c r="L230" s="144"/>
    </row>
    <row r="231" spans="1:12" s="124" customFormat="1">
      <c r="A231" s="142"/>
      <c r="F231" s="143"/>
      <c r="G231" s="143"/>
      <c r="L231" s="144"/>
    </row>
    <row r="232" spans="1:12" s="124" customFormat="1">
      <c r="A232" s="142"/>
      <c r="F232" s="143"/>
      <c r="G232" s="143"/>
      <c r="L232" s="144"/>
    </row>
    <row r="233" spans="1:12" s="124" customFormat="1">
      <c r="A233" s="142"/>
    </row>
    <row r="234" spans="1:12">
      <c r="A234" s="145"/>
    </row>
  </sheetData>
  <mergeCells count="364">
    <mergeCell ref="B8:B9"/>
    <mergeCell ref="B10:B11"/>
    <mergeCell ref="B32:B33"/>
    <mergeCell ref="B38:B39"/>
    <mergeCell ref="A38:A39"/>
    <mergeCell ref="A18:A19"/>
    <mergeCell ref="A8:A9"/>
    <mergeCell ref="O1:T1"/>
    <mergeCell ref="I4:J6"/>
    <mergeCell ref="K4:L6"/>
    <mergeCell ref="C6:D6"/>
    <mergeCell ref="E6:F6"/>
    <mergeCell ref="A4:A7"/>
    <mergeCell ref="B4:B7"/>
    <mergeCell ref="C4:F5"/>
    <mergeCell ref="G4:H6"/>
    <mergeCell ref="M3:P3"/>
    <mergeCell ref="Q4:R6"/>
    <mergeCell ref="A2:G2"/>
    <mergeCell ref="O2:U2"/>
    <mergeCell ref="A32:A33"/>
    <mergeCell ref="B81:B82"/>
    <mergeCell ref="C18:C19"/>
    <mergeCell ref="B18:B19"/>
    <mergeCell ref="C38:C39"/>
    <mergeCell ref="E38:E39"/>
    <mergeCell ref="D38:D39"/>
    <mergeCell ref="D52:D53"/>
    <mergeCell ref="C52:C53"/>
    <mergeCell ref="E59:E60"/>
    <mergeCell ref="D59:D60"/>
    <mergeCell ref="A81:A82"/>
    <mergeCell ref="B88:B89"/>
    <mergeCell ref="B103:B104"/>
    <mergeCell ref="B45:B46"/>
    <mergeCell ref="B52:B53"/>
    <mergeCell ref="B59:B60"/>
    <mergeCell ref="B64:B65"/>
    <mergeCell ref="B71:B72"/>
    <mergeCell ref="A45:A46"/>
    <mergeCell ref="A52:A53"/>
    <mergeCell ref="A59:A60"/>
    <mergeCell ref="A64:A65"/>
    <mergeCell ref="A71:A72"/>
    <mergeCell ref="A88:A89"/>
    <mergeCell ref="A103:A104"/>
    <mergeCell ref="L18:L19"/>
    <mergeCell ref="J18:J19"/>
    <mergeCell ref="I18:I19"/>
    <mergeCell ref="H18:H19"/>
    <mergeCell ref="G18:G19"/>
    <mergeCell ref="C32:C33"/>
    <mergeCell ref="E18:E19"/>
    <mergeCell ref="E32:E33"/>
    <mergeCell ref="D32:D33"/>
    <mergeCell ref="D18:D19"/>
    <mergeCell ref="L32:L33"/>
    <mergeCell ref="K32:K33"/>
    <mergeCell ref="J32:J33"/>
    <mergeCell ref="I32:I33"/>
    <mergeCell ref="H32:H33"/>
    <mergeCell ref="G32:G33"/>
    <mergeCell ref="K18:K19"/>
    <mergeCell ref="F45:F46"/>
    <mergeCell ref="L45:L46"/>
    <mergeCell ref="K45:K46"/>
    <mergeCell ref="J45:J46"/>
    <mergeCell ref="F59:F60"/>
    <mergeCell ref="G45:G46"/>
    <mergeCell ref="I45:I46"/>
    <mergeCell ref="H45:H46"/>
    <mergeCell ref="H38:H39"/>
    <mergeCell ref="L59:L60"/>
    <mergeCell ref="K59:K60"/>
    <mergeCell ref="F52:F53"/>
    <mergeCell ref="C59:C60"/>
    <mergeCell ref="D64:D65"/>
    <mergeCell ref="L52:L53"/>
    <mergeCell ref="K52:K53"/>
    <mergeCell ref="J52:J53"/>
    <mergeCell ref="I52:I53"/>
    <mergeCell ref="H52:H53"/>
    <mergeCell ref="G52:G53"/>
    <mergeCell ref="E64:E65"/>
    <mergeCell ref="L227:L228"/>
    <mergeCell ref="L134:L136"/>
    <mergeCell ref="L143:L144"/>
    <mergeCell ref="L156:L157"/>
    <mergeCell ref="L162:L163"/>
    <mergeCell ref="L169:L170"/>
    <mergeCell ref="L176:L177"/>
    <mergeCell ref="L81:L82"/>
    <mergeCell ref="E71:E72"/>
    <mergeCell ref="K103:K104"/>
    <mergeCell ref="J103:J104"/>
    <mergeCell ref="I103:I104"/>
    <mergeCell ref="H103:H104"/>
    <mergeCell ref="G103:G104"/>
    <mergeCell ref="F103:F104"/>
    <mergeCell ref="E81:E82"/>
    <mergeCell ref="G88:G89"/>
    <mergeCell ref="L71:L72"/>
    <mergeCell ref="K71:K72"/>
    <mergeCell ref="J71:J72"/>
    <mergeCell ref="I71:I72"/>
    <mergeCell ref="H71:H72"/>
    <mergeCell ref="K81:K82"/>
    <mergeCell ref="J81:J82"/>
    <mergeCell ref="A227:A228"/>
    <mergeCell ref="A134:A136"/>
    <mergeCell ref="A143:A144"/>
    <mergeCell ref="A156:A157"/>
    <mergeCell ref="A162:A163"/>
    <mergeCell ref="A169:A170"/>
    <mergeCell ref="A176:A177"/>
    <mergeCell ref="A183:A184"/>
    <mergeCell ref="A188:A189"/>
    <mergeCell ref="A195:A196"/>
    <mergeCell ref="A212:A213"/>
    <mergeCell ref="A205:A206"/>
    <mergeCell ref="B134:B136"/>
    <mergeCell ref="B130:C130"/>
    <mergeCell ref="F127:L127"/>
    <mergeCell ref="L10:L11"/>
    <mergeCell ref="L183:L184"/>
    <mergeCell ref="L188:L189"/>
    <mergeCell ref="L195:L196"/>
    <mergeCell ref="L205:L206"/>
    <mergeCell ref="D81:D82"/>
    <mergeCell ref="E10:E11"/>
    <mergeCell ref="J10:J11"/>
    <mergeCell ref="I10:I11"/>
    <mergeCell ref="H10:H11"/>
    <mergeCell ref="G10:G11"/>
    <mergeCell ref="L88:L89"/>
    <mergeCell ref="K88:K89"/>
    <mergeCell ref="J88:J89"/>
    <mergeCell ref="I88:I89"/>
    <mergeCell ref="F81:F82"/>
    <mergeCell ref="C81:C82"/>
    <mergeCell ref="C45:C46"/>
    <mergeCell ref="D45:D46"/>
    <mergeCell ref="E52:E53"/>
    <mergeCell ref="E45:E46"/>
    <mergeCell ref="L212:L213"/>
    <mergeCell ref="D71:D72"/>
    <mergeCell ref="C64:C65"/>
    <mergeCell ref="L64:L65"/>
    <mergeCell ref="I64:I65"/>
    <mergeCell ref="I81:I82"/>
    <mergeCell ref="H81:H82"/>
    <mergeCell ref="G81:G82"/>
    <mergeCell ref="J59:J60"/>
    <mergeCell ref="I59:I60"/>
    <mergeCell ref="H59:H60"/>
    <mergeCell ref="G59:G60"/>
    <mergeCell ref="C71:C72"/>
    <mergeCell ref="G71:G72"/>
    <mergeCell ref="L103:L104"/>
    <mergeCell ref="D130:E130"/>
    <mergeCell ref="B128:E129"/>
    <mergeCell ref="D134:D136"/>
    <mergeCell ref="L128:L131"/>
    <mergeCell ref="G134:G136"/>
    <mergeCell ref="F134:F136"/>
    <mergeCell ref="E134:E136"/>
    <mergeCell ref="E88:E89"/>
    <mergeCell ref="D88:D89"/>
    <mergeCell ref="N8:N9"/>
    <mergeCell ref="H8:H9"/>
    <mergeCell ref="D10:D11"/>
    <mergeCell ref="C10:C11"/>
    <mergeCell ref="K134:K136"/>
    <mergeCell ref="E103:E104"/>
    <mergeCell ref="F128:G130"/>
    <mergeCell ref="H128:I130"/>
    <mergeCell ref="J128:K130"/>
    <mergeCell ref="A124:F126"/>
    <mergeCell ref="A128:A131"/>
    <mergeCell ref="C88:C89"/>
    <mergeCell ref="F88:F89"/>
    <mergeCell ref="D103:D104"/>
    <mergeCell ref="C103:C104"/>
    <mergeCell ref="H88:H89"/>
    <mergeCell ref="F71:F72"/>
    <mergeCell ref="K64:K65"/>
    <mergeCell ref="J64:J65"/>
    <mergeCell ref="H64:H65"/>
    <mergeCell ref="G64:G65"/>
    <mergeCell ref="F64:F65"/>
    <mergeCell ref="C134:C136"/>
    <mergeCell ref="G124:L126"/>
    <mergeCell ref="U10:U11"/>
    <mergeCell ref="V10:V11"/>
    <mergeCell ref="M18:M19"/>
    <mergeCell ref="N18:N19"/>
    <mergeCell ref="O18:O19"/>
    <mergeCell ref="P18:P19"/>
    <mergeCell ref="F10:F11"/>
    <mergeCell ref="J134:J136"/>
    <mergeCell ref="I134:I136"/>
    <mergeCell ref="H134:H136"/>
    <mergeCell ref="M32:M33"/>
    <mergeCell ref="N32:N33"/>
    <mergeCell ref="M45:M46"/>
    <mergeCell ref="N45:N46"/>
    <mergeCell ref="M59:M60"/>
    <mergeCell ref="K10:K11"/>
    <mergeCell ref="F18:F19"/>
    <mergeCell ref="G38:G39"/>
    <mergeCell ref="F38:F39"/>
    <mergeCell ref="F32:F33"/>
    <mergeCell ref="L38:L39"/>
    <mergeCell ref="K38:K39"/>
    <mergeCell ref="J38:J39"/>
    <mergeCell ref="I38:I39"/>
    <mergeCell ref="O10:O11"/>
    <mergeCell ref="P10:P11"/>
    <mergeCell ref="Q10:Q11"/>
    <mergeCell ref="R10:R11"/>
    <mergeCell ref="S10:S11"/>
    <mergeCell ref="T10:T11"/>
    <mergeCell ref="M10:M11"/>
    <mergeCell ref="N10:N11"/>
    <mergeCell ref="M38:M39"/>
    <mergeCell ref="N38:N39"/>
    <mergeCell ref="V18:V19"/>
    <mergeCell ref="O32:O33"/>
    <mergeCell ref="P32:P33"/>
    <mergeCell ref="Q32:Q33"/>
    <mergeCell ref="R32:R33"/>
    <mergeCell ref="S32:S33"/>
    <mergeCell ref="T32:T33"/>
    <mergeCell ref="U32:U33"/>
    <mergeCell ref="V32:V33"/>
    <mergeCell ref="Q18:Q19"/>
    <mergeCell ref="M52:M53"/>
    <mergeCell ref="N52:N53"/>
    <mergeCell ref="O52:O53"/>
    <mergeCell ref="P52:P53"/>
    <mergeCell ref="Q52:Q53"/>
    <mergeCell ref="R52:R53"/>
    <mergeCell ref="N59:N60"/>
    <mergeCell ref="U18:U19"/>
    <mergeCell ref="R18:R19"/>
    <mergeCell ref="S18:S19"/>
    <mergeCell ref="T18:T19"/>
    <mergeCell ref="O45:O46"/>
    <mergeCell ref="P45:P46"/>
    <mergeCell ref="Q45:Q46"/>
    <mergeCell ref="R45:R46"/>
    <mergeCell ref="S45:S46"/>
    <mergeCell ref="T45:T46"/>
    <mergeCell ref="U45:U46"/>
    <mergeCell ref="S52:S53"/>
    <mergeCell ref="T52:T53"/>
    <mergeCell ref="O59:O60"/>
    <mergeCell ref="P59:P60"/>
    <mergeCell ref="Q59:Q60"/>
    <mergeCell ref="R59:R60"/>
    <mergeCell ref="S59:S60"/>
    <mergeCell ref="U59:U60"/>
    <mergeCell ref="T59:T60"/>
    <mergeCell ref="V52:V53"/>
    <mergeCell ref="S103:S104"/>
    <mergeCell ref="V64:V65"/>
    <mergeCell ref="V81:V82"/>
    <mergeCell ref="U64:U65"/>
    <mergeCell ref="V71:V72"/>
    <mergeCell ref="V88:V89"/>
    <mergeCell ref="U71:U72"/>
    <mergeCell ref="O64:O65"/>
    <mergeCell ref="P64:P65"/>
    <mergeCell ref="Q64:Q65"/>
    <mergeCell ref="U52:U53"/>
    <mergeCell ref="V59:V60"/>
    <mergeCell ref="R81:R82"/>
    <mergeCell ref="S81:S82"/>
    <mergeCell ref="T81:T82"/>
    <mergeCell ref="T64:T65"/>
    <mergeCell ref="T71:T72"/>
    <mergeCell ref="M71:M72"/>
    <mergeCell ref="N71:N72"/>
    <mergeCell ref="O71:O72"/>
    <mergeCell ref="P71:P72"/>
    <mergeCell ref="Q71:Q72"/>
    <mergeCell ref="R71:R72"/>
    <mergeCell ref="S71:S72"/>
    <mergeCell ref="R64:R65"/>
    <mergeCell ref="S64:S65"/>
    <mergeCell ref="M64:M65"/>
    <mergeCell ref="N64:N65"/>
    <mergeCell ref="E8:E9"/>
    <mergeCell ref="D8:D9"/>
    <mergeCell ref="U8:U9"/>
    <mergeCell ref="W45:Y46"/>
    <mergeCell ref="G8:G9"/>
    <mergeCell ref="F8:F9"/>
    <mergeCell ref="V45:V46"/>
    <mergeCell ref="U38:U39"/>
    <mergeCell ref="V38:V39"/>
    <mergeCell ref="O38:O39"/>
    <mergeCell ref="V8:V9"/>
    <mergeCell ref="Q8:Q9"/>
    <mergeCell ref="R8:R9"/>
    <mergeCell ref="O8:O9"/>
    <mergeCell ref="P8:P9"/>
    <mergeCell ref="M8:M9"/>
    <mergeCell ref="P38:P39"/>
    <mergeCell ref="Q38:Q39"/>
    <mergeCell ref="R38:R39"/>
    <mergeCell ref="S38:S39"/>
    <mergeCell ref="T38:T39"/>
    <mergeCell ref="W18:Y19"/>
    <mergeCell ref="W32:Y33"/>
    <mergeCell ref="W38:Y39"/>
    <mergeCell ref="X109:Y109"/>
    <mergeCell ref="A10:A11"/>
    <mergeCell ref="S4:T6"/>
    <mergeCell ref="U4:V6"/>
    <mergeCell ref="M6:N6"/>
    <mergeCell ref="O6:P6"/>
    <mergeCell ref="U103:U104"/>
    <mergeCell ref="V103:V104"/>
    <mergeCell ref="U88:U89"/>
    <mergeCell ref="S8:S9"/>
    <mergeCell ref="T8:T9"/>
    <mergeCell ref="W8:Y9"/>
    <mergeCell ref="T103:T104"/>
    <mergeCell ref="U81:U82"/>
    <mergeCell ref="S88:S89"/>
    <mergeCell ref="T88:T89"/>
    <mergeCell ref="W4:Y7"/>
    <mergeCell ref="C8:C9"/>
    <mergeCell ref="M4:P5"/>
    <mergeCell ref="L8:L9"/>
    <mergeCell ref="K8:K9"/>
    <mergeCell ref="J8:J9"/>
    <mergeCell ref="I8:I9"/>
    <mergeCell ref="W10:Y11"/>
    <mergeCell ref="M103:M104"/>
    <mergeCell ref="W103:Y104"/>
    <mergeCell ref="W52:Y53"/>
    <mergeCell ref="W59:Y60"/>
    <mergeCell ref="W64:Y65"/>
    <mergeCell ref="W71:Y72"/>
    <mergeCell ref="W81:Y82"/>
    <mergeCell ref="W88:Y89"/>
    <mergeCell ref="M88:M89"/>
    <mergeCell ref="N88:N89"/>
    <mergeCell ref="O88:O89"/>
    <mergeCell ref="P88:P89"/>
    <mergeCell ref="Q88:Q89"/>
    <mergeCell ref="R88:R89"/>
    <mergeCell ref="N103:N104"/>
    <mergeCell ref="O103:O104"/>
    <mergeCell ref="P103:P104"/>
    <mergeCell ref="Q103:Q104"/>
    <mergeCell ref="R103:R104"/>
    <mergeCell ref="M81:M82"/>
    <mergeCell ref="N81:N82"/>
    <mergeCell ref="O81:O82"/>
    <mergeCell ref="P81:P82"/>
    <mergeCell ref="Q81:Q82"/>
  </mergeCells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L17:N17"/>
  <sheetViews>
    <sheetView workbookViewId="0">
      <selection activeCell="L14" sqref="L14:O17"/>
    </sheetView>
  </sheetViews>
  <sheetFormatPr defaultRowHeight="14.4"/>
  <cols>
    <col min="14" max="14" width="10" bestFit="1" customWidth="1"/>
  </cols>
  <sheetData>
    <row r="17" spans="12:14">
      <c r="L17" s="156"/>
      <c r="M17" s="156"/>
      <c r="N17" s="15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ListOfRegions</vt:lpstr>
      <vt:lpstr>Πίνακας2(α)Συνολικός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2015-05-06T09:29:52Z</cp:lastPrinted>
  <dcterms:created xsi:type="dcterms:W3CDTF">2015-04-23T05:14:58Z</dcterms:created>
  <dcterms:modified xsi:type="dcterms:W3CDTF">2017-01-20T15:02:14Z</dcterms:modified>
</cp:coreProperties>
</file>