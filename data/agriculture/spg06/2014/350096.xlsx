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348" yWindow="288" windowWidth="14856" windowHeight="5760" firstSheet="1" activeTab="1"/>
  </bookViews>
  <sheets>
    <sheet name="ListOfValues" sheetId="2" state="hidden" r:id="rId1"/>
    <sheet name="ΠΙΝΑΚΑΣ 2(η)" sheetId="1" r:id="rId2"/>
  </sheets>
  <calcPr calcId="124519"/>
</workbook>
</file>

<file path=xl/calcChain.xml><?xml version="1.0" encoding="utf-8"?>
<calcChain xmlns="http://schemas.openxmlformats.org/spreadsheetml/2006/main">
  <c r="B105" i="1"/>
  <c r="B90"/>
  <c r="B83"/>
  <c r="B73"/>
  <c r="B79"/>
  <c r="B80"/>
  <c r="B81"/>
  <c r="B82"/>
  <c r="B78"/>
  <c r="B77"/>
  <c r="B76"/>
  <c r="B75"/>
  <c r="B14"/>
  <c r="M14"/>
  <c r="B68"/>
  <c r="B66"/>
  <c r="B61"/>
  <c r="B54"/>
  <c r="B47"/>
  <c r="B40"/>
  <c r="B34"/>
  <c r="B29"/>
  <c r="B20"/>
  <c r="B12"/>
  <c r="C12"/>
  <c r="N110"/>
  <c r="N109"/>
  <c r="N108"/>
  <c r="N107"/>
  <c r="N104"/>
  <c r="N103"/>
  <c r="N102"/>
  <c r="N101"/>
  <c r="N100"/>
  <c r="N99"/>
  <c r="N98"/>
  <c r="N97"/>
  <c r="N96"/>
  <c r="N95"/>
  <c r="N94"/>
  <c r="N93"/>
  <c r="N92"/>
  <c r="N89"/>
  <c r="N88"/>
  <c r="N87"/>
  <c r="N86"/>
  <c r="N85"/>
  <c r="N82"/>
  <c r="N81"/>
  <c r="N80"/>
  <c r="N79"/>
  <c r="N78"/>
  <c r="N77"/>
  <c r="N76"/>
  <c r="N75"/>
  <c r="N72"/>
  <c r="N71"/>
  <c r="N70"/>
  <c r="N69"/>
  <c r="N68"/>
  <c r="N65"/>
  <c r="N64"/>
  <c r="N63"/>
  <c r="N60"/>
  <c r="N59"/>
  <c r="N58"/>
  <c r="N57"/>
  <c r="N56"/>
  <c r="N53"/>
  <c r="N52"/>
  <c r="N51"/>
  <c r="N50"/>
  <c r="N49"/>
  <c r="N46"/>
  <c r="N45"/>
  <c r="N44"/>
  <c r="N43"/>
  <c r="N42"/>
  <c r="N39"/>
  <c r="N38"/>
  <c r="N37"/>
  <c r="N36"/>
  <c r="N33"/>
  <c r="N32"/>
  <c r="N31"/>
  <c r="N30"/>
  <c r="N28"/>
  <c r="N27"/>
  <c r="N26"/>
  <c r="N25"/>
  <c r="N24"/>
  <c r="N23"/>
  <c r="N22"/>
  <c r="N19"/>
  <c r="N18"/>
  <c r="N17"/>
  <c r="N16"/>
  <c r="N15"/>
  <c r="N14"/>
  <c r="B10"/>
  <c r="C105" l="1"/>
  <c r="E83"/>
  <c r="F83"/>
  <c r="G83"/>
  <c r="H83"/>
  <c r="I83"/>
  <c r="J83"/>
  <c r="D83"/>
  <c r="L73"/>
  <c r="F73"/>
  <c r="I73"/>
  <c r="H73"/>
  <c r="L34"/>
  <c r="P29"/>
  <c r="O29"/>
  <c r="J29"/>
  <c r="L29"/>
  <c r="E29"/>
  <c r="F29"/>
  <c r="G29"/>
  <c r="H29"/>
  <c r="I29"/>
  <c r="K29"/>
  <c r="C29"/>
  <c r="D29"/>
  <c r="P20"/>
  <c r="O20"/>
  <c r="L20"/>
  <c r="D20"/>
  <c r="E20"/>
  <c r="F20"/>
  <c r="G20"/>
  <c r="H20"/>
  <c r="I20"/>
  <c r="J20"/>
  <c r="K20"/>
  <c r="C20"/>
  <c r="M82"/>
  <c r="M110"/>
  <c r="M109"/>
  <c r="M108"/>
  <c r="M107"/>
  <c r="M104"/>
  <c r="M103"/>
  <c r="M102"/>
  <c r="M101"/>
  <c r="M100"/>
  <c r="M99"/>
  <c r="M98"/>
  <c r="M97"/>
  <c r="M96"/>
  <c r="M95"/>
  <c r="M94"/>
  <c r="M93"/>
  <c r="M92"/>
  <c r="M89"/>
  <c r="M88"/>
  <c r="M87"/>
  <c r="M86"/>
  <c r="M85"/>
  <c r="M81"/>
  <c r="M80"/>
  <c r="M79"/>
  <c r="M78"/>
  <c r="M77"/>
  <c r="M76"/>
  <c r="M75"/>
  <c r="M72"/>
  <c r="M71"/>
  <c r="M70"/>
  <c r="M69"/>
  <c r="M68"/>
  <c r="M65"/>
  <c r="M64"/>
  <c r="M63"/>
  <c r="M60"/>
  <c r="M59"/>
  <c r="M58"/>
  <c r="M57"/>
  <c r="M56"/>
  <c r="M53"/>
  <c r="M52"/>
  <c r="M51"/>
  <c r="M50"/>
  <c r="M49"/>
  <c r="M46"/>
  <c r="M45"/>
  <c r="M44"/>
  <c r="M43"/>
  <c r="M42"/>
  <c r="M39"/>
  <c r="M38"/>
  <c r="M37"/>
  <c r="M36"/>
  <c r="M33"/>
  <c r="M32"/>
  <c r="M31"/>
  <c r="M30"/>
  <c r="M28"/>
  <c r="M27"/>
  <c r="M26"/>
  <c r="M25"/>
  <c r="M24"/>
  <c r="M23"/>
  <c r="M22"/>
  <c r="M15"/>
  <c r="M16"/>
  <c r="M17"/>
  <c r="M18"/>
  <c r="M19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72"/>
  <c r="B71"/>
  <c r="B70"/>
  <c r="B69"/>
  <c r="B65"/>
  <c r="B64"/>
  <c r="B63"/>
  <c r="B60"/>
  <c r="B59"/>
  <c r="B58"/>
  <c r="B57"/>
  <c r="B56"/>
  <c r="B53"/>
  <c r="B52"/>
  <c r="B51"/>
  <c r="B50"/>
  <c r="B49"/>
  <c r="B46"/>
  <c r="B45"/>
  <c r="B44"/>
  <c r="B43"/>
  <c r="B42"/>
  <c r="B39"/>
  <c r="B38"/>
  <c r="B37"/>
  <c r="B36"/>
  <c r="B33"/>
  <c r="B32"/>
  <c r="B31"/>
  <c r="B30"/>
  <c r="B28"/>
  <c r="B27"/>
  <c r="B26"/>
  <c r="B25"/>
  <c r="B24"/>
  <c r="B23"/>
  <c r="B22"/>
  <c r="B19"/>
  <c r="B18"/>
  <c r="B17"/>
  <c r="B16"/>
  <c r="B15"/>
  <c r="P105"/>
  <c r="O105"/>
  <c r="L105"/>
  <c r="K105"/>
  <c r="J105"/>
  <c r="I105"/>
  <c r="H105"/>
  <c r="N105" s="1"/>
  <c r="G105"/>
  <c r="M105" s="1"/>
  <c r="F105"/>
  <c r="E105"/>
  <c r="D105"/>
  <c r="P90"/>
  <c r="O90"/>
  <c r="L90"/>
  <c r="K90"/>
  <c r="J90"/>
  <c r="I90"/>
  <c r="H90"/>
  <c r="N90" s="1"/>
  <c r="G90"/>
  <c r="M90" s="1"/>
  <c r="F90"/>
  <c r="E90"/>
  <c r="D90"/>
  <c r="C90"/>
  <c r="P83"/>
  <c r="O83"/>
  <c r="L83"/>
  <c r="N83" s="1"/>
  <c r="K83"/>
  <c r="C83"/>
  <c r="P73"/>
  <c r="O73"/>
  <c r="K73"/>
  <c r="J73"/>
  <c r="N73" s="1"/>
  <c r="G73"/>
  <c r="M73" s="1"/>
  <c r="E73"/>
  <c r="D73"/>
  <c r="C73"/>
  <c r="P66"/>
  <c r="O66"/>
  <c r="L66"/>
  <c r="K66"/>
  <c r="J66"/>
  <c r="I66"/>
  <c r="H66"/>
  <c r="G66"/>
  <c r="M66" s="1"/>
  <c r="F66"/>
  <c r="E66"/>
  <c r="D66"/>
  <c r="C66"/>
  <c r="P61"/>
  <c r="O61"/>
  <c r="L61"/>
  <c r="K61"/>
  <c r="J61"/>
  <c r="I61"/>
  <c r="H61"/>
  <c r="N61" s="1"/>
  <c r="G61"/>
  <c r="M61" s="1"/>
  <c r="F61"/>
  <c r="E61"/>
  <c r="D61"/>
  <c r="C61"/>
  <c r="P54"/>
  <c r="O54"/>
  <c r="L54"/>
  <c r="K54"/>
  <c r="J54"/>
  <c r="I54"/>
  <c r="H54"/>
  <c r="N54" s="1"/>
  <c r="G54"/>
  <c r="M54" s="1"/>
  <c r="F54"/>
  <c r="E54"/>
  <c r="D54"/>
  <c r="C54"/>
  <c r="P47"/>
  <c r="O47"/>
  <c r="L47"/>
  <c r="K47"/>
  <c r="J47"/>
  <c r="I47"/>
  <c r="H47"/>
  <c r="G47"/>
  <c r="M47" s="1"/>
  <c r="F47"/>
  <c r="E47"/>
  <c r="D47"/>
  <c r="C47"/>
  <c r="P40"/>
  <c r="O40"/>
  <c r="L40"/>
  <c r="K40"/>
  <c r="J40"/>
  <c r="I40"/>
  <c r="H40"/>
  <c r="N40" s="1"/>
  <c r="G40"/>
  <c r="M40" s="1"/>
  <c r="F40"/>
  <c r="E40"/>
  <c r="D40"/>
  <c r="C40"/>
  <c r="P34"/>
  <c r="O34"/>
  <c r="K34"/>
  <c r="J34"/>
  <c r="I34"/>
  <c r="H34"/>
  <c r="N34" s="1"/>
  <c r="G34"/>
  <c r="M34" s="1"/>
  <c r="F34"/>
  <c r="E34"/>
  <c r="D34"/>
  <c r="C34"/>
  <c r="P12"/>
  <c r="O12"/>
  <c r="L12"/>
  <c r="K12"/>
  <c r="J12"/>
  <c r="I12"/>
  <c r="H12"/>
  <c r="N12" s="1"/>
  <c r="G12"/>
  <c r="F12"/>
  <c r="E12"/>
  <c r="D12"/>
  <c r="O10" l="1"/>
  <c r="E10"/>
  <c r="N66"/>
  <c r="N47"/>
  <c r="M12"/>
  <c r="M20"/>
  <c r="N20"/>
  <c r="D10"/>
  <c r="J10"/>
  <c r="I10"/>
  <c r="G10"/>
  <c r="C10"/>
  <c r="P10"/>
  <c r="L10"/>
  <c r="K10"/>
  <c r="H10"/>
  <c r="F10"/>
  <c r="M29"/>
  <c r="M83"/>
  <c r="N29"/>
  <c r="M10" l="1"/>
  <c r="N10"/>
</calcChain>
</file>

<file path=xl/sharedStrings.xml><?xml version="1.0" encoding="utf-8"?>
<sst xmlns="http://schemas.openxmlformats.org/spreadsheetml/2006/main" count="566" uniqueCount="299">
  <si>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</si>
  <si>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</si>
  <si>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</si>
  <si>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</si>
  <si>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</si>
  <si>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</si>
  <si>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</si>
  <si>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</si>
  <si>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</si>
  <si>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</si>
  <si>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</si>
  <si>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</si>
  <si>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</si>
  <si>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</si>
  <si>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</si>
  <si>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</si>
  <si>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</si>
  <si>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</si>
  <si>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</si>
  <si>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</si>
  <si>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</si>
  <si>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</si>
  <si>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</si>
  <si>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</si>
  <si>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</si>
  <si>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</si>
  <si>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</si>
  <si>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</si>
  <si>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</si>
  <si>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</si>
  <si>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</si>
  <si>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</si>
  <si>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</si>
  <si>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</si>
  <si>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</si>
  <si>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</si>
  <si>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</si>
  <si>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</si>
  <si>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</si>
  <si>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</si>
  <si>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</si>
  <si>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</si>
  <si>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</si>
  <si>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</si>
  <si>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</si>
  <si>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</si>
  <si>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</si>
  <si>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</si>
  <si>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</si>
  <si>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</si>
  <si>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</si>
  <si>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</si>
  <si>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</si>
  <si>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</si>
  <si>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</si>
  <si>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</si>
  <si>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</si>
  <si>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</si>
  <si>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</si>
  <si>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</si>
  <si>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</si>
  <si>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</si>
  <si>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</si>
  <si>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</si>
  <si>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</si>
  <si>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</si>
  <si>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</si>
  <si>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</si>
  <si>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</si>
  <si>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</si>
  <si>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</si>
  <si>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</si>
  <si>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</si>
  <si>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</si>
  <si>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</si>
  <si>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</si>
  <si>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</si>
  <si>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</si>
  <si>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</si>
  <si>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</si>
  <si>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</si>
  <si>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</si>
  <si>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</si>
  <si>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</si>
  <si>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</si>
  <si>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</si>
  <si>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</si>
  <si>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</si>
  <si>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</si>
  <si>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</si>
  <si>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</si>
  <si>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</si>
  <si>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</si>
  <si>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</si>
  <si>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</si>
  <si>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</si>
  <si>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</si>
  <si>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</si>
  <si>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</si>
  <si>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</si>
  <si>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</si>
  <si>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</si>
  <si>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</si>
  <si>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</si>
  <si>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</si>
  <si>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</si>
  <si>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</si>
  <si>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</si>
  <si>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</si>
  <si>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</si>
  <si>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</si>
  <si>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</si>
  <si>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</si>
  <si>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</si>
  <si>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</si>
  <si>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</si>
  <si>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</si>
  <si>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</si>
  <si>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</si>
  <si>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</si>
  <si>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</si>
  <si>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</si>
  <si>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</si>
  <si>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</si>
  <si>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</si>
  <si>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</si>
  <si>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</si>
  <si>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</si>
  <si>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</si>
  <si>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</si>
  <si>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</si>
  <si>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</si>
  <si>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</si>
  <si>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</si>
  <si>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</si>
  <si>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</si>
  <si>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</si>
  <si>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</si>
  <si>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</si>
  <si>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</si>
  <si>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</si>
  <si>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</si>
  <si>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</si>
  <si>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</si>
  <si>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</si>
  <si>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</si>
  <si>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</si>
  <si>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</si>
  <si>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</si>
  <si>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</si>
  <si>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</si>
  <si>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</si>
  <si>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</si>
  <si>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</si>
  <si>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</si>
  <si>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</si>
  <si>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</si>
  <si>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</si>
  <si>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</si>
  <si>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</si>
  <si>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</si>
  <si>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</si>
  <si>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</si>
  <si>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</si>
  <si>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</si>
  <si>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</si>
  <si>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</si>
  <si>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</si>
  <si>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</si>
  <si>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</si>
  <si>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</si>
  <si>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</si>
  <si>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</si>
  <si>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</si>
  <si>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</si>
  <si>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</si>
  <si>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</si>
  <si>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</si>
  <si>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</si>
  <si>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</si>
  <si>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</si>
  <si>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</si>
  <si>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</si>
  <si>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</si>
  <si>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</si>
  <si>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</si>
  <si>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</si>
  <si>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</si>
  <si>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</si>
  <si>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</si>
  <si>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</si>
  <si>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</si>
  <si>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</si>
  <si>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</si>
  <si>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</si>
  <si>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</si>
  <si>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</si>
  <si>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</si>
  <si>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</si>
  <si>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</si>
  <si>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</si>
  <si>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</si>
  <si>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</si>
  <si>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</si>
  <si>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</si>
  <si>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</si>
  <si>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</si>
  <si>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</si>
  <si>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</si>
  <si>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</si>
  <si>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</si>
  <si>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</si>
  <si>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</si>
  <si>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</si>
  <si>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</si>
  <si>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</si>
  <si>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</si>
  <si>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</si>
  <si>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</si>
  <si>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</si>
  <si>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</si>
  <si>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</si>
  <si>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</si>
  <si>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</si>
  <si>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</si>
  <si>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</si>
  <si>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</si>
  <si>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</si>
  <si>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</si>
  <si>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</si>
  <si>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</si>
  <si>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</si>
  <si>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</si>
  <si>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</si>
  <si>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</si>
  <si>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</si>
  <si>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</si>
  <si>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</si>
  <si>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</si>
  <si>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</si>
  <si>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</si>
  <si>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</si>
  <si>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</si>
  <si>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</si>
  <si>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</si>
  <si>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</si>
  <si>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</si>
  <si>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</si>
  <si>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</si>
  <si>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</si>
  <si>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</si>
  <si>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</si>
  <si>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</si>
  <si>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</si>
  <si>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</si>
  <si>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</si>
  <si>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</si>
  <si>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</si>
  <si>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</si>
  <si>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</si>
  <si>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</si>
  <si>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</si>
  <si>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</si>
  <si>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</si>
  <si>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</si>
  <si>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</si>
  <si>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</si>
  <si>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</si>
  <si>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</si>
  <si>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</si>
  <si>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</si>
  <si>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</si>
  <si>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</si>
  <si>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</si>
  <si>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</si>
  <si>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</si>
  <si>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</si>
  <si>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</si>
  <si>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</si>
  <si>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</si>
  <si>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</si>
  <si>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</si>
  <si>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</si>
  <si>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</si>
  <si>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</si>
  <si>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το φθινόπωρο ή χειμώνα in autumn or winter</t>
  </si>
  <si>
    <t>Γλυκοπατάτες Sweet potatoes</t>
  </si>
  <si>
    <t>Πεπόνια               Melons</t>
  </si>
  <si>
    <t>Καρπούζια     Watermelons</t>
  </si>
  <si>
    <t>την άνοιξη                               in spring</t>
  </si>
  <si>
    <t>—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</si>
  <si>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</si>
  <si>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</si>
  <si>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</si>
  <si>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</si>
  <si>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Σύνολο
Total</t>
  </si>
  <si>
    <t>Πίνακας 2η. Πεπονοειδή και πατάτες. Εκτάσεις και παραγωγή, κατά Περιφέρεια και Περιφερειακή Ενότητα, 2014</t>
  </si>
  <si>
    <t>Table 2h. Melons, watermelons and potatoes. Areas and production, by Region and Regional Unities, 2014</t>
  </si>
  <si>
    <t xml:space="preserve"> Σύνολο 
Εκτάσεων
Total
Area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</si>
</sst>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Arial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2" fillId="0" borderId="0" xfId="0" applyFo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left" wrapText="1" indent="1"/>
      <protection locked="0"/>
    </xf>
    <xf numFmtId="0" fontId="12" fillId="0" borderId="0" xfId="0" applyFont="1" applyBorder="1" applyAlignment="1" applyProtection="1">
      <protection locked="0"/>
    </xf>
    <xf numFmtId="49" fontId="12" fillId="0" borderId="1" xfId="0" applyNumberFormat="1" applyFont="1" applyBorder="1" applyAlignment="1" applyProtection="1">
      <alignment horizontal="left" wrapText="1" indent="1"/>
      <protection locked="0"/>
    </xf>
    <xf numFmtId="0" fontId="12" fillId="0" borderId="1" xfId="0" applyFont="1" applyBorder="1" applyAlignment="1" applyProtection="1">
      <protection locked="0"/>
    </xf>
    <xf numFmtId="49" fontId="12" fillId="0" borderId="0" xfId="0" applyNumberFormat="1" applyFont="1" applyAlignment="1" applyProtection="1">
      <alignment wrapText="1"/>
      <protection locked="0"/>
    </xf>
    <xf numFmtId="49" fontId="12" fillId="0" borderId="0" xfId="0" applyNumberFormat="1" applyFont="1" applyProtection="1">
      <protection locked="0"/>
    </xf>
    <xf numFmtId="49" fontId="4" fillId="2" borderId="5" xfId="0" applyNumberFormat="1" applyFont="1" applyFill="1" applyBorder="1"/>
    <xf numFmtId="49" fontId="4" fillId="2" borderId="4" xfId="0" applyNumberFormat="1" applyFont="1" applyFill="1" applyBorder="1" applyAlignment="1">
      <alignment horizontal="left"/>
    </xf>
    <xf numFmtId="0" fontId="5" fillId="2" borderId="4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4" xfId="0" applyNumberFormat="1" applyFont="1" applyFill="1" applyBorder="1" applyAlignment="1">
      <alignment vertical="center" textRotation="90"/>
    </xf>
    <xf numFmtId="0" fontId="5" fillId="2" borderId="6" xfId="0" applyNumberFormat="1" applyFont="1" applyFill="1" applyBorder="1" applyAlignment="1" applyProtection="1"/>
    <xf numFmtId="49" fontId="4" fillId="2" borderId="7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8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7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8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7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9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0" xfId="0" applyNumberFormat="1" applyFont="1" applyFill="1" applyBorder="1" applyAlignment="1" applyProtection="1"/>
    <xf numFmtId="49" fontId="4" fillId="10" borderId="5" xfId="0" applyNumberFormat="1" applyFont="1" applyFill="1" applyBorder="1"/>
    <xf numFmtId="49" fontId="4" fillId="10" borderId="4" xfId="0" applyNumberFormat="1" applyFont="1" applyFill="1" applyBorder="1"/>
    <xf numFmtId="0" fontId="5" fillId="10" borderId="4" xfId="0" applyNumberFormat="1" applyFont="1" applyFill="1" applyBorder="1" applyAlignment="1" applyProtection="1"/>
    <xf numFmtId="49" fontId="6" fillId="10" borderId="4" xfId="0" applyNumberFormat="1" applyFont="1" applyFill="1" applyBorder="1"/>
    <xf numFmtId="49" fontId="6" fillId="10" borderId="4" xfId="0" applyNumberFormat="1" applyFont="1" applyFill="1" applyBorder="1" applyAlignment="1">
      <alignment vertical="center" textRotation="90"/>
    </xf>
    <xf numFmtId="0" fontId="5" fillId="10" borderId="6" xfId="0" applyNumberFormat="1" applyFont="1" applyFill="1" applyBorder="1" applyAlignment="1" applyProtection="1"/>
    <xf numFmtId="49" fontId="4" fillId="10" borderId="7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8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7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8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9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0" xfId="0" applyNumberFormat="1" applyFont="1" applyFill="1" applyBorder="1" applyAlignment="1" applyProtection="1"/>
    <xf numFmtId="49" fontId="4" fillId="6" borderId="5" xfId="0" applyNumberFormat="1" applyFont="1" applyFill="1" applyBorder="1"/>
    <xf numFmtId="49" fontId="4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6" fillId="6" borderId="4" xfId="0" applyNumberFormat="1" applyFont="1" applyFill="1" applyBorder="1"/>
    <xf numFmtId="0" fontId="8" fillId="6" borderId="4" xfId="0" applyNumberFormat="1" applyFont="1" applyFill="1" applyBorder="1" applyAlignment="1" applyProtection="1"/>
    <xf numFmtId="49" fontId="6" fillId="6" borderId="4" xfId="0" applyNumberFormat="1" applyFont="1" applyFill="1" applyBorder="1" applyAlignment="1">
      <alignment vertical="center" textRotation="90"/>
    </xf>
    <xf numFmtId="0" fontId="8" fillId="6" borderId="6" xfId="0" applyNumberFormat="1" applyFont="1" applyFill="1" applyBorder="1" applyAlignment="1" applyProtection="1"/>
    <xf numFmtId="49" fontId="4" fillId="6" borderId="7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8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7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8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7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8" xfId="0" applyNumberFormat="1" applyFont="1" applyFill="1" applyBorder="1" applyAlignment="1" applyProtection="1"/>
    <xf numFmtId="49" fontId="4" fillId="12" borderId="9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0" xfId="0" applyNumberFormat="1" applyFont="1" applyFill="1" applyBorder="1" applyAlignment="1" applyProtection="1"/>
    <xf numFmtId="0" fontId="9" fillId="6" borderId="4" xfId="0" applyNumberFormat="1" applyFont="1" applyFill="1" applyBorder="1" applyAlignment="1" applyProtection="1"/>
    <xf numFmtId="0" fontId="5" fillId="6" borderId="6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9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0" xfId="0" applyNumberFormat="1" applyFont="1" applyFill="1" applyBorder="1" applyAlignment="1" applyProtection="1"/>
    <xf numFmtId="49" fontId="4" fillId="2" borderId="4" xfId="0" applyNumberFormat="1" applyFont="1" applyFill="1" applyBorder="1"/>
    <xf numFmtId="49" fontId="6" fillId="2" borderId="4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5" xfId="0" applyNumberFormat="1" applyFont="1" applyFill="1" applyBorder="1"/>
    <xf numFmtId="49" fontId="10" fillId="8" borderId="0" xfId="0" applyNumberFormat="1" applyFont="1" applyFill="1" applyBorder="1"/>
    <xf numFmtId="0" fontId="5" fillId="8" borderId="4" xfId="0" applyNumberFormat="1" applyFont="1" applyFill="1" applyBorder="1" applyAlignment="1" applyProtection="1"/>
    <xf numFmtId="49" fontId="6" fillId="8" borderId="4" xfId="0" applyNumberFormat="1" applyFont="1" applyFill="1" applyBorder="1"/>
    <xf numFmtId="49" fontId="4" fillId="8" borderId="4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9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0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0" fillId="14" borderId="12" xfId="0" applyNumberFormat="1" applyFont="1" applyFill="1" applyBorder="1"/>
    <xf numFmtId="0" fontId="5" fillId="2" borderId="13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4" fillId="2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49" fontId="13" fillId="0" borderId="0" xfId="0" applyNumberFormat="1" applyFont="1" applyBorder="1" applyAlignment="1" applyProtection="1">
      <alignment horizontal="left" vertical="center" wrapText="1" indent="2"/>
      <protection locked="0"/>
    </xf>
    <xf numFmtId="0" fontId="12" fillId="0" borderId="0" xfId="0" applyFont="1" applyBorder="1" applyProtection="1">
      <protection locked="0"/>
    </xf>
    <xf numFmtId="0" fontId="14" fillId="0" borderId="0" xfId="0" applyFont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16" xfId="0" applyFont="1" applyBorder="1" applyAlignment="1" applyProtection="1">
      <alignment horizontal="center"/>
      <protection locked="0"/>
    </xf>
    <xf numFmtId="3" fontId="2" fillId="0" borderId="17" xfId="0" applyNumberFormat="1" applyFont="1" applyFill="1" applyBorder="1" applyAlignment="1" applyProtection="1">
      <alignment horizontal="right"/>
    </xf>
    <xf numFmtId="3" fontId="2" fillId="0" borderId="18" xfId="0" applyNumberFormat="1" applyFont="1" applyFill="1" applyBorder="1" applyAlignment="1" applyProtection="1">
      <alignment horizontal="right"/>
    </xf>
    <xf numFmtId="0" fontId="12" fillId="0" borderId="0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alignment horizontal="left" inden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3" fontId="1" fillId="15" borderId="18" xfId="0" applyNumberFormat="1" applyFont="1" applyFill="1" applyBorder="1" applyAlignment="1">
      <alignment horizontal="right" vertical="center" wrapText="1"/>
    </xf>
    <xf numFmtId="3" fontId="1" fillId="0" borderId="18" xfId="0" applyNumberFormat="1" applyFont="1" applyFill="1" applyBorder="1" applyAlignment="1" applyProtection="1">
      <alignment horizontal="right" vertical="center"/>
    </xf>
    <xf numFmtId="3" fontId="1" fillId="0" borderId="17" xfId="0" applyNumberFormat="1" applyFont="1" applyFill="1" applyBorder="1" applyAlignment="1" applyProtection="1">
      <alignment horizontal="right" vertical="center"/>
    </xf>
    <xf numFmtId="49" fontId="15" fillId="0" borderId="0" xfId="0" applyNumberFormat="1" applyFont="1" applyAlignment="1" applyProtection="1">
      <alignment vertical="center" wrapText="1"/>
      <protection locked="0"/>
    </xf>
    <xf numFmtId="0" fontId="3" fillId="0" borderId="30" xfId="0" applyFont="1" applyBorder="1" applyAlignment="1" applyProtection="1">
      <alignment horizontal="center"/>
      <protection locked="0"/>
    </xf>
    <xf numFmtId="3" fontId="2" fillId="0" borderId="21" xfId="0" applyNumberFormat="1" applyFont="1" applyBorder="1" applyAlignment="1" applyProtection="1">
      <alignment horizontal="right" vertical="center"/>
    </xf>
    <xf numFmtId="3" fontId="1" fillId="15" borderId="31" xfId="0" applyNumberFormat="1" applyFont="1" applyFill="1" applyBorder="1" applyAlignment="1">
      <alignment horizontal="right" vertical="center" wrapText="1"/>
    </xf>
    <xf numFmtId="3" fontId="2" fillId="0" borderId="32" xfId="0" applyNumberFormat="1" applyFont="1" applyBorder="1" applyAlignment="1" applyProtection="1">
      <alignment horizontal="right" vertical="center"/>
    </xf>
    <xf numFmtId="3" fontId="2" fillId="0" borderId="33" xfId="0" applyNumberFormat="1" applyFont="1" applyFill="1" applyBorder="1" applyAlignment="1" applyProtection="1">
      <alignment horizontal="right"/>
    </xf>
    <xf numFmtId="3" fontId="2" fillId="0" borderId="34" xfId="0" applyNumberFormat="1" applyFont="1" applyFill="1" applyBorder="1" applyAlignment="1" applyProtection="1">
      <alignment horizontal="right"/>
    </xf>
    <xf numFmtId="3" fontId="12" fillId="0" borderId="0" xfId="0" applyNumberFormat="1" applyFont="1" applyBorder="1" applyAlignment="1" applyProtection="1">
      <protection locked="0"/>
    </xf>
    <xf numFmtId="0" fontId="12" fillId="0" borderId="0" xfId="0" applyFont="1" applyBorder="1" applyAlignment="1" applyProtection="1">
      <alignment vertical="center"/>
      <protection locked="0"/>
    </xf>
    <xf numFmtId="3" fontId="12" fillId="0" borderId="18" xfId="0" applyNumberFormat="1" applyFont="1" applyBorder="1" applyAlignment="1">
      <alignment horizontal="right" vertical="top" wrapText="1"/>
    </xf>
    <xf numFmtId="3" fontId="12" fillId="0" borderId="0" xfId="0" applyNumberFormat="1" applyFont="1" applyBorder="1" applyAlignment="1">
      <alignment horizontal="right" vertical="top" wrapText="1"/>
    </xf>
    <xf numFmtId="0" fontId="12" fillId="0" borderId="18" xfId="0" applyFont="1" applyBorder="1" applyAlignment="1">
      <alignment horizontal="right" vertical="top" wrapText="1"/>
    </xf>
    <xf numFmtId="0" fontId="12" fillId="0" borderId="0" xfId="0" applyFont="1" applyBorder="1" applyAlignment="1">
      <alignment horizontal="right" vertical="top" wrapText="1"/>
    </xf>
    <xf numFmtId="3" fontId="12" fillId="0" borderId="18" xfId="0" applyNumberFormat="1" applyFont="1" applyFill="1" applyBorder="1" applyAlignment="1">
      <alignment horizontal="right" vertical="top" wrapText="1"/>
    </xf>
    <xf numFmtId="3" fontId="12" fillId="0" borderId="0" xfId="0" applyNumberFormat="1" applyFont="1" applyFill="1" applyBorder="1" applyAlignment="1">
      <alignment horizontal="right" vertical="top" wrapText="1"/>
    </xf>
    <xf numFmtId="0" fontId="12" fillId="0" borderId="18" xfId="0" applyFont="1" applyFill="1" applyBorder="1" applyAlignment="1">
      <alignment horizontal="right" vertical="top" wrapText="1"/>
    </xf>
    <xf numFmtId="0" fontId="12" fillId="0" borderId="31" xfId="0" applyFont="1" applyBorder="1" applyAlignment="1">
      <alignment horizontal="right" vertical="top" wrapText="1"/>
    </xf>
    <xf numFmtId="3" fontId="12" fillId="0" borderId="31" xfId="0" applyNumberFormat="1" applyFont="1" applyBorder="1" applyAlignment="1">
      <alignment horizontal="right" vertical="top" wrapText="1"/>
    </xf>
    <xf numFmtId="0" fontId="12" fillId="0" borderId="31" xfId="0" applyFont="1" applyFill="1" applyBorder="1" applyAlignment="1">
      <alignment horizontal="right" vertical="top" wrapText="1"/>
    </xf>
    <xf numFmtId="3" fontId="12" fillId="0" borderId="33" xfId="0" applyNumberFormat="1" applyFont="1" applyBorder="1" applyAlignment="1">
      <alignment horizontal="right" vertical="top" wrapText="1"/>
    </xf>
    <xf numFmtId="3" fontId="12" fillId="0" borderId="1" xfId="0" applyNumberFormat="1" applyFont="1" applyBorder="1" applyAlignment="1">
      <alignment horizontal="right" vertical="top" wrapText="1"/>
    </xf>
    <xf numFmtId="3" fontId="12" fillId="0" borderId="35" xfId="0" applyNumberFormat="1" applyFont="1" applyBorder="1" applyAlignment="1">
      <alignment horizontal="right" vertical="top" wrapText="1"/>
    </xf>
    <xf numFmtId="0" fontId="2" fillId="0" borderId="0" xfId="0" applyNumberFormat="1" applyFont="1" applyFill="1" applyBorder="1" applyAlignment="1" applyProtection="1">
      <protection locked="0"/>
    </xf>
    <xf numFmtId="0" fontId="16" fillId="0" borderId="0" xfId="0" applyFont="1" applyProtection="1">
      <protection locked="0"/>
    </xf>
    <xf numFmtId="0" fontId="8" fillId="0" borderId="0" xfId="0" applyNumberFormat="1" applyFont="1" applyFill="1" applyBorder="1" applyAlignment="1" applyProtection="1">
      <alignment vertical="center" wrapText="1"/>
      <protection locked="0"/>
    </xf>
    <xf numFmtId="49" fontId="6" fillId="16" borderId="4" xfId="0" applyNumberFormat="1" applyFont="1" applyFill="1" applyBorder="1" applyAlignment="1">
      <alignment horizontal="center" vertical="center" textRotation="90"/>
    </xf>
    <xf numFmtId="49" fontId="6" fillId="16" borderId="0" xfId="0" applyNumberFormat="1" applyFont="1" applyFill="1" applyBorder="1" applyAlignment="1">
      <alignment horizontal="center" vertical="center" textRotation="90"/>
    </xf>
    <xf numFmtId="49" fontId="6" fillId="16" borderId="1" xfId="0" applyNumberFormat="1" applyFont="1" applyFill="1" applyBorder="1" applyAlignment="1">
      <alignment horizontal="center" vertical="center" textRotation="90"/>
    </xf>
    <xf numFmtId="49" fontId="6" fillId="3" borderId="4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4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24" xfId="0" applyNumberFormat="1" applyFont="1" applyBorder="1" applyAlignment="1" applyProtection="1">
      <alignment horizontal="right" vertical="center"/>
    </xf>
    <xf numFmtId="3" fontId="1" fillId="0" borderId="18" xfId="0" applyNumberFormat="1" applyFont="1" applyBorder="1" applyAlignment="1" applyProtection="1">
      <alignment horizontal="right" vertical="center"/>
    </xf>
    <xf numFmtId="3" fontId="1" fillId="0" borderId="31" xfId="0" applyNumberFormat="1" applyFont="1" applyBorder="1" applyAlignment="1" applyProtection="1">
      <alignment horizontal="right" vertical="center"/>
    </xf>
    <xf numFmtId="0" fontId="1" fillId="0" borderId="27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28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2" fillId="0" borderId="25" xfId="0" applyFont="1" applyBorder="1" applyAlignment="1" applyProtection="1">
      <alignment horizontal="center" vertical="center" wrapText="1"/>
      <protection locked="0"/>
    </xf>
    <xf numFmtId="0" fontId="12" fillId="0" borderId="29" xfId="0" applyFont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49" fontId="15" fillId="0" borderId="2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1" fillId="0" borderId="7" xfId="0" applyNumberFormat="1" applyFont="1" applyBorder="1" applyAlignment="1" applyProtection="1">
      <alignment horizontal="right" vertical="center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horizontal="right" vertical="center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horizontal="left" wrapText="1" indent="1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0" fillId="0" borderId="16" xfId="0" applyBorder="1" applyProtection="1">
      <protection locked="0"/>
    </xf>
    <xf numFmtId="0" fontId="8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right" vertical="center"/>
      <protection locked="0"/>
    </xf>
    <xf numFmtId="0" fontId="12" fillId="0" borderId="4" xfId="0" applyFont="1" applyBorder="1" applyAlignment="1" applyProtection="1">
      <alignment horizontal="right" vertical="center"/>
      <protection locked="0"/>
    </xf>
    <xf numFmtId="0" fontId="9" fillId="0" borderId="5" xfId="0" applyNumberFormat="1" applyFont="1" applyFill="1" applyBorder="1" applyAlignment="1" applyProtection="1">
      <alignment horizontal="left" vertical="center" wrapText="1"/>
      <protection locked="0"/>
    </xf>
    <xf numFmtId="0" fontId="9" fillId="0" borderId="4" xfId="0" applyNumberFormat="1" applyFont="1" applyFill="1" applyBorder="1" applyAlignment="1" applyProtection="1">
      <alignment horizontal="left" vertical="center" wrapText="1"/>
      <protection locked="0"/>
    </xf>
    <xf numFmtId="0" fontId="9" fillId="0" borderId="7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3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6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>
      <alignment horizontal="left"/>
    </xf>
    <xf numFmtId="0" fontId="0" fillId="0" borderId="26" xfId="0" applyBorder="1" applyAlignment="1">
      <alignment horizontal="left"/>
    </xf>
    <xf numFmtId="3" fontId="1" fillId="15" borderId="2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>
      <selection sqref="A1:IV65536"/>
    </sheetView>
  </sheetViews>
  <sheetFormatPr defaultRowHeight="14.4"/>
  <sheetData>
    <row r="1" spans="1:13">
      <c r="A1" s="10" t="s">
        <v>179</v>
      </c>
      <c r="B1" s="11" t="s">
        <v>7</v>
      </c>
      <c r="C1" s="12"/>
      <c r="D1" s="13"/>
      <c r="E1" s="13"/>
      <c r="F1" s="13"/>
      <c r="G1" s="13"/>
      <c r="H1" s="171" t="s">
        <v>180</v>
      </c>
      <c r="I1" s="14"/>
      <c r="J1" s="12"/>
      <c r="K1" s="12"/>
      <c r="L1" s="12"/>
      <c r="M1" s="15"/>
    </row>
    <row r="2" spans="1:13">
      <c r="A2" s="16" t="s">
        <v>181</v>
      </c>
      <c r="B2" s="17" t="s">
        <v>9</v>
      </c>
      <c r="C2" s="18"/>
      <c r="D2" s="18"/>
      <c r="E2" s="18"/>
      <c r="F2" s="18"/>
      <c r="G2" s="18"/>
      <c r="H2" s="172"/>
      <c r="I2" s="19"/>
      <c r="J2" s="18"/>
      <c r="K2" s="18"/>
      <c r="L2" s="18"/>
      <c r="M2" s="20"/>
    </row>
    <row r="3" spans="1:13">
      <c r="A3" s="16" t="s">
        <v>182</v>
      </c>
      <c r="B3" s="17" t="s">
        <v>11</v>
      </c>
      <c r="C3" s="18"/>
      <c r="D3" s="174" t="s">
        <v>183</v>
      </c>
      <c r="E3" s="174"/>
      <c r="F3" s="174"/>
      <c r="G3" s="174"/>
      <c r="H3" s="172"/>
      <c r="I3" s="19"/>
      <c r="J3" s="18"/>
      <c r="K3" s="18"/>
      <c r="L3" s="18"/>
      <c r="M3" s="20"/>
    </row>
    <row r="4" spans="1:13">
      <c r="A4" s="16" t="s">
        <v>184</v>
      </c>
      <c r="B4" s="17" t="s">
        <v>13</v>
      </c>
      <c r="C4" s="18"/>
      <c r="D4" s="21" t="s">
        <v>185</v>
      </c>
      <c r="E4" s="18"/>
      <c r="F4" s="18"/>
      <c r="G4" s="18"/>
      <c r="H4" s="172"/>
      <c r="I4" s="19"/>
      <c r="J4" s="18"/>
      <c r="K4" s="18"/>
      <c r="L4" s="18"/>
      <c r="M4" s="20"/>
    </row>
    <row r="5" spans="1:13">
      <c r="A5" s="16" t="s">
        <v>186</v>
      </c>
      <c r="B5" s="17" t="s">
        <v>15</v>
      </c>
      <c r="C5" s="18"/>
      <c r="D5" s="18"/>
      <c r="E5" s="18"/>
      <c r="F5" s="18"/>
      <c r="G5" s="18"/>
      <c r="H5" s="172"/>
      <c r="I5" s="19"/>
      <c r="J5" s="18"/>
      <c r="K5" s="18"/>
      <c r="L5" s="18"/>
      <c r="M5" s="20"/>
    </row>
    <row r="6" spans="1:13">
      <c r="A6" s="16" t="s">
        <v>187</v>
      </c>
      <c r="B6" s="17" t="s">
        <v>17</v>
      </c>
      <c r="C6" s="18"/>
      <c r="D6" s="18"/>
      <c r="E6" s="18"/>
      <c r="F6" s="18"/>
      <c r="G6" s="18"/>
      <c r="H6" s="172"/>
      <c r="I6" s="19"/>
      <c r="J6" s="18"/>
      <c r="K6" s="18"/>
      <c r="L6" s="18"/>
      <c r="M6" s="20"/>
    </row>
    <row r="7" spans="1:13">
      <c r="A7" s="22" t="s">
        <v>188</v>
      </c>
      <c r="B7" s="23" t="s">
        <v>21</v>
      </c>
      <c r="C7" s="24"/>
      <c r="D7" s="25"/>
      <c r="E7" s="24"/>
      <c r="F7" s="24"/>
      <c r="G7" s="24"/>
      <c r="H7" s="172"/>
      <c r="I7" s="26"/>
      <c r="J7" s="24"/>
      <c r="K7" s="24"/>
      <c r="L7" s="24"/>
      <c r="M7" s="27"/>
    </row>
    <row r="8" spans="1:13">
      <c r="A8" s="22" t="s">
        <v>189</v>
      </c>
      <c r="B8" s="28" t="s">
        <v>23</v>
      </c>
      <c r="C8" s="24"/>
      <c r="D8" s="24"/>
      <c r="E8" s="24"/>
      <c r="F8" s="24"/>
      <c r="G8" s="24"/>
      <c r="H8" s="172"/>
      <c r="I8" s="26"/>
      <c r="J8" s="28"/>
      <c r="K8" s="29"/>
      <c r="L8" s="24"/>
      <c r="M8" s="27"/>
    </row>
    <row r="9" spans="1:13">
      <c r="A9" s="22" t="s">
        <v>190</v>
      </c>
      <c r="B9" s="28" t="s">
        <v>25</v>
      </c>
      <c r="C9" s="24"/>
      <c r="D9" s="24"/>
      <c r="E9" s="24"/>
      <c r="F9" s="24"/>
      <c r="G9" s="24"/>
      <c r="H9" s="172"/>
      <c r="I9" s="26"/>
      <c r="J9" s="24"/>
      <c r="K9" s="24"/>
      <c r="L9" s="24"/>
      <c r="M9" s="27"/>
    </row>
    <row r="10" spans="1:13">
      <c r="A10" s="22" t="s">
        <v>191</v>
      </c>
      <c r="B10" s="28" t="s">
        <v>27</v>
      </c>
      <c r="C10" s="24"/>
      <c r="D10" s="24"/>
      <c r="E10" s="24"/>
      <c r="F10" s="24"/>
      <c r="G10" s="24"/>
      <c r="H10" s="172"/>
      <c r="I10" s="26"/>
      <c r="J10" s="24"/>
      <c r="K10" s="24"/>
      <c r="L10" s="24"/>
      <c r="M10" s="27"/>
    </row>
    <row r="11" spans="1:13">
      <c r="A11" s="22" t="s">
        <v>192</v>
      </c>
      <c r="B11" s="28" t="s">
        <v>29</v>
      </c>
      <c r="C11" s="24"/>
      <c r="D11" s="30" t="s">
        <v>193</v>
      </c>
      <c r="E11" s="24"/>
      <c r="F11" s="24"/>
      <c r="G11" s="24"/>
      <c r="H11" s="172"/>
      <c r="I11" s="26"/>
      <c r="J11" s="24"/>
      <c r="K11" s="24"/>
      <c r="L11" s="24"/>
      <c r="M11" s="27"/>
    </row>
    <row r="12" spans="1:13">
      <c r="A12" s="22" t="s">
        <v>194</v>
      </c>
      <c r="B12" s="28" t="s">
        <v>31</v>
      </c>
      <c r="C12" s="24"/>
      <c r="D12" s="24"/>
      <c r="E12" s="24"/>
      <c r="F12" s="24"/>
      <c r="G12" s="24"/>
      <c r="H12" s="172"/>
      <c r="I12" s="26"/>
      <c r="J12" s="24"/>
      <c r="K12" s="24"/>
      <c r="L12" s="24"/>
      <c r="M12" s="27"/>
    </row>
    <row r="13" spans="1:13">
      <c r="A13" s="22" t="s">
        <v>195</v>
      </c>
      <c r="B13" s="28" t="s">
        <v>33</v>
      </c>
      <c r="C13" s="24"/>
      <c r="D13" s="24"/>
      <c r="E13" s="24"/>
      <c r="F13" s="24"/>
      <c r="G13" s="24"/>
      <c r="H13" s="172"/>
      <c r="I13" s="26"/>
      <c r="J13" s="24"/>
      <c r="K13" s="24"/>
      <c r="L13" s="24"/>
      <c r="M13" s="27"/>
    </row>
    <row r="14" spans="1:13">
      <c r="A14" s="22" t="s">
        <v>196</v>
      </c>
      <c r="B14" s="28" t="s">
        <v>35</v>
      </c>
      <c r="C14" s="24"/>
      <c r="D14" s="24"/>
      <c r="E14" s="24"/>
      <c r="F14" s="24"/>
      <c r="G14" s="24"/>
      <c r="H14" s="172"/>
      <c r="I14" s="26"/>
      <c r="J14" s="24"/>
      <c r="K14" s="24"/>
      <c r="L14" s="24"/>
      <c r="M14" s="27"/>
    </row>
    <row r="15" spans="1:13">
      <c r="A15" s="22" t="s">
        <v>197</v>
      </c>
      <c r="B15" s="28" t="s">
        <v>37</v>
      </c>
      <c r="C15" s="24"/>
      <c r="D15" s="24"/>
      <c r="E15" s="24"/>
      <c r="F15" s="24"/>
      <c r="G15" s="24"/>
      <c r="H15" s="172"/>
      <c r="I15" s="26"/>
      <c r="J15" s="24"/>
      <c r="K15" s="24"/>
      <c r="L15" s="24"/>
      <c r="M15" s="27"/>
    </row>
    <row r="16" spans="1:13">
      <c r="A16" s="22" t="s">
        <v>198</v>
      </c>
      <c r="B16" s="28" t="s">
        <v>39</v>
      </c>
      <c r="C16" s="24"/>
      <c r="D16" s="24"/>
      <c r="E16" s="24"/>
      <c r="F16" s="24"/>
      <c r="G16" s="24"/>
      <c r="H16" s="172"/>
      <c r="I16" s="26"/>
      <c r="J16" s="24"/>
      <c r="K16" s="24"/>
      <c r="L16" s="24"/>
      <c r="M16" s="27"/>
    </row>
    <row r="17" spans="1:13">
      <c r="A17" s="22" t="s">
        <v>199</v>
      </c>
      <c r="B17" s="28" t="s">
        <v>41</v>
      </c>
      <c r="C17" s="24"/>
      <c r="D17" s="24"/>
      <c r="E17" s="24"/>
      <c r="F17" s="24"/>
      <c r="G17" s="24"/>
      <c r="H17" s="172"/>
      <c r="I17" s="26"/>
      <c r="J17" s="24"/>
      <c r="K17" s="24"/>
      <c r="L17" s="24"/>
      <c r="M17" s="27"/>
    </row>
    <row r="18" spans="1:13">
      <c r="A18" s="31" t="s">
        <v>200</v>
      </c>
      <c r="B18" s="32" t="s">
        <v>45</v>
      </c>
      <c r="C18" s="33"/>
      <c r="D18" s="34"/>
      <c r="E18" s="33"/>
      <c r="F18" s="33"/>
      <c r="G18" s="33"/>
      <c r="H18" s="172"/>
      <c r="I18" s="35"/>
      <c r="J18" s="32"/>
      <c r="K18" s="32"/>
      <c r="L18" s="33"/>
      <c r="M18" s="36"/>
    </row>
    <row r="19" spans="1:13">
      <c r="A19" s="31" t="s">
        <v>201</v>
      </c>
      <c r="B19" s="32" t="s">
        <v>47</v>
      </c>
      <c r="C19" s="33"/>
      <c r="D19" s="33"/>
      <c r="E19" s="33"/>
      <c r="F19" s="33"/>
      <c r="G19" s="33"/>
      <c r="H19" s="172"/>
      <c r="I19" s="35"/>
      <c r="J19" s="32"/>
      <c r="K19" s="32"/>
      <c r="L19" s="33"/>
      <c r="M19" s="36"/>
    </row>
    <row r="20" spans="1:13">
      <c r="A20" s="31" t="s">
        <v>202</v>
      </c>
      <c r="B20" s="32" t="s">
        <v>49</v>
      </c>
      <c r="C20" s="33"/>
      <c r="D20" s="37" t="s">
        <v>203</v>
      </c>
      <c r="E20" s="33"/>
      <c r="F20" s="33"/>
      <c r="G20" s="33"/>
      <c r="H20" s="172"/>
      <c r="I20" s="35"/>
      <c r="J20" s="32"/>
      <c r="K20" s="32"/>
      <c r="L20" s="33"/>
      <c r="M20" s="36"/>
    </row>
    <row r="21" spans="1:13" ht="15" thickBot="1">
      <c r="A21" s="38" t="s">
        <v>204</v>
      </c>
      <c r="B21" s="39" t="s">
        <v>51</v>
      </c>
      <c r="C21" s="40"/>
      <c r="D21" s="40"/>
      <c r="E21" s="40"/>
      <c r="F21" s="40"/>
      <c r="G21" s="40"/>
      <c r="H21" s="173"/>
      <c r="I21" s="41"/>
      <c r="J21" s="39"/>
      <c r="K21" s="39"/>
      <c r="L21" s="40"/>
      <c r="M21" s="42"/>
    </row>
    <row r="22" spans="1:13">
      <c r="A22" s="43" t="s">
        <v>205</v>
      </c>
      <c r="B22" s="44" t="s">
        <v>55</v>
      </c>
      <c r="C22" s="45"/>
      <c r="D22" s="46"/>
      <c r="E22" s="45"/>
      <c r="F22" s="45"/>
      <c r="G22" s="47"/>
      <c r="H22" s="175" t="s">
        <v>206</v>
      </c>
      <c r="I22" s="45"/>
      <c r="J22" s="44"/>
      <c r="K22" s="44"/>
      <c r="L22" s="45"/>
      <c r="M22" s="48"/>
    </row>
    <row r="23" spans="1:13">
      <c r="A23" s="49" t="s">
        <v>207</v>
      </c>
      <c r="B23" s="50" t="s">
        <v>57</v>
      </c>
      <c r="C23" s="51"/>
      <c r="D23" s="51"/>
      <c r="E23" s="51"/>
      <c r="F23" s="51"/>
      <c r="G23" s="52"/>
      <c r="H23" s="176"/>
      <c r="I23" s="51"/>
      <c r="J23" s="50"/>
      <c r="K23" s="50"/>
      <c r="L23" s="51"/>
      <c r="M23" s="53"/>
    </row>
    <row r="24" spans="1:13">
      <c r="A24" s="49" t="s">
        <v>208</v>
      </c>
      <c r="B24" s="50" t="s">
        <v>59</v>
      </c>
      <c r="C24" s="51"/>
      <c r="D24" s="54" t="s">
        <v>209</v>
      </c>
      <c r="E24" s="51"/>
      <c r="F24" s="51"/>
      <c r="G24" s="52"/>
      <c r="H24" s="176"/>
      <c r="I24" s="51"/>
      <c r="J24" s="50"/>
      <c r="K24" s="50"/>
      <c r="L24" s="51"/>
      <c r="M24" s="53"/>
    </row>
    <row r="25" spans="1:13">
      <c r="A25" s="49" t="s">
        <v>210</v>
      </c>
      <c r="B25" s="50" t="s">
        <v>61</v>
      </c>
      <c r="C25" s="51"/>
      <c r="D25" s="51"/>
      <c r="E25" s="51"/>
      <c r="F25" s="51"/>
      <c r="G25" s="52"/>
      <c r="H25" s="176"/>
      <c r="I25" s="51"/>
      <c r="J25" s="50"/>
      <c r="K25" s="50"/>
      <c r="L25" s="51"/>
      <c r="M25" s="53"/>
    </row>
    <row r="26" spans="1:13">
      <c r="A26" s="49" t="s">
        <v>211</v>
      </c>
      <c r="B26" s="50" t="s">
        <v>63</v>
      </c>
      <c r="C26" s="51"/>
      <c r="D26" s="51"/>
      <c r="E26" s="51"/>
      <c r="F26" s="51"/>
      <c r="G26" s="52"/>
      <c r="H26" s="176"/>
      <c r="I26" s="51"/>
      <c r="J26" s="50"/>
      <c r="K26" s="50"/>
      <c r="L26" s="51"/>
      <c r="M26" s="53"/>
    </row>
    <row r="27" spans="1:13">
      <c r="A27" s="55" t="s">
        <v>212</v>
      </c>
      <c r="B27" s="56" t="s">
        <v>67</v>
      </c>
      <c r="C27" s="57"/>
      <c r="D27" s="58"/>
      <c r="E27" s="57"/>
      <c r="F27" s="57"/>
      <c r="G27" s="59"/>
      <c r="H27" s="176"/>
      <c r="I27" s="57"/>
      <c r="J27" s="56"/>
      <c r="K27" s="56"/>
      <c r="L27" s="57"/>
      <c r="M27" s="60"/>
    </row>
    <row r="28" spans="1:13">
      <c r="A28" s="55" t="s">
        <v>213</v>
      </c>
      <c r="B28" s="56" t="s">
        <v>69</v>
      </c>
      <c r="C28" s="57"/>
      <c r="D28" s="57"/>
      <c r="E28" s="57"/>
      <c r="F28" s="57"/>
      <c r="G28" s="59"/>
      <c r="H28" s="176"/>
      <c r="I28" s="57"/>
      <c r="J28" s="56"/>
      <c r="K28" s="56"/>
      <c r="L28" s="57"/>
      <c r="M28" s="60"/>
    </row>
    <row r="29" spans="1:13">
      <c r="A29" s="55" t="s">
        <v>214</v>
      </c>
      <c r="B29" s="56" t="s">
        <v>71</v>
      </c>
      <c r="C29" s="57"/>
      <c r="D29" s="61" t="s">
        <v>215</v>
      </c>
      <c r="E29" s="57"/>
      <c r="F29" s="57"/>
      <c r="G29" s="59"/>
      <c r="H29" s="176"/>
      <c r="I29" s="57"/>
      <c r="J29" s="56"/>
      <c r="K29" s="56"/>
      <c r="L29" s="57"/>
      <c r="M29" s="60"/>
    </row>
    <row r="30" spans="1:13">
      <c r="A30" s="55" t="s">
        <v>216</v>
      </c>
      <c r="B30" s="56" t="s">
        <v>73</v>
      </c>
      <c r="C30" s="57"/>
      <c r="D30" s="57"/>
      <c r="E30" s="57"/>
      <c r="F30" s="57"/>
      <c r="G30" s="59"/>
      <c r="H30" s="176"/>
      <c r="I30" s="57"/>
      <c r="J30" s="56"/>
      <c r="K30" s="56"/>
      <c r="L30" s="57"/>
      <c r="M30" s="60"/>
    </row>
    <row r="31" spans="1:13" ht="15" thickBot="1">
      <c r="A31" s="62" t="s">
        <v>217</v>
      </c>
      <c r="B31" s="63" t="s">
        <v>75</v>
      </c>
      <c r="C31" s="64"/>
      <c r="D31" s="64"/>
      <c r="E31" s="64"/>
      <c r="F31" s="64"/>
      <c r="G31" s="65"/>
      <c r="H31" s="177"/>
      <c r="I31" s="64"/>
      <c r="J31" s="63"/>
      <c r="K31" s="63"/>
      <c r="L31" s="64"/>
      <c r="M31" s="66"/>
    </row>
    <row r="32" spans="1:13">
      <c r="A32" s="67" t="s">
        <v>218</v>
      </c>
      <c r="B32" s="68" t="s">
        <v>79</v>
      </c>
      <c r="C32" s="69"/>
      <c r="D32" s="70"/>
      <c r="E32" s="71"/>
      <c r="F32" s="71"/>
      <c r="G32" s="72"/>
      <c r="H32" s="178" t="s">
        <v>219</v>
      </c>
      <c r="I32" s="71"/>
      <c r="J32" s="70"/>
      <c r="K32" s="70"/>
      <c r="L32" s="71"/>
      <c r="M32" s="73"/>
    </row>
    <row r="33" spans="1:13">
      <c r="A33" s="74" t="s">
        <v>220</v>
      </c>
      <c r="B33" s="75" t="s">
        <v>81</v>
      </c>
      <c r="C33" s="76"/>
      <c r="D33" s="76"/>
      <c r="E33" s="76"/>
      <c r="F33" s="76"/>
      <c r="G33" s="77"/>
      <c r="H33" s="179"/>
      <c r="I33" s="76"/>
      <c r="J33" s="75"/>
      <c r="K33" s="75"/>
      <c r="L33" s="76"/>
      <c r="M33" s="78"/>
    </row>
    <row r="34" spans="1:13">
      <c r="A34" s="74" t="s">
        <v>221</v>
      </c>
      <c r="B34" s="75" t="s">
        <v>83</v>
      </c>
      <c r="C34" s="76"/>
      <c r="D34" s="79" t="s">
        <v>222</v>
      </c>
      <c r="E34" s="76"/>
      <c r="F34" s="76"/>
      <c r="G34" s="77"/>
      <c r="H34" s="179"/>
      <c r="I34" s="76"/>
      <c r="J34" s="75"/>
      <c r="K34" s="75"/>
      <c r="L34" s="76"/>
      <c r="M34" s="78"/>
    </row>
    <row r="35" spans="1:13">
      <c r="A35" s="74" t="s">
        <v>223</v>
      </c>
      <c r="B35" s="75" t="s">
        <v>85</v>
      </c>
      <c r="C35" s="76"/>
      <c r="D35" s="76"/>
      <c r="E35" s="76"/>
      <c r="F35" s="76"/>
      <c r="G35" s="77"/>
      <c r="H35" s="179"/>
      <c r="I35" s="76"/>
      <c r="J35" s="75"/>
      <c r="K35" s="75"/>
      <c r="L35" s="76"/>
      <c r="M35" s="78"/>
    </row>
    <row r="36" spans="1:13">
      <c r="A36" s="74" t="s">
        <v>224</v>
      </c>
      <c r="B36" s="75" t="s">
        <v>87</v>
      </c>
      <c r="C36" s="76"/>
      <c r="D36" s="76"/>
      <c r="E36" s="76"/>
      <c r="F36" s="76"/>
      <c r="G36" s="77"/>
      <c r="H36" s="179"/>
      <c r="I36" s="76"/>
      <c r="J36" s="75"/>
      <c r="K36" s="75"/>
      <c r="L36" s="76"/>
      <c r="M36" s="78"/>
    </row>
    <row r="37" spans="1:13">
      <c r="A37" s="80" t="s">
        <v>225</v>
      </c>
      <c r="B37" s="81" t="s">
        <v>91</v>
      </c>
      <c r="C37" s="82"/>
      <c r="D37" s="83"/>
      <c r="E37" s="82"/>
      <c r="F37" s="82"/>
      <c r="G37" s="84"/>
      <c r="H37" s="179"/>
      <c r="I37" s="82"/>
      <c r="J37" s="81"/>
      <c r="K37" s="81"/>
      <c r="L37" s="82"/>
      <c r="M37" s="85"/>
    </row>
    <row r="38" spans="1:13">
      <c r="A38" s="80" t="s">
        <v>226</v>
      </c>
      <c r="B38" s="81" t="s">
        <v>93</v>
      </c>
      <c r="C38" s="82"/>
      <c r="D38" s="86" t="s">
        <v>227</v>
      </c>
      <c r="E38" s="82"/>
      <c r="F38" s="82"/>
      <c r="G38" s="84"/>
      <c r="H38" s="179"/>
      <c r="I38" s="82"/>
      <c r="J38" s="81"/>
      <c r="K38" s="81"/>
      <c r="L38" s="82"/>
      <c r="M38" s="85"/>
    </row>
    <row r="39" spans="1:13">
      <c r="A39" s="80" t="s">
        <v>228</v>
      </c>
      <c r="B39" s="81" t="s">
        <v>95</v>
      </c>
      <c r="C39" s="82"/>
      <c r="D39" s="82"/>
      <c r="E39" s="82"/>
      <c r="F39" s="82"/>
      <c r="G39" s="84"/>
      <c r="H39" s="179"/>
      <c r="I39" s="82"/>
      <c r="J39" s="81"/>
      <c r="K39" s="81"/>
      <c r="L39" s="82"/>
      <c r="M39" s="85"/>
    </row>
    <row r="40" spans="1:13">
      <c r="A40" s="87" t="s">
        <v>229</v>
      </c>
      <c r="B40" s="88" t="s">
        <v>99</v>
      </c>
      <c r="C40" s="89"/>
      <c r="D40" s="90"/>
      <c r="E40" s="91"/>
      <c r="F40" s="91"/>
      <c r="G40" s="92"/>
      <c r="H40" s="179"/>
      <c r="I40" s="89"/>
      <c r="J40" s="88"/>
      <c r="K40" s="88"/>
      <c r="L40" s="89"/>
      <c r="M40" s="93"/>
    </row>
    <row r="41" spans="1:13">
      <c r="A41" s="87" t="s">
        <v>230</v>
      </c>
      <c r="B41" s="88" t="s">
        <v>101</v>
      </c>
      <c r="C41" s="89"/>
      <c r="D41" s="89"/>
      <c r="E41" s="89"/>
      <c r="F41" s="89"/>
      <c r="G41" s="92"/>
      <c r="H41" s="179"/>
      <c r="I41" s="89"/>
      <c r="J41" s="88"/>
      <c r="K41" s="88"/>
      <c r="L41" s="89"/>
      <c r="M41" s="93"/>
    </row>
    <row r="42" spans="1:13">
      <c r="A42" s="87" t="s">
        <v>231</v>
      </c>
      <c r="B42" s="88" t="s">
        <v>103</v>
      </c>
      <c r="C42" s="89"/>
      <c r="D42" s="90" t="s">
        <v>232</v>
      </c>
      <c r="E42" s="89"/>
      <c r="F42" s="89"/>
      <c r="G42" s="92"/>
      <c r="H42" s="179"/>
      <c r="I42" s="89"/>
      <c r="J42" s="88"/>
      <c r="K42" s="88"/>
      <c r="L42" s="89"/>
      <c r="M42" s="93"/>
    </row>
    <row r="43" spans="1:13">
      <c r="A43" s="87" t="s">
        <v>233</v>
      </c>
      <c r="B43" s="88" t="s">
        <v>105</v>
      </c>
      <c r="C43" s="89"/>
      <c r="D43" s="89"/>
      <c r="E43" s="89"/>
      <c r="F43" s="89"/>
      <c r="G43" s="92"/>
      <c r="H43" s="179"/>
      <c r="I43" s="89"/>
      <c r="J43" s="88"/>
      <c r="K43" s="88"/>
      <c r="L43" s="89"/>
      <c r="M43" s="93"/>
    </row>
    <row r="44" spans="1:13" ht="15" thickBot="1">
      <c r="A44" s="94" t="s">
        <v>234</v>
      </c>
      <c r="B44" s="95" t="s">
        <v>107</v>
      </c>
      <c r="C44" s="96"/>
      <c r="D44" s="96"/>
      <c r="E44" s="96"/>
      <c r="F44" s="96"/>
      <c r="G44" s="97"/>
      <c r="H44" s="180"/>
      <c r="I44" s="96"/>
      <c r="J44" s="95"/>
      <c r="K44" s="95"/>
      <c r="L44" s="96"/>
      <c r="M44" s="98"/>
    </row>
    <row r="45" spans="1:13">
      <c r="A45" s="67" t="s">
        <v>235</v>
      </c>
      <c r="B45" s="68" t="s">
        <v>236</v>
      </c>
      <c r="C45" s="69"/>
      <c r="D45" s="69"/>
      <c r="E45" s="99"/>
      <c r="F45" s="69"/>
      <c r="G45" s="69"/>
      <c r="H45" s="171" t="s">
        <v>237</v>
      </c>
      <c r="I45" s="69"/>
      <c r="J45" s="68"/>
      <c r="K45" s="68"/>
      <c r="L45" s="69"/>
      <c r="M45" s="100"/>
    </row>
    <row r="46" spans="1:13">
      <c r="A46" s="74" t="s">
        <v>238</v>
      </c>
      <c r="B46" s="75" t="s">
        <v>239</v>
      </c>
      <c r="C46" s="76"/>
      <c r="D46" s="76"/>
      <c r="E46" s="76"/>
      <c r="F46" s="76"/>
      <c r="G46" s="76"/>
      <c r="H46" s="172"/>
      <c r="I46" s="76"/>
      <c r="J46" s="75"/>
      <c r="K46" s="75"/>
      <c r="L46" s="76"/>
      <c r="M46" s="78"/>
    </row>
    <row r="47" spans="1:13">
      <c r="A47" s="74" t="s">
        <v>240</v>
      </c>
      <c r="B47" s="75" t="s">
        <v>115</v>
      </c>
      <c r="C47" s="76"/>
      <c r="D47" s="76"/>
      <c r="E47" s="76"/>
      <c r="F47" s="76"/>
      <c r="G47" s="76"/>
      <c r="H47" s="172"/>
      <c r="I47" s="76"/>
      <c r="J47" s="75"/>
      <c r="K47" s="75"/>
      <c r="L47" s="76"/>
      <c r="M47" s="78"/>
    </row>
    <row r="48" spans="1:13">
      <c r="A48" s="74" t="s">
        <v>241</v>
      </c>
      <c r="B48" s="75" t="s">
        <v>117</v>
      </c>
      <c r="C48" s="76"/>
      <c r="D48" s="76"/>
      <c r="E48" s="76"/>
      <c r="F48" s="76"/>
      <c r="G48" s="76"/>
      <c r="H48" s="172"/>
      <c r="I48" s="76"/>
      <c r="J48" s="75"/>
      <c r="K48" s="75"/>
      <c r="L48" s="76"/>
      <c r="M48" s="78"/>
    </row>
    <row r="49" spans="1:13">
      <c r="A49" s="74" t="s">
        <v>242</v>
      </c>
      <c r="B49" s="75" t="s">
        <v>119</v>
      </c>
      <c r="C49" s="76"/>
      <c r="D49" s="76"/>
      <c r="E49" s="101" t="s">
        <v>243</v>
      </c>
      <c r="F49" s="76"/>
      <c r="G49" s="76"/>
      <c r="H49" s="172"/>
      <c r="I49" s="76"/>
      <c r="J49" s="75"/>
      <c r="K49" s="75"/>
      <c r="L49" s="76"/>
      <c r="M49" s="78"/>
    </row>
    <row r="50" spans="1:13">
      <c r="A50" s="74" t="s">
        <v>244</v>
      </c>
      <c r="B50" s="75" t="s">
        <v>121</v>
      </c>
      <c r="C50" s="76"/>
      <c r="D50" s="76"/>
      <c r="E50" s="76"/>
      <c r="F50" s="76"/>
      <c r="G50" s="76"/>
      <c r="H50" s="172"/>
      <c r="I50" s="76"/>
      <c r="J50" s="75"/>
      <c r="K50" s="75"/>
      <c r="L50" s="76"/>
      <c r="M50" s="78"/>
    </row>
    <row r="51" spans="1:13">
      <c r="A51" s="74" t="s">
        <v>245</v>
      </c>
      <c r="B51" s="75" t="s">
        <v>123</v>
      </c>
      <c r="C51" s="76"/>
      <c r="D51" s="76"/>
      <c r="E51" s="76"/>
      <c r="F51" s="76"/>
      <c r="G51" s="76"/>
      <c r="H51" s="172"/>
      <c r="I51" s="76"/>
      <c r="J51" s="75"/>
      <c r="K51" s="75"/>
      <c r="L51" s="76"/>
      <c r="M51" s="78"/>
    </row>
    <row r="52" spans="1:13" ht="15" thickBot="1">
      <c r="A52" s="102" t="s">
        <v>246</v>
      </c>
      <c r="B52" s="103" t="s">
        <v>125</v>
      </c>
      <c r="C52" s="104"/>
      <c r="D52" s="104"/>
      <c r="E52" s="104"/>
      <c r="F52" s="104"/>
      <c r="G52" s="104"/>
      <c r="H52" s="173"/>
      <c r="I52" s="104"/>
      <c r="J52" s="103"/>
      <c r="K52" s="103"/>
      <c r="L52" s="104"/>
      <c r="M52" s="105"/>
    </row>
    <row r="53" spans="1:13">
      <c r="A53" s="10" t="s">
        <v>247</v>
      </c>
      <c r="B53" s="106" t="s">
        <v>129</v>
      </c>
      <c r="C53" s="12"/>
      <c r="D53" s="107"/>
      <c r="E53" s="12"/>
      <c r="F53" s="12"/>
      <c r="G53" s="12"/>
      <c r="H53" s="168" t="s">
        <v>248</v>
      </c>
      <c r="I53" s="12"/>
      <c r="J53" s="106"/>
      <c r="K53" s="106"/>
      <c r="L53" s="12"/>
      <c r="M53" s="15"/>
    </row>
    <row r="54" spans="1:13">
      <c r="A54" s="16" t="s">
        <v>249</v>
      </c>
      <c r="B54" s="108" t="s">
        <v>131</v>
      </c>
      <c r="C54" s="18"/>
      <c r="D54" s="18"/>
      <c r="E54" s="18"/>
      <c r="F54" s="18"/>
      <c r="G54" s="18"/>
      <c r="H54" s="169"/>
      <c r="I54" s="18"/>
      <c r="J54" s="108"/>
      <c r="K54" s="108"/>
      <c r="L54" s="18"/>
      <c r="M54" s="20"/>
    </row>
    <row r="55" spans="1:13">
      <c r="A55" s="16" t="s">
        <v>250</v>
      </c>
      <c r="B55" s="108" t="s">
        <v>133</v>
      </c>
      <c r="C55" s="18"/>
      <c r="D55" s="109" t="s">
        <v>251</v>
      </c>
      <c r="E55" s="18"/>
      <c r="F55" s="18"/>
      <c r="G55" s="18"/>
      <c r="H55" s="169"/>
      <c r="I55" s="18"/>
      <c r="J55" s="108"/>
      <c r="K55" s="108"/>
      <c r="L55" s="18"/>
      <c r="M55" s="20"/>
    </row>
    <row r="56" spans="1:13">
      <c r="A56" s="16" t="s">
        <v>252</v>
      </c>
      <c r="B56" s="108" t="s">
        <v>135</v>
      </c>
      <c r="C56" s="18"/>
      <c r="D56" s="18"/>
      <c r="E56" s="18"/>
      <c r="F56" s="18"/>
      <c r="G56" s="18"/>
      <c r="H56" s="169"/>
      <c r="I56" s="18"/>
      <c r="J56" s="108"/>
      <c r="K56" s="108"/>
      <c r="L56" s="18"/>
      <c r="M56" s="20"/>
    </row>
    <row r="57" spans="1:13">
      <c r="A57" s="16" t="s">
        <v>253</v>
      </c>
      <c r="B57" s="108" t="s">
        <v>137</v>
      </c>
      <c r="C57" s="18"/>
      <c r="D57" s="18"/>
      <c r="E57" s="18"/>
      <c r="F57" s="18"/>
      <c r="G57" s="18"/>
      <c r="H57" s="169"/>
      <c r="I57" s="18"/>
      <c r="J57" s="108"/>
      <c r="K57" s="108"/>
      <c r="L57" s="18"/>
      <c r="M57" s="20"/>
    </row>
    <row r="58" spans="1:13">
      <c r="A58" s="55" t="s">
        <v>254</v>
      </c>
      <c r="B58" s="56" t="s">
        <v>141</v>
      </c>
      <c r="C58" s="57"/>
      <c r="D58" s="58"/>
      <c r="E58" s="57"/>
      <c r="F58" s="57"/>
      <c r="G58" s="57"/>
      <c r="H58" s="169"/>
      <c r="I58" s="57"/>
      <c r="J58" s="56"/>
      <c r="K58" s="56"/>
      <c r="L58" s="57"/>
      <c r="M58" s="60"/>
    </row>
    <row r="59" spans="1:13">
      <c r="A59" s="55" t="s">
        <v>255</v>
      </c>
      <c r="B59" s="56" t="s">
        <v>143</v>
      </c>
      <c r="C59" s="57"/>
      <c r="D59" s="57"/>
      <c r="E59" s="57"/>
      <c r="F59" s="57"/>
      <c r="G59" s="57"/>
      <c r="H59" s="169"/>
      <c r="I59" s="57"/>
      <c r="J59" s="56"/>
      <c r="K59" s="56"/>
      <c r="L59" s="57"/>
      <c r="M59" s="60"/>
    </row>
    <row r="60" spans="1:13">
      <c r="A60" s="55" t="s">
        <v>256</v>
      </c>
      <c r="B60" s="56" t="s">
        <v>145</v>
      </c>
      <c r="C60" s="57"/>
      <c r="D60" s="57"/>
      <c r="E60" s="57"/>
      <c r="F60" s="57"/>
      <c r="G60" s="57"/>
      <c r="H60" s="169"/>
      <c r="I60" s="57"/>
      <c r="J60" s="56"/>
      <c r="K60" s="56"/>
      <c r="L60" s="57"/>
      <c r="M60" s="60"/>
    </row>
    <row r="61" spans="1:13">
      <c r="A61" s="55" t="s">
        <v>257</v>
      </c>
      <c r="B61" s="56" t="s">
        <v>147</v>
      </c>
      <c r="C61" s="57"/>
      <c r="D61" s="57"/>
      <c r="E61" s="57"/>
      <c r="F61" s="57"/>
      <c r="G61" s="57"/>
      <c r="H61" s="169"/>
      <c r="I61" s="57"/>
      <c r="J61" s="56"/>
      <c r="K61" s="56"/>
      <c r="L61" s="57"/>
      <c r="M61" s="60"/>
    </row>
    <row r="62" spans="1:13">
      <c r="A62" s="55" t="s">
        <v>258</v>
      </c>
      <c r="B62" s="56" t="s">
        <v>149</v>
      </c>
      <c r="C62" s="57"/>
      <c r="D62" s="57"/>
      <c r="E62" s="57"/>
      <c r="F62" s="57"/>
      <c r="G62" s="57"/>
      <c r="H62" s="169"/>
      <c r="I62" s="57"/>
      <c r="J62" s="56"/>
      <c r="K62" s="56"/>
      <c r="L62" s="57"/>
      <c r="M62" s="60"/>
    </row>
    <row r="63" spans="1:13">
      <c r="A63" s="55" t="s">
        <v>259</v>
      </c>
      <c r="B63" s="56" t="s">
        <v>151</v>
      </c>
      <c r="C63" s="57"/>
      <c r="D63" s="61" t="s">
        <v>260</v>
      </c>
      <c r="E63" s="57"/>
      <c r="F63" s="57"/>
      <c r="G63" s="57"/>
      <c r="H63" s="169"/>
      <c r="I63" s="57"/>
      <c r="J63" s="56"/>
      <c r="K63" s="56"/>
      <c r="L63" s="57"/>
      <c r="M63" s="60"/>
    </row>
    <row r="64" spans="1:13">
      <c r="A64" s="55" t="s">
        <v>261</v>
      </c>
      <c r="B64" s="56" t="s">
        <v>153</v>
      </c>
      <c r="C64" s="57"/>
      <c r="D64" s="57"/>
      <c r="E64" s="57"/>
      <c r="F64" s="57"/>
      <c r="G64" s="57"/>
      <c r="H64" s="169"/>
      <c r="I64" s="57"/>
      <c r="J64" s="56"/>
      <c r="K64" s="56"/>
      <c r="L64" s="57"/>
      <c r="M64" s="60"/>
    </row>
    <row r="65" spans="1:13">
      <c r="A65" s="55" t="s">
        <v>262</v>
      </c>
      <c r="B65" s="56" t="s">
        <v>155</v>
      </c>
      <c r="C65" s="57"/>
      <c r="D65" s="57"/>
      <c r="E65" s="57"/>
      <c r="F65" s="57"/>
      <c r="G65" s="57"/>
      <c r="H65" s="169"/>
      <c r="I65" s="57"/>
      <c r="J65" s="56"/>
      <c r="K65" s="56"/>
      <c r="L65" s="57"/>
      <c r="M65" s="60"/>
    </row>
    <row r="66" spans="1:13">
      <c r="A66" s="55" t="s">
        <v>263</v>
      </c>
      <c r="B66" s="56" t="s">
        <v>157</v>
      </c>
      <c r="C66" s="57"/>
      <c r="D66" s="57"/>
      <c r="E66" s="57"/>
      <c r="F66" s="57"/>
      <c r="G66" s="57"/>
      <c r="H66" s="169"/>
      <c r="I66" s="57"/>
      <c r="J66" s="56"/>
      <c r="K66" s="56"/>
      <c r="L66" s="57"/>
      <c r="M66" s="60"/>
    </row>
    <row r="67" spans="1:13">
      <c r="A67" s="55" t="s">
        <v>264</v>
      </c>
      <c r="B67" s="56" t="s">
        <v>159</v>
      </c>
      <c r="C67" s="57"/>
      <c r="D67" s="57"/>
      <c r="E67" s="57"/>
      <c r="F67" s="57"/>
      <c r="G67" s="57"/>
      <c r="H67" s="169"/>
      <c r="I67" s="57"/>
      <c r="J67" s="56"/>
      <c r="K67" s="56"/>
      <c r="L67" s="57"/>
      <c r="M67" s="60"/>
    </row>
    <row r="68" spans="1:13">
      <c r="A68" s="55" t="s">
        <v>265</v>
      </c>
      <c r="B68" s="56" t="s">
        <v>161</v>
      </c>
      <c r="C68" s="57"/>
      <c r="D68" s="57"/>
      <c r="E68" s="57"/>
      <c r="F68" s="57"/>
      <c r="G68" s="57"/>
      <c r="H68" s="169"/>
      <c r="I68" s="57"/>
      <c r="J68" s="56"/>
      <c r="K68" s="56"/>
      <c r="L68" s="57"/>
      <c r="M68" s="60"/>
    </row>
    <row r="69" spans="1:13">
      <c r="A69" s="55" t="s">
        <v>266</v>
      </c>
      <c r="B69" s="56" t="s">
        <v>163</v>
      </c>
      <c r="C69" s="57"/>
      <c r="D69" s="57"/>
      <c r="E69" s="57"/>
      <c r="F69" s="57"/>
      <c r="G69" s="57"/>
      <c r="H69" s="169"/>
      <c r="I69" s="57"/>
      <c r="J69" s="56"/>
      <c r="K69" s="56"/>
      <c r="L69" s="57"/>
      <c r="M69" s="60"/>
    </row>
    <row r="70" spans="1:13" ht="15" thickBot="1">
      <c r="A70" s="62" t="s">
        <v>267</v>
      </c>
      <c r="B70" s="63" t="s">
        <v>165</v>
      </c>
      <c r="C70" s="64"/>
      <c r="D70" s="64"/>
      <c r="E70" s="64"/>
      <c r="F70" s="64"/>
      <c r="G70" s="64"/>
      <c r="H70" s="170"/>
      <c r="I70" s="64"/>
      <c r="J70" s="63"/>
      <c r="K70" s="63"/>
      <c r="L70" s="64"/>
      <c r="M70" s="66"/>
    </row>
    <row r="71" spans="1:13">
      <c r="A71" s="110" t="s">
        <v>268</v>
      </c>
      <c r="B71" s="111" t="s">
        <v>169</v>
      </c>
      <c r="C71" s="112"/>
      <c r="D71" s="113"/>
      <c r="E71" s="112"/>
      <c r="F71" s="112"/>
      <c r="G71" s="24"/>
      <c r="H71" s="112"/>
      <c r="I71" s="112"/>
      <c r="J71" s="114"/>
      <c r="K71" s="114"/>
      <c r="L71" s="112"/>
      <c r="M71" s="115"/>
    </row>
    <row r="72" spans="1:13">
      <c r="A72" s="22" t="s">
        <v>269</v>
      </c>
      <c r="B72" s="111" t="s">
        <v>171</v>
      </c>
      <c r="C72" s="24"/>
      <c r="D72" s="24"/>
      <c r="E72" s="24"/>
      <c r="F72" s="24"/>
      <c r="G72" s="24"/>
      <c r="H72" s="116" t="s">
        <v>270</v>
      </c>
      <c r="I72" s="117"/>
      <c r="J72" s="118"/>
      <c r="K72" s="118"/>
      <c r="L72" s="24"/>
      <c r="M72" s="27"/>
    </row>
    <row r="73" spans="1:13">
      <c r="A73" s="22" t="s">
        <v>271</v>
      </c>
      <c r="B73" s="111" t="s">
        <v>173</v>
      </c>
      <c r="C73" s="24"/>
      <c r="D73" s="30" t="s">
        <v>272</v>
      </c>
      <c r="E73" s="24"/>
      <c r="F73" s="29"/>
      <c r="G73" s="24"/>
      <c r="H73" s="24"/>
      <c r="I73" s="24"/>
      <c r="J73" s="28"/>
      <c r="K73" s="28"/>
      <c r="L73" s="24"/>
      <c r="M73" s="27"/>
    </row>
    <row r="74" spans="1:13" ht="15" thickBot="1">
      <c r="A74" s="119" t="s">
        <v>273</v>
      </c>
      <c r="B74" s="111" t="s">
        <v>175</v>
      </c>
      <c r="C74" s="120"/>
      <c r="D74" s="120"/>
      <c r="E74" s="120"/>
      <c r="F74" s="120"/>
      <c r="G74" s="120"/>
      <c r="H74" s="120"/>
      <c r="I74" s="120"/>
      <c r="J74" s="121"/>
      <c r="K74" s="121"/>
      <c r="L74" s="120"/>
      <c r="M74" s="122"/>
    </row>
    <row r="75" spans="1:13" ht="15" thickBot="1">
      <c r="A75" s="123" t="s">
        <v>274</v>
      </c>
      <c r="B75" s="124" t="s">
        <v>275</v>
      </c>
      <c r="C75" s="125"/>
      <c r="D75" s="126" t="s">
        <v>276</v>
      </c>
      <c r="E75" s="125"/>
      <c r="F75" s="125"/>
      <c r="G75" s="125"/>
      <c r="H75" s="125"/>
      <c r="I75" s="125"/>
      <c r="J75" s="127"/>
      <c r="K75" s="127"/>
      <c r="L75" s="125"/>
      <c r="M75" s="128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V112"/>
  <sheetViews>
    <sheetView showGridLines="0" tabSelected="1" topLeftCell="A13" zoomScale="120" zoomScaleNormal="120" workbookViewId="0">
      <selection activeCell="A40" sqref="A40:A41"/>
    </sheetView>
  </sheetViews>
  <sheetFormatPr defaultRowHeight="10.199999999999999"/>
  <cols>
    <col min="1" max="1" width="36.6640625" style="1" customWidth="1"/>
    <col min="2" max="2" width="7.33203125" style="1" bestFit="1" customWidth="1"/>
    <col min="3" max="4" width="6.21875" style="1" bestFit="1" customWidth="1"/>
    <col min="5" max="5" width="5.44140625" style="1" bestFit="1" customWidth="1"/>
    <col min="6" max="8" width="6.21875" style="1" bestFit="1" customWidth="1"/>
    <col min="9" max="9" width="5.44140625" style="1" bestFit="1" customWidth="1"/>
    <col min="10" max="10" width="6.21875" style="1" bestFit="1" customWidth="1"/>
    <col min="11" max="11" width="5.44140625" style="1" bestFit="1" customWidth="1"/>
    <col min="12" max="14" width="6.21875" style="1" bestFit="1" customWidth="1"/>
    <col min="15" max="16" width="6.44140625" style="1" customWidth="1"/>
    <col min="17" max="17" width="10.88671875" style="1" customWidth="1"/>
    <col min="18" max="18" width="11.6640625" style="1" customWidth="1"/>
    <col min="19" max="19" width="10" style="1" customWidth="1"/>
    <col min="20" max="20" width="6.44140625" style="1" customWidth="1"/>
    <col min="21" max="16384" width="8.88671875" style="1"/>
  </cols>
  <sheetData>
    <row r="2" spans="1:22" s="166" customFormat="1" ht="14.4" customHeight="1">
      <c r="B2" s="224" t="s">
        <v>296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67"/>
      <c r="T2" s="167"/>
      <c r="U2" s="167"/>
    </row>
    <row r="3" spans="1:22" s="166" customFormat="1" ht="14.4" customHeight="1">
      <c r="A3" s="167"/>
      <c r="B3" s="224" t="s">
        <v>297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167"/>
      <c r="T3" s="167"/>
      <c r="U3" s="167"/>
    </row>
    <row r="4" spans="1:22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2"/>
      <c r="U4" s="132"/>
    </row>
    <row r="5" spans="1:22" ht="10.8" thickBot="1">
      <c r="A5" s="181" t="s">
        <v>0</v>
      </c>
      <c r="B5" s="182"/>
      <c r="C5" s="182"/>
      <c r="D5" s="182"/>
      <c r="E5" s="182"/>
      <c r="F5" s="182"/>
      <c r="G5" s="165"/>
      <c r="H5" s="165"/>
      <c r="I5" s="165"/>
      <c r="J5" s="165"/>
      <c r="K5" s="165"/>
      <c r="L5" s="165"/>
      <c r="M5" s="183" t="s">
        <v>1</v>
      </c>
      <c r="N5" s="183"/>
      <c r="O5" s="183"/>
      <c r="P5" s="183"/>
      <c r="Q5" s="183"/>
      <c r="R5" s="183"/>
      <c r="S5" s="183"/>
      <c r="T5" s="130"/>
    </row>
    <row r="6" spans="1:22" ht="13.8" customHeight="1">
      <c r="A6" s="228" t="s">
        <v>277</v>
      </c>
      <c r="B6" s="212" t="s">
        <v>298</v>
      </c>
      <c r="C6" s="184" t="s">
        <v>288</v>
      </c>
      <c r="D6" s="195"/>
      <c r="E6" s="198" t="s">
        <v>287</v>
      </c>
      <c r="F6" s="199"/>
      <c r="G6" s="184" t="s">
        <v>291</v>
      </c>
      <c r="H6" s="204"/>
      <c r="I6" s="204"/>
      <c r="J6" s="204"/>
      <c r="K6" s="204"/>
      <c r="L6" s="204"/>
      <c r="M6" s="204"/>
      <c r="N6" s="195"/>
      <c r="O6" s="184" t="s">
        <v>286</v>
      </c>
      <c r="P6" s="185"/>
      <c r="Q6" s="227" t="s">
        <v>2</v>
      </c>
      <c r="R6" s="228"/>
      <c r="S6" s="228"/>
      <c r="T6" s="130"/>
      <c r="U6" s="130"/>
      <c r="V6" s="130"/>
    </row>
    <row r="7" spans="1:22" ht="10.199999999999999" customHeight="1">
      <c r="A7" s="233"/>
      <c r="B7" s="213"/>
      <c r="C7" s="186"/>
      <c r="D7" s="196"/>
      <c r="E7" s="200"/>
      <c r="F7" s="201"/>
      <c r="G7" s="188" t="s">
        <v>284</v>
      </c>
      <c r="H7" s="205"/>
      <c r="I7" s="205"/>
      <c r="J7" s="205"/>
      <c r="K7" s="205"/>
      <c r="L7" s="205"/>
      <c r="M7" s="205"/>
      <c r="N7" s="197"/>
      <c r="O7" s="186"/>
      <c r="P7" s="187"/>
      <c r="Q7" s="229"/>
      <c r="R7" s="230"/>
      <c r="S7" s="230"/>
      <c r="T7" s="130"/>
      <c r="U7" s="130"/>
      <c r="V7" s="130"/>
    </row>
    <row r="8" spans="1:22" ht="40.799999999999997" customHeight="1">
      <c r="A8" s="233"/>
      <c r="B8" s="214"/>
      <c r="C8" s="188"/>
      <c r="D8" s="197"/>
      <c r="E8" s="202"/>
      <c r="F8" s="203"/>
      <c r="G8" s="209" t="s">
        <v>289</v>
      </c>
      <c r="H8" s="210"/>
      <c r="I8" s="209" t="s">
        <v>294</v>
      </c>
      <c r="J8" s="210"/>
      <c r="K8" s="209" t="s">
        <v>285</v>
      </c>
      <c r="L8" s="210"/>
      <c r="M8" s="209" t="s">
        <v>295</v>
      </c>
      <c r="N8" s="223"/>
      <c r="O8" s="188"/>
      <c r="P8" s="189"/>
      <c r="Q8" s="229"/>
      <c r="R8" s="230"/>
      <c r="S8" s="230"/>
      <c r="T8" s="130"/>
      <c r="U8" s="130"/>
      <c r="V8" s="130"/>
    </row>
    <row r="9" spans="1:22" ht="10.199999999999999" customHeight="1">
      <c r="A9" s="234"/>
      <c r="B9" s="215"/>
      <c r="C9" s="2">
        <v>1</v>
      </c>
      <c r="D9" s="2">
        <v>2</v>
      </c>
      <c r="E9" s="2">
        <v>1</v>
      </c>
      <c r="F9" s="2">
        <v>2</v>
      </c>
      <c r="G9" s="3">
        <v>1</v>
      </c>
      <c r="H9" s="3">
        <v>2</v>
      </c>
      <c r="I9" s="2">
        <v>1</v>
      </c>
      <c r="J9" s="2">
        <v>2</v>
      </c>
      <c r="K9" s="2">
        <v>1</v>
      </c>
      <c r="L9" s="3">
        <v>2</v>
      </c>
      <c r="M9" s="133">
        <v>1</v>
      </c>
      <c r="N9" s="3">
        <v>2</v>
      </c>
      <c r="O9" s="3">
        <v>1</v>
      </c>
      <c r="P9" s="144">
        <v>2</v>
      </c>
      <c r="Q9" s="231"/>
      <c r="R9" s="232"/>
      <c r="S9" s="232"/>
      <c r="T9" s="130"/>
      <c r="U9" s="130"/>
      <c r="V9" s="130"/>
    </row>
    <row r="10" spans="1:22" ht="11.4" customHeight="1">
      <c r="A10" s="206" t="s">
        <v>3</v>
      </c>
      <c r="B10" s="208">
        <f>SUM(B12,B20,B29,B34,B40,B47,B54,B61,B66,B73,B83,B90,B105)</f>
        <v>432179</v>
      </c>
      <c r="C10" s="190">
        <f t="shared" ref="C10:L10" si="0">SUM(C12,C20,C29,C34,C40,C47,C54,C61,C66,C73,C83,C90,C105)</f>
        <v>116908</v>
      </c>
      <c r="D10" s="190">
        <f t="shared" si="0"/>
        <v>437747.78500000003</v>
      </c>
      <c r="E10" s="190">
        <f>SUM(E12,E20,E29,E34,E40,E47,E54,E61,E66,E73,E83,E90,E105)</f>
        <v>53791</v>
      </c>
      <c r="F10" s="190">
        <f t="shared" si="0"/>
        <v>122250.053</v>
      </c>
      <c r="G10" s="190">
        <f t="shared" si="0"/>
        <v>122931</v>
      </c>
      <c r="H10" s="190">
        <f t="shared" si="0"/>
        <v>321377.69799999997</v>
      </c>
      <c r="I10" s="190">
        <f t="shared" si="0"/>
        <v>83115</v>
      </c>
      <c r="J10" s="190">
        <f t="shared" si="0"/>
        <v>193179.91899999999</v>
      </c>
      <c r="K10" s="190">
        <f t="shared" si="0"/>
        <v>54954</v>
      </c>
      <c r="L10" s="190">
        <f t="shared" si="0"/>
        <v>100871.212</v>
      </c>
      <c r="M10" s="190">
        <f>SUM(G10,I10,K10)</f>
        <v>261000</v>
      </c>
      <c r="N10" s="190">
        <f>SUM(H10,J10,L10)</f>
        <v>615428.82899999991</v>
      </c>
      <c r="O10" s="191">
        <f>SUM(O12,O20,O34,O40,O47,O54,O61,O66,O73,O83,O90,O105)</f>
        <v>480</v>
      </c>
      <c r="P10" s="192">
        <f>SUM(P12,P20,P34,P40,P47,P54,P61,P66,P73,P83,P90,P105)</f>
        <v>847.76800000000003</v>
      </c>
      <c r="Q10" s="193" t="s">
        <v>4</v>
      </c>
      <c r="R10" s="193"/>
      <c r="S10" s="193"/>
      <c r="T10" s="5"/>
      <c r="U10" s="130"/>
      <c r="V10" s="130"/>
    </row>
    <row r="11" spans="1:22">
      <c r="A11" s="207"/>
      <c r="B11" s="208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1"/>
      <c r="P11" s="192"/>
      <c r="Q11" s="194"/>
      <c r="R11" s="194"/>
      <c r="S11" s="194"/>
      <c r="T11" s="5"/>
      <c r="U11" s="130"/>
      <c r="V11" s="130"/>
    </row>
    <row r="12" spans="1:22">
      <c r="A12" s="218" t="s">
        <v>5</v>
      </c>
      <c r="B12" s="217">
        <f>SUM(B14:B19)</f>
        <v>39144</v>
      </c>
      <c r="C12" s="191">
        <f>SUM(C14:C19)</f>
        <v>5612</v>
      </c>
      <c r="D12" s="191">
        <f t="shared" ref="D12:P12" si="1">SUM(D14:D19)</f>
        <v>18118.025000000001</v>
      </c>
      <c r="E12" s="191">
        <f t="shared" si="1"/>
        <v>2861</v>
      </c>
      <c r="F12" s="191">
        <f t="shared" si="1"/>
        <v>3500.05</v>
      </c>
      <c r="G12" s="191">
        <f t="shared" si="1"/>
        <v>22108</v>
      </c>
      <c r="H12" s="191">
        <f t="shared" si="1"/>
        <v>94393.274999999994</v>
      </c>
      <c r="I12" s="191">
        <f t="shared" si="1"/>
        <v>7917</v>
      </c>
      <c r="J12" s="191">
        <f t="shared" si="1"/>
        <v>17335.199000000001</v>
      </c>
      <c r="K12" s="191">
        <f t="shared" si="1"/>
        <v>646</v>
      </c>
      <c r="L12" s="191">
        <f t="shared" si="1"/>
        <v>1307.1990000000001</v>
      </c>
      <c r="M12" s="191">
        <f>SUM(G12,I12,K12)</f>
        <v>30671</v>
      </c>
      <c r="N12" s="191">
        <f>SUM(H12,J12,L12)</f>
        <v>113035.67299999998</v>
      </c>
      <c r="O12" s="191">
        <f t="shared" si="1"/>
        <v>0</v>
      </c>
      <c r="P12" s="192">
        <f t="shared" si="1"/>
        <v>0</v>
      </c>
      <c r="Q12" s="211" t="s">
        <v>6</v>
      </c>
      <c r="R12" s="211"/>
      <c r="S12" s="211"/>
      <c r="T12" s="132"/>
      <c r="U12" s="130"/>
      <c r="V12" s="130"/>
    </row>
    <row r="13" spans="1:22">
      <c r="A13" s="218"/>
      <c r="B13" s="217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2"/>
      <c r="Q13" s="211"/>
      <c r="R13" s="211"/>
      <c r="S13" s="211"/>
      <c r="T13" s="132"/>
      <c r="U13" s="130"/>
      <c r="V13" s="130"/>
    </row>
    <row r="14" spans="1:22" ht="11.4" customHeight="1">
      <c r="A14" s="4" t="s">
        <v>7</v>
      </c>
      <c r="B14" s="145">
        <f>SUM(C14,E14,G14,I14,K14,O14)</f>
        <v>4135</v>
      </c>
      <c r="C14" s="152">
        <v>2121</v>
      </c>
      <c r="D14" s="153">
        <v>5390.4</v>
      </c>
      <c r="E14" s="152">
        <v>399</v>
      </c>
      <c r="F14" s="153">
        <v>566.65</v>
      </c>
      <c r="G14" s="152">
        <v>66</v>
      </c>
      <c r="H14" s="153">
        <v>170</v>
      </c>
      <c r="I14" s="152">
        <v>1549</v>
      </c>
      <c r="J14" s="153">
        <v>2623.8</v>
      </c>
      <c r="K14" s="154" t="s">
        <v>290</v>
      </c>
      <c r="L14" s="155" t="s">
        <v>290</v>
      </c>
      <c r="M14" s="135">
        <f>SUM(G14,I14,K14)</f>
        <v>1615</v>
      </c>
      <c r="N14" s="134">
        <f t="shared" ref="N14:N19" si="2">(SUM(H14,J14,L14))/1000</f>
        <v>2.7938000000000001</v>
      </c>
      <c r="O14" s="154" t="s">
        <v>290</v>
      </c>
      <c r="P14" s="159" t="s">
        <v>290</v>
      </c>
      <c r="Q14" s="136" t="s">
        <v>8</v>
      </c>
      <c r="R14" s="5"/>
      <c r="S14" s="5"/>
      <c r="T14" s="5"/>
      <c r="U14" s="130"/>
      <c r="V14" s="130"/>
    </row>
    <row r="15" spans="1:22">
      <c r="A15" s="4" t="s">
        <v>9</v>
      </c>
      <c r="B15" s="145">
        <f t="shared" ref="B14:B19" si="3">SUM(C15,E15,G15,I15,K15,O15)</f>
        <v>21831</v>
      </c>
      <c r="C15" s="152">
        <v>190</v>
      </c>
      <c r="D15" s="153">
        <v>997.92499999999995</v>
      </c>
      <c r="E15" s="152">
        <v>128</v>
      </c>
      <c r="F15" s="153">
        <v>290.68</v>
      </c>
      <c r="G15" s="152">
        <v>21160</v>
      </c>
      <c r="H15" s="153">
        <v>92797.375</v>
      </c>
      <c r="I15" s="152">
        <v>353</v>
      </c>
      <c r="J15" s="153">
        <v>1506</v>
      </c>
      <c r="K15" s="154" t="s">
        <v>290</v>
      </c>
      <c r="L15" s="155" t="s">
        <v>290</v>
      </c>
      <c r="M15" s="135">
        <f t="shared" ref="M14:M19" si="4">SUM(G15,I15,K15)</f>
        <v>21513</v>
      </c>
      <c r="N15" s="134">
        <f t="shared" si="2"/>
        <v>94.303375000000003</v>
      </c>
      <c r="O15" s="154" t="s">
        <v>290</v>
      </c>
      <c r="P15" s="159" t="s">
        <v>290</v>
      </c>
      <c r="Q15" s="136" t="s">
        <v>10</v>
      </c>
      <c r="R15" s="5"/>
      <c r="S15" s="150"/>
      <c r="T15" s="5"/>
      <c r="U15" s="130"/>
      <c r="V15" s="130"/>
    </row>
    <row r="16" spans="1:22">
      <c r="A16" s="4" t="s">
        <v>11</v>
      </c>
      <c r="B16" s="145">
        <f t="shared" si="3"/>
        <v>5150</v>
      </c>
      <c r="C16" s="152">
        <v>1496</v>
      </c>
      <c r="D16" s="153">
        <v>3930.5</v>
      </c>
      <c r="E16" s="152">
        <v>1869</v>
      </c>
      <c r="F16" s="153">
        <v>1721.5</v>
      </c>
      <c r="G16" s="152">
        <v>5</v>
      </c>
      <c r="H16" s="153">
        <v>12.5</v>
      </c>
      <c r="I16" s="152">
        <v>1298</v>
      </c>
      <c r="J16" s="153">
        <v>4167.0990000000002</v>
      </c>
      <c r="K16" s="152">
        <v>482</v>
      </c>
      <c r="L16" s="153">
        <v>833.59900000000005</v>
      </c>
      <c r="M16" s="135">
        <f t="shared" si="4"/>
        <v>1785</v>
      </c>
      <c r="N16" s="134">
        <f t="shared" si="2"/>
        <v>5.013198</v>
      </c>
      <c r="O16" s="154" t="s">
        <v>290</v>
      </c>
      <c r="P16" s="159" t="s">
        <v>290</v>
      </c>
      <c r="Q16" s="136" t="s">
        <v>12</v>
      </c>
      <c r="R16" s="5"/>
      <c r="S16" s="5"/>
      <c r="T16" s="5"/>
      <c r="U16" s="130"/>
      <c r="V16" s="130"/>
    </row>
    <row r="17" spans="1:22">
      <c r="A17" s="4" t="s">
        <v>13</v>
      </c>
      <c r="B17" s="145">
        <f t="shared" si="3"/>
        <v>117</v>
      </c>
      <c r="C17" s="152">
        <v>8</v>
      </c>
      <c r="D17" s="153">
        <v>13.2</v>
      </c>
      <c r="E17" s="152">
        <v>4</v>
      </c>
      <c r="F17" s="153">
        <v>5</v>
      </c>
      <c r="G17" s="152">
        <v>59</v>
      </c>
      <c r="H17" s="153">
        <v>85.9</v>
      </c>
      <c r="I17" s="152">
        <v>46</v>
      </c>
      <c r="J17" s="153">
        <v>58.5</v>
      </c>
      <c r="K17" s="154" t="s">
        <v>290</v>
      </c>
      <c r="L17" s="155" t="s">
        <v>290</v>
      </c>
      <c r="M17" s="135">
        <f t="shared" si="4"/>
        <v>105</v>
      </c>
      <c r="N17" s="134">
        <f t="shared" si="2"/>
        <v>0.1444</v>
      </c>
      <c r="O17" s="154" t="s">
        <v>290</v>
      </c>
      <c r="P17" s="159" t="s">
        <v>290</v>
      </c>
      <c r="Q17" s="136" t="s">
        <v>14</v>
      </c>
      <c r="R17" s="5"/>
      <c r="S17" s="5"/>
      <c r="T17" s="5"/>
      <c r="U17" s="130"/>
      <c r="V17" s="130"/>
    </row>
    <row r="18" spans="1:22">
      <c r="A18" s="4" t="s">
        <v>15</v>
      </c>
      <c r="B18" s="145">
        <f t="shared" si="3"/>
        <v>2727</v>
      </c>
      <c r="C18" s="152">
        <v>1395</v>
      </c>
      <c r="D18" s="153">
        <v>6393.5</v>
      </c>
      <c r="E18" s="152">
        <v>344</v>
      </c>
      <c r="F18" s="153">
        <v>680.42</v>
      </c>
      <c r="G18" s="152">
        <v>751</v>
      </c>
      <c r="H18" s="153">
        <v>1126.5</v>
      </c>
      <c r="I18" s="152">
        <v>189</v>
      </c>
      <c r="J18" s="153">
        <v>576</v>
      </c>
      <c r="K18" s="152">
        <v>48</v>
      </c>
      <c r="L18" s="153">
        <v>125.6</v>
      </c>
      <c r="M18" s="135">
        <f t="shared" si="4"/>
        <v>988</v>
      </c>
      <c r="N18" s="134">
        <f t="shared" si="2"/>
        <v>1.8280999999999998</v>
      </c>
      <c r="O18" s="154" t="s">
        <v>290</v>
      </c>
      <c r="P18" s="159" t="s">
        <v>290</v>
      </c>
      <c r="Q18" s="136" t="s">
        <v>16</v>
      </c>
      <c r="R18" s="5"/>
      <c r="S18" s="5"/>
      <c r="T18" s="5"/>
      <c r="U18" s="130"/>
      <c r="V18" s="130"/>
    </row>
    <row r="19" spans="1:22">
      <c r="A19" s="4" t="s">
        <v>17</v>
      </c>
      <c r="B19" s="145">
        <f t="shared" si="3"/>
        <v>5184</v>
      </c>
      <c r="C19" s="152">
        <v>402</v>
      </c>
      <c r="D19" s="153">
        <v>1392.5</v>
      </c>
      <c r="E19" s="152">
        <v>117</v>
      </c>
      <c r="F19" s="153">
        <v>235.8</v>
      </c>
      <c r="G19" s="152">
        <v>67</v>
      </c>
      <c r="H19" s="153">
        <v>201</v>
      </c>
      <c r="I19" s="152">
        <v>4482</v>
      </c>
      <c r="J19" s="153">
        <v>8403.7999999999993</v>
      </c>
      <c r="K19" s="152">
        <v>116</v>
      </c>
      <c r="L19" s="153">
        <v>348</v>
      </c>
      <c r="M19" s="135">
        <f t="shared" si="4"/>
        <v>4665</v>
      </c>
      <c r="N19" s="134">
        <f t="shared" si="2"/>
        <v>8.9527999999999999</v>
      </c>
      <c r="O19" s="154" t="s">
        <v>290</v>
      </c>
      <c r="P19" s="159" t="s">
        <v>290</v>
      </c>
      <c r="Q19" s="136" t="s">
        <v>18</v>
      </c>
      <c r="R19" s="5"/>
      <c r="S19" s="5"/>
      <c r="T19" s="5"/>
      <c r="U19" s="130"/>
      <c r="V19" s="130"/>
    </row>
    <row r="20" spans="1:22">
      <c r="A20" s="216" t="s">
        <v>19</v>
      </c>
      <c r="B20" s="217">
        <f>SUM(B22:B28)</f>
        <v>28014</v>
      </c>
      <c r="C20" s="191">
        <f>SUM(C22:C28)</f>
        <v>12142</v>
      </c>
      <c r="D20" s="191">
        <f t="shared" ref="D20:K20" si="5">SUM(D22:D28)</f>
        <v>51013.662000000004</v>
      </c>
      <c r="E20" s="191">
        <f t="shared" si="5"/>
        <v>4235</v>
      </c>
      <c r="F20" s="191">
        <f t="shared" si="5"/>
        <v>9381.1350000000002</v>
      </c>
      <c r="G20" s="191">
        <f t="shared" si="5"/>
        <v>1694</v>
      </c>
      <c r="H20" s="191">
        <f t="shared" si="5"/>
        <v>4715.57</v>
      </c>
      <c r="I20" s="191">
        <f t="shared" si="5"/>
        <v>9403</v>
      </c>
      <c r="J20" s="191">
        <f t="shared" si="5"/>
        <v>25657.370000000003</v>
      </c>
      <c r="K20" s="191">
        <f t="shared" si="5"/>
        <v>531</v>
      </c>
      <c r="L20" s="191">
        <f>SUM(L22:L28)</f>
        <v>1292.5700000000002</v>
      </c>
      <c r="M20" s="191">
        <f>SUM(G20,I20,K20)</f>
        <v>11628</v>
      </c>
      <c r="N20" s="191">
        <f>SUM(H20,J20,L20)</f>
        <v>31665.510000000002</v>
      </c>
      <c r="O20" s="191">
        <f>SUM(O22:O28)</f>
        <v>9</v>
      </c>
      <c r="P20" s="192">
        <f>SUM(P22:P28)</f>
        <v>20.5</v>
      </c>
      <c r="Q20" s="219" t="s">
        <v>20</v>
      </c>
      <c r="R20" s="219"/>
      <c r="S20" s="219"/>
      <c r="T20" s="5"/>
      <c r="U20" s="130"/>
      <c r="V20" s="130"/>
    </row>
    <row r="21" spans="1:22">
      <c r="A21" s="216"/>
      <c r="B21" s="217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2"/>
      <c r="Q21" s="219"/>
      <c r="R21" s="219"/>
      <c r="S21" s="219"/>
      <c r="T21" s="5"/>
      <c r="U21" s="130"/>
      <c r="V21" s="130"/>
    </row>
    <row r="22" spans="1:22">
      <c r="A22" s="4" t="s">
        <v>21</v>
      </c>
      <c r="B22" s="145">
        <f t="shared" ref="B22:B33" si="6">SUM(C22,E22,G22,I22,K22,O22)</f>
        <v>8254</v>
      </c>
      <c r="C22" s="152">
        <v>5670</v>
      </c>
      <c r="D22" s="153">
        <v>28240.85</v>
      </c>
      <c r="E22" s="152">
        <v>1716</v>
      </c>
      <c r="F22" s="153">
        <v>3882.68</v>
      </c>
      <c r="G22" s="152">
        <v>278</v>
      </c>
      <c r="H22" s="153">
        <v>806.17</v>
      </c>
      <c r="I22" s="152">
        <v>508</v>
      </c>
      <c r="J22" s="153">
        <v>1316.9</v>
      </c>
      <c r="K22" s="152">
        <v>82</v>
      </c>
      <c r="L22" s="153">
        <v>244.8</v>
      </c>
      <c r="M22" s="135">
        <f t="shared" ref="M22:M33" si="7">SUM(G22,I22,K22)</f>
        <v>868</v>
      </c>
      <c r="N22" s="134">
        <f t="shared" ref="N22:N28" si="8">(SUM(H22,J22,L22))/1000</f>
        <v>2.3678700000000004</v>
      </c>
      <c r="O22" s="154" t="s">
        <v>290</v>
      </c>
      <c r="P22" s="159" t="s">
        <v>290</v>
      </c>
      <c r="Q22" s="136" t="s">
        <v>22</v>
      </c>
      <c r="R22" s="5"/>
      <c r="S22" s="5"/>
      <c r="T22" s="5"/>
      <c r="U22" s="130"/>
      <c r="V22" s="130"/>
    </row>
    <row r="23" spans="1:22">
      <c r="A23" s="4" t="s">
        <v>23</v>
      </c>
      <c r="B23" s="145">
        <f t="shared" si="6"/>
        <v>241</v>
      </c>
      <c r="C23" s="152">
        <v>78</v>
      </c>
      <c r="D23" s="153">
        <v>447.5</v>
      </c>
      <c r="E23" s="152">
        <v>10</v>
      </c>
      <c r="F23" s="153">
        <v>53</v>
      </c>
      <c r="G23" s="152">
        <v>18</v>
      </c>
      <c r="H23" s="153">
        <v>58.6</v>
      </c>
      <c r="I23" s="152">
        <v>97</v>
      </c>
      <c r="J23" s="153">
        <v>366.9</v>
      </c>
      <c r="K23" s="152">
        <v>38</v>
      </c>
      <c r="L23" s="153">
        <v>208.2</v>
      </c>
      <c r="M23" s="135">
        <f t="shared" si="7"/>
        <v>153</v>
      </c>
      <c r="N23" s="134">
        <f t="shared" si="8"/>
        <v>0.63370000000000004</v>
      </c>
      <c r="O23" s="154" t="s">
        <v>290</v>
      </c>
      <c r="P23" s="159" t="s">
        <v>290</v>
      </c>
      <c r="Q23" s="136" t="s">
        <v>24</v>
      </c>
      <c r="R23" s="5"/>
      <c r="S23" s="5"/>
      <c r="T23" s="5"/>
      <c r="U23" s="130"/>
      <c r="V23" s="130"/>
    </row>
    <row r="24" spans="1:22">
      <c r="A24" s="4" t="s">
        <v>25</v>
      </c>
      <c r="B24" s="145">
        <f t="shared" si="6"/>
        <v>2612</v>
      </c>
      <c r="C24" s="152">
        <v>1301</v>
      </c>
      <c r="D24" s="153">
        <v>4663.7020000000002</v>
      </c>
      <c r="E24" s="152">
        <v>266</v>
      </c>
      <c r="F24" s="153">
        <v>424</v>
      </c>
      <c r="G24" s="152">
        <v>830</v>
      </c>
      <c r="H24" s="153">
        <v>2133.5500000000002</v>
      </c>
      <c r="I24" s="152">
        <v>47</v>
      </c>
      <c r="J24" s="153">
        <v>197.2</v>
      </c>
      <c r="K24" s="152">
        <v>168</v>
      </c>
      <c r="L24" s="153">
        <v>163.9</v>
      </c>
      <c r="M24" s="135">
        <f t="shared" si="7"/>
        <v>1045</v>
      </c>
      <c r="N24" s="134">
        <f t="shared" si="8"/>
        <v>2.49465</v>
      </c>
      <c r="O24" s="154" t="s">
        <v>290</v>
      </c>
      <c r="P24" s="159" t="s">
        <v>290</v>
      </c>
      <c r="Q24" s="136" t="s">
        <v>26</v>
      </c>
      <c r="R24" s="5"/>
      <c r="S24" s="5"/>
      <c r="T24" s="5"/>
      <c r="U24" s="130"/>
      <c r="V24" s="130"/>
    </row>
    <row r="25" spans="1:22">
      <c r="A25" s="4" t="s">
        <v>27</v>
      </c>
      <c r="B25" s="145">
        <f t="shared" si="6"/>
        <v>5749</v>
      </c>
      <c r="C25" s="152">
        <v>1214</v>
      </c>
      <c r="D25" s="153">
        <v>5240.91</v>
      </c>
      <c r="E25" s="152">
        <v>418</v>
      </c>
      <c r="F25" s="153">
        <v>913.9</v>
      </c>
      <c r="G25" s="152">
        <v>5</v>
      </c>
      <c r="H25" s="153">
        <v>15</v>
      </c>
      <c r="I25" s="152">
        <v>4099</v>
      </c>
      <c r="J25" s="153">
        <v>8611.82</v>
      </c>
      <c r="K25" s="152">
        <v>9</v>
      </c>
      <c r="L25" s="153">
        <v>19.12</v>
      </c>
      <c r="M25" s="135">
        <f t="shared" si="7"/>
        <v>4113</v>
      </c>
      <c r="N25" s="134">
        <f t="shared" si="8"/>
        <v>8.6459400000000013</v>
      </c>
      <c r="O25" s="152">
        <v>4</v>
      </c>
      <c r="P25" s="160">
        <v>10</v>
      </c>
      <c r="Q25" s="136" t="s">
        <v>28</v>
      </c>
      <c r="R25" s="5"/>
      <c r="S25" s="5"/>
      <c r="T25" s="5"/>
      <c r="U25" s="130"/>
      <c r="V25" s="130"/>
    </row>
    <row r="26" spans="1:22">
      <c r="A26" s="4" t="s">
        <v>29</v>
      </c>
      <c r="B26" s="145">
        <f t="shared" si="6"/>
        <v>2071</v>
      </c>
      <c r="C26" s="152">
        <v>1254</v>
      </c>
      <c r="D26" s="153">
        <v>3526.9</v>
      </c>
      <c r="E26" s="152">
        <v>411</v>
      </c>
      <c r="F26" s="153">
        <v>672.7</v>
      </c>
      <c r="G26" s="152">
        <v>168</v>
      </c>
      <c r="H26" s="153">
        <v>489.6</v>
      </c>
      <c r="I26" s="152">
        <v>179</v>
      </c>
      <c r="J26" s="153">
        <v>337.6</v>
      </c>
      <c r="K26" s="152">
        <v>59</v>
      </c>
      <c r="L26" s="153">
        <v>177.2</v>
      </c>
      <c r="M26" s="135">
        <f t="shared" si="7"/>
        <v>406</v>
      </c>
      <c r="N26" s="134">
        <f t="shared" si="8"/>
        <v>1.0044000000000002</v>
      </c>
      <c r="O26" s="154" t="s">
        <v>290</v>
      </c>
      <c r="P26" s="159" t="s">
        <v>290</v>
      </c>
      <c r="Q26" s="136" t="s">
        <v>30</v>
      </c>
      <c r="R26" s="5"/>
      <c r="S26" s="5"/>
      <c r="T26" s="5"/>
      <c r="U26" s="130"/>
      <c r="V26" s="130"/>
    </row>
    <row r="27" spans="1:22">
      <c r="A27" s="4" t="s">
        <v>31</v>
      </c>
      <c r="B27" s="145">
        <f t="shared" si="6"/>
        <v>6906</v>
      </c>
      <c r="C27" s="152">
        <v>1808</v>
      </c>
      <c r="D27" s="153">
        <v>5942.58</v>
      </c>
      <c r="E27" s="152">
        <v>540</v>
      </c>
      <c r="F27" s="153">
        <v>894.6</v>
      </c>
      <c r="G27" s="152">
        <v>280</v>
      </c>
      <c r="H27" s="153">
        <v>813.86</v>
      </c>
      <c r="I27" s="152">
        <v>4197</v>
      </c>
      <c r="J27" s="153">
        <v>14099.3</v>
      </c>
      <c r="K27" s="152">
        <v>76</v>
      </c>
      <c r="L27" s="153">
        <v>196.1</v>
      </c>
      <c r="M27" s="135">
        <f t="shared" si="7"/>
        <v>4553</v>
      </c>
      <c r="N27" s="134">
        <f t="shared" si="8"/>
        <v>15.109260000000001</v>
      </c>
      <c r="O27" s="152">
        <v>5</v>
      </c>
      <c r="P27" s="160">
        <v>10.5</v>
      </c>
      <c r="Q27" s="136" t="s">
        <v>32</v>
      </c>
      <c r="R27" s="5"/>
      <c r="S27" s="5"/>
      <c r="T27" s="5"/>
      <c r="U27" s="130"/>
      <c r="V27" s="130"/>
    </row>
    <row r="28" spans="1:22">
      <c r="A28" s="4" t="s">
        <v>33</v>
      </c>
      <c r="B28" s="145">
        <f t="shared" si="6"/>
        <v>2181</v>
      </c>
      <c r="C28" s="152">
        <v>817</v>
      </c>
      <c r="D28" s="153">
        <v>2951.22</v>
      </c>
      <c r="E28" s="152">
        <v>874</v>
      </c>
      <c r="F28" s="153">
        <v>2540.2550000000001</v>
      </c>
      <c r="G28" s="152">
        <v>115</v>
      </c>
      <c r="H28" s="153">
        <v>398.79</v>
      </c>
      <c r="I28" s="152">
        <v>276</v>
      </c>
      <c r="J28" s="153">
        <v>727.65</v>
      </c>
      <c r="K28" s="152">
        <v>99</v>
      </c>
      <c r="L28" s="153">
        <v>283.25</v>
      </c>
      <c r="M28" s="135">
        <f t="shared" si="7"/>
        <v>490</v>
      </c>
      <c r="N28" s="134">
        <f t="shared" si="8"/>
        <v>1.4096900000000001</v>
      </c>
      <c r="O28" s="154" t="s">
        <v>290</v>
      </c>
      <c r="P28" s="159" t="s">
        <v>290</v>
      </c>
      <c r="Q28" s="136" t="s">
        <v>34</v>
      </c>
      <c r="R28" s="5"/>
      <c r="S28" s="5"/>
      <c r="T28" s="5"/>
      <c r="U28" s="130"/>
      <c r="V28" s="130"/>
    </row>
    <row r="29" spans="1:22" ht="21" customHeight="1">
      <c r="A29" s="143" t="s">
        <v>292</v>
      </c>
      <c r="B29" s="235">
        <f>SUM(B30:B33)</f>
        <v>11795</v>
      </c>
      <c r="C29" s="140">
        <f>SUM(C30:C33)</f>
        <v>482</v>
      </c>
      <c r="D29" s="140">
        <f>SUM(D30:D33)</f>
        <v>1598.5</v>
      </c>
      <c r="E29" s="140">
        <f t="shared" ref="E29:K29" si="9">SUM(E30:E33)</f>
        <v>578</v>
      </c>
      <c r="F29" s="140">
        <f t="shared" si="9"/>
        <v>811.43</v>
      </c>
      <c r="G29" s="140">
        <f t="shared" si="9"/>
        <v>33</v>
      </c>
      <c r="H29" s="140">
        <f t="shared" si="9"/>
        <v>74.25</v>
      </c>
      <c r="I29" s="140">
        <f t="shared" si="9"/>
        <v>10499</v>
      </c>
      <c r="J29" s="140">
        <f>SUM(J30:J33)</f>
        <v>32370.701999999997</v>
      </c>
      <c r="K29" s="140">
        <f t="shared" si="9"/>
        <v>203</v>
      </c>
      <c r="L29" s="140">
        <f>SUM(L30:L33)</f>
        <v>369.6</v>
      </c>
      <c r="M29" s="141">
        <f>SUM(G29,I29,K29)</f>
        <v>10735</v>
      </c>
      <c r="N29" s="142">
        <f>SUM(H29,J29,L29)</f>
        <v>32814.551999999996</v>
      </c>
      <c r="O29" s="140">
        <f t="shared" ref="O29:P29" si="10">SUM(O30:O33)</f>
        <v>0</v>
      </c>
      <c r="P29" s="146">
        <f t="shared" si="10"/>
        <v>0</v>
      </c>
      <c r="Q29" s="138" t="s">
        <v>293</v>
      </c>
      <c r="R29" s="151"/>
      <c r="S29" s="151"/>
      <c r="T29" s="5"/>
      <c r="U29" s="130"/>
      <c r="V29" s="130"/>
    </row>
    <row r="30" spans="1:22">
      <c r="A30" s="4" t="s">
        <v>35</v>
      </c>
      <c r="B30" s="145">
        <f t="shared" si="6"/>
        <v>5359</v>
      </c>
      <c r="C30" s="152">
        <v>170</v>
      </c>
      <c r="D30" s="153">
        <v>728</v>
      </c>
      <c r="E30" s="152">
        <v>290</v>
      </c>
      <c r="F30" s="153">
        <v>439.08</v>
      </c>
      <c r="G30" s="152">
        <v>33</v>
      </c>
      <c r="H30" s="153">
        <v>74.25</v>
      </c>
      <c r="I30" s="152">
        <v>4690</v>
      </c>
      <c r="J30" s="153">
        <v>11880.652</v>
      </c>
      <c r="K30" s="152">
        <v>176</v>
      </c>
      <c r="L30" s="153">
        <v>322.60000000000002</v>
      </c>
      <c r="M30" s="135">
        <f t="shared" si="7"/>
        <v>4899</v>
      </c>
      <c r="N30" s="134">
        <f>(SUM(H30,J30,L30))/1000</f>
        <v>12.277502</v>
      </c>
      <c r="O30" s="154" t="s">
        <v>290</v>
      </c>
      <c r="P30" s="159" t="s">
        <v>290</v>
      </c>
      <c r="Q30" s="136" t="s">
        <v>36</v>
      </c>
      <c r="R30" s="5"/>
      <c r="S30" s="5"/>
      <c r="T30" s="5"/>
      <c r="U30" s="130"/>
      <c r="V30" s="130"/>
    </row>
    <row r="31" spans="1:22">
      <c r="A31" s="4" t="s">
        <v>37</v>
      </c>
      <c r="B31" s="145">
        <f t="shared" si="6"/>
        <v>471</v>
      </c>
      <c r="C31" s="152">
        <v>53</v>
      </c>
      <c r="D31" s="153">
        <v>144.9</v>
      </c>
      <c r="E31" s="152">
        <v>108</v>
      </c>
      <c r="F31" s="153">
        <v>142.30000000000001</v>
      </c>
      <c r="G31" s="154" t="s">
        <v>290</v>
      </c>
      <c r="H31" s="155" t="s">
        <v>290</v>
      </c>
      <c r="I31" s="152">
        <v>310</v>
      </c>
      <c r="J31" s="153">
        <v>788.15</v>
      </c>
      <c r="K31" s="154" t="s">
        <v>290</v>
      </c>
      <c r="L31" s="155" t="s">
        <v>290</v>
      </c>
      <c r="M31" s="135">
        <f t="shared" si="7"/>
        <v>310</v>
      </c>
      <c r="N31" s="134">
        <f>(SUM(H31,J31,L31))/1000</f>
        <v>0.78815000000000002</v>
      </c>
      <c r="O31" s="154" t="s">
        <v>290</v>
      </c>
      <c r="P31" s="159" t="s">
        <v>290</v>
      </c>
      <c r="Q31" s="136" t="s">
        <v>38</v>
      </c>
      <c r="R31" s="5"/>
      <c r="S31" s="5"/>
      <c r="T31" s="5"/>
      <c r="U31" s="130"/>
      <c r="V31" s="130"/>
    </row>
    <row r="32" spans="1:22">
      <c r="A32" s="4" t="s">
        <v>39</v>
      </c>
      <c r="B32" s="145">
        <f t="shared" si="6"/>
        <v>2588</v>
      </c>
      <c r="C32" s="152">
        <v>117</v>
      </c>
      <c r="D32" s="153">
        <v>246</v>
      </c>
      <c r="E32" s="152">
        <v>87</v>
      </c>
      <c r="F32" s="153">
        <v>133</v>
      </c>
      <c r="G32" s="154" t="s">
        <v>290</v>
      </c>
      <c r="H32" s="155" t="s">
        <v>290</v>
      </c>
      <c r="I32" s="152">
        <v>2357</v>
      </c>
      <c r="J32" s="153">
        <v>7842</v>
      </c>
      <c r="K32" s="152">
        <v>27</v>
      </c>
      <c r="L32" s="153">
        <v>47</v>
      </c>
      <c r="M32" s="135">
        <f t="shared" si="7"/>
        <v>2384</v>
      </c>
      <c r="N32" s="134">
        <f>(SUM(H32,J32,L32))/1000</f>
        <v>7.8890000000000002</v>
      </c>
      <c r="O32" s="154" t="s">
        <v>290</v>
      </c>
      <c r="P32" s="159" t="s">
        <v>290</v>
      </c>
      <c r="Q32" s="136" t="s">
        <v>40</v>
      </c>
      <c r="R32" s="5"/>
      <c r="S32" s="5"/>
      <c r="T32" s="5"/>
      <c r="U32" s="130"/>
      <c r="V32" s="130"/>
    </row>
    <row r="33" spans="1:22">
      <c r="A33" s="4" t="s">
        <v>41</v>
      </c>
      <c r="B33" s="145">
        <f t="shared" si="6"/>
        <v>3377</v>
      </c>
      <c r="C33" s="152">
        <v>142</v>
      </c>
      <c r="D33" s="153">
        <v>479.6</v>
      </c>
      <c r="E33" s="152">
        <v>93</v>
      </c>
      <c r="F33" s="153">
        <v>97.05</v>
      </c>
      <c r="G33" s="154" t="s">
        <v>290</v>
      </c>
      <c r="H33" s="155" t="s">
        <v>290</v>
      </c>
      <c r="I33" s="152">
        <v>3142</v>
      </c>
      <c r="J33" s="153">
        <v>11859.9</v>
      </c>
      <c r="K33" s="154" t="s">
        <v>290</v>
      </c>
      <c r="L33" s="155" t="s">
        <v>290</v>
      </c>
      <c r="M33" s="135">
        <f t="shared" si="7"/>
        <v>3142</v>
      </c>
      <c r="N33" s="134">
        <f>(SUM(H33,J33,L33))/1000</f>
        <v>11.8599</v>
      </c>
      <c r="O33" s="154" t="s">
        <v>290</v>
      </c>
      <c r="P33" s="159" t="s">
        <v>290</v>
      </c>
      <c r="Q33" s="136" t="s">
        <v>42</v>
      </c>
      <c r="R33" s="5"/>
      <c r="S33" s="5"/>
      <c r="T33" s="5"/>
      <c r="U33" s="130"/>
      <c r="V33" s="130"/>
    </row>
    <row r="34" spans="1:22">
      <c r="A34" s="216" t="s">
        <v>43</v>
      </c>
      <c r="B34" s="217">
        <f>SUM(B36:B39)</f>
        <v>8388</v>
      </c>
      <c r="C34" s="191">
        <f>SUM(C36:C39)</f>
        <v>709</v>
      </c>
      <c r="D34" s="191">
        <f t="shared" ref="D34:P34" si="11">SUM(D36:D39)</f>
        <v>2824.0280000000002</v>
      </c>
      <c r="E34" s="191">
        <f t="shared" si="11"/>
        <v>392</v>
      </c>
      <c r="F34" s="191">
        <f t="shared" si="11"/>
        <v>830.05</v>
      </c>
      <c r="G34" s="191">
        <f t="shared" si="11"/>
        <v>2600</v>
      </c>
      <c r="H34" s="191">
        <f t="shared" si="11"/>
        <v>4518.3</v>
      </c>
      <c r="I34" s="191">
        <f t="shared" si="11"/>
        <v>4502</v>
      </c>
      <c r="J34" s="191">
        <f t="shared" si="11"/>
        <v>8692.64</v>
      </c>
      <c r="K34" s="191">
        <f t="shared" si="11"/>
        <v>184</v>
      </c>
      <c r="L34" s="191">
        <f>SUM(L36:L39)</f>
        <v>304</v>
      </c>
      <c r="M34" s="191">
        <f>SUM(G34,I34,K34)</f>
        <v>7286</v>
      </c>
      <c r="N34" s="191">
        <f>SUM(H34,J34,L34)</f>
        <v>13514.939999999999</v>
      </c>
      <c r="O34" s="191">
        <f t="shared" si="11"/>
        <v>1</v>
      </c>
      <c r="P34" s="192">
        <f t="shared" si="11"/>
        <v>2</v>
      </c>
      <c r="Q34" s="220" t="s">
        <v>44</v>
      </c>
      <c r="R34" s="220"/>
      <c r="S34" s="220"/>
      <c r="T34" s="5"/>
      <c r="U34" s="130"/>
      <c r="V34" s="130"/>
    </row>
    <row r="35" spans="1:22">
      <c r="A35" s="216"/>
      <c r="B35" s="217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2"/>
      <c r="Q35" s="220"/>
      <c r="R35" s="220"/>
      <c r="S35" s="220"/>
      <c r="T35" s="5"/>
      <c r="U35" s="130"/>
      <c r="V35" s="130"/>
    </row>
    <row r="36" spans="1:22">
      <c r="A36" s="4" t="s">
        <v>45</v>
      </c>
      <c r="B36" s="145">
        <f>SUM(C36,E36,G36,I36,K36,O36)</f>
        <v>4779</v>
      </c>
      <c r="C36" s="152">
        <v>5</v>
      </c>
      <c r="D36" s="153">
        <v>15</v>
      </c>
      <c r="E36" s="152">
        <v>126</v>
      </c>
      <c r="F36" s="153">
        <v>309.64999999999998</v>
      </c>
      <c r="G36" s="152">
        <v>490</v>
      </c>
      <c r="H36" s="153">
        <v>524.70000000000005</v>
      </c>
      <c r="I36" s="152">
        <v>4109</v>
      </c>
      <c r="J36" s="153">
        <v>7391.44</v>
      </c>
      <c r="K36" s="152">
        <v>49</v>
      </c>
      <c r="L36" s="153">
        <v>57</v>
      </c>
      <c r="M36" s="135">
        <f t="shared" ref="M36:M39" si="12">SUM(G36,I36,K36)</f>
        <v>4648</v>
      </c>
      <c r="N36" s="134">
        <f>(SUM(H36,J36,L36))/1000</f>
        <v>7.973139999999999</v>
      </c>
      <c r="O36" s="154" t="s">
        <v>290</v>
      </c>
      <c r="P36" s="159" t="s">
        <v>290</v>
      </c>
      <c r="Q36" s="136" t="s">
        <v>46</v>
      </c>
      <c r="R36" s="5"/>
      <c r="S36" s="5"/>
      <c r="T36" s="5"/>
      <c r="U36" s="130"/>
      <c r="V36" s="130"/>
    </row>
    <row r="37" spans="1:22">
      <c r="A37" s="4" t="s">
        <v>47</v>
      </c>
      <c r="B37" s="145">
        <f>SUM(C37,E37,G37,I37,K37,O37)</f>
        <v>2096</v>
      </c>
      <c r="C37" s="152">
        <v>30</v>
      </c>
      <c r="D37" s="153">
        <v>75.900000000000006</v>
      </c>
      <c r="E37" s="152">
        <v>14</v>
      </c>
      <c r="F37" s="153">
        <v>20.9</v>
      </c>
      <c r="G37" s="152">
        <v>1926</v>
      </c>
      <c r="H37" s="153">
        <v>3574.1</v>
      </c>
      <c r="I37" s="154" t="s">
        <v>290</v>
      </c>
      <c r="J37" s="155" t="s">
        <v>290</v>
      </c>
      <c r="K37" s="152">
        <v>126</v>
      </c>
      <c r="L37" s="153">
        <v>226</v>
      </c>
      <c r="M37" s="135">
        <f t="shared" si="12"/>
        <v>2052</v>
      </c>
      <c r="N37" s="134">
        <f>(SUM(H37,J37,L37))/1000</f>
        <v>3.8001</v>
      </c>
      <c r="O37" s="154" t="s">
        <v>290</v>
      </c>
      <c r="P37" s="159" t="s">
        <v>290</v>
      </c>
      <c r="Q37" s="136" t="s">
        <v>48</v>
      </c>
      <c r="R37" s="5"/>
      <c r="S37" s="5"/>
      <c r="T37" s="5"/>
      <c r="U37" s="130"/>
      <c r="V37" s="130"/>
    </row>
    <row r="38" spans="1:22">
      <c r="A38" s="4" t="s">
        <v>49</v>
      </c>
      <c r="B38" s="145">
        <f>SUM(C38,E38,G38,I38,K38,O38)</f>
        <v>968</v>
      </c>
      <c r="C38" s="152">
        <v>468</v>
      </c>
      <c r="D38" s="153">
        <v>1914</v>
      </c>
      <c r="E38" s="152">
        <v>161</v>
      </c>
      <c r="F38" s="153">
        <v>320.5</v>
      </c>
      <c r="G38" s="152">
        <v>117</v>
      </c>
      <c r="H38" s="153">
        <v>218.5</v>
      </c>
      <c r="I38" s="152">
        <v>220</v>
      </c>
      <c r="J38" s="153">
        <v>776.7</v>
      </c>
      <c r="K38" s="152">
        <v>1</v>
      </c>
      <c r="L38" s="153">
        <v>1</v>
      </c>
      <c r="M38" s="135">
        <f t="shared" si="12"/>
        <v>338</v>
      </c>
      <c r="N38" s="134">
        <f>(SUM(H38,J38,L38))/1000</f>
        <v>0.99620000000000009</v>
      </c>
      <c r="O38" s="152">
        <v>1</v>
      </c>
      <c r="P38" s="160">
        <v>2</v>
      </c>
      <c r="Q38" s="136" t="s">
        <v>50</v>
      </c>
      <c r="R38" s="5"/>
      <c r="S38" s="5"/>
      <c r="T38" s="5"/>
      <c r="U38" s="130"/>
      <c r="V38" s="130"/>
    </row>
    <row r="39" spans="1:22">
      <c r="A39" s="4" t="s">
        <v>51</v>
      </c>
      <c r="B39" s="145">
        <f>SUM(C39,E39,G39,I39,K39,O39)</f>
        <v>545</v>
      </c>
      <c r="C39" s="152">
        <v>206</v>
      </c>
      <c r="D39" s="153">
        <v>819.12800000000004</v>
      </c>
      <c r="E39" s="152">
        <v>91</v>
      </c>
      <c r="F39" s="153">
        <v>179</v>
      </c>
      <c r="G39" s="152">
        <v>67</v>
      </c>
      <c r="H39" s="153">
        <v>201</v>
      </c>
      <c r="I39" s="152">
        <v>173</v>
      </c>
      <c r="J39" s="153">
        <v>524.5</v>
      </c>
      <c r="K39" s="152">
        <v>8</v>
      </c>
      <c r="L39" s="153">
        <v>20</v>
      </c>
      <c r="M39" s="135">
        <f t="shared" si="12"/>
        <v>248</v>
      </c>
      <c r="N39" s="134">
        <f>(SUM(H39,J39,L39))/1000</f>
        <v>0.74550000000000005</v>
      </c>
      <c r="O39" s="154" t="s">
        <v>290</v>
      </c>
      <c r="P39" s="159" t="s">
        <v>290</v>
      </c>
      <c r="Q39" s="136" t="s">
        <v>52</v>
      </c>
      <c r="R39" s="5"/>
      <c r="S39" s="5"/>
      <c r="T39" s="5"/>
      <c r="U39" s="130"/>
      <c r="V39" s="130"/>
    </row>
    <row r="40" spans="1:22">
      <c r="A40" s="216" t="s">
        <v>53</v>
      </c>
      <c r="B40" s="217">
        <f>SUM(B42:B46)</f>
        <v>21602</v>
      </c>
      <c r="C40" s="191">
        <f>SUM(C42:C46)</f>
        <v>7612</v>
      </c>
      <c r="D40" s="191">
        <f t="shared" ref="D40:P40" si="13">SUM(D42:D46)</f>
        <v>39977.248000000007</v>
      </c>
      <c r="E40" s="191">
        <f t="shared" si="13"/>
        <v>7395</v>
      </c>
      <c r="F40" s="191">
        <f t="shared" si="13"/>
        <v>23486.525000000001</v>
      </c>
      <c r="G40" s="191">
        <f t="shared" si="13"/>
        <v>1129</v>
      </c>
      <c r="H40" s="191">
        <f t="shared" si="13"/>
        <v>2640.3</v>
      </c>
      <c r="I40" s="191">
        <f t="shared" si="13"/>
        <v>3702</v>
      </c>
      <c r="J40" s="191">
        <f t="shared" si="13"/>
        <v>6204.3</v>
      </c>
      <c r="K40" s="191">
        <f t="shared" si="13"/>
        <v>1764</v>
      </c>
      <c r="L40" s="191">
        <f t="shared" si="13"/>
        <v>2294.605</v>
      </c>
      <c r="M40" s="191">
        <f>SUM(G40,I40,K40)</f>
        <v>6595</v>
      </c>
      <c r="N40" s="191">
        <f>SUM(H40,J40,L40)</f>
        <v>11139.205</v>
      </c>
      <c r="O40" s="191">
        <f t="shared" si="13"/>
        <v>0</v>
      </c>
      <c r="P40" s="192">
        <f t="shared" si="13"/>
        <v>0</v>
      </c>
      <c r="Q40" s="220" t="s">
        <v>54</v>
      </c>
      <c r="R40" s="220"/>
      <c r="S40" s="220"/>
      <c r="T40" s="5"/>
      <c r="U40" s="130"/>
      <c r="V40" s="130"/>
    </row>
    <row r="41" spans="1:22">
      <c r="A41" s="216"/>
      <c r="B41" s="217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2"/>
      <c r="Q41" s="220"/>
      <c r="R41" s="220"/>
      <c r="S41" s="220"/>
      <c r="T41" s="5"/>
      <c r="U41" s="130"/>
      <c r="V41" s="130"/>
    </row>
    <row r="42" spans="1:22">
      <c r="A42" s="4" t="s">
        <v>55</v>
      </c>
      <c r="B42" s="145">
        <f t="shared" ref="B42:B46" si="14">SUM(C42,E42,G42,I42,K42,O42)</f>
        <v>6972</v>
      </c>
      <c r="C42" s="152">
        <v>3760</v>
      </c>
      <c r="D42" s="153">
        <v>19843.297999999999</v>
      </c>
      <c r="E42" s="152">
        <v>582</v>
      </c>
      <c r="F42" s="153">
        <v>1462.5</v>
      </c>
      <c r="G42" s="152">
        <v>478</v>
      </c>
      <c r="H42" s="153">
        <v>1293.8</v>
      </c>
      <c r="I42" s="152">
        <v>776</v>
      </c>
      <c r="J42" s="153">
        <v>2142.4</v>
      </c>
      <c r="K42" s="152">
        <v>1376</v>
      </c>
      <c r="L42" s="153">
        <v>1444.3</v>
      </c>
      <c r="M42" s="135">
        <f t="shared" ref="M42:M46" si="15">SUM(G42,I42,K42)</f>
        <v>2630</v>
      </c>
      <c r="N42" s="134">
        <f>(SUM(H42,J42,L42))/1000</f>
        <v>4.8804999999999996</v>
      </c>
      <c r="O42" s="154" t="s">
        <v>290</v>
      </c>
      <c r="P42" s="159" t="s">
        <v>290</v>
      </c>
      <c r="Q42" s="136" t="s">
        <v>56</v>
      </c>
      <c r="R42" s="5"/>
      <c r="S42" s="5"/>
      <c r="T42" s="5"/>
      <c r="U42" s="130"/>
      <c r="V42" s="130"/>
    </row>
    <row r="43" spans="1:22">
      <c r="A43" s="4" t="s">
        <v>57</v>
      </c>
      <c r="B43" s="145">
        <f t="shared" si="14"/>
        <v>5608</v>
      </c>
      <c r="C43" s="152">
        <v>955</v>
      </c>
      <c r="D43" s="153">
        <v>5050.6000000000004</v>
      </c>
      <c r="E43" s="152">
        <v>2731</v>
      </c>
      <c r="F43" s="153">
        <v>9535.2000000000007</v>
      </c>
      <c r="G43" s="152">
        <v>331</v>
      </c>
      <c r="H43" s="153">
        <v>489.7</v>
      </c>
      <c r="I43" s="152">
        <v>1524</v>
      </c>
      <c r="J43" s="153">
        <v>1395.1</v>
      </c>
      <c r="K43" s="152">
        <v>67</v>
      </c>
      <c r="L43" s="153">
        <v>47</v>
      </c>
      <c r="M43" s="135">
        <f t="shared" si="15"/>
        <v>1922</v>
      </c>
      <c r="N43" s="134">
        <f>(SUM(H43,J43,L43))/1000</f>
        <v>1.9318</v>
      </c>
      <c r="O43" s="154" t="s">
        <v>290</v>
      </c>
      <c r="P43" s="159" t="s">
        <v>290</v>
      </c>
      <c r="Q43" s="136" t="s">
        <v>58</v>
      </c>
      <c r="R43" s="5"/>
      <c r="S43" s="5"/>
      <c r="T43" s="5"/>
      <c r="U43" s="130"/>
      <c r="V43" s="130"/>
    </row>
    <row r="44" spans="1:22">
      <c r="A44" s="4" t="s">
        <v>59</v>
      </c>
      <c r="B44" s="145">
        <f t="shared" si="14"/>
        <v>1361</v>
      </c>
      <c r="C44" s="152">
        <v>592</v>
      </c>
      <c r="D44" s="153">
        <v>2829.65</v>
      </c>
      <c r="E44" s="152">
        <v>410</v>
      </c>
      <c r="F44" s="153">
        <v>992.52499999999998</v>
      </c>
      <c r="G44" s="152">
        <v>17</v>
      </c>
      <c r="H44" s="153">
        <v>70.2</v>
      </c>
      <c r="I44" s="152">
        <v>176</v>
      </c>
      <c r="J44" s="153">
        <v>401</v>
      </c>
      <c r="K44" s="152">
        <v>166</v>
      </c>
      <c r="L44" s="153">
        <v>396.45499999999998</v>
      </c>
      <c r="M44" s="135">
        <f t="shared" si="15"/>
        <v>359</v>
      </c>
      <c r="N44" s="134">
        <f>(SUM(H44,J44,L44))/1000</f>
        <v>0.86765499999999995</v>
      </c>
      <c r="O44" s="154" t="s">
        <v>290</v>
      </c>
      <c r="P44" s="159" t="s">
        <v>290</v>
      </c>
      <c r="Q44" s="136" t="s">
        <v>60</v>
      </c>
      <c r="R44" s="5"/>
      <c r="S44" s="5"/>
      <c r="T44" s="5"/>
      <c r="U44" s="130"/>
      <c r="V44" s="130"/>
    </row>
    <row r="45" spans="1:22">
      <c r="A45" s="4" t="s">
        <v>61</v>
      </c>
      <c r="B45" s="145">
        <f t="shared" si="14"/>
        <v>8</v>
      </c>
      <c r="C45" s="152">
        <v>3</v>
      </c>
      <c r="D45" s="153">
        <v>6</v>
      </c>
      <c r="E45" s="152">
        <v>1</v>
      </c>
      <c r="F45" s="153">
        <v>2</v>
      </c>
      <c r="G45" s="152">
        <v>4</v>
      </c>
      <c r="H45" s="153">
        <v>16</v>
      </c>
      <c r="I45" s="154" t="s">
        <v>290</v>
      </c>
      <c r="J45" s="155" t="s">
        <v>290</v>
      </c>
      <c r="K45" s="154" t="s">
        <v>290</v>
      </c>
      <c r="L45" s="155" t="s">
        <v>290</v>
      </c>
      <c r="M45" s="135">
        <f t="shared" si="15"/>
        <v>4</v>
      </c>
      <c r="N45" s="134">
        <f>(SUM(H45,J45,L45))/1000</f>
        <v>1.6E-2</v>
      </c>
      <c r="O45" s="154" t="s">
        <v>290</v>
      </c>
      <c r="P45" s="159" t="s">
        <v>290</v>
      </c>
      <c r="Q45" s="221" t="s">
        <v>62</v>
      </c>
      <c r="R45" s="221"/>
      <c r="S45" s="221"/>
      <c r="T45" s="5"/>
      <c r="U45" s="130"/>
      <c r="V45" s="130"/>
    </row>
    <row r="46" spans="1:22">
      <c r="A46" s="4" t="s">
        <v>63</v>
      </c>
      <c r="B46" s="145">
        <f t="shared" si="14"/>
        <v>7653</v>
      </c>
      <c r="C46" s="152">
        <v>2302</v>
      </c>
      <c r="D46" s="153">
        <v>12247.7</v>
      </c>
      <c r="E46" s="152">
        <v>3671</v>
      </c>
      <c r="F46" s="153">
        <v>11494.3</v>
      </c>
      <c r="G46" s="152">
        <v>299</v>
      </c>
      <c r="H46" s="153">
        <v>770.6</v>
      </c>
      <c r="I46" s="152">
        <v>1226</v>
      </c>
      <c r="J46" s="153">
        <v>2265.8000000000002</v>
      </c>
      <c r="K46" s="152">
        <v>155</v>
      </c>
      <c r="L46" s="153">
        <v>406.85</v>
      </c>
      <c r="M46" s="135">
        <f t="shared" si="15"/>
        <v>1680</v>
      </c>
      <c r="N46" s="134">
        <f>(SUM(H46,J46,L46))/1000</f>
        <v>3.4432499999999999</v>
      </c>
      <c r="O46" s="154" t="s">
        <v>290</v>
      </c>
      <c r="P46" s="159" t="s">
        <v>290</v>
      </c>
      <c r="Q46" s="136" t="s">
        <v>64</v>
      </c>
      <c r="R46" s="5"/>
      <c r="S46" s="5"/>
      <c r="T46" s="5"/>
      <c r="U46" s="130"/>
      <c r="V46" s="130"/>
    </row>
    <row r="47" spans="1:22">
      <c r="A47" s="218" t="s">
        <v>65</v>
      </c>
      <c r="B47" s="217">
        <f>SUM(B49:B53)</f>
        <v>35726</v>
      </c>
      <c r="C47" s="191">
        <f>SUM(C49:C53)</f>
        <v>6842</v>
      </c>
      <c r="D47" s="191">
        <f t="shared" ref="D47:P47" si="16">SUM(D49:D53)</f>
        <v>25347.83</v>
      </c>
      <c r="E47" s="191">
        <f t="shared" si="16"/>
        <v>7311</v>
      </c>
      <c r="F47" s="191">
        <f t="shared" si="16"/>
        <v>14334.643</v>
      </c>
      <c r="G47" s="191">
        <f t="shared" si="16"/>
        <v>5496</v>
      </c>
      <c r="H47" s="191">
        <f t="shared" si="16"/>
        <v>14259.260000000002</v>
      </c>
      <c r="I47" s="191">
        <f t="shared" si="16"/>
        <v>8141</v>
      </c>
      <c r="J47" s="191">
        <f t="shared" si="16"/>
        <v>20100.48</v>
      </c>
      <c r="K47" s="191">
        <f t="shared" si="16"/>
        <v>7928</v>
      </c>
      <c r="L47" s="191">
        <f t="shared" si="16"/>
        <v>18572.82</v>
      </c>
      <c r="M47" s="191">
        <f>SUM(G47,I47,K47)</f>
        <v>21565</v>
      </c>
      <c r="N47" s="191">
        <f>SUM(H47,J47,L47)</f>
        <v>52932.560000000005</v>
      </c>
      <c r="O47" s="191">
        <f t="shared" si="16"/>
        <v>8</v>
      </c>
      <c r="P47" s="192">
        <f t="shared" si="16"/>
        <v>14.8</v>
      </c>
      <c r="Q47" s="222" t="s">
        <v>66</v>
      </c>
      <c r="R47" s="222"/>
      <c r="S47" s="222"/>
      <c r="T47" s="5"/>
      <c r="U47" s="130"/>
      <c r="V47" s="130"/>
    </row>
    <row r="48" spans="1:22">
      <c r="A48" s="218"/>
      <c r="B48" s="217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2"/>
      <c r="Q48" s="222"/>
      <c r="R48" s="222"/>
      <c r="S48" s="222"/>
      <c r="T48" s="5"/>
      <c r="U48" s="130"/>
      <c r="V48" s="130"/>
    </row>
    <row r="49" spans="1:22">
      <c r="A49" s="4" t="s">
        <v>67</v>
      </c>
      <c r="B49" s="145">
        <f t="shared" ref="B49:B53" si="17">SUM(C49,E49,G49,I49,K49,O49)</f>
        <v>9603</v>
      </c>
      <c r="C49" s="152">
        <v>1655</v>
      </c>
      <c r="D49" s="153">
        <v>6164.6</v>
      </c>
      <c r="E49" s="152">
        <v>1485</v>
      </c>
      <c r="F49" s="153">
        <v>2515.4</v>
      </c>
      <c r="G49" s="152">
        <v>2540</v>
      </c>
      <c r="H49" s="153">
        <v>6566.79</v>
      </c>
      <c r="I49" s="152">
        <v>2548</v>
      </c>
      <c r="J49" s="153">
        <v>7137.8</v>
      </c>
      <c r="K49" s="152">
        <v>1375</v>
      </c>
      <c r="L49" s="153">
        <v>2807.8</v>
      </c>
      <c r="M49" s="135">
        <f t="shared" ref="M49:M53" si="18">SUM(G49,I49,K49)</f>
        <v>6463</v>
      </c>
      <c r="N49" s="134">
        <f>(SUM(H49,J49,L49))/1000</f>
        <v>16.51239</v>
      </c>
      <c r="O49" s="154" t="s">
        <v>290</v>
      </c>
      <c r="P49" s="159" t="s">
        <v>290</v>
      </c>
      <c r="Q49" s="136" t="s">
        <v>68</v>
      </c>
      <c r="R49" s="5"/>
      <c r="S49" s="5"/>
      <c r="T49" s="5"/>
      <c r="U49" s="130"/>
      <c r="V49" s="130"/>
    </row>
    <row r="50" spans="1:22">
      <c r="A50" s="4" t="s">
        <v>69</v>
      </c>
      <c r="B50" s="145">
        <f t="shared" si="17"/>
        <v>16357</v>
      </c>
      <c r="C50" s="152">
        <v>2939</v>
      </c>
      <c r="D50" s="153">
        <v>11187.2</v>
      </c>
      <c r="E50" s="152">
        <v>4124</v>
      </c>
      <c r="F50" s="153">
        <v>8428</v>
      </c>
      <c r="G50" s="152">
        <v>422</v>
      </c>
      <c r="H50" s="153">
        <v>905</v>
      </c>
      <c r="I50" s="152">
        <v>3455</v>
      </c>
      <c r="J50" s="153">
        <v>8541.7999999999993</v>
      </c>
      <c r="K50" s="152">
        <v>5415</v>
      </c>
      <c r="L50" s="153">
        <v>9740.4</v>
      </c>
      <c r="M50" s="135">
        <f t="shared" si="18"/>
        <v>9292</v>
      </c>
      <c r="N50" s="134">
        <f>(SUM(H50,J50,L50))/1000</f>
        <v>19.187199999999997</v>
      </c>
      <c r="O50" s="152">
        <v>2</v>
      </c>
      <c r="P50" s="160">
        <v>4.8</v>
      </c>
      <c r="Q50" s="136" t="s">
        <v>70</v>
      </c>
      <c r="R50" s="5"/>
      <c r="S50" s="5"/>
      <c r="T50" s="5"/>
      <c r="U50" s="130"/>
      <c r="V50" s="130"/>
    </row>
    <row r="51" spans="1:22">
      <c r="A51" s="4" t="s">
        <v>71</v>
      </c>
      <c r="B51" s="145">
        <f t="shared" si="17"/>
        <v>9189</v>
      </c>
      <c r="C51" s="152">
        <v>2237</v>
      </c>
      <c r="D51" s="153">
        <v>7965.43</v>
      </c>
      <c r="E51" s="152">
        <v>1693</v>
      </c>
      <c r="F51" s="153">
        <v>3376.1930000000002</v>
      </c>
      <c r="G51" s="152">
        <v>2460</v>
      </c>
      <c r="H51" s="153">
        <v>6701.27</v>
      </c>
      <c r="I51" s="152">
        <v>1656</v>
      </c>
      <c r="J51" s="153">
        <v>3843.83</v>
      </c>
      <c r="K51" s="152">
        <v>1137</v>
      </c>
      <c r="L51" s="153">
        <v>6023.62</v>
      </c>
      <c r="M51" s="135">
        <f t="shared" si="18"/>
        <v>5253</v>
      </c>
      <c r="N51" s="134">
        <f>(SUM(H51,J51,L51))/1000</f>
        <v>16.568720000000003</v>
      </c>
      <c r="O51" s="152">
        <v>6</v>
      </c>
      <c r="P51" s="160">
        <v>10</v>
      </c>
      <c r="Q51" s="136" t="s">
        <v>72</v>
      </c>
      <c r="R51" s="5"/>
      <c r="S51" s="5"/>
      <c r="T51" s="5"/>
      <c r="U51" s="130"/>
      <c r="V51" s="130"/>
    </row>
    <row r="52" spans="1:22">
      <c r="A52" s="4" t="s">
        <v>73</v>
      </c>
      <c r="B52" s="145">
        <f t="shared" si="17"/>
        <v>239</v>
      </c>
      <c r="C52" s="152">
        <v>2</v>
      </c>
      <c r="D52" s="153">
        <v>0.6</v>
      </c>
      <c r="E52" s="152">
        <v>3</v>
      </c>
      <c r="F52" s="153">
        <v>0.55000000000000004</v>
      </c>
      <c r="G52" s="154" t="s">
        <v>290</v>
      </c>
      <c r="H52" s="155" t="s">
        <v>290</v>
      </c>
      <c r="I52" s="152">
        <v>233</v>
      </c>
      <c r="J52" s="153">
        <v>266.95</v>
      </c>
      <c r="K52" s="152">
        <v>1</v>
      </c>
      <c r="L52" s="153">
        <v>1</v>
      </c>
      <c r="M52" s="135">
        <f t="shared" si="18"/>
        <v>234</v>
      </c>
      <c r="N52" s="134">
        <f>(SUM(H52,J52,L52))/1000</f>
        <v>0.26794999999999997</v>
      </c>
      <c r="O52" s="154" t="s">
        <v>290</v>
      </c>
      <c r="P52" s="159" t="s">
        <v>290</v>
      </c>
      <c r="Q52" s="136" t="s">
        <v>74</v>
      </c>
      <c r="R52" s="5"/>
      <c r="S52" s="5"/>
      <c r="T52" s="5"/>
      <c r="U52" s="130"/>
      <c r="V52" s="130"/>
    </row>
    <row r="53" spans="1:22">
      <c r="A53" s="4" t="s">
        <v>75</v>
      </c>
      <c r="B53" s="145">
        <f t="shared" si="17"/>
        <v>338</v>
      </c>
      <c r="C53" s="152">
        <v>9</v>
      </c>
      <c r="D53" s="153">
        <v>30</v>
      </c>
      <c r="E53" s="152">
        <v>6</v>
      </c>
      <c r="F53" s="153">
        <v>14.5</v>
      </c>
      <c r="G53" s="152">
        <v>74</v>
      </c>
      <c r="H53" s="153">
        <v>86.2</v>
      </c>
      <c r="I53" s="152">
        <v>249</v>
      </c>
      <c r="J53" s="153">
        <v>310.10000000000002</v>
      </c>
      <c r="K53" s="154" t="s">
        <v>290</v>
      </c>
      <c r="L53" s="155" t="s">
        <v>290</v>
      </c>
      <c r="M53" s="135">
        <f t="shared" si="18"/>
        <v>323</v>
      </c>
      <c r="N53" s="134">
        <f>(SUM(H53,J53,L53))/1000</f>
        <v>0.39629999999999999</v>
      </c>
      <c r="O53" s="154" t="s">
        <v>290</v>
      </c>
      <c r="P53" s="159" t="s">
        <v>290</v>
      </c>
      <c r="Q53" s="136" t="s">
        <v>76</v>
      </c>
      <c r="R53" s="5"/>
      <c r="S53" s="5"/>
      <c r="T53" s="5"/>
      <c r="U53" s="130"/>
      <c r="V53" s="130"/>
    </row>
    <row r="54" spans="1:22">
      <c r="A54" s="216" t="s">
        <v>77</v>
      </c>
      <c r="B54" s="217">
        <f>SUM(B56:B60)</f>
        <v>11630</v>
      </c>
      <c r="C54" s="191">
        <f>SUM(C56:C60)</f>
        <v>1173</v>
      </c>
      <c r="D54" s="191">
        <f t="shared" ref="D54:P54" si="19">SUM(D56:D60)</f>
        <v>3640.7419999999997</v>
      </c>
      <c r="E54" s="191">
        <f t="shared" si="19"/>
        <v>925</v>
      </c>
      <c r="F54" s="191">
        <f t="shared" si="19"/>
        <v>1914.9069999999999</v>
      </c>
      <c r="G54" s="191">
        <f t="shared" si="19"/>
        <v>7260</v>
      </c>
      <c r="H54" s="191">
        <f t="shared" si="19"/>
        <v>10092.76</v>
      </c>
      <c r="I54" s="191">
        <f t="shared" si="19"/>
        <v>988</v>
      </c>
      <c r="J54" s="191">
        <f t="shared" si="19"/>
        <v>934.65800000000013</v>
      </c>
      <c r="K54" s="191">
        <f t="shared" si="19"/>
        <v>1273</v>
      </c>
      <c r="L54" s="191">
        <f t="shared" si="19"/>
        <v>1290.633</v>
      </c>
      <c r="M54" s="191">
        <f>SUM(G54,I54,K54)</f>
        <v>9521</v>
      </c>
      <c r="N54" s="191">
        <f>SUM(H54,J54,L54)</f>
        <v>12318.050999999999</v>
      </c>
      <c r="O54" s="191">
        <f t="shared" si="19"/>
        <v>11</v>
      </c>
      <c r="P54" s="192">
        <f t="shared" si="19"/>
        <v>8.9</v>
      </c>
      <c r="Q54" s="220" t="s">
        <v>78</v>
      </c>
      <c r="R54" s="220"/>
      <c r="S54" s="220"/>
      <c r="T54" s="5"/>
      <c r="U54" s="130"/>
      <c r="V54" s="130"/>
    </row>
    <row r="55" spans="1:22">
      <c r="A55" s="216"/>
      <c r="B55" s="217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2"/>
      <c r="Q55" s="220"/>
      <c r="R55" s="220"/>
      <c r="S55" s="220"/>
      <c r="T55" s="5"/>
      <c r="U55" s="130"/>
      <c r="V55" s="130"/>
    </row>
    <row r="56" spans="1:22">
      <c r="A56" s="4" t="s">
        <v>79</v>
      </c>
      <c r="B56" s="145">
        <f t="shared" ref="B56:B60" si="20">SUM(C56,E56,G56,I56,K56,O56)</f>
        <v>8093</v>
      </c>
      <c r="C56" s="152">
        <v>380</v>
      </c>
      <c r="D56" s="153">
        <v>757.89200000000005</v>
      </c>
      <c r="E56" s="152">
        <v>233</v>
      </c>
      <c r="F56" s="153">
        <v>288.298</v>
      </c>
      <c r="G56" s="152">
        <v>5932</v>
      </c>
      <c r="H56" s="153">
        <v>7852.875</v>
      </c>
      <c r="I56" s="152">
        <v>797</v>
      </c>
      <c r="J56" s="153">
        <v>777.74800000000005</v>
      </c>
      <c r="K56" s="152">
        <v>744</v>
      </c>
      <c r="L56" s="153">
        <v>565.27</v>
      </c>
      <c r="M56" s="135">
        <f t="shared" ref="M56:M60" si="21">SUM(G56,I56,K56)</f>
        <v>7473</v>
      </c>
      <c r="N56" s="134">
        <f>(SUM(H56,J56,L56))/1000</f>
        <v>9.1958929999999999</v>
      </c>
      <c r="O56" s="152">
        <v>7</v>
      </c>
      <c r="P56" s="160">
        <v>6.9</v>
      </c>
      <c r="Q56" s="136" t="s">
        <v>80</v>
      </c>
      <c r="R56" s="5"/>
      <c r="S56" s="5"/>
      <c r="T56" s="5"/>
      <c r="U56" s="130"/>
      <c r="V56" s="130"/>
    </row>
    <row r="57" spans="1:22">
      <c r="A57" s="4" t="s">
        <v>81</v>
      </c>
      <c r="B57" s="145">
        <f t="shared" si="20"/>
        <v>1904</v>
      </c>
      <c r="C57" s="152">
        <v>412</v>
      </c>
      <c r="D57" s="153">
        <v>507.4</v>
      </c>
      <c r="E57" s="152">
        <v>364</v>
      </c>
      <c r="F57" s="153">
        <v>504.339</v>
      </c>
      <c r="G57" s="152">
        <v>686</v>
      </c>
      <c r="H57" s="153">
        <v>820.04499999999996</v>
      </c>
      <c r="I57" s="152">
        <v>121</v>
      </c>
      <c r="J57" s="153">
        <v>127.7</v>
      </c>
      <c r="K57" s="152">
        <v>321</v>
      </c>
      <c r="L57" s="153">
        <v>339.77300000000002</v>
      </c>
      <c r="M57" s="135">
        <f t="shared" si="21"/>
        <v>1128</v>
      </c>
      <c r="N57" s="134">
        <f>(SUM(H57,J57,L57))/1000</f>
        <v>1.2875179999999999</v>
      </c>
      <c r="O57" s="154" t="s">
        <v>290</v>
      </c>
      <c r="P57" s="159" t="s">
        <v>290</v>
      </c>
      <c r="Q57" s="136" t="s">
        <v>82</v>
      </c>
      <c r="R57" s="5"/>
      <c r="S57" s="5"/>
      <c r="T57" s="5"/>
      <c r="U57" s="130"/>
      <c r="V57" s="130"/>
    </row>
    <row r="58" spans="1:22">
      <c r="A58" s="4" t="s">
        <v>83</v>
      </c>
      <c r="B58" s="145">
        <f t="shared" si="20"/>
        <v>18</v>
      </c>
      <c r="C58" s="154" t="s">
        <v>290</v>
      </c>
      <c r="D58" s="155" t="s">
        <v>290</v>
      </c>
      <c r="E58" s="154" t="s">
        <v>290</v>
      </c>
      <c r="F58" s="155" t="s">
        <v>290</v>
      </c>
      <c r="G58" s="152">
        <v>8</v>
      </c>
      <c r="H58" s="153">
        <v>1.1200000000000001</v>
      </c>
      <c r="I58" s="152">
        <v>10</v>
      </c>
      <c r="J58" s="153">
        <v>1.48</v>
      </c>
      <c r="K58" s="154" t="s">
        <v>290</v>
      </c>
      <c r="L58" s="155" t="s">
        <v>290</v>
      </c>
      <c r="M58" s="135">
        <f t="shared" si="21"/>
        <v>18</v>
      </c>
      <c r="N58" s="134">
        <f>(SUM(H58,J58,L58))/1000</f>
        <v>2.5999999999999999E-3</v>
      </c>
      <c r="O58" s="154" t="s">
        <v>290</v>
      </c>
      <c r="P58" s="159" t="s">
        <v>290</v>
      </c>
      <c r="Q58" s="136" t="s">
        <v>84</v>
      </c>
      <c r="R58" s="5"/>
      <c r="S58" s="5"/>
      <c r="T58" s="5"/>
      <c r="U58" s="130"/>
      <c r="V58" s="130"/>
    </row>
    <row r="59" spans="1:22">
      <c r="A59" s="4" t="s">
        <v>85</v>
      </c>
      <c r="B59" s="145">
        <f t="shared" si="20"/>
        <v>1483</v>
      </c>
      <c r="C59" s="152">
        <v>362</v>
      </c>
      <c r="D59" s="153">
        <v>2356.4499999999998</v>
      </c>
      <c r="E59" s="152">
        <v>325</v>
      </c>
      <c r="F59" s="153">
        <v>1119.27</v>
      </c>
      <c r="G59" s="152">
        <v>534</v>
      </c>
      <c r="H59" s="153">
        <v>1328.72</v>
      </c>
      <c r="I59" s="152">
        <v>60</v>
      </c>
      <c r="J59" s="153">
        <v>27.73</v>
      </c>
      <c r="K59" s="152">
        <v>198</v>
      </c>
      <c r="L59" s="153">
        <v>375.59</v>
      </c>
      <c r="M59" s="135">
        <f t="shared" si="21"/>
        <v>792</v>
      </c>
      <c r="N59" s="134">
        <f>(SUM(H59,J59,L59))/1000</f>
        <v>1.73204</v>
      </c>
      <c r="O59" s="152">
        <v>4</v>
      </c>
      <c r="P59" s="160">
        <v>2</v>
      </c>
      <c r="Q59" s="136" t="s">
        <v>86</v>
      </c>
      <c r="R59" s="5"/>
      <c r="S59" s="5"/>
      <c r="T59" s="5"/>
      <c r="U59" s="130"/>
      <c r="V59" s="130"/>
    </row>
    <row r="60" spans="1:22">
      <c r="A60" s="4" t="s">
        <v>87</v>
      </c>
      <c r="B60" s="145">
        <f t="shared" si="20"/>
        <v>132</v>
      </c>
      <c r="C60" s="152">
        <v>19</v>
      </c>
      <c r="D60" s="153">
        <v>19</v>
      </c>
      <c r="E60" s="152">
        <v>3</v>
      </c>
      <c r="F60" s="153">
        <v>3</v>
      </c>
      <c r="G60" s="152">
        <v>100</v>
      </c>
      <c r="H60" s="153">
        <v>90</v>
      </c>
      <c r="I60" s="154" t="s">
        <v>290</v>
      </c>
      <c r="J60" s="155" t="s">
        <v>290</v>
      </c>
      <c r="K60" s="152">
        <v>10</v>
      </c>
      <c r="L60" s="153">
        <v>10</v>
      </c>
      <c r="M60" s="135">
        <f t="shared" si="21"/>
        <v>110</v>
      </c>
      <c r="N60" s="134">
        <f>(SUM(H60,J60,L60))/1000</f>
        <v>0.1</v>
      </c>
      <c r="O60" s="154" t="s">
        <v>290</v>
      </c>
      <c r="P60" s="159" t="s">
        <v>290</v>
      </c>
      <c r="Q60" s="136" t="s">
        <v>88</v>
      </c>
      <c r="R60" s="5"/>
      <c r="S60" s="5"/>
      <c r="T60" s="5"/>
      <c r="U60" s="130"/>
      <c r="V60" s="130"/>
    </row>
    <row r="61" spans="1:22">
      <c r="A61" s="218" t="s">
        <v>89</v>
      </c>
      <c r="B61" s="217">
        <f>SUM(B63:B65)</f>
        <v>133299</v>
      </c>
      <c r="C61" s="191">
        <f>SUM(C63:C65)</f>
        <v>54566</v>
      </c>
      <c r="D61" s="191">
        <f t="shared" ref="D61:P61" si="22">SUM(D63:D65)</f>
        <v>209832.84999999998</v>
      </c>
      <c r="E61" s="191">
        <f t="shared" si="22"/>
        <v>14898</v>
      </c>
      <c r="F61" s="191">
        <f t="shared" si="22"/>
        <v>40835.284999999996</v>
      </c>
      <c r="G61" s="191">
        <f t="shared" si="22"/>
        <v>37215</v>
      </c>
      <c r="H61" s="191">
        <f t="shared" si="22"/>
        <v>101019.53</v>
      </c>
      <c r="I61" s="191">
        <f t="shared" si="22"/>
        <v>3429</v>
      </c>
      <c r="J61" s="191">
        <f t="shared" si="22"/>
        <v>5769.44</v>
      </c>
      <c r="K61" s="191">
        <f t="shared" si="22"/>
        <v>22924</v>
      </c>
      <c r="L61" s="191">
        <f t="shared" si="22"/>
        <v>43118.35</v>
      </c>
      <c r="M61" s="191">
        <f>SUM(G61,I61,K61)</f>
        <v>63568</v>
      </c>
      <c r="N61" s="191">
        <f>SUM(H61,J61,L61)</f>
        <v>149907.32</v>
      </c>
      <c r="O61" s="191">
        <f t="shared" si="22"/>
        <v>267</v>
      </c>
      <c r="P61" s="192">
        <f t="shared" si="22"/>
        <v>525.5</v>
      </c>
      <c r="Q61" s="222" t="s">
        <v>90</v>
      </c>
      <c r="R61" s="222"/>
      <c r="S61" s="222"/>
      <c r="T61" s="5"/>
      <c r="U61" s="130"/>
      <c r="V61" s="130"/>
    </row>
    <row r="62" spans="1:22">
      <c r="A62" s="218"/>
      <c r="B62" s="217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2"/>
      <c r="Q62" s="222"/>
      <c r="R62" s="222"/>
      <c r="S62" s="222"/>
      <c r="T62" s="5"/>
      <c r="U62" s="130"/>
      <c r="V62" s="130"/>
    </row>
    <row r="63" spans="1:22">
      <c r="A63" s="4" t="s">
        <v>91</v>
      </c>
      <c r="B63" s="145">
        <f>SUM(C63,E63,G63,I63,K63,O63)</f>
        <v>14989</v>
      </c>
      <c r="C63" s="152">
        <v>3332</v>
      </c>
      <c r="D63" s="153">
        <v>16499.400000000001</v>
      </c>
      <c r="E63" s="152">
        <v>488</v>
      </c>
      <c r="F63" s="153">
        <v>1748.9</v>
      </c>
      <c r="G63" s="152">
        <v>5929</v>
      </c>
      <c r="H63" s="153">
        <v>22003.5</v>
      </c>
      <c r="I63" s="152">
        <v>899</v>
      </c>
      <c r="J63" s="153">
        <v>1812.6</v>
      </c>
      <c r="K63" s="152">
        <v>4336</v>
      </c>
      <c r="L63" s="153">
        <v>5844</v>
      </c>
      <c r="M63" s="135">
        <f t="shared" ref="M63:M65" si="23">SUM(G63,I63,K63)</f>
        <v>11164</v>
      </c>
      <c r="N63" s="134">
        <f>(SUM(H63,J63,L63))/1000</f>
        <v>29.6601</v>
      </c>
      <c r="O63" s="152">
        <v>5</v>
      </c>
      <c r="P63" s="160">
        <v>2</v>
      </c>
      <c r="Q63" s="136" t="s">
        <v>92</v>
      </c>
      <c r="R63" s="5"/>
      <c r="S63" s="5"/>
      <c r="T63" s="5"/>
      <c r="U63" s="130"/>
      <c r="V63" s="130"/>
    </row>
    <row r="64" spans="1:22">
      <c r="A64" s="4" t="s">
        <v>93</v>
      </c>
      <c r="B64" s="145">
        <f>SUM(C64,E64,G64,I64,K64,O64)</f>
        <v>22935</v>
      </c>
      <c r="C64" s="152">
        <v>6021</v>
      </c>
      <c r="D64" s="153">
        <v>16637.05</v>
      </c>
      <c r="E64" s="152">
        <v>5391</v>
      </c>
      <c r="F64" s="153">
        <v>9015.9449999999997</v>
      </c>
      <c r="G64" s="152">
        <v>8353</v>
      </c>
      <c r="H64" s="153">
        <v>10024.93</v>
      </c>
      <c r="I64" s="152">
        <v>2083</v>
      </c>
      <c r="J64" s="153">
        <v>2715.14</v>
      </c>
      <c r="K64" s="152">
        <v>1020</v>
      </c>
      <c r="L64" s="153">
        <v>1425.25</v>
      </c>
      <c r="M64" s="135">
        <f t="shared" si="23"/>
        <v>11456</v>
      </c>
      <c r="N64" s="134">
        <f>(SUM(H64,J64,L64))/1000</f>
        <v>14.165319999999999</v>
      </c>
      <c r="O64" s="152">
        <v>67</v>
      </c>
      <c r="P64" s="160">
        <v>58.5</v>
      </c>
      <c r="Q64" s="221" t="s">
        <v>94</v>
      </c>
      <c r="R64" s="221"/>
      <c r="S64" s="221"/>
      <c r="T64" s="5"/>
      <c r="U64" s="130"/>
      <c r="V64" s="130"/>
    </row>
    <row r="65" spans="1:22">
      <c r="A65" s="4" t="s">
        <v>95</v>
      </c>
      <c r="B65" s="145">
        <f>SUM(C65,E65,G65,I65,K65,O65)</f>
        <v>95375</v>
      </c>
      <c r="C65" s="152">
        <v>45213</v>
      </c>
      <c r="D65" s="153">
        <v>176696.4</v>
      </c>
      <c r="E65" s="152">
        <v>9019</v>
      </c>
      <c r="F65" s="153">
        <v>30070.44</v>
      </c>
      <c r="G65" s="152">
        <v>22933</v>
      </c>
      <c r="H65" s="153">
        <v>68991.100000000006</v>
      </c>
      <c r="I65" s="152">
        <v>447</v>
      </c>
      <c r="J65" s="153">
        <v>1241.7</v>
      </c>
      <c r="K65" s="152">
        <v>17568</v>
      </c>
      <c r="L65" s="153">
        <v>35849.1</v>
      </c>
      <c r="M65" s="135">
        <f t="shared" si="23"/>
        <v>40948</v>
      </c>
      <c r="N65" s="134">
        <f>(SUM(H65,J65,L65))/1000</f>
        <v>106.08189999999999</v>
      </c>
      <c r="O65" s="152">
        <v>195</v>
      </c>
      <c r="P65" s="160">
        <v>465</v>
      </c>
      <c r="Q65" s="136" t="s">
        <v>96</v>
      </c>
      <c r="R65" s="5"/>
      <c r="S65" s="5"/>
      <c r="T65" s="5"/>
      <c r="U65" s="130"/>
      <c r="V65" s="130"/>
    </row>
    <row r="66" spans="1:22">
      <c r="A66" s="218" t="s">
        <v>97</v>
      </c>
      <c r="B66" s="217">
        <f>SUM(B68:B72)</f>
        <v>50636</v>
      </c>
      <c r="C66" s="191">
        <f>SUM(C68:C72)</f>
        <v>11838</v>
      </c>
      <c r="D66" s="191">
        <f t="shared" ref="D66:P66" si="24">SUM(D68:D72)</f>
        <v>57979.12</v>
      </c>
      <c r="E66" s="191">
        <f t="shared" si="24"/>
        <v>3650</v>
      </c>
      <c r="F66" s="191">
        <f t="shared" si="24"/>
        <v>9101.0720000000001</v>
      </c>
      <c r="G66" s="191">
        <f t="shared" si="24"/>
        <v>14882</v>
      </c>
      <c r="H66" s="191">
        <f t="shared" si="24"/>
        <v>42711.51</v>
      </c>
      <c r="I66" s="191">
        <f t="shared" si="24"/>
        <v>14707</v>
      </c>
      <c r="J66" s="191">
        <f t="shared" si="24"/>
        <v>39670.420000000006</v>
      </c>
      <c r="K66" s="191">
        <f t="shared" si="24"/>
        <v>5558</v>
      </c>
      <c r="L66" s="191">
        <f t="shared" si="24"/>
        <v>11148.29</v>
      </c>
      <c r="M66" s="191">
        <f>SUM(G66,I66,K66)</f>
        <v>35147</v>
      </c>
      <c r="N66" s="191">
        <f>SUM(H66,J66,L66)</f>
        <v>93530.22</v>
      </c>
      <c r="O66" s="191">
        <f t="shared" si="24"/>
        <v>1</v>
      </c>
      <c r="P66" s="192">
        <f t="shared" si="24"/>
        <v>4</v>
      </c>
      <c r="Q66" s="222" t="s">
        <v>98</v>
      </c>
      <c r="R66" s="222"/>
      <c r="S66" s="222"/>
      <c r="T66" s="5"/>
      <c r="U66" s="130"/>
      <c r="V66" s="130"/>
    </row>
    <row r="67" spans="1:22">
      <c r="A67" s="218"/>
      <c r="B67" s="21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2"/>
      <c r="Q67" s="222"/>
      <c r="R67" s="222"/>
      <c r="S67" s="222"/>
      <c r="T67" s="5"/>
      <c r="U67" s="130"/>
      <c r="V67" s="130"/>
    </row>
    <row r="68" spans="1:22">
      <c r="A68" s="4" t="s">
        <v>99</v>
      </c>
      <c r="B68" s="145">
        <f>SUM(C68,E68,G68,I68,K68,O68)</f>
        <v>8984</v>
      </c>
      <c r="C68" s="152">
        <v>180</v>
      </c>
      <c r="D68" s="153">
        <v>713.3</v>
      </c>
      <c r="E68" s="152">
        <v>161</v>
      </c>
      <c r="F68" s="153">
        <v>366.85</v>
      </c>
      <c r="G68" s="152">
        <v>223</v>
      </c>
      <c r="H68" s="153">
        <v>509</v>
      </c>
      <c r="I68" s="152">
        <v>8365</v>
      </c>
      <c r="J68" s="153">
        <v>27100</v>
      </c>
      <c r="K68" s="152">
        <v>55</v>
      </c>
      <c r="L68" s="153">
        <v>162</v>
      </c>
      <c r="M68" s="135">
        <f t="shared" ref="M68:M72" si="25">SUM(G68,I68,K68)</f>
        <v>8643</v>
      </c>
      <c r="N68" s="134">
        <f>(SUM(H68,J68,L68))/1000</f>
        <v>27.771000000000001</v>
      </c>
      <c r="O68" s="154" t="s">
        <v>290</v>
      </c>
      <c r="P68" s="159" t="s">
        <v>290</v>
      </c>
      <c r="Q68" s="136" t="s">
        <v>100</v>
      </c>
      <c r="R68" s="5"/>
      <c r="S68" s="5"/>
      <c r="T68" s="5"/>
      <c r="U68" s="130"/>
      <c r="V68" s="130"/>
    </row>
    <row r="69" spans="1:22">
      <c r="A69" s="4" t="s">
        <v>101</v>
      </c>
      <c r="B69" s="145">
        <f t="shared" ref="B68:B72" si="26">SUM(C69,E69,G69,I69,K69,O69)</f>
        <v>3658</v>
      </c>
      <c r="C69" s="152">
        <v>485</v>
      </c>
      <c r="D69" s="153">
        <v>1675.5</v>
      </c>
      <c r="E69" s="152">
        <v>985</v>
      </c>
      <c r="F69" s="153">
        <v>2306</v>
      </c>
      <c r="G69" s="152">
        <v>926</v>
      </c>
      <c r="H69" s="153">
        <v>2727.8</v>
      </c>
      <c r="I69" s="152">
        <v>728</v>
      </c>
      <c r="J69" s="153">
        <v>1630.2</v>
      </c>
      <c r="K69" s="152">
        <v>533</v>
      </c>
      <c r="L69" s="153">
        <v>996.9</v>
      </c>
      <c r="M69" s="135">
        <f t="shared" si="25"/>
        <v>2187</v>
      </c>
      <c r="N69" s="134">
        <f>(SUM(H69,J69,L69))/1000</f>
        <v>5.3548999999999998</v>
      </c>
      <c r="O69" s="152">
        <v>1</v>
      </c>
      <c r="P69" s="160">
        <v>4</v>
      </c>
      <c r="Q69" s="136" t="s">
        <v>102</v>
      </c>
      <c r="R69" s="5"/>
      <c r="S69" s="5"/>
      <c r="T69" s="5"/>
      <c r="U69" s="130"/>
      <c r="V69" s="130"/>
    </row>
    <row r="70" spans="1:22">
      <c r="A70" s="4" t="s">
        <v>103</v>
      </c>
      <c r="B70" s="145">
        <f t="shared" si="26"/>
        <v>2311</v>
      </c>
      <c r="C70" s="152">
        <v>71</v>
      </c>
      <c r="D70" s="153">
        <v>199</v>
      </c>
      <c r="E70" s="152">
        <v>500</v>
      </c>
      <c r="F70" s="153">
        <v>1194.3</v>
      </c>
      <c r="G70" s="152">
        <v>587</v>
      </c>
      <c r="H70" s="153">
        <v>1732.5</v>
      </c>
      <c r="I70" s="152">
        <v>884</v>
      </c>
      <c r="J70" s="153">
        <v>2995.5</v>
      </c>
      <c r="K70" s="152">
        <v>269</v>
      </c>
      <c r="L70" s="153">
        <v>208</v>
      </c>
      <c r="M70" s="135">
        <f t="shared" si="25"/>
        <v>1740</v>
      </c>
      <c r="N70" s="134">
        <f>(SUM(H70,J70,L70))/1000</f>
        <v>4.9359999999999999</v>
      </c>
      <c r="O70" s="154" t="s">
        <v>290</v>
      </c>
      <c r="P70" s="159" t="s">
        <v>290</v>
      </c>
      <c r="Q70" s="136" t="s">
        <v>104</v>
      </c>
      <c r="R70" s="5"/>
      <c r="S70" s="5"/>
      <c r="T70" s="5"/>
      <c r="U70" s="130"/>
      <c r="V70" s="130"/>
    </row>
    <row r="71" spans="1:22">
      <c r="A71" s="4" t="s">
        <v>105</v>
      </c>
      <c r="B71" s="145">
        <f t="shared" si="26"/>
        <v>7996</v>
      </c>
      <c r="C71" s="152">
        <v>2176</v>
      </c>
      <c r="D71" s="153">
        <v>7422.2</v>
      </c>
      <c r="E71" s="152">
        <v>1188</v>
      </c>
      <c r="F71" s="153">
        <v>3164.73</v>
      </c>
      <c r="G71" s="152">
        <v>1511</v>
      </c>
      <c r="H71" s="153">
        <v>2699.56</v>
      </c>
      <c r="I71" s="152">
        <v>1805</v>
      </c>
      <c r="J71" s="153">
        <v>2690.92</v>
      </c>
      <c r="K71" s="152">
        <v>1316</v>
      </c>
      <c r="L71" s="153">
        <v>2165.09</v>
      </c>
      <c r="M71" s="135">
        <f t="shared" si="25"/>
        <v>4632</v>
      </c>
      <c r="N71" s="134">
        <f>(SUM(H71,J71,L71))/1000</f>
        <v>7.5555699999999995</v>
      </c>
      <c r="O71" s="154" t="s">
        <v>290</v>
      </c>
      <c r="P71" s="159" t="s">
        <v>290</v>
      </c>
      <c r="Q71" s="136" t="s">
        <v>106</v>
      </c>
      <c r="R71" s="5"/>
      <c r="S71" s="5"/>
      <c r="T71" s="5"/>
      <c r="U71" s="130"/>
      <c r="V71" s="130"/>
    </row>
    <row r="72" spans="1:22">
      <c r="A72" s="4" t="s">
        <v>107</v>
      </c>
      <c r="B72" s="145">
        <f t="shared" si="26"/>
        <v>27687</v>
      </c>
      <c r="C72" s="152">
        <v>8926</v>
      </c>
      <c r="D72" s="153">
        <v>47969.120000000003</v>
      </c>
      <c r="E72" s="152">
        <v>816</v>
      </c>
      <c r="F72" s="153">
        <v>2069.192</v>
      </c>
      <c r="G72" s="152">
        <v>11635</v>
      </c>
      <c r="H72" s="153">
        <v>35042.65</v>
      </c>
      <c r="I72" s="152">
        <v>2925</v>
      </c>
      <c r="J72" s="153">
        <v>5253.8</v>
      </c>
      <c r="K72" s="152">
        <v>3385</v>
      </c>
      <c r="L72" s="153">
        <v>7616.3</v>
      </c>
      <c r="M72" s="135">
        <f t="shared" si="25"/>
        <v>17945</v>
      </c>
      <c r="N72" s="134">
        <f>(SUM(H72,J72,L72))/1000</f>
        <v>47.91275000000001</v>
      </c>
      <c r="O72" s="154" t="s">
        <v>290</v>
      </c>
      <c r="P72" s="159" t="s">
        <v>290</v>
      </c>
      <c r="Q72" s="136" t="s">
        <v>108</v>
      </c>
      <c r="R72" s="5"/>
      <c r="S72" s="5"/>
      <c r="T72" s="5"/>
      <c r="U72" s="130"/>
      <c r="V72" s="130"/>
    </row>
    <row r="73" spans="1:22">
      <c r="A73" s="216" t="s">
        <v>109</v>
      </c>
      <c r="B73" s="217">
        <f>SUM(B75:B82)</f>
        <v>2845</v>
      </c>
      <c r="C73" s="191">
        <f>SUM(C75:C82)</f>
        <v>209</v>
      </c>
      <c r="D73" s="191">
        <f t="shared" ref="D73:P73" si="27">SUM(D75:D82)</f>
        <v>705.53300000000002</v>
      </c>
      <c r="E73" s="191">
        <f t="shared" si="27"/>
        <v>964</v>
      </c>
      <c r="F73" s="191">
        <f>SUM(F75:F82)</f>
        <v>1467.2809999999999</v>
      </c>
      <c r="G73" s="191">
        <f t="shared" si="27"/>
        <v>841</v>
      </c>
      <c r="H73" s="191">
        <f>SUM(H75:H82)</f>
        <v>1723.6330000000003</v>
      </c>
      <c r="I73" s="191">
        <f>SUM(I75:I82)</f>
        <v>474</v>
      </c>
      <c r="J73" s="191">
        <f t="shared" si="27"/>
        <v>1015.35</v>
      </c>
      <c r="K73" s="191">
        <f>SUM(K75:K82)</f>
        <v>347</v>
      </c>
      <c r="L73" s="191">
        <f>SUM(L75:L82)</f>
        <v>699.06700000000001</v>
      </c>
      <c r="M73" s="191">
        <f>SUM(G73,I73,K73)</f>
        <v>1662</v>
      </c>
      <c r="N73" s="191">
        <f>SUM(H73,J73,L73)</f>
        <v>3438.05</v>
      </c>
      <c r="O73" s="191">
        <f t="shared" si="27"/>
        <v>10</v>
      </c>
      <c r="P73" s="192">
        <f t="shared" si="27"/>
        <v>18.5</v>
      </c>
      <c r="Q73" s="220" t="s">
        <v>110</v>
      </c>
      <c r="R73" s="220"/>
      <c r="S73" s="220"/>
      <c r="T73" s="5"/>
      <c r="U73" s="130"/>
      <c r="V73" s="130"/>
    </row>
    <row r="74" spans="1:22" ht="6.6" customHeight="1">
      <c r="A74" s="216"/>
      <c r="B74" s="217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2"/>
      <c r="Q74" s="220"/>
      <c r="R74" s="220"/>
      <c r="S74" s="220"/>
      <c r="T74" s="5"/>
      <c r="U74" s="130"/>
      <c r="V74" s="130"/>
    </row>
    <row r="75" spans="1:22">
      <c r="A75" s="129" t="s">
        <v>111</v>
      </c>
      <c r="B75" s="145">
        <f>SUM(C75,E75,G75,I75,K75,O75)</f>
        <v>0</v>
      </c>
      <c r="C75" s="156" t="s">
        <v>290</v>
      </c>
      <c r="D75" s="157" t="s">
        <v>290</v>
      </c>
      <c r="E75" s="156" t="s">
        <v>290</v>
      </c>
      <c r="F75" s="157" t="s">
        <v>290</v>
      </c>
      <c r="G75" s="156" t="s">
        <v>290</v>
      </c>
      <c r="H75" s="157" t="s">
        <v>290</v>
      </c>
      <c r="I75" s="156" t="s">
        <v>290</v>
      </c>
      <c r="J75" s="157" t="s">
        <v>290</v>
      </c>
      <c r="K75" s="156" t="s">
        <v>290</v>
      </c>
      <c r="L75" s="157" t="s">
        <v>290</v>
      </c>
      <c r="M75" s="135">
        <f t="shared" ref="M75:M81" si="28">SUM(G75,I75,K75)</f>
        <v>0</v>
      </c>
      <c r="N75" s="134">
        <f>(SUM(H75,J75,L75))/1000</f>
        <v>0</v>
      </c>
      <c r="O75" s="158" t="s">
        <v>290</v>
      </c>
      <c r="P75" s="161" t="s">
        <v>290</v>
      </c>
      <c r="Q75" s="221" t="s">
        <v>112</v>
      </c>
      <c r="R75" s="221"/>
      <c r="S75" s="221"/>
      <c r="T75" s="221"/>
      <c r="U75" s="130"/>
      <c r="V75" s="130"/>
    </row>
    <row r="76" spans="1:22">
      <c r="A76" s="129" t="s">
        <v>113</v>
      </c>
      <c r="B76" s="145">
        <f>SUM(C76,E76,G76,I76,K76,O76)</f>
        <v>0</v>
      </c>
      <c r="C76" s="154" t="s">
        <v>290</v>
      </c>
      <c r="D76" s="155" t="s">
        <v>290</v>
      </c>
      <c r="E76" s="154" t="s">
        <v>290</v>
      </c>
      <c r="F76" s="155" t="s">
        <v>290</v>
      </c>
      <c r="G76" s="154" t="s">
        <v>290</v>
      </c>
      <c r="H76" s="155" t="s">
        <v>290</v>
      </c>
      <c r="I76" s="154" t="s">
        <v>290</v>
      </c>
      <c r="J76" s="155" t="s">
        <v>290</v>
      </c>
      <c r="K76" s="154" t="s">
        <v>290</v>
      </c>
      <c r="L76" s="155" t="s">
        <v>290</v>
      </c>
      <c r="M76" s="135">
        <f t="shared" si="28"/>
        <v>0</v>
      </c>
      <c r="N76" s="134">
        <f>(SUM(H76,J76,L76))/1000</f>
        <v>0</v>
      </c>
      <c r="O76" s="154" t="s">
        <v>290</v>
      </c>
      <c r="P76" s="159" t="s">
        <v>290</v>
      </c>
      <c r="Q76" s="221" t="s">
        <v>114</v>
      </c>
      <c r="R76" s="221"/>
      <c r="S76" s="221"/>
      <c r="T76" s="221"/>
      <c r="U76" s="130"/>
      <c r="V76" s="130"/>
    </row>
    <row r="77" spans="1:22">
      <c r="A77" s="129" t="s">
        <v>278</v>
      </c>
      <c r="B77" s="145">
        <f>SUM(C77,E77,G77,I77,K77,O77)</f>
        <v>0</v>
      </c>
      <c r="C77" s="154" t="s">
        <v>290</v>
      </c>
      <c r="D77" s="155" t="s">
        <v>290</v>
      </c>
      <c r="E77" s="154" t="s">
        <v>290</v>
      </c>
      <c r="F77" s="155" t="s">
        <v>290</v>
      </c>
      <c r="G77" s="154" t="s">
        <v>290</v>
      </c>
      <c r="H77" s="155" t="s">
        <v>290</v>
      </c>
      <c r="I77" s="154" t="s">
        <v>290</v>
      </c>
      <c r="J77" s="155" t="s">
        <v>290</v>
      </c>
      <c r="K77" s="154" t="s">
        <v>290</v>
      </c>
      <c r="L77" s="155" t="s">
        <v>290</v>
      </c>
      <c r="M77" s="135">
        <f t="shared" si="28"/>
        <v>0</v>
      </c>
      <c r="N77" s="134">
        <f>(SUM(H77,J77,L77))/1000</f>
        <v>0</v>
      </c>
      <c r="O77" s="154" t="s">
        <v>290</v>
      </c>
      <c r="P77" s="159" t="s">
        <v>290</v>
      </c>
      <c r="Q77" s="221" t="s">
        <v>116</v>
      </c>
      <c r="R77" s="221"/>
      <c r="S77" s="221"/>
      <c r="T77" s="221"/>
      <c r="U77" s="130"/>
      <c r="V77" s="130"/>
    </row>
    <row r="78" spans="1:22">
      <c r="A78" s="129" t="s">
        <v>279</v>
      </c>
      <c r="B78" s="145">
        <f>SUM(C78,E78,G78,I78,K78,O78)</f>
        <v>0</v>
      </c>
      <c r="C78" s="154" t="s">
        <v>290</v>
      </c>
      <c r="D78" s="155" t="s">
        <v>290</v>
      </c>
      <c r="E78" s="154" t="s">
        <v>290</v>
      </c>
      <c r="F78" s="155" t="s">
        <v>290</v>
      </c>
      <c r="G78" s="154" t="s">
        <v>290</v>
      </c>
      <c r="H78" s="155" t="s">
        <v>290</v>
      </c>
      <c r="I78" s="154" t="s">
        <v>290</v>
      </c>
      <c r="J78" s="155" t="s">
        <v>290</v>
      </c>
      <c r="K78" s="154" t="s">
        <v>290</v>
      </c>
      <c r="L78" s="155" t="s">
        <v>290</v>
      </c>
      <c r="M78" s="135">
        <f t="shared" si="28"/>
        <v>0</v>
      </c>
      <c r="N78" s="134">
        <f>(SUM(H78,J78,L78))/1000</f>
        <v>0</v>
      </c>
      <c r="O78" s="154" t="s">
        <v>290</v>
      </c>
      <c r="P78" s="159" t="s">
        <v>290</v>
      </c>
      <c r="Q78" s="221" t="s">
        <v>118</v>
      </c>
      <c r="R78" s="221"/>
      <c r="S78" s="221"/>
      <c r="T78" s="221"/>
      <c r="U78" s="130"/>
      <c r="V78" s="130"/>
    </row>
    <row r="79" spans="1:22">
      <c r="A79" s="129" t="s">
        <v>280</v>
      </c>
      <c r="B79" s="145">
        <f t="shared" ref="B79:B82" si="29">SUM(C79,E79,G79,I79,K79,O79)</f>
        <v>1545</v>
      </c>
      <c r="C79" s="152">
        <v>107</v>
      </c>
      <c r="D79" s="153">
        <v>399.7</v>
      </c>
      <c r="E79" s="152">
        <v>211</v>
      </c>
      <c r="F79" s="153">
        <v>543.21500000000003</v>
      </c>
      <c r="G79" s="152">
        <v>608</v>
      </c>
      <c r="H79" s="153">
        <v>1338.4</v>
      </c>
      <c r="I79" s="152">
        <v>315</v>
      </c>
      <c r="J79" s="153">
        <v>768.45</v>
      </c>
      <c r="K79" s="152">
        <v>294</v>
      </c>
      <c r="L79" s="153">
        <v>655</v>
      </c>
      <c r="M79" s="135">
        <f>SUM(G79,I79,K80)</f>
        <v>926</v>
      </c>
      <c r="N79" s="134">
        <f>(SUM(H79,J79,L80))/1000</f>
        <v>2.1145170000000002</v>
      </c>
      <c r="O79" s="152">
        <v>10</v>
      </c>
      <c r="P79" s="160">
        <v>18.5</v>
      </c>
      <c r="Q79" s="221" t="s">
        <v>120</v>
      </c>
      <c r="R79" s="221"/>
      <c r="S79" s="221"/>
      <c r="T79" s="221"/>
      <c r="U79" s="130"/>
      <c r="V79" s="130"/>
    </row>
    <row r="80" spans="1:22">
      <c r="A80" s="129" t="s">
        <v>281</v>
      </c>
      <c r="B80" s="145">
        <f t="shared" si="29"/>
        <v>881</v>
      </c>
      <c r="C80" s="152">
        <v>90</v>
      </c>
      <c r="D80" s="153">
        <v>261.5</v>
      </c>
      <c r="E80" s="152">
        <v>731</v>
      </c>
      <c r="F80" s="153">
        <v>865.73299999999995</v>
      </c>
      <c r="G80" s="152">
        <v>47</v>
      </c>
      <c r="H80" s="153">
        <v>56.332999999999998</v>
      </c>
      <c r="I80" s="152">
        <v>10</v>
      </c>
      <c r="J80" s="153">
        <v>10</v>
      </c>
      <c r="K80" s="152">
        <v>3</v>
      </c>
      <c r="L80" s="153">
        <v>7.6669999999999998</v>
      </c>
      <c r="M80" s="135">
        <f>SUM(G80,I80,K82)</f>
        <v>107</v>
      </c>
      <c r="N80" s="134">
        <f>(SUM(H80,J80,L82))/1000</f>
        <v>0.102733</v>
      </c>
      <c r="O80" s="154" t="s">
        <v>290</v>
      </c>
      <c r="P80" s="159" t="s">
        <v>290</v>
      </c>
      <c r="Q80" s="221" t="s">
        <v>122</v>
      </c>
      <c r="R80" s="221"/>
      <c r="S80" s="221"/>
      <c r="T80" s="221"/>
      <c r="U80" s="130"/>
      <c r="V80" s="130"/>
    </row>
    <row r="81" spans="1:22">
      <c r="A81" s="129" t="s">
        <v>282</v>
      </c>
      <c r="B81" s="145">
        <f t="shared" si="29"/>
        <v>0</v>
      </c>
      <c r="C81" s="152" t="s">
        <v>290</v>
      </c>
      <c r="D81" s="153" t="s">
        <v>290</v>
      </c>
      <c r="E81" s="152" t="s">
        <v>290</v>
      </c>
      <c r="F81" s="153" t="s">
        <v>290</v>
      </c>
      <c r="G81" s="152" t="s">
        <v>290</v>
      </c>
      <c r="H81" s="153" t="s">
        <v>290</v>
      </c>
      <c r="I81" s="152" t="s">
        <v>290</v>
      </c>
      <c r="J81" s="153" t="s">
        <v>290</v>
      </c>
      <c r="K81" s="152" t="s">
        <v>290</v>
      </c>
      <c r="L81" s="153" t="s">
        <v>290</v>
      </c>
      <c r="M81" s="135">
        <f t="shared" si="28"/>
        <v>0</v>
      </c>
      <c r="N81" s="134">
        <f>(SUM(H81,J81,L81))/1000</f>
        <v>0</v>
      </c>
      <c r="O81" s="154" t="s">
        <v>290</v>
      </c>
      <c r="P81" s="159" t="s">
        <v>290</v>
      </c>
      <c r="Q81" s="221" t="s">
        <v>124</v>
      </c>
      <c r="R81" s="221"/>
      <c r="S81" s="221"/>
      <c r="T81" s="221"/>
      <c r="U81" s="130"/>
      <c r="V81" s="130"/>
    </row>
    <row r="82" spans="1:22">
      <c r="A82" s="129" t="s">
        <v>283</v>
      </c>
      <c r="B82" s="145">
        <f t="shared" si="29"/>
        <v>419</v>
      </c>
      <c r="C82" s="152">
        <v>12</v>
      </c>
      <c r="D82" s="153">
        <v>44.332999999999998</v>
      </c>
      <c r="E82" s="152">
        <v>22</v>
      </c>
      <c r="F82" s="153">
        <v>58.332999999999998</v>
      </c>
      <c r="G82" s="152">
        <v>186</v>
      </c>
      <c r="H82" s="153">
        <v>328.9</v>
      </c>
      <c r="I82" s="152">
        <v>149</v>
      </c>
      <c r="J82" s="153">
        <v>236.9</v>
      </c>
      <c r="K82" s="152">
        <v>50</v>
      </c>
      <c r="L82" s="153">
        <v>36.4</v>
      </c>
      <c r="M82" s="135">
        <f>G82+I82+K82</f>
        <v>385</v>
      </c>
      <c r="N82" s="134">
        <f>(H82+J82+L82)/1000</f>
        <v>0.60219999999999996</v>
      </c>
      <c r="O82" s="154" t="s">
        <v>290</v>
      </c>
      <c r="P82" s="159" t="s">
        <v>290</v>
      </c>
      <c r="Q82" s="221" t="s">
        <v>126</v>
      </c>
      <c r="R82" s="221"/>
      <c r="S82" s="221"/>
      <c r="T82" s="221"/>
      <c r="U82" s="130"/>
      <c r="V82" s="130"/>
    </row>
    <row r="83" spans="1:22" ht="19.8" customHeight="1">
      <c r="A83" s="216" t="s">
        <v>127</v>
      </c>
      <c r="B83" s="217">
        <f>SUM(B85:B89)</f>
        <v>9526</v>
      </c>
      <c r="C83" s="191">
        <f>SUM(C85:C89)</f>
        <v>2121</v>
      </c>
      <c r="D83" s="191">
        <f>SUM(D85:D89)</f>
        <v>2632.81</v>
      </c>
      <c r="E83" s="191">
        <f t="shared" ref="E83:J83" si="30">SUM(E85:E89)</f>
        <v>1698</v>
      </c>
      <c r="F83" s="191">
        <f t="shared" si="30"/>
        <v>1634.5099999999998</v>
      </c>
      <c r="G83" s="191">
        <f t="shared" si="30"/>
        <v>3434</v>
      </c>
      <c r="H83" s="191">
        <f t="shared" si="30"/>
        <v>4594.7</v>
      </c>
      <c r="I83" s="191">
        <f t="shared" si="30"/>
        <v>1284</v>
      </c>
      <c r="J83" s="191">
        <f t="shared" si="30"/>
        <v>1363.8000000000002</v>
      </c>
      <c r="K83" s="191">
        <f t="shared" ref="K83:P83" si="31">SUM(K85:K89)</f>
        <v>973</v>
      </c>
      <c r="L83" s="191">
        <f t="shared" si="31"/>
        <v>1246.45</v>
      </c>
      <c r="M83" s="191">
        <f>SUM(G83,I83,K83)</f>
        <v>5691</v>
      </c>
      <c r="N83" s="191">
        <f>SUM(H83,J83,L83)</f>
        <v>7204.95</v>
      </c>
      <c r="O83" s="191">
        <f t="shared" si="31"/>
        <v>16</v>
      </c>
      <c r="P83" s="192">
        <f t="shared" si="31"/>
        <v>9.468</v>
      </c>
      <c r="Q83" s="222" t="s">
        <v>128</v>
      </c>
      <c r="R83" s="222"/>
      <c r="S83" s="222"/>
      <c r="T83" s="131"/>
      <c r="U83" s="130"/>
      <c r="V83" s="130"/>
    </row>
    <row r="84" spans="1:22" ht="13.8">
      <c r="A84" s="216"/>
      <c r="B84" s="217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2"/>
      <c r="Q84" s="222"/>
      <c r="R84" s="222"/>
      <c r="S84" s="222"/>
      <c r="T84" s="131"/>
      <c r="U84" s="130"/>
      <c r="V84" s="130"/>
    </row>
    <row r="85" spans="1:22">
      <c r="A85" s="4" t="s">
        <v>129</v>
      </c>
      <c r="B85" s="145">
        <f t="shared" ref="B85:B89" si="32">SUM(C85,E85,G85,I85,K85,O85)</f>
        <v>4226</v>
      </c>
      <c r="C85" s="152">
        <v>1184</v>
      </c>
      <c r="D85" s="153">
        <v>1194.3499999999999</v>
      </c>
      <c r="E85" s="152">
        <v>921</v>
      </c>
      <c r="F85" s="153">
        <v>736.06</v>
      </c>
      <c r="G85" s="152">
        <v>1359</v>
      </c>
      <c r="H85" s="153">
        <v>1490</v>
      </c>
      <c r="I85" s="152">
        <v>646</v>
      </c>
      <c r="J85" s="153">
        <v>694.7</v>
      </c>
      <c r="K85" s="152">
        <v>116</v>
      </c>
      <c r="L85" s="153">
        <v>88.2</v>
      </c>
      <c r="M85" s="135">
        <f t="shared" ref="M85:M89" si="33">SUM(G85,I85,K85)</f>
        <v>2121</v>
      </c>
      <c r="N85" s="134">
        <f>(SUM(H85,J85,L85))/1000</f>
        <v>2.2728999999999995</v>
      </c>
      <c r="O85" s="154" t="s">
        <v>290</v>
      </c>
      <c r="P85" s="159" t="s">
        <v>290</v>
      </c>
      <c r="Q85" s="136" t="s">
        <v>130</v>
      </c>
      <c r="R85" s="5"/>
      <c r="S85" s="5"/>
      <c r="T85" s="5"/>
      <c r="U85" s="130"/>
      <c r="V85" s="130"/>
    </row>
    <row r="86" spans="1:22">
      <c r="A86" s="4" t="s">
        <v>131</v>
      </c>
      <c r="B86" s="145">
        <f t="shared" si="32"/>
        <v>304</v>
      </c>
      <c r="C86" s="152">
        <v>22</v>
      </c>
      <c r="D86" s="153">
        <v>37.5</v>
      </c>
      <c r="E86" s="152">
        <v>15</v>
      </c>
      <c r="F86" s="153">
        <v>12.8</v>
      </c>
      <c r="G86" s="152">
        <v>177</v>
      </c>
      <c r="H86" s="153">
        <v>297.39999999999998</v>
      </c>
      <c r="I86" s="152">
        <v>64</v>
      </c>
      <c r="J86" s="153">
        <v>83.6</v>
      </c>
      <c r="K86" s="152">
        <v>23</v>
      </c>
      <c r="L86" s="153">
        <v>30.5</v>
      </c>
      <c r="M86" s="135">
        <f t="shared" si="33"/>
        <v>264</v>
      </c>
      <c r="N86" s="134">
        <f>(SUM(H86,J86,L86))/1000</f>
        <v>0.41149999999999998</v>
      </c>
      <c r="O86" s="152">
        <v>3</v>
      </c>
      <c r="P86" s="160">
        <v>1.0680000000000001</v>
      </c>
      <c r="Q86" s="136" t="s">
        <v>132</v>
      </c>
      <c r="R86" s="5"/>
      <c r="S86" s="5"/>
      <c r="T86" s="5"/>
      <c r="U86" s="130"/>
      <c r="V86" s="130"/>
    </row>
    <row r="87" spans="1:22">
      <c r="A87" s="4" t="s">
        <v>133</v>
      </c>
      <c r="B87" s="145">
        <f t="shared" si="32"/>
        <v>505</v>
      </c>
      <c r="C87" s="152">
        <v>150</v>
      </c>
      <c r="D87" s="153">
        <v>106.21</v>
      </c>
      <c r="E87" s="152">
        <v>163</v>
      </c>
      <c r="F87" s="153">
        <v>70.650000000000006</v>
      </c>
      <c r="G87" s="152">
        <v>112</v>
      </c>
      <c r="H87" s="153">
        <v>91.1</v>
      </c>
      <c r="I87" s="152">
        <v>80</v>
      </c>
      <c r="J87" s="153">
        <v>52</v>
      </c>
      <c r="K87" s="154" t="s">
        <v>290</v>
      </c>
      <c r="L87" s="155" t="s">
        <v>290</v>
      </c>
      <c r="M87" s="135">
        <f t="shared" si="33"/>
        <v>192</v>
      </c>
      <c r="N87" s="134">
        <f>(SUM(H87,J87,L87))/1000</f>
        <v>0.1431</v>
      </c>
      <c r="O87" s="154" t="s">
        <v>290</v>
      </c>
      <c r="P87" s="159" t="s">
        <v>290</v>
      </c>
      <c r="Q87" s="136" t="s">
        <v>134</v>
      </c>
      <c r="R87" s="5"/>
      <c r="S87" s="5"/>
      <c r="T87" s="5"/>
      <c r="U87" s="130"/>
      <c r="V87" s="130"/>
    </row>
    <row r="88" spans="1:22">
      <c r="A88" s="4" t="s">
        <v>135</v>
      </c>
      <c r="B88" s="145">
        <f t="shared" si="32"/>
        <v>1207</v>
      </c>
      <c r="C88" s="152">
        <v>222</v>
      </c>
      <c r="D88" s="153">
        <v>463.25</v>
      </c>
      <c r="E88" s="152">
        <v>199</v>
      </c>
      <c r="F88" s="153">
        <v>353</v>
      </c>
      <c r="G88" s="152">
        <v>389</v>
      </c>
      <c r="H88" s="153">
        <v>824.6</v>
      </c>
      <c r="I88" s="152">
        <v>63</v>
      </c>
      <c r="J88" s="153">
        <v>100</v>
      </c>
      <c r="K88" s="152">
        <v>321</v>
      </c>
      <c r="L88" s="153">
        <v>686</v>
      </c>
      <c r="M88" s="135">
        <f t="shared" si="33"/>
        <v>773</v>
      </c>
      <c r="N88" s="134">
        <f>(SUM(H88,J88,L88))/1000</f>
        <v>1.6105999999999998</v>
      </c>
      <c r="O88" s="152">
        <v>13</v>
      </c>
      <c r="P88" s="160">
        <v>8.4</v>
      </c>
      <c r="Q88" s="136" t="s">
        <v>136</v>
      </c>
      <c r="R88" s="5"/>
      <c r="S88" s="5"/>
      <c r="T88" s="5"/>
      <c r="U88" s="130"/>
      <c r="V88" s="130"/>
    </row>
    <row r="89" spans="1:22">
      <c r="A89" s="4" t="s">
        <v>137</v>
      </c>
      <c r="B89" s="145">
        <f t="shared" si="32"/>
        <v>3284</v>
      </c>
      <c r="C89" s="152">
        <v>543</v>
      </c>
      <c r="D89" s="153">
        <v>831.5</v>
      </c>
      <c r="E89" s="152">
        <v>400</v>
      </c>
      <c r="F89" s="153">
        <v>462</v>
      </c>
      <c r="G89" s="152">
        <v>1397</v>
      </c>
      <c r="H89" s="153">
        <v>1891.6</v>
      </c>
      <c r="I89" s="152">
        <v>431</v>
      </c>
      <c r="J89" s="153">
        <v>433.5</v>
      </c>
      <c r="K89" s="152">
        <v>513</v>
      </c>
      <c r="L89" s="153">
        <v>441.75</v>
      </c>
      <c r="M89" s="135">
        <f t="shared" si="33"/>
        <v>2341</v>
      </c>
      <c r="N89" s="134">
        <f>(SUM(H89,J89,L89))/1000</f>
        <v>2.7668499999999998</v>
      </c>
      <c r="O89" s="154" t="s">
        <v>290</v>
      </c>
      <c r="P89" s="159" t="s">
        <v>290</v>
      </c>
      <c r="Q89" s="136" t="s">
        <v>138</v>
      </c>
      <c r="R89" s="5"/>
      <c r="S89" s="5"/>
      <c r="T89" s="5"/>
      <c r="U89" s="130"/>
      <c r="V89" s="130"/>
    </row>
    <row r="90" spans="1:22">
      <c r="A90" s="216" t="s">
        <v>139</v>
      </c>
      <c r="B90" s="217">
        <f>SUM(B92:B104)</f>
        <v>20797</v>
      </c>
      <c r="C90" s="191">
        <f>SUM(C92:C104)</f>
        <v>3386</v>
      </c>
      <c r="D90" s="191">
        <f t="shared" ref="D90:P90" si="34">SUM(D92:D104)</f>
        <v>5668.88</v>
      </c>
      <c r="E90" s="191">
        <f t="shared" si="34"/>
        <v>2113</v>
      </c>
      <c r="F90" s="191">
        <f t="shared" si="34"/>
        <v>2171.0349999999999</v>
      </c>
      <c r="G90" s="191">
        <f t="shared" si="34"/>
        <v>9572</v>
      </c>
      <c r="H90" s="191">
        <f t="shared" si="34"/>
        <v>17182.3</v>
      </c>
      <c r="I90" s="191">
        <f t="shared" si="34"/>
        <v>1524</v>
      </c>
      <c r="J90" s="191">
        <f t="shared" si="34"/>
        <v>1665.2</v>
      </c>
      <c r="K90" s="191">
        <f t="shared" si="34"/>
        <v>4051</v>
      </c>
      <c r="L90" s="191">
        <f t="shared" si="34"/>
        <v>7018.5680000000002</v>
      </c>
      <c r="M90" s="191">
        <f>SUM(G90,I90,K90)</f>
        <v>15147</v>
      </c>
      <c r="N90" s="191">
        <f>SUM(H90,J90,L90)</f>
        <v>25866.067999999999</v>
      </c>
      <c r="O90" s="191">
        <f t="shared" si="34"/>
        <v>151</v>
      </c>
      <c r="P90" s="192">
        <f t="shared" si="34"/>
        <v>238.9</v>
      </c>
      <c r="Q90" s="219" t="s">
        <v>140</v>
      </c>
      <c r="R90" s="219"/>
      <c r="S90" s="219"/>
      <c r="T90" s="5"/>
      <c r="U90" s="130"/>
      <c r="V90" s="130"/>
    </row>
    <row r="91" spans="1:22">
      <c r="A91" s="216"/>
      <c r="B91" s="217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2"/>
      <c r="Q91" s="219"/>
      <c r="R91" s="219"/>
      <c r="S91" s="219"/>
      <c r="T91" s="5"/>
      <c r="U91" s="130"/>
      <c r="V91" s="130"/>
    </row>
    <row r="92" spans="1:22">
      <c r="A92" s="4" t="s">
        <v>141</v>
      </c>
      <c r="B92" s="145">
        <f t="shared" ref="B92:B104" si="35">SUM(C92,E92,G92,I92,K92,O92)</f>
        <v>746</v>
      </c>
      <c r="C92" s="152">
        <v>43</v>
      </c>
      <c r="D92" s="153">
        <v>43</v>
      </c>
      <c r="E92" s="152">
        <v>65</v>
      </c>
      <c r="F92" s="153">
        <v>64</v>
      </c>
      <c r="G92" s="152">
        <v>349</v>
      </c>
      <c r="H92" s="153">
        <v>680</v>
      </c>
      <c r="I92" s="152">
        <v>85</v>
      </c>
      <c r="J92" s="153">
        <v>115</v>
      </c>
      <c r="K92" s="152">
        <v>204</v>
      </c>
      <c r="L92" s="153">
        <v>235</v>
      </c>
      <c r="M92" s="135">
        <f t="shared" ref="M92:M104" si="36">SUM(G92,I92,K92)</f>
        <v>638</v>
      </c>
      <c r="N92" s="134">
        <f t="shared" ref="N92:N104" si="37">(SUM(H92,J92,L92))/1000</f>
        <v>1.03</v>
      </c>
      <c r="O92" s="154" t="s">
        <v>290</v>
      </c>
      <c r="P92" s="159" t="s">
        <v>290</v>
      </c>
      <c r="Q92" s="136" t="s">
        <v>142</v>
      </c>
      <c r="R92" s="5"/>
      <c r="S92" s="5"/>
      <c r="T92" s="5"/>
      <c r="U92" s="130"/>
      <c r="V92" s="130"/>
    </row>
    <row r="93" spans="1:22">
      <c r="A93" s="4" t="s">
        <v>143</v>
      </c>
      <c r="B93" s="145">
        <f t="shared" si="35"/>
        <v>1336</v>
      </c>
      <c r="C93" s="152">
        <v>38</v>
      </c>
      <c r="D93" s="153">
        <v>41.5</v>
      </c>
      <c r="E93" s="152">
        <v>51</v>
      </c>
      <c r="F93" s="153">
        <v>26</v>
      </c>
      <c r="G93" s="152">
        <v>656</v>
      </c>
      <c r="H93" s="153">
        <v>1317</v>
      </c>
      <c r="I93" s="152">
        <v>316</v>
      </c>
      <c r="J93" s="153">
        <v>559</v>
      </c>
      <c r="K93" s="152">
        <v>275</v>
      </c>
      <c r="L93" s="153">
        <v>409.5</v>
      </c>
      <c r="M93" s="135">
        <f t="shared" si="36"/>
        <v>1247</v>
      </c>
      <c r="N93" s="134">
        <f t="shared" si="37"/>
        <v>2.2854999999999999</v>
      </c>
      <c r="O93" s="154" t="s">
        <v>290</v>
      </c>
      <c r="P93" s="159" t="s">
        <v>290</v>
      </c>
      <c r="Q93" s="136" t="s">
        <v>144</v>
      </c>
      <c r="R93" s="5"/>
      <c r="S93" s="5"/>
      <c r="T93" s="5"/>
      <c r="U93" s="130"/>
      <c r="V93" s="130"/>
    </row>
    <row r="94" spans="1:22">
      <c r="A94" s="4" t="s">
        <v>145</v>
      </c>
      <c r="B94" s="145">
        <f t="shared" si="35"/>
        <v>599</v>
      </c>
      <c r="C94" s="152">
        <v>30</v>
      </c>
      <c r="D94" s="153">
        <v>71.8</v>
      </c>
      <c r="E94" s="152">
        <v>17</v>
      </c>
      <c r="F94" s="153">
        <v>30.2</v>
      </c>
      <c r="G94" s="152">
        <v>478</v>
      </c>
      <c r="H94" s="153">
        <v>267</v>
      </c>
      <c r="I94" s="154" t="s">
        <v>290</v>
      </c>
      <c r="J94" s="155" t="s">
        <v>290</v>
      </c>
      <c r="K94" s="152">
        <v>74</v>
      </c>
      <c r="L94" s="153">
        <v>41.5</v>
      </c>
      <c r="M94" s="135">
        <f t="shared" si="36"/>
        <v>552</v>
      </c>
      <c r="N94" s="134">
        <f t="shared" si="37"/>
        <v>0.3085</v>
      </c>
      <c r="O94" s="154" t="s">
        <v>290</v>
      </c>
      <c r="P94" s="159" t="s">
        <v>290</v>
      </c>
      <c r="Q94" s="136" t="s">
        <v>146</v>
      </c>
      <c r="R94" s="5"/>
      <c r="S94" s="5"/>
      <c r="T94" s="5"/>
      <c r="U94" s="130"/>
      <c r="V94" s="130"/>
    </row>
    <row r="95" spans="1:22">
      <c r="A95" s="4" t="s">
        <v>147</v>
      </c>
      <c r="B95" s="145">
        <f t="shared" si="35"/>
        <v>351</v>
      </c>
      <c r="C95" s="152">
        <v>35</v>
      </c>
      <c r="D95" s="153">
        <v>46</v>
      </c>
      <c r="E95" s="152">
        <v>65</v>
      </c>
      <c r="F95" s="153">
        <v>37</v>
      </c>
      <c r="G95" s="152">
        <v>181</v>
      </c>
      <c r="H95" s="153">
        <v>177.3</v>
      </c>
      <c r="I95" s="154" t="s">
        <v>290</v>
      </c>
      <c r="J95" s="155" t="s">
        <v>290</v>
      </c>
      <c r="K95" s="152">
        <v>49</v>
      </c>
      <c r="L95" s="153">
        <v>34.5</v>
      </c>
      <c r="M95" s="135">
        <f t="shared" si="36"/>
        <v>230</v>
      </c>
      <c r="N95" s="134">
        <f t="shared" si="37"/>
        <v>0.21180000000000002</v>
      </c>
      <c r="O95" s="152">
        <v>21</v>
      </c>
      <c r="P95" s="160">
        <v>10.5</v>
      </c>
      <c r="Q95" s="136" t="s">
        <v>148</v>
      </c>
      <c r="R95" s="5"/>
      <c r="S95" s="5"/>
      <c r="T95" s="5"/>
      <c r="U95" s="130"/>
      <c r="V95" s="130"/>
    </row>
    <row r="96" spans="1:22">
      <c r="A96" s="4" t="s">
        <v>149</v>
      </c>
      <c r="B96" s="145">
        <f t="shared" si="35"/>
        <v>72</v>
      </c>
      <c r="C96" s="152">
        <v>14</v>
      </c>
      <c r="D96" s="153">
        <v>16.850000000000001</v>
      </c>
      <c r="E96" s="152">
        <v>14</v>
      </c>
      <c r="F96" s="153">
        <v>16.8</v>
      </c>
      <c r="G96" s="152">
        <v>41</v>
      </c>
      <c r="H96" s="153">
        <v>31.05</v>
      </c>
      <c r="I96" s="152">
        <v>2</v>
      </c>
      <c r="J96" s="153">
        <v>0.2</v>
      </c>
      <c r="K96" s="152">
        <v>1</v>
      </c>
      <c r="L96" s="153">
        <v>0.1</v>
      </c>
      <c r="M96" s="135">
        <f t="shared" si="36"/>
        <v>44</v>
      </c>
      <c r="N96" s="134">
        <f t="shared" si="37"/>
        <v>3.1350000000000003E-2</v>
      </c>
      <c r="O96" s="154" t="s">
        <v>290</v>
      </c>
      <c r="P96" s="159" t="s">
        <v>290</v>
      </c>
      <c r="Q96" s="136" t="s">
        <v>150</v>
      </c>
      <c r="R96" s="5"/>
      <c r="S96" s="5"/>
      <c r="T96" s="5"/>
      <c r="U96" s="130"/>
      <c r="V96" s="130"/>
    </row>
    <row r="97" spans="1:22">
      <c r="A97" s="4" t="s">
        <v>151</v>
      </c>
      <c r="B97" s="145">
        <f t="shared" si="35"/>
        <v>237</v>
      </c>
      <c r="C97" s="152">
        <v>80</v>
      </c>
      <c r="D97" s="153">
        <v>22.167000000000002</v>
      </c>
      <c r="E97" s="152">
        <v>24</v>
      </c>
      <c r="F97" s="153">
        <v>12.8</v>
      </c>
      <c r="G97" s="152">
        <v>8</v>
      </c>
      <c r="H97" s="153">
        <v>24</v>
      </c>
      <c r="I97" s="152">
        <v>110</v>
      </c>
      <c r="J97" s="153">
        <v>90</v>
      </c>
      <c r="K97" s="152">
        <v>15</v>
      </c>
      <c r="L97" s="153">
        <v>31.667000000000002</v>
      </c>
      <c r="M97" s="135">
        <f t="shared" si="36"/>
        <v>133</v>
      </c>
      <c r="N97" s="134">
        <f t="shared" si="37"/>
        <v>0.14566699999999999</v>
      </c>
      <c r="O97" s="154" t="s">
        <v>290</v>
      </c>
      <c r="P97" s="159" t="s">
        <v>290</v>
      </c>
      <c r="Q97" s="136" t="s">
        <v>152</v>
      </c>
      <c r="R97" s="5"/>
      <c r="S97" s="5"/>
      <c r="T97" s="5"/>
      <c r="U97" s="130"/>
      <c r="V97" s="130"/>
    </row>
    <row r="98" spans="1:22">
      <c r="A98" s="4" t="s">
        <v>153</v>
      </c>
      <c r="B98" s="145">
        <f t="shared" si="35"/>
        <v>1884</v>
      </c>
      <c r="C98" s="152">
        <v>690</v>
      </c>
      <c r="D98" s="153">
        <v>3110.9</v>
      </c>
      <c r="E98" s="152">
        <v>411</v>
      </c>
      <c r="F98" s="153">
        <v>820.25</v>
      </c>
      <c r="G98" s="152">
        <v>538</v>
      </c>
      <c r="H98" s="153">
        <v>1876.7</v>
      </c>
      <c r="I98" s="154" t="s">
        <v>290</v>
      </c>
      <c r="J98" s="155" t="s">
        <v>290</v>
      </c>
      <c r="K98" s="152">
        <v>236</v>
      </c>
      <c r="L98" s="153">
        <v>680</v>
      </c>
      <c r="M98" s="135">
        <f t="shared" si="36"/>
        <v>774</v>
      </c>
      <c r="N98" s="134">
        <f t="shared" si="37"/>
        <v>2.5566999999999998</v>
      </c>
      <c r="O98" s="152">
        <v>9</v>
      </c>
      <c r="P98" s="160">
        <v>13.5</v>
      </c>
      <c r="Q98" s="136" t="s">
        <v>154</v>
      </c>
      <c r="R98" s="5"/>
      <c r="S98" s="5"/>
      <c r="T98" s="5"/>
      <c r="U98" s="130"/>
      <c r="V98" s="130"/>
    </row>
    <row r="99" spans="1:22">
      <c r="A99" s="4" t="s">
        <v>155</v>
      </c>
      <c r="B99" s="145">
        <f t="shared" si="35"/>
        <v>2136</v>
      </c>
      <c r="C99" s="152">
        <v>964</v>
      </c>
      <c r="D99" s="153">
        <v>756.35</v>
      </c>
      <c r="E99" s="152">
        <v>729</v>
      </c>
      <c r="F99" s="153">
        <v>505.3</v>
      </c>
      <c r="G99" s="152">
        <v>342</v>
      </c>
      <c r="H99" s="153">
        <v>687.1</v>
      </c>
      <c r="I99" s="152">
        <v>22</v>
      </c>
      <c r="J99" s="153">
        <v>18</v>
      </c>
      <c r="K99" s="152">
        <v>79</v>
      </c>
      <c r="L99" s="153">
        <v>85.5</v>
      </c>
      <c r="M99" s="135">
        <f t="shared" si="36"/>
        <v>443</v>
      </c>
      <c r="N99" s="134">
        <f t="shared" si="37"/>
        <v>0.79059999999999997</v>
      </c>
      <c r="O99" s="154" t="s">
        <v>290</v>
      </c>
      <c r="P99" s="159" t="s">
        <v>290</v>
      </c>
      <c r="Q99" s="136" t="s">
        <v>156</v>
      </c>
      <c r="R99" s="5"/>
      <c r="S99" s="5"/>
      <c r="T99" s="5"/>
      <c r="U99" s="130"/>
      <c r="V99" s="130"/>
    </row>
    <row r="100" spans="1:22">
      <c r="A100" s="4" t="s">
        <v>157</v>
      </c>
      <c r="B100" s="145">
        <f t="shared" si="35"/>
        <v>210</v>
      </c>
      <c r="C100" s="152">
        <v>120</v>
      </c>
      <c r="D100" s="153">
        <v>210</v>
      </c>
      <c r="E100" s="152">
        <v>60</v>
      </c>
      <c r="F100" s="153">
        <v>95</v>
      </c>
      <c r="G100" s="154" t="s">
        <v>290</v>
      </c>
      <c r="H100" s="155" t="s">
        <v>290</v>
      </c>
      <c r="I100" s="154" t="s">
        <v>290</v>
      </c>
      <c r="J100" s="155" t="s">
        <v>290</v>
      </c>
      <c r="K100" s="152">
        <v>20</v>
      </c>
      <c r="L100" s="153">
        <v>20</v>
      </c>
      <c r="M100" s="135">
        <f t="shared" si="36"/>
        <v>20</v>
      </c>
      <c r="N100" s="134">
        <f t="shared" si="37"/>
        <v>0.02</v>
      </c>
      <c r="O100" s="152">
        <v>10</v>
      </c>
      <c r="P100" s="160">
        <v>10</v>
      </c>
      <c r="Q100" s="136" t="s">
        <v>158</v>
      </c>
      <c r="R100" s="5"/>
      <c r="S100" s="5"/>
      <c r="T100" s="5"/>
      <c r="U100" s="130"/>
      <c r="V100" s="130"/>
    </row>
    <row r="101" spans="1:22">
      <c r="A101" s="4" t="s">
        <v>159</v>
      </c>
      <c r="B101" s="145">
        <f t="shared" si="35"/>
        <v>8120</v>
      </c>
      <c r="C101" s="152">
        <v>703</v>
      </c>
      <c r="D101" s="153">
        <v>742.70100000000002</v>
      </c>
      <c r="E101" s="152">
        <v>279</v>
      </c>
      <c r="F101" s="153">
        <v>194.23699999999999</v>
      </c>
      <c r="G101" s="152">
        <v>4367</v>
      </c>
      <c r="H101" s="153">
        <v>8718.4</v>
      </c>
      <c r="I101" s="152">
        <v>298</v>
      </c>
      <c r="J101" s="153">
        <v>341</v>
      </c>
      <c r="K101" s="152">
        <v>2392</v>
      </c>
      <c r="L101" s="153">
        <v>4625.0010000000002</v>
      </c>
      <c r="M101" s="135">
        <f t="shared" si="36"/>
        <v>7057</v>
      </c>
      <c r="N101" s="134">
        <f t="shared" si="37"/>
        <v>13.684400999999999</v>
      </c>
      <c r="O101" s="152">
        <v>81</v>
      </c>
      <c r="P101" s="160">
        <v>186.9</v>
      </c>
      <c r="Q101" s="136" t="s">
        <v>160</v>
      </c>
      <c r="R101" s="5"/>
      <c r="S101" s="5"/>
      <c r="T101" s="5"/>
      <c r="U101" s="130"/>
      <c r="V101" s="130"/>
    </row>
    <row r="102" spans="1:22">
      <c r="A102" s="4" t="s">
        <v>161</v>
      </c>
      <c r="B102" s="145">
        <f t="shared" si="35"/>
        <v>1097</v>
      </c>
      <c r="C102" s="152">
        <v>223</v>
      </c>
      <c r="D102" s="153">
        <v>112.5</v>
      </c>
      <c r="E102" s="152">
        <v>188</v>
      </c>
      <c r="F102" s="153">
        <v>94</v>
      </c>
      <c r="G102" s="152">
        <v>394</v>
      </c>
      <c r="H102" s="153">
        <v>334</v>
      </c>
      <c r="I102" s="152">
        <v>35</v>
      </c>
      <c r="J102" s="153">
        <v>49</v>
      </c>
      <c r="K102" s="152">
        <v>243</v>
      </c>
      <c r="L102" s="153">
        <v>196.8</v>
      </c>
      <c r="M102" s="135">
        <f t="shared" si="36"/>
        <v>672</v>
      </c>
      <c r="N102" s="134">
        <f t="shared" si="37"/>
        <v>0.57979999999999998</v>
      </c>
      <c r="O102" s="152">
        <v>14</v>
      </c>
      <c r="P102" s="160">
        <v>2</v>
      </c>
      <c r="Q102" s="136" t="s">
        <v>162</v>
      </c>
      <c r="R102" s="5"/>
      <c r="S102" s="5"/>
      <c r="T102" s="5"/>
      <c r="U102" s="130"/>
      <c r="V102" s="130"/>
    </row>
    <row r="103" spans="1:22">
      <c r="A103" s="4" t="s">
        <v>163</v>
      </c>
      <c r="B103" s="145">
        <f t="shared" si="35"/>
        <v>3318</v>
      </c>
      <c r="C103" s="152">
        <v>391</v>
      </c>
      <c r="D103" s="153">
        <v>429.512</v>
      </c>
      <c r="E103" s="152">
        <v>167</v>
      </c>
      <c r="F103" s="153">
        <v>246.44800000000001</v>
      </c>
      <c r="G103" s="152">
        <v>1839</v>
      </c>
      <c r="H103" s="153">
        <v>2499.8000000000002</v>
      </c>
      <c r="I103" s="152">
        <v>632</v>
      </c>
      <c r="J103" s="153">
        <v>468</v>
      </c>
      <c r="K103" s="152">
        <v>273</v>
      </c>
      <c r="L103" s="153">
        <v>417</v>
      </c>
      <c r="M103" s="135">
        <f t="shared" si="36"/>
        <v>2744</v>
      </c>
      <c r="N103" s="134">
        <f t="shared" si="37"/>
        <v>3.3848000000000003</v>
      </c>
      <c r="O103" s="152">
        <v>16</v>
      </c>
      <c r="P103" s="160">
        <v>16</v>
      </c>
      <c r="Q103" s="136" t="s">
        <v>164</v>
      </c>
      <c r="R103" s="5"/>
      <c r="S103" s="5"/>
      <c r="T103" s="5"/>
      <c r="U103" s="130"/>
      <c r="V103" s="130"/>
    </row>
    <row r="104" spans="1:22">
      <c r="A104" s="4" t="s">
        <v>165</v>
      </c>
      <c r="B104" s="145">
        <f t="shared" si="35"/>
        <v>691</v>
      </c>
      <c r="C104" s="152">
        <v>55</v>
      </c>
      <c r="D104" s="153">
        <v>65.599999999999994</v>
      </c>
      <c r="E104" s="152">
        <v>43</v>
      </c>
      <c r="F104" s="153">
        <v>29</v>
      </c>
      <c r="G104" s="152">
        <v>379</v>
      </c>
      <c r="H104" s="153">
        <v>569.95000000000005</v>
      </c>
      <c r="I104" s="152">
        <v>24</v>
      </c>
      <c r="J104" s="153">
        <v>25</v>
      </c>
      <c r="K104" s="152">
        <v>190</v>
      </c>
      <c r="L104" s="153">
        <v>242</v>
      </c>
      <c r="M104" s="135">
        <f t="shared" si="36"/>
        <v>593</v>
      </c>
      <c r="N104" s="134">
        <f t="shared" si="37"/>
        <v>0.83695000000000008</v>
      </c>
      <c r="O104" s="154" t="s">
        <v>290</v>
      </c>
      <c r="P104" s="159" t="s">
        <v>290</v>
      </c>
      <c r="Q104" s="136" t="s">
        <v>166</v>
      </c>
      <c r="R104" s="5"/>
      <c r="S104" s="5"/>
      <c r="T104" s="5"/>
      <c r="U104" s="130"/>
      <c r="V104" s="130"/>
    </row>
    <row r="105" spans="1:22">
      <c r="A105" s="216" t="s">
        <v>167</v>
      </c>
      <c r="B105" s="217">
        <f>SUM(B107:B110)</f>
        <v>58777</v>
      </c>
      <c r="C105" s="191">
        <f>SUM(C107:C110)</f>
        <v>10216</v>
      </c>
      <c r="D105" s="191">
        <f t="shared" ref="D105:P105" si="38">SUM(D107:D110)</f>
        <v>18408.557000000001</v>
      </c>
      <c r="E105" s="191">
        <f t="shared" si="38"/>
        <v>6771</v>
      </c>
      <c r="F105" s="191">
        <f t="shared" si="38"/>
        <v>12782.13</v>
      </c>
      <c r="G105" s="191">
        <f t="shared" si="38"/>
        <v>16667</v>
      </c>
      <c r="H105" s="191">
        <f t="shared" si="38"/>
        <v>23452.31</v>
      </c>
      <c r="I105" s="191">
        <f t="shared" si="38"/>
        <v>16545</v>
      </c>
      <c r="J105" s="191">
        <f t="shared" si="38"/>
        <v>32400.36</v>
      </c>
      <c r="K105" s="191">
        <f t="shared" si="38"/>
        <v>8572</v>
      </c>
      <c r="L105" s="191">
        <f t="shared" si="38"/>
        <v>12209.060000000001</v>
      </c>
      <c r="M105" s="191">
        <f>SUM(G105,I105,K105)</f>
        <v>41784</v>
      </c>
      <c r="N105" s="191">
        <f>SUM(H105,J105,L105)</f>
        <v>68061.73</v>
      </c>
      <c r="O105" s="191">
        <f t="shared" si="38"/>
        <v>6</v>
      </c>
      <c r="P105" s="192">
        <f t="shared" si="38"/>
        <v>5.2</v>
      </c>
      <c r="Q105" s="220" t="s">
        <v>168</v>
      </c>
      <c r="R105" s="220"/>
      <c r="S105" s="220"/>
      <c r="T105" s="5"/>
      <c r="U105" s="130"/>
      <c r="V105" s="130"/>
    </row>
    <row r="106" spans="1:22">
      <c r="A106" s="216"/>
      <c r="B106" s="217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2"/>
      <c r="Q106" s="220"/>
      <c r="R106" s="220"/>
      <c r="S106" s="220"/>
      <c r="T106" s="5"/>
      <c r="U106" s="130"/>
      <c r="V106" s="130"/>
    </row>
    <row r="107" spans="1:22">
      <c r="A107" s="4" t="s">
        <v>169</v>
      </c>
      <c r="B107" s="145">
        <f>SUM(C107,E107,G107,I107,K107,O107)</f>
        <v>31559</v>
      </c>
      <c r="C107" s="152">
        <v>6452</v>
      </c>
      <c r="D107" s="153">
        <v>10150.6</v>
      </c>
      <c r="E107" s="152">
        <v>3474</v>
      </c>
      <c r="F107" s="153">
        <v>4467.2</v>
      </c>
      <c r="G107" s="152">
        <v>8971</v>
      </c>
      <c r="H107" s="153">
        <v>14693.65</v>
      </c>
      <c r="I107" s="152">
        <v>6871</v>
      </c>
      <c r="J107" s="153">
        <v>10885.2</v>
      </c>
      <c r="K107" s="152">
        <v>5791</v>
      </c>
      <c r="L107" s="153">
        <v>8933.75</v>
      </c>
      <c r="M107" s="135">
        <f t="shared" ref="M107:M110" si="39">SUM(G107,I107,K107)</f>
        <v>21633</v>
      </c>
      <c r="N107" s="134">
        <f>(SUM(H107,J107,L107))/1000</f>
        <v>34.512599999999999</v>
      </c>
      <c r="O107" s="154" t="s">
        <v>290</v>
      </c>
      <c r="P107" s="159" t="s">
        <v>290</v>
      </c>
      <c r="Q107" s="136" t="s">
        <v>170</v>
      </c>
      <c r="R107" s="5"/>
      <c r="S107" s="5"/>
      <c r="T107" s="5"/>
      <c r="U107" s="130"/>
      <c r="V107" s="130"/>
    </row>
    <row r="108" spans="1:22" ht="12" customHeight="1">
      <c r="A108" s="4" t="s">
        <v>171</v>
      </c>
      <c r="B108" s="145">
        <f>SUM(C108,E108,G108,I108,K108,O108)</f>
        <v>12940</v>
      </c>
      <c r="C108" s="152">
        <v>585</v>
      </c>
      <c r="D108" s="153">
        <v>1449.5</v>
      </c>
      <c r="E108" s="152">
        <v>1145</v>
      </c>
      <c r="F108" s="153">
        <v>4604.3999999999996</v>
      </c>
      <c r="G108" s="152">
        <v>2704</v>
      </c>
      <c r="H108" s="153">
        <v>3108.51</v>
      </c>
      <c r="I108" s="152">
        <v>7194</v>
      </c>
      <c r="J108" s="153">
        <v>19141.560000000001</v>
      </c>
      <c r="K108" s="152">
        <v>1312</v>
      </c>
      <c r="L108" s="153">
        <v>2123.61</v>
      </c>
      <c r="M108" s="135">
        <f t="shared" si="39"/>
        <v>11210</v>
      </c>
      <c r="N108" s="134">
        <f>(SUM(H108,J108,L108))/1000</f>
        <v>24.37368</v>
      </c>
      <c r="O108" s="154" t="s">
        <v>290</v>
      </c>
      <c r="P108" s="159" t="s">
        <v>290</v>
      </c>
      <c r="Q108" s="136" t="s">
        <v>172</v>
      </c>
      <c r="R108" s="5"/>
      <c r="S108" s="5"/>
      <c r="T108" s="5"/>
      <c r="U108" s="130"/>
      <c r="V108" s="130"/>
    </row>
    <row r="109" spans="1:22">
      <c r="A109" s="4" t="s">
        <v>173</v>
      </c>
      <c r="B109" s="145">
        <f>SUM(C109,E109,G109,I109,K109,O109)</f>
        <v>3692</v>
      </c>
      <c r="C109" s="152">
        <v>802</v>
      </c>
      <c r="D109" s="153">
        <v>1082.04</v>
      </c>
      <c r="E109" s="152">
        <v>468</v>
      </c>
      <c r="F109" s="153">
        <v>460.18</v>
      </c>
      <c r="G109" s="152">
        <v>1246</v>
      </c>
      <c r="H109" s="153">
        <v>1138.9000000000001</v>
      </c>
      <c r="I109" s="152">
        <v>725</v>
      </c>
      <c r="J109" s="153">
        <v>635.5</v>
      </c>
      <c r="K109" s="152">
        <v>451</v>
      </c>
      <c r="L109" s="153">
        <v>279.85000000000002</v>
      </c>
      <c r="M109" s="135">
        <f t="shared" si="39"/>
        <v>2422</v>
      </c>
      <c r="N109" s="134">
        <f>(SUM(H109,J109,L109))/1000</f>
        <v>2.0542500000000001</v>
      </c>
      <c r="O109" s="154" t="s">
        <v>290</v>
      </c>
      <c r="P109" s="159" t="s">
        <v>290</v>
      </c>
      <c r="Q109" s="136" t="s">
        <v>174</v>
      </c>
      <c r="R109" s="5"/>
      <c r="S109" s="5"/>
      <c r="T109" s="5"/>
      <c r="U109" s="130"/>
      <c r="V109" s="130"/>
    </row>
    <row r="110" spans="1:22" ht="10.8" thickBot="1">
      <c r="A110" s="6" t="s">
        <v>175</v>
      </c>
      <c r="B110" s="147">
        <f>SUM(C110,E110,G110,I110,K110,O110)</f>
        <v>10586</v>
      </c>
      <c r="C110" s="162">
        <v>2377</v>
      </c>
      <c r="D110" s="163">
        <v>5726.4170000000004</v>
      </c>
      <c r="E110" s="162">
        <v>1684</v>
      </c>
      <c r="F110" s="163">
        <v>3250.35</v>
      </c>
      <c r="G110" s="162">
        <v>3746</v>
      </c>
      <c r="H110" s="163">
        <v>4511.25</v>
      </c>
      <c r="I110" s="162">
        <v>1755</v>
      </c>
      <c r="J110" s="163">
        <v>1738.1</v>
      </c>
      <c r="K110" s="162">
        <v>1018</v>
      </c>
      <c r="L110" s="163">
        <v>871.85</v>
      </c>
      <c r="M110" s="148">
        <f t="shared" si="39"/>
        <v>6519</v>
      </c>
      <c r="N110" s="149">
        <f>(SUM(H110,J110,L110))/1000</f>
        <v>7.1212000000000009</v>
      </c>
      <c r="O110" s="162">
        <v>6</v>
      </c>
      <c r="P110" s="164">
        <v>5.2</v>
      </c>
      <c r="Q110" s="137" t="s">
        <v>176</v>
      </c>
      <c r="R110" s="7"/>
      <c r="S110" s="7"/>
      <c r="T110" s="5"/>
      <c r="U110" s="130"/>
      <c r="V110" s="130"/>
    </row>
    <row r="111" spans="1:22">
      <c r="A111" s="8" t="s">
        <v>177</v>
      </c>
      <c r="L111" s="5"/>
      <c r="N111" s="5"/>
      <c r="O111" s="5"/>
      <c r="P111" s="225" t="s">
        <v>178</v>
      </c>
      <c r="Q111" s="226"/>
      <c r="R111" s="226"/>
      <c r="S111" s="226"/>
    </row>
    <row r="112" spans="1:22">
      <c r="A112" s="9"/>
    </row>
  </sheetData>
  <mergeCells count="248">
    <mergeCell ref="B2:R2"/>
    <mergeCell ref="B3:R3"/>
    <mergeCell ref="P111:S111"/>
    <mergeCell ref="K8:L8"/>
    <mergeCell ref="Q105:S106"/>
    <mergeCell ref="M83:M84"/>
    <mergeCell ref="N83:N84"/>
    <mergeCell ref="O83:O84"/>
    <mergeCell ref="P73:P74"/>
    <mergeCell ref="Q73:S74"/>
    <mergeCell ref="K105:K106"/>
    <mergeCell ref="L105:L106"/>
    <mergeCell ref="Q90:S91"/>
    <mergeCell ref="P83:P84"/>
    <mergeCell ref="Q83:S84"/>
    <mergeCell ref="Q82:T82"/>
    <mergeCell ref="Q76:T76"/>
    <mergeCell ref="Q77:T77"/>
    <mergeCell ref="P105:P106"/>
    <mergeCell ref="P90:P91"/>
    <mergeCell ref="J83:J84"/>
    <mergeCell ref="K83:K84"/>
    <mergeCell ref="L83:L84"/>
    <mergeCell ref="Q78:T78"/>
    <mergeCell ref="Q79:T79"/>
    <mergeCell ref="Q80:T80"/>
    <mergeCell ref="Q81:T81"/>
    <mergeCell ref="J105:J106"/>
    <mergeCell ref="M105:M106"/>
    <mergeCell ref="O90:O91"/>
    <mergeCell ref="K90:K91"/>
    <mergeCell ref="L90:L91"/>
    <mergeCell ref="M90:M91"/>
    <mergeCell ref="N90:N91"/>
    <mergeCell ref="I8:J8"/>
    <mergeCell ref="M8:N8"/>
    <mergeCell ref="N105:N106"/>
    <mergeCell ref="O105:O106"/>
    <mergeCell ref="J90:J91"/>
    <mergeCell ref="A90:A91"/>
    <mergeCell ref="B90:B91"/>
    <mergeCell ref="C90:C91"/>
    <mergeCell ref="D90:D91"/>
    <mergeCell ref="E90:E91"/>
    <mergeCell ref="F90:F91"/>
    <mergeCell ref="G90:G91"/>
    <mergeCell ref="H90:H91"/>
    <mergeCell ref="G83:G84"/>
    <mergeCell ref="H83:H84"/>
    <mergeCell ref="I83:I8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A73:A74"/>
    <mergeCell ref="B73:B74"/>
    <mergeCell ref="C73:C74"/>
    <mergeCell ref="D73:D74"/>
    <mergeCell ref="E73:E74"/>
    <mergeCell ref="F73:F74"/>
    <mergeCell ref="A83:A84"/>
    <mergeCell ref="B83:B84"/>
    <mergeCell ref="C83:C84"/>
    <mergeCell ref="D83:D84"/>
    <mergeCell ref="E83:E84"/>
    <mergeCell ref="F83:F84"/>
    <mergeCell ref="I90:I91"/>
    <mergeCell ref="Q75:T75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H61:H62"/>
    <mergeCell ref="I61:I62"/>
    <mergeCell ref="Q64:S64"/>
    <mergeCell ref="A66:A67"/>
    <mergeCell ref="B66:B67"/>
    <mergeCell ref="C66:C67"/>
    <mergeCell ref="D66:D67"/>
    <mergeCell ref="E66:E67"/>
    <mergeCell ref="P66:P67"/>
    <mergeCell ref="Q66:S67"/>
    <mergeCell ref="F66:F67"/>
    <mergeCell ref="G66:G67"/>
    <mergeCell ref="M61:M62"/>
    <mergeCell ref="N66:N67"/>
    <mergeCell ref="O66:O67"/>
    <mergeCell ref="H66:H67"/>
    <mergeCell ref="I66:I67"/>
    <mergeCell ref="J66:J67"/>
    <mergeCell ref="K66:K67"/>
    <mergeCell ref="L66:L67"/>
    <mergeCell ref="M66:M67"/>
    <mergeCell ref="N61:N62"/>
    <mergeCell ref="O61:O62"/>
    <mergeCell ref="J54:J55"/>
    <mergeCell ref="J61:J62"/>
    <mergeCell ref="K61:K62"/>
    <mergeCell ref="L61:L62"/>
    <mergeCell ref="P61:P62"/>
    <mergeCell ref="Q61:S62"/>
    <mergeCell ref="A54:A55"/>
    <mergeCell ref="B54:B55"/>
    <mergeCell ref="C54:C55"/>
    <mergeCell ref="D54:D55"/>
    <mergeCell ref="E54:E55"/>
    <mergeCell ref="F54:F55"/>
    <mergeCell ref="A61:A62"/>
    <mergeCell ref="B61:B62"/>
    <mergeCell ref="C61:C62"/>
    <mergeCell ref="D61:D62"/>
    <mergeCell ref="E61:E62"/>
    <mergeCell ref="F61:F62"/>
    <mergeCell ref="G61:G62"/>
    <mergeCell ref="I54:I55"/>
    <mergeCell ref="G54:G55"/>
    <mergeCell ref="H54:H55"/>
    <mergeCell ref="O54:O55"/>
    <mergeCell ref="P54:P55"/>
    <mergeCell ref="I40:I41"/>
    <mergeCell ref="J40:J41"/>
    <mergeCell ref="K40:K41"/>
    <mergeCell ref="Q45:S45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P47:P48"/>
    <mergeCell ref="Q47:S48"/>
    <mergeCell ref="K47:K48"/>
    <mergeCell ref="L47:L48"/>
    <mergeCell ref="M47:M48"/>
    <mergeCell ref="N47:N48"/>
    <mergeCell ref="O47:O48"/>
    <mergeCell ref="J47:J48"/>
    <mergeCell ref="L40:L41"/>
    <mergeCell ref="M40:M41"/>
    <mergeCell ref="A40:A41"/>
    <mergeCell ref="Q54:S55"/>
    <mergeCell ref="K54:K55"/>
    <mergeCell ref="N40:N41"/>
    <mergeCell ref="O40:O41"/>
    <mergeCell ref="P40:P41"/>
    <mergeCell ref="Q40:S41"/>
    <mergeCell ref="L54:L55"/>
    <mergeCell ref="M54:M55"/>
    <mergeCell ref="N54:N55"/>
    <mergeCell ref="B40:B41"/>
    <mergeCell ref="C40:C41"/>
    <mergeCell ref="D40:D41"/>
    <mergeCell ref="E40:E41"/>
    <mergeCell ref="G34:G35"/>
    <mergeCell ref="H34:H35"/>
    <mergeCell ref="A34:A35"/>
    <mergeCell ref="B34:B35"/>
    <mergeCell ref="C34:C35"/>
    <mergeCell ref="D34:D35"/>
    <mergeCell ref="E34:E35"/>
    <mergeCell ref="F34:F35"/>
    <mergeCell ref="F40:F41"/>
    <mergeCell ref="G40:G41"/>
    <mergeCell ref="H40:H41"/>
    <mergeCell ref="M34:M35"/>
    <mergeCell ref="N34:N35"/>
    <mergeCell ref="I34:I35"/>
    <mergeCell ref="J34:J35"/>
    <mergeCell ref="K34:K35"/>
    <mergeCell ref="L34:L35"/>
    <mergeCell ref="O34:O35"/>
    <mergeCell ref="P34:P35"/>
    <mergeCell ref="Q34:S35"/>
    <mergeCell ref="L20:L21"/>
    <mergeCell ref="M20:M21"/>
    <mergeCell ref="N20:N21"/>
    <mergeCell ref="O20:O21"/>
    <mergeCell ref="P20:P21"/>
    <mergeCell ref="Q20:S21"/>
    <mergeCell ref="H20:H21"/>
    <mergeCell ref="I20:I21"/>
    <mergeCell ref="J20:J21"/>
    <mergeCell ref="K20:K21"/>
    <mergeCell ref="B6:B9"/>
    <mergeCell ref="F10:F11"/>
    <mergeCell ref="G10:G11"/>
    <mergeCell ref="H10:H11"/>
    <mergeCell ref="A20:A21"/>
    <mergeCell ref="B20:B21"/>
    <mergeCell ref="C20:C21"/>
    <mergeCell ref="D20:D21"/>
    <mergeCell ref="E20:E21"/>
    <mergeCell ref="G12:G13"/>
    <mergeCell ref="F20:F21"/>
    <mergeCell ref="G20:G21"/>
    <mergeCell ref="A12:A13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  <mergeCell ref="Q12:S13"/>
    <mergeCell ref="H12:H13"/>
    <mergeCell ref="I12:I13"/>
    <mergeCell ref="K12:K13"/>
    <mergeCell ref="L12:L13"/>
    <mergeCell ref="J12:J13"/>
    <mergeCell ref="A5:F5"/>
    <mergeCell ref="M5:S5"/>
    <mergeCell ref="O6:P8"/>
    <mergeCell ref="L10:L11"/>
    <mergeCell ref="M10:M11"/>
    <mergeCell ref="N10:N11"/>
    <mergeCell ref="O10:O11"/>
    <mergeCell ref="P10:P11"/>
    <mergeCell ref="Q10:S11"/>
    <mergeCell ref="I10:I11"/>
    <mergeCell ref="J10:J11"/>
    <mergeCell ref="K10:K11"/>
    <mergeCell ref="C6:D8"/>
    <mergeCell ref="E6:F8"/>
    <mergeCell ref="G6:N6"/>
    <mergeCell ref="G7:N7"/>
    <mergeCell ref="C10:C11"/>
    <mergeCell ref="D10:D11"/>
    <mergeCell ref="E10:E11"/>
    <mergeCell ref="Q6:S9"/>
    <mergeCell ref="A10:A11"/>
    <mergeCell ref="B10:B11"/>
    <mergeCell ref="G8:H8"/>
    <mergeCell ref="A6:A9"/>
  </mergeCells>
  <conditionalFormatting sqref="C14:L19 C22:L28 C30:L33 C36:L39 C42:L46 C49:L53 C56:L60 C63:L65 C68:L72 C82:L82 C79:L80 C76:L76 C85:L89 C92:L104 C107:L110 O14:P19 O22:P28 O30:P33 O36:P39 O42:P46 O49:P53 O56:P60 O63:P65 O68:P72 O76:P76 O79:P80 O82:P82 O85:P89 O92:P104 O107:P110">
    <cfRule type="cellIs" dxfId="0" priority="26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30:B33 B85:B89 B15:B19 B22:B28 B107:B110 B36:B39 B42:B46 B49:B53 B56:B60 B63:B65 B69:B72 B92:B104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2017-02-21T07:49:47Z</dcterms:modified>
</cp:coreProperties>
</file>