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252" windowWidth="14856" windowHeight="5760" firstSheet="1" activeTab="1"/>
  </bookViews>
  <sheets>
    <sheet name="ListOfRegions" sheetId="2" state="hidden" r:id="rId1"/>
    <sheet name="ΠΙΝΑΚΑΣ 2(στ)" sheetId="1" r:id="rId2"/>
  </sheets>
  <calcPr calcId="124519"/>
</workbook>
</file>

<file path=xl/calcChain.xml><?xml version="1.0" encoding="utf-8"?>
<calcChain xmlns="http://schemas.openxmlformats.org/spreadsheetml/2006/main">
  <c r="B105" i="1"/>
  <c r="B90"/>
  <c r="B83"/>
  <c r="B73"/>
  <c r="B66"/>
  <c r="B61"/>
  <c r="B54"/>
  <c r="B47"/>
  <c r="B40"/>
  <c r="B34"/>
  <c r="B29"/>
  <c r="B20"/>
  <c r="B12"/>
  <c r="C12"/>
  <c r="C47"/>
  <c r="E29"/>
  <c r="F29"/>
  <c r="G29"/>
  <c r="H29"/>
  <c r="C29"/>
  <c r="D29"/>
  <c r="H20"/>
  <c r="G20"/>
  <c r="F20"/>
  <c r="E20"/>
  <c r="D20"/>
  <c r="C20"/>
  <c r="B108"/>
  <c r="B109"/>
  <c r="B110"/>
  <c r="B107"/>
  <c r="B93"/>
  <c r="B94"/>
  <c r="B95"/>
  <c r="B96"/>
  <c r="B97"/>
  <c r="B98"/>
  <c r="B99"/>
  <c r="B100"/>
  <c r="B101"/>
  <c r="B102"/>
  <c r="B103"/>
  <c r="B104"/>
  <c r="B92"/>
  <c r="B86"/>
  <c r="B87"/>
  <c r="B88"/>
  <c r="B89"/>
  <c r="B85"/>
  <c r="B76"/>
  <c r="B77"/>
  <c r="B78"/>
  <c r="B79"/>
  <c r="B80"/>
  <c r="B81"/>
  <c r="B82"/>
  <c r="B75"/>
  <c r="B69"/>
  <c r="B70"/>
  <c r="B71"/>
  <c r="B72"/>
  <c r="B68"/>
  <c r="B64"/>
  <c r="B65"/>
  <c r="B63"/>
  <c r="B57"/>
  <c r="B58"/>
  <c r="B59"/>
  <c r="B60"/>
  <c r="B56"/>
  <c r="B50"/>
  <c r="B51"/>
  <c r="B52"/>
  <c r="B53"/>
  <c r="B49"/>
  <c r="B43"/>
  <c r="B44"/>
  <c r="B45"/>
  <c r="B46"/>
  <c r="B42"/>
  <c r="B37"/>
  <c r="B38"/>
  <c r="B39"/>
  <c r="B36"/>
  <c r="B15"/>
  <c r="B16"/>
  <c r="B17"/>
  <c r="B18"/>
  <c r="B19"/>
  <c r="B14"/>
  <c r="B22"/>
  <c r="H105"/>
  <c r="G105"/>
  <c r="F105"/>
  <c r="E105"/>
  <c r="D105"/>
  <c r="C105"/>
  <c r="H90"/>
  <c r="G90"/>
  <c r="F90"/>
  <c r="E90"/>
  <c r="D90"/>
  <c r="C90"/>
  <c r="H83"/>
  <c r="G83"/>
  <c r="F83"/>
  <c r="E83"/>
  <c r="D83"/>
  <c r="C83"/>
  <c r="H73"/>
  <c r="G73"/>
  <c r="F73"/>
  <c r="E73"/>
  <c r="D73"/>
  <c r="C73"/>
  <c r="H66"/>
  <c r="G66"/>
  <c r="F66"/>
  <c r="E66"/>
  <c r="D66"/>
  <c r="C66"/>
  <c r="H61"/>
  <c r="G61"/>
  <c r="F61"/>
  <c r="E61"/>
  <c r="D61"/>
  <c r="C61"/>
  <c r="H54"/>
  <c r="G54"/>
  <c r="F54"/>
  <c r="E54"/>
  <c r="D54"/>
  <c r="C54"/>
  <c r="H47"/>
  <c r="G47"/>
  <c r="F47"/>
  <c r="E47"/>
  <c r="D47"/>
  <c r="H40"/>
  <c r="G40"/>
  <c r="F40"/>
  <c r="E40"/>
  <c r="D40"/>
  <c r="C40"/>
  <c r="H34"/>
  <c r="G34"/>
  <c r="F34"/>
  <c r="E34"/>
  <c r="D34"/>
  <c r="C34"/>
  <c r="B33"/>
  <c r="B32"/>
  <c r="B31"/>
  <c r="B30"/>
  <c r="B28"/>
  <c r="B27"/>
  <c r="B26"/>
  <c r="B25"/>
  <c r="B24"/>
  <c r="B23"/>
  <c r="H12"/>
  <c r="G12"/>
  <c r="F12"/>
  <c r="E12"/>
  <c r="D12"/>
  <c r="G10" l="1"/>
  <c r="F10"/>
  <c r="B10"/>
  <c r="C10"/>
  <c r="H10"/>
  <c r="D10"/>
  <c r="E10"/>
</calcChain>
</file>

<file path=xl/sharedStrings.xml><?xml version="1.0" encoding="utf-8"?>
<sst xmlns="http://schemas.openxmlformats.org/spreadsheetml/2006/main" count="604" uniqueCount="293">
  <si>
    <t>Εκτάσεις σε στρέμματα, παραγωγή σε τόνους</t>
  </si>
  <si>
    <t>Περιφέρειες και Περιφερειακές Ενότητες</t>
  </si>
  <si>
    <t>Σύνολο Ελλάδας</t>
  </si>
  <si>
    <t>Περιφέρεια Ανατολικής Μακεδονίας και Θράκης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</si>
  <si>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</si>
  <si>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</si>
  <si>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</si>
  <si>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</si>
  <si>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</si>
  <si>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</si>
  <si>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Περιφέρεια Κεντρικής Μακεδονίας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</si>
  <si>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</si>
  <si>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</si>
  <si>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</si>
  <si>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</si>
  <si>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</si>
  <si>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</si>
  <si>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</si>
  <si>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</si>
  <si>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</si>
  <si>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</si>
  <si>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</si>
  <si>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>Περιφέρεια Ηπείρου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</si>
  <si>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</si>
  <si>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</si>
  <si>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</si>
  <si>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</si>
  <si>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>Περιφέρεια Θεσσαλίας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</si>
  <si>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</si>
  <si>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</si>
  <si>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</si>
  <si>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</si>
  <si>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</si>
  <si>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>Περιφέρεια Στερεάς Ελλάδας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</si>
  <si>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</si>
  <si>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</si>
  <si>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</si>
  <si>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</si>
  <si>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</si>
  <si>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>Περιφέρεια Ιονίων Νήσων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</si>
  <si>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</si>
  <si>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</si>
  <si>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</si>
  <si>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</si>
  <si>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</si>
  <si>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>Περιφέρεια Δυτικής Ελλάδας</t>
  </si>
  <si>
    <t xml:space="preserve">  Αχαϊας</t>
  </si>
  <si>
    <t xml:space="preserve">  Αιτωλ/νανίας</t>
  </si>
  <si>
    <t xml:space="preserve">  Ηλείας</t>
  </si>
  <si>
    <t>Περιφέρεια Πελοποννήσου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</si>
  <si>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</si>
  <si>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</si>
  <si>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</si>
  <si>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</si>
  <si>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</si>
  <si>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>Περιφέρεια Αττικής</t>
  </si>
  <si>
    <t>Κεντρικού Τομέα Αθηνών</t>
  </si>
  <si>
    <t>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</si>
  <si>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</si>
  <si>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</si>
  <si>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</si>
  <si>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</si>
  <si>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</si>
  <si>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</si>
  <si>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>Περιφέρεια Βορείου Αιγαίου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</si>
  <si>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</si>
  <si>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</si>
  <si>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</si>
  <si>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</si>
  <si>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</si>
  <si>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>Περιφέρεια Νοτίου Αιγαίου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</si>
  <si>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</si>
  <si>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</si>
  <si>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</si>
  <si>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</si>
  <si>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</si>
  <si>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</si>
  <si>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</si>
  <si>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</si>
  <si>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</si>
  <si>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</si>
  <si>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</si>
  <si>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</si>
  <si>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</si>
  <si>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>Περιφέρεια Κρήτης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</si>
  <si>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</si>
  <si>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</si>
  <si>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</si>
  <si>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</si>
  <si>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1=εκτάσεις,  2=παραγωγή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</si>
  <si>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</si>
  <si>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</si>
  <si>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</si>
  <si>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</si>
  <si>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</si>
  <si>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</si>
  <si>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</si>
  <si>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</si>
  <si>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</si>
  <si>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</si>
  <si>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</si>
  <si>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</si>
  <si>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</si>
  <si>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</si>
  <si>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</si>
  <si>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</si>
  <si>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</si>
  <si>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</si>
  <si>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</si>
  <si>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</si>
  <si>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</si>
  <si>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</si>
  <si>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</si>
  <si>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</si>
  <si>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</si>
  <si>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</si>
  <si>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</si>
  <si>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</si>
  <si>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</si>
  <si>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</si>
  <si>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</si>
  <si>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</si>
  <si>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</si>
  <si>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</si>
  <si>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</si>
  <si>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</si>
  <si>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</si>
  <si>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</si>
  <si>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</si>
  <si>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</si>
  <si>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</si>
  <si>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</si>
  <si>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</si>
  <si>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</si>
  <si>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</si>
  <si>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</si>
  <si>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</si>
  <si>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</si>
  <si>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</si>
  <si>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</si>
  <si>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</si>
  <si>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</si>
  <si>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</si>
  <si>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</si>
  <si>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</si>
  <si>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</si>
  <si>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</si>
  <si>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</si>
  <si>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</si>
  <si>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</si>
  <si>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</si>
  <si>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</si>
  <si>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</si>
  <si>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</si>
  <si>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</si>
  <si>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</si>
  <si>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</si>
  <si>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</si>
  <si>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</si>
  <si>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</si>
  <si>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</si>
  <si>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</si>
  <si>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</si>
  <si>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</si>
  <si>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</si>
  <si>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</si>
  <si>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</si>
  <si>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</si>
  <si>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</si>
  <si>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</si>
  <si>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</si>
  <si>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</si>
  <si>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</si>
  <si>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</si>
  <si>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</si>
  <si>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</si>
  <si>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</si>
  <si>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</si>
  <si>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</si>
  <si>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</si>
  <si>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</si>
  <si>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</si>
  <si>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</si>
  <si>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</si>
  <si>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Τεύτλα κτηνοτροφικά Mangolds</t>
  </si>
  <si>
    <t>Areas in stremmas, production in tons</t>
  </si>
  <si>
    <t>1=areas  2=production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</si>
  <si>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</si>
  <si>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</si>
  <si>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</si>
  <si>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</si>
  <si>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</si>
  <si>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</si>
  <si>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</si>
  <si>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</si>
  <si>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</si>
  <si>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</si>
  <si>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</si>
  <si>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</si>
  <si>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</si>
  <si>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</si>
  <si>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</si>
  <si>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</si>
  <si>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</si>
  <si>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</si>
  <si>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</si>
  <si>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</si>
  <si>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</si>
  <si>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</si>
  <si>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</si>
  <si>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</si>
  <si>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</si>
  <si>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</si>
  <si>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</si>
  <si>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</si>
  <si>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</si>
  <si>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</si>
  <si>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</si>
  <si>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</si>
  <si>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</si>
  <si>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</si>
  <si>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</si>
  <si>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</si>
  <si>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</si>
  <si>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</si>
  <si>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</si>
  <si>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</si>
  <si>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</si>
  <si>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</si>
  <si>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</si>
  <si>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</si>
  <si>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</si>
  <si>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</si>
  <si>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</si>
  <si>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</si>
  <si>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</si>
  <si>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</si>
  <si>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</si>
  <si>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</si>
  <si>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</si>
  <si>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</si>
  <si>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</si>
  <si>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</si>
  <si>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</si>
  <si>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</si>
  <si>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</si>
  <si>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</si>
  <si>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</si>
  <si>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</si>
  <si>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</si>
  <si>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</si>
  <si>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</si>
  <si>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</si>
  <si>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</si>
  <si>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</si>
  <si>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</si>
  <si>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</si>
  <si>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</si>
  <si>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</si>
  <si>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</si>
  <si>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</si>
  <si>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</si>
  <si>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</si>
  <si>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</si>
  <si>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</si>
  <si>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</si>
  <si>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</si>
  <si>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</si>
  <si>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</si>
  <si>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</si>
  <si>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</si>
  <si>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</si>
  <si>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</si>
  <si>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</si>
  <si>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</si>
  <si>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</si>
  <si>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</si>
  <si>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</si>
  <si>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</si>
  <si>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</si>
  <si>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</si>
  <si>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</si>
  <si>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</si>
  <si>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</si>
  <si>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</si>
  <si>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—</t>
  </si>
  <si>
    <t>Region of Western Macedonia</t>
  </si>
  <si>
    <t>Περιφέρεια Δυτικής Μακεδονίας</t>
  </si>
  <si>
    <t>Σόργο
Sorghum</t>
  </si>
  <si>
    <t>Αραβόσιτος χλωρός
Maize</t>
  </si>
  <si>
    <t>Πίνακας 2στ. Κτηνοτροφικά φυτά για χλωρό χόρτο και ριζώματα. Εκτάσεις και παραγωγή, κατά Περιφέρεια και Περιφερειακή Ενότητα,  2014.</t>
  </si>
  <si>
    <t>Table 2f. Fodder plants for grass. Areas and production, by Region and Regional Unities, 2014</t>
  </si>
  <si>
    <t>Σύνολο
Εκτάσεων
Total
Area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</si>
</sst>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8"/>
      <color theme="1"/>
      <name val="Arial"/>
      <family val="2"/>
      <charset val="161"/>
    </font>
    <font>
      <sz val="11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theme="1"/>
      <name val="Calibri"/>
      <family val="2"/>
      <charset val="161"/>
    </font>
    <font>
      <sz val="9"/>
      <color theme="1"/>
      <name val="Calibri"/>
      <family val="2"/>
      <charset val="161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2" fillId="0" borderId="1" xfId="0" applyNumberFormat="1" applyFont="1" applyFill="1" applyBorder="1" applyAlignment="1" applyProtection="1"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49" fontId="12" fillId="0" borderId="0" xfId="0" applyNumberFormat="1" applyFont="1" applyAlignment="1" applyProtection="1">
      <alignment horizontal="left" wrapText="1" indent="1"/>
      <protection locked="0"/>
    </xf>
    <xf numFmtId="49" fontId="12" fillId="0" borderId="1" xfId="0" applyNumberFormat="1" applyFont="1" applyBorder="1" applyAlignment="1" applyProtection="1">
      <alignment horizontal="left" wrapText="1" indent="1"/>
      <protection locked="0"/>
    </xf>
    <xf numFmtId="0" fontId="12" fillId="0" borderId="0" xfId="0" applyFont="1" applyProtection="1"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0" fontId="12" fillId="0" borderId="0" xfId="0" applyFont="1" applyAlignment="1" applyProtection="1">
      <protection locked="0"/>
    </xf>
    <xf numFmtId="0" fontId="12" fillId="0" borderId="0" xfId="0" applyFont="1" applyAlignment="1" applyProtection="1">
      <alignment horizontal="left" indent="1"/>
      <protection locked="0"/>
    </xf>
    <xf numFmtId="0" fontId="13" fillId="0" borderId="0" xfId="0" applyFont="1" applyAlignment="1" applyProtection="1">
      <protection locked="0"/>
    </xf>
    <xf numFmtId="0" fontId="12" fillId="0" borderId="0" xfId="0" applyFont="1" applyBorder="1" applyAlignment="1" applyProtection="1">
      <protection locked="0"/>
    </xf>
    <xf numFmtId="0" fontId="12" fillId="0" borderId="1" xfId="0" applyFont="1" applyBorder="1" applyAlignment="1" applyProtection="1">
      <alignment horizontal="left" indent="1"/>
      <protection locked="0"/>
    </xf>
    <xf numFmtId="0" fontId="12" fillId="0" borderId="1" xfId="0" applyFont="1" applyBorder="1" applyAlignment="1" applyProtection="1">
      <protection locked="0"/>
    </xf>
    <xf numFmtId="49" fontId="14" fillId="0" borderId="0" xfId="0" applyNumberFormat="1" applyFont="1" applyBorder="1" applyAlignment="1" applyProtection="1">
      <alignment horizontal="left" vertical="center" wrapText="1" indent="2"/>
      <protection locked="0"/>
    </xf>
    <xf numFmtId="0" fontId="15" fillId="0" borderId="0" xfId="0" applyFont="1" applyBorder="1" applyAlignment="1" applyProtection="1">
      <alignment vertical="center" wrapText="1"/>
      <protection locked="0"/>
    </xf>
    <xf numFmtId="0" fontId="15" fillId="0" borderId="0" xfId="0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wrapText="1"/>
      <protection locked="0"/>
    </xf>
    <xf numFmtId="0" fontId="12" fillId="0" borderId="0" xfId="0" applyFont="1" applyBorder="1" applyAlignment="1" applyProtection="1">
      <alignment wrapText="1"/>
      <protection locked="0"/>
    </xf>
    <xf numFmtId="0" fontId="2" fillId="0" borderId="0" xfId="0" applyNumberFormat="1" applyFont="1" applyFill="1" applyBorder="1" applyAlignment="1" applyProtection="1">
      <alignment vertical="center" wrapText="1"/>
      <protection locked="0"/>
    </xf>
    <xf numFmtId="0" fontId="12" fillId="0" borderId="0" xfId="0" applyFont="1" applyBorder="1" applyAlignment="1" applyProtection="1">
      <alignment horizontal="left" indent="1"/>
      <protection locked="0"/>
    </xf>
    <xf numFmtId="0" fontId="2" fillId="0" borderId="0" xfId="0" applyNumberFormat="1" applyFont="1" applyFill="1" applyBorder="1" applyAlignment="1" applyProtection="1">
      <protection locked="0"/>
    </xf>
    <xf numFmtId="0" fontId="12" fillId="0" borderId="0" xfId="0" applyFont="1" applyBorder="1" applyAlignment="1" applyProtection="1">
      <alignment vertical="center"/>
      <protection locked="0"/>
    </xf>
    <xf numFmtId="49" fontId="4" fillId="2" borderId="4" xfId="0" applyNumberFormat="1" applyFont="1" applyFill="1" applyBorder="1"/>
    <xf numFmtId="49" fontId="4" fillId="2" borderId="5" xfId="0" applyNumberFormat="1" applyFont="1" applyFill="1" applyBorder="1" applyAlignment="1">
      <alignment horizontal="left"/>
    </xf>
    <xf numFmtId="0" fontId="5" fillId="2" borderId="5" xfId="0" applyNumberFormat="1" applyFont="1" applyFill="1" applyBorder="1" applyAlignment="1" applyProtection="1"/>
    <xf numFmtId="49" fontId="6" fillId="2" borderId="0" xfId="0" applyNumberFormat="1" applyFont="1" applyFill="1" applyBorder="1" applyAlignment="1">
      <alignment horizontal="centerContinuous" vertical="center" wrapText="1"/>
    </xf>
    <xf numFmtId="49" fontId="6" fillId="2" borderId="5" xfId="0" applyNumberFormat="1" applyFont="1" applyFill="1" applyBorder="1" applyAlignment="1">
      <alignment vertical="center" textRotation="90"/>
    </xf>
    <xf numFmtId="0" fontId="5" fillId="2" borderId="6" xfId="0" applyNumberFormat="1" applyFont="1" applyFill="1" applyBorder="1" applyAlignment="1" applyProtection="1"/>
    <xf numFmtId="49" fontId="4" fillId="2" borderId="7" xfId="0" applyNumberFormat="1" applyFont="1" applyFill="1" applyBorder="1"/>
    <xf numFmtId="49" fontId="4" fillId="2" borderId="0" xfId="0" applyNumberFormat="1" applyFont="1" applyFill="1" applyBorder="1" applyAlignment="1">
      <alignment horizontal="left"/>
    </xf>
    <xf numFmtId="0" fontId="5" fillId="2" borderId="0" xfId="0" applyNumberFormat="1" applyFont="1" applyFill="1" applyBorder="1" applyAlignment="1" applyProtection="1"/>
    <xf numFmtId="49" fontId="6" fillId="2" borderId="0" xfId="0" applyNumberFormat="1" applyFont="1" applyFill="1" applyBorder="1" applyAlignment="1">
      <alignment vertical="center" textRotation="90"/>
    </xf>
    <xf numFmtId="0" fontId="5" fillId="2" borderId="8" xfId="0" applyNumberFormat="1" applyFont="1" applyFill="1" applyBorder="1" applyAlignment="1" applyProtection="1"/>
    <xf numFmtId="0" fontId="8" fillId="2" borderId="0" xfId="0" applyNumberFormat="1" applyFont="1" applyFill="1" applyBorder="1" applyAlignment="1" applyProtection="1"/>
    <xf numFmtId="49" fontId="4" fillId="8" borderId="7" xfId="0" applyNumberFormat="1" applyFont="1" applyFill="1" applyBorder="1"/>
    <xf numFmtId="49" fontId="4" fillId="8" borderId="0" xfId="0" applyNumberFormat="1" applyFont="1" applyFill="1" applyBorder="1" applyAlignment="1">
      <alignment horizontal="left"/>
    </xf>
    <xf numFmtId="0" fontId="5" fillId="8" borderId="0" xfId="0" applyNumberFormat="1" applyFont="1" applyFill="1" applyBorder="1" applyAlignment="1" applyProtection="1"/>
    <xf numFmtId="49" fontId="6" fillId="8" borderId="0" xfId="0" applyNumberFormat="1" applyFont="1" applyFill="1" applyBorder="1"/>
    <xf numFmtId="49" fontId="6" fillId="8" borderId="0" xfId="0" applyNumberFormat="1" applyFont="1" applyFill="1" applyBorder="1" applyAlignment="1">
      <alignment vertical="center" textRotation="90"/>
    </xf>
    <xf numFmtId="0" fontId="5" fillId="8" borderId="8" xfId="0" applyNumberFormat="1" applyFont="1" applyFill="1" applyBorder="1" applyAlignment="1" applyProtection="1"/>
    <xf numFmtId="49" fontId="4" fillId="8" borderId="0" xfId="0" applyNumberFormat="1" applyFont="1" applyFill="1" applyBorder="1"/>
    <xf numFmtId="49" fontId="6" fillId="8" borderId="0" xfId="0" applyNumberFormat="1" applyFont="1" applyFill="1" applyBorder="1" applyAlignment="1">
      <alignment horizontal="left"/>
    </xf>
    <xf numFmtId="49" fontId="7" fillId="8" borderId="0" xfId="0" applyNumberFormat="1" applyFont="1" applyFill="1" applyBorder="1"/>
    <xf numFmtId="49" fontId="4" fillId="4" borderId="7" xfId="0" applyNumberFormat="1" applyFont="1" applyFill="1" applyBorder="1"/>
    <xf numFmtId="49" fontId="4" fillId="4" borderId="0" xfId="0" applyNumberFormat="1" applyFont="1" applyFill="1" applyBorder="1"/>
    <xf numFmtId="0" fontId="5" fillId="4" borderId="0" xfId="0" applyNumberFormat="1" applyFont="1" applyFill="1" applyBorder="1" applyAlignment="1" applyProtection="1"/>
    <xf numFmtId="49" fontId="6" fillId="4" borderId="0" xfId="0" applyNumberFormat="1" applyFont="1" applyFill="1" applyBorder="1"/>
    <xf numFmtId="49" fontId="6" fillId="9" borderId="0" xfId="0" applyNumberFormat="1" applyFont="1" applyFill="1" applyBorder="1" applyAlignment="1">
      <alignment vertical="center" textRotation="90"/>
    </xf>
    <xf numFmtId="0" fontId="5" fillId="4" borderId="8" xfId="0" applyNumberFormat="1" applyFont="1" applyFill="1" applyBorder="1" applyAlignment="1" applyProtection="1"/>
    <xf numFmtId="49" fontId="7" fillId="4" borderId="0" xfId="0" applyNumberFormat="1" applyFont="1" applyFill="1" applyBorder="1"/>
    <xf numFmtId="49" fontId="4" fillId="4" borderId="9" xfId="0" applyNumberFormat="1" applyFont="1" applyFill="1" applyBorder="1"/>
    <xf numFmtId="49" fontId="4" fillId="4" borderId="1" xfId="0" applyNumberFormat="1" applyFont="1" applyFill="1" applyBorder="1"/>
    <xf numFmtId="0" fontId="5" fillId="4" borderId="1" xfId="0" applyNumberFormat="1" applyFont="1" applyFill="1" applyBorder="1" applyAlignment="1" applyProtection="1"/>
    <xf numFmtId="49" fontId="6" fillId="9" borderId="1" xfId="0" applyNumberFormat="1" applyFont="1" applyFill="1" applyBorder="1" applyAlignment="1">
      <alignment vertical="center" textRotation="90"/>
    </xf>
    <xf numFmtId="0" fontId="5" fillId="4" borderId="10" xfId="0" applyNumberFormat="1" applyFont="1" applyFill="1" applyBorder="1" applyAlignment="1" applyProtection="1"/>
    <xf numFmtId="49" fontId="4" fillId="10" borderId="4" xfId="0" applyNumberFormat="1" applyFont="1" applyFill="1" applyBorder="1"/>
    <xf numFmtId="49" fontId="4" fillId="10" borderId="5" xfId="0" applyNumberFormat="1" applyFont="1" applyFill="1" applyBorder="1"/>
    <xf numFmtId="0" fontId="5" fillId="10" borderId="5" xfId="0" applyNumberFormat="1" applyFont="1" applyFill="1" applyBorder="1" applyAlignment="1" applyProtection="1"/>
    <xf numFmtId="49" fontId="6" fillId="10" borderId="5" xfId="0" applyNumberFormat="1" applyFont="1" applyFill="1" applyBorder="1"/>
    <xf numFmtId="49" fontId="6" fillId="10" borderId="5" xfId="0" applyNumberFormat="1" applyFont="1" applyFill="1" applyBorder="1" applyAlignment="1">
      <alignment vertical="center" textRotation="90"/>
    </xf>
    <xf numFmtId="0" fontId="5" fillId="10" borderId="6" xfId="0" applyNumberFormat="1" applyFont="1" applyFill="1" applyBorder="1" applyAlignment="1" applyProtection="1"/>
    <xf numFmtId="49" fontId="4" fillId="10" borderId="7" xfId="0" applyNumberFormat="1" applyFont="1" applyFill="1" applyBorder="1"/>
    <xf numFmtId="49" fontId="4" fillId="10" borderId="0" xfId="0" applyNumberFormat="1" applyFont="1" applyFill="1" applyBorder="1"/>
    <xf numFmtId="0" fontId="5" fillId="10" borderId="0" xfId="0" applyNumberFormat="1" applyFont="1" applyFill="1" applyBorder="1" applyAlignment="1" applyProtection="1"/>
    <xf numFmtId="49" fontId="6" fillId="10" borderId="0" xfId="0" applyNumberFormat="1" applyFont="1" applyFill="1" applyBorder="1" applyAlignment="1">
      <alignment vertical="center" textRotation="90"/>
    </xf>
    <xf numFmtId="0" fontId="5" fillId="10" borderId="8" xfId="0" applyNumberFormat="1" applyFont="1" applyFill="1" applyBorder="1" applyAlignment="1" applyProtection="1"/>
    <xf numFmtId="49" fontId="7" fillId="10" borderId="0" xfId="0" applyNumberFormat="1" applyFont="1" applyFill="1" applyBorder="1"/>
    <xf numFmtId="49" fontId="4" fillId="5" borderId="7" xfId="0" applyNumberFormat="1" applyFont="1" applyFill="1" applyBorder="1"/>
    <xf numFmtId="49" fontId="4" fillId="5" borderId="0" xfId="0" applyNumberFormat="1" applyFont="1" applyFill="1" applyBorder="1"/>
    <xf numFmtId="0" fontId="5" fillId="5" borderId="0" xfId="0" applyNumberFormat="1" applyFont="1" applyFill="1" applyBorder="1" applyAlignment="1" applyProtection="1"/>
    <xf numFmtId="49" fontId="6" fillId="5" borderId="0" xfId="0" applyNumberFormat="1" applyFont="1" applyFill="1" applyBorder="1"/>
    <xf numFmtId="49" fontId="6" fillId="5" borderId="0" xfId="0" applyNumberFormat="1" applyFont="1" applyFill="1" applyBorder="1" applyAlignment="1">
      <alignment vertical="center" textRotation="90"/>
    </xf>
    <xf numFmtId="0" fontId="5" fillId="5" borderId="8" xfId="0" applyNumberFormat="1" applyFont="1" applyFill="1" applyBorder="1" applyAlignment="1" applyProtection="1"/>
    <xf numFmtId="49" fontId="7" fillId="5" borderId="0" xfId="0" applyNumberFormat="1" applyFont="1" applyFill="1" applyBorder="1"/>
    <xf numFmtId="49" fontId="4" fillId="5" borderId="9" xfId="0" applyNumberFormat="1" applyFont="1" applyFill="1" applyBorder="1"/>
    <xf numFmtId="49" fontId="4" fillId="5" borderId="1" xfId="0" applyNumberFormat="1" applyFont="1" applyFill="1" applyBorder="1"/>
    <xf numFmtId="0" fontId="5" fillId="5" borderId="1" xfId="0" applyNumberFormat="1" applyFont="1" applyFill="1" applyBorder="1" applyAlignment="1" applyProtection="1"/>
    <xf numFmtId="49" fontId="6" fillId="5" borderId="1" xfId="0" applyNumberFormat="1" applyFont="1" applyFill="1" applyBorder="1" applyAlignment="1">
      <alignment vertical="center" textRotation="90"/>
    </xf>
    <xf numFmtId="0" fontId="5" fillId="5" borderId="10" xfId="0" applyNumberFormat="1" applyFont="1" applyFill="1" applyBorder="1" applyAlignment="1" applyProtection="1"/>
    <xf numFmtId="49" fontId="4" fillId="6" borderId="4" xfId="0" applyNumberFormat="1" applyFont="1" applyFill="1" applyBorder="1"/>
    <xf numFmtId="49" fontId="4" fillId="6" borderId="5" xfId="0" applyNumberFormat="1" applyFont="1" applyFill="1" applyBorder="1"/>
    <xf numFmtId="0" fontId="5" fillId="6" borderId="5" xfId="0" applyNumberFormat="1" applyFont="1" applyFill="1" applyBorder="1" applyAlignment="1" applyProtection="1"/>
    <xf numFmtId="49" fontId="6" fillId="6" borderId="5" xfId="0" applyNumberFormat="1" applyFont="1" applyFill="1" applyBorder="1"/>
    <xf numFmtId="0" fontId="8" fillId="6" borderId="5" xfId="0" applyNumberFormat="1" applyFont="1" applyFill="1" applyBorder="1" applyAlignment="1" applyProtection="1"/>
    <xf numFmtId="49" fontId="6" fillId="6" borderId="5" xfId="0" applyNumberFormat="1" applyFont="1" applyFill="1" applyBorder="1" applyAlignment="1">
      <alignment vertical="center" textRotation="90"/>
    </xf>
    <xf numFmtId="0" fontId="8" fillId="6" borderId="6" xfId="0" applyNumberFormat="1" applyFont="1" applyFill="1" applyBorder="1" applyAlignment="1" applyProtection="1"/>
    <xf numFmtId="49" fontId="4" fillId="6" borderId="7" xfId="0" applyNumberFormat="1" applyFont="1" applyFill="1" applyBorder="1"/>
    <xf numFmtId="49" fontId="4" fillId="6" borderId="0" xfId="0" applyNumberFormat="1" applyFont="1" applyFill="1" applyBorder="1"/>
    <xf numFmtId="0" fontId="5" fillId="6" borderId="0" xfId="0" applyNumberFormat="1" applyFont="1" applyFill="1" applyBorder="1" applyAlignment="1" applyProtection="1"/>
    <xf numFmtId="49" fontId="6" fillId="6" borderId="0" xfId="0" applyNumberFormat="1" applyFont="1" applyFill="1" applyBorder="1" applyAlignment="1">
      <alignment vertical="center" textRotation="90"/>
    </xf>
    <xf numFmtId="0" fontId="5" fillId="6" borderId="8" xfId="0" applyNumberFormat="1" applyFont="1" applyFill="1" applyBorder="1" applyAlignment="1" applyProtection="1"/>
    <xf numFmtId="49" fontId="7" fillId="6" borderId="0" xfId="0" applyNumberFormat="1" applyFont="1" applyFill="1" applyBorder="1"/>
    <xf numFmtId="49" fontId="4" fillId="11" borderId="7" xfId="0" applyNumberFormat="1" applyFont="1" applyFill="1" applyBorder="1"/>
    <xf numFmtId="49" fontId="4" fillId="11" borderId="0" xfId="0" applyNumberFormat="1" applyFont="1" applyFill="1" applyBorder="1"/>
    <xf numFmtId="0" fontId="5" fillId="11" borderId="0" xfId="0" applyNumberFormat="1" applyFont="1" applyFill="1" applyBorder="1" applyAlignment="1" applyProtection="1"/>
    <xf numFmtId="49" fontId="6" fillId="11" borderId="0" xfId="0" applyNumberFormat="1" applyFont="1" applyFill="1" applyBorder="1"/>
    <xf numFmtId="49" fontId="6" fillId="11" borderId="0" xfId="0" applyNumberFormat="1" applyFont="1" applyFill="1" applyBorder="1" applyAlignment="1">
      <alignment vertical="center" textRotation="90"/>
    </xf>
    <xf numFmtId="0" fontId="5" fillId="11" borderId="8" xfId="0" applyNumberFormat="1" applyFont="1" applyFill="1" applyBorder="1" applyAlignment="1" applyProtection="1"/>
    <xf numFmtId="49" fontId="7" fillId="11" borderId="0" xfId="0" applyNumberFormat="1" applyFont="1" applyFill="1" applyBorder="1"/>
    <xf numFmtId="49" fontId="4" fillId="12" borderId="7" xfId="0" applyNumberFormat="1" applyFont="1" applyFill="1" applyBorder="1"/>
    <xf numFmtId="49" fontId="4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6" fillId="12" borderId="0" xfId="0" applyNumberFormat="1" applyFont="1" applyFill="1" applyBorder="1"/>
    <xf numFmtId="0" fontId="8" fillId="12" borderId="0" xfId="0" applyNumberFormat="1" applyFont="1" applyFill="1" applyBorder="1" applyAlignment="1" applyProtection="1"/>
    <xf numFmtId="49" fontId="6" fillId="12" borderId="0" xfId="0" applyNumberFormat="1" applyFont="1" applyFill="1" applyBorder="1" applyAlignment="1">
      <alignment vertical="center" textRotation="90"/>
    </xf>
    <xf numFmtId="0" fontId="5" fillId="12" borderId="8" xfId="0" applyNumberFormat="1" applyFont="1" applyFill="1" applyBorder="1" applyAlignment="1" applyProtection="1"/>
    <xf numFmtId="49" fontId="4" fillId="12" borderId="9" xfId="0" applyNumberFormat="1" applyFont="1" applyFill="1" applyBorder="1"/>
    <xf numFmtId="49" fontId="4" fillId="12" borderId="1" xfId="0" applyNumberFormat="1" applyFont="1" applyFill="1" applyBorder="1"/>
    <xf numFmtId="0" fontId="5" fillId="12" borderId="1" xfId="0" applyNumberFormat="1" applyFont="1" applyFill="1" applyBorder="1" applyAlignment="1" applyProtection="1"/>
    <xf numFmtId="49" fontId="6" fillId="12" borderId="1" xfId="0" applyNumberFormat="1" applyFont="1" applyFill="1" applyBorder="1" applyAlignment="1">
      <alignment vertical="center" textRotation="90"/>
    </xf>
    <xf numFmtId="0" fontId="5" fillId="12" borderId="10" xfId="0" applyNumberFormat="1" applyFont="1" applyFill="1" applyBorder="1" applyAlignment="1" applyProtection="1"/>
    <xf numFmtId="0" fontId="9" fillId="6" borderId="5" xfId="0" applyNumberFormat="1" applyFont="1" applyFill="1" applyBorder="1" applyAlignment="1" applyProtection="1"/>
    <xf numFmtId="0" fontId="5" fillId="6" borderId="6" xfId="0" applyNumberFormat="1" applyFont="1" applyFill="1" applyBorder="1" applyAlignment="1" applyProtection="1"/>
    <xf numFmtId="0" fontId="8" fillId="6" borderId="0" xfId="0" applyNumberFormat="1" applyFont="1" applyFill="1" applyBorder="1" applyAlignment="1" applyProtection="1"/>
    <xf numFmtId="49" fontId="4" fillId="6" borderId="9" xfId="0" applyNumberFormat="1" applyFont="1" applyFill="1" applyBorder="1"/>
    <xf numFmtId="49" fontId="4" fillId="6" borderId="1" xfId="0" applyNumberFormat="1" applyFont="1" applyFill="1" applyBorder="1"/>
    <xf numFmtId="0" fontId="5" fillId="6" borderId="1" xfId="0" applyNumberFormat="1" applyFont="1" applyFill="1" applyBorder="1" applyAlignment="1" applyProtection="1"/>
    <xf numFmtId="0" fontId="5" fillId="6" borderId="10" xfId="0" applyNumberFormat="1" applyFont="1" applyFill="1" applyBorder="1" applyAlignment="1" applyProtection="1"/>
    <xf numFmtId="49" fontId="4" fillId="2" borderId="5" xfId="0" applyNumberFormat="1" applyFont="1" applyFill="1" applyBorder="1"/>
    <xf numFmtId="49" fontId="6" fillId="2" borderId="5" xfId="0" applyNumberFormat="1" applyFont="1" applyFill="1" applyBorder="1"/>
    <xf numFmtId="49" fontId="4" fillId="2" borderId="0" xfId="0" applyNumberFormat="1" applyFont="1" applyFill="1" applyBorder="1"/>
    <xf numFmtId="49" fontId="7" fillId="2" borderId="0" xfId="0" applyNumberFormat="1" applyFont="1" applyFill="1" applyBorder="1"/>
    <xf numFmtId="49" fontId="4" fillId="8" borderId="4" xfId="0" applyNumberFormat="1" applyFont="1" applyFill="1" applyBorder="1"/>
    <xf numFmtId="49" fontId="10" fillId="8" borderId="0" xfId="0" applyNumberFormat="1" applyFont="1" applyFill="1" applyBorder="1"/>
    <xf numFmtId="0" fontId="5" fillId="8" borderId="5" xfId="0" applyNumberFormat="1" applyFont="1" applyFill="1" applyBorder="1" applyAlignment="1" applyProtection="1"/>
    <xf numFmtId="49" fontId="6" fillId="8" borderId="5" xfId="0" applyNumberFormat="1" applyFont="1" applyFill="1" applyBorder="1"/>
    <xf numFmtId="49" fontId="4" fillId="8" borderId="5" xfId="0" applyNumberFormat="1" applyFont="1" applyFill="1" applyBorder="1"/>
    <xf numFmtId="0" fontId="5" fillId="8" borderId="6" xfId="0" applyNumberFormat="1" applyFont="1" applyFill="1" applyBorder="1" applyAlignment="1" applyProtection="1"/>
    <xf numFmtId="49" fontId="7" fillId="13" borderId="0" xfId="0" applyNumberFormat="1" applyFont="1" applyFill="1" applyBorder="1" applyAlignment="1">
      <alignment horizontal="left"/>
    </xf>
    <xf numFmtId="0" fontId="5" fillId="13" borderId="0" xfId="0" applyNumberFormat="1" applyFont="1" applyFill="1" applyBorder="1" applyAlignment="1" applyProtection="1">
      <alignment horizontal="left"/>
    </xf>
    <xf numFmtId="49" fontId="11" fillId="13" borderId="0" xfId="0" applyNumberFormat="1" applyFont="1" applyFill="1" applyBorder="1" applyAlignment="1">
      <alignment horizontal="left"/>
    </xf>
    <xf numFmtId="49" fontId="4" fillId="8" borderId="9" xfId="0" applyNumberFormat="1" applyFont="1" applyFill="1" applyBorder="1"/>
    <xf numFmtId="0" fontId="5" fillId="8" borderId="1" xfId="0" applyNumberFormat="1" applyFont="1" applyFill="1" applyBorder="1" applyAlignment="1" applyProtection="1"/>
    <xf numFmtId="49" fontId="4" fillId="8" borderId="1" xfId="0" applyNumberFormat="1" applyFont="1" applyFill="1" applyBorder="1"/>
    <xf numFmtId="0" fontId="5" fillId="8" borderId="10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0" fillId="14" borderId="12" xfId="0" applyNumberFormat="1" applyFont="1" applyFill="1" applyBorder="1"/>
    <xf numFmtId="0" fontId="5" fillId="2" borderId="13" xfId="0" applyNumberFormat="1" applyFont="1" applyFill="1" applyBorder="1" applyAlignment="1" applyProtection="1"/>
    <xf numFmtId="49" fontId="7" fillId="2" borderId="13" xfId="0" applyNumberFormat="1" applyFont="1" applyFill="1" applyBorder="1"/>
    <xf numFmtId="49" fontId="4" fillId="2" borderId="13" xfId="0" applyNumberFormat="1" applyFont="1" applyFill="1" applyBorder="1"/>
    <xf numFmtId="0" fontId="5" fillId="2" borderId="14" xfId="0" applyNumberFormat="1" applyFont="1" applyFill="1" applyBorder="1" applyAlignment="1" applyProtection="1"/>
    <xf numFmtId="0" fontId="3" fillId="0" borderId="15" xfId="0" applyFont="1" applyBorder="1" applyAlignment="1" applyProtection="1">
      <alignment horizontal="center"/>
      <protection locked="0"/>
    </xf>
    <xf numFmtId="49" fontId="15" fillId="0" borderId="0" xfId="0" applyNumberFormat="1" applyFont="1" applyAlignment="1" applyProtection="1">
      <alignment wrapText="1"/>
      <protection locked="0"/>
    </xf>
    <xf numFmtId="3" fontId="1" fillId="15" borderId="16" xfId="0" applyNumberFormat="1" applyFont="1" applyFill="1" applyBorder="1" applyAlignment="1">
      <alignment horizontal="right" wrapText="1"/>
    </xf>
    <xf numFmtId="0" fontId="0" fillId="0" borderId="0" xfId="0" applyAlignment="1">
      <alignment vertical="center"/>
    </xf>
    <xf numFmtId="0" fontId="16" fillId="0" borderId="0" xfId="0" applyFont="1" applyAlignment="1" applyProtection="1">
      <protection locked="0"/>
    </xf>
    <xf numFmtId="3" fontId="2" fillId="0" borderId="24" xfId="0" applyNumberFormat="1" applyFont="1" applyBorder="1" applyAlignment="1" applyProtection="1">
      <alignment horizontal="right" vertical="center"/>
      <protection locked="0"/>
    </xf>
    <xf numFmtId="3" fontId="1" fillId="15" borderId="32" xfId="0" applyNumberFormat="1" applyFont="1" applyFill="1" applyBorder="1" applyAlignment="1">
      <alignment horizontal="right" wrapText="1"/>
    </xf>
    <xf numFmtId="3" fontId="2" fillId="0" borderId="33" xfId="0" applyNumberFormat="1" applyFont="1" applyBorder="1" applyAlignment="1" applyProtection="1">
      <alignment horizontal="right" vertical="center"/>
      <protection locked="0"/>
    </xf>
    <xf numFmtId="0" fontId="15" fillId="0" borderId="0" xfId="0" applyFont="1" applyAlignment="1" applyProtection="1">
      <alignment horizontal="left" vertical="center" indent="1"/>
      <protection locked="0"/>
    </xf>
    <xf numFmtId="3" fontId="12" fillId="0" borderId="0" xfId="0" applyNumberFormat="1" applyFont="1" applyBorder="1" applyAlignment="1">
      <alignment horizontal="right" vertical="top" wrapText="1"/>
    </xf>
    <xf numFmtId="0" fontId="12" fillId="0" borderId="0" xfId="0" applyFont="1" applyBorder="1" applyAlignment="1">
      <alignment horizontal="right" vertical="top" wrapText="1"/>
    </xf>
    <xf numFmtId="3" fontId="12" fillId="0" borderId="16" xfId="0" applyNumberFormat="1" applyFont="1" applyBorder="1" applyAlignment="1">
      <alignment horizontal="right" vertical="top" wrapText="1"/>
    </xf>
    <xf numFmtId="0" fontId="12" fillId="0" borderId="16" xfId="0" applyFont="1" applyBorder="1" applyAlignment="1">
      <alignment horizontal="right" vertical="top" wrapText="1"/>
    </xf>
    <xf numFmtId="3" fontId="12" fillId="0" borderId="16" xfId="0" applyNumberFormat="1" applyFont="1" applyFill="1" applyBorder="1" applyAlignment="1">
      <alignment horizontal="right" vertical="top" wrapText="1"/>
    </xf>
    <xf numFmtId="3" fontId="12" fillId="0" borderId="0" xfId="0" applyNumberFormat="1" applyFont="1" applyFill="1" applyBorder="1" applyAlignment="1">
      <alignment horizontal="right" vertical="top" wrapText="1"/>
    </xf>
    <xf numFmtId="0" fontId="12" fillId="0" borderId="16" xfId="0" applyFont="1" applyFill="1" applyBorder="1" applyAlignment="1">
      <alignment horizontal="right" vertical="top" wrapText="1"/>
    </xf>
    <xf numFmtId="0" fontId="12" fillId="0" borderId="32" xfId="0" applyFont="1" applyBorder="1" applyAlignment="1">
      <alignment horizontal="right" vertical="top" wrapText="1"/>
    </xf>
    <xf numFmtId="3" fontId="12" fillId="0" borderId="32" xfId="0" applyNumberFormat="1" applyFont="1" applyBorder="1" applyAlignment="1">
      <alignment horizontal="right" vertical="top" wrapText="1"/>
    </xf>
    <xf numFmtId="0" fontId="12" fillId="0" borderId="32" xfId="0" applyFont="1" applyFill="1" applyBorder="1" applyAlignment="1">
      <alignment horizontal="right" vertical="top" wrapText="1"/>
    </xf>
    <xf numFmtId="3" fontId="12" fillId="0" borderId="34" xfId="0" applyNumberFormat="1" applyFont="1" applyBorder="1" applyAlignment="1">
      <alignment horizontal="right" vertical="top" wrapText="1"/>
    </xf>
    <xf numFmtId="3" fontId="12" fillId="0" borderId="1" xfId="0" applyNumberFormat="1" applyFont="1" applyBorder="1" applyAlignment="1">
      <alignment horizontal="right" vertical="top" wrapText="1"/>
    </xf>
    <xf numFmtId="0" fontId="12" fillId="0" borderId="34" xfId="0" applyFont="1" applyBorder="1" applyAlignment="1">
      <alignment horizontal="right" vertical="top" wrapText="1"/>
    </xf>
    <xf numFmtId="0" fontId="12" fillId="0" borderId="35" xfId="0" applyFont="1" applyBorder="1" applyAlignment="1">
      <alignment horizontal="right" vertical="top" wrapText="1"/>
    </xf>
    <xf numFmtId="0" fontId="17" fillId="0" borderId="0" xfId="0" applyFont="1"/>
    <xf numFmtId="0" fontId="9" fillId="0" borderId="0" xfId="0" applyNumberFormat="1" applyFont="1" applyFill="1" applyBorder="1" applyAlignment="1" applyProtection="1">
      <alignment horizontal="center" wrapText="1"/>
      <protection locked="0"/>
    </xf>
    <xf numFmtId="49" fontId="6" fillId="16" borderId="5" xfId="0" applyNumberFormat="1" applyFont="1" applyFill="1" applyBorder="1" applyAlignment="1">
      <alignment horizontal="center" vertical="center" textRotation="90"/>
    </xf>
    <xf numFmtId="49" fontId="6" fillId="16" borderId="0" xfId="0" applyNumberFormat="1" applyFont="1" applyFill="1" applyBorder="1" applyAlignment="1">
      <alignment horizontal="center" vertical="center" textRotation="90"/>
    </xf>
    <xf numFmtId="49" fontId="6" fillId="16" borderId="1" xfId="0" applyNumberFormat="1" applyFont="1" applyFill="1" applyBorder="1" applyAlignment="1">
      <alignment horizontal="center" vertical="center" textRotation="90"/>
    </xf>
    <xf numFmtId="49" fontId="6" fillId="3" borderId="5" xfId="0" applyNumberFormat="1" applyFont="1" applyFill="1" applyBorder="1" applyAlignment="1">
      <alignment horizontal="center" vertical="center" textRotation="90" wrapText="1"/>
    </xf>
    <xf numFmtId="49" fontId="6" fillId="3" borderId="0" xfId="0" applyNumberFormat="1" applyFont="1" applyFill="1" applyBorder="1" applyAlignment="1">
      <alignment horizontal="center" vertical="center" textRotation="90" wrapText="1"/>
    </xf>
    <xf numFmtId="49" fontId="6" fillId="3" borderId="1" xfId="0" applyNumberFormat="1" applyFont="1" applyFill="1" applyBorder="1" applyAlignment="1">
      <alignment horizontal="center" vertical="center" textRotation="90" wrapText="1"/>
    </xf>
    <xf numFmtId="49" fontId="7" fillId="2" borderId="0" xfId="0" applyNumberFormat="1" applyFont="1" applyFill="1" applyBorder="1" applyAlignment="1">
      <alignment horizontal="left" vertical="center" wrapText="1"/>
    </xf>
    <xf numFmtId="49" fontId="6" fillId="2" borderId="5" xfId="0" applyNumberFormat="1" applyFont="1" applyFill="1" applyBorder="1" applyAlignment="1">
      <alignment horizontal="center" vertical="center" textRotation="90" wrapText="1"/>
    </xf>
    <xf numFmtId="49" fontId="6" fillId="2" borderId="0" xfId="0" applyNumberFormat="1" applyFont="1" applyFill="1" applyBorder="1" applyAlignment="1">
      <alignment horizontal="center" vertical="center" textRotation="90" wrapText="1"/>
    </xf>
    <xf numFmtId="49" fontId="6" fillId="2" borderId="1" xfId="0" applyNumberFormat="1" applyFont="1" applyFill="1" applyBorder="1" applyAlignment="1">
      <alignment horizontal="center" vertical="center" textRotation="90" wrapText="1"/>
    </xf>
    <xf numFmtId="49" fontId="6" fillId="7" borderId="5" xfId="0" applyNumberFormat="1" applyFont="1" applyFill="1" applyBorder="1" applyAlignment="1">
      <alignment horizontal="center" vertical="center" textRotation="90" wrapText="1"/>
    </xf>
    <xf numFmtId="49" fontId="6" fillId="7" borderId="0" xfId="0" applyNumberFormat="1" applyFont="1" applyFill="1" applyBorder="1" applyAlignment="1">
      <alignment horizontal="center" vertical="center" textRotation="90" wrapText="1"/>
    </xf>
    <xf numFmtId="49" fontId="6" fillId="7" borderId="1" xfId="0" applyNumberFormat="1" applyFont="1" applyFill="1" applyBorder="1" applyAlignment="1">
      <alignment horizontal="center" vertical="center" textRotation="90" wrapText="1"/>
    </xf>
    <xf numFmtId="3" fontId="1" fillId="0" borderId="18" xfId="0" applyNumberFormat="1" applyFont="1" applyBorder="1" applyAlignment="1" applyProtection="1">
      <alignment horizontal="right" vertical="center"/>
    </xf>
    <xf numFmtId="3" fontId="1" fillId="0" borderId="16" xfId="0" applyNumberFormat="1" applyFont="1" applyBorder="1" applyAlignment="1" applyProtection="1">
      <alignment horizontal="right" vertical="center"/>
    </xf>
    <xf numFmtId="3" fontId="1" fillId="0" borderId="31" xfId="0" applyNumberFormat="1" applyFont="1" applyBorder="1" applyAlignment="1" applyProtection="1">
      <alignment horizontal="right" vertical="center"/>
    </xf>
    <xf numFmtId="3" fontId="1" fillId="0" borderId="32" xfId="0" applyNumberFormat="1" applyFont="1" applyBorder="1" applyAlignment="1" applyProtection="1">
      <alignment horizontal="right" vertical="center"/>
    </xf>
    <xf numFmtId="0" fontId="9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NumberFormat="1" applyFont="1" applyFill="1" applyBorder="1" applyAlignment="1" applyProtection="1">
      <alignment horizontal="center" wrapText="1"/>
      <protection locked="0"/>
    </xf>
    <xf numFmtId="0" fontId="2" fillId="0" borderId="1" xfId="0" applyNumberFormat="1" applyFont="1" applyFill="1" applyBorder="1" applyAlignment="1" applyProtection="1">
      <alignment horizontal="right"/>
      <protection locked="0"/>
    </xf>
    <xf numFmtId="0" fontId="2" fillId="0" borderId="1" xfId="0" applyNumberFormat="1" applyFont="1" applyFill="1" applyBorder="1" applyAlignment="1" applyProtection="1">
      <alignment horizontal="left"/>
      <protection locked="0"/>
    </xf>
    <xf numFmtId="0" fontId="1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9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49" fontId="15" fillId="0" borderId="17" xfId="0" applyNumberFormat="1" applyFont="1" applyBorder="1" applyAlignment="1" applyProtection="1">
      <alignment horizontal="left" vertical="center"/>
      <protection locked="0"/>
    </xf>
    <xf numFmtId="49" fontId="15" fillId="0" borderId="0" xfId="0" applyNumberFormat="1" applyFont="1" applyBorder="1" applyAlignment="1" applyProtection="1">
      <alignment horizontal="left" vertical="center"/>
      <protection locked="0"/>
    </xf>
    <xf numFmtId="3" fontId="1" fillId="0" borderId="30" xfId="0" applyNumberFormat="1" applyFont="1" applyBorder="1" applyAlignment="1" applyProtection="1">
      <alignment horizontal="right" vertical="center"/>
    </xf>
    <xf numFmtId="3" fontId="1" fillId="0" borderId="24" xfId="0" applyNumberFormat="1" applyFont="1" applyBorder="1" applyAlignment="1" applyProtection="1">
      <alignment horizontal="right" vertical="center"/>
    </xf>
    <xf numFmtId="0" fontId="0" fillId="0" borderId="6" xfId="0" applyBorder="1"/>
    <xf numFmtId="0" fontId="0" fillId="0" borderId="20" xfId="0" applyBorder="1"/>
    <xf numFmtId="0" fontId="0" fillId="0" borderId="8" xfId="0" applyBorder="1"/>
    <xf numFmtId="0" fontId="0" fillId="0" borderId="21" xfId="0" applyBorder="1"/>
    <xf numFmtId="0" fontId="0" fillId="0" borderId="22" xfId="0" applyBorder="1"/>
    <xf numFmtId="49" fontId="15" fillId="0" borderId="0" xfId="0" applyNumberFormat="1" applyFont="1" applyAlignment="1" applyProtection="1">
      <alignment horizontal="left" vertical="center" wrapText="1"/>
      <protection locked="0"/>
    </xf>
    <xf numFmtId="49" fontId="15" fillId="0" borderId="0" xfId="0" applyNumberFormat="1" applyFont="1" applyBorder="1" applyAlignment="1" applyProtection="1">
      <alignment horizontal="left" vertical="center" wrapText="1"/>
      <protection locked="0"/>
    </xf>
    <xf numFmtId="49" fontId="12" fillId="0" borderId="5" xfId="0" applyNumberFormat="1" applyFont="1" applyBorder="1" applyAlignment="1" applyProtection="1">
      <alignment horizontal="left" wrapText="1"/>
      <protection locked="0"/>
    </xf>
    <xf numFmtId="49" fontId="12" fillId="0" borderId="0" xfId="0" applyNumberFormat="1" applyFont="1" applyBorder="1" applyAlignment="1" applyProtection="1">
      <alignment horizontal="left" wrapText="1"/>
      <protection locked="0"/>
    </xf>
    <xf numFmtId="0" fontId="12" fillId="0" borderId="0" xfId="0" applyFont="1" applyBorder="1" applyAlignment="1" applyProtection="1">
      <alignment horizontal="right" vertical="center"/>
      <protection locked="0"/>
    </xf>
    <xf numFmtId="0" fontId="12" fillId="0" borderId="5" xfId="0" applyFont="1" applyBorder="1" applyAlignment="1" applyProtection="1">
      <alignment horizontal="right" vertical="center"/>
      <protection locked="0"/>
    </xf>
    <xf numFmtId="0" fontId="15" fillId="0" borderId="0" xfId="0" applyFont="1" applyBorder="1" applyAlignment="1" applyProtection="1">
      <alignment horizontal="left" vertical="center" wrapText="1"/>
      <protection locked="0"/>
    </xf>
    <xf numFmtId="0" fontId="15" fillId="0" borderId="0" xfId="0" applyFont="1" applyBorder="1" applyAlignment="1" applyProtection="1">
      <alignment horizontal="left" vertical="center"/>
      <protection locked="0"/>
    </xf>
    <xf numFmtId="0" fontId="12" fillId="0" borderId="0" xfId="0" applyFont="1" applyBorder="1" applyAlignment="1" applyProtection="1">
      <alignment horizontal="left" wrapText="1" indent="1"/>
      <protection locked="0"/>
    </xf>
    <xf numFmtId="0" fontId="1" fillId="0" borderId="0" xfId="0" applyNumberFormat="1" applyFont="1" applyFill="1" applyBorder="1" applyAlignment="1" applyProtection="1">
      <alignment horizontal="left" vertical="center" wrapText="1"/>
      <protection locked="0"/>
    </xf>
    <xf numFmtId="3" fontId="1" fillId="15" borderId="24" xfId="0" applyNumberFormat="1" applyFont="1" applyFill="1" applyBorder="1" applyAlignment="1">
      <alignment horizontal="right" wrapText="1"/>
    </xf>
    <xf numFmtId="0" fontId="9" fillId="0" borderId="6" xfId="0" applyNumberFormat="1" applyFont="1" applyFill="1" applyBorder="1" applyAlignment="1" applyProtection="1">
      <alignment horizontal="left" vertical="center" wrapText="1"/>
      <protection locked="0"/>
    </xf>
    <xf numFmtId="0" fontId="9" fillId="0" borderId="8" xfId="0" applyNumberFormat="1" applyFont="1" applyFill="1" applyBorder="1" applyAlignment="1" applyProtection="1">
      <alignment horizontal="left" vertical="center" wrapText="1"/>
      <protection locked="0"/>
    </xf>
    <xf numFmtId="0" fontId="9" fillId="0" borderId="22" xfId="0" applyNumberFormat="1" applyFont="1" applyFill="1" applyBorder="1" applyAlignment="1" applyProtection="1">
      <alignment horizontal="left" vertical="center" wrapText="1"/>
      <protection locked="0"/>
    </xf>
    <xf numFmtId="0" fontId="9" fillId="0" borderId="4" xfId="0" applyNumberFormat="1" applyFont="1" applyFill="1" applyBorder="1" applyAlignment="1" applyProtection="1">
      <alignment horizontal="left" vertical="center" wrapText="1"/>
      <protection locked="0"/>
    </xf>
    <xf numFmtId="0" fontId="9" fillId="0" borderId="5" xfId="0" applyNumberFormat="1" applyFont="1" applyFill="1" applyBorder="1" applyAlignment="1" applyProtection="1">
      <alignment horizontal="left" vertical="center" wrapText="1"/>
      <protection locked="0"/>
    </xf>
    <xf numFmtId="0" fontId="9" fillId="0" borderId="7" xfId="0" applyNumberFormat="1" applyFont="1" applyFill="1" applyBorder="1" applyAlignment="1" applyProtection="1">
      <alignment horizontal="left" vertical="center" wrapText="1"/>
      <protection locked="0"/>
    </xf>
    <xf numFmtId="0" fontId="9" fillId="0" borderId="0" xfId="0" applyNumberFormat="1" applyFont="1" applyFill="1" applyBorder="1" applyAlignment="1" applyProtection="1">
      <alignment horizontal="left" vertical="center" wrapText="1"/>
      <protection locked="0"/>
    </xf>
    <xf numFmtId="0" fontId="9" fillId="0" borderId="36" xfId="0" applyNumberFormat="1" applyFont="1" applyFill="1" applyBorder="1" applyAlignment="1" applyProtection="1">
      <alignment horizontal="left" vertical="center" wrapText="1"/>
      <protection locked="0"/>
    </xf>
    <xf numFmtId="0" fontId="9" fillId="0" borderId="21" xfId="0" applyNumberFormat="1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15"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showGridLines="0" workbookViewId="0">
      <selection activeCell="D17" sqref="D17"/>
    </sheetView>
  </sheetViews>
  <sheetFormatPr defaultRowHeight="14.4"/>
  <sheetData>
    <row r="1" spans="1:13">
      <c r="A1" s="23" t="s">
        <v>187</v>
      </c>
      <c r="B1" s="24" t="s">
        <v>4</v>
      </c>
      <c r="C1" s="25"/>
      <c r="D1" s="26"/>
      <c r="E1" s="26"/>
      <c r="F1" s="26"/>
      <c r="G1" s="26"/>
      <c r="H1" s="170" t="s">
        <v>188</v>
      </c>
      <c r="I1" s="27"/>
      <c r="J1" s="25"/>
      <c r="K1" s="25"/>
      <c r="L1" s="25"/>
      <c r="M1" s="28"/>
    </row>
    <row r="2" spans="1:13">
      <c r="A2" s="29" t="s">
        <v>189</v>
      </c>
      <c r="B2" s="30" t="s">
        <v>5</v>
      </c>
      <c r="C2" s="31"/>
      <c r="D2" s="31"/>
      <c r="E2" s="31"/>
      <c r="F2" s="31"/>
      <c r="G2" s="31"/>
      <c r="H2" s="171"/>
      <c r="I2" s="32"/>
      <c r="J2" s="31"/>
      <c r="K2" s="31"/>
      <c r="L2" s="31"/>
      <c r="M2" s="33"/>
    </row>
    <row r="3" spans="1:13">
      <c r="A3" s="29" t="s">
        <v>190</v>
      </c>
      <c r="B3" s="30" t="s">
        <v>6</v>
      </c>
      <c r="C3" s="31"/>
      <c r="D3" s="173" t="s">
        <v>191</v>
      </c>
      <c r="E3" s="173"/>
      <c r="F3" s="173"/>
      <c r="G3" s="173"/>
      <c r="H3" s="171"/>
      <c r="I3" s="32"/>
      <c r="J3" s="31"/>
      <c r="K3" s="31"/>
      <c r="L3" s="31"/>
      <c r="M3" s="33"/>
    </row>
    <row r="4" spans="1:13">
      <c r="A4" s="29" t="s">
        <v>192</v>
      </c>
      <c r="B4" s="30" t="s">
        <v>7</v>
      </c>
      <c r="C4" s="31"/>
      <c r="D4" s="34" t="s">
        <v>193</v>
      </c>
      <c r="E4" s="31"/>
      <c r="F4" s="31"/>
      <c r="G4" s="31"/>
      <c r="H4" s="171"/>
      <c r="I4" s="32"/>
      <c r="J4" s="31"/>
      <c r="K4" s="31"/>
      <c r="L4" s="31"/>
      <c r="M4" s="33"/>
    </row>
    <row r="5" spans="1:13">
      <c r="A5" s="29" t="s">
        <v>194</v>
      </c>
      <c r="B5" s="30" t="s">
        <v>8</v>
      </c>
      <c r="C5" s="31"/>
      <c r="D5" s="31"/>
      <c r="E5" s="31"/>
      <c r="F5" s="31"/>
      <c r="G5" s="31"/>
      <c r="H5" s="171"/>
      <c r="I5" s="32"/>
      <c r="J5" s="31"/>
      <c r="K5" s="31"/>
      <c r="L5" s="31"/>
      <c r="M5" s="33"/>
    </row>
    <row r="6" spans="1:13">
      <c r="A6" s="29" t="s">
        <v>195</v>
      </c>
      <c r="B6" s="30" t="s">
        <v>9</v>
      </c>
      <c r="C6" s="31"/>
      <c r="D6" s="31"/>
      <c r="E6" s="31"/>
      <c r="F6" s="31"/>
      <c r="G6" s="31"/>
      <c r="H6" s="171"/>
      <c r="I6" s="32"/>
      <c r="J6" s="31"/>
      <c r="K6" s="31"/>
      <c r="L6" s="31"/>
      <c r="M6" s="33"/>
    </row>
    <row r="7" spans="1:13">
      <c r="A7" s="35" t="s">
        <v>196</v>
      </c>
      <c r="B7" s="36" t="s">
        <v>11</v>
      </c>
      <c r="C7" s="37"/>
      <c r="D7" s="38"/>
      <c r="E7" s="37"/>
      <c r="F7" s="37"/>
      <c r="G7" s="37"/>
      <c r="H7" s="171"/>
      <c r="I7" s="39"/>
      <c r="J7" s="37"/>
      <c r="K7" s="37"/>
      <c r="L7" s="37"/>
      <c r="M7" s="40"/>
    </row>
    <row r="8" spans="1:13">
      <c r="A8" s="35" t="s">
        <v>197</v>
      </c>
      <c r="B8" s="41" t="s">
        <v>12</v>
      </c>
      <c r="C8" s="37"/>
      <c r="D8" s="37"/>
      <c r="E8" s="37"/>
      <c r="F8" s="37"/>
      <c r="G8" s="37"/>
      <c r="H8" s="171"/>
      <c r="I8" s="39"/>
      <c r="J8" s="41"/>
      <c r="K8" s="42"/>
      <c r="L8" s="37"/>
      <c r="M8" s="40"/>
    </row>
    <row r="9" spans="1:13">
      <c r="A9" s="35" t="s">
        <v>198</v>
      </c>
      <c r="B9" s="41" t="s">
        <v>13</v>
      </c>
      <c r="C9" s="37"/>
      <c r="D9" s="37"/>
      <c r="E9" s="37"/>
      <c r="F9" s="37"/>
      <c r="G9" s="37"/>
      <c r="H9" s="171"/>
      <c r="I9" s="39"/>
      <c r="J9" s="37"/>
      <c r="K9" s="37"/>
      <c r="L9" s="37"/>
      <c r="M9" s="40"/>
    </row>
    <row r="10" spans="1:13">
      <c r="A10" s="35" t="s">
        <v>199</v>
      </c>
      <c r="B10" s="41" t="s">
        <v>14</v>
      </c>
      <c r="C10" s="37"/>
      <c r="D10" s="37"/>
      <c r="E10" s="37"/>
      <c r="F10" s="37"/>
      <c r="G10" s="37"/>
      <c r="H10" s="171"/>
      <c r="I10" s="39"/>
      <c r="J10" s="37"/>
      <c r="K10" s="37"/>
      <c r="L10" s="37"/>
      <c r="M10" s="40"/>
    </row>
    <row r="11" spans="1:13">
      <c r="A11" s="35" t="s">
        <v>200</v>
      </c>
      <c r="B11" s="41" t="s">
        <v>15</v>
      </c>
      <c r="C11" s="37"/>
      <c r="D11" s="43" t="s">
        <v>201</v>
      </c>
      <c r="E11" s="37"/>
      <c r="F11" s="37"/>
      <c r="G11" s="37"/>
      <c r="H11" s="171"/>
      <c r="I11" s="39"/>
      <c r="J11" s="37"/>
      <c r="K11" s="37"/>
      <c r="L11" s="37"/>
      <c r="M11" s="40"/>
    </row>
    <row r="12" spans="1:13">
      <c r="A12" s="35" t="s">
        <v>202</v>
      </c>
      <c r="B12" s="41" t="s">
        <v>16</v>
      </c>
      <c r="C12" s="37"/>
      <c r="D12" s="37"/>
      <c r="E12" s="37"/>
      <c r="F12" s="37"/>
      <c r="G12" s="37"/>
      <c r="H12" s="171"/>
      <c r="I12" s="39"/>
      <c r="J12" s="37"/>
      <c r="K12" s="37"/>
      <c r="L12" s="37"/>
      <c r="M12" s="40"/>
    </row>
    <row r="13" spans="1:13">
      <c r="A13" s="35" t="s">
        <v>203</v>
      </c>
      <c r="B13" s="41" t="s">
        <v>17</v>
      </c>
      <c r="C13" s="37"/>
      <c r="D13" s="37"/>
      <c r="E13" s="37"/>
      <c r="F13" s="37"/>
      <c r="G13" s="37"/>
      <c r="H13" s="171"/>
      <c r="I13" s="39"/>
      <c r="J13" s="37"/>
      <c r="K13" s="37"/>
      <c r="L13" s="37"/>
      <c r="M13" s="40"/>
    </row>
    <row r="14" spans="1:13">
      <c r="A14" s="35" t="s">
        <v>204</v>
      </c>
      <c r="B14" s="41" t="s">
        <v>18</v>
      </c>
      <c r="C14" s="37"/>
      <c r="D14" s="37"/>
      <c r="E14" s="37"/>
      <c r="F14" s="37"/>
      <c r="G14" s="37"/>
      <c r="H14" s="171"/>
      <c r="I14" s="39"/>
      <c r="J14" s="37"/>
      <c r="K14" s="37"/>
      <c r="L14" s="37"/>
      <c r="M14" s="40"/>
    </row>
    <row r="15" spans="1:13">
      <c r="A15" s="35" t="s">
        <v>205</v>
      </c>
      <c r="B15" s="41" t="s">
        <v>19</v>
      </c>
      <c r="C15" s="37"/>
      <c r="D15" s="37"/>
      <c r="E15" s="37"/>
      <c r="F15" s="37"/>
      <c r="G15" s="37"/>
      <c r="H15" s="171"/>
      <c r="I15" s="39"/>
      <c r="J15" s="37"/>
      <c r="K15" s="37"/>
      <c r="L15" s="37"/>
      <c r="M15" s="40"/>
    </row>
    <row r="16" spans="1:13">
      <c r="A16" s="35" t="s">
        <v>206</v>
      </c>
      <c r="B16" s="41" t="s">
        <v>20</v>
      </c>
      <c r="C16" s="37"/>
      <c r="D16" s="37"/>
      <c r="E16" s="37"/>
      <c r="F16" s="37"/>
      <c r="G16" s="37"/>
      <c r="H16" s="171"/>
      <c r="I16" s="39"/>
      <c r="J16" s="37"/>
      <c r="K16" s="37"/>
      <c r="L16" s="37"/>
      <c r="M16" s="40"/>
    </row>
    <row r="17" spans="1:13">
      <c r="A17" s="35" t="s">
        <v>207</v>
      </c>
      <c r="B17" s="41" t="s">
        <v>21</v>
      </c>
      <c r="C17" s="37"/>
      <c r="D17" s="37"/>
      <c r="E17" s="37"/>
      <c r="F17" s="37"/>
      <c r="G17" s="37"/>
      <c r="H17" s="171"/>
      <c r="I17" s="39"/>
      <c r="J17" s="37"/>
      <c r="K17" s="37"/>
      <c r="L17" s="37"/>
      <c r="M17" s="40"/>
    </row>
    <row r="18" spans="1:13">
      <c r="A18" s="44" t="s">
        <v>208</v>
      </c>
      <c r="B18" s="45" t="s">
        <v>23</v>
      </c>
      <c r="C18" s="46"/>
      <c r="D18" s="47"/>
      <c r="E18" s="46"/>
      <c r="F18" s="46"/>
      <c r="G18" s="46"/>
      <c r="H18" s="171"/>
      <c r="I18" s="48"/>
      <c r="J18" s="45"/>
      <c r="K18" s="45"/>
      <c r="L18" s="46"/>
      <c r="M18" s="49"/>
    </row>
    <row r="19" spans="1:13">
      <c r="A19" s="44" t="s">
        <v>209</v>
      </c>
      <c r="B19" s="45" t="s">
        <v>24</v>
      </c>
      <c r="C19" s="46"/>
      <c r="D19" s="46"/>
      <c r="E19" s="46"/>
      <c r="F19" s="46"/>
      <c r="G19" s="46"/>
      <c r="H19" s="171"/>
      <c r="I19" s="48"/>
      <c r="J19" s="45"/>
      <c r="K19" s="45"/>
      <c r="L19" s="46"/>
      <c r="M19" s="49"/>
    </row>
    <row r="20" spans="1:13">
      <c r="A20" s="44" t="s">
        <v>210</v>
      </c>
      <c r="B20" s="45" t="s">
        <v>25</v>
      </c>
      <c r="C20" s="46"/>
      <c r="D20" s="50" t="s">
        <v>211</v>
      </c>
      <c r="E20" s="46"/>
      <c r="F20" s="46"/>
      <c r="G20" s="46"/>
      <c r="H20" s="171"/>
      <c r="I20" s="48"/>
      <c r="J20" s="45"/>
      <c r="K20" s="45"/>
      <c r="L20" s="46"/>
      <c r="M20" s="49"/>
    </row>
    <row r="21" spans="1:13" ht="15" thickBot="1">
      <c r="A21" s="51" t="s">
        <v>212</v>
      </c>
      <c r="B21" s="52" t="s">
        <v>26</v>
      </c>
      <c r="C21" s="53"/>
      <c r="D21" s="53"/>
      <c r="E21" s="53"/>
      <c r="F21" s="53"/>
      <c r="G21" s="53"/>
      <c r="H21" s="172"/>
      <c r="I21" s="54"/>
      <c r="J21" s="52"/>
      <c r="K21" s="52"/>
      <c r="L21" s="53"/>
      <c r="M21" s="55"/>
    </row>
    <row r="22" spans="1:13">
      <c r="A22" s="56" t="s">
        <v>213</v>
      </c>
      <c r="B22" s="57" t="s">
        <v>28</v>
      </c>
      <c r="C22" s="58"/>
      <c r="D22" s="59"/>
      <c r="E22" s="58"/>
      <c r="F22" s="58"/>
      <c r="G22" s="60"/>
      <c r="H22" s="174" t="s">
        <v>214</v>
      </c>
      <c r="I22" s="58"/>
      <c r="J22" s="57"/>
      <c r="K22" s="57"/>
      <c r="L22" s="58"/>
      <c r="M22" s="61"/>
    </row>
    <row r="23" spans="1:13">
      <c r="A23" s="62" t="s">
        <v>215</v>
      </c>
      <c r="B23" s="63" t="s">
        <v>29</v>
      </c>
      <c r="C23" s="64"/>
      <c r="D23" s="64"/>
      <c r="E23" s="64"/>
      <c r="F23" s="64"/>
      <c r="G23" s="65"/>
      <c r="H23" s="175"/>
      <c r="I23" s="64"/>
      <c r="J23" s="63"/>
      <c r="K23" s="63"/>
      <c r="L23" s="64"/>
      <c r="M23" s="66"/>
    </row>
    <row r="24" spans="1:13">
      <c r="A24" s="62" t="s">
        <v>216</v>
      </c>
      <c r="B24" s="63" t="s">
        <v>30</v>
      </c>
      <c r="C24" s="64"/>
      <c r="D24" s="67" t="s">
        <v>217</v>
      </c>
      <c r="E24" s="64"/>
      <c r="F24" s="64"/>
      <c r="G24" s="65"/>
      <c r="H24" s="175"/>
      <c r="I24" s="64"/>
      <c r="J24" s="63"/>
      <c r="K24" s="63"/>
      <c r="L24" s="64"/>
      <c r="M24" s="66"/>
    </row>
    <row r="25" spans="1:13">
      <c r="A25" s="62" t="s">
        <v>218</v>
      </c>
      <c r="B25" s="63" t="s">
        <v>31</v>
      </c>
      <c r="C25" s="64"/>
      <c r="D25" s="64"/>
      <c r="E25" s="64"/>
      <c r="F25" s="64"/>
      <c r="G25" s="65"/>
      <c r="H25" s="175"/>
      <c r="I25" s="64"/>
      <c r="J25" s="63"/>
      <c r="K25" s="63"/>
      <c r="L25" s="64"/>
      <c r="M25" s="66"/>
    </row>
    <row r="26" spans="1:13">
      <c r="A26" s="62" t="s">
        <v>219</v>
      </c>
      <c r="B26" s="63" t="s">
        <v>32</v>
      </c>
      <c r="C26" s="64"/>
      <c r="D26" s="64"/>
      <c r="E26" s="64"/>
      <c r="F26" s="64"/>
      <c r="G26" s="65"/>
      <c r="H26" s="175"/>
      <c r="I26" s="64"/>
      <c r="J26" s="63"/>
      <c r="K26" s="63"/>
      <c r="L26" s="64"/>
      <c r="M26" s="66"/>
    </row>
    <row r="27" spans="1:13">
      <c r="A27" s="68" t="s">
        <v>220</v>
      </c>
      <c r="B27" s="69" t="s">
        <v>34</v>
      </c>
      <c r="C27" s="70"/>
      <c r="D27" s="71"/>
      <c r="E27" s="70"/>
      <c r="F27" s="70"/>
      <c r="G27" s="72"/>
      <c r="H27" s="175"/>
      <c r="I27" s="70"/>
      <c r="J27" s="69"/>
      <c r="K27" s="69"/>
      <c r="L27" s="70"/>
      <c r="M27" s="73"/>
    </row>
    <row r="28" spans="1:13">
      <c r="A28" s="68" t="s">
        <v>221</v>
      </c>
      <c r="B28" s="69" t="s">
        <v>35</v>
      </c>
      <c r="C28" s="70"/>
      <c r="D28" s="70"/>
      <c r="E28" s="70"/>
      <c r="F28" s="70"/>
      <c r="G28" s="72"/>
      <c r="H28" s="175"/>
      <c r="I28" s="70"/>
      <c r="J28" s="69"/>
      <c r="K28" s="69"/>
      <c r="L28" s="70"/>
      <c r="M28" s="73"/>
    </row>
    <row r="29" spans="1:13">
      <c r="A29" s="68" t="s">
        <v>222</v>
      </c>
      <c r="B29" s="69" t="s">
        <v>36</v>
      </c>
      <c r="C29" s="70"/>
      <c r="D29" s="74" t="s">
        <v>223</v>
      </c>
      <c r="E29" s="70"/>
      <c r="F29" s="70"/>
      <c r="G29" s="72"/>
      <c r="H29" s="175"/>
      <c r="I29" s="70"/>
      <c r="J29" s="69"/>
      <c r="K29" s="69"/>
      <c r="L29" s="70"/>
      <c r="M29" s="73"/>
    </row>
    <row r="30" spans="1:13">
      <c r="A30" s="68" t="s">
        <v>224</v>
      </c>
      <c r="B30" s="69" t="s">
        <v>37</v>
      </c>
      <c r="C30" s="70"/>
      <c r="D30" s="70"/>
      <c r="E30" s="70"/>
      <c r="F30" s="70"/>
      <c r="G30" s="72"/>
      <c r="H30" s="175"/>
      <c r="I30" s="70"/>
      <c r="J30" s="69"/>
      <c r="K30" s="69"/>
      <c r="L30" s="70"/>
      <c r="M30" s="73"/>
    </row>
    <row r="31" spans="1:13" ht="15" thickBot="1">
      <c r="A31" s="75" t="s">
        <v>225</v>
      </c>
      <c r="B31" s="76" t="s">
        <v>38</v>
      </c>
      <c r="C31" s="77"/>
      <c r="D31" s="77"/>
      <c r="E31" s="77"/>
      <c r="F31" s="77"/>
      <c r="G31" s="78"/>
      <c r="H31" s="176"/>
      <c r="I31" s="77"/>
      <c r="J31" s="76"/>
      <c r="K31" s="76"/>
      <c r="L31" s="77"/>
      <c r="M31" s="79"/>
    </row>
    <row r="32" spans="1:13">
      <c r="A32" s="80" t="s">
        <v>226</v>
      </c>
      <c r="B32" s="81" t="s">
        <v>40</v>
      </c>
      <c r="C32" s="82"/>
      <c r="D32" s="83"/>
      <c r="E32" s="84"/>
      <c r="F32" s="84"/>
      <c r="G32" s="85"/>
      <c r="H32" s="177" t="s">
        <v>227</v>
      </c>
      <c r="I32" s="84"/>
      <c r="J32" s="83"/>
      <c r="K32" s="83"/>
      <c r="L32" s="84"/>
      <c r="M32" s="86"/>
    </row>
    <row r="33" spans="1:13">
      <c r="A33" s="87" t="s">
        <v>228</v>
      </c>
      <c r="B33" s="88" t="s">
        <v>41</v>
      </c>
      <c r="C33" s="89"/>
      <c r="D33" s="89"/>
      <c r="E33" s="89"/>
      <c r="F33" s="89"/>
      <c r="G33" s="90"/>
      <c r="H33" s="178"/>
      <c r="I33" s="89"/>
      <c r="J33" s="88"/>
      <c r="K33" s="88"/>
      <c r="L33" s="89"/>
      <c r="M33" s="91"/>
    </row>
    <row r="34" spans="1:13">
      <c r="A34" s="87" t="s">
        <v>229</v>
      </c>
      <c r="B34" s="88" t="s">
        <v>42</v>
      </c>
      <c r="C34" s="89"/>
      <c r="D34" s="92" t="s">
        <v>230</v>
      </c>
      <c r="E34" s="89"/>
      <c r="F34" s="89"/>
      <c r="G34" s="90"/>
      <c r="H34" s="178"/>
      <c r="I34" s="89"/>
      <c r="J34" s="88"/>
      <c r="K34" s="88"/>
      <c r="L34" s="89"/>
      <c r="M34" s="91"/>
    </row>
    <row r="35" spans="1:13">
      <c r="A35" s="87" t="s">
        <v>231</v>
      </c>
      <c r="B35" s="88" t="s">
        <v>43</v>
      </c>
      <c r="C35" s="89"/>
      <c r="D35" s="89"/>
      <c r="E35" s="89"/>
      <c r="F35" s="89"/>
      <c r="G35" s="90"/>
      <c r="H35" s="178"/>
      <c r="I35" s="89"/>
      <c r="J35" s="88"/>
      <c r="K35" s="88"/>
      <c r="L35" s="89"/>
      <c r="M35" s="91"/>
    </row>
    <row r="36" spans="1:13">
      <c r="A36" s="87" t="s">
        <v>232</v>
      </c>
      <c r="B36" s="88" t="s">
        <v>44</v>
      </c>
      <c r="C36" s="89"/>
      <c r="D36" s="89"/>
      <c r="E36" s="89"/>
      <c r="F36" s="89"/>
      <c r="G36" s="90"/>
      <c r="H36" s="178"/>
      <c r="I36" s="89"/>
      <c r="J36" s="88"/>
      <c r="K36" s="88"/>
      <c r="L36" s="89"/>
      <c r="M36" s="91"/>
    </row>
    <row r="37" spans="1:13">
      <c r="A37" s="93" t="s">
        <v>233</v>
      </c>
      <c r="B37" s="94" t="s">
        <v>46</v>
      </c>
      <c r="C37" s="95"/>
      <c r="D37" s="96"/>
      <c r="E37" s="95"/>
      <c r="F37" s="95"/>
      <c r="G37" s="97"/>
      <c r="H37" s="178"/>
      <c r="I37" s="95"/>
      <c r="J37" s="94"/>
      <c r="K37" s="94"/>
      <c r="L37" s="95"/>
      <c r="M37" s="98"/>
    </row>
    <row r="38" spans="1:13">
      <c r="A38" s="93" t="s">
        <v>234</v>
      </c>
      <c r="B38" s="94" t="s">
        <v>47</v>
      </c>
      <c r="C38" s="95"/>
      <c r="D38" s="99" t="s">
        <v>235</v>
      </c>
      <c r="E38" s="95"/>
      <c r="F38" s="95"/>
      <c r="G38" s="97"/>
      <c r="H38" s="178"/>
      <c r="I38" s="95"/>
      <c r="J38" s="94"/>
      <c r="K38" s="94"/>
      <c r="L38" s="95"/>
      <c r="M38" s="98"/>
    </row>
    <row r="39" spans="1:13">
      <c r="A39" s="93" t="s">
        <v>236</v>
      </c>
      <c r="B39" s="94" t="s">
        <v>48</v>
      </c>
      <c r="C39" s="95"/>
      <c r="D39" s="95"/>
      <c r="E39" s="95"/>
      <c r="F39" s="95"/>
      <c r="G39" s="97"/>
      <c r="H39" s="178"/>
      <c r="I39" s="95"/>
      <c r="J39" s="94"/>
      <c r="K39" s="94"/>
      <c r="L39" s="95"/>
      <c r="M39" s="98"/>
    </row>
    <row r="40" spans="1:13">
      <c r="A40" s="100" t="s">
        <v>237</v>
      </c>
      <c r="B40" s="101" t="s">
        <v>50</v>
      </c>
      <c r="C40" s="102"/>
      <c r="D40" s="103"/>
      <c r="E40" s="104"/>
      <c r="F40" s="104"/>
      <c r="G40" s="105"/>
      <c r="H40" s="178"/>
      <c r="I40" s="102"/>
      <c r="J40" s="101"/>
      <c r="K40" s="101"/>
      <c r="L40" s="102"/>
      <c r="M40" s="106"/>
    </row>
    <row r="41" spans="1:13">
      <c r="A41" s="100" t="s">
        <v>238</v>
      </c>
      <c r="B41" s="101" t="s">
        <v>51</v>
      </c>
      <c r="C41" s="102"/>
      <c r="D41" s="102"/>
      <c r="E41" s="102"/>
      <c r="F41" s="102"/>
      <c r="G41" s="105"/>
      <c r="H41" s="178"/>
      <c r="I41" s="102"/>
      <c r="J41" s="101"/>
      <c r="K41" s="101"/>
      <c r="L41" s="102"/>
      <c r="M41" s="106"/>
    </row>
    <row r="42" spans="1:13">
      <c r="A42" s="100" t="s">
        <v>239</v>
      </c>
      <c r="B42" s="101" t="s">
        <v>52</v>
      </c>
      <c r="C42" s="102"/>
      <c r="D42" s="103" t="s">
        <v>240</v>
      </c>
      <c r="E42" s="102"/>
      <c r="F42" s="102"/>
      <c r="G42" s="105"/>
      <c r="H42" s="178"/>
      <c r="I42" s="102"/>
      <c r="J42" s="101"/>
      <c r="K42" s="101"/>
      <c r="L42" s="102"/>
      <c r="M42" s="106"/>
    </row>
    <row r="43" spans="1:13">
      <c r="A43" s="100" t="s">
        <v>241</v>
      </c>
      <c r="B43" s="101" t="s">
        <v>53</v>
      </c>
      <c r="C43" s="102"/>
      <c r="D43" s="102"/>
      <c r="E43" s="102"/>
      <c r="F43" s="102"/>
      <c r="G43" s="105"/>
      <c r="H43" s="178"/>
      <c r="I43" s="102"/>
      <c r="J43" s="101"/>
      <c r="K43" s="101"/>
      <c r="L43" s="102"/>
      <c r="M43" s="106"/>
    </row>
    <row r="44" spans="1:13" ht="15" thickBot="1">
      <c r="A44" s="107" t="s">
        <v>242</v>
      </c>
      <c r="B44" s="108" t="s">
        <v>54</v>
      </c>
      <c r="C44" s="109"/>
      <c r="D44" s="109"/>
      <c r="E44" s="109"/>
      <c r="F44" s="109"/>
      <c r="G44" s="110"/>
      <c r="H44" s="179"/>
      <c r="I44" s="109"/>
      <c r="J44" s="108"/>
      <c r="K44" s="108"/>
      <c r="L44" s="109"/>
      <c r="M44" s="111"/>
    </row>
    <row r="45" spans="1:13">
      <c r="A45" s="80" t="s">
        <v>243</v>
      </c>
      <c r="B45" s="81" t="s">
        <v>244</v>
      </c>
      <c r="C45" s="82"/>
      <c r="D45" s="82"/>
      <c r="E45" s="112"/>
      <c r="F45" s="82"/>
      <c r="G45" s="82"/>
      <c r="H45" s="170" t="s">
        <v>245</v>
      </c>
      <c r="I45" s="82"/>
      <c r="J45" s="81"/>
      <c r="K45" s="81"/>
      <c r="L45" s="82"/>
      <c r="M45" s="113"/>
    </row>
    <row r="46" spans="1:13">
      <c r="A46" s="87" t="s">
        <v>246</v>
      </c>
      <c r="B46" s="88" t="s">
        <v>247</v>
      </c>
      <c r="C46" s="89"/>
      <c r="D46" s="89"/>
      <c r="E46" s="89"/>
      <c r="F46" s="89"/>
      <c r="G46" s="89"/>
      <c r="H46" s="171"/>
      <c r="I46" s="89"/>
      <c r="J46" s="88"/>
      <c r="K46" s="88"/>
      <c r="L46" s="89"/>
      <c r="M46" s="91"/>
    </row>
    <row r="47" spans="1:13">
      <c r="A47" s="87" t="s">
        <v>248</v>
      </c>
      <c r="B47" s="88" t="s">
        <v>58</v>
      </c>
      <c r="C47" s="89"/>
      <c r="D47" s="89"/>
      <c r="E47" s="89"/>
      <c r="F47" s="89"/>
      <c r="G47" s="89"/>
      <c r="H47" s="171"/>
      <c r="I47" s="89"/>
      <c r="J47" s="88"/>
      <c r="K47" s="88"/>
      <c r="L47" s="89"/>
      <c r="M47" s="91"/>
    </row>
    <row r="48" spans="1:13">
      <c r="A48" s="87" t="s">
        <v>249</v>
      </c>
      <c r="B48" s="88" t="s">
        <v>59</v>
      </c>
      <c r="C48" s="89"/>
      <c r="D48" s="89"/>
      <c r="E48" s="89"/>
      <c r="F48" s="89"/>
      <c r="G48" s="89"/>
      <c r="H48" s="171"/>
      <c r="I48" s="89"/>
      <c r="J48" s="88"/>
      <c r="K48" s="88"/>
      <c r="L48" s="89"/>
      <c r="M48" s="91"/>
    </row>
    <row r="49" spans="1:13">
      <c r="A49" s="87" t="s">
        <v>250</v>
      </c>
      <c r="B49" s="88" t="s">
        <v>60</v>
      </c>
      <c r="C49" s="89"/>
      <c r="D49" s="89"/>
      <c r="E49" s="114" t="s">
        <v>251</v>
      </c>
      <c r="F49" s="89"/>
      <c r="G49" s="89"/>
      <c r="H49" s="171"/>
      <c r="I49" s="89"/>
      <c r="J49" s="88"/>
      <c r="K49" s="88"/>
      <c r="L49" s="89"/>
      <c r="M49" s="91"/>
    </row>
    <row r="50" spans="1:13">
      <c r="A50" s="87" t="s">
        <v>252</v>
      </c>
      <c r="B50" s="88" t="s">
        <v>61</v>
      </c>
      <c r="C50" s="89"/>
      <c r="D50" s="89"/>
      <c r="E50" s="89"/>
      <c r="F50" s="89"/>
      <c r="G50" s="89"/>
      <c r="H50" s="171"/>
      <c r="I50" s="89"/>
      <c r="J50" s="88"/>
      <c r="K50" s="88"/>
      <c r="L50" s="89"/>
      <c r="M50" s="91"/>
    </row>
    <row r="51" spans="1:13">
      <c r="A51" s="87" t="s">
        <v>253</v>
      </c>
      <c r="B51" s="88" t="s">
        <v>62</v>
      </c>
      <c r="C51" s="89"/>
      <c r="D51" s="89"/>
      <c r="E51" s="89"/>
      <c r="F51" s="89"/>
      <c r="G51" s="89"/>
      <c r="H51" s="171"/>
      <c r="I51" s="89"/>
      <c r="J51" s="88"/>
      <c r="K51" s="88"/>
      <c r="L51" s="89"/>
      <c r="M51" s="91"/>
    </row>
    <row r="52" spans="1:13" ht="15" thickBot="1">
      <c r="A52" s="115" t="s">
        <v>254</v>
      </c>
      <c r="B52" s="116" t="s">
        <v>63</v>
      </c>
      <c r="C52" s="117"/>
      <c r="D52" s="117"/>
      <c r="E52" s="117"/>
      <c r="F52" s="117"/>
      <c r="G52" s="117"/>
      <c r="H52" s="172"/>
      <c r="I52" s="117"/>
      <c r="J52" s="116"/>
      <c r="K52" s="116"/>
      <c r="L52" s="117"/>
      <c r="M52" s="118"/>
    </row>
    <row r="53" spans="1:13">
      <c r="A53" s="23" t="s">
        <v>255</v>
      </c>
      <c r="B53" s="119" t="s">
        <v>65</v>
      </c>
      <c r="C53" s="25"/>
      <c r="D53" s="120"/>
      <c r="E53" s="25"/>
      <c r="F53" s="25"/>
      <c r="G53" s="25"/>
      <c r="H53" s="167" t="s">
        <v>256</v>
      </c>
      <c r="I53" s="25"/>
      <c r="J53" s="119"/>
      <c r="K53" s="119"/>
      <c r="L53" s="25"/>
      <c r="M53" s="28"/>
    </row>
    <row r="54" spans="1:13">
      <c r="A54" s="29" t="s">
        <v>257</v>
      </c>
      <c r="B54" s="121" t="s">
        <v>66</v>
      </c>
      <c r="C54" s="31"/>
      <c r="D54" s="31"/>
      <c r="E54" s="31"/>
      <c r="F54" s="31"/>
      <c r="G54" s="31"/>
      <c r="H54" s="168"/>
      <c r="I54" s="31"/>
      <c r="J54" s="121"/>
      <c r="K54" s="121"/>
      <c r="L54" s="31"/>
      <c r="M54" s="33"/>
    </row>
    <row r="55" spans="1:13">
      <c r="A55" s="29" t="s">
        <v>258</v>
      </c>
      <c r="B55" s="121" t="s">
        <v>67</v>
      </c>
      <c r="C55" s="31"/>
      <c r="D55" s="122" t="s">
        <v>259</v>
      </c>
      <c r="E55" s="31"/>
      <c r="F55" s="31"/>
      <c r="G55" s="31"/>
      <c r="H55" s="168"/>
      <c r="I55" s="31"/>
      <c r="J55" s="121"/>
      <c r="K55" s="121"/>
      <c r="L55" s="31"/>
      <c r="M55" s="33"/>
    </row>
    <row r="56" spans="1:13">
      <c r="A56" s="29" t="s">
        <v>260</v>
      </c>
      <c r="B56" s="121" t="s">
        <v>68</v>
      </c>
      <c r="C56" s="31"/>
      <c r="D56" s="31"/>
      <c r="E56" s="31"/>
      <c r="F56" s="31"/>
      <c r="G56" s="31"/>
      <c r="H56" s="168"/>
      <c r="I56" s="31"/>
      <c r="J56" s="121"/>
      <c r="K56" s="121"/>
      <c r="L56" s="31"/>
      <c r="M56" s="33"/>
    </row>
    <row r="57" spans="1:13">
      <c r="A57" s="29" t="s">
        <v>261</v>
      </c>
      <c r="B57" s="121" t="s">
        <v>69</v>
      </c>
      <c r="C57" s="31"/>
      <c r="D57" s="31"/>
      <c r="E57" s="31"/>
      <c r="F57" s="31"/>
      <c r="G57" s="31"/>
      <c r="H57" s="168"/>
      <c r="I57" s="31"/>
      <c r="J57" s="121"/>
      <c r="K57" s="121"/>
      <c r="L57" s="31"/>
      <c r="M57" s="33"/>
    </row>
    <row r="58" spans="1:13">
      <c r="A58" s="68" t="s">
        <v>262</v>
      </c>
      <c r="B58" s="69" t="s">
        <v>71</v>
      </c>
      <c r="C58" s="70"/>
      <c r="D58" s="71"/>
      <c r="E58" s="70"/>
      <c r="F58" s="70"/>
      <c r="G58" s="70"/>
      <c r="H58" s="168"/>
      <c r="I58" s="70"/>
      <c r="J58" s="69"/>
      <c r="K58" s="69"/>
      <c r="L58" s="70"/>
      <c r="M58" s="73"/>
    </row>
    <row r="59" spans="1:13">
      <c r="A59" s="68" t="s">
        <v>263</v>
      </c>
      <c r="B59" s="69" t="s">
        <v>72</v>
      </c>
      <c r="C59" s="70"/>
      <c r="D59" s="70"/>
      <c r="E59" s="70"/>
      <c r="F59" s="70"/>
      <c r="G59" s="70"/>
      <c r="H59" s="168"/>
      <c r="I59" s="70"/>
      <c r="J59" s="69"/>
      <c r="K59" s="69"/>
      <c r="L59" s="70"/>
      <c r="M59" s="73"/>
    </row>
    <row r="60" spans="1:13">
      <c r="A60" s="68" t="s">
        <v>264</v>
      </c>
      <c r="B60" s="69" t="s">
        <v>73</v>
      </c>
      <c r="C60" s="70"/>
      <c r="D60" s="70"/>
      <c r="E60" s="70"/>
      <c r="F60" s="70"/>
      <c r="G60" s="70"/>
      <c r="H60" s="168"/>
      <c r="I60" s="70"/>
      <c r="J60" s="69"/>
      <c r="K60" s="69"/>
      <c r="L60" s="70"/>
      <c r="M60" s="73"/>
    </row>
    <row r="61" spans="1:13">
      <c r="A61" s="68" t="s">
        <v>265</v>
      </c>
      <c r="B61" s="69" t="s">
        <v>74</v>
      </c>
      <c r="C61" s="70"/>
      <c r="D61" s="70"/>
      <c r="E61" s="70"/>
      <c r="F61" s="70"/>
      <c r="G61" s="70"/>
      <c r="H61" s="168"/>
      <c r="I61" s="70"/>
      <c r="J61" s="69"/>
      <c r="K61" s="69"/>
      <c r="L61" s="70"/>
      <c r="M61" s="73"/>
    </row>
    <row r="62" spans="1:13">
      <c r="A62" s="68" t="s">
        <v>266</v>
      </c>
      <c r="B62" s="69" t="s">
        <v>75</v>
      </c>
      <c r="C62" s="70"/>
      <c r="D62" s="70"/>
      <c r="E62" s="70"/>
      <c r="F62" s="70"/>
      <c r="G62" s="70"/>
      <c r="H62" s="168"/>
      <c r="I62" s="70"/>
      <c r="J62" s="69"/>
      <c r="K62" s="69"/>
      <c r="L62" s="70"/>
      <c r="M62" s="73"/>
    </row>
    <row r="63" spans="1:13">
      <c r="A63" s="68" t="s">
        <v>267</v>
      </c>
      <c r="B63" s="69" t="s">
        <v>76</v>
      </c>
      <c r="C63" s="70"/>
      <c r="D63" s="74" t="s">
        <v>268</v>
      </c>
      <c r="E63" s="70"/>
      <c r="F63" s="70"/>
      <c r="G63" s="70"/>
      <c r="H63" s="168"/>
      <c r="I63" s="70"/>
      <c r="J63" s="69"/>
      <c r="K63" s="69"/>
      <c r="L63" s="70"/>
      <c r="M63" s="73"/>
    </row>
    <row r="64" spans="1:13">
      <c r="A64" s="68" t="s">
        <v>269</v>
      </c>
      <c r="B64" s="69" t="s">
        <v>77</v>
      </c>
      <c r="C64" s="70"/>
      <c r="D64" s="70"/>
      <c r="E64" s="70"/>
      <c r="F64" s="70"/>
      <c r="G64" s="70"/>
      <c r="H64" s="168"/>
      <c r="I64" s="70"/>
      <c r="J64" s="69"/>
      <c r="K64" s="69"/>
      <c r="L64" s="70"/>
      <c r="M64" s="73"/>
    </row>
    <row r="65" spans="1:13">
      <c r="A65" s="68" t="s">
        <v>270</v>
      </c>
      <c r="B65" s="69" t="s">
        <v>78</v>
      </c>
      <c r="C65" s="70"/>
      <c r="D65" s="70"/>
      <c r="E65" s="70"/>
      <c r="F65" s="70"/>
      <c r="G65" s="70"/>
      <c r="H65" s="168"/>
      <c r="I65" s="70"/>
      <c r="J65" s="69"/>
      <c r="K65" s="69"/>
      <c r="L65" s="70"/>
      <c r="M65" s="73"/>
    </row>
    <row r="66" spans="1:13">
      <c r="A66" s="68" t="s">
        <v>271</v>
      </c>
      <c r="B66" s="69" t="s">
        <v>79</v>
      </c>
      <c r="C66" s="70"/>
      <c r="D66" s="70"/>
      <c r="E66" s="70"/>
      <c r="F66" s="70"/>
      <c r="G66" s="70"/>
      <c r="H66" s="168"/>
      <c r="I66" s="70"/>
      <c r="J66" s="69"/>
      <c r="K66" s="69"/>
      <c r="L66" s="70"/>
      <c r="M66" s="73"/>
    </row>
    <row r="67" spans="1:13">
      <c r="A67" s="68" t="s">
        <v>272</v>
      </c>
      <c r="B67" s="69" t="s">
        <v>80</v>
      </c>
      <c r="C67" s="70"/>
      <c r="D67" s="70"/>
      <c r="E67" s="70"/>
      <c r="F67" s="70"/>
      <c r="G67" s="70"/>
      <c r="H67" s="168"/>
      <c r="I67" s="70"/>
      <c r="J67" s="69"/>
      <c r="K67" s="69"/>
      <c r="L67" s="70"/>
      <c r="M67" s="73"/>
    </row>
    <row r="68" spans="1:13">
      <c r="A68" s="68" t="s">
        <v>273</v>
      </c>
      <c r="B68" s="69" t="s">
        <v>81</v>
      </c>
      <c r="C68" s="70"/>
      <c r="D68" s="70"/>
      <c r="E68" s="70"/>
      <c r="F68" s="70"/>
      <c r="G68" s="70"/>
      <c r="H68" s="168"/>
      <c r="I68" s="70"/>
      <c r="J68" s="69"/>
      <c r="K68" s="69"/>
      <c r="L68" s="70"/>
      <c r="M68" s="73"/>
    </row>
    <row r="69" spans="1:13">
      <c r="A69" s="68" t="s">
        <v>274</v>
      </c>
      <c r="B69" s="69" t="s">
        <v>82</v>
      </c>
      <c r="C69" s="70"/>
      <c r="D69" s="70"/>
      <c r="E69" s="70"/>
      <c r="F69" s="70"/>
      <c r="G69" s="70"/>
      <c r="H69" s="168"/>
      <c r="I69" s="70"/>
      <c r="J69" s="69"/>
      <c r="K69" s="69"/>
      <c r="L69" s="70"/>
      <c r="M69" s="73"/>
    </row>
    <row r="70" spans="1:13" ht="15" thickBot="1">
      <c r="A70" s="75" t="s">
        <v>275</v>
      </c>
      <c r="B70" s="76" t="s">
        <v>83</v>
      </c>
      <c r="C70" s="77"/>
      <c r="D70" s="77"/>
      <c r="E70" s="77"/>
      <c r="F70" s="77"/>
      <c r="G70" s="77"/>
      <c r="H70" s="169"/>
      <c r="I70" s="77"/>
      <c r="J70" s="76"/>
      <c r="K70" s="76"/>
      <c r="L70" s="77"/>
      <c r="M70" s="79"/>
    </row>
    <row r="71" spans="1:13">
      <c r="A71" s="123" t="s">
        <v>276</v>
      </c>
      <c r="B71" s="124" t="s">
        <v>85</v>
      </c>
      <c r="C71" s="125"/>
      <c r="D71" s="126"/>
      <c r="E71" s="125"/>
      <c r="F71" s="125"/>
      <c r="G71" s="37"/>
      <c r="H71" s="125"/>
      <c r="I71" s="125"/>
      <c r="J71" s="127"/>
      <c r="K71" s="127"/>
      <c r="L71" s="125"/>
      <c r="M71" s="128"/>
    </row>
    <row r="72" spans="1:13">
      <c r="A72" s="35" t="s">
        <v>277</v>
      </c>
      <c r="B72" s="124" t="s">
        <v>86</v>
      </c>
      <c r="C72" s="37"/>
      <c r="D72" s="37"/>
      <c r="E72" s="37"/>
      <c r="F72" s="37"/>
      <c r="G72" s="37"/>
      <c r="H72" s="129" t="s">
        <v>278</v>
      </c>
      <c r="I72" s="130"/>
      <c r="J72" s="131"/>
      <c r="K72" s="131"/>
      <c r="L72" s="37"/>
      <c r="M72" s="40"/>
    </row>
    <row r="73" spans="1:13">
      <c r="A73" s="35" t="s">
        <v>279</v>
      </c>
      <c r="B73" s="124" t="s">
        <v>87</v>
      </c>
      <c r="C73" s="37"/>
      <c r="D73" s="43" t="s">
        <v>280</v>
      </c>
      <c r="E73" s="37"/>
      <c r="F73" s="42"/>
      <c r="G73" s="37"/>
      <c r="H73" s="37"/>
      <c r="I73" s="37"/>
      <c r="J73" s="41"/>
      <c r="K73" s="41"/>
      <c r="L73" s="37"/>
      <c r="M73" s="40"/>
    </row>
    <row r="74" spans="1:13" ht="15" thickBot="1">
      <c r="A74" s="132" t="s">
        <v>281</v>
      </c>
      <c r="B74" s="124" t="s">
        <v>88</v>
      </c>
      <c r="C74" s="133"/>
      <c r="D74" s="133"/>
      <c r="E74" s="133"/>
      <c r="F74" s="133"/>
      <c r="G74" s="133"/>
      <c r="H74" s="133"/>
      <c r="I74" s="133"/>
      <c r="J74" s="134"/>
      <c r="K74" s="134"/>
      <c r="L74" s="133"/>
      <c r="M74" s="135"/>
    </row>
    <row r="75" spans="1:13" ht="15" thickBot="1">
      <c r="A75" s="136" t="s">
        <v>282</v>
      </c>
      <c r="B75" s="137" t="s">
        <v>283</v>
      </c>
      <c r="C75" s="138"/>
      <c r="D75" s="139" t="s">
        <v>284</v>
      </c>
      <c r="E75" s="138"/>
      <c r="F75" s="138"/>
      <c r="G75" s="138"/>
      <c r="H75" s="138"/>
      <c r="I75" s="138"/>
      <c r="J75" s="140"/>
      <c r="K75" s="140"/>
      <c r="L75" s="138"/>
      <c r="M75" s="141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1"/>
  <sheetViews>
    <sheetView showGridLines="0" tabSelected="1" zoomScale="120" zoomScaleNormal="120" workbookViewId="0">
      <selection activeCell="B14" sqref="B14"/>
    </sheetView>
  </sheetViews>
  <sheetFormatPr defaultRowHeight="14.4"/>
  <cols>
    <col min="1" max="1" width="38.5546875" customWidth="1"/>
    <col min="2" max="2" width="7.33203125" bestFit="1" customWidth="1"/>
    <col min="3" max="3" width="5.44140625" bestFit="1" customWidth="1"/>
    <col min="4" max="4" width="6.21875" bestFit="1" customWidth="1"/>
    <col min="5" max="6" width="5.44140625" bestFit="1" customWidth="1"/>
    <col min="7" max="7" width="5.6640625" customWidth="1"/>
    <col min="8" max="8" width="7.109375" customWidth="1"/>
    <col min="9" max="9" width="16.6640625" customWidth="1"/>
    <col min="10" max="10" width="16.5546875" customWidth="1"/>
    <col min="11" max="11" width="6.109375" customWidth="1"/>
    <col min="12" max="12" width="7.44140625" customWidth="1"/>
  </cols>
  <sheetData>
    <row r="1" spans="1:12" ht="10.8" customHeight="1"/>
    <row r="2" spans="1:12" s="165" customFormat="1" ht="12">
      <c r="A2" s="184" t="s">
        <v>290</v>
      </c>
      <c r="B2" s="184"/>
      <c r="C2" s="184"/>
      <c r="D2" s="184"/>
      <c r="E2" s="184"/>
      <c r="F2" s="184"/>
      <c r="G2" s="184"/>
      <c r="H2" s="184"/>
      <c r="I2" s="184"/>
      <c r="J2" s="184"/>
    </row>
    <row r="3" spans="1:12" s="165" customFormat="1" ht="12">
      <c r="A3" s="185" t="s">
        <v>291</v>
      </c>
      <c r="B3" s="185"/>
      <c r="C3" s="185"/>
      <c r="D3" s="185"/>
      <c r="E3" s="185"/>
      <c r="F3" s="185"/>
      <c r="G3" s="185"/>
      <c r="H3" s="185"/>
      <c r="I3" s="185"/>
      <c r="J3" s="185"/>
    </row>
    <row r="4" spans="1:12" s="165" customFormat="1" ht="6.6" customHeight="1">
      <c r="A4" s="166"/>
      <c r="B4" s="166"/>
      <c r="C4" s="166"/>
      <c r="D4" s="166"/>
      <c r="E4" s="166"/>
      <c r="F4" s="166"/>
      <c r="G4" s="166"/>
      <c r="H4" s="166"/>
      <c r="I4" s="166"/>
      <c r="J4" s="166"/>
    </row>
    <row r="5" spans="1:12" ht="15" thickBot="1">
      <c r="A5" s="187" t="s">
        <v>0</v>
      </c>
      <c r="B5" s="187"/>
      <c r="C5" s="187"/>
      <c r="D5" s="1"/>
      <c r="E5" s="1"/>
      <c r="F5" s="186" t="s">
        <v>185</v>
      </c>
      <c r="G5" s="186"/>
      <c r="H5" s="186"/>
      <c r="I5" s="186"/>
      <c r="J5" s="186"/>
      <c r="K5" s="21"/>
      <c r="L5" s="21"/>
    </row>
    <row r="6" spans="1:12" ht="14.4" customHeight="1">
      <c r="A6" s="226" t="s">
        <v>1</v>
      </c>
      <c r="B6" s="190" t="s">
        <v>292</v>
      </c>
      <c r="C6" s="194" t="s">
        <v>289</v>
      </c>
      <c r="D6" s="195"/>
      <c r="E6" s="200" t="s">
        <v>288</v>
      </c>
      <c r="F6" s="201"/>
      <c r="G6" s="194" t="s">
        <v>184</v>
      </c>
      <c r="H6" s="210"/>
      <c r="I6" s="229" t="s">
        <v>90</v>
      </c>
      <c r="J6" s="230"/>
      <c r="K6" s="19"/>
      <c r="L6" s="6"/>
    </row>
    <row r="7" spans="1:12">
      <c r="A7" s="227"/>
      <c r="B7" s="191"/>
      <c r="C7" s="196"/>
      <c r="D7" s="197"/>
      <c r="E7" s="202"/>
      <c r="F7" s="203"/>
      <c r="G7" s="211"/>
      <c r="H7" s="212"/>
      <c r="I7" s="231"/>
      <c r="J7" s="232"/>
      <c r="K7" s="19"/>
      <c r="L7" s="6"/>
    </row>
    <row r="8" spans="1:12">
      <c r="A8" s="227"/>
      <c r="B8" s="192"/>
      <c r="C8" s="198"/>
      <c r="D8" s="199"/>
      <c r="E8" s="204"/>
      <c r="F8" s="205"/>
      <c r="G8" s="213"/>
      <c r="H8" s="214"/>
      <c r="I8" s="231"/>
      <c r="J8" s="232"/>
      <c r="K8" s="19"/>
      <c r="L8" s="6"/>
    </row>
    <row r="9" spans="1:12">
      <c r="A9" s="228"/>
      <c r="B9" s="193"/>
      <c r="C9" s="2">
        <v>1</v>
      </c>
      <c r="D9" s="2">
        <v>2</v>
      </c>
      <c r="E9" s="2">
        <v>1</v>
      </c>
      <c r="F9" s="2">
        <v>2</v>
      </c>
      <c r="G9" s="3">
        <v>1</v>
      </c>
      <c r="H9" s="142">
        <v>2</v>
      </c>
      <c r="I9" s="233"/>
      <c r="J9" s="234"/>
      <c r="K9" s="19"/>
      <c r="L9" s="6"/>
    </row>
    <row r="10" spans="1:12" ht="11.4" customHeight="1">
      <c r="A10" s="206" t="s">
        <v>2</v>
      </c>
      <c r="B10" s="208">
        <f>SUM(B12,B20,,B29,B34,B40,B47,B54,B61,B66,B73,B83,B90,B105)</f>
        <v>108948</v>
      </c>
      <c r="C10" s="180">
        <f>SUM(C12,C20,,C29,C34,C40,C47,C54,C61,C66,C73,C83,C90,C105)</f>
        <v>96754</v>
      </c>
      <c r="D10" s="180">
        <f t="shared" ref="D10:H10" si="0">SUM(D12,D20,,D29,D34,D40,D47,D54,D61,D66,D73,D83,D90,D105)</f>
        <v>364638.04200000002</v>
      </c>
      <c r="E10" s="180">
        <f t="shared" si="0"/>
        <v>12170</v>
      </c>
      <c r="F10" s="180">
        <f t="shared" si="0"/>
        <v>32362.875999999997</v>
      </c>
      <c r="G10" s="180">
        <f>SUM(G12,G20,,G29,G34,G40,G47,G54,G61,G66,G73,G83,G90,G105)</f>
        <v>24</v>
      </c>
      <c r="H10" s="182">
        <f t="shared" si="0"/>
        <v>27.9</v>
      </c>
      <c r="I10" s="188" t="s">
        <v>91</v>
      </c>
      <c r="J10" s="188"/>
      <c r="K10" s="7"/>
      <c r="L10" s="8"/>
    </row>
    <row r="11" spans="1:12" ht="11.4" customHeight="1">
      <c r="A11" s="207"/>
      <c r="B11" s="209"/>
      <c r="C11" s="181"/>
      <c r="D11" s="181"/>
      <c r="E11" s="181"/>
      <c r="F11" s="181"/>
      <c r="G11" s="181"/>
      <c r="H11" s="183"/>
      <c r="I11" s="189"/>
      <c r="J11" s="189"/>
      <c r="K11" s="7"/>
      <c r="L11" s="146"/>
    </row>
    <row r="12" spans="1:12" ht="11.4" customHeight="1">
      <c r="A12" s="216" t="s">
        <v>3</v>
      </c>
      <c r="B12" s="209">
        <f>SUM(B14:B19)</f>
        <v>18801</v>
      </c>
      <c r="C12" s="181">
        <f>SUM(C14:C19)</f>
        <v>17097</v>
      </c>
      <c r="D12" s="181">
        <f t="shared" ref="D12:H12" si="1">SUM(D14:D19)</f>
        <v>62680.3</v>
      </c>
      <c r="E12" s="181">
        <f t="shared" si="1"/>
        <v>1684</v>
      </c>
      <c r="F12" s="181">
        <f t="shared" si="1"/>
        <v>8146.0999999999995</v>
      </c>
      <c r="G12" s="181">
        <f t="shared" si="1"/>
        <v>20</v>
      </c>
      <c r="H12" s="183">
        <f t="shared" si="1"/>
        <v>20</v>
      </c>
      <c r="I12" s="224" t="s">
        <v>92</v>
      </c>
      <c r="J12" s="224"/>
      <c r="K12" s="7"/>
      <c r="L12" s="7"/>
    </row>
    <row r="13" spans="1:12" s="145" customFormat="1" ht="11.4" customHeight="1">
      <c r="A13" s="216"/>
      <c r="B13" s="209"/>
      <c r="C13" s="181"/>
      <c r="D13" s="181"/>
      <c r="E13" s="181"/>
      <c r="F13" s="181"/>
      <c r="G13" s="181"/>
      <c r="H13" s="183"/>
      <c r="I13" s="224"/>
      <c r="J13" s="224"/>
      <c r="K13" s="7"/>
      <c r="L13" s="7"/>
    </row>
    <row r="14" spans="1:12" ht="11.4" customHeight="1">
      <c r="A14" s="4" t="s">
        <v>4</v>
      </c>
      <c r="B14" s="147">
        <f t="shared" ref="B14:B19" si="2">SUM(C14,E14,G14)</f>
        <v>2665</v>
      </c>
      <c r="C14" s="153">
        <v>2339</v>
      </c>
      <c r="D14" s="151">
        <v>12601.4</v>
      </c>
      <c r="E14" s="153">
        <v>326</v>
      </c>
      <c r="F14" s="151">
        <v>438.9</v>
      </c>
      <c r="G14" s="154" t="s">
        <v>285</v>
      </c>
      <c r="H14" s="158" t="s">
        <v>285</v>
      </c>
      <c r="I14" s="20" t="s">
        <v>93</v>
      </c>
      <c r="J14" s="8"/>
      <c r="K14" s="8"/>
      <c r="L14" s="8"/>
    </row>
    <row r="15" spans="1:12" ht="11.4" customHeight="1">
      <c r="A15" s="4" t="s">
        <v>5</v>
      </c>
      <c r="B15" s="147">
        <f t="shared" si="2"/>
        <v>1441</v>
      </c>
      <c r="C15" s="153">
        <v>1334</v>
      </c>
      <c r="D15" s="151">
        <v>7670.6</v>
      </c>
      <c r="E15" s="153">
        <v>107</v>
      </c>
      <c r="F15" s="151">
        <v>267.39999999999998</v>
      </c>
      <c r="G15" s="154" t="s">
        <v>285</v>
      </c>
      <c r="H15" s="158" t="s">
        <v>285</v>
      </c>
      <c r="I15" s="20" t="s">
        <v>94</v>
      </c>
      <c r="J15" s="8"/>
      <c r="K15" s="8"/>
      <c r="L15" s="8"/>
    </row>
    <row r="16" spans="1:12" ht="11.4" customHeight="1">
      <c r="A16" s="4" t="s">
        <v>6</v>
      </c>
      <c r="B16" s="147">
        <f t="shared" si="2"/>
        <v>1428</v>
      </c>
      <c r="C16" s="153">
        <v>1250</v>
      </c>
      <c r="D16" s="151">
        <v>5112.2</v>
      </c>
      <c r="E16" s="153">
        <v>178</v>
      </c>
      <c r="F16" s="151">
        <v>104.4</v>
      </c>
      <c r="G16" s="154" t="s">
        <v>285</v>
      </c>
      <c r="H16" s="158" t="s">
        <v>285</v>
      </c>
      <c r="I16" s="20" t="s">
        <v>95</v>
      </c>
      <c r="J16" s="8"/>
      <c r="K16" s="8"/>
      <c r="L16" s="8"/>
    </row>
    <row r="17" spans="1:12" ht="11.4" customHeight="1">
      <c r="A17" s="4" t="s">
        <v>7</v>
      </c>
      <c r="B17" s="147">
        <f t="shared" si="2"/>
        <v>0</v>
      </c>
      <c r="C17" s="154" t="s">
        <v>285</v>
      </c>
      <c r="D17" s="152" t="s">
        <v>285</v>
      </c>
      <c r="E17" s="154" t="s">
        <v>285</v>
      </c>
      <c r="F17" s="152" t="s">
        <v>285</v>
      </c>
      <c r="G17" s="154" t="s">
        <v>285</v>
      </c>
      <c r="H17" s="158" t="s">
        <v>285</v>
      </c>
      <c r="I17" s="20" t="s">
        <v>96</v>
      </c>
      <c r="J17" s="8"/>
      <c r="K17" s="8"/>
      <c r="L17" s="8"/>
    </row>
    <row r="18" spans="1:12" ht="11.4" customHeight="1">
      <c r="A18" s="4" t="s">
        <v>8</v>
      </c>
      <c r="B18" s="147">
        <f t="shared" si="2"/>
        <v>585</v>
      </c>
      <c r="C18" s="153">
        <v>148</v>
      </c>
      <c r="D18" s="151">
        <v>423</v>
      </c>
      <c r="E18" s="153">
        <v>437</v>
      </c>
      <c r="F18" s="151">
        <v>3211</v>
      </c>
      <c r="G18" s="154" t="s">
        <v>285</v>
      </c>
      <c r="H18" s="158" t="s">
        <v>285</v>
      </c>
      <c r="I18" s="20" t="s">
        <v>97</v>
      </c>
      <c r="J18" s="8"/>
      <c r="K18" s="8"/>
      <c r="L18" s="8"/>
    </row>
    <row r="19" spans="1:12" ht="11.4" customHeight="1">
      <c r="A19" s="4" t="s">
        <v>9</v>
      </c>
      <c r="B19" s="147">
        <f t="shared" si="2"/>
        <v>12682</v>
      </c>
      <c r="C19" s="153">
        <v>12026</v>
      </c>
      <c r="D19" s="151">
        <v>36873.1</v>
      </c>
      <c r="E19" s="153">
        <v>636</v>
      </c>
      <c r="F19" s="151">
        <v>4124.3999999999996</v>
      </c>
      <c r="G19" s="153">
        <v>20</v>
      </c>
      <c r="H19" s="159">
        <v>20</v>
      </c>
      <c r="I19" s="20" t="s">
        <v>98</v>
      </c>
      <c r="J19" s="8"/>
      <c r="K19" s="8"/>
      <c r="L19" s="8"/>
    </row>
    <row r="20" spans="1:12" ht="11.4" customHeight="1">
      <c r="A20" s="215" t="s">
        <v>10</v>
      </c>
      <c r="B20" s="209">
        <f t="shared" ref="B20" si="3">SUM(B22:B28)</f>
        <v>42881</v>
      </c>
      <c r="C20" s="181">
        <f t="shared" ref="C20:H20" si="4">SUM(C22:C28)</f>
        <v>39928</v>
      </c>
      <c r="D20" s="181">
        <f t="shared" si="4"/>
        <v>193647.72999999998</v>
      </c>
      <c r="E20" s="181">
        <f t="shared" si="4"/>
        <v>2951</v>
      </c>
      <c r="F20" s="181">
        <f t="shared" si="4"/>
        <v>12496.199999999999</v>
      </c>
      <c r="G20" s="181">
        <f t="shared" si="4"/>
        <v>2</v>
      </c>
      <c r="H20" s="183">
        <f t="shared" si="4"/>
        <v>5</v>
      </c>
      <c r="I20" s="221" t="s">
        <v>99</v>
      </c>
      <c r="J20" s="221"/>
      <c r="K20" s="15"/>
      <c r="L20" s="8"/>
    </row>
    <row r="21" spans="1:12" ht="11.4" customHeight="1">
      <c r="A21" s="215"/>
      <c r="B21" s="209"/>
      <c r="C21" s="181"/>
      <c r="D21" s="181"/>
      <c r="E21" s="181"/>
      <c r="F21" s="181"/>
      <c r="G21" s="181"/>
      <c r="H21" s="183"/>
      <c r="I21" s="221"/>
      <c r="J21" s="221"/>
      <c r="K21" s="15"/>
      <c r="L21" s="8"/>
    </row>
    <row r="22" spans="1:12" ht="11.4" customHeight="1">
      <c r="A22" s="4" t="s">
        <v>11</v>
      </c>
      <c r="B22" s="147">
        <f>SUM(C22,E22,G22)</f>
        <v>32324</v>
      </c>
      <c r="C22" s="153">
        <v>31610</v>
      </c>
      <c r="D22" s="151">
        <v>173917.3</v>
      </c>
      <c r="E22" s="153">
        <v>712</v>
      </c>
      <c r="F22" s="151">
        <v>3368.1</v>
      </c>
      <c r="G22" s="153">
        <v>2</v>
      </c>
      <c r="H22" s="159">
        <v>5</v>
      </c>
      <c r="I22" s="9" t="s">
        <v>100</v>
      </c>
      <c r="J22" s="8"/>
      <c r="K22" s="8"/>
      <c r="L22" s="8"/>
    </row>
    <row r="23" spans="1:12" ht="11.4" customHeight="1">
      <c r="A23" s="4" t="s">
        <v>12</v>
      </c>
      <c r="B23" s="147">
        <f t="shared" ref="B23:B33" si="5">SUM(C23,E23,G23,I23,K23,M23,O23)</f>
        <v>2257</v>
      </c>
      <c r="C23" s="153">
        <v>2173</v>
      </c>
      <c r="D23" s="151">
        <v>2339.1</v>
      </c>
      <c r="E23" s="153">
        <v>84</v>
      </c>
      <c r="F23" s="151">
        <v>46.8</v>
      </c>
      <c r="G23" s="154" t="s">
        <v>285</v>
      </c>
      <c r="H23" s="158" t="s">
        <v>285</v>
      </c>
      <c r="I23" s="9" t="s">
        <v>101</v>
      </c>
      <c r="J23" s="8"/>
      <c r="K23" s="8"/>
      <c r="L23" s="8"/>
    </row>
    <row r="24" spans="1:12" ht="11.4" customHeight="1">
      <c r="A24" s="4" t="s">
        <v>13</v>
      </c>
      <c r="B24" s="147">
        <f t="shared" si="5"/>
        <v>2107</v>
      </c>
      <c r="C24" s="153">
        <v>1865</v>
      </c>
      <c r="D24" s="151">
        <v>4403.6000000000004</v>
      </c>
      <c r="E24" s="153">
        <v>242</v>
      </c>
      <c r="F24" s="151">
        <v>85.2</v>
      </c>
      <c r="G24" s="154" t="s">
        <v>285</v>
      </c>
      <c r="H24" s="158" t="s">
        <v>285</v>
      </c>
      <c r="I24" s="9" t="s">
        <v>102</v>
      </c>
      <c r="J24" s="8"/>
      <c r="K24" s="8"/>
      <c r="L24" s="8"/>
    </row>
    <row r="25" spans="1:12" ht="11.4" customHeight="1">
      <c r="A25" s="4" t="s">
        <v>14</v>
      </c>
      <c r="B25" s="147">
        <f t="shared" si="5"/>
        <v>4060</v>
      </c>
      <c r="C25" s="153">
        <v>2790</v>
      </c>
      <c r="D25" s="151">
        <v>9942.4</v>
      </c>
      <c r="E25" s="153">
        <v>1270</v>
      </c>
      <c r="F25" s="151">
        <v>5915.7</v>
      </c>
      <c r="G25" s="154" t="s">
        <v>285</v>
      </c>
      <c r="H25" s="158" t="s">
        <v>285</v>
      </c>
      <c r="I25" s="9" t="s">
        <v>103</v>
      </c>
      <c r="J25" s="8"/>
      <c r="K25" s="8"/>
      <c r="L25" s="8"/>
    </row>
    <row r="26" spans="1:12" ht="11.4" customHeight="1">
      <c r="A26" s="4" t="s">
        <v>15</v>
      </c>
      <c r="B26" s="147">
        <f t="shared" si="5"/>
        <v>720</v>
      </c>
      <c r="C26" s="153">
        <v>446</v>
      </c>
      <c r="D26" s="151">
        <v>940.53</v>
      </c>
      <c r="E26" s="153">
        <v>274</v>
      </c>
      <c r="F26" s="151">
        <v>1138.8</v>
      </c>
      <c r="G26" s="154" t="s">
        <v>285</v>
      </c>
      <c r="H26" s="158" t="s">
        <v>285</v>
      </c>
      <c r="I26" s="9" t="s">
        <v>104</v>
      </c>
      <c r="J26" s="8"/>
      <c r="K26" s="8"/>
      <c r="L26" s="8"/>
    </row>
    <row r="27" spans="1:12" ht="11.4" customHeight="1">
      <c r="A27" s="4" t="s">
        <v>16</v>
      </c>
      <c r="B27" s="147">
        <f t="shared" si="5"/>
        <v>1140</v>
      </c>
      <c r="C27" s="153">
        <v>1009</v>
      </c>
      <c r="D27" s="151">
        <v>1992.8</v>
      </c>
      <c r="E27" s="153">
        <v>131</v>
      </c>
      <c r="F27" s="151">
        <v>537.1</v>
      </c>
      <c r="G27" s="154" t="s">
        <v>285</v>
      </c>
      <c r="H27" s="158" t="s">
        <v>285</v>
      </c>
      <c r="I27" s="9" t="s">
        <v>105</v>
      </c>
      <c r="J27" s="8"/>
      <c r="K27" s="8"/>
      <c r="L27" s="8"/>
    </row>
    <row r="28" spans="1:12" ht="11.4" customHeight="1">
      <c r="A28" s="4" t="s">
        <v>17</v>
      </c>
      <c r="B28" s="147">
        <f t="shared" si="5"/>
        <v>273</v>
      </c>
      <c r="C28" s="153">
        <v>35</v>
      </c>
      <c r="D28" s="151">
        <v>112</v>
      </c>
      <c r="E28" s="153">
        <v>238</v>
      </c>
      <c r="F28" s="151">
        <v>1404.5</v>
      </c>
      <c r="G28" s="154" t="s">
        <v>285</v>
      </c>
      <c r="H28" s="158" t="s">
        <v>285</v>
      </c>
      <c r="I28" s="9" t="s">
        <v>106</v>
      </c>
      <c r="J28" s="8"/>
      <c r="K28" s="8"/>
      <c r="L28" s="8"/>
    </row>
    <row r="29" spans="1:12" ht="16.2" customHeight="1">
      <c r="A29" s="143" t="s">
        <v>287</v>
      </c>
      <c r="B29" s="225">
        <f>SUM(B30:B33)</f>
        <v>4081</v>
      </c>
      <c r="C29" s="144">
        <f>SUM(C30:C33)</f>
        <v>3287</v>
      </c>
      <c r="D29" s="144">
        <f>SUM(D30:D33)</f>
        <v>15799.3</v>
      </c>
      <c r="E29" s="144">
        <f t="shared" ref="E29:H29" si="6">SUM(E30:E33)</f>
        <v>794</v>
      </c>
      <c r="F29" s="144">
        <f t="shared" si="6"/>
        <v>4789.1600000000008</v>
      </c>
      <c r="G29" s="144">
        <f t="shared" si="6"/>
        <v>0</v>
      </c>
      <c r="H29" s="148">
        <f t="shared" si="6"/>
        <v>0</v>
      </c>
      <c r="I29" s="150" t="s">
        <v>286</v>
      </c>
      <c r="J29" s="8"/>
      <c r="K29" s="8"/>
      <c r="L29" s="8"/>
    </row>
    <row r="30" spans="1:12" ht="11.4" customHeight="1">
      <c r="A30" s="4" t="s">
        <v>18</v>
      </c>
      <c r="B30" s="147">
        <f t="shared" si="5"/>
        <v>1515</v>
      </c>
      <c r="C30" s="153">
        <v>913</v>
      </c>
      <c r="D30" s="151">
        <v>4335</v>
      </c>
      <c r="E30" s="153">
        <v>602</v>
      </c>
      <c r="F30" s="151">
        <v>4351.6000000000004</v>
      </c>
      <c r="G30" s="154" t="s">
        <v>285</v>
      </c>
      <c r="H30" s="158" t="s">
        <v>285</v>
      </c>
      <c r="I30" s="9" t="s">
        <v>107</v>
      </c>
      <c r="J30" s="8"/>
      <c r="K30" s="8"/>
      <c r="L30" s="8"/>
    </row>
    <row r="31" spans="1:12" ht="11.4" customHeight="1">
      <c r="A31" s="4" t="s">
        <v>19</v>
      </c>
      <c r="B31" s="147">
        <f t="shared" si="5"/>
        <v>85</v>
      </c>
      <c r="C31" s="153">
        <v>82</v>
      </c>
      <c r="D31" s="151">
        <v>119.9</v>
      </c>
      <c r="E31" s="153">
        <v>3</v>
      </c>
      <c r="F31" s="151">
        <v>1.2</v>
      </c>
      <c r="G31" s="154" t="s">
        <v>285</v>
      </c>
      <c r="H31" s="158" t="s">
        <v>285</v>
      </c>
      <c r="I31" s="9" t="s">
        <v>108</v>
      </c>
      <c r="J31" s="8"/>
      <c r="K31" s="8"/>
      <c r="L31" s="8"/>
    </row>
    <row r="32" spans="1:12" ht="11.4" customHeight="1">
      <c r="A32" s="4" t="s">
        <v>20</v>
      </c>
      <c r="B32" s="147">
        <f t="shared" si="5"/>
        <v>486</v>
      </c>
      <c r="C32" s="153">
        <v>473</v>
      </c>
      <c r="D32" s="151">
        <v>2745.4</v>
      </c>
      <c r="E32" s="153">
        <v>13</v>
      </c>
      <c r="F32" s="151">
        <v>5.85</v>
      </c>
      <c r="G32" s="154" t="s">
        <v>285</v>
      </c>
      <c r="H32" s="158" t="s">
        <v>285</v>
      </c>
      <c r="I32" s="9" t="s">
        <v>109</v>
      </c>
      <c r="J32" s="8"/>
      <c r="K32" s="8"/>
      <c r="L32" s="8"/>
    </row>
    <row r="33" spans="1:12" ht="11.4" customHeight="1">
      <c r="A33" s="4" t="s">
        <v>21</v>
      </c>
      <c r="B33" s="147">
        <f t="shared" si="5"/>
        <v>1995</v>
      </c>
      <c r="C33" s="153">
        <v>1819</v>
      </c>
      <c r="D33" s="151">
        <v>8599</v>
      </c>
      <c r="E33" s="153">
        <v>176</v>
      </c>
      <c r="F33" s="151">
        <v>430.51</v>
      </c>
      <c r="G33" s="154" t="s">
        <v>285</v>
      </c>
      <c r="H33" s="158" t="s">
        <v>285</v>
      </c>
      <c r="I33" s="9" t="s">
        <v>110</v>
      </c>
      <c r="J33" s="8"/>
      <c r="K33" s="8"/>
      <c r="L33" s="8"/>
    </row>
    <row r="34" spans="1:12" ht="11.4" customHeight="1">
      <c r="A34" s="215" t="s">
        <v>22</v>
      </c>
      <c r="B34" s="209">
        <f t="shared" ref="B34" si="7">SUM(B36:B39)</f>
        <v>3058</v>
      </c>
      <c r="C34" s="181">
        <f t="shared" ref="C34:H34" si="8">SUM(C36:C39)</f>
        <v>1782</v>
      </c>
      <c r="D34" s="181">
        <f t="shared" si="8"/>
        <v>2044.8</v>
      </c>
      <c r="E34" s="181">
        <f t="shared" si="8"/>
        <v>1276</v>
      </c>
      <c r="F34" s="181">
        <f t="shared" si="8"/>
        <v>1384.4499999999998</v>
      </c>
      <c r="G34" s="181">
        <f t="shared" si="8"/>
        <v>0</v>
      </c>
      <c r="H34" s="183">
        <f t="shared" si="8"/>
        <v>0</v>
      </c>
      <c r="I34" s="221" t="s">
        <v>111</v>
      </c>
      <c r="J34" s="221"/>
      <c r="K34" s="16"/>
      <c r="L34" s="8"/>
    </row>
    <row r="35" spans="1:12" ht="11.4" customHeight="1">
      <c r="A35" s="215"/>
      <c r="B35" s="209"/>
      <c r="C35" s="181"/>
      <c r="D35" s="181"/>
      <c r="E35" s="181"/>
      <c r="F35" s="181"/>
      <c r="G35" s="181"/>
      <c r="H35" s="183"/>
      <c r="I35" s="221"/>
      <c r="J35" s="221"/>
      <c r="K35" s="16"/>
      <c r="L35" s="8"/>
    </row>
    <row r="36" spans="1:12" ht="11.4" customHeight="1">
      <c r="A36" s="4" t="s">
        <v>23</v>
      </c>
      <c r="B36" s="147">
        <f>SUM(C36,E36,G36)</f>
        <v>1490</v>
      </c>
      <c r="C36" s="153">
        <v>1108</v>
      </c>
      <c r="D36" s="151">
        <v>815.5</v>
      </c>
      <c r="E36" s="153">
        <v>382</v>
      </c>
      <c r="F36" s="151">
        <v>249.05</v>
      </c>
      <c r="G36" s="154" t="s">
        <v>285</v>
      </c>
      <c r="H36" s="158" t="s">
        <v>285</v>
      </c>
      <c r="I36" s="9" t="s">
        <v>112</v>
      </c>
      <c r="J36" s="8"/>
      <c r="K36" s="8"/>
      <c r="L36" s="8"/>
    </row>
    <row r="37" spans="1:12" ht="11.4" customHeight="1">
      <c r="A37" s="4" t="s">
        <v>24</v>
      </c>
      <c r="B37" s="147">
        <f>SUM(C37,E37,G37)</f>
        <v>603</v>
      </c>
      <c r="C37" s="153">
        <v>374</v>
      </c>
      <c r="D37" s="151">
        <v>934</v>
      </c>
      <c r="E37" s="153">
        <v>229</v>
      </c>
      <c r="F37" s="151">
        <v>338</v>
      </c>
      <c r="G37" s="154" t="s">
        <v>285</v>
      </c>
      <c r="H37" s="158" t="s">
        <v>285</v>
      </c>
      <c r="I37" s="9" t="s">
        <v>113</v>
      </c>
      <c r="J37" s="8"/>
      <c r="K37" s="8"/>
      <c r="L37" s="8"/>
    </row>
    <row r="38" spans="1:12" ht="11.4" customHeight="1">
      <c r="A38" s="4" t="s">
        <v>25</v>
      </c>
      <c r="B38" s="147">
        <f>SUM(C38,E38,G38)</f>
        <v>175</v>
      </c>
      <c r="C38" s="153">
        <v>4</v>
      </c>
      <c r="D38" s="151">
        <v>2.2999999999999998</v>
      </c>
      <c r="E38" s="153">
        <v>171</v>
      </c>
      <c r="F38" s="151">
        <v>186</v>
      </c>
      <c r="G38" s="154" t="s">
        <v>285</v>
      </c>
      <c r="H38" s="158" t="s">
        <v>285</v>
      </c>
      <c r="I38" s="9" t="s">
        <v>114</v>
      </c>
      <c r="J38" s="8"/>
      <c r="K38" s="8"/>
      <c r="L38" s="8"/>
    </row>
    <row r="39" spans="1:12" ht="11.4" customHeight="1">
      <c r="A39" s="4" t="s">
        <v>26</v>
      </c>
      <c r="B39" s="147">
        <f>SUM(C39,E39,G39)</f>
        <v>790</v>
      </c>
      <c r="C39" s="153">
        <v>296</v>
      </c>
      <c r="D39" s="151">
        <v>293</v>
      </c>
      <c r="E39" s="153">
        <v>494</v>
      </c>
      <c r="F39" s="151">
        <v>611.4</v>
      </c>
      <c r="G39" s="154" t="s">
        <v>285</v>
      </c>
      <c r="H39" s="158" t="s">
        <v>285</v>
      </c>
      <c r="I39" s="9" t="s">
        <v>115</v>
      </c>
      <c r="J39" s="8"/>
      <c r="K39" s="8"/>
      <c r="L39" s="8"/>
    </row>
    <row r="40" spans="1:12" ht="11.4" customHeight="1">
      <c r="A40" s="215" t="s">
        <v>27</v>
      </c>
      <c r="B40" s="209">
        <f t="shared" ref="B40" si="9">SUM(B42:B46)</f>
        <v>9686</v>
      </c>
      <c r="C40" s="181">
        <f t="shared" ref="C40:H40" si="10">SUM(C42:C46)</f>
        <v>8875</v>
      </c>
      <c r="D40" s="181">
        <f t="shared" si="10"/>
        <v>45929.100000000006</v>
      </c>
      <c r="E40" s="181">
        <f t="shared" si="10"/>
        <v>810</v>
      </c>
      <c r="F40" s="181">
        <f t="shared" si="10"/>
        <v>2434.67</v>
      </c>
      <c r="G40" s="181">
        <f t="shared" si="10"/>
        <v>1</v>
      </c>
      <c r="H40" s="183">
        <f t="shared" si="10"/>
        <v>1.4</v>
      </c>
      <c r="I40" s="221" t="s">
        <v>116</v>
      </c>
      <c r="J40" s="221"/>
      <c r="K40" s="16"/>
      <c r="L40" s="8"/>
    </row>
    <row r="41" spans="1:12" ht="11.4" customHeight="1">
      <c r="A41" s="215"/>
      <c r="B41" s="209"/>
      <c r="C41" s="181"/>
      <c r="D41" s="181"/>
      <c r="E41" s="181"/>
      <c r="F41" s="181"/>
      <c r="G41" s="181"/>
      <c r="H41" s="183"/>
      <c r="I41" s="221"/>
      <c r="J41" s="221"/>
      <c r="K41" s="16"/>
      <c r="L41" s="8"/>
    </row>
    <row r="42" spans="1:12" ht="11.4" customHeight="1">
      <c r="A42" s="4" t="s">
        <v>28</v>
      </c>
      <c r="B42" s="147">
        <f t="shared" ref="B42:B47" si="11">SUM(C42,E42,G42)</f>
        <v>5265</v>
      </c>
      <c r="C42" s="153">
        <v>4803</v>
      </c>
      <c r="D42" s="151">
        <v>25923.9</v>
      </c>
      <c r="E42" s="153">
        <v>462</v>
      </c>
      <c r="F42" s="151">
        <v>1085.57</v>
      </c>
      <c r="G42" s="154" t="s">
        <v>285</v>
      </c>
      <c r="H42" s="158" t="s">
        <v>285</v>
      </c>
      <c r="I42" s="9" t="s">
        <v>117</v>
      </c>
      <c r="J42" s="8"/>
      <c r="K42" s="8"/>
      <c r="L42" s="8"/>
    </row>
    <row r="43" spans="1:12" ht="11.4" customHeight="1">
      <c r="A43" s="4" t="s">
        <v>29</v>
      </c>
      <c r="B43" s="147">
        <f t="shared" si="11"/>
        <v>18</v>
      </c>
      <c r="C43" s="154" t="s">
        <v>285</v>
      </c>
      <c r="D43" s="152" t="s">
        <v>285</v>
      </c>
      <c r="E43" s="153">
        <v>18</v>
      </c>
      <c r="F43" s="151">
        <v>78</v>
      </c>
      <c r="G43" s="154" t="s">
        <v>285</v>
      </c>
      <c r="H43" s="158" t="s">
        <v>285</v>
      </c>
      <c r="I43" s="9" t="s">
        <v>118</v>
      </c>
      <c r="J43" s="8"/>
      <c r="K43" s="8"/>
      <c r="L43" s="8"/>
    </row>
    <row r="44" spans="1:12" ht="11.4" customHeight="1">
      <c r="A44" s="4" t="s">
        <v>30</v>
      </c>
      <c r="B44" s="147">
        <f t="shared" si="11"/>
        <v>895</v>
      </c>
      <c r="C44" s="153">
        <v>810</v>
      </c>
      <c r="D44" s="151">
        <v>3617</v>
      </c>
      <c r="E44" s="153">
        <v>84</v>
      </c>
      <c r="F44" s="151">
        <v>142.1</v>
      </c>
      <c r="G44" s="153">
        <v>1</v>
      </c>
      <c r="H44" s="159">
        <v>1.4</v>
      </c>
      <c r="I44" s="9" t="s">
        <v>119</v>
      </c>
      <c r="J44" s="8"/>
      <c r="K44" s="8"/>
      <c r="L44" s="8"/>
    </row>
    <row r="45" spans="1:12" ht="11.4" customHeight="1">
      <c r="A45" s="4" t="s">
        <v>31</v>
      </c>
      <c r="B45" s="147">
        <f t="shared" si="11"/>
        <v>0</v>
      </c>
      <c r="C45" s="154" t="s">
        <v>285</v>
      </c>
      <c r="D45" s="152" t="s">
        <v>285</v>
      </c>
      <c r="E45" s="154" t="s">
        <v>285</v>
      </c>
      <c r="F45" s="152" t="s">
        <v>285</v>
      </c>
      <c r="G45" s="154" t="s">
        <v>285</v>
      </c>
      <c r="H45" s="158" t="s">
        <v>285</v>
      </c>
      <c r="I45" s="18" t="s">
        <v>120</v>
      </c>
      <c r="J45" s="17"/>
      <c r="K45" s="17"/>
      <c r="L45" s="8"/>
    </row>
    <row r="46" spans="1:12" ht="11.4" customHeight="1">
      <c r="A46" s="4" t="s">
        <v>32</v>
      </c>
      <c r="B46" s="147">
        <f t="shared" si="11"/>
        <v>3508</v>
      </c>
      <c r="C46" s="153">
        <v>3262</v>
      </c>
      <c r="D46" s="151">
        <v>16388.2</v>
      </c>
      <c r="E46" s="153">
        <v>246</v>
      </c>
      <c r="F46" s="151">
        <v>1129</v>
      </c>
      <c r="G46" s="154" t="s">
        <v>285</v>
      </c>
      <c r="H46" s="158" t="s">
        <v>285</v>
      </c>
      <c r="I46" s="9" t="s">
        <v>121</v>
      </c>
      <c r="J46" s="8"/>
      <c r="K46" s="8"/>
      <c r="L46" s="8"/>
    </row>
    <row r="47" spans="1:12" ht="11.4" customHeight="1">
      <c r="A47" s="216" t="s">
        <v>33</v>
      </c>
      <c r="B47" s="209">
        <f>SUM(B49:B53)</f>
        <v>6487</v>
      </c>
      <c r="C47" s="181">
        <f>SUM(C49:C53)</f>
        <v>6407</v>
      </c>
      <c r="D47" s="181">
        <f t="shared" ref="D47:H47" si="12">SUM(D49:D53)</f>
        <v>21319.95</v>
      </c>
      <c r="E47" s="181">
        <f t="shared" si="12"/>
        <v>80</v>
      </c>
      <c r="F47" s="181">
        <f t="shared" si="12"/>
        <v>23.6</v>
      </c>
      <c r="G47" s="181">
        <f t="shared" si="12"/>
        <v>0</v>
      </c>
      <c r="H47" s="183">
        <f t="shared" si="12"/>
        <v>0</v>
      </c>
      <c r="I47" s="221" t="s">
        <v>122</v>
      </c>
      <c r="J47" s="221"/>
      <c r="K47" s="15"/>
      <c r="L47" s="8"/>
    </row>
    <row r="48" spans="1:12" ht="11.4" customHeight="1">
      <c r="A48" s="216"/>
      <c r="B48" s="209"/>
      <c r="C48" s="181"/>
      <c r="D48" s="181"/>
      <c r="E48" s="181"/>
      <c r="F48" s="181"/>
      <c r="G48" s="181"/>
      <c r="H48" s="183"/>
      <c r="I48" s="221"/>
      <c r="J48" s="221"/>
      <c r="K48" s="15"/>
      <c r="L48" s="8"/>
    </row>
    <row r="49" spans="1:12" ht="11.4" customHeight="1">
      <c r="A49" s="4" t="s">
        <v>34</v>
      </c>
      <c r="B49" s="147">
        <f t="shared" ref="B49:B54" si="13">SUM(C49,E49,G49)</f>
        <v>4538</v>
      </c>
      <c r="C49" s="153">
        <v>4518</v>
      </c>
      <c r="D49" s="151">
        <v>16057</v>
      </c>
      <c r="E49" s="153">
        <v>20</v>
      </c>
      <c r="F49" s="151">
        <v>4</v>
      </c>
      <c r="G49" s="154" t="s">
        <v>285</v>
      </c>
      <c r="H49" s="158" t="s">
        <v>285</v>
      </c>
      <c r="I49" s="9" t="s">
        <v>123</v>
      </c>
      <c r="J49" s="8"/>
      <c r="K49" s="8"/>
      <c r="L49" s="8"/>
    </row>
    <row r="50" spans="1:12" ht="11.4" customHeight="1">
      <c r="A50" s="4" t="s">
        <v>35</v>
      </c>
      <c r="B50" s="147">
        <f t="shared" si="13"/>
        <v>869</v>
      </c>
      <c r="C50" s="153">
        <v>830</v>
      </c>
      <c r="D50" s="151">
        <v>2301</v>
      </c>
      <c r="E50" s="153">
        <v>39</v>
      </c>
      <c r="F50" s="151">
        <v>11.7</v>
      </c>
      <c r="G50" s="154" t="s">
        <v>285</v>
      </c>
      <c r="H50" s="158" t="s">
        <v>285</v>
      </c>
      <c r="I50" s="9" t="s">
        <v>124</v>
      </c>
      <c r="J50" s="8"/>
      <c r="K50" s="8"/>
      <c r="L50" s="8"/>
    </row>
    <row r="51" spans="1:12" ht="11.4" customHeight="1">
      <c r="A51" s="4" t="s">
        <v>36</v>
      </c>
      <c r="B51" s="147">
        <f t="shared" si="13"/>
        <v>1080</v>
      </c>
      <c r="C51" s="153">
        <v>1059</v>
      </c>
      <c r="D51" s="151">
        <v>2961.95</v>
      </c>
      <c r="E51" s="153">
        <v>21</v>
      </c>
      <c r="F51" s="151">
        <v>7.9</v>
      </c>
      <c r="G51" s="154" t="s">
        <v>285</v>
      </c>
      <c r="H51" s="158" t="s">
        <v>285</v>
      </c>
      <c r="I51" s="9" t="s">
        <v>125</v>
      </c>
      <c r="J51" s="8"/>
      <c r="K51" s="8"/>
      <c r="L51" s="8"/>
    </row>
    <row r="52" spans="1:12" ht="11.4" customHeight="1">
      <c r="A52" s="4" t="s">
        <v>37</v>
      </c>
      <c r="B52" s="147">
        <f t="shared" si="13"/>
        <v>0</v>
      </c>
      <c r="C52" s="154" t="s">
        <v>285</v>
      </c>
      <c r="D52" s="152" t="s">
        <v>285</v>
      </c>
      <c r="E52" s="154" t="s">
        <v>285</v>
      </c>
      <c r="F52" s="152" t="s">
        <v>285</v>
      </c>
      <c r="G52" s="154" t="s">
        <v>285</v>
      </c>
      <c r="H52" s="158" t="s">
        <v>285</v>
      </c>
      <c r="I52" s="9" t="s">
        <v>126</v>
      </c>
      <c r="J52" s="8"/>
      <c r="K52" s="8"/>
      <c r="L52" s="8"/>
    </row>
    <row r="53" spans="1:12" ht="11.4" customHeight="1">
      <c r="A53" s="4" t="s">
        <v>38</v>
      </c>
      <c r="B53" s="147">
        <f t="shared" si="13"/>
        <v>0</v>
      </c>
      <c r="C53" s="154" t="s">
        <v>285</v>
      </c>
      <c r="D53" s="152" t="s">
        <v>285</v>
      </c>
      <c r="E53" s="154" t="s">
        <v>285</v>
      </c>
      <c r="F53" s="152" t="s">
        <v>285</v>
      </c>
      <c r="G53" s="154" t="s">
        <v>285</v>
      </c>
      <c r="H53" s="158" t="s">
        <v>285</v>
      </c>
      <c r="I53" s="9" t="s">
        <v>127</v>
      </c>
      <c r="J53" s="8"/>
      <c r="K53" s="8"/>
      <c r="L53" s="8"/>
    </row>
    <row r="54" spans="1:12" ht="11.4" customHeight="1">
      <c r="A54" s="215" t="s">
        <v>39</v>
      </c>
      <c r="B54" s="209">
        <f t="shared" ref="B54" si="14">SUM(B56:B60)</f>
        <v>3193</v>
      </c>
      <c r="C54" s="181">
        <f t="shared" ref="C54:H54" si="15">SUM(C56:C60)</f>
        <v>3112</v>
      </c>
      <c r="D54" s="181">
        <f t="shared" si="15"/>
        <v>6373.39</v>
      </c>
      <c r="E54" s="181">
        <f t="shared" si="15"/>
        <v>81</v>
      </c>
      <c r="F54" s="181">
        <f t="shared" si="15"/>
        <v>35</v>
      </c>
      <c r="G54" s="181">
        <f t="shared" si="15"/>
        <v>0</v>
      </c>
      <c r="H54" s="183">
        <f t="shared" si="15"/>
        <v>0</v>
      </c>
      <c r="I54" s="221" t="s">
        <v>128</v>
      </c>
      <c r="J54" s="221"/>
      <c r="K54" s="16"/>
      <c r="L54" s="8"/>
    </row>
    <row r="55" spans="1:12" ht="11.4" customHeight="1">
      <c r="A55" s="215"/>
      <c r="B55" s="209"/>
      <c r="C55" s="181"/>
      <c r="D55" s="181"/>
      <c r="E55" s="181"/>
      <c r="F55" s="181"/>
      <c r="G55" s="181"/>
      <c r="H55" s="183"/>
      <c r="I55" s="221"/>
      <c r="J55" s="221"/>
      <c r="K55" s="16"/>
      <c r="L55" s="8"/>
    </row>
    <row r="56" spans="1:12" ht="11.4" customHeight="1">
      <c r="A56" s="4" t="s">
        <v>40</v>
      </c>
      <c r="B56" s="147">
        <f t="shared" ref="B56:B61" si="16">SUM(C56,E56,G56)</f>
        <v>3095</v>
      </c>
      <c r="C56" s="153">
        <v>3087</v>
      </c>
      <c r="D56" s="151">
        <v>6351.39</v>
      </c>
      <c r="E56" s="153">
        <v>8</v>
      </c>
      <c r="F56" s="151">
        <v>8</v>
      </c>
      <c r="G56" s="154" t="s">
        <v>285</v>
      </c>
      <c r="H56" s="158" t="s">
        <v>285</v>
      </c>
      <c r="I56" s="9" t="s">
        <v>129</v>
      </c>
      <c r="J56" s="8"/>
      <c r="K56" s="8"/>
      <c r="L56" s="8"/>
    </row>
    <row r="57" spans="1:12" ht="11.4" customHeight="1">
      <c r="A57" s="4" t="s">
        <v>41</v>
      </c>
      <c r="B57" s="147">
        <f t="shared" si="16"/>
        <v>95</v>
      </c>
      <c r="C57" s="153">
        <v>25</v>
      </c>
      <c r="D57" s="151">
        <v>22</v>
      </c>
      <c r="E57" s="153">
        <v>70</v>
      </c>
      <c r="F57" s="151">
        <v>21</v>
      </c>
      <c r="G57" s="154" t="s">
        <v>285</v>
      </c>
      <c r="H57" s="158" t="s">
        <v>285</v>
      </c>
      <c r="I57" s="9" t="s">
        <v>130</v>
      </c>
      <c r="J57" s="8"/>
      <c r="K57" s="8"/>
      <c r="L57" s="8"/>
    </row>
    <row r="58" spans="1:12" ht="11.4" customHeight="1">
      <c r="A58" s="4" t="s">
        <v>42</v>
      </c>
      <c r="B58" s="147">
        <f t="shared" si="16"/>
        <v>0</v>
      </c>
      <c r="C58" s="154" t="s">
        <v>285</v>
      </c>
      <c r="D58" s="152" t="s">
        <v>285</v>
      </c>
      <c r="E58" s="154" t="s">
        <v>285</v>
      </c>
      <c r="F58" s="152" t="s">
        <v>285</v>
      </c>
      <c r="G58" s="154" t="s">
        <v>285</v>
      </c>
      <c r="H58" s="158" t="s">
        <v>285</v>
      </c>
      <c r="I58" s="9" t="s">
        <v>131</v>
      </c>
      <c r="J58" s="8"/>
      <c r="K58" s="8"/>
      <c r="L58" s="8"/>
    </row>
    <row r="59" spans="1:12" ht="11.4" customHeight="1">
      <c r="A59" s="4" t="s">
        <v>43</v>
      </c>
      <c r="B59" s="147">
        <f t="shared" si="16"/>
        <v>3</v>
      </c>
      <c r="C59" s="154" t="s">
        <v>285</v>
      </c>
      <c r="D59" s="152" t="s">
        <v>285</v>
      </c>
      <c r="E59" s="153">
        <v>3</v>
      </c>
      <c r="F59" s="151">
        <v>6</v>
      </c>
      <c r="G59" s="154" t="s">
        <v>285</v>
      </c>
      <c r="H59" s="158" t="s">
        <v>285</v>
      </c>
      <c r="I59" s="9" t="s">
        <v>132</v>
      </c>
      <c r="J59" s="8"/>
      <c r="K59" s="8"/>
      <c r="L59" s="8"/>
    </row>
    <row r="60" spans="1:12" ht="11.4" customHeight="1">
      <c r="A60" s="4" t="s">
        <v>44</v>
      </c>
      <c r="B60" s="147">
        <f t="shared" si="16"/>
        <v>0</v>
      </c>
      <c r="C60" s="154" t="s">
        <v>285</v>
      </c>
      <c r="D60" s="152" t="s">
        <v>285</v>
      </c>
      <c r="E60" s="154" t="s">
        <v>285</v>
      </c>
      <c r="F60" s="152" t="s">
        <v>285</v>
      </c>
      <c r="G60" s="154" t="s">
        <v>285</v>
      </c>
      <c r="H60" s="158" t="s">
        <v>285</v>
      </c>
      <c r="I60" s="9" t="s">
        <v>133</v>
      </c>
      <c r="J60" s="8"/>
      <c r="K60" s="8"/>
      <c r="L60" s="8"/>
    </row>
    <row r="61" spans="1:12" ht="11.4" customHeight="1">
      <c r="A61" s="216" t="s">
        <v>45</v>
      </c>
      <c r="B61" s="209">
        <f t="shared" ref="B61" si="17">SUM(B63:B65)</f>
        <v>7623</v>
      </c>
      <c r="C61" s="181">
        <f t="shared" ref="C61:H61" si="18">SUM(C63:C65)</f>
        <v>7030</v>
      </c>
      <c r="D61" s="181">
        <f t="shared" si="18"/>
        <v>8020.4</v>
      </c>
      <c r="E61" s="181">
        <f t="shared" si="18"/>
        <v>593</v>
      </c>
      <c r="F61" s="181">
        <f t="shared" si="18"/>
        <v>933.8</v>
      </c>
      <c r="G61" s="181">
        <f t="shared" si="18"/>
        <v>0</v>
      </c>
      <c r="H61" s="183">
        <f t="shared" si="18"/>
        <v>0</v>
      </c>
      <c r="I61" s="221" t="s">
        <v>134</v>
      </c>
      <c r="J61" s="221"/>
      <c r="K61" s="15"/>
      <c r="L61" s="8"/>
    </row>
    <row r="62" spans="1:12" ht="11.4" customHeight="1">
      <c r="A62" s="216"/>
      <c r="B62" s="209"/>
      <c r="C62" s="181"/>
      <c r="D62" s="181"/>
      <c r="E62" s="181"/>
      <c r="F62" s="181"/>
      <c r="G62" s="181"/>
      <c r="H62" s="183"/>
      <c r="I62" s="221"/>
      <c r="J62" s="221"/>
      <c r="K62" s="15"/>
      <c r="L62" s="8"/>
    </row>
    <row r="63" spans="1:12" ht="11.4" customHeight="1">
      <c r="A63" s="4" t="s">
        <v>46</v>
      </c>
      <c r="B63" s="147">
        <f>SUM(C63,E63,G63)</f>
        <v>1438</v>
      </c>
      <c r="C63" s="153">
        <v>1438</v>
      </c>
      <c r="D63" s="151">
        <v>1194.7</v>
      </c>
      <c r="E63" s="154" t="s">
        <v>285</v>
      </c>
      <c r="F63" s="152" t="s">
        <v>285</v>
      </c>
      <c r="G63" s="154" t="s">
        <v>285</v>
      </c>
      <c r="H63" s="158" t="s">
        <v>285</v>
      </c>
      <c r="I63" s="20" t="s">
        <v>135</v>
      </c>
      <c r="J63" s="20"/>
      <c r="K63" s="11"/>
      <c r="L63" s="8"/>
    </row>
    <row r="64" spans="1:12" ht="11.4" customHeight="1">
      <c r="A64" s="4" t="s">
        <v>47</v>
      </c>
      <c r="B64" s="147">
        <f>SUM(C64,E64,G64)</f>
        <v>700</v>
      </c>
      <c r="C64" s="153">
        <v>500</v>
      </c>
      <c r="D64" s="151">
        <v>1432</v>
      </c>
      <c r="E64" s="153">
        <v>200</v>
      </c>
      <c r="F64" s="151">
        <v>179</v>
      </c>
      <c r="G64" s="154" t="s">
        <v>285</v>
      </c>
      <c r="H64" s="158" t="s">
        <v>285</v>
      </c>
      <c r="I64" s="223" t="s">
        <v>136</v>
      </c>
      <c r="J64" s="223"/>
      <c r="K64" s="223"/>
      <c r="L64" s="8"/>
    </row>
    <row r="65" spans="1:12" ht="11.4" customHeight="1">
      <c r="A65" s="4" t="s">
        <v>48</v>
      </c>
      <c r="B65" s="147">
        <f>SUM(C65,E65,G65)</f>
        <v>5485</v>
      </c>
      <c r="C65" s="153">
        <v>5092</v>
      </c>
      <c r="D65" s="151">
        <v>5393.7</v>
      </c>
      <c r="E65" s="153">
        <v>393</v>
      </c>
      <c r="F65" s="151">
        <v>754.8</v>
      </c>
      <c r="G65" s="154" t="s">
        <v>285</v>
      </c>
      <c r="H65" s="158" t="s">
        <v>285</v>
      </c>
      <c r="I65" s="20" t="s">
        <v>137</v>
      </c>
      <c r="J65" s="11"/>
      <c r="K65" s="11"/>
      <c r="L65" s="8"/>
    </row>
    <row r="66" spans="1:12" ht="11.4" customHeight="1">
      <c r="A66" s="216" t="s">
        <v>49</v>
      </c>
      <c r="B66" s="209">
        <f t="shared" ref="B66" si="19">SUM(B68:B72)</f>
        <v>5206</v>
      </c>
      <c r="C66" s="181">
        <f t="shared" ref="C66:H66" si="20">SUM(C68:C72)</f>
        <v>4705</v>
      </c>
      <c r="D66" s="181">
        <f t="shared" si="20"/>
        <v>6303.5</v>
      </c>
      <c r="E66" s="181">
        <f t="shared" si="20"/>
        <v>501</v>
      </c>
      <c r="F66" s="181">
        <f t="shared" si="20"/>
        <v>689.7</v>
      </c>
      <c r="G66" s="181">
        <f t="shared" si="20"/>
        <v>0</v>
      </c>
      <c r="H66" s="183">
        <f t="shared" si="20"/>
        <v>0</v>
      </c>
      <c r="I66" s="221" t="s">
        <v>138</v>
      </c>
      <c r="J66" s="221"/>
      <c r="K66" s="15"/>
      <c r="L66" s="8"/>
    </row>
    <row r="67" spans="1:12" ht="11.4" customHeight="1">
      <c r="A67" s="216"/>
      <c r="B67" s="209"/>
      <c r="C67" s="181"/>
      <c r="D67" s="181"/>
      <c r="E67" s="181"/>
      <c r="F67" s="181"/>
      <c r="G67" s="181"/>
      <c r="H67" s="183"/>
      <c r="I67" s="221"/>
      <c r="J67" s="221"/>
      <c r="K67" s="15"/>
      <c r="L67" s="8"/>
    </row>
    <row r="68" spans="1:12" ht="11.4" customHeight="1">
      <c r="A68" s="4" t="s">
        <v>50</v>
      </c>
      <c r="B68" s="147">
        <f t="shared" ref="B68:B73" si="21">SUM(C68,E68,G68)</f>
        <v>2633</v>
      </c>
      <c r="C68" s="153">
        <v>2373</v>
      </c>
      <c r="D68" s="151">
        <v>3330</v>
      </c>
      <c r="E68" s="153">
        <v>260</v>
      </c>
      <c r="F68" s="151">
        <v>300.5</v>
      </c>
      <c r="G68" s="154" t="s">
        <v>285</v>
      </c>
      <c r="H68" s="158" t="s">
        <v>285</v>
      </c>
      <c r="I68" s="9" t="s">
        <v>139</v>
      </c>
      <c r="J68" s="8"/>
      <c r="K68" s="8"/>
      <c r="L68" s="8"/>
    </row>
    <row r="69" spans="1:12" ht="11.4" customHeight="1">
      <c r="A69" s="4" t="s">
        <v>51</v>
      </c>
      <c r="B69" s="147">
        <f t="shared" si="21"/>
        <v>1363</v>
      </c>
      <c r="C69" s="153">
        <v>1313</v>
      </c>
      <c r="D69" s="151">
        <v>1706.5</v>
      </c>
      <c r="E69" s="153">
        <v>50</v>
      </c>
      <c r="F69" s="151">
        <v>60</v>
      </c>
      <c r="G69" s="154" t="s">
        <v>285</v>
      </c>
      <c r="H69" s="158" t="s">
        <v>285</v>
      </c>
      <c r="I69" s="9" t="s">
        <v>140</v>
      </c>
      <c r="J69" s="8"/>
      <c r="K69" s="8"/>
      <c r="L69" s="8"/>
    </row>
    <row r="70" spans="1:12" ht="11.4" customHeight="1">
      <c r="A70" s="4" t="s">
        <v>52</v>
      </c>
      <c r="B70" s="147">
        <f t="shared" si="21"/>
        <v>297</v>
      </c>
      <c r="C70" s="153">
        <v>294</v>
      </c>
      <c r="D70" s="151">
        <v>219.4</v>
      </c>
      <c r="E70" s="153">
        <v>3</v>
      </c>
      <c r="F70" s="151">
        <v>0.6</v>
      </c>
      <c r="G70" s="154" t="s">
        <v>285</v>
      </c>
      <c r="H70" s="158" t="s">
        <v>285</v>
      </c>
      <c r="I70" s="9" t="s">
        <v>141</v>
      </c>
      <c r="J70" s="8"/>
      <c r="K70" s="8"/>
      <c r="L70" s="8"/>
    </row>
    <row r="71" spans="1:12" ht="11.4" customHeight="1">
      <c r="A71" s="4" t="s">
        <v>53</v>
      </c>
      <c r="B71" s="147">
        <f t="shared" si="21"/>
        <v>708</v>
      </c>
      <c r="C71" s="153">
        <v>585</v>
      </c>
      <c r="D71" s="151">
        <v>1013.5</v>
      </c>
      <c r="E71" s="153">
        <v>123</v>
      </c>
      <c r="F71" s="151">
        <v>274</v>
      </c>
      <c r="G71" s="154" t="s">
        <v>285</v>
      </c>
      <c r="H71" s="158" t="s">
        <v>285</v>
      </c>
      <c r="I71" s="9" t="s">
        <v>142</v>
      </c>
      <c r="J71" s="8"/>
      <c r="K71" s="8"/>
      <c r="L71" s="8"/>
    </row>
    <row r="72" spans="1:12" ht="11.4" customHeight="1">
      <c r="A72" s="4" t="s">
        <v>54</v>
      </c>
      <c r="B72" s="147">
        <f t="shared" si="21"/>
        <v>205</v>
      </c>
      <c r="C72" s="153">
        <v>140</v>
      </c>
      <c r="D72" s="151">
        <v>34.1</v>
      </c>
      <c r="E72" s="153">
        <v>65</v>
      </c>
      <c r="F72" s="151">
        <v>54.6</v>
      </c>
      <c r="G72" s="154" t="s">
        <v>285</v>
      </c>
      <c r="H72" s="158" t="s">
        <v>285</v>
      </c>
      <c r="I72" s="9" t="s">
        <v>143</v>
      </c>
      <c r="J72" s="8"/>
      <c r="K72" s="8"/>
      <c r="L72" s="8"/>
    </row>
    <row r="73" spans="1:12" ht="11.4" customHeight="1">
      <c r="A73" s="215" t="s">
        <v>55</v>
      </c>
      <c r="B73" s="209">
        <f t="shared" ref="B73" si="22">SUM(B75:B82)</f>
        <v>37</v>
      </c>
      <c r="C73" s="181">
        <f t="shared" ref="C73:H73" si="23">SUM(C75:C82)</f>
        <v>36</v>
      </c>
      <c r="D73" s="181">
        <f t="shared" si="23"/>
        <v>187.8</v>
      </c>
      <c r="E73" s="181">
        <f t="shared" si="23"/>
        <v>0</v>
      </c>
      <c r="F73" s="181">
        <f t="shared" si="23"/>
        <v>0</v>
      </c>
      <c r="G73" s="181">
        <f t="shared" si="23"/>
        <v>1</v>
      </c>
      <c r="H73" s="183">
        <f t="shared" si="23"/>
        <v>1.5</v>
      </c>
      <c r="I73" s="222" t="s">
        <v>144</v>
      </c>
      <c r="J73" s="222"/>
      <c r="K73" s="16"/>
      <c r="L73" s="8"/>
    </row>
    <row r="74" spans="1:12" ht="11.4" customHeight="1">
      <c r="A74" s="215"/>
      <c r="B74" s="209"/>
      <c r="C74" s="181"/>
      <c r="D74" s="181"/>
      <c r="E74" s="181"/>
      <c r="F74" s="181"/>
      <c r="G74" s="181"/>
      <c r="H74" s="183"/>
      <c r="I74" s="222"/>
      <c r="J74" s="222"/>
      <c r="K74" s="16"/>
      <c r="L74" s="8"/>
    </row>
    <row r="75" spans="1:12" ht="11.4" customHeight="1">
      <c r="A75" s="14" t="s">
        <v>56</v>
      </c>
      <c r="B75" s="147">
        <f>SUM(C75,E75,G75)</f>
        <v>0</v>
      </c>
      <c r="C75" s="155" t="s">
        <v>285</v>
      </c>
      <c r="D75" s="156" t="s">
        <v>285</v>
      </c>
      <c r="E75" s="155" t="s">
        <v>285</v>
      </c>
      <c r="F75" s="156" t="s">
        <v>285</v>
      </c>
      <c r="G75" s="157" t="s">
        <v>285</v>
      </c>
      <c r="H75" s="160" t="s">
        <v>285</v>
      </c>
      <c r="I75" s="223" t="s">
        <v>145</v>
      </c>
      <c r="J75" s="223"/>
      <c r="K75" s="18"/>
      <c r="L75" s="18"/>
    </row>
    <row r="76" spans="1:12" ht="11.4" customHeight="1">
      <c r="A76" s="14" t="s">
        <v>57</v>
      </c>
      <c r="B76" s="147">
        <f t="shared" ref="B76:B82" si="24">SUM(C76,E76,G76)</f>
        <v>0</v>
      </c>
      <c r="C76" s="154" t="s">
        <v>285</v>
      </c>
      <c r="D76" s="152" t="s">
        <v>285</v>
      </c>
      <c r="E76" s="154" t="s">
        <v>285</v>
      </c>
      <c r="F76" s="152" t="s">
        <v>285</v>
      </c>
      <c r="G76" s="154" t="s">
        <v>285</v>
      </c>
      <c r="H76" s="158" t="s">
        <v>285</v>
      </c>
      <c r="I76" s="223" t="s">
        <v>146</v>
      </c>
      <c r="J76" s="223"/>
      <c r="K76" s="18"/>
      <c r="L76" s="18"/>
    </row>
    <row r="77" spans="1:12" ht="11.4" customHeight="1">
      <c r="A77" s="14" t="s">
        <v>178</v>
      </c>
      <c r="B77" s="147">
        <f t="shared" si="24"/>
        <v>0</v>
      </c>
      <c r="C77" s="154" t="s">
        <v>285</v>
      </c>
      <c r="D77" s="152" t="s">
        <v>285</v>
      </c>
      <c r="E77" s="154" t="s">
        <v>285</v>
      </c>
      <c r="F77" s="152" t="s">
        <v>285</v>
      </c>
      <c r="G77" s="154" t="s">
        <v>285</v>
      </c>
      <c r="H77" s="158" t="s">
        <v>285</v>
      </c>
      <c r="I77" s="223" t="s">
        <v>147</v>
      </c>
      <c r="J77" s="223"/>
      <c r="K77" s="18"/>
      <c r="L77" s="18"/>
    </row>
    <row r="78" spans="1:12" ht="11.4" customHeight="1">
      <c r="A78" s="14" t="s">
        <v>179</v>
      </c>
      <c r="B78" s="147">
        <f t="shared" si="24"/>
        <v>0</v>
      </c>
      <c r="C78" s="154" t="s">
        <v>285</v>
      </c>
      <c r="D78" s="152" t="s">
        <v>285</v>
      </c>
      <c r="E78" s="154" t="s">
        <v>285</v>
      </c>
      <c r="F78" s="152" t="s">
        <v>285</v>
      </c>
      <c r="G78" s="154" t="s">
        <v>285</v>
      </c>
      <c r="H78" s="158" t="s">
        <v>285</v>
      </c>
      <c r="I78" s="223" t="s">
        <v>148</v>
      </c>
      <c r="J78" s="223"/>
      <c r="K78" s="18"/>
      <c r="L78" s="18"/>
    </row>
    <row r="79" spans="1:12" ht="11.4" customHeight="1">
      <c r="A79" s="14" t="s">
        <v>180</v>
      </c>
      <c r="B79" s="147">
        <f t="shared" si="24"/>
        <v>37</v>
      </c>
      <c r="C79" s="153">
        <v>36</v>
      </c>
      <c r="D79" s="151">
        <v>187.8</v>
      </c>
      <c r="E79" s="154" t="s">
        <v>285</v>
      </c>
      <c r="F79" s="152" t="s">
        <v>285</v>
      </c>
      <c r="G79" s="153">
        <v>1</v>
      </c>
      <c r="H79" s="159">
        <v>1.5</v>
      </c>
      <c r="I79" s="223" t="s">
        <v>149</v>
      </c>
      <c r="J79" s="223"/>
      <c r="K79" s="18"/>
      <c r="L79" s="18"/>
    </row>
    <row r="80" spans="1:12" ht="11.4" customHeight="1">
      <c r="A80" s="14" t="s">
        <v>181</v>
      </c>
      <c r="B80" s="147">
        <f t="shared" si="24"/>
        <v>0</v>
      </c>
      <c r="C80" s="154" t="s">
        <v>285</v>
      </c>
      <c r="D80" s="152" t="s">
        <v>285</v>
      </c>
      <c r="E80" s="154" t="s">
        <v>285</v>
      </c>
      <c r="F80" s="152" t="s">
        <v>285</v>
      </c>
      <c r="G80" s="154" t="s">
        <v>285</v>
      </c>
      <c r="H80" s="158" t="s">
        <v>285</v>
      </c>
      <c r="I80" s="223" t="s">
        <v>150</v>
      </c>
      <c r="J80" s="223"/>
      <c r="K80" s="18"/>
      <c r="L80" s="18"/>
    </row>
    <row r="81" spans="1:12" ht="11.4" customHeight="1">
      <c r="A81" s="14" t="s">
        <v>182</v>
      </c>
      <c r="B81" s="147">
        <f t="shared" si="24"/>
        <v>0</v>
      </c>
      <c r="C81" s="154" t="s">
        <v>285</v>
      </c>
      <c r="D81" s="152" t="s">
        <v>285</v>
      </c>
      <c r="E81" s="154" t="s">
        <v>285</v>
      </c>
      <c r="F81" s="152" t="s">
        <v>285</v>
      </c>
      <c r="G81" s="154" t="s">
        <v>285</v>
      </c>
      <c r="H81" s="158" t="s">
        <v>285</v>
      </c>
      <c r="I81" s="223" t="s">
        <v>151</v>
      </c>
      <c r="J81" s="223"/>
      <c r="K81" s="18"/>
      <c r="L81" s="18"/>
    </row>
    <row r="82" spans="1:12" ht="11.4" customHeight="1">
      <c r="A82" s="14" t="s">
        <v>183</v>
      </c>
      <c r="B82" s="147">
        <f t="shared" si="24"/>
        <v>0</v>
      </c>
      <c r="C82" s="154" t="s">
        <v>285</v>
      </c>
      <c r="D82" s="152" t="s">
        <v>285</v>
      </c>
      <c r="E82" s="154" t="s">
        <v>285</v>
      </c>
      <c r="F82" s="152" t="s">
        <v>285</v>
      </c>
      <c r="G82" s="154" t="s">
        <v>285</v>
      </c>
      <c r="H82" s="158" t="s">
        <v>285</v>
      </c>
      <c r="I82" s="223" t="s">
        <v>152</v>
      </c>
      <c r="J82" s="223"/>
      <c r="K82" s="18"/>
      <c r="L82" s="18"/>
    </row>
    <row r="83" spans="1:12" ht="11.4" customHeight="1">
      <c r="A83" s="215" t="s">
        <v>64</v>
      </c>
      <c r="B83" s="209">
        <f t="shared" ref="B83" si="25">SUM(B85:B89)</f>
        <v>571</v>
      </c>
      <c r="C83" s="181">
        <f t="shared" ref="C83:H83" si="26">SUM(C85:C89)</f>
        <v>519</v>
      </c>
      <c r="D83" s="181">
        <f t="shared" si="26"/>
        <v>251.85</v>
      </c>
      <c r="E83" s="181">
        <f t="shared" si="26"/>
        <v>52</v>
      </c>
      <c r="F83" s="181">
        <f t="shared" si="26"/>
        <v>38.799999999999997</v>
      </c>
      <c r="G83" s="181">
        <f t="shared" si="26"/>
        <v>0</v>
      </c>
      <c r="H83" s="183">
        <f t="shared" si="26"/>
        <v>0</v>
      </c>
      <c r="I83" s="221" t="s">
        <v>153</v>
      </c>
      <c r="J83" s="221"/>
      <c r="K83" s="15"/>
      <c r="L83" s="10"/>
    </row>
    <row r="84" spans="1:12" ht="11.4" customHeight="1">
      <c r="A84" s="215"/>
      <c r="B84" s="209"/>
      <c r="C84" s="181"/>
      <c r="D84" s="181"/>
      <c r="E84" s="181"/>
      <c r="F84" s="181"/>
      <c r="G84" s="181"/>
      <c r="H84" s="183"/>
      <c r="I84" s="221"/>
      <c r="J84" s="221"/>
      <c r="K84" s="15"/>
      <c r="L84" s="10"/>
    </row>
    <row r="85" spans="1:12" ht="11.4" customHeight="1">
      <c r="A85" s="4" t="s">
        <v>65</v>
      </c>
      <c r="B85" s="147">
        <f t="shared" ref="B85:B90" si="27">SUM(C85,E85,G85)</f>
        <v>551</v>
      </c>
      <c r="C85" s="153">
        <v>519</v>
      </c>
      <c r="D85" s="151">
        <v>251.85</v>
      </c>
      <c r="E85" s="153">
        <v>32</v>
      </c>
      <c r="F85" s="151">
        <v>35.799999999999997</v>
      </c>
      <c r="G85" s="154" t="s">
        <v>285</v>
      </c>
      <c r="H85" s="158" t="s">
        <v>285</v>
      </c>
      <c r="I85" s="9" t="s">
        <v>154</v>
      </c>
      <c r="J85" s="8"/>
      <c r="K85" s="8"/>
      <c r="L85" s="8"/>
    </row>
    <row r="86" spans="1:12" ht="11.4" customHeight="1">
      <c r="A86" s="4" t="s">
        <v>66</v>
      </c>
      <c r="B86" s="147">
        <f t="shared" si="27"/>
        <v>0</v>
      </c>
      <c r="C86" s="154" t="s">
        <v>285</v>
      </c>
      <c r="D86" s="152" t="s">
        <v>285</v>
      </c>
      <c r="E86" s="154" t="s">
        <v>285</v>
      </c>
      <c r="F86" s="152" t="s">
        <v>285</v>
      </c>
      <c r="G86" s="154" t="s">
        <v>285</v>
      </c>
      <c r="H86" s="158" t="s">
        <v>285</v>
      </c>
      <c r="I86" s="9" t="s">
        <v>155</v>
      </c>
      <c r="J86" s="8"/>
      <c r="K86" s="8"/>
      <c r="L86" s="8"/>
    </row>
    <row r="87" spans="1:12" ht="11.4" customHeight="1">
      <c r="A87" s="4" t="s">
        <v>67</v>
      </c>
      <c r="B87" s="147">
        <f t="shared" si="27"/>
        <v>0</v>
      </c>
      <c r="C87" s="154" t="s">
        <v>285</v>
      </c>
      <c r="D87" s="152" t="s">
        <v>285</v>
      </c>
      <c r="E87" s="154" t="s">
        <v>285</v>
      </c>
      <c r="F87" s="152" t="s">
        <v>285</v>
      </c>
      <c r="G87" s="154" t="s">
        <v>285</v>
      </c>
      <c r="H87" s="158" t="s">
        <v>285</v>
      </c>
      <c r="I87" s="9" t="s">
        <v>156</v>
      </c>
      <c r="J87" s="8"/>
      <c r="K87" s="8"/>
      <c r="L87" s="8"/>
    </row>
    <row r="88" spans="1:12" ht="11.4" customHeight="1">
      <c r="A88" s="4" t="s">
        <v>68</v>
      </c>
      <c r="B88" s="147">
        <f t="shared" si="27"/>
        <v>0</v>
      </c>
      <c r="C88" s="154" t="s">
        <v>285</v>
      </c>
      <c r="D88" s="152" t="s">
        <v>285</v>
      </c>
      <c r="E88" s="154" t="s">
        <v>285</v>
      </c>
      <c r="F88" s="152" t="s">
        <v>285</v>
      </c>
      <c r="G88" s="154" t="s">
        <v>285</v>
      </c>
      <c r="H88" s="158" t="s">
        <v>285</v>
      </c>
      <c r="I88" s="9" t="s">
        <v>157</v>
      </c>
      <c r="J88" s="8"/>
      <c r="K88" s="8"/>
      <c r="L88" s="8"/>
    </row>
    <row r="89" spans="1:12" ht="11.4" customHeight="1">
      <c r="A89" s="4" t="s">
        <v>69</v>
      </c>
      <c r="B89" s="147">
        <f t="shared" si="27"/>
        <v>20</v>
      </c>
      <c r="C89" s="154" t="s">
        <v>285</v>
      </c>
      <c r="D89" s="152" t="s">
        <v>285</v>
      </c>
      <c r="E89" s="153">
        <v>20</v>
      </c>
      <c r="F89" s="151">
        <v>3</v>
      </c>
      <c r="G89" s="154" t="s">
        <v>285</v>
      </c>
      <c r="H89" s="158" t="s">
        <v>285</v>
      </c>
      <c r="I89" s="9" t="s">
        <v>158</v>
      </c>
      <c r="J89" s="8"/>
      <c r="K89" s="8"/>
      <c r="L89" s="8"/>
    </row>
    <row r="90" spans="1:12" ht="11.4" customHeight="1">
      <c r="A90" s="215" t="s">
        <v>70</v>
      </c>
      <c r="B90" s="209">
        <f t="shared" ref="B90" si="28">SUM(B92:B104)</f>
        <v>5386</v>
      </c>
      <c r="C90" s="181">
        <f t="shared" ref="C90:H90" si="29">SUM(C92:C104)</f>
        <v>2782</v>
      </c>
      <c r="D90" s="181">
        <f t="shared" si="29"/>
        <v>1165.7750000000001</v>
      </c>
      <c r="E90" s="181">
        <f t="shared" si="29"/>
        <v>2604</v>
      </c>
      <c r="F90" s="181">
        <f t="shared" si="29"/>
        <v>914.36599999999999</v>
      </c>
      <c r="G90" s="181">
        <f t="shared" si="29"/>
        <v>0</v>
      </c>
      <c r="H90" s="183">
        <f t="shared" si="29"/>
        <v>0</v>
      </c>
      <c r="I90" s="221" t="s">
        <v>159</v>
      </c>
      <c r="J90" s="221"/>
      <c r="K90" s="15"/>
      <c r="L90" s="8"/>
    </row>
    <row r="91" spans="1:12" ht="11.4" customHeight="1">
      <c r="A91" s="215"/>
      <c r="B91" s="209"/>
      <c r="C91" s="181"/>
      <c r="D91" s="181"/>
      <c r="E91" s="181"/>
      <c r="F91" s="181"/>
      <c r="G91" s="181"/>
      <c r="H91" s="183"/>
      <c r="I91" s="221"/>
      <c r="J91" s="221"/>
      <c r="K91" s="15"/>
      <c r="L91" s="8"/>
    </row>
    <row r="92" spans="1:12" ht="11.4" customHeight="1">
      <c r="A92" s="4" t="s">
        <v>71</v>
      </c>
      <c r="B92" s="147">
        <f>SUM(C92,E92,G92)</f>
        <v>18</v>
      </c>
      <c r="C92" s="154" t="s">
        <v>285</v>
      </c>
      <c r="D92" s="152" t="s">
        <v>285</v>
      </c>
      <c r="E92" s="153">
        <v>18</v>
      </c>
      <c r="F92" s="151">
        <v>12.1</v>
      </c>
      <c r="G92" s="154" t="s">
        <v>285</v>
      </c>
      <c r="H92" s="158" t="s">
        <v>285</v>
      </c>
      <c r="I92" s="9" t="s">
        <v>160</v>
      </c>
      <c r="J92" s="8"/>
      <c r="K92" s="8"/>
      <c r="L92" s="8"/>
    </row>
    <row r="93" spans="1:12" ht="11.4" customHeight="1">
      <c r="A93" s="4" t="s">
        <v>72</v>
      </c>
      <c r="B93" s="147">
        <f t="shared" ref="B93:B104" si="30">SUM(C93,E93,G93)</f>
        <v>0</v>
      </c>
      <c r="C93" s="154" t="s">
        <v>285</v>
      </c>
      <c r="D93" s="152" t="s">
        <v>285</v>
      </c>
      <c r="E93" s="154" t="s">
        <v>285</v>
      </c>
      <c r="F93" s="152" t="s">
        <v>285</v>
      </c>
      <c r="G93" s="154" t="s">
        <v>285</v>
      </c>
      <c r="H93" s="158" t="s">
        <v>285</v>
      </c>
      <c r="I93" s="9" t="s">
        <v>161</v>
      </c>
      <c r="J93" s="8"/>
      <c r="K93" s="8"/>
      <c r="L93" s="8"/>
    </row>
    <row r="94" spans="1:12" ht="11.4" customHeight="1">
      <c r="A94" s="4" t="s">
        <v>73</v>
      </c>
      <c r="B94" s="147">
        <f t="shared" si="30"/>
        <v>0</v>
      </c>
      <c r="C94" s="154" t="s">
        <v>285</v>
      </c>
      <c r="D94" s="152" t="s">
        <v>285</v>
      </c>
      <c r="E94" s="154" t="s">
        <v>285</v>
      </c>
      <c r="F94" s="152" t="s">
        <v>285</v>
      </c>
      <c r="G94" s="154" t="s">
        <v>285</v>
      </c>
      <c r="H94" s="158" t="s">
        <v>285</v>
      </c>
      <c r="I94" s="9" t="s">
        <v>162</v>
      </c>
      <c r="J94" s="8"/>
      <c r="K94" s="8"/>
      <c r="L94" s="8"/>
    </row>
    <row r="95" spans="1:12" ht="11.4" customHeight="1">
      <c r="A95" s="4" t="s">
        <v>74</v>
      </c>
      <c r="B95" s="147">
        <f t="shared" si="30"/>
        <v>100</v>
      </c>
      <c r="C95" s="154" t="s">
        <v>285</v>
      </c>
      <c r="D95" s="152" t="s">
        <v>285</v>
      </c>
      <c r="E95" s="153">
        <v>100</v>
      </c>
      <c r="F95" s="151">
        <v>20</v>
      </c>
      <c r="G95" s="154" t="s">
        <v>285</v>
      </c>
      <c r="H95" s="158" t="s">
        <v>285</v>
      </c>
      <c r="I95" s="9" t="s">
        <v>163</v>
      </c>
      <c r="J95" s="8"/>
      <c r="K95" s="8"/>
      <c r="L95" s="8"/>
    </row>
    <row r="96" spans="1:12" ht="11.4" customHeight="1">
      <c r="A96" s="4" t="s">
        <v>75</v>
      </c>
      <c r="B96" s="147">
        <f t="shared" si="30"/>
        <v>0</v>
      </c>
      <c r="C96" s="154" t="s">
        <v>285</v>
      </c>
      <c r="D96" s="152" t="s">
        <v>285</v>
      </c>
      <c r="E96" s="154" t="s">
        <v>285</v>
      </c>
      <c r="F96" s="152" t="s">
        <v>285</v>
      </c>
      <c r="G96" s="154" t="s">
        <v>285</v>
      </c>
      <c r="H96" s="158" t="s">
        <v>285</v>
      </c>
      <c r="I96" s="9" t="s">
        <v>164</v>
      </c>
      <c r="J96" s="8"/>
      <c r="K96" s="8"/>
      <c r="L96" s="8"/>
    </row>
    <row r="97" spans="1:12" ht="11.4" customHeight="1">
      <c r="A97" s="4" t="s">
        <v>76</v>
      </c>
      <c r="B97" s="147">
        <f t="shared" si="30"/>
        <v>0</v>
      </c>
      <c r="C97" s="154" t="s">
        <v>285</v>
      </c>
      <c r="D97" s="152" t="s">
        <v>285</v>
      </c>
      <c r="E97" s="154" t="s">
        <v>285</v>
      </c>
      <c r="F97" s="152" t="s">
        <v>285</v>
      </c>
      <c r="G97" s="154" t="s">
        <v>285</v>
      </c>
      <c r="H97" s="158" t="s">
        <v>285</v>
      </c>
      <c r="I97" s="9" t="s">
        <v>165</v>
      </c>
      <c r="J97" s="8"/>
      <c r="K97" s="8"/>
      <c r="L97" s="8"/>
    </row>
    <row r="98" spans="1:12" ht="11.4" customHeight="1">
      <c r="A98" s="4" t="s">
        <v>77</v>
      </c>
      <c r="B98" s="147">
        <f t="shared" si="30"/>
        <v>75</v>
      </c>
      <c r="C98" s="153">
        <v>20</v>
      </c>
      <c r="D98" s="151">
        <v>65</v>
      </c>
      <c r="E98" s="153">
        <v>55</v>
      </c>
      <c r="F98" s="151">
        <v>55</v>
      </c>
      <c r="G98" s="154" t="s">
        <v>285</v>
      </c>
      <c r="H98" s="158" t="s">
        <v>285</v>
      </c>
      <c r="I98" s="9" t="s">
        <v>166</v>
      </c>
      <c r="J98" s="8"/>
      <c r="K98" s="8"/>
      <c r="L98" s="8"/>
    </row>
    <row r="99" spans="1:12" ht="11.4" customHeight="1">
      <c r="A99" s="4" t="s">
        <v>78</v>
      </c>
      <c r="B99" s="147">
        <f t="shared" si="30"/>
        <v>220</v>
      </c>
      <c r="C99" s="154" t="s">
        <v>285</v>
      </c>
      <c r="D99" s="152" t="s">
        <v>285</v>
      </c>
      <c r="E99" s="153">
        <v>220</v>
      </c>
      <c r="F99" s="151">
        <v>43.1</v>
      </c>
      <c r="G99" s="154" t="s">
        <v>285</v>
      </c>
      <c r="H99" s="158" t="s">
        <v>285</v>
      </c>
      <c r="I99" s="9" t="s">
        <v>167</v>
      </c>
      <c r="J99" s="8"/>
      <c r="K99" s="8"/>
      <c r="L99" s="8"/>
    </row>
    <row r="100" spans="1:12" ht="11.4" customHeight="1">
      <c r="A100" s="4" t="s">
        <v>79</v>
      </c>
      <c r="B100" s="147">
        <f t="shared" si="30"/>
        <v>0</v>
      </c>
      <c r="C100" s="154" t="s">
        <v>285</v>
      </c>
      <c r="D100" s="152" t="s">
        <v>285</v>
      </c>
      <c r="E100" s="154" t="s">
        <v>285</v>
      </c>
      <c r="F100" s="152" t="s">
        <v>285</v>
      </c>
      <c r="G100" s="154" t="s">
        <v>285</v>
      </c>
      <c r="H100" s="158" t="s">
        <v>285</v>
      </c>
      <c r="I100" s="9" t="s">
        <v>168</v>
      </c>
      <c r="J100" s="8"/>
      <c r="K100" s="8"/>
      <c r="L100" s="8"/>
    </row>
    <row r="101" spans="1:12" ht="11.4" customHeight="1">
      <c r="A101" s="4" t="s">
        <v>80</v>
      </c>
      <c r="B101" s="147">
        <f t="shared" si="30"/>
        <v>4935</v>
      </c>
      <c r="C101" s="153">
        <v>2744</v>
      </c>
      <c r="D101" s="151">
        <v>1090.825</v>
      </c>
      <c r="E101" s="153">
        <v>2191</v>
      </c>
      <c r="F101" s="151">
        <v>779.86599999999999</v>
      </c>
      <c r="G101" s="154" t="s">
        <v>285</v>
      </c>
      <c r="H101" s="158" t="s">
        <v>285</v>
      </c>
      <c r="I101" s="9" t="s">
        <v>169</v>
      </c>
      <c r="J101" s="8"/>
      <c r="K101" s="8"/>
      <c r="L101" s="8"/>
    </row>
    <row r="102" spans="1:12" ht="11.4" customHeight="1">
      <c r="A102" s="4" t="s">
        <v>81</v>
      </c>
      <c r="B102" s="147">
        <f t="shared" si="30"/>
        <v>0</v>
      </c>
      <c r="C102" s="154" t="s">
        <v>285</v>
      </c>
      <c r="D102" s="152" t="s">
        <v>285</v>
      </c>
      <c r="E102" s="154" t="s">
        <v>285</v>
      </c>
      <c r="F102" s="152" t="s">
        <v>285</v>
      </c>
      <c r="G102" s="154" t="s">
        <v>285</v>
      </c>
      <c r="H102" s="158" t="s">
        <v>285</v>
      </c>
      <c r="I102" s="9" t="s">
        <v>170</v>
      </c>
      <c r="J102" s="8"/>
      <c r="K102" s="8"/>
      <c r="L102" s="8"/>
    </row>
    <row r="103" spans="1:12" ht="11.4" customHeight="1">
      <c r="A103" s="4" t="s">
        <v>82</v>
      </c>
      <c r="B103" s="147">
        <f t="shared" si="30"/>
        <v>31</v>
      </c>
      <c r="C103" s="153">
        <v>11</v>
      </c>
      <c r="D103" s="151">
        <v>3.95</v>
      </c>
      <c r="E103" s="153">
        <v>20</v>
      </c>
      <c r="F103" s="151">
        <v>4.3</v>
      </c>
      <c r="G103" s="154" t="s">
        <v>285</v>
      </c>
      <c r="H103" s="158" t="s">
        <v>285</v>
      </c>
      <c r="I103" s="9" t="s">
        <v>171</v>
      </c>
      <c r="J103" s="8"/>
      <c r="K103" s="8"/>
      <c r="L103" s="8"/>
    </row>
    <row r="104" spans="1:12" ht="11.4" customHeight="1">
      <c r="A104" s="4" t="s">
        <v>83</v>
      </c>
      <c r="B104" s="147">
        <f t="shared" si="30"/>
        <v>7</v>
      </c>
      <c r="C104" s="153">
        <v>7</v>
      </c>
      <c r="D104" s="151">
        <v>6</v>
      </c>
      <c r="E104" s="154" t="s">
        <v>285</v>
      </c>
      <c r="F104" s="152" t="s">
        <v>285</v>
      </c>
      <c r="G104" s="154" t="s">
        <v>285</v>
      </c>
      <c r="H104" s="158" t="s">
        <v>285</v>
      </c>
      <c r="I104" s="9" t="s">
        <v>172</v>
      </c>
      <c r="J104" s="8"/>
      <c r="K104" s="8"/>
      <c r="L104" s="8"/>
    </row>
    <row r="105" spans="1:12" ht="11.4" customHeight="1">
      <c r="A105" s="215" t="s">
        <v>84</v>
      </c>
      <c r="B105" s="209">
        <f t="shared" ref="B105" si="31">SUM(B107:B110)</f>
        <v>1938</v>
      </c>
      <c r="C105" s="181">
        <f t="shared" ref="C105:H105" si="32">SUM(C107:C110)</f>
        <v>1194</v>
      </c>
      <c r="D105" s="181">
        <f t="shared" si="32"/>
        <v>914.14699999999993</v>
      </c>
      <c r="E105" s="181">
        <f t="shared" si="32"/>
        <v>744</v>
      </c>
      <c r="F105" s="181">
        <f t="shared" si="32"/>
        <v>477.03</v>
      </c>
      <c r="G105" s="181">
        <f t="shared" si="32"/>
        <v>0</v>
      </c>
      <c r="H105" s="183">
        <f t="shared" si="32"/>
        <v>0</v>
      </c>
      <c r="I105" s="222" t="s">
        <v>173</v>
      </c>
      <c r="J105" s="222"/>
      <c r="K105" s="16"/>
      <c r="L105" s="8"/>
    </row>
    <row r="106" spans="1:12" ht="11.4" customHeight="1">
      <c r="A106" s="215"/>
      <c r="B106" s="209"/>
      <c r="C106" s="181"/>
      <c r="D106" s="181"/>
      <c r="E106" s="181"/>
      <c r="F106" s="181"/>
      <c r="G106" s="181"/>
      <c r="H106" s="183"/>
      <c r="I106" s="222"/>
      <c r="J106" s="222"/>
      <c r="K106" s="16"/>
      <c r="L106" s="8"/>
    </row>
    <row r="107" spans="1:12" ht="11.4" customHeight="1">
      <c r="A107" s="4" t="s">
        <v>85</v>
      </c>
      <c r="B107" s="147">
        <f>SUM(C107,E107,G107)</f>
        <v>435</v>
      </c>
      <c r="C107" s="153">
        <v>190</v>
      </c>
      <c r="D107" s="151">
        <v>128.80000000000001</v>
      </c>
      <c r="E107" s="153">
        <v>245</v>
      </c>
      <c r="F107" s="151">
        <v>120.98</v>
      </c>
      <c r="G107" s="154" t="s">
        <v>285</v>
      </c>
      <c r="H107" s="158" t="s">
        <v>285</v>
      </c>
      <c r="I107" s="9" t="s">
        <v>174</v>
      </c>
      <c r="J107" s="8"/>
      <c r="K107" s="8"/>
      <c r="L107" s="8"/>
    </row>
    <row r="108" spans="1:12" ht="11.4" customHeight="1">
      <c r="A108" s="4" t="s">
        <v>86</v>
      </c>
      <c r="B108" s="147">
        <f>SUM(C108,E108,G108)</f>
        <v>146</v>
      </c>
      <c r="C108" s="153">
        <v>102</v>
      </c>
      <c r="D108" s="151">
        <v>51.02</v>
      </c>
      <c r="E108" s="153">
        <v>44</v>
      </c>
      <c r="F108" s="151">
        <v>20.9</v>
      </c>
      <c r="G108" s="154" t="s">
        <v>285</v>
      </c>
      <c r="H108" s="158" t="s">
        <v>285</v>
      </c>
      <c r="I108" s="9" t="s">
        <v>175</v>
      </c>
      <c r="J108" s="8"/>
      <c r="K108" s="8"/>
      <c r="L108" s="8"/>
    </row>
    <row r="109" spans="1:12" ht="11.4" customHeight="1">
      <c r="A109" s="4" t="s">
        <v>87</v>
      </c>
      <c r="B109" s="147">
        <f>SUM(C109,E109,G109)</f>
        <v>472</v>
      </c>
      <c r="C109" s="153">
        <v>285</v>
      </c>
      <c r="D109" s="151">
        <v>143.6</v>
      </c>
      <c r="E109" s="153">
        <v>187</v>
      </c>
      <c r="F109" s="151">
        <v>108.85</v>
      </c>
      <c r="G109" s="154" t="s">
        <v>285</v>
      </c>
      <c r="H109" s="158" t="s">
        <v>285</v>
      </c>
      <c r="I109" s="9" t="s">
        <v>176</v>
      </c>
      <c r="J109" s="11"/>
      <c r="K109" s="11"/>
      <c r="L109" s="8"/>
    </row>
    <row r="110" spans="1:12" ht="11.4" customHeight="1" thickBot="1">
      <c r="A110" s="5" t="s">
        <v>88</v>
      </c>
      <c r="B110" s="149">
        <f>SUM(C110,E110,G110)</f>
        <v>885</v>
      </c>
      <c r="C110" s="161">
        <v>617</v>
      </c>
      <c r="D110" s="162">
        <v>590.72699999999998</v>
      </c>
      <c r="E110" s="161">
        <v>268</v>
      </c>
      <c r="F110" s="162">
        <v>226.3</v>
      </c>
      <c r="G110" s="163" t="s">
        <v>285</v>
      </c>
      <c r="H110" s="164" t="s">
        <v>285</v>
      </c>
      <c r="I110" s="12" t="s">
        <v>177</v>
      </c>
      <c r="J110" s="13"/>
      <c r="K110" s="11"/>
      <c r="L110" s="8"/>
    </row>
    <row r="111" spans="1:12">
      <c r="A111" s="217" t="s">
        <v>89</v>
      </c>
      <c r="B111" s="218"/>
      <c r="C111" s="6"/>
      <c r="D111" s="6"/>
      <c r="E111" s="6"/>
      <c r="F111" s="6"/>
      <c r="G111" s="6"/>
      <c r="H111" s="219" t="s">
        <v>186</v>
      </c>
      <c r="I111" s="220"/>
      <c r="J111" s="220"/>
      <c r="K111" s="22"/>
    </row>
  </sheetData>
  <mergeCells count="138">
    <mergeCell ref="I90:J91"/>
    <mergeCell ref="I105:J106"/>
    <mergeCell ref="I75:J75"/>
    <mergeCell ref="I64:K64"/>
    <mergeCell ref="I47:J48"/>
    <mergeCell ref="I54:J55"/>
    <mergeCell ref="I61:J62"/>
    <mergeCell ref="I77:J77"/>
    <mergeCell ref="I76:J76"/>
    <mergeCell ref="I12:J13"/>
    <mergeCell ref="I20:J21"/>
    <mergeCell ref="I34:J35"/>
    <mergeCell ref="I40:J41"/>
    <mergeCell ref="I83:J84"/>
    <mergeCell ref="F66:F67"/>
    <mergeCell ref="G66:G67"/>
    <mergeCell ref="H66:H67"/>
    <mergeCell ref="A73:A74"/>
    <mergeCell ref="B73:B74"/>
    <mergeCell ref="C73:C74"/>
    <mergeCell ref="D73:D74"/>
    <mergeCell ref="E73:E74"/>
    <mergeCell ref="F73:F74"/>
    <mergeCell ref="G73:G74"/>
    <mergeCell ref="H73:H74"/>
    <mergeCell ref="A54:A55"/>
    <mergeCell ref="B54:B55"/>
    <mergeCell ref="C54:C55"/>
    <mergeCell ref="D54:D55"/>
    <mergeCell ref="E54:E55"/>
    <mergeCell ref="F54:F55"/>
    <mergeCell ref="G54:G55"/>
    <mergeCell ref="H54:H55"/>
    <mergeCell ref="G105:G106"/>
    <mergeCell ref="H105:H106"/>
    <mergeCell ref="A105:A106"/>
    <mergeCell ref="B105:B106"/>
    <mergeCell ref="C105:C106"/>
    <mergeCell ref="D105:D106"/>
    <mergeCell ref="E105:E106"/>
    <mergeCell ref="F105:F106"/>
    <mergeCell ref="F83:F84"/>
    <mergeCell ref="G83:G84"/>
    <mergeCell ref="H83:H84"/>
    <mergeCell ref="A90:A91"/>
    <mergeCell ref="B90:B91"/>
    <mergeCell ref="C90:C91"/>
    <mergeCell ref="A111:B111"/>
    <mergeCell ref="H111:J111"/>
    <mergeCell ref="I66:J67"/>
    <mergeCell ref="I73:J74"/>
    <mergeCell ref="I82:J82"/>
    <mergeCell ref="I81:J81"/>
    <mergeCell ref="I80:J80"/>
    <mergeCell ref="I79:J79"/>
    <mergeCell ref="I78:J78"/>
    <mergeCell ref="D90:D91"/>
    <mergeCell ref="E90:E91"/>
    <mergeCell ref="F90:F91"/>
    <mergeCell ref="G90:G91"/>
    <mergeCell ref="H90:H91"/>
    <mergeCell ref="A83:A84"/>
    <mergeCell ref="B83:B84"/>
    <mergeCell ref="C83:C84"/>
    <mergeCell ref="D83:D84"/>
    <mergeCell ref="E83:E84"/>
    <mergeCell ref="A66:A67"/>
    <mergeCell ref="B66:B67"/>
    <mergeCell ref="C66:C67"/>
    <mergeCell ref="D66:D67"/>
    <mergeCell ref="E66:E67"/>
    <mergeCell ref="A61:A62"/>
    <mergeCell ref="B61:B62"/>
    <mergeCell ref="C61:C62"/>
    <mergeCell ref="D61:D62"/>
    <mergeCell ref="E61:E62"/>
    <mergeCell ref="F61:F62"/>
    <mergeCell ref="G61:G62"/>
    <mergeCell ref="H61:H62"/>
    <mergeCell ref="G40:G41"/>
    <mergeCell ref="H40:H41"/>
    <mergeCell ref="A47:A48"/>
    <mergeCell ref="B47:B48"/>
    <mergeCell ref="C47:C48"/>
    <mergeCell ref="D47:D48"/>
    <mergeCell ref="E47:E48"/>
    <mergeCell ref="F47:F48"/>
    <mergeCell ref="G47:G48"/>
    <mergeCell ref="H47:H48"/>
    <mergeCell ref="A34:A35"/>
    <mergeCell ref="B34:B35"/>
    <mergeCell ref="C34:C35"/>
    <mergeCell ref="D34:D35"/>
    <mergeCell ref="E34:E35"/>
    <mergeCell ref="F34:F35"/>
    <mergeCell ref="A40:A41"/>
    <mergeCell ref="B40:B41"/>
    <mergeCell ref="C40:C41"/>
    <mergeCell ref="D40:D41"/>
    <mergeCell ref="E40:E41"/>
    <mergeCell ref="F40:F41"/>
    <mergeCell ref="A20:A21"/>
    <mergeCell ref="B20:B21"/>
    <mergeCell ref="C20:C21"/>
    <mergeCell ref="D20:D21"/>
    <mergeCell ref="E20:E21"/>
    <mergeCell ref="F20:F21"/>
    <mergeCell ref="A12:A13"/>
    <mergeCell ref="B12:B13"/>
    <mergeCell ref="G20:G21"/>
    <mergeCell ref="C12:C13"/>
    <mergeCell ref="D12:D13"/>
    <mergeCell ref="E12:E13"/>
    <mergeCell ref="F12:F13"/>
    <mergeCell ref="G10:G11"/>
    <mergeCell ref="H10:H11"/>
    <mergeCell ref="G12:G13"/>
    <mergeCell ref="H12:H13"/>
    <mergeCell ref="G34:G35"/>
    <mergeCell ref="H34:H35"/>
    <mergeCell ref="H20:H21"/>
    <mergeCell ref="A2:J2"/>
    <mergeCell ref="A3:J3"/>
    <mergeCell ref="F5:J5"/>
    <mergeCell ref="A5:C5"/>
    <mergeCell ref="I6:J9"/>
    <mergeCell ref="I10:J11"/>
    <mergeCell ref="A6:A9"/>
    <mergeCell ref="B6:B9"/>
    <mergeCell ref="C6:D8"/>
    <mergeCell ref="E6:F8"/>
    <mergeCell ref="A10:A11"/>
    <mergeCell ref="B10:B11"/>
    <mergeCell ref="C10:C11"/>
    <mergeCell ref="D10:D11"/>
    <mergeCell ref="E10:E11"/>
    <mergeCell ref="F10:F11"/>
    <mergeCell ref="G6:H8"/>
  </mergeCells>
  <conditionalFormatting sqref="C14:H19">
    <cfRule type="cellIs" dxfId="14" priority="15" operator="equal">
      <formula>0</formula>
    </cfRule>
  </conditionalFormatting>
  <conditionalFormatting sqref="C22:H28">
    <cfRule type="cellIs" dxfId="13" priority="14" operator="equal">
      <formula>0</formula>
    </cfRule>
  </conditionalFormatting>
  <conditionalFormatting sqref="C14:H19">
    <cfRule type="cellIs" dxfId="12" priority="13" operator="equal">
      <formula>0</formula>
    </cfRule>
  </conditionalFormatting>
  <conditionalFormatting sqref="C22:H28">
    <cfRule type="cellIs" dxfId="11" priority="12" operator="equal">
      <formula>0</formula>
    </cfRule>
  </conditionalFormatting>
  <conditionalFormatting sqref="C30:H33">
    <cfRule type="cellIs" dxfId="10" priority="11" operator="equal">
      <formula>0</formula>
    </cfRule>
  </conditionalFormatting>
  <conditionalFormatting sqref="C36:H39">
    <cfRule type="cellIs" dxfId="9" priority="10" operator="equal">
      <formula>0</formula>
    </cfRule>
  </conditionalFormatting>
  <conditionalFormatting sqref="C42:H46">
    <cfRule type="cellIs" dxfId="8" priority="9" operator="equal">
      <formula>0</formula>
    </cfRule>
  </conditionalFormatting>
  <conditionalFormatting sqref="C49:H53">
    <cfRule type="cellIs" dxfId="7" priority="8" operator="equal">
      <formula>0</formula>
    </cfRule>
  </conditionalFormatting>
  <conditionalFormatting sqref="C56:H60">
    <cfRule type="cellIs" dxfId="6" priority="7" operator="equal">
      <formula>0</formula>
    </cfRule>
  </conditionalFormatting>
  <conditionalFormatting sqref="C63:H65">
    <cfRule type="cellIs" dxfId="5" priority="6" operator="equal">
      <formula>0</formula>
    </cfRule>
  </conditionalFormatting>
  <conditionalFormatting sqref="C68:H72">
    <cfRule type="cellIs" dxfId="4" priority="5" operator="equal">
      <formula>0</formula>
    </cfRule>
  </conditionalFormatting>
  <conditionalFormatting sqref="C76:H76 C82:H82 C79:H80">
    <cfRule type="cellIs" dxfId="3" priority="4" operator="equal">
      <formula>0</formula>
    </cfRule>
  </conditionalFormatting>
  <conditionalFormatting sqref="C85:H89">
    <cfRule type="cellIs" dxfId="2" priority="3" operator="equal">
      <formula>0</formula>
    </cfRule>
  </conditionalFormatting>
  <conditionalFormatting sqref="C92:H104">
    <cfRule type="cellIs" dxfId="1" priority="2" operator="equal">
      <formula>0</formula>
    </cfRule>
  </conditionalFormatting>
  <conditionalFormatting sqref="C107:H110">
    <cfRule type="cellIs" dxfId="0" priority="1" operator="equal">
      <formula>0</formula>
    </cfRule>
  </conditionalFormatting>
  <pageMargins left="0.7" right="0.7" top="0.75" bottom="0.75" header="0.3" footer="0.3"/>
  <pageSetup paperSize="9" orientation="portrait" horizontalDpi="200" verticalDpi="200" r:id="rId1"/>
  <ignoredErrors>
    <ignoredError sqref="C20:H21 B14 B15 B16 B17 B18 B19 B24 B22 B23 C29:H29 B25 B26 B27 B28 C34:H35 B30 B31 B32 B33 C40:H41 B36 B37 B38 B39 B45 B42 B43 B44 C48:H48 B46 B52 B49 B50 B51 C54:H55 B53 C61:H62 B56 B57 B58 B59 B60 C66:H67 B63 B64 B65 C73:H74 B68 B69 B70 B71 B72 B80:B81 B79 C83:H84 B82 B86 B85 C90:H91 B87 B88 B89 B94 B92 B93 B96 B95 B99:B100 B97 B98 C105:H106 B101 B102 B103 B104 B109 B107 B108 B110 D47:H47 B75:B78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ListOfRegions</vt:lpstr>
      <vt:lpstr>ΠΙΝΑΚΑΣ 2(στ)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2015-05-06T11:12:50Z</cp:lastPrinted>
  <dcterms:created xsi:type="dcterms:W3CDTF">2015-05-06T11:02:52Z</dcterms:created>
  <dcterms:modified xsi:type="dcterms:W3CDTF">2017-02-21T07:41:40Z</dcterms:modified>
</cp:coreProperties>
</file>