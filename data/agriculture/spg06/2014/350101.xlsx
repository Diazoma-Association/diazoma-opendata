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0" yWindow="276" windowWidth="12192" windowHeight="6624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63" i="1"/>
  <c r="B64"/>
  <c r="B65"/>
  <c r="B66"/>
  <c r="B67"/>
  <c r="C71" l="1"/>
  <c r="D71"/>
  <c r="E71"/>
  <c r="F71"/>
  <c r="G71"/>
  <c r="H71"/>
  <c r="I71"/>
  <c r="J71"/>
  <c r="K71"/>
  <c r="L71"/>
  <c r="M71"/>
  <c r="N71"/>
  <c r="B95"/>
  <c r="B94"/>
  <c r="B93"/>
  <c r="B92"/>
  <c r="B90"/>
  <c r="B89"/>
  <c r="B88"/>
  <c r="B87"/>
  <c r="B86"/>
  <c r="B85"/>
  <c r="B84"/>
  <c r="B83"/>
  <c r="B82"/>
  <c r="B81"/>
  <c r="B80"/>
  <c r="B79"/>
  <c r="B77" s="1"/>
  <c r="B78"/>
  <c r="B76"/>
  <c r="B75"/>
  <c r="B74"/>
  <c r="B73"/>
  <c r="B72"/>
  <c r="B70"/>
  <c r="B69"/>
  <c r="B68"/>
  <c r="B61"/>
  <c r="B60"/>
  <c r="B59"/>
  <c r="B58"/>
  <c r="B57"/>
  <c r="B55"/>
  <c r="B54"/>
  <c r="B53"/>
  <c r="B51"/>
  <c r="B50"/>
  <c r="B49"/>
  <c r="B48"/>
  <c r="B47"/>
  <c r="B45"/>
  <c r="B44"/>
  <c r="B43"/>
  <c r="B42"/>
  <c r="B41"/>
  <c r="B39"/>
  <c r="B38"/>
  <c r="B37"/>
  <c r="B36"/>
  <c r="B35"/>
  <c r="B33"/>
  <c r="B32"/>
  <c r="B31"/>
  <c r="B30"/>
  <c r="B28"/>
  <c r="B27"/>
  <c r="B26"/>
  <c r="B25"/>
  <c r="B23"/>
  <c r="B22"/>
  <c r="B21"/>
  <c r="B20"/>
  <c r="B19"/>
  <c r="B18"/>
  <c r="B17"/>
  <c r="B12"/>
  <c r="B13"/>
  <c r="B14"/>
  <c r="B15"/>
  <c r="B11"/>
  <c r="B10"/>
  <c r="B16" l="1"/>
  <c r="B9"/>
  <c r="C9"/>
  <c r="D9"/>
  <c r="E9"/>
  <c r="F9"/>
  <c r="G9"/>
  <c r="H9"/>
  <c r="I9"/>
  <c r="J9"/>
  <c r="K9"/>
  <c r="L9"/>
  <c r="M9"/>
  <c r="N9"/>
  <c r="C16"/>
  <c r="D16"/>
  <c r="E16"/>
  <c r="F16"/>
  <c r="G16"/>
  <c r="H16"/>
  <c r="I16"/>
  <c r="J16"/>
  <c r="K16"/>
  <c r="L16"/>
  <c r="M16"/>
  <c r="N16"/>
  <c r="B24"/>
  <c r="C24"/>
  <c r="D24"/>
  <c r="E24"/>
  <c r="F24"/>
  <c r="G24"/>
  <c r="H24"/>
  <c r="I24"/>
  <c r="J24"/>
  <c r="K24"/>
  <c r="L24"/>
  <c r="M24"/>
  <c r="N24"/>
  <c r="B29"/>
  <c r="C29"/>
  <c r="D29"/>
  <c r="E29"/>
  <c r="F29"/>
  <c r="G29"/>
  <c r="H29"/>
  <c r="I29"/>
  <c r="J29"/>
  <c r="K29"/>
  <c r="L29"/>
  <c r="M29"/>
  <c r="N29"/>
  <c r="B34"/>
  <c r="C34"/>
  <c r="D34"/>
  <c r="E34"/>
  <c r="F34"/>
  <c r="G34"/>
  <c r="H34"/>
  <c r="I34"/>
  <c r="J34"/>
  <c r="K34"/>
  <c r="L34"/>
  <c r="M34"/>
  <c r="N34"/>
  <c r="B40"/>
  <c r="C40"/>
  <c r="D40"/>
  <c r="E40"/>
  <c r="F40"/>
  <c r="G40"/>
  <c r="H40"/>
  <c r="I40"/>
  <c r="J40"/>
  <c r="K40"/>
  <c r="L40"/>
  <c r="M40"/>
  <c r="N40"/>
  <c r="B46"/>
  <c r="C46"/>
  <c r="D46"/>
  <c r="E46"/>
  <c r="F46"/>
  <c r="G46"/>
  <c r="H46"/>
  <c r="I46"/>
  <c r="J46"/>
  <c r="K46"/>
  <c r="L46"/>
  <c r="M46"/>
  <c r="N46"/>
  <c r="B52"/>
  <c r="C52"/>
  <c r="D52"/>
  <c r="E52"/>
  <c r="F52"/>
  <c r="G52"/>
  <c r="H52"/>
  <c r="I52"/>
  <c r="J52"/>
  <c r="K52"/>
  <c r="L52"/>
  <c r="M52"/>
  <c r="N52"/>
  <c r="B56"/>
  <c r="C56"/>
  <c r="D56"/>
  <c r="E56"/>
  <c r="F56"/>
  <c r="G56"/>
  <c r="H56"/>
  <c r="I56"/>
  <c r="J56"/>
  <c r="K56"/>
  <c r="L56"/>
  <c r="M56"/>
  <c r="N56"/>
  <c r="B62"/>
  <c r="C62"/>
  <c r="D62"/>
  <c r="E62"/>
  <c r="F62"/>
  <c r="G62"/>
  <c r="H62"/>
  <c r="I62"/>
  <c r="J62"/>
  <c r="K62"/>
  <c r="L62"/>
  <c r="M62"/>
  <c r="N62"/>
  <c r="B71"/>
  <c r="C77"/>
  <c r="D77"/>
  <c r="E77"/>
  <c r="F77"/>
  <c r="G77"/>
  <c r="H77"/>
  <c r="I77"/>
  <c r="J77"/>
  <c r="K77"/>
  <c r="L77"/>
  <c r="M77"/>
  <c r="N77"/>
  <c r="B91"/>
  <c r="C91"/>
  <c r="D91"/>
  <c r="E91"/>
  <c r="F91"/>
  <c r="G91"/>
  <c r="H91"/>
  <c r="I91"/>
  <c r="J91"/>
  <c r="K91"/>
  <c r="L91"/>
  <c r="M91"/>
  <c r="N91"/>
  <c r="M8" l="1"/>
  <c r="N8"/>
  <c r="L8"/>
  <c r="J8"/>
  <c r="H8"/>
  <c r="F8"/>
  <c r="D8"/>
  <c r="K8"/>
  <c r="I8"/>
  <c r="G8"/>
  <c r="E8"/>
  <c r="C8"/>
  <c r="B8"/>
</calcChain>
</file>

<file path=xl/sharedStrings.xml><?xml version="1.0" encoding="utf-8"?>
<sst xmlns="http://schemas.openxmlformats.org/spreadsheetml/2006/main" count="710" uniqueCount="195">
  <si>
    <t>Εκτάσεις σε στρέμματα, παραγωγή σε τόνους</t>
  </si>
  <si>
    <t>Areas in stremmas, production in tons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</si>
  <si>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</si>
  <si>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</si>
  <si>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</si>
  <si>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</si>
  <si>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</si>
  <si>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</si>
  <si>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</si>
  <si>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—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</si>
  <si>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</si>
  <si>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</si>
  <si>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</si>
  <si>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</si>
  <si>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</si>
  <si>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</si>
  <si>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</si>
  <si>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</si>
  <si>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</si>
  <si>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</si>
  <si>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</si>
  <si>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</si>
  <si>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</si>
  <si>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</si>
  <si>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</si>
  <si>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</si>
  <si>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</si>
  <si>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</si>
  <si>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</si>
  <si>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</si>
  <si>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</si>
  <si>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</si>
  <si>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</si>
  <si>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</si>
  <si>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</si>
  <si>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</si>
  <si>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</si>
  <si>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</si>
  <si>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</si>
  <si>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</si>
  <si>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</si>
  <si>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</si>
  <si>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</si>
  <si>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</si>
  <si>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</si>
  <si>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</si>
  <si>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</si>
  <si>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</si>
  <si>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</si>
  <si>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</si>
  <si>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</si>
  <si>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</si>
  <si>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</si>
  <si>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</si>
  <si>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</si>
  <si>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</si>
  <si>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</si>
  <si>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</si>
  <si>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</si>
  <si>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</si>
  <si>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</si>
  <si>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</si>
  <si>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</si>
  <si>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</si>
  <si>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</si>
  <si>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</si>
  <si>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</si>
  <si>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</si>
  <si>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</si>
  <si>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</si>
  <si>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</si>
  <si>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</si>
  <si>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</si>
  <si>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</si>
  <si>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</si>
  <si>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</si>
  <si>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</si>
  <si>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</si>
  <si>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</si>
  <si>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</si>
  <si>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</si>
  <si>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</si>
  <si>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</si>
  <si>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</si>
  <si>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</si>
  <si>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</si>
  <si>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</si>
  <si>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</si>
  <si>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</si>
  <si>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</si>
  <si>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</si>
  <si>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</si>
  <si>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</si>
  <si>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</si>
  <si>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</si>
  <si>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</si>
  <si>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</si>
  <si>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</si>
  <si>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</si>
  <si>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</si>
  <si>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</si>
  <si>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</si>
  <si>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</si>
  <si>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</si>
  <si>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</si>
  <si>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</si>
  <si>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</si>
  <si>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</si>
  <si>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</si>
  <si>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</si>
  <si>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Λούπινα
Lupine</t>
  </si>
  <si>
    <t>Λαθούρια 
Veltching (Lathyrus)</t>
  </si>
  <si>
    <t>Σπόρος τριφυλλιών
Clover seeds</t>
  </si>
  <si>
    <r>
      <t>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(1)</t>
    </r>
  </si>
  <si>
    <t>(1) Μπιζέλια, κουκιά, φακή και λοιπά κτηνοτροφικά φυτά για καρπό</t>
  </si>
  <si>
    <t>Πίνακας 2γ. Κτηνοτροφικά όσπρια. Εκτάσεις και παραγωγή, κατά Περιφέρεια και Περιφερειακή Ενότητα, 2014</t>
  </si>
  <si>
    <t>Table 2c. Fodder seeds. Areas and production, by Region and Regional Unities, 2014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</si>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</sst>
</file>

<file path=xl/styles.xml><?xml version="1.0" encoding="utf-8"?>
<styleSheet xmlns="http://schemas.openxmlformats.org/spreadsheetml/2006/main">
  <fonts count="14">
    <font>
      <sz val="10"/>
      <name val="Arial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11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b/>
      <sz val="9"/>
      <name val="Arial"/>
      <family val="2"/>
      <charset val="161"/>
    </font>
    <font>
      <sz val="8"/>
      <color theme="1"/>
      <name val="Arial"/>
      <family val="2"/>
      <charset val="161"/>
    </font>
    <font>
      <sz val="9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1" xfId="0" applyNumberFormat="1" applyFont="1" applyFill="1" applyBorder="1" applyAlignment="1" applyProtection="1">
      <alignment horizontal="centerContinuous"/>
      <protection locked="0"/>
    </xf>
    <xf numFmtId="0" fontId="2" fillId="0" borderId="0" xfId="0" applyFont="1" applyBorder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3" fillId="0" borderId="2" xfId="0" applyNumberFormat="1" applyFont="1" applyFill="1" applyBorder="1" applyAlignment="1" applyProtection="1">
      <alignment horizontal="centerContinuous" vertical="center" wrapText="1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1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3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3" fontId="6" fillId="0" borderId="6" xfId="0" applyNumberFormat="1" applyFont="1" applyBorder="1" applyAlignment="1" applyProtection="1">
      <alignment horizontal="right" vertical="center"/>
    </xf>
    <xf numFmtId="3" fontId="6" fillId="0" borderId="7" xfId="0" applyNumberFormat="1" applyFont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Continuous"/>
      <protection locked="0"/>
    </xf>
    <xf numFmtId="3" fontId="6" fillId="0" borderId="7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0" fontId="9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Continuous" vertical="center" wrapText="1"/>
      <protection locked="0"/>
    </xf>
    <xf numFmtId="3" fontId="6" fillId="0" borderId="11" xfId="0" applyNumberFormat="1" applyFont="1" applyBorder="1" applyAlignment="1" applyProtection="1">
      <alignment horizontal="right" vertical="center"/>
    </xf>
    <xf numFmtId="3" fontId="6" fillId="0" borderId="13" xfId="0" applyNumberFormat="1" applyFont="1" applyBorder="1" applyAlignment="1" applyProtection="1">
      <alignment horizontal="right" vertical="center"/>
    </xf>
    <xf numFmtId="3" fontId="2" fillId="0" borderId="13" xfId="0" applyNumberFormat="1" applyFont="1" applyBorder="1" applyAlignment="1" applyProtection="1">
      <alignment horizontal="right" vertical="center"/>
      <protection locked="0"/>
    </xf>
    <xf numFmtId="3" fontId="6" fillId="0" borderId="13" xfId="0" applyNumberFormat="1" applyFont="1" applyBorder="1" applyAlignment="1" applyProtection="1">
      <alignment horizontal="right" vertical="center"/>
      <protection locked="0"/>
    </xf>
    <xf numFmtId="3" fontId="10" fillId="0" borderId="7" xfId="0" applyNumberFormat="1" applyFont="1" applyBorder="1" applyAlignment="1">
      <alignment horizontal="right" vertical="top" wrapText="1"/>
    </xf>
    <xf numFmtId="0" fontId="10" fillId="0" borderId="7" xfId="0" applyFont="1" applyBorder="1" applyAlignment="1">
      <alignment horizontal="right" vertical="top" wrapText="1"/>
    </xf>
    <xf numFmtId="3" fontId="10" fillId="0" borderId="7" xfId="0" applyNumberFormat="1" applyFont="1" applyFill="1" applyBorder="1" applyAlignment="1">
      <alignment horizontal="right" vertical="top" wrapText="1"/>
    </xf>
    <xf numFmtId="3" fontId="10" fillId="0" borderId="0" xfId="0" applyNumberFormat="1" applyFont="1" applyFill="1" applyBorder="1" applyAlignment="1">
      <alignment horizontal="right" vertical="top" wrapText="1"/>
    </xf>
    <xf numFmtId="0" fontId="10" fillId="0" borderId="7" xfId="0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right" vertical="top" wrapText="1"/>
    </xf>
    <xf numFmtId="0" fontId="3" fillId="0" borderId="20" xfId="0" applyNumberFormat="1" applyFont="1" applyFill="1" applyBorder="1" applyAlignment="1" applyProtection="1">
      <alignment horizontal="centerContinuous" vertical="center" wrapText="1"/>
      <protection locked="0"/>
    </xf>
    <xf numFmtId="49" fontId="6" fillId="0" borderId="21" xfId="0" applyNumberFormat="1" applyFont="1" applyBorder="1" applyAlignment="1" applyProtection="1">
      <alignment horizontal="left" vertical="center"/>
      <protection locked="0"/>
    </xf>
    <xf numFmtId="49" fontId="6" fillId="0" borderId="22" xfId="0" applyNumberFormat="1" applyFont="1" applyBorder="1" applyAlignment="1" applyProtection="1">
      <alignment horizontal="left" vertical="center" wrapText="1"/>
      <protection locked="0"/>
    </xf>
    <xf numFmtId="3" fontId="2" fillId="0" borderId="24" xfId="0" applyNumberFormat="1" applyFont="1" applyBorder="1" applyAlignment="1" applyProtection="1">
      <alignment horizontal="right" vertical="center"/>
      <protection locked="0"/>
    </xf>
    <xf numFmtId="3" fontId="10" fillId="0" borderId="15" xfId="0" applyNumberFormat="1" applyFont="1" applyBorder="1" applyAlignment="1">
      <alignment horizontal="right" vertical="top" wrapText="1"/>
    </xf>
    <xf numFmtId="0" fontId="10" fillId="0" borderId="15" xfId="0" applyFont="1" applyBorder="1" applyAlignment="1">
      <alignment horizontal="right" vertical="top" wrapText="1"/>
    </xf>
    <xf numFmtId="0" fontId="6" fillId="0" borderId="0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3" fontId="2" fillId="0" borderId="0" xfId="0" applyNumberFormat="1" applyFont="1" applyBorder="1" applyAlignment="1" applyProtection="1">
      <protection locked="0"/>
    </xf>
    <xf numFmtId="0" fontId="9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11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3" fontId="6" fillId="0" borderId="6" xfId="0" applyNumberFormat="1" applyFont="1" applyFill="1" applyBorder="1" applyAlignment="1" applyProtection="1">
      <alignment horizontal="right" vertical="center"/>
    </xf>
    <xf numFmtId="3" fontId="6" fillId="0" borderId="7" xfId="0" applyNumberFormat="1" applyFont="1" applyFill="1" applyBorder="1" applyAlignment="1" applyProtection="1">
      <alignment horizontal="right" vertical="center"/>
    </xf>
    <xf numFmtId="3" fontId="6" fillId="0" borderId="7" xfId="0" applyNumberFormat="1" applyFont="1" applyFill="1" applyBorder="1" applyAlignment="1" applyProtection="1">
      <alignment horizontal="right" vertical="center"/>
      <protection locked="0"/>
    </xf>
    <xf numFmtId="3" fontId="10" fillId="0" borderId="1" xfId="0" applyNumberFormat="1" applyFont="1" applyFill="1" applyBorder="1" applyAlignment="1">
      <alignment horizontal="right" vertical="top" wrapText="1"/>
    </xf>
    <xf numFmtId="0" fontId="2" fillId="0" borderId="0" xfId="0" applyFont="1" applyFill="1" applyProtection="1">
      <protection locked="0"/>
    </xf>
    <xf numFmtId="0" fontId="10" fillId="0" borderId="1" xfId="0" applyFont="1" applyFill="1" applyBorder="1" applyAlignment="1">
      <alignment horizontal="right" vertical="top" wrapText="1"/>
    </xf>
    <xf numFmtId="0" fontId="2" fillId="0" borderId="0" xfId="0" applyFont="1" applyFill="1" applyBorder="1" applyAlignment="1" applyProtection="1">
      <alignment horizontal="left"/>
      <protection locked="0"/>
    </xf>
    <xf numFmtId="0" fontId="5" fillId="0" borderId="10" xfId="0" applyFont="1" applyFill="1" applyBorder="1" applyAlignment="1" applyProtection="1">
      <alignment horizontal="center"/>
      <protection locked="0"/>
    </xf>
    <xf numFmtId="3" fontId="6" fillId="0" borderId="12" xfId="0" applyNumberFormat="1" applyFont="1" applyFill="1" applyBorder="1" applyAlignment="1" applyProtection="1">
      <alignment horizontal="right" vertical="center"/>
    </xf>
    <xf numFmtId="3" fontId="6" fillId="0" borderId="14" xfId="0" applyNumberFormat="1" applyFont="1" applyFill="1" applyBorder="1" applyAlignment="1" applyProtection="1">
      <alignment horizontal="right" vertical="center"/>
    </xf>
    <xf numFmtId="3" fontId="10" fillId="0" borderId="14" xfId="0" applyNumberFormat="1" applyFont="1" applyFill="1" applyBorder="1" applyAlignment="1">
      <alignment horizontal="right" vertical="top" wrapText="1"/>
    </xf>
    <xf numFmtId="3" fontId="6" fillId="0" borderId="14" xfId="0" applyNumberFormat="1" applyFont="1" applyFill="1" applyBorder="1" applyAlignment="1" applyProtection="1">
      <alignment horizontal="right" vertical="center"/>
      <protection locked="0"/>
    </xf>
    <xf numFmtId="3" fontId="10" fillId="0" borderId="25" xfId="0" applyNumberFormat="1" applyFont="1" applyFill="1" applyBorder="1" applyAlignment="1">
      <alignment horizontal="right" vertical="top" wrapText="1"/>
    </xf>
    <xf numFmtId="49" fontId="2" fillId="0" borderId="22" xfId="0" applyNumberFormat="1" applyFont="1" applyBorder="1" applyAlignment="1" applyProtection="1">
      <alignment horizontal="left" wrapText="1" indent="1"/>
      <protection locked="0"/>
    </xf>
    <xf numFmtId="49" fontId="10" fillId="0" borderId="22" xfId="0" applyNumberFormat="1" applyFont="1" applyBorder="1" applyAlignment="1" applyProtection="1">
      <alignment horizontal="left" indent="1"/>
      <protection locked="0"/>
    </xf>
    <xf numFmtId="49" fontId="10" fillId="0" borderId="22" xfId="0" applyNumberFormat="1" applyFont="1" applyBorder="1" applyAlignment="1" applyProtection="1">
      <alignment horizontal="left" wrapText="1" indent="1"/>
      <protection locked="0"/>
    </xf>
    <xf numFmtId="49" fontId="2" fillId="0" borderId="22" xfId="0" applyNumberFormat="1" applyFont="1" applyBorder="1" applyAlignment="1" applyProtection="1">
      <alignment horizontal="left" indent="1"/>
      <protection locked="0"/>
    </xf>
    <xf numFmtId="49" fontId="2" fillId="0" borderId="23" xfId="0" applyNumberFormat="1" applyFont="1" applyBorder="1" applyAlignment="1" applyProtection="1">
      <alignment horizontal="left" wrapText="1" inden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left" wrapText="1" inden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Protection="1"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NumberFormat="1" applyFont="1" applyFill="1" applyBorder="1" applyAlignment="1" applyProtection="1">
      <alignment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114"/>
  <sheetViews>
    <sheetView showGridLines="0" tabSelected="1" zoomScale="115" workbookViewId="0">
      <selection activeCell="L5" sqref="L5"/>
    </sheetView>
  </sheetViews>
  <sheetFormatPr defaultRowHeight="10.199999999999999"/>
  <cols>
    <col min="1" max="1" width="33.44140625" style="3" customWidth="1"/>
    <col min="2" max="2" width="10.5546875" style="3" customWidth="1"/>
    <col min="3" max="3" width="7.33203125" style="3" customWidth="1"/>
    <col min="4" max="4" width="9.109375" style="62" customWidth="1"/>
    <col min="5" max="5" width="8" style="3" customWidth="1"/>
    <col min="6" max="6" width="7.77734375" style="62" customWidth="1"/>
    <col min="7" max="7" width="7.6640625" style="3" customWidth="1"/>
    <col min="8" max="8" width="8.6640625" style="62" customWidth="1"/>
    <col min="9" max="9" width="7.44140625" style="3" customWidth="1"/>
    <col min="10" max="10" width="7.44140625" style="62" customWidth="1"/>
    <col min="11" max="11" width="6.44140625" style="3" customWidth="1"/>
    <col min="12" max="12" width="8" style="62" customWidth="1"/>
    <col min="13" max="13" width="8" style="3" customWidth="1"/>
    <col min="14" max="14" width="7.6640625" style="62" customWidth="1"/>
    <col min="15" max="15" width="30.88671875" style="3" customWidth="1"/>
    <col min="16" max="16" width="7.6640625" style="3" customWidth="1"/>
    <col min="17" max="19" width="6.44140625" style="3" customWidth="1"/>
    <col min="20" max="20" width="6.109375" style="3" customWidth="1"/>
    <col min="21" max="21" width="7.33203125" style="3" customWidth="1"/>
    <col min="22" max="22" width="6.44140625" style="3" customWidth="1"/>
    <col min="23" max="16384" width="8.88671875" style="3"/>
  </cols>
  <sheetData>
    <row r="2" spans="1:21" s="82" customFormat="1" ht="18.600000000000001" customHeight="1">
      <c r="B2" s="83" t="s">
        <v>115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4"/>
      <c r="P2" s="85"/>
      <c r="Q2" s="85"/>
      <c r="R2" s="84"/>
      <c r="S2" s="84"/>
      <c r="T2" s="84"/>
      <c r="U2" s="84"/>
    </row>
    <row r="3" spans="1:21" s="82" customFormat="1" ht="13.2">
      <c r="A3" s="86"/>
      <c r="B3" s="83" t="s">
        <v>116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6"/>
      <c r="P3" s="85"/>
      <c r="Q3" s="85"/>
      <c r="R3" s="84"/>
      <c r="S3" s="84"/>
      <c r="T3" s="84"/>
      <c r="U3" s="84"/>
    </row>
    <row r="4" spans="1:21" s="56" customFormat="1" ht="1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55"/>
      <c r="Q4" s="55"/>
      <c r="R4" s="57"/>
      <c r="S4" s="57"/>
      <c r="T4" s="57"/>
      <c r="U4" s="57"/>
    </row>
    <row r="5" spans="1:21" ht="15" customHeight="1" thickBot="1">
      <c r="A5" s="4" t="s">
        <v>0</v>
      </c>
      <c r="B5" s="4"/>
      <c r="C5" s="4"/>
      <c r="D5" s="4"/>
      <c r="E5" s="4"/>
      <c r="F5" s="4"/>
      <c r="G5" s="5"/>
      <c r="H5" s="5"/>
      <c r="I5" s="5"/>
      <c r="J5" s="5"/>
      <c r="K5" s="5"/>
      <c r="L5" s="5"/>
      <c r="N5" s="6" t="s">
        <v>1</v>
      </c>
      <c r="O5" s="6"/>
      <c r="P5" s="28"/>
      <c r="Q5" s="28"/>
      <c r="R5" s="7"/>
      <c r="S5" s="8"/>
      <c r="T5" s="8"/>
      <c r="U5" s="8"/>
    </row>
    <row r="6" spans="1:21" ht="63" customHeight="1">
      <c r="A6" s="77" t="s">
        <v>2</v>
      </c>
      <c r="B6" s="34" t="s">
        <v>3</v>
      </c>
      <c r="C6" s="79" t="s">
        <v>108</v>
      </c>
      <c r="D6" s="81"/>
      <c r="E6" s="79" t="s">
        <v>109</v>
      </c>
      <c r="F6" s="81"/>
      <c r="G6" s="79" t="s">
        <v>110</v>
      </c>
      <c r="H6" s="81"/>
      <c r="I6" s="79" t="s">
        <v>111</v>
      </c>
      <c r="J6" s="81"/>
      <c r="K6" s="79" t="s">
        <v>112</v>
      </c>
      <c r="L6" s="81"/>
      <c r="M6" s="79" t="s">
        <v>113</v>
      </c>
      <c r="N6" s="80"/>
      <c r="O6" s="33" t="s">
        <v>4</v>
      </c>
      <c r="P6" s="23"/>
      <c r="Q6" s="23"/>
    </row>
    <row r="7" spans="1:21">
      <c r="A7" s="46"/>
      <c r="B7" s="35"/>
      <c r="C7" s="25">
        <v>1</v>
      </c>
      <c r="D7" s="25">
        <v>2</v>
      </c>
      <c r="E7" s="25">
        <v>1</v>
      </c>
      <c r="F7" s="25">
        <v>2</v>
      </c>
      <c r="G7" s="25">
        <v>1</v>
      </c>
      <c r="H7" s="25">
        <v>2</v>
      </c>
      <c r="I7" s="25">
        <v>1</v>
      </c>
      <c r="J7" s="25">
        <v>2</v>
      </c>
      <c r="K7" s="10">
        <v>1</v>
      </c>
      <c r="L7" s="25">
        <v>2</v>
      </c>
      <c r="M7" s="10">
        <v>1</v>
      </c>
      <c r="N7" s="65">
        <v>2</v>
      </c>
      <c r="O7" s="9"/>
      <c r="P7" s="23"/>
      <c r="Q7" s="23"/>
    </row>
    <row r="8" spans="1:21" ht="17.399999999999999" customHeight="1">
      <c r="A8" s="47" t="s">
        <v>5</v>
      </c>
      <c r="B8" s="36">
        <f>SUM(B9,B16,B24,B29,B34,B40,B46,B52,B56,B62,B71,B77,B91)</f>
        <v>190721</v>
      </c>
      <c r="C8" s="26">
        <f t="shared" ref="C8:N8" si="0">SUM(C9,C16,C24,C29,C34,C40,C46,C52,C56,C62,C71,C77,C91)</f>
        <v>75612</v>
      </c>
      <c r="D8" s="58">
        <f t="shared" si="0"/>
        <v>14645.165000000003</v>
      </c>
      <c r="E8" s="26">
        <f t="shared" si="0"/>
        <v>456</v>
      </c>
      <c r="F8" s="58">
        <f t="shared" si="0"/>
        <v>84.58</v>
      </c>
      <c r="G8" s="26">
        <f t="shared" si="0"/>
        <v>7382</v>
      </c>
      <c r="H8" s="58">
        <f t="shared" si="0"/>
        <v>1503.91</v>
      </c>
      <c r="I8" s="26">
        <f t="shared" si="0"/>
        <v>1053</v>
      </c>
      <c r="J8" s="58">
        <f t="shared" si="0"/>
        <v>183.25</v>
      </c>
      <c r="K8" s="26">
        <f t="shared" si="0"/>
        <v>12318</v>
      </c>
      <c r="L8" s="58">
        <f t="shared" si="0"/>
        <v>1229.385</v>
      </c>
      <c r="M8" s="26">
        <f t="shared" si="0"/>
        <v>93900</v>
      </c>
      <c r="N8" s="66">
        <f t="shared" si="0"/>
        <v>20558.794999999998</v>
      </c>
      <c r="O8" s="11" t="s">
        <v>6</v>
      </c>
      <c r="P8" s="2"/>
      <c r="Q8" s="2"/>
      <c r="R8" s="12"/>
    </row>
    <row r="9" spans="1:21" ht="16.8" customHeight="1">
      <c r="A9" s="48" t="s">
        <v>7</v>
      </c>
      <c r="B9" s="37">
        <f>SUM(B10:B15)</f>
        <v>13549</v>
      </c>
      <c r="C9" s="27">
        <f>SUM(C10:C15)</f>
        <v>3683</v>
      </c>
      <c r="D9" s="59">
        <f t="shared" ref="D9:N9" si="1">SUM(D10:D15)</f>
        <v>1405.4199999999998</v>
      </c>
      <c r="E9" s="27">
        <f t="shared" si="1"/>
        <v>0</v>
      </c>
      <c r="F9" s="59">
        <f t="shared" si="1"/>
        <v>0</v>
      </c>
      <c r="G9" s="27">
        <f t="shared" si="1"/>
        <v>2</v>
      </c>
      <c r="H9" s="59">
        <f t="shared" si="1"/>
        <v>0.5</v>
      </c>
      <c r="I9" s="27">
        <f t="shared" si="1"/>
        <v>0</v>
      </c>
      <c r="J9" s="59">
        <f t="shared" si="1"/>
        <v>0</v>
      </c>
      <c r="K9" s="27">
        <f t="shared" si="1"/>
        <v>34</v>
      </c>
      <c r="L9" s="59">
        <f t="shared" si="1"/>
        <v>3.75</v>
      </c>
      <c r="M9" s="27">
        <f t="shared" si="1"/>
        <v>9830</v>
      </c>
      <c r="N9" s="67">
        <f t="shared" si="1"/>
        <v>3711.67</v>
      </c>
      <c r="O9" s="1" t="s">
        <v>8</v>
      </c>
      <c r="P9" s="1"/>
      <c r="Q9" s="1"/>
      <c r="R9" s="2"/>
    </row>
    <row r="10" spans="1:21" ht="11.4" customHeight="1">
      <c r="A10" s="71" t="s">
        <v>117</v>
      </c>
      <c r="B10" s="38">
        <f>SUM(C10,E10,G10,I10,K10,M10)</f>
        <v>1069</v>
      </c>
      <c r="C10" s="40">
        <v>669</v>
      </c>
      <c r="D10" s="43">
        <v>109.85</v>
      </c>
      <c r="E10" s="41" t="s">
        <v>9</v>
      </c>
      <c r="F10" s="45" t="s">
        <v>9</v>
      </c>
      <c r="G10" s="41" t="s">
        <v>9</v>
      </c>
      <c r="H10" s="45" t="s">
        <v>9</v>
      </c>
      <c r="I10" s="41" t="s">
        <v>9</v>
      </c>
      <c r="J10" s="45" t="s">
        <v>9</v>
      </c>
      <c r="K10" s="41" t="s">
        <v>9</v>
      </c>
      <c r="L10" s="45" t="s">
        <v>9</v>
      </c>
      <c r="M10" s="40">
        <v>400</v>
      </c>
      <c r="N10" s="68">
        <v>72.45</v>
      </c>
      <c r="O10" s="24" t="s">
        <v>10</v>
      </c>
      <c r="P10" s="19"/>
      <c r="Q10" s="12"/>
      <c r="R10" s="12"/>
    </row>
    <row r="11" spans="1:21">
      <c r="A11" s="71" t="s">
        <v>118</v>
      </c>
      <c r="B11" s="38">
        <f>SUM(C11,E11,G11,I11,K11,M11)</f>
        <v>2916</v>
      </c>
      <c r="C11" s="40">
        <v>612</v>
      </c>
      <c r="D11" s="43">
        <v>147.56</v>
      </c>
      <c r="E11" s="41" t="s">
        <v>9</v>
      </c>
      <c r="F11" s="45" t="s">
        <v>9</v>
      </c>
      <c r="G11" s="41" t="s">
        <v>9</v>
      </c>
      <c r="H11" s="45" t="s">
        <v>9</v>
      </c>
      <c r="I11" s="41" t="s">
        <v>9</v>
      </c>
      <c r="J11" s="45" t="s">
        <v>9</v>
      </c>
      <c r="K11" s="41" t="s">
        <v>9</v>
      </c>
      <c r="L11" s="45" t="s">
        <v>9</v>
      </c>
      <c r="M11" s="40">
        <v>2304</v>
      </c>
      <c r="N11" s="68">
        <v>466.334</v>
      </c>
      <c r="O11" s="24" t="s">
        <v>11</v>
      </c>
      <c r="P11" s="19"/>
      <c r="Q11" s="12"/>
      <c r="R11" s="12"/>
    </row>
    <row r="12" spans="1:21">
      <c r="A12" s="71" t="s">
        <v>119</v>
      </c>
      <c r="B12" s="38">
        <f t="shared" ref="B12:B15" si="2">SUM(C12,E12,G12,I12,K12,M12)</f>
        <v>5541</v>
      </c>
      <c r="C12" s="40">
        <v>1767</v>
      </c>
      <c r="D12" s="43">
        <v>648.48</v>
      </c>
      <c r="E12" s="41" t="s">
        <v>9</v>
      </c>
      <c r="F12" s="45" t="s">
        <v>9</v>
      </c>
      <c r="G12" s="40">
        <v>2</v>
      </c>
      <c r="H12" s="43">
        <v>0.5</v>
      </c>
      <c r="I12" s="41" t="s">
        <v>9</v>
      </c>
      <c r="J12" s="45" t="s">
        <v>9</v>
      </c>
      <c r="K12" s="40">
        <v>27</v>
      </c>
      <c r="L12" s="43">
        <v>2</v>
      </c>
      <c r="M12" s="40">
        <v>3745</v>
      </c>
      <c r="N12" s="68">
        <v>1052.5550000000001</v>
      </c>
      <c r="O12" s="24" t="s">
        <v>12</v>
      </c>
      <c r="P12" s="19"/>
      <c r="Q12" s="12"/>
      <c r="R12" s="12"/>
      <c r="T12" s="13"/>
    </row>
    <row r="13" spans="1:21">
      <c r="A13" s="71" t="s">
        <v>120</v>
      </c>
      <c r="B13" s="38">
        <f t="shared" si="2"/>
        <v>0</v>
      </c>
      <c r="C13" s="41" t="s">
        <v>9</v>
      </c>
      <c r="D13" s="45" t="s">
        <v>9</v>
      </c>
      <c r="E13" s="41" t="s">
        <v>9</v>
      </c>
      <c r="F13" s="45" t="s">
        <v>9</v>
      </c>
      <c r="G13" s="41" t="s">
        <v>9</v>
      </c>
      <c r="H13" s="45" t="s">
        <v>9</v>
      </c>
      <c r="I13" s="41" t="s">
        <v>9</v>
      </c>
      <c r="J13" s="45" t="s">
        <v>9</v>
      </c>
      <c r="K13" s="41" t="s">
        <v>9</v>
      </c>
      <c r="L13" s="45" t="s">
        <v>9</v>
      </c>
      <c r="M13" s="40" t="s">
        <v>9</v>
      </c>
      <c r="N13" s="68" t="s">
        <v>9</v>
      </c>
      <c r="O13" s="24" t="s">
        <v>13</v>
      </c>
      <c r="P13" s="19"/>
      <c r="Q13" s="12"/>
      <c r="R13" s="12"/>
    </row>
    <row r="14" spans="1:21">
      <c r="A14" s="71" t="s">
        <v>121</v>
      </c>
      <c r="B14" s="38">
        <f t="shared" si="2"/>
        <v>3074</v>
      </c>
      <c r="C14" s="40">
        <v>518</v>
      </c>
      <c r="D14" s="43">
        <v>462.93</v>
      </c>
      <c r="E14" s="41" t="s">
        <v>9</v>
      </c>
      <c r="F14" s="45" t="s">
        <v>9</v>
      </c>
      <c r="G14" s="41" t="s">
        <v>9</v>
      </c>
      <c r="H14" s="45" t="s">
        <v>9</v>
      </c>
      <c r="I14" s="41" t="s">
        <v>9</v>
      </c>
      <c r="J14" s="45" t="s">
        <v>9</v>
      </c>
      <c r="K14" s="40">
        <v>7</v>
      </c>
      <c r="L14" s="43">
        <v>1.75</v>
      </c>
      <c r="M14" s="40">
        <v>2549</v>
      </c>
      <c r="N14" s="68">
        <v>1800.6489999999999</v>
      </c>
      <c r="O14" s="24" t="s">
        <v>14</v>
      </c>
      <c r="P14" s="54"/>
      <c r="Q14" s="12"/>
      <c r="R14" s="12"/>
    </row>
    <row r="15" spans="1:21">
      <c r="A15" s="71" t="s">
        <v>122</v>
      </c>
      <c r="B15" s="38">
        <f t="shared" si="2"/>
        <v>949</v>
      </c>
      <c r="C15" s="40">
        <v>117</v>
      </c>
      <c r="D15" s="43">
        <v>36.6</v>
      </c>
      <c r="E15" s="41" t="s">
        <v>9</v>
      </c>
      <c r="F15" s="45" t="s">
        <v>9</v>
      </c>
      <c r="G15" s="41" t="s">
        <v>9</v>
      </c>
      <c r="H15" s="45" t="s">
        <v>9</v>
      </c>
      <c r="I15" s="41" t="s">
        <v>9</v>
      </c>
      <c r="J15" s="45" t="s">
        <v>9</v>
      </c>
      <c r="K15" s="41" t="s">
        <v>9</v>
      </c>
      <c r="L15" s="45" t="s">
        <v>9</v>
      </c>
      <c r="M15" s="40">
        <v>832</v>
      </c>
      <c r="N15" s="68">
        <v>319.68200000000002</v>
      </c>
      <c r="O15" s="24" t="s">
        <v>15</v>
      </c>
      <c r="P15" s="54"/>
      <c r="Q15" s="12"/>
      <c r="R15" s="12"/>
    </row>
    <row r="16" spans="1:21" s="31" customFormat="1" ht="19.2" customHeight="1">
      <c r="A16" s="48" t="s">
        <v>16</v>
      </c>
      <c r="B16" s="39">
        <f>SUM(B17:B23)</f>
        <v>82621</v>
      </c>
      <c r="C16" s="29">
        <f t="shared" ref="C16:M16" si="3">SUM(C17:C23)</f>
        <v>32067</v>
      </c>
      <c r="D16" s="60">
        <f t="shared" si="3"/>
        <v>5762.5230000000001</v>
      </c>
      <c r="E16" s="29">
        <f t="shared" si="3"/>
        <v>97</v>
      </c>
      <c r="F16" s="60">
        <f t="shared" si="3"/>
        <v>11.37</v>
      </c>
      <c r="G16" s="29">
        <f>SUM(G17:G23)</f>
        <v>5882</v>
      </c>
      <c r="H16" s="60">
        <f t="shared" si="3"/>
        <v>1140.3400000000001</v>
      </c>
      <c r="I16" s="29">
        <f t="shared" si="3"/>
        <v>0</v>
      </c>
      <c r="J16" s="60">
        <f t="shared" si="3"/>
        <v>0</v>
      </c>
      <c r="K16" s="29">
        <f t="shared" si="3"/>
        <v>987</v>
      </c>
      <c r="L16" s="60">
        <f t="shared" si="3"/>
        <v>478.86</v>
      </c>
      <c r="M16" s="29">
        <f t="shared" si="3"/>
        <v>43588</v>
      </c>
      <c r="N16" s="69">
        <f>SUM(N17:N23)</f>
        <v>7011.5519999999997</v>
      </c>
      <c r="O16" s="14" t="s">
        <v>17</v>
      </c>
      <c r="P16" s="32"/>
      <c r="Q16" s="14"/>
      <c r="R16" s="30"/>
    </row>
    <row r="17" spans="1:18">
      <c r="A17" s="71" t="s">
        <v>123</v>
      </c>
      <c r="B17" s="38">
        <f t="shared" ref="B17:B23" si="4">SUM(C17,E17,G17,I17,K17,M17)</f>
        <v>28285</v>
      </c>
      <c r="C17" s="40">
        <v>6777</v>
      </c>
      <c r="D17" s="43">
        <v>1180.0129999999999</v>
      </c>
      <c r="E17" s="40">
        <v>7</v>
      </c>
      <c r="F17" s="43">
        <v>1.3</v>
      </c>
      <c r="G17" s="40">
        <v>4531</v>
      </c>
      <c r="H17" s="43">
        <v>883.74</v>
      </c>
      <c r="I17" s="41" t="s">
        <v>9</v>
      </c>
      <c r="J17" s="45" t="s">
        <v>9</v>
      </c>
      <c r="K17" s="40">
        <v>27</v>
      </c>
      <c r="L17" s="43">
        <v>4</v>
      </c>
      <c r="M17" s="40">
        <v>16943</v>
      </c>
      <c r="N17" s="68">
        <v>2603.5619999999999</v>
      </c>
      <c r="O17" s="24" t="s">
        <v>18</v>
      </c>
      <c r="P17" s="19"/>
      <c r="Q17" s="12"/>
      <c r="R17" s="12"/>
    </row>
    <row r="18" spans="1:18">
      <c r="A18" s="71" t="s">
        <v>124</v>
      </c>
      <c r="B18" s="38">
        <f t="shared" si="4"/>
        <v>979</v>
      </c>
      <c r="C18" s="40">
        <v>756</v>
      </c>
      <c r="D18" s="43">
        <v>193.5</v>
      </c>
      <c r="E18" s="41" t="s">
        <v>9</v>
      </c>
      <c r="F18" s="45" t="s">
        <v>9</v>
      </c>
      <c r="G18" s="41" t="s">
        <v>9</v>
      </c>
      <c r="H18" s="45" t="s">
        <v>9</v>
      </c>
      <c r="I18" s="41" t="s">
        <v>9</v>
      </c>
      <c r="J18" s="45" t="s">
        <v>9</v>
      </c>
      <c r="K18" s="40">
        <v>122</v>
      </c>
      <c r="L18" s="43">
        <v>237</v>
      </c>
      <c r="M18" s="40">
        <v>101</v>
      </c>
      <c r="N18" s="68">
        <v>67.450999999999993</v>
      </c>
      <c r="O18" s="24" t="s">
        <v>19</v>
      </c>
      <c r="P18" s="19"/>
      <c r="Q18" s="12"/>
      <c r="R18" s="12"/>
    </row>
    <row r="19" spans="1:18">
      <c r="A19" s="71" t="s">
        <v>125</v>
      </c>
      <c r="B19" s="38">
        <f t="shared" si="4"/>
        <v>23896</v>
      </c>
      <c r="C19" s="40">
        <v>5111</v>
      </c>
      <c r="D19" s="43">
        <v>736.88</v>
      </c>
      <c r="E19" s="41" t="s">
        <v>9</v>
      </c>
      <c r="F19" s="45" t="s">
        <v>9</v>
      </c>
      <c r="G19" s="40">
        <v>1329</v>
      </c>
      <c r="H19" s="43">
        <v>252.5</v>
      </c>
      <c r="I19" s="41" t="s">
        <v>9</v>
      </c>
      <c r="J19" s="45" t="s">
        <v>9</v>
      </c>
      <c r="K19" s="41" t="s">
        <v>9</v>
      </c>
      <c r="L19" s="45" t="s">
        <v>9</v>
      </c>
      <c r="M19" s="40">
        <v>17456</v>
      </c>
      <c r="N19" s="68">
        <v>2431.4209999999998</v>
      </c>
      <c r="O19" s="24" t="s">
        <v>20</v>
      </c>
      <c r="P19" s="54"/>
      <c r="Q19" s="12"/>
      <c r="R19" s="12"/>
    </row>
    <row r="20" spans="1:18">
      <c r="A20" s="71" t="s">
        <v>126</v>
      </c>
      <c r="B20" s="38">
        <f t="shared" si="4"/>
        <v>2315</v>
      </c>
      <c r="C20" s="40">
        <v>1268</v>
      </c>
      <c r="D20" s="43">
        <v>294.38</v>
      </c>
      <c r="E20" s="41" t="s">
        <v>9</v>
      </c>
      <c r="F20" s="45" t="s">
        <v>9</v>
      </c>
      <c r="G20" s="41" t="s">
        <v>9</v>
      </c>
      <c r="H20" s="45" t="s">
        <v>9</v>
      </c>
      <c r="I20" s="41" t="s">
        <v>9</v>
      </c>
      <c r="J20" s="45" t="s">
        <v>9</v>
      </c>
      <c r="K20" s="41" t="s">
        <v>9</v>
      </c>
      <c r="L20" s="45" t="s">
        <v>9</v>
      </c>
      <c r="M20" s="40">
        <v>1047</v>
      </c>
      <c r="N20" s="68">
        <v>342.16699999999997</v>
      </c>
      <c r="O20" s="24" t="s">
        <v>21</v>
      </c>
      <c r="P20" s="19"/>
      <c r="Q20" s="12"/>
      <c r="R20" s="12"/>
    </row>
    <row r="21" spans="1:18">
      <c r="A21" s="71" t="s">
        <v>127</v>
      </c>
      <c r="B21" s="38">
        <f t="shared" si="4"/>
        <v>1748</v>
      </c>
      <c r="C21" s="41" t="s">
        <v>9</v>
      </c>
      <c r="D21" s="45" t="s">
        <v>9</v>
      </c>
      <c r="E21" s="40">
        <v>3</v>
      </c>
      <c r="F21" s="43">
        <v>0.27</v>
      </c>
      <c r="G21" s="40">
        <v>4</v>
      </c>
      <c r="H21" s="43">
        <v>1.4</v>
      </c>
      <c r="I21" s="41" t="s">
        <v>9</v>
      </c>
      <c r="J21" s="45" t="s">
        <v>9</v>
      </c>
      <c r="K21" s="41" t="s">
        <v>9</v>
      </c>
      <c r="L21" s="45" t="s">
        <v>9</v>
      </c>
      <c r="M21" s="40">
        <v>1741</v>
      </c>
      <c r="N21" s="68">
        <v>355.81099999999998</v>
      </c>
      <c r="O21" s="24" t="s">
        <v>22</v>
      </c>
      <c r="P21" s="19"/>
      <c r="Q21" s="12"/>
      <c r="R21" s="12"/>
    </row>
    <row r="22" spans="1:18">
      <c r="A22" s="71" t="s">
        <v>128</v>
      </c>
      <c r="B22" s="38">
        <f t="shared" si="4"/>
        <v>3843</v>
      </c>
      <c r="C22" s="40">
        <v>2004</v>
      </c>
      <c r="D22" s="43">
        <v>501</v>
      </c>
      <c r="E22" s="40">
        <v>8</v>
      </c>
      <c r="F22" s="43">
        <v>1.2</v>
      </c>
      <c r="G22" s="41" t="s">
        <v>9</v>
      </c>
      <c r="H22" s="45" t="s">
        <v>9</v>
      </c>
      <c r="I22" s="41" t="s">
        <v>9</v>
      </c>
      <c r="J22" s="45" t="s">
        <v>9</v>
      </c>
      <c r="K22" s="40">
        <v>838</v>
      </c>
      <c r="L22" s="43">
        <v>237.86</v>
      </c>
      <c r="M22" s="40">
        <v>993</v>
      </c>
      <c r="N22" s="68">
        <v>365.363</v>
      </c>
      <c r="O22" s="24" t="s">
        <v>23</v>
      </c>
      <c r="P22" s="19"/>
      <c r="Q22" s="12"/>
      <c r="R22" s="12"/>
    </row>
    <row r="23" spans="1:18">
      <c r="A23" s="71" t="s">
        <v>129</v>
      </c>
      <c r="B23" s="38">
        <f t="shared" si="4"/>
        <v>21555</v>
      </c>
      <c r="C23" s="40">
        <v>16151</v>
      </c>
      <c r="D23" s="43">
        <v>2856.75</v>
      </c>
      <c r="E23" s="40">
        <v>79</v>
      </c>
      <c r="F23" s="43">
        <v>8.6</v>
      </c>
      <c r="G23" s="40">
        <v>18</v>
      </c>
      <c r="H23" s="43">
        <v>2.7</v>
      </c>
      <c r="I23" s="41" t="s">
        <v>9</v>
      </c>
      <c r="J23" s="45" t="s">
        <v>9</v>
      </c>
      <c r="K23" s="41" t="s">
        <v>9</v>
      </c>
      <c r="L23" s="45" t="s">
        <v>9</v>
      </c>
      <c r="M23" s="40">
        <v>5307</v>
      </c>
      <c r="N23" s="68">
        <v>845.77700000000004</v>
      </c>
      <c r="O23" s="24" t="s">
        <v>24</v>
      </c>
      <c r="P23" s="19"/>
      <c r="Q23" s="12"/>
      <c r="R23" s="12"/>
    </row>
    <row r="24" spans="1:18" ht="18" customHeight="1">
      <c r="A24" s="48" t="s">
        <v>25</v>
      </c>
      <c r="B24" s="39">
        <f>SUM(B25:B28)</f>
        <v>28743</v>
      </c>
      <c r="C24" s="29">
        <f>SUM(C25:C28)</f>
        <v>6371</v>
      </c>
      <c r="D24" s="60">
        <f t="shared" ref="D24:N24" si="5">SUM(D25:D28)</f>
        <v>1099.3399999999999</v>
      </c>
      <c r="E24" s="29">
        <f t="shared" si="5"/>
        <v>45</v>
      </c>
      <c r="F24" s="60">
        <f t="shared" si="5"/>
        <v>3.7349999999999999</v>
      </c>
      <c r="G24" s="29">
        <f t="shared" si="5"/>
        <v>161</v>
      </c>
      <c r="H24" s="60">
        <f t="shared" si="5"/>
        <v>34.869999999999997</v>
      </c>
      <c r="I24" s="29">
        <f t="shared" si="5"/>
        <v>31</v>
      </c>
      <c r="J24" s="60">
        <f t="shared" si="5"/>
        <v>6.78</v>
      </c>
      <c r="K24" s="29">
        <f t="shared" si="5"/>
        <v>74</v>
      </c>
      <c r="L24" s="60">
        <f t="shared" si="5"/>
        <v>6.45</v>
      </c>
      <c r="M24" s="29">
        <f t="shared" si="5"/>
        <v>22061</v>
      </c>
      <c r="N24" s="69">
        <f t="shared" si="5"/>
        <v>4966.2359999999999</v>
      </c>
      <c r="O24" s="52" t="s">
        <v>107</v>
      </c>
      <c r="P24" s="19"/>
      <c r="Q24" s="12"/>
      <c r="R24" s="12"/>
    </row>
    <row r="25" spans="1:18">
      <c r="A25" s="71" t="s">
        <v>130</v>
      </c>
      <c r="B25" s="38">
        <f t="shared" ref="B25:B28" si="6">SUM(C25,E25,G25,I25,K25,M25)</f>
        <v>11522</v>
      </c>
      <c r="C25" s="40">
        <v>1916</v>
      </c>
      <c r="D25" s="43">
        <v>332.548</v>
      </c>
      <c r="E25" s="40">
        <v>24</v>
      </c>
      <c r="F25" s="43">
        <v>3.3149999999999999</v>
      </c>
      <c r="G25" s="40">
        <v>76</v>
      </c>
      <c r="H25" s="43">
        <v>14.92</v>
      </c>
      <c r="I25" s="40">
        <v>30</v>
      </c>
      <c r="J25" s="43">
        <v>6.48</v>
      </c>
      <c r="K25" s="40">
        <v>7</v>
      </c>
      <c r="L25" s="43">
        <v>0.42</v>
      </c>
      <c r="M25" s="40">
        <v>9469</v>
      </c>
      <c r="N25" s="68">
        <v>2835.0219999999999</v>
      </c>
      <c r="O25" s="24" t="s">
        <v>26</v>
      </c>
      <c r="P25" s="19"/>
      <c r="Q25" s="12"/>
      <c r="R25" s="12"/>
    </row>
    <row r="26" spans="1:18">
      <c r="A26" s="71" t="s">
        <v>131</v>
      </c>
      <c r="B26" s="38">
        <f t="shared" si="6"/>
        <v>16334</v>
      </c>
      <c r="C26" s="40">
        <v>4311</v>
      </c>
      <c r="D26" s="43">
        <v>735.89200000000005</v>
      </c>
      <c r="E26" s="40">
        <v>21</v>
      </c>
      <c r="F26" s="43">
        <v>0.42</v>
      </c>
      <c r="G26" s="40">
        <v>38</v>
      </c>
      <c r="H26" s="43">
        <v>7.1</v>
      </c>
      <c r="I26" s="40">
        <v>1</v>
      </c>
      <c r="J26" s="43">
        <v>0.3</v>
      </c>
      <c r="K26" s="41" t="s">
        <v>9</v>
      </c>
      <c r="L26" s="45" t="s">
        <v>9</v>
      </c>
      <c r="M26" s="40">
        <v>11963</v>
      </c>
      <c r="N26" s="68">
        <v>2000.5450000000001</v>
      </c>
      <c r="O26" s="24" t="s">
        <v>27</v>
      </c>
      <c r="P26" s="19"/>
      <c r="Q26" s="12"/>
      <c r="R26" s="12"/>
    </row>
    <row r="27" spans="1:18">
      <c r="A27" s="71" t="s">
        <v>132</v>
      </c>
      <c r="B27" s="38">
        <f t="shared" si="6"/>
        <v>185</v>
      </c>
      <c r="C27" s="40">
        <v>42</v>
      </c>
      <c r="D27" s="43">
        <v>5.8</v>
      </c>
      <c r="E27" s="41" t="s">
        <v>9</v>
      </c>
      <c r="F27" s="45" t="s">
        <v>9</v>
      </c>
      <c r="G27" s="41" t="s">
        <v>9</v>
      </c>
      <c r="H27" s="45" t="s">
        <v>9</v>
      </c>
      <c r="I27" s="41" t="s">
        <v>9</v>
      </c>
      <c r="J27" s="45" t="s">
        <v>9</v>
      </c>
      <c r="K27" s="41" t="s">
        <v>9</v>
      </c>
      <c r="L27" s="45" t="s">
        <v>9</v>
      </c>
      <c r="M27" s="40">
        <v>143</v>
      </c>
      <c r="N27" s="68">
        <v>20.503</v>
      </c>
      <c r="O27" s="24" t="s">
        <v>28</v>
      </c>
      <c r="P27" s="19"/>
      <c r="Q27" s="12"/>
      <c r="R27" s="12"/>
    </row>
    <row r="28" spans="1:18">
      <c r="A28" s="71" t="s">
        <v>133</v>
      </c>
      <c r="B28" s="38">
        <f t="shared" si="6"/>
        <v>702</v>
      </c>
      <c r="C28" s="40">
        <v>102</v>
      </c>
      <c r="D28" s="43">
        <v>25.1</v>
      </c>
      <c r="E28" s="41" t="s">
        <v>9</v>
      </c>
      <c r="F28" s="45" t="s">
        <v>9</v>
      </c>
      <c r="G28" s="40">
        <v>47</v>
      </c>
      <c r="H28" s="43">
        <v>12.85</v>
      </c>
      <c r="I28" s="41" t="s">
        <v>9</v>
      </c>
      <c r="J28" s="45" t="s">
        <v>9</v>
      </c>
      <c r="K28" s="40">
        <v>67</v>
      </c>
      <c r="L28" s="43">
        <v>6.03</v>
      </c>
      <c r="M28" s="40">
        <v>486</v>
      </c>
      <c r="N28" s="68">
        <v>110.166</v>
      </c>
      <c r="O28" s="24" t="s">
        <v>29</v>
      </c>
      <c r="P28" s="19"/>
      <c r="Q28" s="12"/>
      <c r="R28" s="12"/>
    </row>
    <row r="29" spans="1:18" ht="16.2" customHeight="1">
      <c r="A29" s="48" t="s">
        <v>30</v>
      </c>
      <c r="B29" s="39">
        <f>SUM(B30:B33)</f>
        <v>438</v>
      </c>
      <c r="C29" s="29">
        <f t="shared" ref="C29:N29" si="7">SUM(C30:C33)</f>
        <v>148</v>
      </c>
      <c r="D29" s="60">
        <f t="shared" si="7"/>
        <v>71</v>
      </c>
      <c r="E29" s="29">
        <f t="shared" si="7"/>
        <v>0</v>
      </c>
      <c r="F29" s="60">
        <f t="shared" si="7"/>
        <v>0</v>
      </c>
      <c r="G29" s="29">
        <f t="shared" si="7"/>
        <v>68</v>
      </c>
      <c r="H29" s="60">
        <f t="shared" si="7"/>
        <v>37.4</v>
      </c>
      <c r="I29" s="29">
        <f t="shared" si="7"/>
        <v>0</v>
      </c>
      <c r="J29" s="60">
        <f t="shared" si="7"/>
        <v>0</v>
      </c>
      <c r="K29" s="29">
        <f t="shared" si="7"/>
        <v>0</v>
      </c>
      <c r="L29" s="60">
        <f t="shared" si="7"/>
        <v>0</v>
      </c>
      <c r="M29" s="29">
        <f t="shared" si="7"/>
        <v>222</v>
      </c>
      <c r="N29" s="69">
        <f t="shared" si="7"/>
        <v>61.021999999999998</v>
      </c>
      <c r="O29" s="15" t="s">
        <v>31</v>
      </c>
      <c r="P29" s="15"/>
      <c r="Q29" s="15"/>
      <c r="R29" s="12"/>
    </row>
    <row r="30" spans="1:18">
      <c r="A30" s="71" t="s">
        <v>134</v>
      </c>
      <c r="B30" s="38">
        <f t="shared" ref="B30:B33" si="8">SUM(C30,E30,G30,I30,K30,M30)</f>
        <v>206</v>
      </c>
      <c r="C30" s="40">
        <v>103</v>
      </c>
      <c r="D30" s="43">
        <v>49.5</v>
      </c>
      <c r="E30" s="41" t="s">
        <v>9</v>
      </c>
      <c r="F30" s="45" t="s">
        <v>9</v>
      </c>
      <c r="G30" s="41" t="s">
        <v>9</v>
      </c>
      <c r="H30" s="45" t="s">
        <v>9</v>
      </c>
      <c r="I30" s="41" t="s">
        <v>9</v>
      </c>
      <c r="J30" s="45" t="s">
        <v>9</v>
      </c>
      <c r="K30" s="41" t="s">
        <v>9</v>
      </c>
      <c r="L30" s="45" t="s">
        <v>9</v>
      </c>
      <c r="M30" s="40">
        <v>103</v>
      </c>
      <c r="N30" s="68">
        <v>31.902999999999999</v>
      </c>
      <c r="O30" s="24" t="s">
        <v>32</v>
      </c>
      <c r="P30" s="19"/>
      <c r="Q30" s="12"/>
      <c r="R30" s="12"/>
    </row>
    <row r="31" spans="1:18">
      <c r="A31" s="71" t="s">
        <v>135</v>
      </c>
      <c r="B31" s="38">
        <f t="shared" si="8"/>
        <v>120</v>
      </c>
      <c r="C31" s="40">
        <v>26</v>
      </c>
      <c r="D31" s="43">
        <v>4.5</v>
      </c>
      <c r="E31" s="41" t="s">
        <v>9</v>
      </c>
      <c r="F31" s="45" t="s">
        <v>9</v>
      </c>
      <c r="G31" s="40">
        <v>37</v>
      </c>
      <c r="H31" s="43">
        <v>25</v>
      </c>
      <c r="I31" s="41" t="s">
        <v>9</v>
      </c>
      <c r="J31" s="45" t="s">
        <v>9</v>
      </c>
      <c r="K31" s="41" t="s">
        <v>9</v>
      </c>
      <c r="L31" s="45" t="s">
        <v>9</v>
      </c>
      <c r="M31" s="40">
        <v>57</v>
      </c>
      <c r="N31" s="68">
        <v>11.957000000000001</v>
      </c>
      <c r="O31" s="24" t="s">
        <v>33</v>
      </c>
      <c r="P31" s="19"/>
      <c r="Q31" s="12"/>
      <c r="R31" s="12"/>
    </row>
    <row r="32" spans="1:18">
      <c r="A32" s="71" t="s">
        <v>136</v>
      </c>
      <c r="B32" s="38">
        <f t="shared" si="8"/>
        <v>54</v>
      </c>
      <c r="C32" s="40">
        <v>15</v>
      </c>
      <c r="D32" s="43">
        <v>15</v>
      </c>
      <c r="E32" s="41" t="s">
        <v>9</v>
      </c>
      <c r="F32" s="45" t="s">
        <v>9</v>
      </c>
      <c r="G32" s="40">
        <v>31</v>
      </c>
      <c r="H32" s="43">
        <v>12.4</v>
      </c>
      <c r="I32" s="41" t="s">
        <v>9</v>
      </c>
      <c r="J32" s="45" t="s">
        <v>9</v>
      </c>
      <c r="K32" s="41" t="s">
        <v>9</v>
      </c>
      <c r="L32" s="45" t="s">
        <v>9</v>
      </c>
      <c r="M32" s="40">
        <v>8</v>
      </c>
      <c r="N32" s="68">
        <v>2.4079999999999999</v>
      </c>
      <c r="O32" s="24" t="s">
        <v>34</v>
      </c>
      <c r="P32" s="19"/>
      <c r="Q32" s="12"/>
      <c r="R32" s="12"/>
    </row>
    <row r="33" spans="1:18">
      <c r="A33" s="71" t="s">
        <v>137</v>
      </c>
      <c r="B33" s="38">
        <f t="shared" si="8"/>
        <v>58</v>
      </c>
      <c r="C33" s="40">
        <v>4</v>
      </c>
      <c r="D33" s="43">
        <v>2</v>
      </c>
      <c r="E33" s="41" t="s">
        <v>9</v>
      </c>
      <c r="F33" s="45" t="s">
        <v>9</v>
      </c>
      <c r="G33" s="41" t="s">
        <v>9</v>
      </c>
      <c r="H33" s="45" t="s">
        <v>9</v>
      </c>
      <c r="I33" s="41" t="s">
        <v>9</v>
      </c>
      <c r="J33" s="45" t="s">
        <v>9</v>
      </c>
      <c r="K33" s="41" t="s">
        <v>9</v>
      </c>
      <c r="L33" s="45" t="s">
        <v>9</v>
      </c>
      <c r="M33" s="40">
        <v>54</v>
      </c>
      <c r="N33" s="68">
        <v>14.754</v>
      </c>
      <c r="O33" s="24" t="s">
        <v>35</v>
      </c>
      <c r="P33" s="19"/>
      <c r="Q33" s="12"/>
      <c r="R33" s="12"/>
    </row>
    <row r="34" spans="1:18" ht="19.2" customHeight="1">
      <c r="A34" s="48" t="s">
        <v>36</v>
      </c>
      <c r="B34" s="39">
        <f>SUM(B35:B39)</f>
        <v>30807</v>
      </c>
      <c r="C34" s="29">
        <f t="shared" ref="C34:N34" si="9">SUM(C35:C39)</f>
        <v>12794</v>
      </c>
      <c r="D34" s="60">
        <f t="shared" si="9"/>
        <v>1847.8630000000001</v>
      </c>
      <c r="E34" s="29">
        <f t="shared" si="9"/>
        <v>7</v>
      </c>
      <c r="F34" s="60">
        <f t="shared" si="9"/>
        <v>0.59</v>
      </c>
      <c r="G34" s="29">
        <f t="shared" si="9"/>
        <v>35</v>
      </c>
      <c r="H34" s="60">
        <f t="shared" si="9"/>
        <v>6.25</v>
      </c>
      <c r="I34" s="29">
        <f t="shared" si="9"/>
        <v>135</v>
      </c>
      <c r="J34" s="60">
        <f t="shared" si="9"/>
        <v>11.4</v>
      </c>
      <c r="K34" s="29">
        <f t="shared" si="9"/>
        <v>8521</v>
      </c>
      <c r="L34" s="60">
        <f t="shared" si="9"/>
        <v>443.12499999999994</v>
      </c>
      <c r="M34" s="29">
        <f t="shared" si="9"/>
        <v>9315</v>
      </c>
      <c r="N34" s="69">
        <f t="shared" si="9"/>
        <v>2718.951</v>
      </c>
      <c r="O34" s="15" t="s">
        <v>37</v>
      </c>
      <c r="P34" s="15"/>
      <c r="Q34" s="15"/>
      <c r="R34" s="12"/>
    </row>
    <row r="35" spans="1:18">
      <c r="A35" s="71" t="s">
        <v>138</v>
      </c>
      <c r="B35" s="38">
        <f t="shared" ref="B35:B39" si="10">SUM(C35,E35,G35,I35,K35,M35)</f>
        <v>16975</v>
      </c>
      <c r="C35" s="40">
        <v>10848</v>
      </c>
      <c r="D35" s="43">
        <v>1549.1279999999999</v>
      </c>
      <c r="E35" s="41" t="s">
        <v>9</v>
      </c>
      <c r="F35" s="45" t="s">
        <v>9</v>
      </c>
      <c r="G35" s="40">
        <v>15</v>
      </c>
      <c r="H35" s="43">
        <v>2.25</v>
      </c>
      <c r="I35" s="40">
        <v>20</v>
      </c>
      <c r="J35" s="43">
        <v>4</v>
      </c>
      <c r="K35" s="40">
        <v>1034</v>
      </c>
      <c r="L35" s="43">
        <v>123.16</v>
      </c>
      <c r="M35" s="40">
        <v>5058</v>
      </c>
      <c r="N35" s="68">
        <v>1731.2739999999999</v>
      </c>
      <c r="O35" s="24" t="s">
        <v>38</v>
      </c>
      <c r="P35" s="19"/>
      <c r="Q35" s="12"/>
      <c r="R35" s="12"/>
    </row>
    <row r="36" spans="1:18">
      <c r="A36" s="71" t="s">
        <v>139</v>
      </c>
      <c r="B36" s="38">
        <f t="shared" si="10"/>
        <v>10134</v>
      </c>
      <c r="C36" s="40">
        <v>126</v>
      </c>
      <c r="D36" s="43">
        <v>44.38</v>
      </c>
      <c r="E36" s="41" t="s">
        <v>9</v>
      </c>
      <c r="F36" s="45" t="s">
        <v>9</v>
      </c>
      <c r="G36" s="41" t="s">
        <v>9</v>
      </c>
      <c r="H36" s="45" t="s">
        <v>9</v>
      </c>
      <c r="I36" s="40">
        <v>100</v>
      </c>
      <c r="J36" s="43">
        <v>3.5</v>
      </c>
      <c r="K36" s="40">
        <v>7135</v>
      </c>
      <c r="L36" s="43">
        <v>286.52499999999998</v>
      </c>
      <c r="M36" s="40">
        <v>2773</v>
      </c>
      <c r="N36" s="68">
        <v>584.62300000000005</v>
      </c>
      <c r="O36" s="24" t="s">
        <v>39</v>
      </c>
      <c r="P36" s="19"/>
      <c r="Q36" s="12"/>
      <c r="R36" s="12"/>
    </row>
    <row r="37" spans="1:18">
      <c r="A37" s="71" t="s">
        <v>140</v>
      </c>
      <c r="B37" s="38">
        <f t="shared" si="10"/>
        <v>1152</v>
      </c>
      <c r="C37" s="40">
        <v>133</v>
      </c>
      <c r="D37" s="43">
        <v>21.22</v>
      </c>
      <c r="E37" s="41" t="s">
        <v>9</v>
      </c>
      <c r="F37" s="45" t="s">
        <v>9</v>
      </c>
      <c r="G37" s="40">
        <v>20</v>
      </c>
      <c r="H37" s="43">
        <v>4</v>
      </c>
      <c r="I37" s="40">
        <v>15</v>
      </c>
      <c r="J37" s="43">
        <v>3.9</v>
      </c>
      <c r="K37" s="40">
        <v>220</v>
      </c>
      <c r="L37" s="43">
        <v>22</v>
      </c>
      <c r="M37" s="40">
        <v>764</v>
      </c>
      <c r="N37" s="68">
        <v>229.63399999999999</v>
      </c>
      <c r="O37" s="24" t="s">
        <v>40</v>
      </c>
      <c r="P37" s="19"/>
      <c r="Q37" s="12"/>
      <c r="R37" s="12"/>
    </row>
    <row r="38" spans="1:18" ht="10.199999999999999" customHeight="1">
      <c r="A38" s="71" t="s">
        <v>141</v>
      </c>
      <c r="B38" s="38">
        <f t="shared" si="10"/>
        <v>0</v>
      </c>
      <c r="C38" s="41" t="s">
        <v>9</v>
      </c>
      <c r="D38" s="45" t="s">
        <v>9</v>
      </c>
      <c r="E38" s="41" t="s">
        <v>9</v>
      </c>
      <c r="F38" s="45" t="s">
        <v>9</v>
      </c>
      <c r="G38" s="41" t="s">
        <v>9</v>
      </c>
      <c r="H38" s="45" t="s">
        <v>9</v>
      </c>
      <c r="I38" s="41" t="s">
        <v>9</v>
      </c>
      <c r="J38" s="45" t="s">
        <v>9</v>
      </c>
      <c r="K38" s="41" t="s">
        <v>9</v>
      </c>
      <c r="L38" s="45" t="s">
        <v>9</v>
      </c>
      <c r="M38" s="40" t="s">
        <v>9</v>
      </c>
      <c r="N38" s="68" t="s">
        <v>9</v>
      </c>
      <c r="O38" s="16" t="s">
        <v>41</v>
      </c>
      <c r="P38" s="16"/>
      <c r="Q38" s="16"/>
      <c r="R38" s="12"/>
    </row>
    <row r="39" spans="1:18">
      <c r="A39" s="71" t="s">
        <v>142</v>
      </c>
      <c r="B39" s="38">
        <f t="shared" si="10"/>
        <v>2546</v>
      </c>
      <c r="C39" s="40">
        <v>1687</v>
      </c>
      <c r="D39" s="43">
        <v>233.13499999999999</v>
      </c>
      <c r="E39" s="40">
        <v>7</v>
      </c>
      <c r="F39" s="43">
        <v>0.59</v>
      </c>
      <c r="G39" s="41" t="s">
        <v>9</v>
      </c>
      <c r="H39" s="45" t="s">
        <v>9</v>
      </c>
      <c r="I39" s="41" t="s">
        <v>9</v>
      </c>
      <c r="J39" s="45" t="s">
        <v>9</v>
      </c>
      <c r="K39" s="40">
        <v>132</v>
      </c>
      <c r="L39" s="43">
        <v>11.44</v>
      </c>
      <c r="M39" s="40">
        <v>720</v>
      </c>
      <c r="N39" s="68">
        <v>173.42</v>
      </c>
      <c r="O39" s="24" t="s">
        <v>42</v>
      </c>
      <c r="P39" s="19"/>
      <c r="Q39" s="12"/>
      <c r="R39" s="12"/>
    </row>
    <row r="40" spans="1:18" ht="19.2" customHeight="1">
      <c r="A40" s="48" t="s">
        <v>43</v>
      </c>
      <c r="B40" s="39">
        <f>SUM(B41:B45)</f>
        <v>13386</v>
      </c>
      <c r="C40" s="29">
        <f t="shared" ref="C40:N40" si="11">SUM(C41:C45)</f>
        <v>7299</v>
      </c>
      <c r="D40" s="60">
        <f t="shared" si="11"/>
        <v>1922.2249999999999</v>
      </c>
      <c r="E40" s="29">
        <f t="shared" si="11"/>
        <v>20</v>
      </c>
      <c r="F40" s="60">
        <f t="shared" si="11"/>
        <v>7.3100000000000005</v>
      </c>
      <c r="G40" s="29">
        <f t="shared" si="11"/>
        <v>10</v>
      </c>
      <c r="H40" s="60">
        <f t="shared" si="11"/>
        <v>1.55</v>
      </c>
      <c r="I40" s="29">
        <f t="shared" si="11"/>
        <v>130</v>
      </c>
      <c r="J40" s="60">
        <f t="shared" si="11"/>
        <v>17.82</v>
      </c>
      <c r="K40" s="29">
        <f t="shared" si="11"/>
        <v>2498</v>
      </c>
      <c r="L40" s="60">
        <f t="shared" si="11"/>
        <v>238.14999999999998</v>
      </c>
      <c r="M40" s="29">
        <f t="shared" si="11"/>
        <v>3429</v>
      </c>
      <c r="N40" s="69">
        <f t="shared" si="11"/>
        <v>1128.759</v>
      </c>
      <c r="O40" s="17" t="s">
        <v>44</v>
      </c>
      <c r="P40" s="17"/>
      <c r="Q40" s="17"/>
      <c r="R40" s="12"/>
    </row>
    <row r="41" spans="1:18">
      <c r="A41" s="71" t="s">
        <v>143</v>
      </c>
      <c r="B41" s="38">
        <f t="shared" ref="B41:B45" si="12">SUM(C41,E41,G41,I41,K41,M41)</f>
        <v>7510</v>
      </c>
      <c r="C41" s="40">
        <v>3317</v>
      </c>
      <c r="D41" s="43">
        <v>1084.0999999999999</v>
      </c>
      <c r="E41" s="41" t="s">
        <v>9</v>
      </c>
      <c r="F41" s="45" t="s">
        <v>9</v>
      </c>
      <c r="G41" s="41" t="s">
        <v>9</v>
      </c>
      <c r="H41" s="45" t="s">
        <v>9</v>
      </c>
      <c r="I41" s="40">
        <v>23</v>
      </c>
      <c r="J41" s="43">
        <v>3.6</v>
      </c>
      <c r="K41" s="40">
        <v>2085</v>
      </c>
      <c r="L41" s="43">
        <v>180.92</v>
      </c>
      <c r="M41" s="40">
        <v>2085</v>
      </c>
      <c r="N41" s="68">
        <v>856.995</v>
      </c>
      <c r="O41" s="24" t="s">
        <v>45</v>
      </c>
      <c r="P41" s="19"/>
      <c r="Q41" s="12"/>
      <c r="R41" s="12"/>
    </row>
    <row r="42" spans="1:18">
      <c r="A42" s="71" t="s">
        <v>144</v>
      </c>
      <c r="B42" s="38">
        <f t="shared" si="12"/>
        <v>2756</v>
      </c>
      <c r="C42" s="40">
        <v>1584</v>
      </c>
      <c r="D42" s="43">
        <v>538.1</v>
      </c>
      <c r="E42" s="40">
        <v>15</v>
      </c>
      <c r="F42" s="43">
        <v>4.75</v>
      </c>
      <c r="G42" s="41" t="s">
        <v>9</v>
      </c>
      <c r="H42" s="45" t="s">
        <v>9</v>
      </c>
      <c r="I42" s="40">
        <v>72</v>
      </c>
      <c r="J42" s="43">
        <v>10</v>
      </c>
      <c r="K42" s="40">
        <v>401</v>
      </c>
      <c r="L42" s="43">
        <v>55.03</v>
      </c>
      <c r="M42" s="40">
        <v>684</v>
      </c>
      <c r="N42" s="68">
        <v>129.374</v>
      </c>
      <c r="O42" s="24" t="s">
        <v>46</v>
      </c>
      <c r="P42" s="19"/>
      <c r="Q42" s="12"/>
      <c r="R42" s="12"/>
    </row>
    <row r="43" spans="1:18">
      <c r="A43" s="71" t="s">
        <v>145</v>
      </c>
      <c r="B43" s="38">
        <f t="shared" si="12"/>
        <v>2620</v>
      </c>
      <c r="C43" s="40">
        <v>2098</v>
      </c>
      <c r="D43" s="43">
        <v>216.02500000000001</v>
      </c>
      <c r="E43" s="40">
        <v>5</v>
      </c>
      <c r="F43" s="43">
        <v>2.56</v>
      </c>
      <c r="G43" s="40">
        <v>10</v>
      </c>
      <c r="H43" s="43">
        <v>1.55</v>
      </c>
      <c r="I43" s="40">
        <v>35</v>
      </c>
      <c r="J43" s="43">
        <v>4.22</v>
      </c>
      <c r="K43" s="40">
        <v>12</v>
      </c>
      <c r="L43" s="43">
        <v>2.2000000000000002</v>
      </c>
      <c r="M43" s="40">
        <v>460</v>
      </c>
      <c r="N43" s="68">
        <v>84.19</v>
      </c>
      <c r="O43" s="24" t="s">
        <v>47</v>
      </c>
      <c r="P43" s="19"/>
      <c r="Q43" s="12"/>
      <c r="R43" s="12"/>
    </row>
    <row r="44" spans="1:18">
      <c r="A44" s="71" t="s">
        <v>146</v>
      </c>
      <c r="B44" s="38">
        <f t="shared" si="12"/>
        <v>0</v>
      </c>
      <c r="C44" s="41" t="s">
        <v>9</v>
      </c>
      <c r="D44" s="45" t="s">
        <v>9</v>
      </c>
      <c r="E44" s="41" t="s">
        <v>9</v>
      </c>
      <c r="F44" s="45" t="s">
        <v>9</v>
      </c>
      <c r="G44" s="41" t="s">
        <v>9</v>
      </c>
      <c r="H44" s="45" t="s">
        <v>9</v>
      </c>
      <c r="I44" s="41" t="s">
        <v>9</v>
      </c>
      <c r="J44" s="45" t="s">
        <v>9</v>
      </c>
      <c r="K44" s="41" t="s">
        <v>9</v>
      </c>
      <c r="L44" s="45" t="s">
        <v>9</v>
      </c>
      <c r="M44" s="40" t="s">
        <v>9</v>
      </c>
      <c r="N44" s="68" t="s">
        <v>9</v>
      </c>
      <c r="O44" s="24" t="s">
        <v>48</v>
      </c>
      <c r="P44" s="19"/>
      <c r="Q44" s="12"/>
      <c r="R44" s="12"/>
    </row>
    <row r="45" spans="1:18">
      <c r="A45" s="71" t="s">
        <v>147</v>
      </c>
      <c r="B45" s="38">
        <f t="shared" si="12"/>
        <v>500</v>
      </c>
      <c r="C45" s="40">
        <v>300</v>
      </c>
      <c r="D45" s="43">
        <v>84</v>
      </c>
      <c r="E45" s="41" t="s">
        <v>9</v>
      </c>
      <c r="F45" s="45" t="s">
        <v>9</v>
      </c>
      <c r="G45" s="41" t="s">
        <v>9</v>
      </c>
      <c r="H45" s="45" t="s">
        <v>9</v>
      </c>
      <c r="I45" s="41" t="s">
        <v>9</v>
      </c>
      <c r="J45" s="45" t="s">
        <v>9</v>
      </c>
      <c r="K45" s="41" t="s">
        <v>9</v>
      </c>
      <c r="L45" s="45" t="s">
        <v>9</v>
      </c>
      <c r="M45" s="40">
        <v>200</v>
      </c>
      <c r="N45" s="68">
        <v>58.2</v>
      </c>
      <c r="O45" s="24" t="s">
        <v>49</v>
      </c>
      <c r="P45" s="19"/>
      <c r="Q45" s="12"/>
      <c r="R45" s="12"/>
    </row>
    <row r="46" spans="1:18" ht="18.600000000000001" customHeight="1">
      <c r="A46" s="48" t="s">
        <v>50</v>
      </c>
      <c r="B46" s="39">
        <f>SUM(B47:B51)</f>
        <v>719</v>
      </c>
      <c r="C46" s="29">
        <f t="shared" ref="C46:N46" si="13">SUM(C47:C51)</f>
        <v>290</v>
      </c>
      <c r="D46" s="60">
        <f t="shared" si="13"/>
        <v>61.370000000000005</v>
      </c>
      <c r="E46" s="29">
        <f t="shared" si="13"/>
        <v>12</v>
      </c>
      <c r="F46" s="60">
        <f t="shared" si="13"/>
        <v>3.5</v>
      </c>
      <c r="G46" s="29">
        <f t="shared" si="13"/>
        <v>0</v>
      </c>
      <c r="H46" s="60">
        <f t="shared" si="13"/>
        <v>0</v>
      </c>
      <c r="I46" s="29">
        <f t="shared" si="13"/>
        <v>47</v>
      </c>
      <c r="J46" s="60">
        <f t="shared" si="13"/>
        <v>9.73</v>
      </c>
      <c r="K46" s="29">
        <f t="shared" si="13"/>
        <v>0</v>
      </c>
      <c r="L46" s="60">
        <f t="shared" si="13"/>
        <v>0</v>
      </c>
      <c r="M46" s="29">
        <f t="shared" si="13"/>
        <v>370</v>
      </c>
      <c r="N46" s="69">
        <f t="shared" si="13"/>
        <v>42.290000000000006</v>
      </c>
      <c r="O46" s="15" t="s">
        <v>51</v>
      </c>
      <c r="P46" s="15"/>
      <c r="Q46" s="15"/>
      <c r="R46" s="12"/>
    </row>
    <row r="47" spans="1:18">
      <c r="A47" s="71" t="s">
        <v>148</v>
      </c>
      <c r="B47" s="38">
        <f t="shared" ref="B47:B51" si="14">SUM(C47,E47,G47,I47,K47,M47)</f>
        <v>235</v>
      </c>
      <c r="C47" s="40">
        <v>27</v>
      </c>
      <c r="D47" s="43">
        <v>6.22</v>
      </c>
      <c r="E47" s="41" t="s">
        <v>9</v>
      </c>
      <c r="F47" s="45" t="s">
        <v>9</v>
      </c>
      <c r="G47" s="41" t="s">
        <v>9</v>
      </c>
      <c r="H47" s="45" t="s">
        <v>9</v>
      </c>
      <c r="I47" s="40">
        <v>1</v>
      </c>
      <c r="J47" s="43">
        <v>0.43</v>
      </c>
      <c r="K47" s="41" t="s">
        <v>9</v>
      </c>
      <c r="L47" s="45" t="s">
        <v>9</v>
      </c>
      <c r="M47" s="40">
        <v>207</v>
      </c>
      <c r="N47" s="68">
        <v>10.537000000000001</v>
      </c>
      <c r="O47" s="24" t="s">
        <v>52</v>
      </c>
      <c r="P47" s="19"/>
      <c r="Q47" s="12"/>
      <c r="R47" s="12"/>
    </row>
    <row r="48" spans="1:18">
      <c r="A48" s="71" t="s">
        <v>149</v>
      </c>
      <c r="B48" s="38">
        <f t="shared" si="14"/>
        <v>353</v>
      </c>
      <c r="C48" s="40">
        <v>194</v>
      </c>
      <c r="D48" s="43">
        <v>43.35</v>
      </c>
      <c r="E48" s="40">
        <v>12</v>
      </c>
      <c r="F48" s="43">
        <v>3.5</v>
      </c>
      <c r="G48" s="41" t="s">
        <v>9</v>
      </c>
      <c r="H48" s="45" t="s">
        <v>9</v>
      </c>
      <c r="I48" s="40">
        <v>46</v>
      </c>
      <c r="J48" s="43">
        <v>9.3000000000000007</v>
      </c>
      <c r="K48" s="41" t="s">
        <v>9</v>
      </c>
      <c r="L48" s="45" t="s">
        <v>9</v>
      </c>
      <c r="M48" s="40">
        <v>101</v>
      </c>
      <c r="N48" s="68">
        <v>22.541</v>
      </c>
      <c r="O48" s="24" t="s">
        <v>53</v>
      </c>
      <c r="P48" s="19"/>
      <c r="Q48" s="12"/>
      <c r="R48" s="12"/>
    </row>
    <row r="49" spans="1:19">
      <c r="A49" s="71" t="s">
        <v>150</v>
      </c>
      <c r="B49" s="38">
        <f t="shared" si="14"/>
        <v>0</v>
      </c>
      <c r="C49" s="41" t="s">
        <v>9</v>
      </c>
      <c r="D49" s="45" t="s">
        <v>9</v>
      </c>
      <c r="E49" s="41" t="s">
        <v>9</v>
      </c>
      <c r="F49" s="45" t="s">
        <v>9</v>
      </c>
      <c r="G49" s="41" t="s">
        <v>9</v>
      </c>
      <c r="H49" s="45" t="s">
        <v>9</v>
      </c>
      <c r="I49" s="41" t="s">
        <v>9</v>
      </c>
      <c r="J49" s="45" t="s">
        <v>9</v>
      </c>
      <c r="K49" s="41" t="s">
        <v>9</v>
      </c>
      <c r="L49" s="45" t="s">
        <v>9</v>
      </c>
      <c r="M49" s="40" t="s">
        <v>9</v>
      </c>
      <c r="N49" s="68" t="s">
        <v>9</v>
      </c>
      <c r="O49" s="24" t="s">
        <v>54</v>
      </c>
      <c r="P49" s="19"/>
      <c r="Q49" s="12"/>
      <c r="R49" s="12"/>
    </row>
    <row r="50" spans="1:19">
      <c r="A50" s="71" t="s">
        <v>151</v>
      </c>
      <c r="B50" s="38">
        <f t="shared" si="14"/>
        <v>131</v>
      </c>
      <c r="C50" s="40">
        <v>69</v>
      </c>
      <c r="D50" s="43">
        <v>11.8</v>
      </c>
      <c r="E50" s="41" t="s">
        <v>9</v>
      </c>
      <c r="F50" s="45" t="s">
        <v>9</v>
      </c>
      <c r="G50" s="41" t="s">
        <v>9</v>
      </c>
      <c r="H50" s="45" t="s">
        <v>9</v>
      </c>
      <c r="I50" s="41" t="s">
        <v>9</v>
      </c>
      <c r="J50" s="45" t="s">
        <v>9</v>
      </c>
      <c r="K50" s="41" t="s">
        <v>9</v>
      </c>
      <c r="L50" s="45" t="s">
        <v>9</v>
      </c>
      <c r="M50" s="40">
        <v>62</v>
      </c>
      <c r="N50" s="68">
        <v>9.2119999999999997</v>
      </c>
      <c r="O50" s="24" t="s">
        <v>55</v>
      </c>
      <c r="P50" s="19"/>
      <c r="Q50" s="12"/>
      <c r="R50" s="12"/>
    </row>
    <row r="51" spans="1:19">
      <c r="A51" s="71" t="s">
        <v>152</v>
      </c>
      <c r="B51" s="38">
        <f t="shared" si="14"/>
        <v>0</v>
      </c>
      <c r="C51" s="41" t="s">
        <v>9</v>
      </c>
      <c r="D51" s="45" t="s">
        <v>9</v>
      </c>
      <c r="E51" s="41" t="s">
        <v>9</v>
      </c>
      <c r="F51" s="45" t="s">
        <v>9</v>
      </c>
      <c r="G51" s="41" t="s">
        <v>9</v>
      </c>
      <c r="H51" s="45" t="s">
        <v>9</v>
      </c>
      <c r="I51" s="41" t="s">
        <v>9</v>
      </c>
      <c r="J51" s="45" t="s">
        <v>9</v>
      </c>
      <c r="K51" s="41" t="s">
        <v>9</v>
      </c>
      <c r="L51" s="45" t="s">
        <v>9</v>
      </c>
      <c r="M51" s="40" t="s">
        <v>9</v>
      </c>
      <c r="N51" s="68" t="s">
        <v>9</v>
      </c>
      <c r="O51" s="24" t="s">
        <v>56</v>
      </c>
      <c r="P51" s="19"/>
      <c r="Q51" s="12"/>
      <c r="R51" s="12"/>
    </row>
    <row r="52" spans="1:19" ht="16.2" customHeight="1">
      <c r="A52" s="48" t="s">
        <v>57</v>
      </c>
      <c r="B52" s="39">
        <f>SUM(B53:B55)</f>
        <v>5437</v>
      </c>
      <c r="C52" s="29">
        <f t="shared" ref="C52:N52" si="15">SUM(C53:C55)</f>
        <v>2011</v>
      </c>
      <c r="D52" s="60">
        <f t="shared" si="15"/>
        <v>438.20000000000005</v>
      </c>
      <c r="E52" s="29">
        <f t="shared" si="15"/>
        <v>0</v>
      </c>
      <c r="F52" s="60">
        <f t="shared" si="15"/>
        <v>0</v>
      </c>
      <c r="G52" s="29">
        <f t="shared" si="15"/>
        <v>1176</v>
      </c>
      <c r="H52" s="60">
        <f t="shared" si="15"/>
        <v>274.2</v>
      </c>
      <c r="I52" s="29">
        <f t="shared" si="15"/>
        <v>80</v>
      </c>
      <c r="J52" s="60">
        <f t="shared" si="15"/>
        <v>28</v>
      </c>
      <c r="K52" s="29">
        <f t="shared" si="15"/>
        <v>5</v>
      </c>
      <c r="L52" s="60">
        <f t="shared" si="15"/>
        <v>15</v>
      </c>
      <c r="M52" s="29">
        <f t="shared" si="15"/>
        <v>2165</v>
      </c>
      <c r="N52" s="69">
        <f t="shared" si="15"/>
        <v>549.40499999999997</v>
      </c>
      <c r="O52" s="17" t="s">
        <v>58</v>
      </c>
      <c r="P52" s="17"/>
      <c r="Q52" s="17"/>
      <c r="R52" s="12"/>
    </row>
    <row r="53" spans="1:19">
      <c r="A53" s="71" t="s">
        <v>153</v>
      </c>
      <c r="B53" s="38">
        <f t="shared" ref="B53:B55" si="16">SUM(C53,E53,G53,I53,K53,M53)</f>
        <v>1139</v>
      </c>
      <c r="C53" s="40">
        <v>740</v>
      </c>
      <c r="D53" s="43">
        <v>187.9</v>
      </c>
      <c r="E53" s="41" t="s">
        <v>9</v>
      </c>
      <c r="F53" s="45" t="s">
        <v>9</v>
      </c>
      <c r="G53" s="40">
        <v>28</v>
      </c>
      <c r="H53" s="43">
        <v>11.2</v>
      </c>
      <c r="I53" s="41" t="s">
        <v>9</v>
      </c>
      <c r="J53" s="45" t="s">
        <v>9</v>
      </c>
      <c r="K53" s="41" t="s">
        <v>9</v>
      </c>
      <c r="L53" s="45" t="s">
        <v>9</v>
      </c>
      <c r="M53" s="40">
        <v>371</v>
      </c>
      <c r="N53" s="68">
        <v>86.911000000000001</v>
      </c>
      <c r="O53" s="24" t="s">
        <v>59</v>
      </c>
      <c r="P53" s="19"/>
      <c r="Q53" s="12"/>
      <c r="R53" s="12"/>
    </row>
    <row r="54" spans="1:19" ht="10.199999999999999" customHeight="1">
      <c r="A54" s="71" t="s">
        <v>154</v>
      </c>
      <c r="B54" s="38">
        <f t="shared" si="16"/>
        <v>3182</v>
      </c>
      <c r="C54" s="40">
        <v>874</v>
      </c>
      <c r="D54" s="43">
        <v>160.65</v>
      </c>
      <c r="E54" s="41" t="s">
        <v>9</v>
      </c>
      <c r="F54" s="45" t="s">
        <v>9</v>
      </c>
      <c r="G54" s="40">
        <v>950</v>
      </c>
      <c r="H54" s="43">
        <v>190</v>
      </c>
      <c r="I54" s="41" t="s">
        <v>9</v>
      </c>
      <c r="J54" s="45" t="s">
        <v>9</v>
      </c>
      <c r="K54" s="40">
        <v>5</v>
      </c>
      <c r="L54" s="43">
        <v>15</v>
      </c>
      <c r="M54" s="40">
        <v>1353</v>
      </c>
      <c r="N54" s="68">
        <v>281.75299999999999</v>
      </c>
      <c r="O54" s="16" t="s">
        <v>60</v>
      </c>
      <c r="P54" s="16"/>
      <c r="Q54" s="16"/>
      <c r="R54" s="12"/>
    </row>
    <row r="55" spans="1:19">
      <c r="A55" s="71" t="s">
        <v>155</v>
      </c>
      <c r="B55" s="38">
        <f t="shared" si="16"/>
        <v>1116</v>
      </c>
      <c r="C55" s="40">
        <v>397</v>
      </c>
      <c r="D55" s="43">
        <v>89.65</v>
      </c>
      <c r="E55" s="41" t="s">
        <v>9</v>
      </c>
      <c r="F55" s="45" t="s">
        <v>9</v>
      </c>
      <c r="G55" s="40">
        <v>198</v>
      </c>
      <c r="H55" s="43">
        <v>73</v>
      </c>
      <c r="I55" s="40">
        <v>80</v>
      </c>
      <c r="J55" s="43">
        <v>28</v>
      </c>
      <c r="K55" s="41" t="s">
        <v>9</v>
      </c>
      <c r="L55" s="45" t="s">
        <v>9</v>
      </c>
      <c r="M55" s="40">
        <v>441</v>
      </c>
      <c r="N55" s="68">
        <v>180.74100000000001</v>
      </c>
      <c r="O55" s="24" t="s">
        <v>61</v>
      </c>
      <c r="P55" s="19"/>
      <c r="Q55" s="12"/>
      <c r="R55" s="12"/>
    </row>
    <row r="56" spans="1:19" ht="18.600000000000001" customHeight="1">
      <c r="A56" s="48" t="s">
        <v>62</v>
      </c>
      <c r="B56" s="39">
        <f>SUM(B57:B61)</f>
        <v>3940</v>
      </c>
      <c r="C56" s="29">
        <f t="shared" ref="C56:N56" si="17">SUM(C57:C61)</f>
        <v>2682</v>
      </c>
      <c r="D56" s="60">
        <f t="shared" si="17"/>
        <v>751.68999999999994</v>
      </c>
      <c r="E56" s="29">
        <f t="shared" si="17"/>
        <v>10</v>
      </c>
      <c r="F56" s="60">
        <f t="shared" si="17"/>
        <v>2.25</v>
      </c>
      <c r="G56" s="29">
        <f t="shared" si="17"/>
        <v>47</v>
      </c>
      <c r="H56" s="60">
        <f t="shared" si="17"/>
        <v>8.6999999999999993</v>
      </c>
      <c r="I56" s="29">
        <f t="shared" si="17"/>
        <v>452</v>
      </c>
      <c r="J56" s="60">
        <f t="shared" si="17"/>
        <v>88.2</v>
      </c>
      <c r="K56" s="29">
        <f t="shared" si="17"/>
        <v>50</v>
      </c>
      <c r="L56" s="60">
        <f t="shared" si="17"/>
        <v>2</v>
      </c>
      <c r="M56" s="29">
        <f t="shared" si="17"/>
        <v>699</v>
      </c>
      <c r="N56" s="69">
        <f t="shared" si="17"/>
        <v>127.24900000000001</v>
      </c>
      <c r="O56" s="17" t="s">
        <v>63</v>
      </c>
      <c r="P56" s="17"/>
      <c r="Q56" s="17"/>
      <c r="R56" s="12"/>
    </row>
    <row r="57" spans="1:19">
      <c r="A57" s="71" t="s">
        <v>156</v>
      </c>
      <c r="B57" s="38">
        <f t="shared" ref="B57:B61" si="18">SUM(C57,E57,G57,I57,K57,M57)</f>
        <v>1649</v>
      </c>
      <c r="C57" s="40">
        <v>1385</v>
      </c>
      <c r="D57" s="43">
        <v>433.9</v>
      </c>
      <c r="E57" s="41" t="s">
        <v>9</v>
      </c>
      <c r="F57" s="45" t="s">
        <v>9</v>
      </c>
      <c r="G57" s="41" t="s">
        <v>9</v>
      </c>
      <c r="H57" s="45" t="s">
        <v>9</v>
      </c>
      <c r="I57" s="40">
        <v>24</v>
      </c>
      <c r="J57" s="43">
        <v>4.3</v>
      </c>
      <c r="K57" s="41" t="s">
        <v>9</v>
      </c>
      <c r="L57" s="45" t="s">
        <v>9</v>
      </c>
      <c r="M57" s="40">
        <v>240</v>
      </c>
      <c r="N57" s="68">
        <v>42.11</v>
      </c>
      <c r="O57" s="24" t="s">
        <v>64</v>
      </c>
      <c r="P57" s="19"/>
      <c r="Q57" s="12"/>
      <c r="R57" s="12"/>
    </row>
    <row r="58" spans="1:19">
      <c r="A58" s="71" t="s">
        <v>157</v>
      </c>
      <c r="B58" s="38">
        <f t="shared" si="18"/>
        <v>378</v>
      </c>
      <c r="C58" s="40">
        <v>335</v>
      </c>
      <c r="D58" s="43">
        <v>57.75</v>
      </c>
      <c r="E58" s="41" t="s">
        <v>9</v>
      </c>
      <c r="F58" s="45" t="s">
        <v>9</v>
      </c>
      <c r="G58" s="41" t="s">
        <v>9</v>
      </c>
      <c r="H58" s="45" t="s">
        <v>9</v>
      </c>
      <c r="I58" s="41" t="s">
        <v>9</v>
      </c>
      <c r="J58" s="45" t="s">
        <v>9</v>
      </c>
      <c r="K58" s="41" t="s">
        <v>9</v>
      </c>
      <c r="L58" s="45" t="s">
        <v>9</v>
      </c>
      <c r="M58" s="40">
        <v>43</v>
      </c>
      <c r="N58" s="68">
        <v>8.843</v>
      </c>
      <c r="O58" s="24" t="s">
        <v>65</v>
      </c>
      <c r="P58" s="19"/>
      <c r="Q58" s="12"/>
      <c r="R58" s="12"/>
    </row>
    <row r="59" spans="1:19">
      <c r="A59" s="71" t="s">
        <v>158</v>
      </c>
      <c r="B59" s="38">
        <f t="shared" si="18"/>
        <v>1425</v>
      </c>
      <c r="C59" s="40">
        <v>554</v>
      </c>
      <c r="D59" s="43">
        <v>140.35</v>
      </c>
      <c r="E59" s="40">
        <v>5</v>
      </c>
      <c r="F59" s="43">
        <v>1.5</v>
      </c>
      <c r="G59" s="40">
        <v>30</v>
      </c>
      <c r="H59" s="43">
        <v>6.2</v>
      </c>
      <c r="I59" s="40">
        <v>426</v>
      </c>
      <c r="J59" s="43">
        <v>83.7</v>
      </c>
      <c r="K59" s="41" t="s">
        <v>9</v>
      </c>
      <c r="L59" s="45" t="s">
        <v>9</v>
      </c>
      <c r="M59" s="40">
        <v>410</v>
      </c>
      <c r="N59" s="68">
        <v>75.91</v>
      </c>
      <c r="O59" s="24" t="s">
        <v>66</v>
      </c>
      <c r="P59" s="19"/>
      <c r="Q59" s="12"/>
      <c r="R59" s="12"/>
    </row>
    <row r="60" spans="1:19">
      <c r="A60" s="71" t="s">
        <v>159</v>
      </c>
      <c r="B60" s="38">
        <f t="shared" si="18"/>
        <v>188</v>
      </c>
      <c r="C60" s="40">
        <v>122</v>
      </c>
      <c r="D60" s="43">
        <v>46.81</v>
      </c>
      <c r="E60" s="41" t="s">
        <v>9</v>
      </c>
      <c r="F60" s="45" t="s">
        <v>9</v>
      </c>
      <c r="G60" s="40">
        <v>15</v>
      </c>
      <c r="H60" s="43">
        <v>2.2999999999999998</v>
      </c>
      <c r="I60" s="41" t="s">
        <v>9</v>
      </c>
      <c r="J60" s="45" t="s">
        <v>9</v>
      </c>
      <c r="K60" s="40">
        <v>50</v>
      </c>
      <c r="L60" s="43">
        <v>2</v>
      </c>
      <c r="M60" s="40">
        <v>1</v>
      </c>
      <c r="N60" s="68">
        <v>8.1000000000000003E-2</v>
      </c>
      <c r="O60" s="24" t="s">
        <v>67</v>
      </c>
      <c r="P60" s="19"/>
      <c r="Q60" s="12"/>
      <c r="R60" s="12"/>
    </row>
    <row r="61" spans="1:19">
      <c r="A61" s="71" t="s">
        <v>160</v>
      </c>
      <c r="B61" s="38">
        <f t="shared" si="18"/>
        <v>300</v>
      </c>
      <c r="C61" s="40">
        <v>286</v>
      </c>
      <c r="D61" s="43">
        <v>72.88</v>
      </c>
      <c r="E61" s="40">
        <v>5</v>
      </c>
      <c r="F61" s="43">
        <v>0.75</v>
      </c>
      <c r="G61" s="40">
        <v>2</v>
      </c>
      <c r="H61" s="43">
        <v>0.2</v>
      </c>
      <c r="I61" s="40">
        <v>2</v>
      </c>
      <c r="J61" s="43">
        <v>0.2</v>
      </c>
      <c r="K61" s="41" t="s">
        <v>9</v>
      </c>
      <c r="L61" s="45" t="s">
        <v>9</v>
      </c>
      <c r="M61" s="40">
        <v>5</v>
      </c>
      <c r="N61" s="68">
        <v>0.30499999999999999</v>
      </c>
      <c r="O61" s="24" t="s">
        <v>68</v>
      </c>
      <c r="P61" s="19"/>
      <c r="Q61" s="12"/>
      <c r="R61" s="12"/>
    </row>
    <row r="62" spans="1:19" ht="19.8" customHeight="1">
      <c r="A62" s="48" t="s">
        <v>69</v>
      </c>
      <c r="B62" s="39">
        <f>SUM(B67:B70)</f>
        <v>1155</v>
      </c>
      <c r="C62" s="29">
        <f t="shared" ref="C62:N62" si="19">SUM(C67:C70)</f>
        <v>1067</v>
      </c>
      <c r="D62" s="60">
        <f t="shared" si="19"/>
        <v>210.16399999999999</v>
      </c>
      <c r="E62" s="29">
        <f t="shared" si="19"/>
        <v>0</v>
      </c>
      <c r="F62" s="60">
        <f t="shared" si="19"/>
        <v>0</v>
      </c>
      <c r="G62" s="29">
        <f t="shared" si="19"/>
        <v>0</v>
      </c>
      <c r="H62" s="60">
        <f t="shared" si="19"/>
        <v>0</v>
      </c>
      <c r="I62" s="29">
        <f t="shared" si="19"/>
        <v>0</v>
      </c>
      <c r="J62" s="60">
        <f t="shared" si="19"/>
        <v>0</v>
      </c>
      <c r="K62" s="29">
        <f t="shared" si="19"/>
        <v>1</v>
      </c>
      <c r="L62" s="60">
        <f t="shared" si="19"/>
        <v>0.3</v>
      </c>
      <c r="M62" s="29">
        <f t="shared" si="19"/>
        <v>87</v>
      </c>
      <c r="N62" s="69">
        <f t="shared" si="19"/>
        <v>14.997</v>
      </c>
      <c r="O62" s="15" t="s">
        <v>70</v>
      </c>
      <c r="P62" s="15"/>
      <c r="Q62" s="15"/>
      <c r="R62" s="12"/>
    </row>
    <row r="63" spans="1:19">
      <c r="A63" s="72" t="s">
        <v>161</v>
      </c>
      <c r="B63" s="38">
        <f t="shared" ref="B63:B66" si="20">SUM(C63,E63,G63,I63,K63,M63)</f>
        <v>0</v>
      </c>
      <c r="C63" s="42" t="s">
        <v>9</v>
      </c>
      <c r="D63" s="43" t="s">
        <v>9</v>
      </c>
      <c r="E63" s="42" t="s">
        <v>9</v>
      </c>
      <c r="F63" s="43" t="s">
        <v>9</v>
      </c>
      <c r="G63" s="42" t="s">
        <v>9</v>
      </c>
      <c r="H63" s="43" t="s">
        <v>9</v>
      </c>
      <c r="I63" s="42" t="s">
        <v>9</v>
      </c>
      <c r="J63" s="43" t="s">
        <v>9</v>
      </c>
      <c r="K63" s="44" t="s">
        <v>9</v>
      </c>
      <c r="L63" s="45" t="s">
        <v>9</v>
      </c>
      <c r="M63" s="40" t="s">
        <v>9</v>
      </c>
      <c r="N63" s="68" t="s">
        <v>9</v>
      </c>
      <c r="O63" s="16" t="s">
        <v>194</v>
      </c>
      <c r="P63" s="78"/>
      <c r="Q63" s="78"/>
      <c r="R63" s="78"/>
      <c r="S63" s="78"/>
    </row>
    <row r="64" spans="1:19">
      <c r="A64" s="73" t="s">
        <v>162</v>
      </c>
      <c r="B64" s="38">
        <f t="shared" si="20"/>
        <v>0</v>
      </c>
      <c r="C64" s="41" t="s">
        <v>9</v>
      </c>
      <c r="D64" s="45" t="s">
        <v>9</v>
      </c>
      <c r="E64" s="41" t="s">
        <v>9</v>
      </c>
      <c r="F64" s="45" t="s">
        <v>9</v>
      </c>
      <c r="G64" s="41" t="s">
        <v>9</v>
      </c>
      <c r="H64" s="45" t="s">
        <v>9</v>
      </c>
      <c r="I64" s="41" t="s">
        <v>9</v>
      </c>
      <c r="J64" s="45" t="s">
        <v>9</v>
      </c>
      <c r="K64" s="41" t="s">
        <v>9</v>
      </c>
      <c r="L64" s="45" t="s">
        <v>9</v>
      </c>
      <c r="M64" s="40" t="s">
        <v>9</v>
      </c>
      <c r="N64" s="68" t="s">
        <v>9</v>
      </c>
      <c r="O64" s="16" t="s">
        <v>193</v>
      </c>
      <c r="P64" s="78"/>
      <c r="Q64" s="78"/>
      <c r="R64" s="78"/>
      <c r="S64" s="78"/>
    </row>
    <row r="65" spans="1:19">
      <c r="A65" s="72" t="s">
        <v>163</v>
      </c>
      <c r="B65" s="38">
        <f t="shared" si="20"/>
        <v>0</v>
      </c>
      <c r="C65" s="41" t="s">
        <v>9</v>
      </c>
      <c r="D65" s="45" t="s">
        <v>9</v>
      </c>
      <c r="E65" s="41" t="s">
        <v>9</v>
      </c>
      <c r="F65" s="45" t="s">
        <v>9</v>
      </c>
      <c r="G65" s="41" t="s">
        <v>9</v>
      </c>
      <c r="H65" s="45" t="s">
        <v>9</v>
      </c>
      <c r="I65" s="41" t="s">
        <v>9</v>
      </c>
      <c r="J65" s="45" t="s">
        <v>9</v>
      </c>
      <c r="K65" s="41" t="s">
        <v>9</v>
      </c>
      <c r="L65" s="45" t="s">
        <v>9</v>
      </c>
      <c r="M65" s="40" t="s">
        <v>9</v>
      </c>
      <c r="N65" s="68" t="s">
        <v>9</v>
      </c>
      <c r="O65" s="16" t="s">
        <v>192</v>
      </c>
      <c r="P65" s="78"/>
      <c r="Q65" s="78"/>
      <c r="R65" s="78"/>
      <c r="S65" s="78"/>
    </row>
    <row r="66" spans="1:19">
      <c r="A66" s="72" t="s">
        <v>164</v>
      </c>
      <c r="B66" s="38">
        <f t="shared" si="20"/>
        <v>0</v>
      </c>
      <c r="C66" s="41" t="s">
        <v>9</v>
      </c>
      <c r="D66" s="45" t="s">
        <v>9</v>
      </c>
      <c r="E66" s="41" t="s">
        <v>9</v>
      </c>
      <c r="F66" s="45" t="s">
        <v>9</v>
      </c>
      <c r="G66" s="41" t="s">
        <v>9</v>
      </c>
      <c r="H66" s="45" t="s">
        <v>9</v>
      </c>
      <c r="I66" s="41" t="s">
        <v>9</v>
      </c>
      <c r="J66" s="45" t="s">
        <v>9</v>
      </c>
      <c r="K66" s="41" t="s">
        <v>9</v>
      </c>
      <c r="L66" s="45" t="s">
        <v>9</v>
      </c>
      <c r="M66" s="40" t="s">
        <v>9</v>
      </c>
      <c r="N66" s="68" t="s">
        <v>9</v>
      </c>
      <c r="O66" s="16" t="s">
        <v>191</v>
      </c>
      <c r="P66" s="78"/>
      <c r="Q66" s="78"/>
      <c r="R66" s="78"/>
      <c r="S66" s="78"/>
    </row>
    <row r="67" spans="1:19" ht="10.199999999999999" customHeight="1">
      <c r="A67" s="74" t="s">
        <v>165</v>
      </c>
      <c r="B67" s="38">
        <f>SUM(C67,E67,G67,I67,K67,M67)</f>
        <v>524</v>
      </c>
      <c r="C67" s="40">
        <v>517</v>
      </c>
      <c r="D67" s="43">
        <v>133.35</v>
      </c>
      <c r="E67" s="41" t="s">
        <v>9</v>
      </c>
      <c r="F67" s="45" t="s">
        <v>9</v>
      </c>
      <c r="G67" s="41" t="s">
        <v>9</v>
      </c>
      <c r="H67" s="45" t="s">
        <v>9</v>
      </c>
      <c r="I67" s="41" t="s">
        <v>9</v>
      </c>
      <c r="J67" s="45" t="s">
        <v>9</v>
      </c>
      <c r="K67" s="41" t="s">
        <v>9</v>
      </c>
      <c r="L67" s="45" t="s">
        <v>9</v>
      </c>
      <c r="M67" s="40">
        <v>7</v>
      </c>
      <c r="N67" s="68">
        <v>0.91700000000000004</v>
      </c>
      <c r="O67" s="16" t="s">
        <v>71</v>
      </c>
      <c r="P67" s="78"/>
      <c r="Q67" s="78"/>
      <c r="R67" s="78"/>
      <c r="S67" s="78"/>
    </row>
    <row r="68" spans="1:19" ht="10.199999999999999" customHeight="1">
      <c r="A68" s="74" t="s">
        <v>166</v>
      </c>
      <c r="B68" s="38">
        <f t="shared" ref="B68:B70" si="21">SUM(C68,E68,G68,I68,K68,M68)</f>
        <v>530</v>
      </c>
      <c r="C68" s="40">
        <v>450</v>
      </c>
      <c r="D68" s="43">
        <v>55.667000000000002</v>
      </c>
      <c r="E68" s="41" t="s">
        <v>9</v>
      </c>
      <c r="F68" s="45" t="s">
        <v>9</v>
      </c>
      <c r="G68" s="41" t="s">
        <v>9</v>
      </c>
      <c r="H68" s="45" t="s">
        <v>9</v>
      </c>
      <c r="I68" s="41" t="s">
        <v>9</v>
      </c>
      <c r="J68" s="45" t="s">
        <v>9</v>
      </c>
      <c r="K68" s="41" t="s">
        <v>9</v>
      </c>
      <c r="L68" s="45" t="s">
        <v>9</v>
      </c>
      <c r="M68" s="40">
        <v>80</v>
      </c>
      <c r="N68" s="68">
        <v>14.08</v>
      </c>
      <c r="O68" s="16" t="s">
        <v>72</v>
      </c>
      <c r="P68" s="16"/>
      <c r="Q68" s="16"/>
      <c r="R68" s="16"/>
    </row>
    <row r="69" spans="1:19">
      <c r="A69" s="74" t="s">
        <v>167</v>
      </c>
      <c r="B69" s="38">
        <f t="shared" si="21"/>
        <v>0</v>
      </c>
      <c r="C69" s="40" t="s">
        <v>9</v>
      </c>
      <c r="D69" s="43" t="s">
        <v>9</v>
      </c>
      <c r="E69" s="41" t="s">
        <v>9</v>
      </c>
      <c r="F69" s="45" t="s">
        <v>9</v>
      </c>
      <c r="G69" s="41" t="s">
        <v>9</v>
      </c>
      <c r="H69" s="45" t="s">
        <v>9</v>
      </c>
      <c r="I69" s="41" t="s">
        <v>9</v>
      </c>
      <c r="J69" s="45" t="s">
        <v>9</v>
      </c>
      <c r="K69" s="41" t="s">
        <v>9</v>
      </c>
      <c r="L69" s="45" t="s">
        <v>9</v>
      </c>
      <c r="M69" s="40" t="s">
        <v>9</v>
      </c>
      <c r="N69" s="68" t="s">
        <v>9</v>
      </c>
      <c r="O69" s="16" t="s">
        <v>73</v>
      </c>
      <c r="P69" s="16"/>
      <c r="Q69" s="16"/>
      <c r="R69" s="16"/>
    </row>
    <row r="70" spans="1:19" ht="10.199999999999999" customHeight="1">
      <c r="A70" s="74" t="s">
        <v>168</v>
      </c>
      <c r="B70" s="38">
        <f t="shared" si="21"/>
        <v>101</v>
      </c>
      <c r="C70" s="40">
        <v>100</v>
      </c>
      <c r="D70" s="43">
        <v>21.146999999999998</v>
      </c>
      <c r="E70" s="41" t="s">
        <v>9</v>
      </c>
      <c r="F70" s="45" t="s">
        <v>9</v>
      </c>
      <c r="G70" s="41" t="s">
        <v>9</v>
      </c>
      <c r="H70" s="45" t="s">
        <v>9</v>
      </c>
      <c r="I70" s="41" t="s">
        <v>9</v>
      </c>
      <c r="J70" s="45" t="s">
        <v>9</v>
      </c>
      <c r="K70" s="40">
        <v>1</v>
      </c>
      <c r="L70" s="43">
        <v>0.3</v>
      </c>
      <c r="M70" s="40" t="s">
        <v>9</v>
      </c>
      <c r="N70" s="68" t="s">
        <v>9</v>
      </c>
      <c r="O70" s="16" t="s">
        <v>74</v>
      </c>
      <c r="P70" s="16"/>
      <c r="Q70" s="16"/>
      <c r="R70" s="16"/>
    </row>
    <row r="71" spans="1:19" ht="19.2" customHeight="1">
      <c r="A71" s="48" t="s">
        <v>75</v>
      </c>
      <c r="B71" s="39">
        <f>SUM(B72:B76)</f>
        <v>1288</v>
      </c>
      <c r="C71" s="29">
        <f t="shared" ref="C71:N71" si="22">SUM(C72:C76)</f>
        <v>860</v>
      </c>
      <c r="D71" s="60">
        <f t="shared" si="22"/>
        <v>138.32999999999998</v>
      </c>
      <c r="E71" s="29">
        <f t="shared" si="22"/>
        <v>0</v>
      </c>
      <c r="F71" s="60">
        <f t="shared" si="22"/>
        <v>0</v>
      </c>
      <c r="G71" s="29">
        <f t="shared" si="22"/>
        <v>0</v>
      </c>
      <c r="H71" s="60">
        <f t="shared" si="22"/>
        <v>0</v>
      </c>
      <c r="I71" s="29">
        <f t="shared" si="22"/>
        <v>0</v>
      </c>
      <c r="J71" s="60">
        <f t="shared" si="22"/>
        <v>0</v>
      </c>
      <c r="K71" s="29">
        <f t="shared" si="22"/>
        <v>90</v>
      </c>
      <c r="L71" s="60">
        <f t="shared" si="22"/>
        <v>4.5</v>
      </c>
      <c r="M71" s="29">
        <f t="shared" si="22"/>
        <v>338</v>
      </c>
      <c r="N71" s="69">
        <f t="shared" si="22"/>
        <v>45.438000000000002</v>
      </c>
      <c r="O71" s="17" t="s">
        <v>76</v>
      </c>
      <c r="P71" s="17"/>
      <c r="Q71" s="17"/>
      <c r="R71" s="18"/>
    </row>
    <row r="72" spans="1:19">
      <c r="A72" s="71" t="s">
        <v>169</v>
      </c>
      <c r="B72" s="38">
        <f t="shared" ref="B72:B76" si="23">SUM(C72,E72,G72,I72,K72,M72)</f>
        <v>605</v>
      </c>
      <c r="C72" s="40">
        <v>342</v>
      </c>
      <c r="D72" s="43">
        <v>35.75</v>
      </c>
      <c r="E72" s="41" t="s">
        <v>9</v>
      </c>
      <c r="F72" s="45" t="s">
        <v>9</v>
      </c>
      <c r="G72" s="41" t="s">
        <v>9</v>
      </c>
      <c r="H72" s="45" t="s">
        <v>9</v>
      </c>
      <c r="I72" s="41" t="s">
        <v>9</v>
      </c>
      <c r="J72" s="45" t="s">
        <v>9</v>
      </c>
      <c r="K72" s="40">
        <v>90</v>
      </c>
      <c r="L72" s="43">
        <v>4.5</v>
      </c>
      <c r="M72" s="40">
        <v>173</v>
      </c>
      <c r="N72" s="68">
        <v>24.773</v>
      </c>
      <c r="O72" s="24" t="s">
        <v>77</v>
      </c>
      <c r="P72" s="19"/>
      <c r="Q72" s="12"/>
      <c r="R72" s="12"/>
    </row>
    <row r="73" spans="1:19">
      <c r="A73" s="71" t="s">
        <v>170</v>
      </c>
      <c r="B73" s="38">
        <f t="shared" si="23"/>
        <v>21</v>
      </c>
      <c r="C73" s="40">
        <v>10</v>
      </c>
      <c r="D73" s="43">
        <v>0.7</v>
      </c>
      <c r="E73" s="41" t="s">
        <v>9</v>
      </c>
      <c r="F73" s="45" t="s">
        <v>9</v>
      </c>
      <c r="G73" s="41" t="s">
        <v>9</v>
      </c>
      <c r="H73" s="45" t="s">
        <v>9</v>
      </c>
      <c r="I73" s="41" t="s">
        <v>9</v>
      </c>
      <c r="J73" s="45" t="s">
        <v>9</v>
      </c>
      <c r="K73" s="41" t="s">
        <v>9</v>
      </c>
      <c r="L73" s="45" t="s">
        <v>9</v>
      </c>
      <c r="M73" s="40">
        <v>11</v>
      </c>
      <c r="N73" s="68">
        <v>0.96099999999999997</v>
      </c>
      <c r="O73" s="24" t="s">
        <v>78</v>
      </c>
      <c r="P73" s="19"/>
      <c r="Q73" s="12"/>
      <c r="R73" s="12"/>
    </row>
    <row r="74" spans="1:19">
      <c r="A74" s="71" t="s">
        <v>171</v>
      </c>
      <c r="B74" s="38">
        <f t="shared" si="23"/>
        <v>30</v>
      </c>
      <c r="C74" s="40">
        <v>30</v>
      </c>
      <c r="D74" s="43">
        <v>0.57999999999999996</v>
      </c>
      <c r="E74" s="41" t="s">
        <v>9</v>
      </c>
      <c r="F74" s="45" t="s">
        <v>9</v>
      </c>
      <c r="G74" s="41" t="s">
        <v>9</v>
      </c>
      <c r="H74" s="45" t="s">
        <v>9</v>
      </c>
      <c r="I74" s="41" t="s">
        <v>9</v>
      </c>
      <c r="J74" s="45" t="s">
        <v>9</v>
      </c>
      <c r="K74" s="41" t="s">
        <v>9</v>
      </c>
      <c r="L74" s="45" t="s">
        <v>9</v>
      </c>
      <c r="M74" s="40" t="s">
        <v>9</v>
      </c>
      <c r="N74" s="68" t="s">
        <v>9</v>
      </c>
      <c r="O74" s="24" t="s">
        <v>79</v>
      </c>
      <c r="P74" s="19"/>
      <c r="Q74" s="12"/>
      <c r="R74" s="12"/>
    </row>
    <row r="75" spans="1:19">
      <c r="A75" s="71" t="s">
        <v>172</v>
      </c>
      <c r="B75" s="38">
        <f t="shared" si="23"/>
        <v>0</v>
      </c>
      <c r="C75" s="41" t="s">
        <v>9</v>
      </c>
      <c r="D75" s="45" t="s">
        <v>9</v>
      </c>
      <c r="E75" s="41" t="s">
        <v>9</v>
      </c>
      <c r="F75" s="45" t="s">
        <v>9</v>
      </c>
      <c r="G75" s="41" t="s">
        <v>9</v>
      </c>
      <c r="H75" s="45" t="s">
        <v>9</v>
      </c>
      <c r="I75" s="41" t="s">
        <v>9</v>
      </c>
      <c r="J75" s="45" t="s">
        <v>9</v>
      </c>
      <c r="K75" s="41" t="s">
        <v>9</v>
      </c>
      <c r="L75" s="45" t="s">
        <v>9</v>
      </c>
      <c r="M75" s="40" t="s">
        <v>9</v>
      </c>
      <c r="N75" s="68" t="s">
        <v>9</v>
      </c>
      <c r="O75" s="24" t="s">
        <v>80</v>
      </c>
      <c r="P75" s="19"/>
      <c r="Q75" s="12"/>
      <c r="R75" s="12"/>
    </row>
    <row r="76" spans="1:19">
      <c r="A76" s="71" t="s">
        <v>173</v>
      </c>
      <c r="B76" s="38">
        <f t="shared" si="23"/>
        <v>632</v>
      </c>
      <c r="C76" s="40">
        <v>478</v>
      </c>
      <c r="D76" s="43">
        <v>101.3</v>
      </c>
      <c r="E76" s="41" t="s">
        <v>9</v>
      </c>
      <c r="F76" s="45" t="s">
        <v>9</v>
      </c>
      <c r="G76" s="41" t="s">
        <v>9</v>
      </c>
      <c r="H76" s="45" t="s">
        <v>9</v>
      </c>
      <c r="I76" s="41" t="s">
        <v>9</v>
      </c>
      <c r="J76" s="45" t="s">
        <v>9</v>
      </c>
      <c r="K76" s="41" t="s">
        <v>9</v>
      </c>
      <c r="L76" s="45" t="s">
        <v>9</v>
      </c>
      <c r="M76" s="40">
        <v>154</v>
      </c>
      <c r="N76" s="68">
        <v>19.704000000000001</v>
      </c>
      <c r="O76" s="24" t="s">
        <v>81</v>
      </c>
      <c r="P76" s="19"/>
      <c r="Q76" s="12"/>
      <c r="R76" s="12"/>
    </row>
    <row r="77" spans="1:19" ht="17.399999999999999" customHeight="1">
      <c r="A77" s="48" t="s">
        <v>82</v>
      </c>
      <c r="B77" s="39">
        <f>SUM(B78:B90)</f>
        <v>1865</v>
      </c>
      <c r="C77" s="29">
        <f t="shared" ref="C77:N77" si="24">SUM(C78:C90)</f>
        <v>1193</v>
      </c>
      <c r="D77" s="60">
        <f t="shared" si="24"/>
        <v>91.76</v>
      </c>
      <c r="E77" s="29">
        <f t="shared" si="24"/>
        <v>15</v>
      </c>
      <c r="F77" s="60">
        <f t="shared" si="24"/>
        <v>0.625</v>
      </c>
      <c r="G77" s="29">
        <f t="shared" si="24"/>
        <v>0</v>
      </c>
      <c r="H77" s="60">
        <f t="shared" si="24"/>
        <v>0</v>
      </c>
      <c r="I77" s="29">
        <f t="shared" si="24"/>
        <v>114</v>
      </c>
      <c r="J77" s="60">
        <f t="shared" si="24"/>
        <v>8.4499999999999993</v>
      </c>
      <c r="K77" s="29">
        <f t="shared" si="24"/>
        <v>5</v>
      </c>
      <c r="L77" s="60">
        <f t="shared" si="24"/>
        <v>0.45</v>
      </c>
      <c r="M77" s="29">
        <f t="shared" si="24"/>
        <v>538</v>
      </c>
      <c r="N77" s="69">
        <f t="shared" si="24"/>
        <v>46.458000000000006</v>
      </c>
      <c r="O77" s="14" t="s">
        <v>83</v>
      </c>
      <c r="P77" s="14"/>
      <c r="Q77" s="14"/>
      <c r="R77" s="12"/>
    </row>
    <row r="78" spans="1:19">
      <c r="A78" s="71" t="s">
        <v>174</v>
      </c>
      <c r="B78" s="38">
        <f t="shared" ref="B78:B90" si="25">SUM(C78,E78,G78,I78,K78,M78)</f>
        <v>0</v>
      </c>
      <c r="C78" s="41" t="s">
        <v>9</v>
      </c>
      <c r="D78" s="45" t="s">
        <v>9</v>
      </c>
      <c r="E78" s="41" t="s">
        <v>9</v>
      </c>
      <c r="F78" s="45" t="s">
        <v>9</v>
      </c>
      <c r="G78" s="41" t="s">
        <v>9</v>
      </c>
      <c r="H78" s="45" t="s">
        <v>9</v>
      </c>
      <c r="I78" s="41" t="s">
        <v>9</v>
      </c>
      <c r="J78" s="45" t="s">
        <v>9</v>
      </c>
      <c r="K78" s="41" t="s">
        <v>9</v>
      </c>
      <c r="L78" s="45" t="s">
        <v>9</v>
      </c>
      <c r="M78" s="40" t="s">
        <v>9</v>
      </c>
      <c r="N78" s="68" t="s">
        <v>9</v>
      </c>
      <c r="O78" s="24" t="s">
        <v>84</v>
      </c>
      <c r="P78" s="19"/>
      <c r="Q78" s="12"/>
      <c r="R78" s="12"/>
    </row>
    <row r="79" spans="1:19">
      <c r="A79" s="71" t="s">
        <v>175</v>
      </c>
      <c r="B79" s="38">
        <f t="shared" si="25"/>
        <v>2</v>
      </c>
      <c r="C79" s="40">
        <v>2</v>
      </c>
      <c r="D79" s="43">
        <v>0.3</v>
      </c>
      <c r="E79" s="41" t="s">
        <v>9</v>
      </c>
      <c r="F79" s="45" t="s">
        <v>9</v>
      </c>
      <c r="G79" s="41" t="s">
        <v>9</v>
      </c>
      <c r="H79" s="45" t="s">
        <v>9</v>
      </c>
      <c r="I79" s="41" t="s">
        <v>9</v>
      </c>
      <c r="J79" s="45" t="s">
        <v>9</v>
      </c>
      <c r="K79" s="41" t="s">
        <v>9</v>
      </c>
      <c r="L79" s="45" t="s">
        <v>9</v>
      </c>
      <c r="M79" s="40" t="s">
        <v>9</v>
      </c>
      <c r="N79" s="68" t="s">
        <v>9</v>
      </c>
      <c r="O79" s="24" t="s">
        <v>85</v>
      </c>
      <c r="P79" s="19"/>
      <c r="Q79" s="12"/>
      <c r="R79" s="12"/>
    </row>
    <row r="80" spans="1:19">
      <c r="A80" s="71" t="s">
        <v>176</v>
      </c>
      <c r="B80" s="38">
        <f t="shared" si="25"/>
        <v>85</v>
      </c>
      <c r="C80" s="40">
        <v>80</v>
      </c>
      <c r="D80" s="43">
        <v>15.95</v>
      </c>
      <c r="E80" s="41" t="s">
        <v>9</v>
      </c>
      <c r="F80" s="45" t="s">
        <v>9</v>
      </c>
      <c r="G80" s="41" t="s">
        <v>9</v>
      </c>
      <c r="H80" s="45" t="s">
        <v>9</v>
      </c>
      <c r="I80" s="41" t="s">
        <v>9</v>
      </c>
      <c r="J80" s="45" t="s">
        <v>9</v>
      </c>
      <c r="K80" s="40">
        <v>5</v>
      </c>
      <c r="L80" s="43">
        <v>0.45</v>
      </c>
      <c r="M80" s="40" t="s">
        <v>9</v>
      </c>
      <c r="N80" s="68" t="s">
        <v>9</v>
      </c>
      <c r="O80" s="24" t="s">
        <v>86</v>
      </c>
      <c r="P80" s="19"/>
      <c r="Q80" s="12"/>
      <c r="R80" s="12"/>
    </row>
    <row r="81" spans="1:18">
      <c r="A81" s="71" t="s">
        <v>177</v>
      </c>
      <c r="B81" s="38">
        <f t="shared" si="25"/>
        <v>600</v>
      </c>
      <c r="C81" s="40">
        <v>350</v>
      </c>
      <c r="D81" s="43">
        <v>30</v>
      </c>
      <c r="E81" s="41" t="s">
        <v>9</v>
      </c>
      <c r="F81" s="45" t="s">
        <v>9</v>
      </c>
      <c r="G81" s="41" t="s">
        <v>9</v>
      </c>
      <c r="H81" s="45" t="s">
        <v>9</v>
      </c>
      <c r="I81" s="40">
        <v>100</v>
      </c>
      <c r="J81" s="43">
        <v>8</v>
      </c>
      <c r="K81" s="41" t="s">
        <v>9</v>
      </c>
      <c r="L81" s="45" t="s">
        <v>9</v>
      </c>
      <c r="M81" s="40">
        <v>150</v>
      </c>
      <c r="N81" s="68">
        <v>12.15</v>
      </c>
      <c r="O81" s="24" t="s">
        <v>87</v>
      </c>
      <c r="P81" s="19"/>
      <c r="Q81" s="12"/>
      <c r="R81" s="12"/>
    </row>
    <row r="82" spans="1:18">
      <c r="A82" s="71" t="s">
        <v>178</v>
      </c>
      <c r="B82" s="38">
        <f t="shared" si="25"/>
        <v>104</v>
      </c>
      <c r="C82" s="40">
        <v>76</v>
      </c>
      <c r="D82" s="43">
        <v>12.03</v>
      </c>
      <c r="E82" s="40">
        <v>15</v>
      </c>
      <c r="F82" s="43">
        <v>0.625</v>
      </c>
      <c r="G82" s="41" t="s">
        <v>9</v>
      </c>
      <c r="H82" s="45" t="s">
        <v>9</v>
      </c>
      <c r="I82" s="40">
        <v>10</v>
      </c>
      <c r="J82" s="43">
        <v>0.35</v>
      </c>
      <c r="K82" s="41" t="s">
        <v>9</v>
      </c>
      <c r="L82" s="45" t="s">
        <v>9</v>
      </c>
      <c r="M82" s="40">
        <v>3</v>
      </c>
      <c r="N82" s="68">
        <v>2.3E-2</v>
      </c>
      <c r="O82" s="24" t="s">
        <v>88</v>
      </c>
      <c r="P82" s="19"/>
      <c r="Q82" s="12"/>
      <c r="R82" s="12"/>
    </row>
    <row r="83" spans="1:18">
      <c r="A83" s="71" t="s">
        <v>179</v>
      </c>
      <c r="B83" s="38">
        <f t="shared" si="25"/>
        <v>0</v>
      </c>
      <c r="C83" s="41" t="s">
        <v>9</v>
      </c>
      <c r="D83" s="45" t="s">
        <v>9</v>
      </c>
      <c r="E83" s="41" t="s">
        <v>9</v>
      </c>
      <c r="F83" s="45" t="s">
        <v>9</v>
      </c>
      <c r="G83" s="41" t="s">
        <v>9</v>
      </c>
      <c r="H83" s="45" t="s">
        <v>9</v>
      </c>
      <c r="I83" s="41" t="s">
        <v>9</v>
      </c>
      <c r="J83" s="45" t="s">
        <v>9</v>
      </c>
      <c r="K83" s="41" t="s">
        <v>9</v>
      </c>
      <c r="L83" s="45" t="s">
        <v>9</v>
      </c>
      <c r="M83" s="40" t="s">
        <v>9</v>
      </c>
      <c r="N83" s="68" t="s">
        <v>9</v>
      </c>
      <c r="O83" s="24" t="s">
        <v>89</v>
      </c>
      <c r="P83" s="19"/>
      <c r="Q83" s="12"/>
      <c r="R83" s="12"/>
    </row>
    <row r="84" spans="1:18">
      <c r="A84" s="71" t="s">
        <v>180</v>
      </c>
      <c r="B84" s="38">
        <f t="shared" si="25"/>
        <v>188</v>
      </c>
      <c r="C84" s="40">
        <v>150</v>
      </c>
      <c r="D84" s="43">
        <v>2.5499999999999998</v>
      </c>
      <c r="E84" s="41" t="s">
        <v>9</v>
      </c>
      <c r="F84" s="45" t="s">
        <v>9</v>
      </c>
      <c r="G84" s="41" t="s">
        <v>9</v>
      </c>
      <c r="H84" s="45" t="s">
        <v>9</v>
      </c>
      <c r="I84" s="41" t="s">
        <v>9</v>
      </c>
      <c r="J84" s="45" t="s">
        <v>9</v>
      </c>
      <c r="K84" s="41" t="s">
        <v>9</v>
      </c>
      <c r="L84" s="45" t="s">
        <v>9</v>
      </c>
      <c r="M84" s="40">
        <v>38</v>
      </c>
      <c r="N84" s="68">
        <v>17.238</v>
      </c>
      <c r="O84" s="24" t="s">
        <v>90</v>
      </c>
      <c r="P84" s="19"/>
      <c r="Q84" s="12"/>
      <c r="R84" s="12"/>
    </row>
    <row r="85" spans="1:18">
      <c r="A85" s="71" t="s">
        <v>181</v>
      </c>
      <c r="B85" s="38">
        <f t="shared" si="25"/>
        <v>0</v>
      </c>
      <c r="C85" s="41" t="s">
        <v>9</v>
      </c>
      <c r="D85" s="45" t="s">
        <v>9</v>
      </c>
      <c r="E85" s="41" t="s">
        <v>9</v>
      </c>
      <c r="F85" s="45" t="s">
        <v>9</v>
      </c>
      <c r="G85" s="41" t="s">
        <v>9</v>
      </c>
      <c r="H85" s="45" t="s">
        <v>9</v>
      </c>
      <c r="I85" s="41" t="s">
        <v>9</v>
      </c>
      <c r="J85" s="45" t="s">
        <v>9</v>
      </c>
      <c r="K85" s="41" t="s">
        <v>9</v>
      </c>
      <c r="L85" s="45" t="s">
        <v>9</v>
      </c>
      <c r="M85" s="40" t="s">
        <v>9</v>
      </c>
      <c r="N85" s="68" t="s">
        <v>9</v>
      </c>
      <c r="O85" s="24" t="s">
        <v>91</v>
      </c>
      <c r="P85" s="19"/>
      <c r="Q85" s="12"/>
      <c r="R85" s="12"/>
    </row>
    <row r="86" spans="1:18">
      <c r="A86" s="71" t="s">
        <v>182</v>
      </c>
      <c r="B86" s="38">
        <f t="shared" si="25"/>
        <v>0</v>
      </c>
      <c r="C86" s="41" t="s">
        <v>9</v>
      </c>
      <c r="D86" s="45" t="s">
        <v>9</v>
      </c>
      <c r="E86" s="41" t="s">
        <v>9</v>
      </c>
      <c r="F86" s="45" t="s">
        <v>9</v>
      </c>
      <c r="G86" s="41" t="s">
        <v>9</v>
      </c>
      <c r="H86" s="45" t="s">
        <v>9</v>
      </c>
      <c r="I86" s="41" t="s">
        <v>9</v>
      </c>
      <c r="J86" s="45" t="s">
        <v>9</v>
      </c>
      <c r="K86" s="41" t="s">
        <v>9</v>
      </c>
      <c r="L86" s="45" t="s">
        <v>9</v>
      </c>
      <c r="M86" s="40" t="s">
        <v>9</v>
      </c>
      <c r="N86" s="68" t="s">
        <v>9</v>
      </c>
      <c r="O86" s="24" t="s">
        <v>92</v>
      </c>
      <c r="P86" s="19"/>
      <c r="Q86" s="12"/>
      <c r="R86" s="12"/>
    </row>
    <row r="87" spans="1:18">
      <c r="A87" s="71" t="s">
        <v>183</v>
      </c>
      <c r="B87" s="38">
        <f t="shared" si="25"/>
        <v>507</v>
      </c>
      <c r="C87" s="40">
        <v>299</v>
      </c>
      <c r="D87" s="43">
        <v>24.5</v>
      </c>
      <c r="E87" s="41" t="s">
        <v>9</v>
      </c>
      <c r="F87" s="45" t="s">
        <v>9</v>
      </c>
      <c r="G87" s="41" t="s">
        <v>9</v>
      </c>
      <c r="H87" s="45" t="s">
        <v>9</v>
      </c>
      <c r="I87" s="40">
        <v>4</v>
      </c>
      <c r="J87" s="43">
        <v>0.1</v>
      </c>
      <c r="K87" s="41" t="s">
        <v>9</v>
      </c>
      <c r="L87" s="45" t="s">
        <v>9</v>
      </c>
      <c r="M87" s="40">
        <v>204</v>
      </c>
      <c r="N87" s="68">
        <v>12.954000000000001</v>
      </c>
      <c r="O87" s="24" t="s">
        <v>93</v>
      </c>
      <c r="P87" s="19"/>
      <c r="Q87" s="12"/>
      <c r="R87" s="12"/>
    </row>
    <row r="88" spans="1:18">
      <c r="A88" s="71" t="s">
        <v>184</v>
      </c>
      <c r="B88" s="38">
        <f t="shared" si="25"/>
        <v>205</v>
      </c>
      <c r="C88" s="40">
        <v>205</v>
      </c>
      <c r="D88" s="43">
        <v>2</v>
      </c>
      <c r="E88" s="41" t="s">
        <v>9</v>
      </c>
      <c r="F88" s="45" t="s">
        <v>9</v>
      </c>
      <c r="G88" s="41" t="s">
        <v>9</v>
      </c>
      <c r="H88" s="45" t="s">
        <v>9</v>
      </c>
      <c r="I88" s="41" t="s">
        <v>9</v>
      </c>
      <c r="J88" s="45" t="s">
        <v>9</v>
      </c>
      <c r="K88" s="41" t="s">
        <v>9</v>
      </c>
      <c r="L88" s="45" t="s">
        <v>9</v>
      </c>
      <c r="M88" s="40" t="s">
        <v>9</v>
      </c>
      <c r="N88" s="68" t="s">
        <v>9</v>
      </c>
      <c r="O88" s="24" t="s">
        <v>94</v>
      </c>
      <c r="P88" s="19"/>
      <c r="Q88" s="12"/>
      <c r="R88" s="12"/>
    </row>
    <row r="89" spans="1:18">
      <c r="A89" s="71" t="s">
        <v>185</v>
      </c>
      <c r="B89" s="38">
        <f t="shared" si="25"/>
        <v>156</v>
      </c>
      <c r="C89" s="40">
        <v>16</v>
      </c>
      <c r="D89" s="43">
        <v>3.2</v>
      </c>
      <c r="E89" s="41" t="s">
        <v>9</v>
      </c>
      <c r="F89" s="45" t="s">
        <v>9</v>
      </c>
      <c r="G89" s="41" t="s">
        <v>9</v>
      </c>
      <c r="H89" s="45" t="s">
        <v>9</v>
      </c>
      <c r="I89" s="41" t="s">
        <v>9</v>
      </c>
      <c r="J89" s="45" t="s">
        <v>9</v>
      </c>
      <c r="K89" s="41" t="s">
        <v>9</v>
      </c>
      <c r="L89" s="45" t="s">
        <v>9</v>
      </c>
      <c r="M89" s="40">
        <v>140</v>
      </c>
      <c r="N89" s="68">
        <v>3.64</v>
      </c>
      <c r="O89" s="24" t="s">
        <v>95</v>
      </c>
      <c r="P89" s="19"/>
      <c r="Q89" s="12"/>
      <c r="R89" s="12"/>
    </row>
    <row r="90" spans="1:18">
      <c r="A90" s="71" t="s">
        <v>186</v>
      </c>
      <c r="B90" s="38">
        <f t="shared" si="25"/>
        <v>18</v>
      </c>
      <c r="C90" s="40">
        <v>15</v>
      </c>
      <c r="D90" s="43">
        <v>1.23</v>
      </c>
      <c r="E90" s="41" t="s">
        <v>9</v>
      </c>
      <c r="F90" s="45" t="s">
        <v>9</v>
      </c>
      <c r="G90" s="41" t="s">
        <v>9</v>
      </c>
      <c r="H90" s="45" t="s">
        <v>9</v>
      </c>
      <c r="I90" s="41" t="s">
        <v>9</v>
      </c>
      <c r="J90" s="45" t="s">
        <v>9</v>
      </c>
      <c r="K90" s="41" t="s">
        <v>9</v>
      </c>
      <c r="L90" s="45" t="s">
        <v>9</v>
      </c>
      <c r="M90" s="40">
        <v>3</v>
      </c>
      <c r="N90" s="68">
        <v>0.45300000000000001</v>
      </c>
      <c r="O90" s="24" t="s">
        <v>96</v>
      </c>
      <c r="P90" s="19"/>
      <c r="Q90" s="12"/>
      <c r="R90" s="12"/>
    </row>
    <row r="91" spans="1:18" ht="16.2" customHeight="1">
      <c r="A91" s="48" t="s">
        <v>97</v>
      </c>
      <c r="B91" s="39">
        <f>SUM(B92:B95)</f>
        <v>6773</v>
      </c>
      <c r="C91" s="29">
        <f t="shared" ref="C91:N91" si="26">SUM(C92:C95)</f>
        <v>5147</v>
      </c>
      <c r="D91" s="60">
        <f t="shared" si="26"/>
        <v>845.28</v>
      </c>
      <c r="E91" s="29">
        <f t="shared" si="26"/>
        <v>250</v>
      </c>
      <c r="F91" s="60">
        <f t="shared" si="26"/>
        <v>55.2</v>
      </c>
      <c r="G91" s="29">
        <f t="shared" si="26"/>
        <v>1</v>
      </c>
      <c r="H91" s="60">
        <f t="shared" si="26"/>
        <v>0.1</v>
      </c>
      <c r="I91" s="29">
        <f t="shared" si="26"/>
        <v>64</v>
      </c>
      <c r="J91" s="60">
        <f t="shared" si="26"/>
        <v>12.870000000000001</v>
      </c>
      <c r="K91" s="29">
        <f t="shared" si="26"/>
        <v>53</v>
      </c>
      <c r="L91" s="60">
        <f t="shared" si="26"/>
        <v>36.799999999999997</v>
      </c>
      <c r="M91" s="29">
        <f t="shared" si="26"/>
        <v>1258</v>
      </c>
      <c r="N91" s="69">
        <f t="shared" si="26"/>
        <v>134.768</v>
      </c>
      <c r="O91" s="15" t="s">
        <v>98</v>
      </c>
      <c r="P91" s="15"/>
      <c r="Q91" s="15"/>
      <c r="R91" s="12"/>
    </row>
    <row r="92" spans="1:18">
      <c r="A92" s="71" t="s">
        <v>187</v>
      </c>
      <c r="B92" s="38">
        <f t="shared" ref="B92:B95" si="27">SUM(C92,E92,G92,I92,K92,M92)</f>
        <v>4300</v>
      </c>
      <c r="C92" s="40">
        <v>3415</v>
      </c>
      <c r="D92" s="43">
        <v>413.53</v>
      </c>
      <c r="E92" s="40">
        <v>245</v>
      </c>
      <c r="F92" s="43">
        <v>54.6</v>
      </c>
      <c r="G92" s="41" t="s">
        <v>9</v>
      </c>
      <c r="H92" s="45" t="s">
        <v>9</v>
      </c>
      <c r="I92" s="40">
        <v>20</v>
      </c>
      <c r="J92" s="43">
        <v>3.3</v>
      </c>
      <c r="K92" s="40">
        <v>53</v>
      </c>
      <c r="L92" s="43">
        <v>36.799999999999997</v>
      </c>
      <c r="M92" s="40">
        <v>567</v>
      </c>
      <c r="N92" s="68">
        <v>54.627000000000002</v>
      </c>
      <c r="O92" s="24" t="s">
        <v>99</v>
      </c>
      <c r="P92" s="19"/>
      <c r="Q92" s="12"/>
      <c r="R92" s="12"/>
    </row>
    <row r="93" spans="1:18" s="7" customFormat="1">
      <c r="A93" s="71" t="s">
        <v>188</v>
      </c>
      <c r="B93" s="38">
        <f t="shared" si="27"/>
        <v>1457</v>
      </c>
      <c r="C93" s="40">
        <v>877</v>
      </c>
      <c r="D93" s="43">
        <v>339.13</v>
      </c>
      <c r="E93" s="40">
        <v>5</v>
      </c>
      <c r="F93" s="43">
        <v>0.6</v>
      </c>
      <c r="G93" s="40">
        <v>1</v>
      </c>
      <c r="H93" s="43">
        <v>0.1</v>
      </c>
      <c r="I93" s="40">
        <v>44</v>
      </c>
      <c r="J93" s="43">
        <v>9.57</v>
      </c>
      <c r="K93" s="41" t="s">
        <v>9</v>
      </c>
      <c r="L93" s="45" t="s">
        <v>9</v>
      </c>
      <c r="M93" s="40">
        <v>530</v>
      </c>
      <c r="N93" s="68">
        <v>49.28</v>
      </c>
      <c r="O93" s="24" t="s">
        <v>100</v>
      </c>
      <c r="P93" s="19"/>
      <c r="Q93" s="19"/>
      <c r="R93" s="19"/>
    </row>
    <row r="94" spans="1:18" s="7" customFormat="1">
      <c r="A94" s="71" t="s">
        <v>189</v>
      </c>
      <c r="B94" s="38">
        <f t="shared" si="27"/>
        <v>854</v>
      </c>
      <c r="C94" s="40">
        <v>843</v>
      </c>
      <c r="D94" s="43">
        <v>91.4</v>
      </c>
      <c r="E94" s="41" t="s">
        <v>9</v>
      </c>
      <c r="F94" s="45" t="s">
        <v>9</v>
      </c>
      <c r="G94" s="41" t="s">
        <v>9</v>
      </c>
      <c r="H94" s="45" t="s">
        <v>9</v>
      </c>
      <c r="I94" s="41" t="s">
        <v>9</v>
      </c>
      <c r="J94" s="45" t="s">
        <v>9</v>
      </c>
      <c r="K94" s="41" t="s">
        <v>9</v>
      </c>
      <c r="L94" s="45" t="s">
        <v>9</v>
      </c>
      <c r="M94" s="40">
        <v>11</v>
      </c>
      <c r="N94" s="68">
        <v>1.2110000000000001</v>
      </c>
      <c r="O94" s="24" t="s">
        <v>101</v>
      </c>
      <c r="P94" s="19"/>
      <c r="Q94" s="19"/>
      <c r="R94" s="19"/>
    </row>
    <row r="95" spans="1:18" s="7" customFormat="1" ht="10.8" thickBot="1">
      <c r="A95" s="75" t="s">
        <v>190</v>
      </c>
      <c r="B95" s="49">
        <f t="shared" si="27"/>
        <v>162</v>
      </c>
      <c r="C95" s="50">
        <v>12</v>
      </c>
      <c r="D95" s="61">
        <v>1.22</v>
      </c>
      <c r="E95" s="51" t="s">
        <v>9</v>
      </c>
      <c r="F95" s="63" t="s">
        <v>9</v>
      </c>
      <c r="G95" s="51" t="s">
        <v>9</v>
      </c>
      <c r="H95" s="63" t="s">
        <v>9</v>
      </c>
      <c r="I95" s="51" t="s">
        <v>9</v>
      </c>
      <c r="J95" s="63" t="s">
        <v>9</v>
      </c>
      <c r="K95" s="51" t="s">
        <v>9</v>
      </c>
      <c r="L95" s="63" t="s">
        <v>9</v>
      </c>
      <c r="M95" s="50">
        <v>150</v>
      </c>
      <c r="N95" s="70">
        <v>29.65</v>
      </c>
      <c r="O95" s="53" t="s">
        <v>102</v>
      </c>
      <c r="P95" s="19"/>
      <c r="Q95" s="19"/>
      <c r="R95" s="19"/>
    </row>
    <row r="96" spans="1:18" ht="10.199999999999999" customHeight="1">
      <c r="A96" s="20" t="s">
        <v>103</v>
      </c>
      <c r="L96" s="64"/>
      <c r="M96" s="24"/>
      <c r="O96" s="24" t="s">
        <v>104</v>
      </c>
    </row>
    <row r="97" spans="1:15">
      <c r="A97" s="21" t="s">
        <v>114</v>
      </c>
      <c r="O97" s="3" t="s">
        <v>105</v>
      </c>
    </row>
    <row r="114" spans="21:21">
      <c r="U114" s="22" t="s">
        <v>106</v>
      </c>
    </row>
  </sheetData>
  <mergeCells count="13">
    <mergeCell ref="B2:N2"/>
    <mergeCell ref="B3:N3"/>
    <mergeCell ref="M6:N6"/>
    <mergeCell ref="C6:D6"/>
    <mergeCell ref="E6:F6"/>
    <mergeCell ref="G6:H6"/>
    <mergeCell ref="I6:J6"/>
    <mergeCell ref="K6:L6"/>
    <mergeCell ref="P63:S63"/>
    <mergeCell ref="P64:S64"/>
    <mergeCell ref="P65:S65"/>
    <mergeCell ref="P66:S66"/>
    <mergeCell ref="P67:S67"/>
  </mergeCells>
  <conditionalFormatting sqref="C10:L15 C17:L23 C25:L28 C30:L33 C35:L39 C41:L45 C47:L51 C53:L55 C57:L61 C64:L64 C70:L70 C67:L68 C72:L76 C78:L90 C92:L95">
    <cfRule type="cellIs" dxfId="0" priority="14" operator="equal">
      <formula>0</formula>
    </cfRule>
  </conditionalFormatting>
  <pageMargins left="0.7" right="0.7" top="0.75" bottom="0.75" header="0.3" footer="0.3"/>
  <pageSetup paperSize="9" orientation="portrait" r:id="rId1"/>
  <headerFooter alignWithMargins="0"/>
  <ignoredErrors>
    <ignoredError sqref="B10:C15 B18:C23 E10:E15 E18:E23 G10:G15 G18:G23 I10:K15 I18:K23 M10:M15 M18:M23" unlockedFormula="1"/>
    <ignoredError sqref="B16:N16 B24:N24 B17:C17 E17 B29:N29 B25:C28 E25:E28 B34:N34 B30:C33 E30:E33 B40:N40 B35:C39 E35:E39 B46:N46 B41:C45 E41:E45 B52:N52 B47:C51 E47:E51 B56:N56 B53:C55 E53:E55 B62:N62 B57:C61 E57:E61 B71:N71 B63:C70 E63:E70 B77:N77 B72:C76 E72:E76 B91:N91 B78:C90 E78:E90 B92:C95 E92:E95 G17 G25:G28 G30:G33 G35:G39 G41:G45 G47:G51 G53:G55 G57:G61 G63:K70 G72:K76 G78:I90 G92:G95 I17:K17 I25:I28 I30:M33 I35:I39 I41:I45 I47:I51 I53:I55 I57:I61 I92:I95 K25:K28 K35:K39 K41:K45 K47:M51 K53:K55 K57:K61 K78:K90 K92:K95 M17 M25:M28 M35:M39 M41:M45 M53:M55 M57:M61 M63:M70 M72:M76 M78:M90 M92:M95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2017-02-21T09:19:51Z</dcterms:modified>
</cp:coreProperties>
</file>