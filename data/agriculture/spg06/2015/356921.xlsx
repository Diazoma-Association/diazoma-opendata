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" windowWidth="15144" windowHeight="6000" firstSheet="1" activeTab="1"/>
  </bookViews>
  <sheets>
    <sheet name="ListOfValues" sheetId="1" state="hidden" r:id="rId1"/>
    <sheet name="Sheet2" sheetId="2" r:id="rId2"/>
  </sheets>
  <calcPr calcId="124519"/>
</workbook>
</file>

<file path=xl/calcChain.xml><?xml version="1.0" encoding="utf-8"?>
<calcChain xmlns="http://schemas.openxmlformats.org/spreadsheetml/2006/main">
  <c r="C12" i="2"/>
  <c r="B14"/>
  <c r="D12"/>
  <c r="D29"/>
  <c r="E29"/>
  <c r="F29"/>
  <c r="G29"/>
  <c r="H29"/>
  <c r="I29"/>
  <c r="J29"/>
  <c r="K29"/>
  <c r="L29"/>
  <c r="M29"/>
  <c r="N29"/>
  <c r="O29"/>
  <c r="P29"/>
  <c r="C29"/>
  <c r="G20"/>
  <c r="F20"/>
  <c r="E20"/>
  <c r="D20"/>
  <c r="H20"/>
  <c r="I20"/>
  <c r="J20"/>
  <c r="K20"/>
  <c r="L20"/>
  <c r="M20"/>
  <c r="N20"/>
  <c r="O20"/>
  <c r="P20"/>
  <c r="C20"/>
  <c r="B110"/>
  <c r="B109"/>
  <c r="B108"/>
  <c r="B107"/>
  <c r="B104"/>
  <c r="B103"/>
  <c r="B102"/>
  <c r="B101"/>
  <c r="B100"/>
  <c r="B99"/>
  <c r="B98"/>
  <c r="B97"/>
  <c r="B96"/>
  <c r="B95"/>
  <c r="B94"/>
  <c r="B93"/>
  <c r="B92"/>
  <c r="B89"/>
  <c r="B88"/>
  <c r="B87"/>
  <c r="B86"/>
  <c r="B85"/>
  <c r="B82"/>
  <c r="B81"/>
  <c r="B80"/>
  <c r="B79"/>
  <c r="B78"/>
  <c r="B77"/>
  <c r="B76"/>
  <c r="B73" s="1"/>
  <c r="B75"/>
  <c r="B72"/>
  <c r="B71"/>
  <c r="B70"/>
  <c r="B69"/>
  <c r="B68"/>
  <c r="B65"/>
  <c r="B64"/>
  <c r="B63"/>
  <c r="B60"/>
  <c r="B59"/>
  <c r="B58"/>
  <c r="B57"/>
  <c r="B56"/>
  <c r="B53"/>
  <c r="B52"/>
  <c r="B51"/>
  <c r="B50"/>
  <c r="B47" s="1"/>
  <c r="B49"/>
  <c r="B46"/>
  <c r="B45"/>
  <c r="B44"/>
  <c r="B43"/>
  <c r="B42"/>
  <c r="B39"/>
  <c r="B38"/>
  <c r="B37"/>
  <c r="B36"/>
  <c r="B34" s="1"/>
  <c r="B33"/>
  <c r="B32"/>
  <c r="B31"/>
  <c r="B30"/>
  <c r="B28"/>
  <c r="B27"/>
  <c r="B26"/>
  <c r="B25"/>
  <c r="B24"/>
  <c r="B23"/>
  <c r="B22"/>
  <c r="B19"/>
  <c r="B18"/>
  <c r="B17"/>
  <c r="B16"/>
  <c r="B15"/>
  <c r="P105"/>
  <c r="O105"/>
  <c r="N105"/>
  <c r="M105"/>
  <c r="L105"/>
  <c r="K105"/>
  <c r="J105"/>
  <c r="I105"/>
  <c r="H105"/>
  <c r="G105"/>
  <c r="F105"/>
  <c r="E105"/>
  <c r="D105"/>
  <c r="C105"/>
  <c r="P90"/>
  <c r="O90"/>
  <c r="N90"/>
  <c r="M90"/>
  <c r="L90"/>
  <c r="K90"/>
  <c r="J90"/>
  <c r="I90"/>
  <c r="H90"/>
  <c r="G90"/>
  <c r="F90"/>
  <c r="E90"/>
  <c r="D90"/>
  <c r="C90"/>
  <c r="P83"/>
  <c r="O83"/>
  <c r="N83"/>
  <c r="M83"/>
  <c r="L83"/>
  <c r="K83"/>
  <c r="J83"/>
  <c r="I83"/>
  <c r="H83"/>
  <c r="G83"/>
  <c r="F83"/>
  <c r="E83"/>
  <c r="D83"/>
  <c r="C83"/>
  <c r="P73"/>
  <c r="O73"/>
  <c r="N73"/>
  <c r="M73"/>
  <c r="L73"/>
  <c r="K73"/>
  <c r="J73"/>
  <c r="I73"/>
  <c r="H73"/>
  <c r="G73"/>
  <c r="F73"/>
  <c r="E73"/>
  <c r="D73"/>
  <c r="C73"/>
  <c r="P66"/>
  <c r="O66"/>
  <c r="N66"/>
  <c r="M66"/>
  <c r="L66"/>
  <c r="K66"/>
  <c r="J66"/>
  <c r="I66"/>
  <c r="H66"/>
  <c r="G66"/>
  <c r="F66"/>
  <c r="E66"/>
  <c r="D66"/>
  <c r="C66"/>
  <c r="P61"/>
  <c r="O61"/>
  <c r="N61"/>
  <c r="M61"/>
  <c r="L61"/>
  <c r="K61"/>
  <c r="J61"/>
  <c r="I61"/>
  <c r="H61"/>
  <c r="G61"/>
  <c r="F61"/>
  <c r="E61"/>
  <c r="D61"/>
  <c r="C61"/>
  <c r="P54"/>
  <c r="O54"/>
  <c r="N54"/>
  <c r="M54"/>
  <c r="L54"/>
  <c r="K54"/>
  <c r="J54"/>
  <c r="I54"/>
  <c r="H54"/>
  <c r="G54"/>
  <c r="F54"/>
  <c r="E54"/>
  <c r="D54"/>
  <c r="C54"/>
  <c r="P47"/>
  <c r="O47"/>
  <c r="N47"/>
  <c r="M47"/>
  <c r="L47"/>
  <c r="K47"/>
  <c r="J47"/>
  <c r="I47"/>
  <c r="H47"/>
  <c r="G47"/>
  <c r="F47"/>
  <c r="E47"/>
  <c r="D47"/>
  <c r="C47"/>
  <c r="P40"/>
  <c r="O40"/>
  <c r="N40"/>
  <c r="M40"/>
  <c r="L40"/>
  <c r="K40"/>
  <c r="J40"/>
  <c r="I40"/>
  <c r="H40"/>
  <c r="G40"/>
  <c r="F40"/>
  <c r="E40"/>
  <c r="D40"/>
  <c r="C40"/>
  <c r="P34"/>
  <c r="O34"/>
  <c r="N34"/>
  <c r="M34"/>
  <c r="L34"/>
  <c r="K34"/>
  <c r="J34"/>
  <c r="I34"/>
  <c r="H34"/>
  <c r="G34"/>
  <c r="F34"/>
  <c r="E34"/>
  <c r="D34"/>
  <c r="C34"/>
  <c r="P12"/>
  <c r="O12"/>
  <c r="N12"/>
  <c r="M12"/>
  <c r="L12"/>
  <c r="K12"/>
  <c r="J12"/>
  <c r="I12"/>
  <c r="H12"/>
  <c r="G12"/>
  <c r="F12"/>
  <c r="E12"/>
  <c r="B90" l="1"/>
  <c r="E10"/>
  <c r="G10"/>
  <c r="B29"/>
  <c r="B105"/>
  <c r="B66"/>
  <c r="B54"/>
  <c r="B40"/>
  <c r="B20"/>
  <c r="B12"/>
  <c r="B83"/>
  <c r="B61"/>
  <c r="I10"/>
  <c r="K10"/>
  <c r="M10"/>
  <c r="O10"/>
  <c r="C10"/>
  <c r="F10"/>
  <c r="H10"/>
  <c r="J10"/>
  <c r="L10"/>
  <c r="N10"/>
  <c r="P10"/>
  <c r="D10"/>
  <c r="B10" l="1"/>
</calcChain>
</file>

<file path=xl/sharedStrings.xml><?xml version="1.0" encoding="utf-8"?>
<sst xmlns="http://schemas.openxmlformats.org/spreadsheetml/2006/main" count="479" uniqueCount="296">
  <si>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</si>
  <si>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</si>
  <si>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</si>
  <si>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</si>
  <si>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</si>
  <si>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</si>
  <si>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</si>
  <si>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</si>
  <si>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</si>
  <si>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</si>
  <si>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</si>
  <si>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</si>
  <si>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</si>
  <si>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</si>
  <si>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</si>
  <si>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</si>
  <si>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</si>
  <si>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</si>
  <si>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</si>
  <si>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</si>
  <si>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</si>
  <si>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</si>
  <si>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</si>
  <si>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</si>
  <si>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</si>
  <si>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</si>
  <si>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</si>
  <si>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</si>
  <si>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</si>
  <si>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</si>
  <si>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</si>
  <si>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</si>
  <si>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</si>
  <si>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</si>
  <si>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</si>
  <si>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</si>
  <si>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</si>
  <si>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</si>
  <si>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</si>
  <si>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</si>
  <si>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</si>
  <si>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</si>
  <si>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</si>
  <si>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</si>
  <si>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</si>
  <si>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</si>
  <si>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</si>
  <si>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</si>
  <si>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</si>
  <si>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</si>
  <si>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</si>
  <si>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</si>
  <si>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</si>
  <si>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</si>
  <si>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</si>
  <si>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</si>
  <si>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</si>
  <si>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</si>
  <si>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</si>
  <si>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</si>
  <si>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</si>
  <si>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</si>
  <si>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</si>
  <si>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</si>
  <si>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</si>
  <si>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</si>
  <si>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</si>
  <si>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</si>
  <si>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</si>
  <si>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</si>
  <si>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</si>
  <si>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</si>
  <si>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</si>
  <si>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</si>
  <si>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</si>
  <si>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</si>
  <si>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</si>
  <si>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</si>
  <si>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</si>
  <si>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</si>
  <si>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</si>
  <si>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</si>
  <si>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</si>
  <si>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</si>
  <si>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</si>
  <si>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</si>
  <si>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</si>
  <si>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</si>
  <si>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</si>
  <si>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</si>
  <si>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</si>
  <si>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</si>
  <si>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</si>
  <si>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</si>
  <si>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</si>
  <si>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</si>
  <si>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</si>
  <si>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</si>
  <si>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</si>
  <si>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</si>
  <si>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</si>
  <si>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</si>
  <si>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</si>
  <si>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</si>
  <si>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</si>
  <si>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</si>
  <si>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</si>
  <si>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</si>
  <si>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</si>
  <si>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</si>
  <si>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</si>
  <si>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</si>
  <si>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</si>
  <si>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</si>
  <si>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</si>
  <si>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</si>
  <si>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</si>
  <si>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</si>
  <si>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</si>
  <si>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</si>
  <si>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</si>
  <si>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</si>
  <si>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</si>
  <si>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</si>
  <si>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</si>
  <si>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</si>
  <si>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</si>
  <si>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</si>
  <si>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</si>
  <si>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</si>
  <si>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</si>
  <si>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</si>
  <si>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</si>
  <si>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</si>
  <si>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</si>
  <si>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</si>
  <si>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</si>
  <si>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</si>
  <si>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</si>
  <si>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</si>
  <si>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</si>
  <si>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</si>
  <si>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</si>
  <si>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</si>
  <si>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</si>
  <si>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</si>
  <si>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</si>
  <si>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</si>
  <si>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</si>
  <si>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</si>
  <si>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</si>
  <si>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</si>
  <si>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</si>
  <si>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</si>
  <si>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</si>
  <si>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</si>
  <si>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</si>
  <si>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</si>
  <si>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</si>
  <si>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</si>
  <si>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</si>
  <si>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</si>
  <si>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</si>
  <si>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</si>
  <si>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</si>
  <si>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</si>
  <si>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</si>
  <si>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</si>
  <si>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</si>
  <si>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</si>
  <si>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</si>
  <si>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</si>
  <si>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</si>
  <si>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</si>
  <si>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</si>
  <si>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</si>
  <si>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</si>
  <si>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</si>
  <si>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</si>
  <si>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</si>
  <si>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</si>
  <si>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</si>
  <si>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</si>
  <si>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</si>
  <si>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</si>
  <si>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</si>
  <si>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</si>
  <si>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</si>
  <si>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</si>
  <si>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</si>
  <si>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</si>
  <si>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</si>
  <si>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</si>
  <si>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</si>
  <si>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</si>
  <si>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</si>
  <si>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</si>
  <si>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</si>
  <si>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</si>
  <si>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</si>
  <si>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</si>
  <si>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</si>
  <si>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</si>
  <si>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</si>
  <si>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</si>
  <si>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</si>
  <si>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</si>
  <si>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</si>
  <si>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</si>
  <si>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</si>
  <si>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</si>
  <si>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</si>
  <si>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</si>
  <si>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</si>
  <si>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</si>
  <si>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</si>
  <si>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</si>
  <si>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</si>
  <si>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</si>
  <si>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</si>
  <si>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</si>
  <si>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</si>
  <si>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</si>
  <si>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</si>
  <si>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</si>
  <si>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</si>
  <si>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</si>
  <si>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</si>
  <si>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</si>
  <si>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</si>
  <si>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</si>
  <si>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</si>
  <si>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</si>
  <si>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</si>
  <si>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</si>
  <si>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</si>
  <si>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</si>
  <si>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</si>
  <si>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</si>
  <si>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</si>
  <si>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</si>
  <si>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</si>
  <si>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</si>
  <si>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</si>
  <si>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</si>
  <si>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</si>
  <si>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</si>
  <si>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</si>
  <si>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</si>
  <si>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</si>
  <si>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</si>
  <si>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</si>
  <si>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</si>
  <si>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</si>
  <si>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</si>
  <si>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</si>
  <si>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</si>
  <si>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</si>
  <si>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</si>
  <si>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</si>
  <si>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</si>
  <si>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</si>
  <si>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</si>
  <si>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</si>
  <si>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</si>
  <si>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</si>
  <si>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</si>
  <si>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</si>
  <si>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</si>
  <si>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</si>
  <si>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</si>
  <si>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</si>
  <si>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</si>
  <si>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</si>
  <si>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Κεντρικού Τομέα Αθηνών</t>
  </si>
  <si>
    <t>Βορείου Τομέα Αθηνών</t>
  </si>
  <si>
    <t>1=areas  2=production</t>
  </si>
  <si>
    <t>Τριφύλλια - Clovers</t>
  </si>
  <si>
    <t>Πολυετή (μηδική, κλπ.) Multiannual (alfalfa, etc)</t>
  </si>
  <si>
    <r>
      <t>Λοιπά σανά</t>
    </r>
    <r>
      <rPr>
        <vertAlign val="superscript"/>
        <sz val="8"/>
        <rFont val="Arial"/>
        <family val="2"/>
        <charset val="161"/>
      </rPr>
      <t xml:space="preserve">(2) </t>
    </r>
    <r>
      <rPr>
        <sz val="8"/>
        <rFont val="Arial"/>
        <family val="2"/>
        <charset val="161"/>
      </rPr>
      <t>Other</t>
    </r>
    <r>
      <rPr>
        <vertAlign val="superscript"/>
        <sz val="8"/>
        <rFont val="Arial"/>
        <family val="2"/>
        <charset val="161"/>
      </rPr>
      <t>(2)</t>
    </r>
  </si>
  <si>
    <t>(1) Production refers to hey from self-grown grass or grass from fallow land</t>
  </si>
  <si>
    <t>(2) Bitter veltch, veltching, peas, lentil, etc.</t>
  </si>
  <si>
    <t>(2) Ρόβη, λαθούρι, μπιζέλια, φακή κλπ.</t>
  </si>
  <si>
    <t>Περιφέρειες και Περιφερειακές Ενότητες</t>
  </si>
  <si>
    <t>—</t>
  </si>
  <si>
    <t>(1) Η παραγωγή αναφέρεται σε σανό αυτοφυούς χόρτου (κοφτολίβαδων και χόρτου αγραναπαύσεων</t>
  </si>
  <si>
    <t>Περιφέρεια Δυτικής Μακεδονίας</t>
  </si>
  <si>
    <t>Region of Western Macedonia</t>
  </si>
  <si>
    <t xml:space="preserve"> Κριθάρι
Barley</t>
  </si>
  <si>
    <t>Βρώμη
Oats</t>
  </si>
  <si>
    <t>Βίκος
Veltch</t>
  </si>
  <si>
    <t>Ετήσια
Annual</t>
  </si>
  <si>
    <r>
      <t>Κοφτολίβαδα (Σανός)</t>
    </r>
    <r>
      <rPr>
        <vertAlign val="superscript"/>
        <sz val="8"/>
        <rFont val="Arial"/>
        <family val="2"/>
        <charset val="161"/>
      </rPr>
      <t xml:space="preserve">(1)
</t>
    </r>
    <r>
      <rPr>
        <sz val="8"/>
        <rFont val="Arial"/>
        <family val="2"/>
        <charset val="161"/>
      </rPr>
      <t>Grass cut for hey</t>
    </r>
    <r>
      <rPr>
        <vertAlign val="superscript"/>
        <sz val="8"/>
        <rFont val="Arial"/>
        <family val="2"/>
        <charset val="161"/>
      </rPr>
      <t>(1)</t>
    </r>
  </si>
  <si>
    <t>Σύνολο
Εκτάσεων
Total
Area</t>
  </si>
  <si>
    <t>Πίνακας 2ε. Κτηνοτροφικά φυτά για σανό. Εκτάσεις και παραγωγή, κατά Περιφέρεια και Περιφερειακή Ενότητα, 2015</t>
  </si>
  <si>
    <t>Table 2e. Fodder plants for hey. Areas and production, by Region and Regional Unities, 2015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</si>
</sst>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vertAlign val="superscript"/>
      <sz val="8"/>
      <name val="Arial"/>
      <family val="2"/>
      <charset val="161"/>
    </font>
    <font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10"/>
      <color theme="1"/>
      <name val="Arial"/>
      <family val="2"/>
      <charset val="161"/>
    </font>
    <font>
      <sz val="8"/>
      <color rgb="FF000000"/>
      <name val="Arial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8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4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4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NumberFormat="1" applyFont="1" applyFill="1" applyBorder="1" applyAlignment="1" applyProtection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5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NumberFormat="1" applyFont="1" applyFill="1" applyBorder="1" applyAlignment="1" applyProtection="1"/>
    <xf numFmtId="49" fontId="3" fillId="6" borderId="2" xfId="0" applyNumberFormat="1" applyFont="1" applyFill="1" applyBorder="1"/>
    <xf numFmtId="0" fontId="5" fillId="6" borderId="2" xfId="0" applyNumberFormat="1" applyFont="1" applyFill="1" applyBorder="1" applyAlignment="1" applyProtection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5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2" xfId="0" applyNumberFormat="1" applyFont="1" applyFill="1" applyBorder="1" applyAlignment="1" applyProtection="1"/>
    <xf numFmtId="0" fontId="2" fillId="6" borderId="3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1" xfId="0" applyNumberFormat="1" applyFont="1" applyFill="1" applyBorder="1"/>
    <xf numFmtId="49" fontId="7" fillId="8" borderId="0" xfId="0" applyNumberFormat="1" applyFont="1" applyFill="1" applyBorder="1"/>
    <xf numFmtId="0" fontId="2" fillId="8" borderId="2" xfId="0" applyNumberFormat="1" applyFont="1" applyFill="1" applyBorder="1" applyAlignment="1" applyProtection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6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1" fillId="8" borderId="7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13" fillId="0" borderId="0" xfId="0" applyFont="1" applyProtection="1">
      <protection locked="0"/>
    </xf>
    <xf numFmtId="0" fontId="10" fillId="0" borderId="7" xfId="0" applyNumberFormat="1" applyFont="1" applyFill="1" applyBorder="1" applyAlignment="1" applyProtection="1">
      <protection locked="0"/>
    </xf>
    <xf numFmtId="0" fontId="11" fillId="0" borderId="13" xfId="0" applyFont="1" applyBorder="1" applyAlignment="1" applyProtection="1">
      <alignment horizontal="center"/>
      <protection locked="0"/>
    </xf>
    <xf numFmtId="0" fontId="11" fillId="0" borderId="14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protection locked="0"/>
    </xf>
    <xf numFmtId="0" fontId="9" fillId="0" borderId="0" xfId="0" applyNumberFormat="1" applyFont="1" applyFill="1" applyBorder="1" applyAlignment="1" applyProtection="1">
      <alignment vertical="center" wrapText="1"/>
      <protection locked="0"/>
    </xf>
    <xf numFmtId="49" fontId="13" fillId="0" borderId="0" xfId="0" applyNumberFormat="1" applyFont="1" applyAlignment="1" applyProtection="1">
      <alignment horizontal="left" wrapText="1" indent="1"/>
      <protection locked="0"/>
    </xf>
    <xf numFmtId="0" fontId="13" fillId="0" borderId="0" xfId="0" applyFont="1" applyAlignment="1" applyProtection="1">
      <alignment horizontal="left" indent="1"/>
      <protection locked="0"/>
    </xf>
    <xf numFmtId="49" fontId="13" fillId="0" borderId="0" xfId="0" applyNumberFormat="1" applyFont="1" applyAlignment="1" applyProtection="1">
      <alignment horizontal="left" indent="2"/>
      <protection locked="0"/>
    </xf>
    <xf numFmtId="49" fontId="13" fillId="0" borderId="0" xfId="0" applyNumberFormat="1" applyFont="1" applyAlignment="1" applyProtection="1">
      <alignment horizontal="left" wrapText="1" indent="2"/>
      <protection locked="0"/>
    </xf>
    <xf numFmtId="0" fontId="14" fillId="0" borderId="0" xfId="0" applyFont="1" applyAlignment="1" applyProtection="1">
      <protection locked="0"/>
    </xf>
    <xf numFmtId="0" fontId="13" fillId="0" borderId="0" xfId="0" applyFont="1" applyBorder="1" applyAlignment="1" applyProtection="1">
      <protection locked="0"/>
    </xf>
    <xf numFmtId="49" fontId="13" fillId="0" borderId="7" xfId="0" applyNumberFormat="1" applyFont="1" applyBorder="1" applyAlignment="1" applyProtection="1">
      <alignment horizontal="left" wrapText="1" indent="1"/>
      <protection locked="0"/>
    </xf>
    <xf numFmtId="0" fontId="13" fillId="0" borderId="7" xfId="0" applyFont="1" applyBorder="1" applyAlignment="1" applyProtection="1">
      <alignment horizontal="left" indent="1"/>
      <protection locked="0"/>
    </xf>
    <xf numFmtId="0" fontId="13" fillId="0" borderId="7" xfId="0" applyFont="1" applyBorder="1" applyAlignment="1" applyProtection="1">
      <protection locked="0"/>
    </xf>
    <xf numFmtId="49" fontId="13" fillId="0" borderId="0" xfId="0" applyNumberFormat="1" applyFont="1" applyAlignment="1" applyProtection="1">
      <alignment wrapText="1"/>
      <protection locked="0"/>
    </xf>
    <xf numFmtId="49" fontId="13" fillId="0" borderId="0" xfId="0" applyNumberFormat="1" applyFont="1" applyProtection="1">
      <protection locked="0"/>
    </xf>
    <xf numFmtId="0" fontId="11" fillId="0" borderId="15" xfId="0" applyFont="1" applyBorder="1" applyAlignment="1" applyProtection="1">
      <alignment horizontal="center"/>
      <protection locked="0"/>
    </xf>
    <xf numFmtId="0" fontId="13" fillId="0" borderId="0" xfId="0" applyFont="1" applyBorder="1" applyAlignment="1" applyProtection="1">
      <alignment horizontal="left" indent="1"/>
      <protection locked="0"/>
    </xf>
    <xf numFmtId="3" fontId="10" fillId="0" borderId="19" xfId="0" applyNumberFormat="1" applyFont="1" applyBorder="1" applyAlignment="1" applyProtection="1">
      <alignment horizontal="right" vertical="center"/>
      <protection locked="0"/>
    </xf>
    <xf numFmtId="49" fontId="15" fillId="0" borderId="0" xfId="0" applyNumberFormat="1" applyFont="1" applyAlignment="1" applyProtection="1">
      <alignment horizontal="left" vertical="center" wrapText="1"/>
      <protection locked="0"/>
    </xf>
    <xf numFmtId="0" fontId="9" fillId="0" borderId="0" xfId="0" applyNumberFormat="1" applyFont="1" applyFill="1" applyBorder="1" applyAlignment="1" applyProtection="1">
      <alignment vertical="center" wrapText="1"/>
      <protection locked="0"/>
    </xf>
    <xf numFmtId="3" fontId="9" fillId="15" borderId="16" xfId="0" applyNumberFormat="1" applyFont="1" applyFill="1" applyBorder="1" applyAlignment="1">
      <alignment horizontal="right" vertical="center" wrapText="1"/>
    </xf>
    <xf numFmtId="0" fontId="15" fillId="0" borderId="0" xfId="0" applyFont="1" applyAlignment="1" applyProtection="1">
      <alignment horizontal="left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11" fillId="0" borderId="30" xfId="0" applyFont="1" applyBorder="1" applyAlignment="1" applyProtection="1">
      <alignment horizontal="center"/>
      <protection locked="0"/>
    </xf>
    <xf numFmtId="0" fontId="11" fillId="0" borderId="31" xfId="0" applyFont="1" applyBorder="1" applyAlignment="1" applyProtection="1">
      <alignment horizontal="center"/>
      <protection locked="0"/>
    </xf>
    <xf numFmtId="3" fontId="9" fillId="15" borderId="34" xfId="0" applyNumberFormat="1" applyFont="1" applyFill="1" applyBorder="1" applyAlignment="1">
      <alignment horizontal="right" vertical="center" wrapText="1"/>
    </xf>
    <xf numFmtId="3" fontId="10" fillId="0" borderId="35" xfId="0" applyNumberFormat="1" applyFont="1" applyBorder="1" applyAlignment="1" applyProtection="1">
      <alignment horizontal="right" vertical="center"/>
      <protection locked="0"/>
    </xf>
    <xf numFmtId="0" fontId="5" fillId="0" borderId="0" xfId="0" applyNumberFormat="1" applyFont="1" applyFill="1" applyBorder="1" applyAlignment="1" applyProtection="1">
      <protection locked="0"/>
    </xf>
    <xf numFmtId="0" fontId="5" fillId="0" borderId="0" xfId="0" applyNumberFormat="1" applyFont="1" applyFill="1" applyBorder="1" applyAlignment="1" applyProtection="1">
      <alignment vertical="center"/>
      <protection locked="0"/>
    </xf>
    <xf numFmtId="0" fontId="16" fillId="0" borderId="0" xfId="0" applyFont="1" applyProtection="1">
      <protection locked="0"/>
    </xf>
    <xf numFmtId="0" fontId="5" fillId="0" borderId="0" xfId="0" applyNumberFormat="1" applyFont="1" applyFill="1" applyBorder="1" applyAlignment="1" applyProtection="1">
      <alignment wrapText="1"/>
      <protection locked="0"/>
    </xf>
    <xf numFmtId="3" fontId="9" fillId="15" borderId="19" xfId="0" applyNumberFormat="1" applyFont="1" applyFill="1" applyBorder="1" applyAlignment="1">
      <alignment horizontal="right" vertical="center" wrapText="1"/>
    </xf>
    <xf numFmtId="3" fontId="17" fillId="15" borderId="16" xfId="0" applyNumberFormat="1" applyFont="1" applyFill="1" applyBorder="1" applyAlignment="1">
      <alignment horizontal="right" vertical="top"/>
    </xf>
    <xf numFmtId="0" fontId="17" fillId="15" borderId="16" xfId="0" applyFont="1" applyFill="1" applyBorder="1" applyAlignment="1">
      <alignment horizontal="right" vertical="top"/>
    </xf>
    <xf numFmtId="49" fontId="3" fillId="16" borderId="2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Border="1" applyAlignment="1">
      <alignment horizontal="center" vertical="center" textRotation="90"/>
    </xf>
    <xf numFmtId="49" fontId="3" fillId="16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5" fillId="0" borderId="0" xfId="0" applyNumberFormat="1" applyFont="1" applyFill="1" applyBorder="1" applyAlignment="1" applyProtection="1">
      <alignment horizontal="center" vertical="center"/>
      <protection locked="0"/>
    </xf>
    <xf numFmtId="3" fontId="9" fillId="0" borderId="16" xfId="0" applyNumberFormat="1" applyFont="1" applyBorder="1" applyAlignment="1" applyProtection="1">
      <alignment horizontal="right" vertical="center"/>
    </xf>
    <xf numFmtId="0" fontId="10" fillId="0" borderId="7" xfId="0" applyNumberFormat="1" applyFont="1" applyFill="1" applyBorder="1" applyAlignment="1" applyProtection="1">
      <alignment horizontal="right"/>
      <protection locked="0"/>
    </xf>
    <xf numFmtId="0" fontId="15" fillId="0" borderId="0" xfId="0" applyFont="1" applyBorder="1" applyAlignment="1" applyProtection="1">
      <alignment horizontal="left" vertical="center" wrapText="1"/>
      <protection locked="0"/>
    </xf>
    <xf numFmtId="0" fontId="15" fillId="0" borderId="0" xfId="0" applyFont="1" applyBorder="1" applyAlignment="1" applyProtection="1">
      <alignment vertical="center" wrapText="1"/>
      <protection locked="0"/>
    </xf>
    <xf numFmtId="0" fontId="15" fillId="0" borderId="0" xfId="0" applyFont="1" applyBorder="1" applyAlignment="1" applyProtection="1">
      <alignment vertical="center"/>
      <protection locked="0"/>
    </xf>
    <xf numFmtId="0" fontId="13" fillId="0" borderId="2" xfId="0" applyFont="1" applyBorder="1" applyAlignment="1" applyProtection="1">
      <alignment horizontal="right"/>
      <protection locked="0"/>
    </xf>
    <xf numFmtId="3" fontId="9" fillId="0" borderId="34" xfId="0" applyNumberFormat="1" applyFont="1" applyBorder="1" applyAlignment="1" applyProtection="1">
      <alignment horizontal="right" vertical="center"/>
    </xf>
    <xf numFmtId="0" fontId="13" fillId="0" borderId="0" xfId="0" applyFont="1" applyBorder="1" applyAlignment="1" applyProtection="1">
      <alignment horizontal="left" wrapText="1" indent="1"/>
      <protection locked="0"/>
    </xf>
    <xf numFmtId="0" fontId="13" fillId="0" borderId="0" xfId="0" applyFont="1" applyAlignment="1" applyProtection="1">
      <alignment horizontal="left" wrapText="1" indent="1"/>
      <protection locked="0"/>
    </xf>
    <xf numFmtId="3" fontId="9" fillId="0" borderId="33" xfId="0" applyNumberFormat="1" applyFont="1" applyBorder="1" applyAlignment="1" applyProtection="1">
      <alignment horizontal="right" vertical="center"/>
    </xf>
    <xf numFmtId="0" fontId="9" fillId="0" borderId="27" xfId="0" applyNumberFormat="1" applyFont="1" applyFill="1" applyBorder="1" applyAlignment="1" applyProtection="1">
      <alignment vertical="center" wrapText="1"/>
      <protection locked="0"/>
    </xf>
    <xf numFmtId="0" fontId="9" fillId="0" borderId="0" xfId="0" applyNumberFormat="1" applyFont="1" applyFill="1" applyBorder="1" applyAlignment="1" applyProtection="1">
      <alignment vertical="center" wrapText="1"/>
      <protection locked="0"/>
    </xf>
    <xf numFmtId="0" fontId="9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15" fillId="0" borderId="0" xfId="0" applyNumberFormat="1" applyFont="1" applyAlignment="1" applyProtection="1">
      <alignment horizontal="left" vertical="center" wrapText="1"/>
      <protection locked="0"/>
    </xf>
    <xf numFmtId="3" fontId="9" fillId="0" borderId="19" xfId="0" applyNumberFormat="1" applyFont="1" applyBorder="1" applyAlignment="1" applyProtection="1">
      <alignment horizontal="right" vertical="center"/>
    </xf>
    <xf numFmtId="3" fontId="9" fillId="0" borderId="17" xfId="0" applyNumberFormat="1" applyFont="1" applyBorder="1" applyAlignment="1" applyProtection="1">
      <alignment horizontal="right" vertical="center"/>
    </xf>
    <xf numFmtId="49" fontId="15" fillId="0" borderId="0" xfId="0" applyNumberFormat="1" applyFont="1" applyBorder="1" applyAlignment="1" applyProtection="1">
      <alignment horizontal="left" vertical="center" wrapText="1"/>
      <protection locked="0"/>
    </xf>
    <xf numFmtId="3" fontId="9" fillId="0" borderId="26" xfId="0" applyNumberFormat="1" applyFont="1" applyBorder="1" applyAlignment="1" applyProtection="1">
      <alignment horizontal="right" vertical="center"/>
    </xf>
    <xf numFmtId="49" fontId="15" fillId="0" borderId="27" xfId="0" applyNumberFormat="1" applyFont="1" applyBorder="1" applyAlignment="1" applyProtection="1">
      <alignment horizontal="left" vertical="center"/>
      <protection locked="0"/>
    </xf>
    <xf numFmtId="49" fontId="15" fillId="0" borderId="0" xfId="0" applyNumberFormat="1" applyFont="1" applyBorder="1" applyAlignment="1" applyProtection="1">
      <alignment horizontal="left" vertical="center"/>
      <protection locked="0"/>
    </xf>
    <xf numFmtId="3" fontId="9" fillId="0" borderId="32" xfId="0" applyNumberFormat="1" applyFont="1" applyBorder="1" applyAlignment="1" applyProtection="1">
      <alignment horizontal="right" vertical="center"/>
    </xf>
    <xf numFmtId="3" fontId="9" fillId="0" borderId="4" xfId="0" applyNumberFormat="1" applyFont="1" applyBorder="1" applyAlignment="1" applyProtection="1">
      <alignment horizontal="right" vertical="center"/>
    </xf>
    <xf numFmtId="0" fontId="10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7" xfId="0" applyNumberFormat="1" applyFont="1" applyFill="1" applyBorder="1" applyAlignment="1" applyProtection="1">
      <alignment horizontal="left"/>
      <protection locked="0"/>
    </xf>
    <xf numFmtId="0" fontId="0" fillId="0" borderId="29" xfId="0" applyBorder="1"/>
    <xf numFmtId="0" fontId="0" fillId="0" borderId="22" xfId="0" applyBorder="1"/>
    <xf numFmtId="0" fontId="0" fillId="0" borderId="17" xfId="0" applyBorder="1"/>
    <xf numFmtId="0" fontId="0" fillId="0" borderId="25" xfId="0" applyBorder="1"/>
    <xf numFmtId="0" fontId="0" fillId="0" borderId="18" xfId="0" applyBorder="1"/>
    <xf numFmtId="0" fontId="6" fillId="0" borderId="2" xfId="0" applyNumberFormat="1" applyFont="1" applyFill="1" applyBorder="1" applyAlignment="1" applyProtection="1">
      <alignment horizontal="left" vertical="center" wrapText="1"/>
      <protection locked="0"/>
    </xf>
    <xf numFmtId="0" fontId="6" fillId="0" borderId="0" xfId="0" applyNumberFormat="1" applyFont="1" applyFill="1" applyBorder="1" applyAlignment="1" applyProtection="1">
      <alignment horizontal="left" vertical="center" wrapText="1"/>
      <protection locked="0"/>
    </xf>
    <xf numFmtId="0" fontId="6" fillId="0" borderId="25" xfId="0" applyNumberFormat="1" applyFont="1" applyFill="1" applyBorder="1" applyAlignment="1" applyProtection="1">
      <alignment horizontal="left" vertical="center" wrapText="1"/>
      <protection locked="0"/>
    </xf>
    <xf numFmtId="0" fontId="10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3" xfId="0" applyNumberFormat="1" applyFont="1" applyFill="1" applyBorder="1" applyAlignment="1" applyProtection="1">
      <alignment horizontal="left" vertical="center" wrapText="1"/>
      <protection locked="0"/>
    </xf>
    <xf numFmtId="0" fontId="6" fillId="0" borderId="5" xfId="0" applyNumberFormat="1" applyFont="1" applyFill="1" applyBorder="1" applyAlignment="1" applyProtection="1">
      <alignment horizontal="left" vertical="center" wrapText="1"/>
      <protection locked="0"/>
    </xf>
    <xf numFmtId="0" fontId="6" fillId="0" borderId="23" xfId="0" applyNumberFormat="1" applyFont="1" applyFill="1" applyBorder="1" applyAlignment="1" applyProtection="1">
      <alignment horizontal="left" vertical="center" wrapText="1"/>
      <protection locked="0"/>
    </xf>
    <xf numFmtId="0" fontId="10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3" fontId="17" fillId="15" borderId="34" xfId="0" applyNumberFormat="1" applyFont="1" applyFill="1" applyBorder="1" applyAlignment="1">
      <alignment horizontal="right" vertical="top"/>
    </xf>
    <xf numFmtId="3" fontId="17" fillId="15" borderId="36" xfId="0" applyNumberFormat="1" applyFont="1" applyFill="1" applyBorder="1" applyAlignment="1">
      <alignment horizontal="right" vertical="top"/>
    </xf>
    <xf numFmtId="3" fontId="17" fillId="15" borderId="37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1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-0.2499465926084170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showGridLines="0" zoomScale="80" zoomScaleNormal="80" workbookViewId="0">
      <selection activeCell="I23" sqref="I23"/>
    </sheetView>
  </sheetViews>
  <sheetFormatPr defaultRowHeight="14.4"/>
  <cols>
    <col min="2" max="2" width="20.109375" bestFit="1" customWidth="1"/>
  </cols>
  <sheetData>
    <row r="1" spans="1:13">
      <c r="A1" s="1" t="s">
        <v>0</v>
      </c>
      <c r="B1" s="2" t="s">
        <v>1</v>
      </c>
      <c r="C1" s="3"/>
      <c r="D1" s="4"/>
      <c r="E1" s="4"/>
      <c r="F1" s="4"/>
      <c r="G1" s="4"/>
      <c r="H1" s="159" t="s">
        <v>2</v>
      </c>
      <c r="I1" s="5"/>
      <c r="J1" s="3"/>
      <c r="K1" s="3"/>
      <c r="L1" s="3"/>
      <c r="M1" s="6"/>
    </row>
    <row r="2" spans="1:13">
      <c r="A2" s="7" t="s">
        <v>3</v>
      </c>
      <c r="B2" s="8" t="s">
        <v>4</v>
      </c>
      <c r="C2" s="9"/>
      <c r="D2" s="9"/>
      <c r="E2" s="9"/>
      <c r="F2" s="9"/>
      <c r="G2" s="9"/>
      <c r="H2" s="160"/>
      <c r="I2" s="10"/>
      <c r="J2" s="9"/>
      <c r="K2" s="9"/>
      <c r="L2" s="9"/>
      <c r="M2" s="11"/>
    </row>
    <row r="3" spans="1:13">
      <c r="A3" s="7" t="s">
        <v>5</v>
      </c>
      <c r="B3" s="8" t="s">
        <v>6</v>
      </c>
      <c r="C3" s="9"/>
      <c r="D3" s="162" t="s">
        <v>7</v>
      </c>
      <c r="E3" s="162"/>
      <c r="F3" s="162"/>
      <c r="G3" s="162"/>
      <c r="H3" s="160"/>
      <c r="I3" s="10"/>
      <c r="J3" s="9"/>
      <c r="K3" s="9"/>
      <c r="L3" s="9"/>
      <c r="M3" s="11"/>
    </row>
    <row r="4" spans="1:1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160"/>
      <c r="I4" s="10"/>
      <c r="J4" s="9"/>
      <c r="K4" s="9"/>
      <c r="L4" s="9"/>
      <c r="M4" s="11"/>
    </row>
    <row r="5" spans="1:13">
      <c r="A5" s="7" t="s">
        <v>11</v>
      </c>
      <c r="B5" s="8" t="s">
        <v>12</v>
      </c>
      <c r="C5" s="9"/>
      <c r="D5" s="9"/>
      <c r="E5" s="9"/>
      <c r="F5" s="9"/>
      <c r="G5" s="9"/>
      <c r="H5" s="160"/>
      <c r="I5" s="10"/>
      <c r="J5" s="9"/>
      <c r="K5" s="9"/>
      <c r="L5" s="9"/>
      <c r="M5" s="11"/>
    </row>
    <row r="6" spans="1:13">
      <c r="A6" s="7" t="s">
        <v>13</v>
      </c>
      <c r="B6" s="8" t="s">
        <v>14</v>
      </c>
      <c r="C6" s="9"/>
      <c r="D6" s="9"/>
      <c r="E6" s="9"/>
      <c r="F6" s="9"/>
      <c r="G6" s="9"/>
      <c r="H6" s="160"/>
      <c r="I6" s="10"/>
      <c r="J6" s="9"/>
      <c r="K6" s="9"/>
      <c r="L6" s="9"/>
      <c r="M6" s="11"/>
    </row>
    <row r="7" spans="1:13">
      <c r="A7" s="13" t="s">
        <v>15</v>
      </c>
      <c r="B7" s="14" t="s">
        <v>16</v>
      </c>
      <c r="C7" s="15"/>
      <c r="D7" s="16"/>
      <c r="E7" s="15"/>
      <c r="F7" s="15"/>
      <c r="G7" s="15"/>
      <c r="H7" s="160"/>
      <c r="I7" s="17"/>
      <c r="J7" s="15"/>
      <c r="K7" s="15"/>
      <c r="L7" s="15"/>
      <c r="M7" s="18"/>
    </row>
    <row r="8" spans="1:13">
      <c r="A8" s="13" t="s">
        <v>17</v>
      </c>
      <c r="B8" s="19" t="s">
        <v>18</v>
      </c>
      <c r="C8" s="15"/>
      <c r="D8" s="15"/>
      <c r="E8" s="15"/>
      <c r="F8" s="15"/>
      <c r="G8" s="15"/>
      <c r="H8" s="160"/>
      <c r="I8" s="17"/>
      <c r="J8" s="19"/>
      <c r="K8" s="20"/>
      <c r="L8" s="15"/>
      <c r="M8" s="18"/>
    </row>
    <row r="9" spans="1:13">
      <c r="A9" s="13" t="s">
        <v>19</v>
      </c>
      <c r="B9" s="19" t="s">
        <v>20</v>
      </c>
      <c r="C9" s="15"/>
      <c r="D9" s="15"/>
      <c r="E9" s="15"/>
      <c r="F9" s="15"/>
      <c r="G9" s="15"/>
      <c r="H9" s="160"/>
      <c r="I9" s="17"/>
      <c r="J9" s="15"/>
      <c r="K9" s="15"/>
      <c r="L9" s="15"/>
      <c r="M9" s="18"/>
    </row>
    <row r="10" spans="1:13">
      <c r="A10" s="13" t="s">
        <v>21</v>
      </c>
      <c r="B10" s="19" t="s">
        <v>22</v>
      </c>
      <c r="C10" s="15"/>
      <c r="D10" s="15"/>
      <c r="E10" s="15"/>
      <c r="F10" s="15"/>
      <c r="G10" s="15"/>
      <c r="H10" s="160"/>
      <c r="I10" s="17"/>
      <c r="J10" s="15"/>
      <c r="K10" s="15"/>
      <c r="L10" s="15"/>
      <c r="M10" s="18"/>
    </row>
    <row r="11" spans="1:1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160"/>
      <c r="I11" s="17"/>
      <c r="J11" s="15"/>
      <c r="K11" s="15"/>
      <c r="L11" s="15"/>
      <c r="M11" s="18"/>
    </row>
    <row r="12" spans="1:13">
      <c r="A12" s="13" t="s">
        <v>26</v>
      </c>
      <c r="B12" s="19" t="s">
        <v>27</v>
      </c>
      <c r="C12" s="15"/>
      <c r="D12" s="15"/>
      <c r="E12" s="15"/>
      <c r="F12" s="15"/>
      <c r="G12" s="15"/>
      <c r="H12" s="160"/>
      <c r="I12" s="17"/>
      <c r="J12" s="15"/>
      <c r="K12" s="15"/>
      <c r="L12" s="15"/>
      <c r="M12" s="18"/>
    </row>
    <row r="13" spans="1:13">
      <c r="A13" s="13" t="s">
        <v>28</v>
      </c>
      <c r="B13" s="19" t="s">
        <v>29</v>
      </c>
      <c r="C13" s="15"/>
      <c r="D13" s="15"/>
      <c r="E13" s="15"/>
      <c r="F13" s="15"/>
      <c r="G13" s="15"/>
      <c r="H13" s="160"/>
      <c r="I13" s="17"/>
      <c r="J13" s="15"/>
      <c r="K13" s="15"/>
      <c r="L13" s="15"/>
      <c r="M13" s="18"/>
    </row>
    <row r="14" spans="1:13">
      <c r="A14" s="13" t="s">
        <v>30</v>
      </c>
      <c r="B14" s="19" t="s">
        <v>31</v>
      </c>
      <c r="C14" s="15"/>
      <c r="D14" s="15"/>
      <c r="E14" s="15"/>
      <c r="F14" s="15"/>
      <c r="G14" s="15"/>
      <c r="H14" s="160"/>
      <c r="I14" s="17"/>
      <c r="J14" s="15"/>
      <c r="K14" s="15"/>
      <c r="L14" s="15"/>
      <c r="M14" s="18"/>
    </row>
    <row r="15" spans="1:13">
      <c r="A15" s="13" t="s">
        <v>32</v>
      </c>
      <c r="B15" s="19" t="s">
        <v>33</v>
      </c>
      <c r="C15" s="15"/>
      <c r="D15" s="15"/>
      <c r="E15" s="15"/>
      <c r="F15" s="15"/>
      <c r="G15" s="15"/>
      <c r="H15" s="160"/>
      <c r="I15" s="17"/>
      <c r="J15" s="15"/>
      <c r="K15" s="15"/>
      <c r="L15" s="15"/>
      <c r="M15" s="18"/>
    </row>
    <row r="16" spans="1:13">
      <c r="A16" s="13" t="s">
        <v>34</v>
      </c>
      <c r="B16" s="19" t="s">
        <v>35</v>
      </c>
      <c r="C16" s="15"/>
      <c r="D16" s="15"/>
      <c r="E16" s="15"/>
      <c r="F16" s="15"/>
      <c r="G16" s="15"/>
      <c r="H16" s="160"/>
      <c r="I16" s="17"/>
      <c r="J16" s="15"/>
      <c r="K16" s="15"/>
      <c r="L16" s="15"/>
      <c r="M16" s="18"/>
    </row>
    <row r="17" spans="1:13">
      <c r="A17" s="13" t="s">
        <v>36</v>
      </c>
      <c r="B17" s="19" t="s">
        <v>37</v>
      </c>
      <c r="C17" s="15"/>
      <c r="D17" s="15"/>
      <c r="E17" s="15"/>
      <c r="F17" s="15"/>
      <c r="G17" s="15"/>
      <c r="H17" s="160"/>
      <c r="I17" s="17"/>
      <c r="J17" s="15"/>
      <c r="K17" s="15"/>
      <c r="L17" s="15"/>
      <c r="M17" s="18"/>
    </row>
    <row r="18" spans="1:13">
      <c r="A18" s="22" t="s">
        <v>38</v>
      </c>
      <c r="B18" s="23" t="s">
        <v>39</v>
      </c>
      <c r="C18" s="24"/>
      <c r="D18" s="25"/>
      <c r="E18" s="24"/>
      <c r="F18" s="24"/>
      <c r="G18" s="24"/>
      <c r="H18" s="160"/>
      <c r="I18" s="26"/>
      <c r="J18" s="23"/>
      <c r="K18" s="23"/>
      <c r="L18" s="24"/>
      <c r="M18" s="27"/>
    </row>
    <row r="19" spans="1:13">
      <c r="A19" s="22" t="s">
        <v>40</v>
      </c>
      <c r="B19" s="23" t="s">
        <v>41</v>
      </c>
      <c r="C19" s="24"/>
      <c r="D19" s="24"/>
      <c r="E19" s="24"/>
      <c r="F19" s="24"/>
      <c r="G19" s="24"/>
      <c r="H19" s="160"/>
      <c r="I19" s="26"/>
      <c r="J19" s="23"/>
      <c r="K19" s="23"/>
      <c r="L19" s="24"/>
      <c r="M19" s="27"/>
    </row>
    <row r="20" spans="1:1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160"/>
      <c r="I20" s="26"/>
      <c r="J20" s="23"/>
      <c r="K20" s="23"/>
      <c r="L20" s="24"/>
      <c r="M20" s="27"/>
    </row>
    <row r="21" spans="1:13" ht="15" thickBot="1">
      <c r="A21" s="29" t="s">
        <v>45</v>
      </c>
      <c r="B21" s="30" t="s">
        <v>46</v>
      </c>
      <c r="C21" s="31"/>
      <c r="D21" s="31"/>
      <c r="E21" s="31"/>
      <c r="F21" s="31"/>
      <c r="G21" s="31"/>
      <c r="H21" s="161"/>
      <c r="I21" s="32"/>
      <c r="J21" s="30"/>
      <c r="K21" s="30"/>
      <c r="L21" s="31"/>
      <c r="M21" s="33"/>
    </row>
    <row r="22" spans="1:13">
      <c r="A22" s="34" t="s">
        <v>47</v>
      </c>
      <c r="B22" s="35" t="s">
        <v>48</v>
      </c>
      <c r="C22" s="36"/>
      <c r="D22" s="37"/>
      <c r="E22" s="36"/>
      <c r="F22" s="36"/>
      <c r="G22" s="38"/>
      <c r="H22" s="163" t="s">
        <v>49</v>
      </c>
      <c r="I22" s="36"/>
      <c r="J22" s="35"/>
      <c r="K22" s="35"/>
      <c r="L22" s="36"/>
      <c r="M22" s="39"/>
    </row>
    <row r="23" spans="1:13">
      <c r="A23" s="40" t="s">
        <v>50</v>
      </c>
      <c r="B23" s="41" t="s">
        <v>51</v>
      </c>
      <c r="C23" s="42"/>
      <c r="D23" s="42"/>
      <c r="E23" s="42"/>
      <c r="F23" s="42"/>
      <c r="G23" s="43"/>
      <c r="H23" s="164"/>
      <c r="I23" s="42"/>
      <c r="J23" s="41"/>
      <c r="K23" s="41"/>
      <c r="L23" s="42"/>
      <c r="M23" s="44"/>
    </row>
    <row r="24" spans="1:1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164"/>
      <c r="I24" s="42"/>
      <c r="J24" s="41"/>
      <c r="K24" s="41"/>
      <c r="L24" s="42"/>
      <c r="M24" s="44"/>
    </row>
    <row r="25" spans="1:13">
      <c r="A25" s="40" t="s">
        <v>55</v>
      </c>
      <c r="B25" s="41" t="s">
        <v>56</v>
      </c>
      <c r="C25" s="42"/>
      <c r="D25" s="42"/>
      <c r="E25" s="42"/>
      <c r="F25" s="42"/>
      <c r="G25" s="43"/>
      <c r="H25" s="164"/>
      <c r="I25" s="42"/>
      <c r="J25" s="41"/>
      <c r="K25" s="41"/>
      <c r="L25" s="42"/>
      <c r="M25" s="44"/>
    </row>
    <row r="26" spans="1:13">
      <c r="A26" s="40" t="s">
        <v>57</v>
      </c>
      <c r="B26" s="41" t="s">
        <v>58</v>
      </c>
      <c r="C26" s="42"/>
      <c r="D26" s="42"/>
      <c r="E26" s="42"/>
      <c r="F26" s="42"/>
      <c r="G26" s="43"/>
      <c r="H26" s="164"/>
      <c r="I26" s="42"/>
      <c r="J26" s="41"/>
      <c r="K26" s="41"/>
      <c r="L26" s="42"/>
      <c r="M26" s="44"/>
    </row>
    <row r="27" spans="1:13">
      <c r="A27" s="46" t="s">
        <v>59</v>
      </c>
      <c r="B27" s="47" t="s">
        <v>60</v>
      </c>
      <c r="C27" s="48"/>
      <c r="D27" s="49"/>
      <c r="E27" s="48"/>
      <c r="F27" s="48"/>
      <c r="G27" s="50"/>
      <c r="H27" s="164"/>
      <c r="I27" s="48"/>
      <c r="J27" s="47"/>
      <c r="K27" s="47"/>
      <c r="L27" s="48"/>
      <c r="M27" s="51"/>
    </row>
    <row r="28" spans="1:13">
      <c r="A28" s="46" t="s">
        <v>61</v>
      </c>
      <c r="B28" s="47" t="s">
        <v>62</v>
      </c>
      <c r="C28" s="48"/>
      <c r="D28" s="48"/>
      <c r="E28" s="48"/>
      <c r="F28" s="48"/>
      <c r="G28" s="50"/>
      <c r="H28" s="164"/>
      <c r="I28" s="48"/>
      <c r="J28" s="47"/>
      <c r="K28" s="47"/>
      <c r="L28" s="48"/>
      <c r="M28" s="51"/>
    </row>
    <row r="29" spans="1:1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164"/>
      <c r="I29" s="48"/>
      <c r="J29" s="47"/>
      <c r="K29" s="47"/>
      <c r="L29" s="48"/>
      <c r="M29" s="51"/>
    </row>
    <row r="30" spans="1:13">
      <c r="A30" s="46" t="s">
        <v>66</v>
      </c>
      <c r="B30" s="47" t="s">
        <v>67</v>
      </c>
      <c r="C30" s="48"/>
      <c r="D30" s="48"/>
      <c r="E30" s="48"/>
      <c r="F30" s="48"/>
      <c r="G30" s="50"/>
      <c r="H30" s="164"/>
      <c r="I30" s="48"/>
      <c r="J30" s="47"/>
      <c r="K30" s="47"/>
      <c r="L30" s="48"/>
      <c r="M30" s="51"/>
    </row>
    <row r="31" spans="1:13" ht="15" thickBot="1">
      <c r="A31" s="53" t="s">
        <v>68</v>
      </c>
      <c r="B31" s="54" t="s">
        <v>69</v>
      </c>
      <c r="C31" s="55"/>
      <c r="D31" s="55"/>
      <c r="E31" s="55"/>
      <c r="F31" s="55"/>
      <c r="G31" s="56"/>
      <c r="H31" s="165"/>
      <c r="I31" s="55"/>
      <c r="J31" s="54"/>
      <c r="K31" s="54"/>
      <c r="L31" s="55"/>
      <c r="M31" s="57"/>
    </row>
    <row r="32" spans="1:13">
      <c r="A32" s="58" t="s">
        <v>70</v>
      </c>
      <c r="B32" s="59" t="s">
        <v>71</v>
      </c>
      <c r="C32" s="60"/>
      <c r="D32" s="61"/>
      <c r="E32" s="62"/>
      <c r="F32" s="62"/>
      <c r="G32" s="63"/>
      <c r="H32" s="166" t="s">
        <v>72</v>
      </c>
      <c r="I32" s="62"/>
      <c r="J32" s="61"/>
      <c r="K32" s="61"/>
      <c r="L32" s="62"/>
      <c r="M32" s="64"/>
    </row>
    <row r="33" spans="1:13">
      <c r="A33" s="65" t="s">
        <v>73</v>
      </c>
      <c r="B33" s="66" t="s">
        <v>74</v>
      </c>
      <c r="C33" s="67"/>
      <c r="D33" s="67"/>
      <c r="E33" s="67"/>
      <c r="F33" s="67"/>
      <c r="G33" s="68"/>
      <c r="H33" s="167"/>
      <c r="I33" s="67"/>
      <c r="J33" s="66"/>
      <c r="K33" s="66"/>
      <c r="L33" s="67"/>
      <c r="M33" s="69"/>
    </row>
    <row r="34" spans="1:1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167"/>
      <c r="I34" s="67"/>
      <c r="J34" s="66"/>
      <c r="K34" s="66"/>
      <c r="L34" s="67"/>
      <c r="M34" s="69"/>
    </row>
    <row r="35" spans="1:13">
      <c r="A35" s="65" t="s">
        <v>78</v>
      </c>
      <c r="B35" s="66" t="s">
        <v>79</v>
      </c>
      <c r="C35" s="67"/>
      <c r="D35" s="67"/>
      <c r="E35" s="67"/>
      <c r="F35" s="67"/>
      <c r="G35" s="68"/>
      <c r="H35" s="167"/>
      <c r="I35" s="67"/>
      <c r="J35" s="66"/>
      <c r="K35" s="66"/>
      <c r="L35" s="67"/>
      <c r="M35" s="69"/>
    </row>
    <row r="36" spans="1:13">
      <c r="A36" s="65" t="s">
        <v>80</v>
      </c>
      <c r="B36" s="66" t="s">
        <v>81</v>
      </c>
      <c r="C36" s="67"/>
      <c r="D36" s="67"/>
      <c r="E36" s="67"/>
      <c r="F36" s="67"/>
      <c r="G36" s="68"/>
      <c r="H36" s="167"/>
      <c r="I36" s="67"/>
      <c r="J36" s="66"/>
      <c r="K36" s="66"/>
      <c r="L36" s="67"/>
      <c r="M36" s="69"/>
    </row>
    <row r="37" spans="1:13">
      <c r="A37" s="71" t="s">
        <v>82</v>
      </c>
      <c r="B37" s="72" t="s">
        <v>83</v>
      </c>
      <c r="C37" s="73"/>
      <c r="D37" s="74"/>
      <c r="E37" s="73"/>
      <c r="F37" s="73"/>
      <c r="G37" s="75"/>
      <c r="H37" s="167"/>
      <c r="I37" s="73"/>
      <c r="J37" s="72"/>
      <c r="K37" s="72"/>
      <c r="L37" s="73"/>
      <c r="M37" s="76"/>
    </row>
    <row r="38" spans="1:1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167"/>
      <c r="I38" s="73"/>
      <c r="J38" s="72"/>
      <c r="K38" s="72"/>
      <c r="L38" s="73"/>
      <c r="M38" s="76"/>
    </row>
    <row r="39" spans="1:13">
      <c r="A39" s="71" t="s">
        <v>87</v>
      </c>
      <c r="B39" s="72" t="s">
        <v>88</v>
      </c>
      <c r="C39" s="73"/>
      <c r="D39" s="73"/>
      <c r="E39" s="73"/>
      <c r="F39" s="73"/>
      <c r="G39" s="75"/>
      <c r="H39" s="167"/>
      <c r="I39" s="73"/>
      <c r="J39" s="72"/>
      <c r="K39" s="72"/>
      <c r="L39" s="73"/>
      <c r="M39" s="76"/>
    </row>
    <row r="40" spans="1:13">
      <c r="A40" s="78" t="s">
        <v>89</v>
      </c>
      <c r="B40" s="79" t="s">
        <v>90</v>
      </c>
      <c r="C40" s="80"/>
      <c r="D40" s="81"/>
      <c r="E40" s="82"/>
      <c r="F40" s="82"/>
      <c r="G40" s="83"/>
      <c r="H40" s="167"/>
      <c r="I40" s="80"/>
      <c r="J40" s="79"/>
      <c r="K40" s="79"/>
      <c r="L40" s="80"/>
      <c r="M40" s="84"/>
    </row>
    <row r="41" spans="1:13">
      <c r="A41" s="78" t="s">
        <v>91</v>
      </c>
      <c r="B41" s="79" t="s">
        <v>92</v>
      </c>
      <c r="C41" s="80"/>
      <c r="D41" s="80"/>
      <c r="E41" s="80"/>
      <c r="F41" s="80"/>
      <c r="G41" s="83"/>
      <c r="H41" s="167"/>
      <c r="I41" s="80"/>
      <c r="J41" s="79"/>
      <c r="K41" s="79"/>
      <c r="L41" s="80"/>
      <c r="M41" s="84"/>
    </row>
    <row r="42" spans="1:1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167"/>
      <c r="I42" s="80"/>
      <c r="J42" s="79"/>
      <c r="K42" s="79"/>
      <c r="L42" s="80"/>
      <c r="M42" s="84"/>
    </row>
    <row r="43" spans="1:13">
      <c r="A43" s="78" t="s">
        <v>96</v>
      </c>
      <c r="B43" s="79" t="s">
        <v>97</v>
      </c>
      <c r="C43" s="80"/>
      <c r="D43" s="80"/>
      <c r="E43" s="80"/>
      <c r="F43" s="80"/>
      <c r="G43" s="83"/>
      <c r="H43" s="167"/>
      <c r="I43" s="80"/>
      <c r="J43" s="79"/>
      <c r="K43" s="79"/>
      <c r="L43" s="80"/>
      <c r="M43" s="84"/>
    </row>
    <row r="44" spans="1:13" ht="15" thickBot="1">
      <c r="A44" s="85" t="s">
        <v>98</v>
      </c>
      <c r="B44" s="86" t="s">
        <v>99</v>
      </c>
      <c r="C44" s="87"/>
      <c r="D44" s="87"/>
      <c r="E44" s="87"/>
      <c r="F44" s="87"/>
      <c r="G44" s="88"/>
      <c r="H44" s="168"/>
      <c r="I44" s="87"/>
      <c r="J44" s="86"/>
      <c r="K44" s="86"/>
      <c r="L44" s="87"/>
      <c r="M44" s="89"/>
    </row>
    <row r="45" spans="1:13">
      <c r="A45" s="58" t="s">
        <v>100</v>
      </c>
      <c r="B45" s="59" t="s">
        <v>101</v>
      </c>
      <c r="C45" s="60"/>
      <c r="D45" s="60"/>
      <c r="E45" s="90"/>
      <c r="F45" s="60"/>
      <c r="G45" s="60"/>
      <c r="H45" s="159" t="s">
        <v>102</v>
      </c>
      <c r="I45" s="60"/>
      <c r="J45" s="59"/>
      <c r="K45" s="59"/>
      <c r="L45" s="60"/>
      <c r="M45" s="91"/>
    </row>
    <row r="46" spans="1:13">
      <c r="A46" s="65" t="s">
        <v>103</v>
      </c>
      <c r="B46" s="66" t="s">
        <v>104</v>
      </c>
      <c r="C46" s="67"/>
      <c r="D46" s="67"/>
      <c r="E46" s="67"/>
      <c r="F46" s="67"/>
      <c r="G46" s="67"/>
      <c r="H46" s="160"/>
      <c r="I46" s="67"/>
      <c r="J46" s="66"/>
      <c r="K46" s="66"/>
      <c r="L46" s="67"/>
      <c r="M46" s="69"/>
    </row>
    <row r="47" spans="1:13">
      <c r="A47" s="65" t="s">
        <v>105</v>
      </c>
      <c r="B47" s="66" t="s">
        <v>106</v>
      </c>
      <c r="C47" s="67"/>
      <c r="D47" s="67"/>
      <c r="E47" s="67"/>
      <c r="F47" s="67"/>
      <c r="G47" s="67"/>
      <c r="H47" s="160"/>
      <c r="I47" s="67"/>
      <c r="J47" s="66"/>
      <c r="K47" s="66"/>
      <c r="L47" s="67"/>
      <c r="M47" s="69"/>
    </row>
    <row r="48" spans="1:13">
      <c r="A48" s="65" t="s">
        <v>107</v>
      </c>
      <c r="B48" s="66" t="s">
        <v>108</v>
      </c>
      <c r="C48" s="67"/>
      <c r="D48" s="67"/>
      <c r="E48" s="67"/>
      <c r="F48" s="67"/>
      <c r="G48" s="67"/>
      <c r="H48" s="160"/>
      <c r="I48" s="67"/>
      <c r="J48" s="66"/>
      <c r="K48" s="66"/>
      <c r="L48" s="67"/>
      <c r="M48" s="69"/>
    </row>
    <row r="49" spans="1:1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160"/>
      <c r="I49" s="67"/>
      <c r="J49" s="66"/>
      <c r="K49" s="66"/>
      <c r="L49" s="67"/>
      <c r="M49" s="69"/>
    </row>
    <row r="50" spans="1:13">
      <c r="A50" s="65" t="s">
        <v>112</v>
      </c>
      <c r="B50" s="66" t="s">
        <v>113</v>
      </c>
      <c r="C50" s="67"/>
      <c r="D50" s="67"/>
      <c r="E50" s="67"/>
      <c r="F50" s="67"/>
      <c r="G50" s="67"/>
      <c r="H50" s="160"/>
      <c r="I50" s="67"/>
      <c r="J50" s="66"/>
      <c r="K50" s="66"/>
      <c r="L50" s="67"/>
      <c r="M50" s="69"/>
    </row>
    <row r="51" spans="1:13">
      <c r="A51" s="65" t="s">
        <v>114</v>
      </c>
      <c r="B51" s="66" t="s">
        <v>115</v>
      </c>
      <c r="C51" s="67"/>
      <c r="D51" s="67"/>
      <c r="E51" s="67"/>
      <c r="F51" s="67"/>
      <c r="G51" s="67"/>
      <c r="H51" s="160"/>
      <c r="I51" s="67"/>
      <c r="J51" s="66"/>
      <c r="K51" s="66"/>
      <c r="L51" s="67"/>
      <c r="M51" s="69"/>
    </row>
    <row r="52" spans="1:13" ht="15" thickBot="1">
      <c r="A52" s="93" t="s">
        <v>116</v>
      </c>
      <c r="B52" s="94" t="s">
        <v>117</v>
      </c>
      <c r="C52" s="95"/>
      <c r="D52" s="95"/>
      <c r="E52" s="95"/>
      <c r="F52" s="95"/>
      <c r="G52" s="95"/>
      <c r="H52" s="161"/>
      <c r="I52" s="95"/>
      <c r="J52" s="94"/>
      <c r="K52" s="94"/>
      <c r="L52" s="95"/>
      <c r="M52" s="96"/>
    </row>
    <row r="53" spans="1:13">
      <c r="A53" s="1" t="s">
        <v>118</v>
      </c>
      <c r="B53" s="97" t="s">
        <v>119</v>
      </c>
      <c r="C53" s="3"/>
      <c r="D53" s="98"/>
      <c r="E53" s="3"/>
      <c r="F53" s="3"/>
      <c r="G53" s="3"/>
      <c r="H53" s="156" t="s">
        <v>120</v>
      </c>
      <c r="I53" s="3"/>
      <c r="J53" s="97"/>
      <c r="K53" s="97"/>
      <c r="L53" s="3"/>
      <c r="M53" s="6"/>
    </row>
    <row r="54" spans="1:13">
      <c r="A54" s="7" t="s">
        <v>121</v>
      </c>
      <c r="B54" s="99" t="s">
        <v>122</v>
      </c>
      <c r="C54" s="9"/>
      <c r="D54" s="9"/>
      <c r="E54" s="9"/>
      <c r="F54" s="9"/>
      <c r="G54" s="9"/>
      <c r="H54" s="157"/>
      <c r="I54" s="9"/>
      <c r="J54" s="99"/>
      <c r="K54" s="99"/>
      <c r="L54" s="9"/>
      <c r="M54" s="11"/>
    </row>
    <row r="55" spans="1:1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157"/>
      <c r="I55" s="9"/>
      <c r="J55" s="99"/>
      <c r="K55" s="99"/>
      <c r="L55" s="9"/>
      <c r="M55" s="11"/>
    </row>
    <row r="56" spans="1:13">
      <c r="A56" s="7" t="s">
        <v>126</v>
      </c>
      <c r="B56" s="99" t="s">
        <v>127</v>
      </c>
      <c r="C56" s="9"/>
      <c r="D56" s="9"/>
      <c r="E56" s="9"/>
      <c r="F56" s="9"/>
      <c r="G56" s="9"/>
      <c r="H56" s="157"/>
      <c r="I56" s="9"/>
      <c r="J56" s="99"/>
      <c r="K56" s="99"/>
      <c r="L56" s="9"/>
      <c r="M56" s="11"/>
    </row>
    <row r="57" spans="1:13">
      <c r="A57" s="7" t="s">
        <v>128</v>
      </c>
      <c r="B57" s="99" t="s">
        <v>129</v>
      </c>
      <c r="C57" s="9"/>
      <c r="D57" s="9"/>
      <c r="E57" s="9"/>
      <c r="F57" s="9"/>
      <c r="G57" s="9"/>
      <c r="H57" s="157"/>
      <c r="I57" s="9"/>
      <c r="J57" s="99"/>
      <c r="K57" s="99"/>
      <c r="L57" s="9"/>
      <c r="M57" s="11"/>
    </row>
    <row r="58" spans="1:13">
      <c r="A58" s="46" t="s">
        <v>130</v>
      </c>
      <c r="B58" s="47" t="s">
        <v>131</v>
      </c>
      <c r="C58" s="48"/>
      <c r="D58" s="49"/>
      <c r="E58" s="48"/>
      <c r="F58" s="48"/>
      <c r="G58" s="48"/>
      <c r="H58" s="157"/>
      <c r="I58" s="48"/>
      <c r="J58" s="47"/>
      <c r="K58" s="47"/>
      <c r="L58" s="48"/>
      <c r="M58" s="51"/>
    </row>
    <row r="59" spans="1:13">
      <c r="A59" s="46" t="s">
        <v>132</v>
      </c>
      <c r="B59" s="47" t="s">
        <v>133</v>
      </c>
      <c r="C59" s="48"/>
      <c r="D59" s="48"/>
      <c r="E59" s="48"/>
      <c r="F59" s="48"/>
      <c r="G59" s="48"/>
      <c r="H59" s="157"/>
      <c r="I59" s="48"/>
      <c r="J59" s="47"/>
      <c r="K59" s="47"/>
      <c r="L59" s="48"/>
      <c r="M59" s="51"/>
    </row>
    <row r="60" spans="1:13">
      <c r="A60" s="46" t="s">
        <v>134</v>
      </c>
      <c r="B60" s="47" t="s">
        <v>135</v>
      </c>
      <c r="C60" s="48"/>
      <c r="D60" s="48"/>
      <c r="E60" s="48"/>
      <c r="F60" s="48"/>
      <c r="G60" s="48"/>
      <c r="H60" s="157"/>
      <c r="I60" s="48"/>
      <c r="J60" s="47"/>
      <c r="K60" s="47"/>
      <c r="L60" s="48"/>
      <c r="M60" s="51"/>
    </row>
    <row r="61" spans="1:13">
      <c r="A61" s="46" t="s">
        <v>136</v>
      </c>
      <c r="B61" s="47" t="s">
        <v>137</v>
      </c>
      <c r="C61" s="48"/>
      <c r="D61" s="48"/>
      <c r="E61" s="48"/>
      <c r="F61" s="48"/>
      <c r="G61" s="48"/>
      <c r="H61" s="157"/>
      <c r="I61" s="48"/>
      <c r="J61" s="47"/>
      <c r="K61" s="47"/>
      <c r="L61" s="48"/>
      <c r="M61" s="51"/>
    </row>
    <row r="62" spans="1:13">
      <c r="A62" s="46" t="s">
        <v>138</v>
      </c>
      <c r="B62" s="47" t="s">
        <v>139</v>
      </c>
      <c r="C62" s="48"/>
      <c r="D62" s="48"/>
      <c r="E62" s="48"/>
      <c r="F62" s="48"/>
      <c r="G62" s="48"/>
      <c r="H62" s="157"/>
      <c r="I62" s="48"/>
      <c r="J62" s="47"/>
      <c r="K62" s="47"/>
      <c r="L62" s="48"/>
      <c r="M62" s="51"/>
    </row>
    <row r="63" spans="1:1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157"/>
      <c r="I63" s="48"/>
      <c r="J63" s="47"/>
      <c r="K63" s="47"/>
      <c r="L63" s="48"/>
      <c r="M63" s="51"/>
    </row>
    <row r="64" spans="1:13">
      <c r="A64" s="46" t="s">
        <v>143</v>
      </c>
      <c r="B64" s="47" t="s">
        <v>144</v>
      </c>
      <c r="C64" s="48"/>
      <c r="D64" s="48"/>
      <c r="E64" s="48"/>
      <c r="F64" s="48"/>
      <c r="G64" s="48"/>
      <c r="H64" s="157"/>
      <c r="I64" s="48"/>
      <c r="J64" s="47"/>
      <c r="K64" s="47"/>
      <c r="L64" s="48"/>
      <c r="M64" s="51"/>
    </row>
    <row r="65" spans="1:13">
      <c r="A65" s="46" t="s">
        <v>145</v>
      </c>
      <c r="B65" s="47" t="s">
        <v>146</v>
      </c>
      <c r="C65" s="48"/>
      <c r="D65" s="48"/>
      <c r="E65" s="48"/>
      <c r="F65" s="48"/>
      <c r="G65" s="48"/>
      <c r="H65" s="157"/>
      <c r="I65" s="48"/>
      <c r="J65" s="47"/>
      <c r="K65" s="47"/>
      <c r="L65" s="48"/>
      <c r="M65" s="51"/>
    </row>
    <row r="66" spans="1:13">
      <c r="A66" s="46" t="s">
        <v>147</v>
      </c>
      <c r="B66" s="47" t="s">
        <v>148</v>
      </c>
      <c r="C66" s="48"/>
      <c r="D66" s="48"/>
      <c r="E66" s="48"/>
      <c r="F66" s="48"/>
      <c r="G66" s="48"/>
      <c r="H66" s="157"/>
      <c r="I66" s="48"/>
      <c r="J66" s="47"/>
      <c r="K66" s="47"/>
      <c r="L66" s="48"/>
      <c r="M66" s="51"/>
    </row>
    <row r="67" spans="1:13">
      <c r="A67" s="46" t="s">
        <v>149</v>
      </c>
      <c r="B67" s="47" t="s">
        <v>150</v>
      </c>
      <c r="C67" s="48"/>
      <c r="D67" s="48"/>
      <c r="E67" s="48"/>
      <c r="F67" s="48"/>
      <c r="G67" s="48"/>
      <c r="H67" s="157"/>
      <c r="I67" s="48"/>
      <c r="J67" s="47"/>
      <c r="K67" s="47"/>
      <c r="L67" s="48"/>
      <c r="M67" s="51"/>
    </row>
    <row r="68" spans="1:13">
      <c r="A68" s="46" t="s">
        <v>151</v>
      </c>
      <c r="B68" s="47" t="s">
        <v>152</v>
      </c>
      <c r="C68" s="48"/>
      <c r="D68" s="48"/>
      <c r="E68" s="48"/>
      <c r="F68" s="48"/>
      <c r="G68" s="48"/>
      <c r="H68" s="157"/>
      <c r="I68" s="48"/>
      <c r="J68" s="47"/>
      <c r="K68" s="47"/>
      <c r="L68" s="48"/>
      <c r="M68" s="51"/>
    </row>
    <row r="69" spans="1:13">
      <c r="A69" s="46" t="s">
        <v>153</v>
      </c>
      <c r="B69" s="47" t="s">
        <v>154</v>
      </c>
      <c r="C69" s="48"/>
      <c r="D69" s="48"/>
      <c r="E69" s="48"/>
      <c r="F69" s="48"/>
      <c r="G69" s="48"/>
      <c r="H69" s="157"/>
      <c r="I69" s="48"/>
      <c r="J69" s="47"/>
      <c r="K69" s="47"/>
      <c r="L69" s="48"/>
      <c r="M69" s="51"/>
    </row>
    <row r="70" spans="1:13" ht="15" thickBot="1">
      <c r="A70" s="53" t="s">
        <v>155</v>
      </c>
      <c r="B70" s="54" t="s">
        <v>156</v>
      </c>
      <c r="C70" s="55"/>
      <c r="D70" s="55"/>
      <c r="E70" s="55"/>
      <c r="F70" s="55"/>
      <c r="G70" s="55"/>
      <c r="H70" s="158"/>
      <c r="I70" s="55"/>
      <c r="J70" s="54"/>
      <c r="K70" s="54"/>
      <c r="L70" s="55"/>
      <c r="M70" s="57"/>
    </row>
    <row r="71" spans="1:1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T113"/>
  <sheetViews>
    <sheetView showGridLines="0" tabSelected="1" zoomScale="120" zoomScaleNormal="120" workbookViewId="0">
      <selection activeCell="P12" sqref="P12:P13"/>
    </sheetView>
  </sheetViews>
  <sheetFormatPr defaultRowHeight="10.199999999999999"/>
  <cols>
    <col min="1" max="1" width="35.5546875" style="120" customWidth="1"/>
    <col min="2" max="2" width="7.6640625" style="120" customWidth="1"/>
    <col min="3" max="3" width="6" style="120" bestFit="1" customWidth="1"/>
    <col min="4" max="4" width="8.77734375" style="120" bestFit="1" customWidth="1"/>
    <col min="5" max="5" width="6" style="120" bestFit="1" customWidth="1"/>
    <col min="6" max="6" width="8.77734375" style="120" bestFit="1" customWidth="1"/>
    <col min="7" max="7" width="6" style="120" bestFit="1" customWidth="1"/>
    <col min="8" max="8" width="8" style="120" bestFit="1" customWidth="1"/>
    <col min="9" max="9" width="7.21875" style="120" bestFit="1" customWidth="1"/>
    <col min="10" max="10" width="10" style="120" bestFit="1" customWidth="1"/>
    <col min="11" max="11" width="6" style="120" bestFit="1" customWidth="1"/>
    <col min="12" max="12" width="9.33203125" style="120" customWidth="1"/>
    <col min="13" max="13" width="6" style="120" bestFit="1" customWidth="1"/>
    <col min="14" max="14" width="8" style="120" bestFit="1" customWidth="1"/>
    <col min="15" max="15" width="6" style="120" customWidth="1"/>
    <col min="16" max="16" width="8" style="120" bestFit="1" customWidth="1"/>
    <col min="17" max="17" width="11" style="120" customWidth="1"/>
    <col min="18" max="18" width="10.109375" style="120" customWidth="1"/>
    <col min="19" max="19" width="11.77734375" style="120" customWidth="1"/>
    <col min="20" max="20" width="6.44140625" style="120" customWidth="1"/>
    <col min="21" max="16384" width="8.88671875" style="120"/>
  </cols>
  <sheetData>
    <row r="2" spans="1:20" s="151" customFormat="1" ht="13.2">
      <c r="A2" s="149"/>
      <c r="B2" s="169" t="s">
        <v>294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52"/>
    </row>
    <row r="3" spans="1:20" s="151" customFormat="1" ht="13.2">
      <c r="B3" s="169" t="s">
        <v>295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50"/>
    </row>
    <row r="4" spans="1:20">
      <c r="A4" s="141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</row>
    <row r="5" spans="1:20" ht="10.8" thickBot="1">
      <c r="A5" s="198" t="s">
        <v>170</v>
      </c>
      <c r="B5" s="198"/>
      <c r="C5" s="198"/>
      <c r="D5" s="198"/>
      <c r="E5" s="198"/>
      <c r="F5" s="198"/>
      <c r="G5" s="121"/>
      <c r="H5" s="121"/>
      <c r="I5" s="121"/>
      <c r="J5" s="121"/>
      <c r="K5" s="121"/>
      <c r="L5" s="121"/>
      <c r="M5" s="171" t="s">
        <v>171</v>
      </c>
      <c r="N5" s="171"/>
      <c r="O5" s="171"/>
      <c r="P5" s="171"/>
      <c r="Q5" s="171"/>
      <c r="R5" s="171"/>
      <c r="S5" s="171"/>
    </row>
    <row r="6" spans="1:20" ht="14.4" customHeight="1">
      <c r="A6" s="210" t="s">
        <v>283</v>
      </c>
      <c r="B6" s="213" t="s">
        <v>293</v>
      </c>
      <c r="C6" s="192" t="s">
        <v>288</v>
      </c>
      <c r="D6" s="209"/>
      <c r="E6" s="219" t="s">
        <v>289</v>
      </c>
      <c r="F6" s="220"/>
      <c r="G6" s="192" t="s">
        <v>290</v>
      </c>
      <c r="H6" s="199"/>
      <c r="I6" s="192" t="s">
        <v>277</v>
      </c>
      <c r="J6" s="217"/>
      <c r="K6" s="217"/>
      <c r="L6" s="209"/>
      <c r="M6" s="192" t="s">
        <v>292</v>
      </c>
      <c r="N6" s="209"/>
      <c r="O6" s="192" t="s">
        <v>279</v>
      </c>
      <c r="P6" s="193"/>
      <c r="Q6" s="204" t="s">
        <v>172</v>
      </c>
      <c r="R6" s="204"/>
      <c r="S6" s="204"/>
    </row>
    <row r="7" spans="1:20" ht="10.199999999999999" customHeight="1">
      <c r="A7" s="211"/>
      <c r="B7" s="214"/>
      <c r="C7" s="194"/>
      <c r="D7" s="208"/>
      <c r="E7" s="221"/>
      <c r="F7" s="222"/>
      <c r="G7" s="200"/>
      <c r="H7" s="201"/>
      <c r="I7" s="196"/>
      <c r="J7" s="218"/>
      <c r="K7" s="218"/>
      <c r="L7" s="207"/>
      <c r="M7" s="194"/>
      <c r="N7" s="208"/>
      <c r="O7" s="194"/>
      <c r="P7" s="195"/>
      <c r="Q7" s="205"/>
      <c r="R7" s="205"/>
      <c r="S7" s="205"/>
    </row>
    <row r="8" spans="1:20" ht="40.799999999999997" customHeight="1">
      <c r="A8" s="211"/>
      <c r="B8" s="215"/>
      <c r="C8" s="196"/>
      <c r="D8" s="207"/>
      <c r="E8" s="223"/>
      <c r="F8" s="224"/>
      <c r="G8" s="202"/>
      <c r="H8" s="203"/>
      <c r="I8" s="196" t="s">
        <v>278</v>
      </c>
      <c r="J8" s="207"/>
      <c r="K8" s="196" t="s">
        <v>291</v>
      </c>
      <c r="L8" s="208"/>
      <c r="M8" s="196"/>
      <c r="N8" s="207"/>
      <c r="O8" s="196"/>
      <c r="P8" s="197"/>
      <c r="Q8" s="205"/>
      <c r="R8" s="205"/>
      <c r="S8" s="205"/>
    </row>
    <row r="9" spans="1:20">
      <c r="A9" s="212"/>
      <c r="B9" s="216"/>
      <c r="C9" s="137">
        <v>1</v>
      </c>
      <c r="D9" s="137">
        <v>2</v>
      </c>
      <c r="E9" s="137">
        <v>1</v>
      </c>
      <c r="F9" s="137">
        <v>2</v>
      </c>
      <c r="G9" s="122">
        <v>1</v>
      </c>
      <c r="H9" s="122">
        <v>2</v>
      </c>
      <c r="I9" s="137">
        <v>1</v>
      </c>
      <c r="J9" s="137">
        <v>2</v>
      </c>
      <c r="K9" s="145">
        <v>1</v>
      </c>
      <c r="L9" s="122">
        <v>2</v>
      </c>
      <c r="M9" s="146">
        <v>1</v>
      </c>
      <c r="N9" s="122">
        <v>2</v>
      </c>
      <c r="O9" s="122">
        <v>1</v>
      </c>
      <c r="P9" s="123">
        <v>2</v>
      </c>
      <c r="Q9" s="206"/>
      <c r="R9" s="206"/>
      <c r="S9" s="206"/>
    </row>
    <row r="10" spans="1:20">
      <c r="A10" s="188" t="s">
        <v>173</v>
      </c>
      <c r="B10" s="190">
        <f>SUM(B12,B20,B29,B34,B40,B47,B54,B61,B66,B73,B83,B90,B105)</f>
        <v>2501235</v>
      </c>
      <c r="C10" s="187">
        <f>SUM(C12,C20,C29,C34,C40,C47,C54,C61,C66,C73,C83,C90,C105)</f>
        <v>279112</v>
      </c>
      <c r="D10" s="187">
        <f>SUM(D12,D20,D29,D34,D40,D47,D54,D61,D66,D73,D83,D90,D105)</f>
        <v>100002.21300000002</v>
      </c>
      <c r="E10" s="187">
        <f>SUM(E12,E20,E29,E34,E40,E47,E54,E61,E66,E73,E83,E90,E105)</f>
        <v>285748</v>
      </c>
      <c r="F10" s="187">
        <f t="shared" ref="E10:P10" si="0">SUM(F12,F20,F29,F34,F40,F47,F54,F61,F66,F73,F83,F90,F105)</f>
        <v>109205.683</v>
      </c>
      <c r="G10" s="187">
        <f>SUM(G12,G20,G29,G34,G40,G47,G54,G61,G66,G73,G83,G90,G105)</f>
        <v>165171</v>
      </c>
      <c r="H10" s="187">
        <f t="shared" si="0"/>
        <v>71515.357999999993</v>
      </c>
      <c r="I10" s="187">
        <f t="shared" si="0"/>
        <v>1131894</v>
      </c>
      <c r="J10" s="187">
        <f t="shared" si="0"/>
        <v>1282232.753</v>
      </c>
      <c r="K10" s="187">
        <f t="shared" si="0"/>
        <v>348461</v>
      </c>
      <c r="L10" s="187">
        <f t="shared" si="0"/>
        <v>348349.51899999997</v>
      </c>
      <c r="M10" s="187">
        <f t="shared" si="0"/>
        <v>195591</v>
      </c>
      <c r="N10" s="187">
        <f t="shared" si="0"/>
        <v>66116.979999999981</v>
      </c>
      <c r="O10" s="187">
        <f t="shared" si="0"/>
        <v>95258</v>
      </c>
      <c r="P10" s="179">
        <f t="shared" si="0"/>
        <v>36161.592999999993</v>
      </c>
      <c r="Q10" s="180" t="s">
        <v>174</v>
      </c>
      <c r="R10" s="180"/>
      <c r="S10" s="180"/>
      <c r="T10" s="124"/>
    </row>
    <row r="11" spans="1:20">
      <c r="A11" s="189"/>
      <c r="B11" s="191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6"/>
      <c r="Q11" s="181"/>
      <c r="R11" s="181"/>
      <c r="S11" s="181"/>
      <c r="T11" s="124"/>
    </row>
    <row r="12" spans="1:20">
      <c r="A12" s="186" t="s">
        <v>175</v>
      </c>
      <c r="B12" s="184">
        <f>SUM(B14:B19)</f>
        <v>268879</v>
      </c>
      <c r="C12" s="170">
        <f>SUM(C14:C19)</f>
        <v>11123</v>
      </c>
      <c r="D12" s="170">
        <f>SUM(D14:D19)</f>
        <v>5125.237000000001</v>
      </c>
      <c r="E12" s="170">
        <f t="shared" ref="E12:P12" si="1">SUM(E14:E19)</f>
        <v>5406</v>
      </c>
      <c r="F12" s="170">
        <f t="shared" si="1"/>
        <v>2225.8799999999997</v>
      </c>
      <c r="G12" s="185">
        <f t="shared" si="1"/>
        <v>9355</v>
      </c>
      <c r="H12" s="170">
        <f t="shared" si="1"/>
        <v>5480.7119999999995</v>
      </c>
      <c r="I12" s="170">
        <f t="shared" si="1"/>
        <v>158913</v>
      </c>
      <c r="J12" s="170">
        <f t="shared" si="1"/>
        <v>171668.50200000001</v>
      </c>
      <c r="K12" s="170">
        <f t="shared" si="1"/>
        <v>51035</v>
      </c>
      <c r="L12" s="170">
        <f t="shared" si="1"/>
        <v>49595.6</v>
      </c>
      <c r="M12" s="170">
        <f t="shared" si="1"/>
        <v>31753</v>
      </c>
      <c r="N12" s="170">
        <f t="shared" si="1"/>
        <v>13609.939999999999</v>
      </c>
      <c r="O12" s="170">
        <f t="shared" si="1"/>
        <v>1294</v>
      </c>
      <c r="P12" s="176">
        <f t="shared" si="1"/>
        <v>801.05</v>
      </c>
      <c r="Q12" s="182" t="s">
        <v>176</v>
      </c>
      <c r="R12" s="182"/>
      <c r="S12" s="182"/>
      <c r="T12" s="125"/>
    </row>
    <row r="13" spans="1:20">
      <c r="A13" s="186"/>
      <c r="B13" s="184"/>
      <c r="C13" s="170"/>
      <c r="D13" s="170"/>
      <c r="E13" s="170"/>
      <c r="F13" s="170"/>
      <c r="G13" s="185"/>
      <c r="H13" s="170"/>
      <c r="I13" s="170"/>
      <c r="J13" s="170"/>
      <c r="K13" s="170"/>
      <c r="L13" s="170"/>
      <c r="M13" s="170"/>
      <c r="N13" s="170"/>
      <c r="O13" s="170"/>
      <c r="P13" s="176"/>
      <c r="Q13" s="182"/>
      <c r="R13" s="182"/>
      <c r="S13" s="182"/>
      <c r="T13" s="125"/>
    </row>
    <row r="14" spans="1:20">
      <c r="A14" s="126" t="s">
        <v>1</v>
      </c>
      <c r="B14" s="139">
        <f>SUM(C14,E14,G14,I14,K14,M14,O14)</f>
        <v>51886</v>
      </c>
      <c r="C14" s="154">
        <v>2370</v>
      </c>
      <c r="D14" s="154">
        <v>1498.4</v>
      </c>
      <c r="E14" s="154">
        <v>1065</v>
      </c>
      <c r="F14" s="154">
        <v>474</v>
      </c>
      <c r="G14" s="154">
        <v>3459</v>
      </c>
      <c r="H14" s="154">
        <v>2718.75</v>
      </c>
      <c r="I14" s="154">
        <v>16311</v>
      </c>
      <c r="J14" s="154">
        <v>16137.1</v>
      </c>
      <c r="K14" s="154">
        <v>20973</v>
      </c>
      <c r="L14" s="154">
        <v>18087.5</v>
      </c>
      <c r="M14" s="154">
        <v>7382</v>
      </c>
      <c r="N14" s="154">
        <v>3585</v>
      </c>
      <c r="O14" s="154">
        <v>326</v>
      </c>
      <c r="P14" s="225">
        <v>216.55</v>
      </c>
      <c r="Q14" s="138" t="s">
        <v>177</v>
      </c>
      <c r="R14" s="124"/>
      <c r="S14" s="124"/>
      <c r="T14" s="124"/>
    </row>
    <row r="15" spans="1:20">
      <c r="A15" s="126" t="s">
        <v>4</v>
      </c>
      <c r="B15" s="139">
        <f t="shared" ref="B15:B19" si="2">SUM(C15,E15,G15,I15,K15,M15,O15)</f>
        <v>62727</v>
      </c>
      <c r="C15" s="154">
        <v>3250</v>
      </c>
      <c r="D15" s="154">
        <v>1839.7</v>
      </c>
      <c r="E15" s="154">
        <v>3114</v>
      </c>
      <c r="F15" s="154">
        <v>1255.58</v>
      </c>
      <c r="G15" s="154">
        <v>2848</v>
      </c>
      <c r="H15" s="154">
        <v>1516</v>
      </c>
      <c r="I15" s="154">
        <v>28560</v>
      </c>
      <c r="J15" s="154">
        <v>27645.048999999999</v>
      </c>
      <c r="K15" s="154">
        <v>10374</v>
      </c>
      <c r="L15" s="154">
        <v>10603.45</v>
      </c>
      <c r="M15" s="154">
        <v>14516</v>
      </c>
      <c r="N15" s="154">
        <v>4209.96</v>
      </c>
      <c r="O15" s="154">
        <v>65</v>
      </c>
      <c r="P15" s="225">
        <v>31.2</v>
      </c>
      <c r="Q15" s="138" t="s">
        <v>178</v>
      </c>
      <c r="R15" s="124"/>
      <c r="S15" s="124"/>
      <c r="T15" s="124"/>
    </row>
    <row r="16" spans="1:20">
      <c r="A16" s="126" t="s">
        <v>6</v>
      </c>
      <c r="B16" s="139">
        <f t="shared" si="2"/>
        <v>104302</v>
      </c>
      <c r="C16" s="154">
        <v>2412</v>
      </c>
      <c r="D16" s="154">
        <v>955.6</v>
      </c>
      <c r="E16" s="154">
        <v>1016</v>
      </c>
      <c r="F16" s="154">
        <v>296.89999999999998</v>
      </c>
      <c r="G16" s="154">
        <v>1796</v>
      </c>
      <c r="H16" s="154">
        <v>546.15</v>
      </c>
      <c r="I16" s="154">
        <v>89535</v>
      </c>
      <c r="J16" s="154">
        <v>93991.853000000003</v>
      </c>
      <c r="K16" s="154">
        <v>3350</v>
      </c>
      <c r="L16" s="154">
        <v>1829.6</v>
      </c>
      <c r="M16" s="154">
        <v>5977</v>
      </c>
      <c r="N16" s="154">
        <v>2929.6</v>
      </c>
      <c r="O16" s="154">
        <v>216</v>
      </c>
      <c r="P16" s="225">
        <v>118.5</v>
      </c>
      <c r="Q16" s="138" t="s">
        <v>179</v>
      </c>
      <c r="R16" s="124"/>
      <c r="S16" s="124"/>
      <c r="T16" s="124"/>
    </row>
    <row r="17" spans="1:20">
      <c r="A17" s="126" t="s">
        <v>9</v>
      </c>
      <c r="B17" s="139">
        <f t="shared" si="2"/>
        <v>775</v>
      </c>
      <c r="C17" s="154">
        <v>13</v>
      </c>
      <c r="D17" s="154">
        <v>7.6</v>
      </c>
      <c r="E17" s="154">
        <v>10</v>
      </c>
      <c r="F17" s="154">
        <v>8</v>
      </c>
      <c r="G17" s="154">
        <v>11</v>
      </c>
      <c r="H17" s="154">
        <v>8</v>
      </c>
      <c r="I17" s="154">
        <v>94</v>
      </c>
      <c r="J17" s="154">
        <v>90.5</v>
      </c>
      <c r="K17" s="155" t="s">
        <v>284</v>
      </c>
      <c r="L17" s="154" t="s">
        <v>284</v>
      </c>
      <c r="M17" s="154">
        <v>636</v>
      </c>
      <c r="N17" s="154">
        <v>268</v>
      </c>
      <c r="O17" s="154">
        <v>11</v>
      </c>
      <c r="P17" s="225">
        <v>7</v>
      </c>
      <c r="Q17" s="138" t="s">
        <v>180</v>
      </c>
      <c r="R17" s="124"/>
      <c r="S17" s="124"/>
      <c r="T17" s="124"/>
    </row>
    <row r="18" spans="1:20">
      <c r="A18" s="126" t="s">
        <v>12</v>
      </c>
      <c r="B18" s="139">
        <f t="shared" si="2"/>
        <v>14683</v>
      </c>
      <c r="C18" s="154">
        <v>147</v>
      </c>
      <c r="D18" s="154">
        <v>49.8</v>
      </c>
      <c r="E18" s="154">
        <v>177</v>
      </c>
      <c r="F18" s="154">
        <v>184.2</v>
      </c>
      <c r="G18" s="154">
        <v>479</v>
      </c>
      <c r="H18" s="154">
        <v>239.65</v>
      </c>
      <c r="I18" s="154">
        <v>3831</v>
      </c>
      <c r="J18" s="154">
        <v>4975.2</v>
      </c>
      <c r="K18" s="154">
        <v>8130</v>
      </c>
      <c r="L18" s="154">
        <v>9463.0499999999993</v>
      </c>
      <c r="M18" s="154">
        <v>1643</v>
      </c>
      <c r="N18" s="154">
        <v>2135.9</v>
      </c>
      <c r="O18" s="154">
        <v>276</v>
      </c>
      <c r="P18" s="225">
        <v>278</v>
      </c>
      <c r="Q18" s="138" t="s">
        <v>181</v>
      </c>
      <c r="R18" s="124"/>
      <c r="S18" s="124"/>
      <c r="T18" s="124"/>
    </row>
    <row r="19" spans="1:20">
      <c r="A19" s="126" t="s">
        <v>14</v>
      </c>
      <c r="B19" s="139">
        <f t="shared" si="2"/>
        <v>34506</v>
      </c>
      <c r="C19" s="154">
        <v>2931</v>
      </c>
      <c r="D19" s="154">
        <v>774.13699999999994</v>
      </c>
      <c r="E19" s="154">
        <v>24</v>
      </c>
      <c r="F19" s="154">
        <v>7.2</v>
      </c>
      <c r="G19" s="154">
        <v>762</v>
      </c>
      <c r="H19" s="154">
        <v>452.16199999999998</v>
      </c>
      <c r="I19" s="154">
        <v>20582</v>
      </c>
      <c r="J19" s="154">
        <v>28828.799999999999</v>
      </c>
      <c r="K19" s="154">
        <v>8208</v>
      </c>
      <c r="L19" s="154">
        <v>9612</v>
      </c>
      <c r="M19" s="154">
        <v>1599</v>
      </c>
      <c r="N19" s="154">
        <v>481.48</v>
      </c>
      <c r="O19" s="154">
        <v>400</v>
      </c>
      <c r="P19" s="225">
        <v>149.80000000000001</v>
      </c>
      <c r="Q19" s="138" t="s">
        <v>182</v>
      </c>
      <c r="R19" s="124"/>
      <c r="S19" s="124"/>
      <c r="T19" s="124"/>
    </row>
    <row r="20" spans="1:20">
      <c r="A20" s="183" t="s">
        <v>183</v>
      </c>
      <c r="B20" s="184">
        <f t="shared" ref="B20:G20" si="3">SUM(B22:B28)</f>
        <v>428023</v>
      </c>
      <c r="C20" s="170">
        <f t="shared" si="3"/>
        <v>32515</v>
      </c>
      <c r="D20" s="170">
        <f t="shared" si="3"/>
        <v>10561.244999999999</v>
      </c>
      <c r="E20" s="170">
        <f t="shared" si="3"/>
        <v>20870</v>
      </c>
      <c r="F20" s="170">
        <f t="shared" si="3"/>
        <v>5894.6729999999998</v>
      </c>
      <c r="G20" s="170">
        <f t="shared" si="3"/>
        <v>35824</v>
      </c>
      <c r="H20" s="170">
        <f t="shared" ref="H20:P20" si="4">SUM(H22:H28)</f>
        <v>14003.050999999999</v>
      </c>
      <c r="I20" s="170">
        <f t="shared" si="4"/>
        <v>212728</v>
      </c>
      <c r="J20" s="170">
        <f t="shared" si="4"/>
        <v>254680.30499999999</v>
      </c>
      <c r="K20" s="170">
        <f t="shared" si="4"/>
        <v>79082</v>
      </c>
      <c r="L20" s="170">
        <f t="shared" si="4"/>
        <v>80730.274999999994</v>
      </c>
      <c r="M20" s="170">
        <f t="shared" si="4"/>
        <v>6015</v>
      </c>
      <c r="N20" s="170">
        <f t="shared" si="4"/>
        <v>1372.55</v>
      </c>
      <c r="O20" s="170">
        <f t="shared" si="4"/>
        <v>40989</v>
      </c>
      <c r="P20" s="176">
        <f t="shared" si="4"/>
        <v>13060.374</v>
      </c>
      <c r="Q20" s="173" t="s">
        <v>184</v>
      </c>
      <c r="R20" s="173"/>
      <c r="S20" s="173"/>
      <c r="T20" s="124"/>
    </row>
    <row r="21" spans="1:20">
      <c r="A21" s="183"/>
      <c r="B21" s="184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6"/>
      <c r="Q21" s="173"/>
      <c r="R21" s="173"/>
      <c r="S21" s="173"/>
      <c r="T21" s="124"/>
    </row>
    <row r="22" spans="1:20">
      <c r="A22" s="126" t="s">
        <v>16</v>
      </c>
      <c r="B22" s="139">
        <f t="shared" ref="B22:B33" si="5">SUM(C22,E22,G22,I22,K22,M22,O22)</f>
        <v>104226</v>
      </c>
      <c r="C22" s="154">
        <v>11040</v>
      </c>
      <c r="D22" s="154">
        <v>2917.1860000000001</v>
      </c>
      <c r="E22" s="154">
        <v>5379</v>
      </c>
      <c r="F22" s="154">
        <v>1384.355</v>
      </c>
      <c r="G22" s="154">
        <v>7179</v>
      </c>
      <c r="H22" s="154">
        <v>1828.9159999999999</v>
      </c>
      <c r="I22" s="154">
        <v>39832</v>
      </c>
      <c r="J22" s="154">
        <v>50978.726000000002</v>
      </c>
      <c r="K22" s="154">
        <v>14168</v>
      </c>
      <c r="L22" s="154">
        <v>8754.1309999999994</v>
      </c>
      <c r="M22" s="154">
        <v>5541</v>
      </c>
      <c r="N22" s="154">
        <v>1139.2</v>
      </c>
      <c r="O22" s="154">
        <v>21087</v>
      </c>
      <c r="P22" s="225">
        <v>5205.6099999999997</v>
      </c>
      <c r="Q22" s="127" t="s">
        <v>185</v>
      </c>
      <c r="R22" s="124"/>
      <c r="S22" s="124"/>
      <c r="T22" s="124"/>
    </row>
    <row r="23" spans="1:20">
      <c r="A23" s="126" t="s">
        <v>18</v>
      </c>
      <c r="B23" s="139">
        <f t="shared" si="5"/>
        <v>10101</v>
      </c>
      <c r="C23" s="154">
        <v>586</v>
      </c>
      <c r="D23" s="154">
        <v>194.12200000000001</v>
      </c>
      <c r="E23" s="154">
        <v>346</v>
      </c>
      <c r="F23" s="154">
        <v>126.28</v>
      </c>
      <c r="G23" s="154">
        <v>691</v>
      </c>
      <c r="H23" s="154">
        <v>490.8</v>
      </c>
      <c r="I23" s="154">
        <v>1842</v>
      </c>
      <c r="J23" s="154">
        <v>1925.69</v>
      </c>
      <c r="K23" s="154">
        <v>6618</v>
      </c>
      <c r="L23" s="154">
        <v>9539.98</v>
      </c>
      <c r="M23" s="155" t="s">
        <v>284</v>
      </c>
      <c r="N23" s="154" t="s">
        <v>284</v>
      </c>
      <c r="O23" s="154">
        <v>18</v>
      </c>
      <c r="P23" s="225">
        <v>4.9000000000000004</v>
      </c>
      <c r="Q23" s="127" t="s">
        <v>186</v>
      </c>
      <c r="R23" s="124"/>
      <c r="S23" s="124"/>
      <c r="T23" s="124"/>
    </row>
    <row r="24" spans="1:20">
      <c r="A24" s="126" t="s">
        <v>20</v>
      </c>
      <c r="B24" s="139">
        <f t="shared" si="5"/>
        <v>65153</v>
      </c>
      <c r="C24" s="154">
        <v>6767</v>
      </c>
      <c r="D24" s="154">
        <v>2285.9499999999998</v>
      </c>
      <c r="E24" s="154">
        <v>3352</v>
      </c>
      <c r="F24" s="154">
        <v>1108.06</v>
      </c>
      <c r="G24" s="154">
        <v>5414</v>
      </c>
      <c r="H24" s="154">
        <v>1850.17</v>
      </c>
      <c r="I24" s="154">
        <v>29580</v>
      </c>
      <c r="J24" s="154">
        <v>30173.751</v>
      </c>
      <c r="K24" s="154">
        <v>14552</v>
      </c>
      <c r="L24" s="154">
        <v>17493.599999999999</v>
      </c>
      <c r="M24" s="154">
        <v>297</v>
      </c>
      <c r="N24" s="154">
        <v>141.30000000000001</v>
      </c>
      <c r="O24" s="154">
        <v>5191</v>
      </c>
      <c r="P24" s="225">
        <v>1797.9</v>
      </c>
      <c r="Q24" s="127" t="s">
        <v>187</v>
      </c>
      <c r="R24" s="124"/>
      <c r="S24" s="124"/>
      <c r="T24" s="124"/>
    </row>
    <row r="25" spans="1:20">
      <c r="A25" s="126" t="s">
        <v>22</v>
      </c>
      <c r="B25" s="139">
        <f t="shared" si="5"/>
        <v>50181</v>
      </c>
      <c r="C25" s="154">
        <v>2221</v>
      </c>
      <c r="D25" s="154">
        <v>932.42700000000002</v>
      </c>
      <c r="E25" s="154">
        <v>928</v>
      </c>
      <c r="F25" s="154">
        <v>389.64699999999999</v>
      </c>
      <c r="G25" s="154">
        <v>2551</v>
      </c>
      <c r="H25" s="154">
        <v>1125.952</v>
      </c>
      <c r="I25" s="154">
        <v>18912</v>
      </c>
      <c r="J25" s="154">
        <v>22353.464</v>
      </c>
      <c r="K25" s="154">
        <v>24131</v>
      </c>
      <c r="L25" s="154">
        <v>27266.06</v>
      </c>
      <c r="M25" s="154">
        <v>35</v>
      </c>
      <c r="N25" s="154">
        <v>33.54</v>
      </c>
      <c r="O25" s="154">
        <v>1403</v>
      </c>
      <c r="P25" s="225">
        <v>968.12</v>
      </c>
      <c r="Q25" s="127" t="s">
        <v>188</v>
      </c>
      <c r="R25" s="124"/>
      <c r="S25" s="124"/>
      <c r="T25" s="124"/>
    </row>
    <row r="26" spans="1:20">
      <c r="A26" s="126" t="s">
        <v>24</v>
      </c>
      <c r="B26" s="139">
        <f t="shared" si="5"/>
        <v>42072</v>
      </c>
      <c r="C26" s="154">
        <v>2923</v>
      </c>
      <c r="D26" s="154">
        <v>1100.24</v>
      </c>
      <c r="E26" s="154">
        <v>3159</v>
      </c>
      <c r="F26" s="154">
        <v>1136.4100000000001</v>
      </c>
      <c r="G26" s="154">
        <v>7340</v>
      </c>
      <c r="H26" s="154">
        <v>3139.25</v>
      </c>
      <c r="I26" s="154">
        <v>25849</v>
      </c>
      <c r="J26" s="154">
        <v>30708</v>
      </c>
      <c r="K26" s="154">
        <v>2232</v>
      </c>
      <c r="L26" s="154">
        <v>2470.8000000000002</v>
      </c>
      <c r="M26" s="154">
        <v>1</v>
      </c>
      <c r="N26" s="154">
        <v>0.35</v>
      </c>
      <c r="O26" s="154">
        <v>568</v>
      </c>
      <c r="P26" s="225">
        <v>225.55</v>
      </c>
      <c r="Q26" s="127" t="s">
        <v>189</v>
      </c>
      <c r="R26" s="124"/>
      <c r="S26" s="124"/>
      <c r="T26" s="124"/>
    </row>
    <row r="27" spans="1:20">
      <c r="A27" s="126" t="s">
        <v>27</v>
      </c>
      <c r="B27" s="139">
        <f t="shared" si="5"/>
        <v>125867</v>
      </c>
      <c r="C27" s="154">
        <v>6629</v>
      </c>
      <c r="D27" s="154">
        <v>2469.96</v>
      </c>
      <c r="E27" s="154">
        <v>559</v>
      </c>
      <c r="F27" s="154">
        <v>225.77</v>
      </c>
      <c r="G27" s="154">
        <v>4280</v>
      </c>
      <c r="H27" s="154">
        <v>2902.77</v>
      </c>
      <c r="I27" s="154">
        <v>92791</v>
      </c>
      <c r="J27" s="154">
        <v>116538.874</v>
      </c>
      <c r="K27" s="154">
        <v>14686</v>
      </c>
      <c r="L27" s="154">
        <v>13931.62</v>
      </c>
      <c r="M27" s="154">
        <v>141</v>
      </c>
      <c r="N27" s="154">
        <v>58.16</v>
      </c>
      <c r="O27" s="154">
        <v>6781</v>
      </c>
      <c r="P27" s="225">
        <v>3552.8139999999999</v>
      </c>
      <c r="Q27" s="127" t="s">
        <v>190</v>
      </c>
      <c r="R27" s="124"/>
      <c r="S27" s="124"/>
      <c r="T27" s="124"/>
    </row>
    <row r="28" spans="1:20">
      <c r="A28" s="126" t="s">
        <v>29</v>
      </c>
      <c r="B28" s="139">
        <f t="shared" si="5"/>
        <v>30423</v>
      </c>
      <c r="C28" s="154">
        <v>2349</v>
      </c>
      <c r="D28" s="154">
        <v>661.36</v>
      </c>
      <c r="E28" s="154">
        <v>7147</v>
      </c>
      <c r="F28" s="154">
        <v>1524.1510000000001</v>
      </c>
      <c r="G28" s="154">
        <v>8369</v>
      </c>
      <c r="H28" s="154">
        <v>2665.1930000000002</v>
      </c>
      <c r="I28" s="154">
        <v>3922</v>
      </c>
      <c r="J28" s="154">
        <v>2001.8</v>
      </c>
      <c r="K28" s="154">
        <v>2695</v>
      </c>
      <c r="L28" s="154">
        <v>1274.0840000000001</v>
      </c>
      <c r="M28" s="155" t="s">
        <v>284</v>
      </c>
      <c r="N28" s="154" t="s">
        <v>284</v>
      </c>
      <c r="O28" s="154">
        <v>5941</v>
      </c>
      <c r="P28" s="225">
        <v>1305.48</v>
      </c>
      <c r="Q28" s="127" t="s">
        <v>191</v>
      </c>
      <c r="R28" s="124"/>
      <c r="S28" s="124"/>
      <c r="T28" s="124"/>
    </row>
    <row r="29" spans="1:20" s="144" customFormat="1" ht="19.8" customHeight="1">
      <c r="A29" s="140" t="s">
        <v>286</v>
      </c>
      <c r="B29" s="153">
        <f>SUM(B30:B33)</f>
        <v>272314</v>
      </c>
      <c r="C29" s="142">
        <f>SUM(C30:C33)</f>
        <v>38508</v>
      </c>
      <c r="D29" s="142">
        <f t="shared" ref="D29:P29" si="6">SUM(D30:D33)</f>
        <v>20464.245999999999</v>
      </c>
      <c r="E29" s="142">
        <f t="shared" si="6"/>
        <v>1614</v>
      </c>
      <c r="F29" s="142">
        <f t="shared" si="6"/>
        <v>588.73399999999992</v>
      </c>
      <c r="G29" s="142">
        <f t="shared" si="6"/>
        <v>8515</v>
      </c>
      <c r="H29" s="142">
        <f t="shared" si="6"/>
        <v>5053.9570000000003</v>
      </c>
      <c r="I29" s="142">
        <f t="shared" si="6"/>
        <v>128184</v>
      </c>
      <c r="J29" s="142">
        <f t="shared" si="6"/>
        <v>125860.247</v>
      </c>
      <c r="K29" s="142">
        <f t="shared" si="6"/>
        <v>34341</v>
      </c>
      <c r="L29" s="142">
        <f t="shared" si="6"/>
        <v>27093.884000000002</v>
      </c>
      <c r="M29" s="142">
        <f t="shared" si="6"/>
        <v>48482</v>
      </c>
      <c r="N29" s="142">
        <f t="shared" si="6"/>
        <v>16117.084999999999</v>
      </c>
      <c r="O29" s="142">
        <f t="shared" si="6"/>
        <v>12670</v>
      </c>
      <c r="P29" s="147">
        <f t="shared" si="6"/>
        <v>5804.2039999999997</v>
      </c>
      <c r="Q29" s="143" t="s">
        <v>287</v>
      </c>
    </row>
    <row r="30" spans="1:20">
      <c r="A30" s="126" t="s">
        <v>31</v>
      </c>
      <c r="B30" s="139">
        <f t="shared" si="5"/>
        <v>75934</v>
      </c>
      <c r="C30" s="154">
        <v>5464</v>
      </c>
      <c r="D30" s="154">
        <v>1415.83</v>
      </c>
      <c r="E30" s="154">
        <v>941</v>
      </c>
      <c r="F30" s="154">
        <v>290.62</v>
      </c>
      <c r="G30" s="154">
        <v>7376</v>
      </c>
      <c r="H30" s="154">
        <v>4611.2070000000003</v>
      </c>
      <c r="I30" s="154">
        <v>41344</v>
      </c>
      <c r="J30" s="154">
        <v>44384.35</v>
      </c>
      <c r="K30" s="154">
        <v>11032</v>
      </c>
      <c r="L30" s="154">
        <v>11849.549000000001</v>
      </c>
      <c r="M30" s="154">
        <v>4100</v>
      </c>
      <c r="N30" s="154">
        <v>1353.77</v>
      </c>
      <c r="O30" s="154">
        <v>5677</v>
      </c>
      <c r="P30" s="225">
        <v>2326.77</v>
      </c>
      <c r="Q30" s="127" t="s">
        <v>192</v>
      </c>
      <c r="R30" s="124"/>
      <c r="S30" s="124"/>
      <c r="T30" s="124"/>
    </row>
    <row r="31" spans="1:20">
      <c r="A31" s="126" t="s">
        <v>33</v>
      </c>
      <c r="B31" s="139">
        <f t="shared" si="5"/>
        <v>44225</v>
      </c>
      <c r="C31" s="154">
        <v>158</v>
      </c>
      <c r="D31" s="154">
        <v>33.67</v>
      </c>
      <c r="E31" s="154">
        <v>140</v>
      </c>
      <c r="F31" s="154">
        <v>32.700000000000003</v>
      </c>
      <c r="G31" s="154">
        <v>88</v>
      </c>
      <c r="H31" s="154">
        <v>19.920000000000002</v>
      </c>
      <c r="I31" s="154">
        <v>32557</v>
      </c>
      <c r="J31" s="154">
        <v>16741.726999999999</v>
      </c>
      <c r="K31" s="154">
        <v>3190</v>
      </c>
      <c r="L31" s="154">
        <v>1230.3499999999999</v>
      </c>
      <c r="M31" s="154">
        <v>8011</v>
      </c>
      <c r="N31" s="154">
        <v>1962.87</v>
      </c>
      <c r="O31" s="154">
        <v>81</v>
      </c>
      <c r="P31" s="225">
        <v>8.69</v>
      </c>
      <c r="Q31" s="127" t="s">
        <v>193</v>
      </c>
      <c r="R31" s="124"/>
      <c r="S31" s="124"/>
      <c r="T31" s="124"/>
    </row>
    <row r="32" spans="1:20">
      <c r="A32" s="126" t="s">
        <v>35</v>
      </c>
      <c r="B32" s="139">
        <f t="shared" si="5"/>
        <v>51077</v>
      </c>
      <c r="C32" s="154">
        <v>1284</v>
      </c>
      <c r="D32" s="154">
        <v>708.29600000000005</v>
      </c>
      <c r="E32" s="154">
        <v>458</v>
      </c>
      <c r="F32" s="154">
        <v>227.91399999999999</v>
      </c>
      <c r="G32" s="154">
        <v>489</v>
      </c>
      <c r="H32" s="154">
        <v>226.1</v>
      </c>
      <c r="I32" s="154">
        <v>8984</v>
      </c>
      <c r="J32" s="154">
        <v>7557.87</v>
      </c>
      <c r="K32" s="154">
        <v>15983</v>
      </c>
      <c r="L32" s="154">
        <v>10154.075000000001</v>
      </c>
      <c r="M32" s="154">
        <v>17483</v>
      </c>
      <c r="N32" s="154">
        <v>6590.9949999999999</v>
      </c>
      <c r="O32" s="154">
        <v>6396</v>
      </c>
      <c r="P32" s="225">
        <v>3205.5</v>
      </c>
      <c r="Q32" s="127" t="s">
        <v>194</v>
      </c>
      <c r="R32" s="124"/>
      <c r="S32" s="124"/>
      <c r="T32" s="124"/>
    </row>
    <row r="33" spans="1:20">
      <c r="A33" s="126" t="s">
        <v>37</v>
      </c>
      <c r="B33" s="139">
        <f t="shared" si="5"/>
        <v>101078</v>
      </c>
      <c r="C33" s="154">
        <v>31602</v>
      </c>
      <c r="D33" s="154">
        <v>18306.45</v>
      </c>
      <c r="E33" s="154">
        <v>75</v>
      </c>
      <c r="F33" s="154">
        <v>37.5</v>
      </c>
      <c r="G33" s="154">
        <v>562</v>
      </c>
      <c r="H33" s="154">
        <v>196.73</v>
      </c>
      <c r="I33" s="154">
        <v>45299</v>
      </c>
      <c r="J33" s="154">
        <v>57176.3</v>
      </c>
      <c r="K33" s="154">
        <v>4136</v>
      </c>
      <c r="L33" s="154">
        <v>3859.91</v>
      </c>
      <c r="M33" s="154">
        <v>18888</v>
      </c>
      <c r="N33" s="154">
        <v>6209.45</v>
      </c>
      <c r="O33" s="154">
        <v>516</v>
      </c>
      <c r="P33" s="225">
        <v>263.24400000000003</v>
      </c>
      <c r="Q33" s="127" t="s">
        <v>195</v>
      </c>
      <c r="R33" s="124"/>
      <c r="S33" s="124"/>
      <c r="T33" s="124"/>
    </row>
    <row r="34" spans="1:20">
      <c r="A34" s="183" t="s">
        <v>196</v>
      </c>
      <c r="B34" s="184">
        <f>SUM(B36:B39)</f>
        <v>177699</v>
      </c>
      <c r="C34" s="170">
        <f>SUM(C36:C39)</f>
        <v>1153</v>
      </c>
      <c r="D34" s="170">
        <f t="shared" ref="D34:P34" si="7">SUM(D36:D39)</f>
        <v>517.43499999999995</v>
      </c>
      <c r="E34" s="170">
        <f t="shared" si="7"/>
        <v>6096</v>
      </c>
      <c r="F34" s="170">
        <f t="shared" si="7"/>
        <v>3199.7200000000003</v>
      </c>
      <c r="G34" s="185">
        <f t="shared" si="7"/>
        <v>589</v>
      </c>
      <c r="H34" s="170">
        <f t="shared" si="7"/>
        <v>261.3</v>
      </c>
      <c r="I34" s="170">
        <f t="shared" si="7"/>
        <v>76082</v>
      </c>
      <c r="J34" s="170">
        <f t="shared" si="7"/>
        <v>82621.861000000004</v>
      </c>
      <c r="K34" s="170">
        <f t="shared" si="7"/>
        <v>34704</v>
      </c>
      <c r="L34" s="170">
        <f t="shared" si="7"/>
        <v>36635.275999999998</v>
      </c>
      <c r="M34" s="170">
        <f t="shared" si="7"/>
        <v>57556</v>
      </c>
      <c r="N34" s="170">
        <f t="shared" si="7"/>
        <v>19493.559999999998</v>
      </c>
      <c r="O34" s="170">
        <f t="shared" si="7"/>
        <v>1519</v>
      </c>
      <c r="P34" s="176">
        <f t="shared" si="7"/>
        <v>677.875</v>
      </c>
      <c r="Q34" s="174" t="s">
        <v>197</v>
      </c>
      <c r="R34" s="174"/>
      <c r="S34" s="174"/>
      <c r="T34" s="124"/>
    </row>
    <row r="35" spans="1:20">
      <c r="A35" s="183"/>
      <c r="B35" s="184"/>
      <c r="C35" s="170"/>
      <c r="D35" s="170"/>
      <c r="E35" s="170"/>
      <c r="F35" s="170"/>
      <c r="G35" s="185"/>
      <c r="H35" s="170"/>
      <c r="I35" s="170"/>
      <c r="J35" s="170"/>
      <c r="K35" s="170"/>
      <c r="L35" s="170"/>
      <c r="M35" s="170"/>
      <c r="N35" s="170"/>
      <c r="O35" s="170"/>
      <c r="P35" s="176"/>
      <c r="Q35" s="174"/>
      <c r="R35" s="174"/>
      <c r="S35" s="174"/>
      <c r="T35" s="124"/>
    </row>
    <row r="36" spans="1:20">
      <c r="A36" s="126" t="s">
        <v>39</v>
      </c>
      <c r="B36" s="139">
        <f>SUM(C36,E36,G36,I36,K36,M36,O36)</f>
        <v>67503</v>
      </c>
      <c r="C36" s="154">
        <v>352</v>
      </c>
      <c r="D36" s="154">
        <v>242.6</v>
      </c>
      <c r="E36" s="154">
        <v>608</v>
      </c>
      <c r="F36" s="154">
        <v>486.4</v>
      </c>
      <c r="G36" s="154">
        <v>163</v>
      </c>
      <c r="H36" s="154">
        <v>58.5</v>
      </c>
      <c r="I36" s="154">
        <v>31051</v>
      </c>
      <c r="J36" s="154">
        <v>25004.53</v>
      </c>
      <c r="K36" s="154">
        <v>4493</v>
      </c>
      <c r="L36" s="154">
        <v>2291.2600000000002</v>
      </c>
      <c r="M36" s="154">
        <v>30176</v>
      </c>
      <c r="N36" s="154">
        <v>8189.58</v>
      </c>
      <c r="O36" s="154">
        <v>660</v>
      </c>
      <c r="P36" s="225">
        <v>339.3</v>
      </c>
      <c r="Q36" s="127" t="s">
        <v>198</v>
      </c>
      <c r="R36" s="124"/>
      <c r="S36" s="124"/>
      <c r="T36" s="124"/>
    </row>
    <row r="37" spans="1:20">
      <c r="A37" s="126" t="s">
        <v>41</v>
      </c>
      <c r="B37" s="139">
        <f>SUM(C37,E37,G37,I37,K37,M37,O37)</f>
        <v>17232</v>
      </c>
      <c r="C37" s="154">
        <v>67</v>
      </c>
      <c r="D37" s="154">
        <v>24.3</v>
      </c>
      <c r="E37" s="154">
        <v>448</v>
      </c>
      <c r="F37" s="154">
        <v>237.8</v>
      </c>
      <c r="G37" s="154">
        <v>27</v>
      </c>
      <c r="H37" s="154">
        <v>17.100000000000001</v>
      </c>
      <c r="I37" s="154">
        <v>11344</v>
      </c>
      <c r="J37" s="154">
        <v>14923.5</v>
      </c>
      <c r="K37" s="154">
        <v>5010</v>
      </c>
      <c r="L37" s="154">
        <v>6814.4</v>
      </c>
      <c r="M37" s="154">
        <v>329</v>
      </c>
      <c r="N37" s="154">
        <v>79.900000000000006</v>
      </c>
      <c r="O37" s="154">
        <v>7</v>
      </c>
      <c r="P37" s="225">
        <v>5</v>
      </c>
      <c r="Q37" s="127" t="s">
        <v>199</v>
      </c>
      <c r="R37" s="124"/>
      <c r="S37" s="124"/>
      <c r="T37" s="124"/>
    </row>
    <row r="38" spans="1:20">
      <c r="A38" s="126" t="s">
        <v>43</v>
      </c>
      <c r="B38" s="139">
        <f>SUM(C38,E38,G38,I38,K38,M38,O38)</f>
        <v>44316</v>
      </c>
      <c r="C38" s="154">
        <v>552</v>
      </c>
      <c r="D38" s="154">
        <v>194.7</v>
      </c>
      <c r="E38" s="154">
        <v>2523</v>
      </c>
      <c r="F38" s="154">
        <v>1013.5</v>
      </c>
      <c r="G38" s="154">
        <v>308</v>
      </c>
      <c r="H38" s="154">
        <v>142.9</v>
      </c>
      <c r="I38" s="154">
        <v>18233</v>
      </c>
      <c r="J38" s="154">
        <v>23321.3</v>
      </c>
      <c r="K38" s="154">
        <v>6053</v>
      </c>
      <c r="L38" s="154">
        <v>6208</v>
      </c>
      <c r="M38" s="154">
        <v>15900</v>
      </c>
      <c r="N38" s="154">
        <v>6140</v>
      </c>
      <c r="O38" s="154">
        <v>747</v>
      </c>
      <c r="P38" s="225">
        <v>285.8</v>
      </c>
      <c r="Q38" s="127" t="s">
        <v>200</v>
      </c>
      <c r="R38" s="124"/>
      <c r="S38" s="124"/>
      <c r="T38" s="124"/>
    </row>
    <row r="39" spans="1:20">
      <c r="A39" s="126" t="s">
        <v>46</v>
      </c>
      <c r="B39" s="139">
        <f>SUM(C39,E39,G39,I39,K39,M39,O39)</f>
        <v>48648</v>
      </c>
      <c r="C39" s="154">
        <v>182</v>
      </c>
      <c r="D39" s="154">
        <v>55.835000000000001</v>
      </c>
      <c r="E39" s="154">
        <v>2517</v>
      </c>
      <c r="F39" s="154">
        <v>1462.02</v>
      </c>
      <c r="G39" s="154">
        <v>91</v>
      </c>
      <c r="H39" s="154">
        <v>42.8</v>
      </c>
      <c r="I39" s="154">
        <v>15454</v>
      </c>
      <c r="J39" s="154">
        <v>19372.530999999999</v>
      </c>
      <c r="K39" s="154">
        <v>19148</v>
      </c>
      <c r="L39" s="154">
        <v>21321.616000000002</v>
      </c>
      <c r="M39" s="154">
        <v>11151</v>
      </c>
      <c r="N39" s="154">
        <v>5084.08</v>
      </c>
      <c r="O39" s="154">
        <v>105</v>
      </c>
      <c r="P39" s="225">
        <v>47.774999999999999</v>
      </c>
      <c r="Q39" s="127" t="s">
        <v>201</v>
      </c>
      <c r="R39" s="124"/>
      <c r="S39" s="124"/>
      <c r="T39" s="124"/>
    </row>
    <row r="40" spans="1:20">
      <c r="A40" s="183" t="s">
        <v>202</v>
      </c>
      <c r="B40" s="184">
        <f>SUM(B42:B46)</f>
        <v>360475</v>
      </c>
      <c r="C40" s="170">
        <f>SUM(C42:C46)</f>
        <v>34591</v>
      </c>
      <c r="D40" s="170">
        <f t="shared" ref="D40:P40" si="8">SUM(D42:D46)</f>
        <v>12599.369999999999</v>
      </c>
      <c r="E40" s="170">
        <f t="shared" si="8"/>
        <v>18541</v>
      </c>
      <c r="F40" s="170">
        <f t="shared" si="8"/>
        <v>7775.7800000000007</v>
      </c>
      <c r="G40" s="185">
        <f t="shared" si="8"/>
        <v>27847</v>
      </c>
      <c r="H40" s="170">
        <f t="shared" si="8"/>
        <v>15018.416000000001</v>
      </c>
      <c r="I40" s="170">
        <f t="shared" si="8"/>
        <v>195310</v>
      </c>
      <c r="J40" s="170">
        <f t="shared" si="8"/>
        <v>240813.83899999998</v>
      </c>
      <c r="K40" s="170">
        <f t="shared" si="8"/>
        <v>40180</v>
      </c>
      <c r="L40" s="170">
        <f t="shared" si="8"/>
        <v>47938.694000000003</v>
      </c>
      <c r="M40" s="170">
        <f t="shared" si="8"/>
        <v>24440</v>
      </c>
      <c r="N40" s="170">
        <f t="shared" si="8"/>
        <v>7511</v>
      </c>
      <c r="O40" s="170">
        <f t="shared" si="8"/>
        <v>19566</v>
      </c>
      <c r="P40" s="176">
        <f t="shared" si="8"/>
        <v>9169.08</v>
      </c>
      <c r="Q40" s="174" t="s">
        <v>203</v>
      </c>
      <c r="R40" s="174"/>
      <c r="S40" s="174"/>
      <c r="T40" s="124"/>
    </row>
    <row r="41" spans="1:20">
      <c r="A41" s="183"/>
      <c r="B41" s="184"/>
      <c r="C41" s="170"/>
      <c r="D41" s="170"/>
      <c r="E41" s="170"/>
      <c r="F41" s="170"/>
      <c r="G41" s="185"/>
      <c r="H41" s="170"/>
      <c r="I41" s="170"/>
      <c r="J41" s="170"/>
      <c r="K41" s="170"/>
      <c r="L41" s="170"/>
      <c r="M41" s="170"/>
      <c r="N41" s="170"/>
      <c r="O41" s="170"/>
      <c r="P41" s="176"/>
      <c r="Q41" s="174"/>
      <c r="R41" s="174"/>
      <c r="S41" s="174"/>
      <c r="T41" s="124"/>
    </row>
    <row r="42" spans="1:20">
      <c r="A42" s="126" t="s">
        <v>48</v>
      </c>
      <c r="B42" s="139">
        <f>SUM(C42,E42,G42,I42,K42,M42,O42)</f>
        <v>138717</v>
      </c>
      <c r="C42" s="154">
        <v>18345</v>
      </c>
      <c r="D42" s="154">
        <v>7578.92</v>
      </c>
      <c r="E42" s="154">
        <v>10563</v>
      </c>
      <c r="F42" s="154">
        <v>4712.92</v>
      </c>
      <c r="G42" s="154">
        <v>13811</v>
      </c>
      <c r="H42" s="154">
        <v>7004.8959999999997</v>
      </c>
      <c r="I42" s="154">
        <v>54335</v>
      </c>
      <c r="J42" s="154">
        <v>68765.45</v>
      </c>
      <c r="K42" s="154">
        <v>22707</v>
      </c>
      <c r="L42" s="154">
        <v>31354.743999999999</v>
      </c>
      <c r="M42" s="154">
        <v>4830</v>
      </c>
      <c r="N42" s="154">
        <v>1924.88</v>
      </c>
      <c r="O42" s="154">
        <v>14126</v>
      </c>
      <c r="P42" s="225">
        <v>6355.44</v>
      </c>
      <c r="Q42" s="127" t="s">
        <v>204</v>
      </c>
      <c r="R42" s="124"/>
      <c r="S42" s="124"/>
      <c r="T42" s="124"/>
    </row>
    <row r="43" spans="1:20">
      <c r="A43" s="126" t="s">
        <v>51</v>
      </c>
      <c r="B43" s="139">
        <f>SUM(C43,E43,G43,I43,K43,M43,O43)</f>
        <v>91430</v>
      </c>
      <c r="C43" s="154">
        <v>1254</v>
      </c>
      <c r="D43" s="154">
        <v>292.25</v>
      </c>
      <c r="E43" s="154">
        <v>3055</v>
      </c>
      <c r="F43" s="154">
        <v>801.35</v>
      </c>
      <c r="G43" s="154">
        <v>4412</v>
      </c>
      <c r="H43" s="154">
        <v>2370.8000000000002</v>
      </c>
      <c r="I43" s="154">
        <v>65148</v>
      </c>
      <c r="J43" s="154">
        <v>78882.06</v>
      </c>
      <c r="K43" s="154">
        <v>2347</v>
      </c>
      <c r="L43" s="154">
        <v>1199.2</v>
      </c>
      <c r="M43" s="154">
        <v>12974</v>
      </c>
      <c r="N43" s="154">
        <v>2123.23</v>
      </c>
      <c r="O43" s="154">
        <v>2240</v>
      </c>
      <c r="P43" s="225">
        <v>1120</v>
      </c>
      <c r="Q43" s="127" t="s">
        <v>205</v>
      </c>
      <c r="R43" s="124"/>
      <c r="S43" s="124"/>
      <c r="T43" s="124"/>
    </row>
    <row r="44" spans="1:20">
      <c r="A44" s="126" t="s">
        <v>53</v>
      </c>
      <c r="B44" s="139">
        <f>SUM(C44,E44,G44,I44,K44,M44,O44)</f>
        <v>38368</v>
      </c>
      <c r="C44" s="154">
        <v>12718</v>
      </c>
      <c r="D44" s="154">
        <v>3653.1149999999998</v>
      </c>
      <c r="E44" s="154">
        <v>1717</v>
      </c>
      <c r="F44" s="154">
        <v>668.58</v>
      </c>
      <c r="G44" s="154">
        <v>5611</v>
      </c>
      <c r="H44" s="154">
        <v>3400.74</v>
      </c>
      <c r="I44" s="154">
        <v>15972</v>
      </c>
      <c r="J44" s="154">
        <v>15258.3</v>
      </c>
      <c r="K44" s="154">
        <v>2051</v>
      </c>
      <c r="L44" s="154">
        <v>2007</v>
      </c>
      <c r="M44" s="154">
        <v>68</v>
      </c>
      <c r="N44" s="154">
        <v>23.98</v>
      </c>
      <c r="O44" s="154">
        <v>231</v>
      </c>
      <c r="P44" s="225">
        <v>73.05</v>
      </c>
      <c r="Q44" s="127" t="s">
        <v>206</v>
      </c>
      <c r="R44" s="124"/>
      <c r="S44" s="124"/>
      <c r="T44" s="124"/>
    </row>
    <row r="45" spans="1:20">
      <c r="A45" s="126" t="s">
        <v>56</v>
      </c>
      <c r="B45" s="139">
        <f>SUM(C45,E45,G45,I45,K45,M45,O45)</f>
        <v>74</v>
      </c>
      <c r="C45" s="154">
        <v>18</v>
      </c>
      <c r="D45" s="154">
        <v>4.55</v>
      </c>
      <c r="E45" s="154">
        <v>15</v>
      </c>
      <c r="F45" s="154">
        <v>6</v>
      </c>
      <c r="G45" s="154">
        <v>11</v>
      </c>
      <c r="H45" s="154">
        <v>3.2</v>
      </c>
      <c r="I45" s="154">
        <v>20</v>
      </c>
      <c r="J45" s="154">
        <v>15.4</v>
      </c>
      <c r="K45" s="154">
        <v>10</v>
      </c>
      <c r="L45" s="154">
        <v>9</v>
      </c>
      <c r="M45" s="155" t="s">
        <v>284</v>
      </c>
      <c r="N45" s="154" t="s">
        <v>284</v>
      </c>
      <c r="O45" s="155" t="s">
        <v>284</v>
      </c>
      <c r="P45" s="225" t="s">
        <v>284</v>
      </c>
      <c r="Q45" s="177" t="s">
        <v>207</v>
      </c>
      <c r="R45" s="178"/>
      <c r="S45" s="178"/>
      <c r="T45" s="124"/>
    </row>
    <row r="46" spans="1:20">
      <c r="A46" s="126" t="s">
        <v>58</v>
      </c>
      <c r="B46" s="139">
        <f>SUM(C46,E46,G46,I46,K46,M46,O46)</f>
        <v>91886</v>
      </c>
      <c r="C46" s="154">
        <v>2256</v>
      </c>
      <c r="D46" s="154">
        <v>1070.5350000000001</v>
      </c>
      <c r="E46" s="154">
        <v>3191</v>
      </c>
      <c r="F46" s="154">
        <v>1586.93</v>
      </c>
      <c r="G46" s="154">
        <v>4002</v>
      </c>
      <c r="H46" s="154">
        <v>2238.7800000000002</v>
      </c>
      <c r="I46" s="154">
        <v>59835</v>
      </c>
      <c r="J46" s="154">
        <v>77892.629000000001</v>
      </c>
      <c r="K46" s="154">
        <v>13065</v>
      </c>
      <c r="L46" s="154">
        <v>13368.75</v>
      </c>
      <c r="M46" s="154">
        <v>6568</v>
      </c>
      <c r="N46" s="154">
        <v>3438.91</v>
      </c>
      <c r="O46" s="154">
        <v>2969</v>
      </c>
      <c r="P46" s="225">
        <v>1620.59</v>
      </c>
      <c r="Q46" s="127" t="s">
        <v>208</v>
      </c>
      <c r="R46" s="124"/>
      <c r="S46" s="124"/>
      <c r="T46" s="124"/>
    </row>
    <row r="47" spans="1:20">
      <c r="A47" s="186" t="s">
        <v>209</v>
      </c>
      <c r="B47" s="184">
        <f>SUM(B49:B53)</f>
        <v>238797</v>
      </c>
      <c r="C47" s="170">
        <f>SUM(C49:C53)</f>
        <v>26809</v>
      </c>
      <c r="D47" s="170">
        <f t="shared" ref="D47:P47" si="9">SUM(D49:D53)</f>
        <v>9522.5189999999984</v>
      </c>
      <c r="E47" s="170">
        <f t="shared" si="9"/>
        <v>22662</v>
      </c>
      <c r="F47" s="170">
        <f t="shared" si="9"/>
        <v>9627.8179999999993</v>
      </c>
      <c r="G47" s="185">
        <f t="shared" si="9"/>
        <v>17533</v>
      </c>
      <c r="H47" s="170">
        <f t="shared" si="9"/>
        <v>7834.2739999999994</v>
      </c>
      <c r="I47" s="170">
        <f t="shared" si="9"/>
        <v>138073</v>
      </c>
      <c r="J47" s="170">
        <f t="shared" si="9"/>
        <v>165946.03100000002</v>
      </c>
      <c r="K47" s="170">
        <f t="shared" si="9"/>
        <v>27817</v>
      </c>
      <c r="L47" s="170">
        <f t="shared" si="9"/>
        <v>23813.64</v>
      </c>
      <c r="M47" s="170">
        <f t="shared" si="9"/>
        <v>2667</v>
      </c>
      <c r="N47" s="170">
        <f t="shared" si="9"/>
        <v>727.30500000000006</v>
      </c>
      <c r="O47" s="170">
        <f t="shared" si="9"/>
        <v>3236</v>
      </c>
      <c r="P47" s="176">
        <f t="shared" si="9"/>
        <v>1478.58</v>
      </c>
      <c r="Q47" s="172" t="s">
        <v>210</v>
      </c>
      <c r="R47" s="172"/>
      <c r="S47" s="172"/>
      <c r="T47" s="124"/>
    </row>
    <row r="48" spans="1:20">
      <c r="A48" s="186"/>
      <c r="B48" s="184"/>
      <c r="C48" s="170"/>
      <c r="D48" s="170"/>
      <c r="E48" s="170"/>
      <c r="F48" s="170"/>
      <c r="G48" s="185"/>
      <c r="H48" s="170"/>
      <c r="I48" s="170"/>
      <c r="J48" s="170"/>
      <c r="K48" s="170"/>
      <c r="L48" s="170"/>
      <c r="M48" s="170"/>
      <c r="N48" s="170"/>
      <c r="O48" s="170"/>
      <c r="P48" s="176"/>
      <c r="Q48" s="172"/>
      <c r="R48" s="172"/>
      <c r="S48" s="172"/>
      <c r="T48" s="124"/>
    </row>
    <row r="49" spans="1:20">
      <c r="A49" s="126" t="s">
        <v>60</v>
      </c>
      <c r="B49" s="139">
        <f>SUM(C49,E49,G49,I49,K49,M49,O49)</f>
        <v>113481</v>
      </c>
      <c r="C49" s="154">
        <v>17322</v>
      </c>
      <c r="D49" s="154">
        <v>5960.5789999999997</v>
      </c>
      <c r="E49" s="154">
        <v>10347</v>
      </c>
      <c r="F49" s="154">
        <v>3917.5479999999998</v>
      </c>
      <c r="G49" s="154">
        <v>9715</v>
      </c>
      <c r="H49" s="154">
        <v>4118.424</v>
      </c>
      <c r="I49" s="154">
        <v>52891</v>
      </c>
      <c r="J49" s="154">
        <v>56043.951000000001</v>
      </c>
      <c r="K49" s="154">
        <v>21626</v>
      </c>
      <c r="L49" s="154">
        <v>18397.91</v>
      </c>
      <c r="M49" s="154">
        <v>1393</v>
      </c>
      <c r="N49" s="154">
        <v>441.80500000000001</v>
      </c>
      <c r="O49" s="154">
        <v>187</v>
      </c>
      <c r="P49" s="225">
        <v>154.13</v>
      </c>
      <c r="Q49" s="127" t="s">
        <v>211</v>
      </c>
      <c r="R49" s="124"/>
      <c r="S49" s="124"/>
      <c r="T49" s="124"/>
    </row>
    <row r="50" spans="1:20">
      <c r="A50" s="126" t="s">
        <v>62</v>
      </c>
      <c r="B50" s="139">
        <f>SUM(C50,E50,G50,I50,K50,M50,O50)</f>
        <v>87529</v>
      </c>
      <c r="C50" s="154">
        <v>2893</v>
      </c>
      <c r="D50" s="154">
        <v>1032.42</v>
      </c>
      <c r="E50" s="154">
        <v>4786</v>
      </c>
      <c r="F50" s="154">
        <v>3171.79</v>
      </c>
      <c r="G50" s="154">
        <v>2525</v>
      </c>
      <c r="H50" s="154">
        <v>1323.45</v>
      </c>
      <c r="I50" s="154">
        <v>74740</v>
      </c>
      <c r="J50" s="154">
        <v>102510.43</v>
      </c>
      <c r="K50" s="154">
        <v>2585</v>
      </c>
      <c r="L50" s="154">
        <v>3555.8</v>
      </c>
      <c r="M50" s="155" t="s">
        <v>284</v>
      </c>
      <c r="N50" s="154" t="s">
        <v>284</v>
      </c>
      <c r="O50" s="155" t="s">
        <v>284</v>
      </c>
      <c r="P50" s="225" t="s">
        <v>284</v>
      </c>
      <c r="Q50" s="127" t="s">
        <v>212</v>
      </c>
      <c r="R50" s="124"/>
      <c r="S50" s="124"/>
      <c r="T50" s="124"/>
    </row>
    <row r="51" spans="1:20">
      <c r="A51" s="126" t="s">
        <v>64</v>
      </c>
      <c r="B51" s="139">
        <f>SUM(C51,E51,G51,I51,K51,M51,O51)</f>
        <v>23144</v>
      </c>
      <c r="C51" s="154">
        <v>5219</v>
      </c>
      <c r="D51" s="154">
        <v>2221.9699999999998</v>
      </c>
      <c r="E51" s="154">
        <v>4277</v>
      </c>
      <c r="F51" s="154">
        <v>1811.11</v>
      </c>
      <c r="G51" s="154">
        <v>4547</v>
      </c>
      <c r="H51" s="154">
        <v>2131.13</v>
      </c>
      <c r="I51" s="154">
        <v>3803</v>
      </c>
      <c r="J51" s="154">
        <v>3222.75</v>
      </c>
      <c r="K51" s="154">
        <v>2580</v>
      </c>
      <c r="L51" s="154">
        <v>1443.92</v>
      </c>
      <c r="M51" s="154">
        <v>10</v>
      </c>
      <c r="N51" s="154">
        <v>4.5</v>
      </c>
      <c r="O51" s="154">
        <v>2708</v>
      </c>
      <c r="P51" s="225">
        <v>1231.05</v>
      </c>
      <c r="Q51" s="127" t="s">
        <v>213</v>
      </c>
      <c r="R51" s="124"/>
      <c r="S51" s="124"/>
      <c r="T51" s="124"/>
    </row>
    <row r="52" spans="1:20">
      <c r="A52" s="126" t="s">
        <v>67</v>
      </c>
      <c r="B52" s="139">
        <f>SUM(C52,E52,G52,I52,K52,M52,O52)</f>
        <v>2982</v>
      </c>
      <c r="C52" s="154">
        <v>274</v>
      </c>
      <c r="D52" s="154">
        <v>57.9</v>
      </c>
      <c r="E52" s="154">
        <v>594</v>
      </c>
      <c r="F52" s="154">
        <v>142.65</v>
      </c>
      <c r="G52" s="154">
        <v>91</v>
      </c>
      <c r="H52" s="154">
        <v>15.9</v>
      </c>
      <c r="I52" s="154">
        <v>563</v>
      </c>
      <c r="J52" s="154">
        <v>351.7</v>
      </c>
      <c r="K52" s="154">
        <v>201</v>
      </c>
      <c r="L52" s="154">
        <v>160.31</v>
      </c>
      <c r="M52" s="154">
        <v>1259</v>
      </c>
      <c r="N52" s="154">
        <v>280.3</v>
      </c>
      <c r="O52" s="155" t="s">
        <v>284</v>
      </c>
      <c r="P52" s="225" t="s">
        <v>284</v>
      </c>
      <c r="Q52" s="127" t="s">
        <v>214</v>
      </c>
      <c r="R52" s="124"/>
      <c r="S52" s="124"/>
      <c r="T52" s="124"/>
    </row>
    <row r="53" spans="1:20">
      <c r="A53" s="126" t="s">
        <v>69</v>
      </c>
      <c r="B53" s="139">
        <f>SUM(C53,E53,G53,I53,K53,M53,O53)</f>
        <v>11661</v>
      </c>
      <c r="C53" s="154">
        <v>1101</v>
      </c>
      <c r="D53" s="154">
        <v>249.65</v>
      </c>
      <c r="E53" s="154">
        <v>2658</v>
      </c>
      <c r="F53" s="154">
        <v>584.72</v>
      </c>
      <c r="G53" s="154">
        <v>655</v>
      </c>
      <c r="H53" s="154">
        <v>245.37</v>
      </c>
      <c r="I53" s="154">
        <v>6076</v>
      </c>
      <c r="J53" s="154">
        <v>3817.2</v>
      </c>
      <c r="K53" s="154">
        <v>825</v>
      </c>
      <c r="L53" s="154">
        <v>255.7</v>
      </c>
      <c r="M53" s="154">
        <v>5</v>
      </c>
      <c r="N53" s="154">
        <v>0.7</v>
      </c>
      <c r="O53" s="154">
        <v>341</v>
      </c>
      <c r="P53" s="225">
        <v>93.4</v>
      </c>
      <c r="Q53" s="127" t="s">
        <v>215</v>
      </c>
      <c r="R53" s="124"/>
      <c r="S53" s="124"/>
      <c r="T53" s="124"/>
    </row>
    <row r="54" spans="1:20">
      <c r="A54" s="183" t="s">
        <v>216</v>
      </c>
      <c r="B54" s="184">
        <f>SUM(B56:B60)</f>
        <v>20189</v>
      </c>
      <c r="C54" s="170">
        <f>SUM(C56:C60)</f>
        <v>1289</v>
      </c>
      <c r="D54" s="170">
        <f t="shared" ref="D54:P54" si="10">SUM(D56:D60)</f>
        <v>581.14499999999998</v>
      </c>
      <c r="E54" s="170">
        <f t="shared" si="10"/>
        <v>3808</v>
      </c>
      <c r="F54" s="170">
        <f t="shared" si="10"/>
        <v>1508.14</v>
      </c>
      <c r="G54" s="185">
        <f t="shared" si="10"/>
        <v>1527</v>
      </c>
      <c r="H54" s="170">
        <f t="shared" si="10"/>
        <v>718.44100000000003</v>
      </c>
      <c r="I54" s="170">
        <f t="shared" si="10"/>
        <v>3874</v>
      </c>
      <c r="J54" s="170">
        <f t="shared" si="10"/>
        <v>3861.5169999999998</v>
      </c>
      <c r="K54" s="170">
        <f t="shared" si="10"/>
        <v>3340</v>
      </c>
      <c r="L54" s="170">
        <f t="shared" si="10"/>
        <v>2124.85</v>
      </c>
      <c r="M54" s="170">
        <f t="shared" si="10"/>
        <v>4680</v>
      </c>
      <c r="N54" s="170">
        <f t="shared" si="10"/>
        <v>1128.145</v>
      </c>
      <c r="O54" s="170">
        <f t="shared" si="10"/>
        <v>1671</v>
      </c>
      <c r="P54" s="176">
        <f t="shared" si="10"/>
        <v>909.39</v>
      </c>
      <c r="Q54" s="174" t="s">
        <v>217</v>
      </c>
      <c r="R54" s="174"/>
      <c r="S54" s="174"/>
      <c r="T54" s="124"/>
    </row>
    <row r="55" spans="1:20">
      <c r="A55" s="183"/>
      <c r="B55" s="184"/>
      <c r="C55" s="170"/>
      <c r="D55" s="170"/>
      <c r="E55" s="170"/>
      <c r="F55" s="170"/>
      <c r="G55" s="185"/>
      <c r="H55" s="170"/>
      <c r="I55" s="170"/>
      <c r="J55" s="170"/>
      <c r="K55" s="170"/>
      <c r="L55" s="170"/>
      <c r="M55" s="170"/>
      <c r="N55" s="170"/>
      <c r="O55" s="170"/>
      <c r="P55" s="176"/>
      <c r="Q55" s="174"/>
      <c r="R55" s="174"/>
      <c r="S55" s="174"/>
      <c r="T55" s="124"/>
    </row>
    <row r="56" spans="1:20">
      <c r="A56" s="126" t="s">
        <v>71</v>
      </c>
      <c r="B56" s="139">
        <f>SUM(C56,E56,G56,I56,K56,M56,O56)</f>
        <v>11735</v>
      </c>
      <c r="C56" s="154">
        <v>2</v>
      </c>
      <c r="D56" s="154">
        <v>0.65</v>
      </c>
      <c r="E56" s="154">
        <v>139</v>
      </c>
      <c r="F56" s="154">
        <v>28.7</v>
      </c>
      <c r="G56" s="154">
        <v>179</v>
      </c>
      <c r="H56" s="154">
        <v>73.340999999999994</v>
      </c>
      <c r="I56" s="154">
        <v>3633</v>
      </c>
      <c r="J56" s="154">
        <v>3739.5169999999998</v>
      </c>
      <c r="K56" s="154">
        <v>3151</v>
      </c>
      <c r="L56" s="154">
        <v>2071.4</v>
      </c>
      <c r="M56" s="154">
        <v>4315</v>
      </c>
      <c r="N56" s="154">
        <v>954.43499999999995</v>
      </c>
      <c r="O56" s="154">
        <v>316</v>
      </c>
      <c r="P56" s="225">
        <v>112.29</v>
      </c>
      <c r="Q56" s="127" t="s">
        <v>218</v>
      </c>
      <c r="R56" s="124"/>
      <c r="S56" s="124"/>
      <c r="T56" s="124"/>
    </row>
    <row r="57" spans="1:20">
      <c r="A57" s="126" t="s">
        <v>74</v>
      </c>
      <c r="B57" s="139">
        <f>SUM(C57,E57,G57,I57,K57,M57,O57)</f>
        <v>5069</v>
      </c>
      <c r="C57" s="154">
        <v>797</v>
      </c>
      <c r="D57" s="154">
        <v>478.1</v>
      </c>
      <c r="E57" s="154">
        <v>1914</v>
      </c>
      <c r="F57" s="154">
        <v>1093.3</v>
      </c>
      <c r="G57" s="154">
        <v>914</v>
      </c>
      <c r="H57" s="154">
        <v>546.9</v>
      </c>
      <c r="I57" s="154">
        <v>64</v>
      </c>
      <c r="J57" s="154">
        <v>38.5</v>
      </c>
      <c r="K57" s="154">
        <v>60</v>
      </c>
      <c r="L57" s="154">
        <v>36.1</v>
      </c>
      <c r="M57" s="155" t="s">
        <v>284</v>
      </c>
      <c r="N57" s="154" t="s">
        <v>284</v>
      </c>
      <c r="O57" s="154">
        <v>1320</v>
      </c>
      <c r="P57" s="225">
        <v>790.1</v>
      </c>
      <c r="Q57" s="127" t="s">
        <v>219</v>
      </c>
      <c r="R57" s="124"/>
      <c r="S57" s="124"/>
      <c r="T57" s="124"/>
    </row>
    <row r="58" spans="1:20">
      <c r="A58" s="126" t="s">
        <v>76</v>
      </c>
      <c r="B58" s="139">
        <f>SUM(C58,E58,G58,I58,K58,M58,O58)</f>
        <v>100</v>
      </c>
      <c r="C58" s="154">
        <v>30</v>
      </c>
      <c r="D58" s="154">
        <v>0.52</v>
      </c>
      <c r="E58" s="154">
        <v>45</v>
      </c>
      <c r="F58" s="154">
        <v>0.99</v>
      </c>
      <c r="G58" s="155" t="s">
        <v>284</v>
      </c>
      <c r="H58" s="154" t="s">
        <v>284</v>
      </c>
      <c r="I58" s="155" t="s">
        <v>284</v>
      </c>
      <c r="J58" s="154" t="s">
        <v>284</v>
      </c>
      <c r="K58" s="154">
        <v>5</v>
      </c>
      <c r="L58" s="154">
        <v>0.15</v>
      </c>
      <c r="M58" s="154">
        <v>20</v>
      </c>
      <c r="N58" s="154">
        <v>0.21</v>
      </c>
      <c r="O58" s="155" t="s">
        <v>284</v>
      </c>
      <c r="P58" s="225" t="s">
        <v>284</v>
      </c>
      <c r="Q58" s="127" t="s">
        <v>220</v>
      </c>
      <c r="R58" s="124"/>
      <c r="S58" s="124"/>
      <c r="T58" s="124"/>
    </row>
    <row r="59" spans="1:20">
      <c r="A59" s="126" t="s">
        <v>79</v>
      </c>
      <c r="B59" s="139">
        <f>SUM(C59,E59,G59,I59,K59,M59,O59)</f>
        <v>2310</v>
      </c>
      <c r="C59" s="154">
        <v>418</v>
      </c>
      <c r="D59" s="154">
        <v>91.075000000000003</v>
      </c>
      <c r="E59" s="154">
        <v>1407</v>
      </c>
      <c r="F59" s="154">
        <v>289.85000000000002</v>
      </c>
      <c r="G59" s="154">
        <v>342</v>
      </c>
      <c r="H59" s="154">
        <v>52.5</v>
      </c>
      <c r="I59" s="155" t="s">
        <v>284</v>
      </c>
      <c r="J59" s="154" t="s">
        <v>284</v>
      </c>
      <c r="K59" s="154">
        <v>108</v>
      </c>
      <c r="L59" s="154">
        <v>7.2</v>
      </c>
      <c r="M59" s="155" t="s">
        <v>284</v>
      </c>
      <c r="N59" s="154" t="s">
        <v>284</v>
      </c>
      <c r="O59" s="154">
        <v>35</v>
      </c>
      <c r="P59" s="225">
        <v>7</v>
      </c>
      <c r="Q59" s="127" t="s">
        <v>221</v>
      </c>
      <c r="R59" s="124"/>
      <c r="S59" s="124"/>
      <c r="T59" s="124"/>
    </row>
    <row r="60" spans="1:20">
      <c r="A60" s="126" t="s">
        <v>81</v>
      </c>
      <c r="B60" s="139">
        <f>SUM(C60,E60,G60,I60,K60,M60,O60)</f>
        <v>975</v>
      </c>
      <c r="C60" s="154">
        <v>42</v>
      </c>
      <c r="D60" s="154">
        <v>10.8</v>
      </c>
      <c r="E60" s="154">
        <v>303</v>
      </c>
      <c r="F60" s="154">
        <v>95.3</v>
      </c>
      <c r="G60" s="154">
        <v>92</v>
      </c>
      <c r="H60" s="154">
        <v>45.7</v>
      </c>
      <c r="I60" s="154">
        <v>177</v>
      </c>
      <c r="J60" s="154">
        <v>83.5</v>
      </c>
      <c r="K60" s="154">
        <v>16</v>
      </c>
      <c r="L60" s="154">
        <v>10</v>
      </c>
      <c r="M60" s="154">
        <v>345</v>
      </c>
      <c r="N60" s="154">
        <v>173.5</v>
      </c>
      <c r="O60" s="155" t="s">
        <v>284</v>
      </c>
      <c r="P60" s="225" t="s">
        <v>284</v>
      </c>
      <c r="Q60" s="127" t="s">
        <v>222</v>
      </c>
      <c r="R60" s="124"/>
      <c r="S60" s="124"/>
      <c r="T60" s="124"/>
    </row>
    <row r="61" spans="1:20">
      <c r="A61" s="186" t="s">
        <v>223</v>
      </c>
      <c r="B61" s="184">
        <f>SUM(B63:B65)</f>
        <v>427116</v>
      </c>
      <c r="C61" s="170">
        <f>SUM(C63:C65)</f>
        <v>18637</v>
      </c>
      <c r="D61" s="170">
        <f t="shared" ref="D61:P61" si="11">SUM(D63:D65)</f>
        <v>6812.9690000000001</v>
      </c>
      <c r="E61" s="170">
        <f t="shared" si="11"/>
        <v>119797</v>
      </c>
      <c r="F61" s="170">
        <f t="shared" si="11"/>
        <v>46957.42</v>
      </c>
      <c r="G61" s="185">
        <f t="shared" si="11"/>
        <v>18438</v>
      </c>
      <c r="H61" s="170">
        <f t="shared" si="11"/>
        <v>6692.8200000000006</v>
      </c>
      <c r="I61" s="170">
        <f t="shared" si="11"/>
        <v>195956</v>
      </c>
      <c r="J61" s="170">
        <f t="shared" si="11"/>
        <v>214825.91499999998</v>
      </c>
      <c r="K61" s="170">
        <f t="shared" si="11"/>
        <v>59596</v>
      </c>
      <c r="L61" s="170">
        <f t="shared" si="11"/>
        <v>63256.88</v>
      </c>
      <c r="M61" s="170">
        <f t="shared" si="11"/>
        <v>11356</v>
      </c>
      <c r="N61" s="170">
        <f t="shared" si="11"/>
        <v>3939.85</v>
      </c>
      <c r="O61" s="170">
        <f t="shared" si="11"/>
        <v>3336</v>
      </c>
      <c r="P61" s="176">
        <f t="shared" si="11"/>
        <v>1415.1999999999998</v>
      </c>
      <c r="Q61" s="172" t="s">
        <v>224</v>
      </c>
      <c r="R61" s="172"/>
      <c r="S61" s="172"/>
      <c r="T61" s="124"/>
    </row>
    <row r="62" spans="1:20">
      <c r="A62" s="186"/>
      <c r="B62" s="184"/>
      <c r="C62" s="170"/>
      <c r="D62" s="170"/>
      <c r="E62" s="170"/>
      <c r="F62" s="170"/>
      <c r="G62" s="185"/>
      <c r="H62" s="170"/>
      <c r="I62" s="170"/>
      <c r="J62" s="170"/>
      <c r="K62" s="170"/>
      <c r="L62" s="170"/>
      <c r="M62" s="170"/>
      <c r="N62" s="170"/>
      <c r="O62" s="170"/>
      <c r="P62" s="176"/>
      <c r="Q62" s="172"/>
      <c r="R62" s="172"/>
      <c r="S62" s="172"/>
      <c r="T62" s="124"/>
    </row>
    <row r="63" spans="1:20">
      <c r="A63" s="126" t="s">
        <v>83</v>
      </c>
      <c r="B63" s="139">
        <f>SUM(C63,E63,G63,I63,K63,M63,O63)</f>
        <v>91658</v>
      </c>
      <c r="C63" s="154">
        <v>6763</v>
      </c>
      <c r="D63" s="154">
        <v>2480.33</v>
      </c>
      <c r="E63" s="154">
        <v>58558</v>
      </c>
      <c r="F63" s="154">
        <v>22410.37</v>
      </c>
      <c r="G63" s="154">
        <v>8047</v>
      </c>
      <c r="H63" s="154">
        <v>2625.67</v>
      </c>
      <c r="I63" s="154">
        <v>9361</v>
      </c>
      <c r="J63" s="154">
        <v>10500.39</v>
      </c>
      <c r="K63" s="154">
        <v>2321</v>
      </c>
      <c r="L63" s="154">
        <v>2107.0700000000002</v>
      </c>
      <c r="M63" s="154">
        <v>4761</v>
      </c>
      <c r="N63" s="154">
        <v>1430.8</v>
      </c>
      <c r="O63" s="154">
        <v>1847</v>
      </c>
      <c r="P63" s="225">
        <v>808.05</v>
      </c>
      <c r="Q63" s="127" t="s">
        <v>225</v>
      </c>
      <c r="R63" s="124"/>
      <c r="S63" s="124"/>
      <c r="T63" s="124"/>
    </row>
    <row r="64" spans="1:20">
      <c r="A64" s="126" t="s">
        <v>85</v>
      </c>
      <c r="B64" s="139">
        <f>SUM(C64,E64,G64,I64,K64,M64,O64)</f>
        <v>243300</v>
      </c>
      <c r="C64" s="154">
        <v>1973</v>
      </c>
      <c r="D64" s="154">
        <v>601.5</v>
      </c>
      <c r="E64" s="154">
        <v>20645</v>
      </c>
      <c r="F64" s="154">
        <v>7379.4</v>
      </c>
      <c r="G64" s="154">
        <v>6906</v>
      </c>
      <c r="H64" s="154">
        <v>2765.6</v>
      </c>
      <c r="I64" s="154">
        <v>176373</v>
      </c>
      <c r="J64" s="154">
        <v>189846.22500000001</v>
      </c>
      <c r="K64" s="154">
        <v>34595</v>
      </c>
      <c r="L64" s="154">
        <v>32451.1</v>
      </c>
      <c r="M64" s="154">
        <v>2463</v>
      </c>
      <c r="N64" s="154">
        <v>573.54999999999995</v>
      </c>
      <c r="O64" s="154">
        <v>345</v>
      </c>
      <c r="P64" s="225">
        <v>125.65</v>
      </c>
      <c r="Q64" s="177" t="s">
        <v>226</v>
      </c>
      <c r="R64" s="178"/>
      <c r="S64" s="178"/>
      <c r="T64" s="124"/>
    </row>
    <row r="65" spans="1:20">
      <c r="A65" s="126" t="s">
        <v>88</v>
      </c>
      <c r="B65" s="139">
        <f>SUM(C65,E65,G65,I65,K65,M65,O65)</f>
        <v>92158</v>
      </c>
      <c r="C65" s="154">
        <v>9901</v>
      </c>
      <c r="D65" s="154">
        <v>3731.1390000000001</v>
      </c>
      <c r="E65" s="154">
        <v>40594</v>
      </c>
      <c r="F65" s="154">
        <v>17167.650000000001</v>
      </c>
      <c r="G65" s="154">
        <v>3485</v>
      </c>
      <c r="H65" s="154">
        <v>1301.55</v>
      </c>
      <c r="I65" s="154">
        <v>10222</v>
      </c>
      <c r="J65" s="154">
        <v>14479.3</v>
      </c>
      <c r="K65" s="154">
        <v>22680</v>
      </c>
      <c r="L65" s="154">
        <v>28698.71</v>
      </c>
      <c r="M65" s="154">
        <v>4132</v>
      </c>
      <c r="N65" s="154">
        <v>1935.5</v>
      </c>
      <c r="O65" s="154">
        <v>1144</v>
      </c>
      <c r="P65" s="225">
        <v>481.5</v>
      </c>
      <c r="Q65" s="127" t="s">
        <v>227</v>
      </c>
      <c r="R65" s="124"/>
      <c r="S65" s="124"/>
      <c r="T65" s="124"/>
    </row>
    <row r="66" spans="1:20">
      <c r="A66" s="186" t="s">
        <v>228</v>
      </c>
      <c r="B66" s="184">
        <f>SUM(B68:B72)</f>
        <v>108050</v>
      </c>
      <c r="C66" s="170">
        <f>SUM(C68:C72)</f>
        <v>25100</v>
      </c>
      <c r="D66" s="170">
        <f t="shared" ref="D66:P66" si="12">SUM(D68:D72)</f>
        <v>8515.1720000000005</v>
      </c>
      <c r="E66" s="170">
        <f t="shared" si="12"/>
        <v>33959</v>
      </c>
      <c r="F66" s="170">
        <f t="shared" si="12"/>
        <v>11436.208000000001</v>
      </c>
      <c r="G66" s="185">
        <f t="shared" si="12"/>
        <v>15607</v>
      </c>
      <c r="H66" s="170">
        <f t="shared" si="12"/>
        <v>5744.6900000000005</v>
      </c>
      <c r="I66" s="170">
        <f t="shared" si="12"/>
        <v>10808</v>
      </c>
      <c r="J66" s="170">
        <f t="shared" si="12"/>
        <v>11701.486000000001</v>
      </c>
      <c r="K66" s="170">
        <f t="shared" si="12"/>
        <v>10704</v>
      </c>
      <c r="L66" s="170">
        <f t="shared" si="12"/>
        <v>11810.24</v>
      </c>
      <c r="M66" s="170">
        <f t="shared" si="12"/>
        <v>6909</v>
      </c>
      <c r="N66" s="170">
        <f t="shared" si="12"/>
        <v>1897.0050000000001</v>
      </c>
      <c r="O66" s="170">
        <f t="shared" si="12"/>
        <v>4963</v>
      </c>
      <c r="P66" s="176">
        <f t="shared" si="12"/>
        <v>1478.29</v>
      </c>
      <c r="Q66" s="172" t="s">
        <v>229</v>
      </c>
      <c r="R66" s="172"/>
      <c r="S66" s="172"/>
      <c r="T66" s="124"/>
    </row>
    <row r="67" spans="1:20">
      <c r="A67" s="186"/>
      <c r="B67" s="184"/>
      <c r="C67" s="170"/>
      <c r="D67" s="170"/>
      <c r="E67" s="170"/>
      <c r="F67" s="170"/>
      <c r="G67" s="185"/>
      <c r="H67" s="170"/>
      <c r="I67" s="170"/>
      <c r="J67" s="170"/>
      <c r="K67" s="170"/>
      <c r="L67" s="170"/>
      <c r="M67" s="170"/>
      <c r="N67" s="170"/>
      <c r="O67" s="170"/>
      <c r="P67" s="176"/>
      <c r="Q67" s="172"/>
      <c r="R67" s="172"/>
      <c r="S67" s="172"/>
      <c r="T67" s="124"/>
    </row>
    <row r="68" spans="1:20">
      <c r="A68" s="126" t="s">
        <v>90</v>
      </c>
      <c r="B68" s="139">
        <f>SUM(C68,E68,G68,I68,K68,M68,O68)</f>
        <v>27122</v>
      </c>
      <c r="C68" s="154">
        <v>9157</v>
      </c>
      <c r="D68" s="154">
        <v>3085.44</v>
      </c>
      <c r="E68" s="154">
        <v>9433</v>
      </c>
      <c r="F68" s="154">
        <v>3001.79</v>
      </c>
      <c r="G68" s="154">
        <v>3424</v>
      </c>
      <c r="H68" s="154">
        <v>1236.4100000000001</v>
      </c>
      <c r="I68" s="154">
        <v>2224</v>
      </c>
      <c r="J68" s="154">
        <v>2504.35</v>
      </c>
      <c r="K68" s="154">
        <v>1556</v>
      </c>
      <c r="L68" s="154">
        <v>1608.95</v>
      </c>
      <c r="M68" s="154">
        <v>900</v>
      </c>
      <c r="N68" s="154">
        <v>276.5</v>
      </c>
      <c r="O68" s="154">
        <v>428</v>
      </c>
      <c r="P68" s="225">
        <v>151.97</v>
      </c>
      <c r="Q68" s="127" t="s">
        <v>230</v>
      </c>
      <c r="R68" s="124"/>
      <c r="S68" s="124"/>
      <c r="T68" s="124"/>
    </row>
    <row r="69" spans="1:20">
      <c r="A69" s="126" t="s">
        <v>92</v>
      </c>
      <c r="B69" s="139">
        <f>SUM(C69,E69,G69,I69,K69,M69,O69)</f>
        <v>24565</v>
      </c>
      <c r="C69" s="154">
        <v>7133</v>
      </c>
      <c r="D69" s="154">
        <v>2214</v>
      </c>
      <c r="E69" s="154">
        <v>10615</v>
      </c>
      <c r="F69" s="154">
        <v>2936.38</v>
      </c>
      <c r="G69" s="154">
        <v>5400</v>
      </c>
      <c r="H69" s="154">
        <v>1653.52</v>
      </c>
      <c r="I69" s="154">
        <v>755</v>
      </c>
      <c r="J69" s="154">
        <v>954.6</v>
      </c>
      <c r="K69" s="154">
        <v>652</v>
      </c>
      <c r="L69" s="154">
        <v>1040.4000000000001</v>
      </c>
      <c r="M69" s="154">
        <v>10</v>
      </c>
      <c r="N69" s="154">
        <v>4</v>
      </c>
      <c r="O69" s="155" t="s">
        <v>284</v>
      </c>
      <c r="P69" s="225" t="s">
        <v>284</v>
      </c>
      <c r="Q69" s="127" t="s">
        <v>231</v>
      </c>
      <c r="R69" s="124"/>
      <c r="S69" s="124"/>
      <c r="T69" s="124"/>
    </row>
    <row r="70" spans="1:20">
      <c r="A70" s="126" t="s">
        <v>94</v>
      </c>
      <c r="B70" s="139">
        <f>SUM(C70,E70,G70,I70,K70,M70,O70)</f>
        <v>14362</v>
      </c>
      <c r="C70" s="154">
        <v>1293</v>
      </c>
      <c r="D70" s="154">
        <v>467.94</v>
      </c>
      <c r="E70" s="154">
        <v>2611</v>
      </c>
      <c r="F70" s="154">
        <v>873.75</v>
      </c>
      <c r="G70" s="154">
        <v>929</v>
      </c>
      <c r="H70" s="154">
        <v>344.12</v>
      </c>
      <c r="I70" s="154">
        <v>728</v>
      </c>
      <c r="J70" s="154">
        <v>757.35</v>
      </c>
      <c r="K70" s="154">
        <v>4623</v>
      </c>
      <c r="L70" s="154">
        <v>4866.78</v>
      </c>
      <c r="M70" s="155" t="s">
        <v>284</v>
      </c>
      <c r="N70" s="154" t="s">
        <v>284</v>
      </c>
      <c r="O70" s="154">
        <v>4178</v>
      </c>
      <c r="P70" s="225">
        <v>1106.27</v>
      </c>
      <c r="Q70" s="127" t="s">
        <v>232</v>
      </c>
      <c r="R70" s="124"/>
      <c r="S70" s="124"/>
      <c r="T70" s="124"/>
    </row>
    <row r="71" spans="1:20">
      <c r="A71" s="126" t="s">
        <v>97</v>
      </c>
      <c r="B71" s="139">
        <f>SUM(C71,E71,G71,I71,K71,M71,O71)</f>
        <v>15721</v>
      </c>
      <c r="C71" s="154">
        <v>4287</v>
      </c>
      <c r="D71" s="154">
        <v>1716.442</v>
      </c>
      <c r="E71" s="154">
        <v>4848</v>
      </c>
      <c r="F71" s="154">
        <v>2525.62</v>
      </c>
      <c r="G71" s="154">
        <v>1784</v>
      </c>
      <c r="H71" s="154">
        <v>1006.37</v>
      </c>
      <c r="I71" s="154">
        <v>3505</v>
      </c>
      <c r="J71" s="154">
        <v>3479.47</v>
      </c>
      <c r="K71" s="154">
        <v>709</v>
      </c>
      <c r="L71" s="154">
        <v>464.65</v>
      </c>
      <c r="M71" s="154">
        <v>442</v>
      </c>
      <c r="N71" s="154">
        <v>156.91999999999999</v>
      </c>
      <c r="O71" s="154">
        <v>146</v>
      </c>
      <c r="P71" s="225">
        <v>57.1</v>
      </c>
      <c r="Q71" s="127" t="s">
        <v>233</v>
      </c>
      <c r="R71" s="124"/>
      <c r="S71" s="124"/>
      <c r="T71" s="124"/>
    </row>
    <row r="72" spans="1:20">
      <c r="A72" s="126" t="s">
        <v>99</v>
      </c>
      <c r="B72" s="139">
        <f>SUM(C72,E72,G72,I72,K72,M72,O72)</f>
        <v>26280</v>
      </c>
      <c r="C72" s="154">
        <v>3230</v>
      </c>
      <c r="D72" s="154">
        <v>1031.3499999999999</v>
      </c>
      <c r="E72" s="154">
        <v>6452</v>
      </c>
      <c r="F72" s="154">
        <v>2098.6680000000001</v>
      </c>
      <c r="G72" s="154">
        <v>4070</v>
      </c>
      <c r="H72" s="154">
        <v>1504.27</v>
      </c>
      <c r="I72" s="154">
        <v>3596</v>
      </c>
      <c r="J72" s="154">
        <v>4005.7159999999999</v>
      </c>
      <c r="K72" s="154">
        <v>3164</v>
      </c>
      <c r="L72" s="154">
        <v>3829.46</v>
      </c>
      <c r="M72" s="154">
        <v>5557</v>
      </c>
      <c r="N72" s="154">
        <v>1459.585</v>
      </c>
      <c r="O72" s="154">
        <v>211</v>
      </c>
      <c r="P72" s="225">
        <v>162.94999999999999</v>
      </c>
      <c r="Q72" s="127" t="s">
        <v>234</v>
      </c>
      <c r="R72" s="124"/>
      <c r="S72" s="124"/>
      <c r="T72" s="124"/>
    </row>
    <row r="73" spans="1:20">
      <c r="A73" s="183" t="s">
        <v>235</v>
      </c>
      <c r="B73" s="184">
        <f>SUM(B75:B82)</f>
        <v>11741</v>
      </c>
      <c r="C73" s="170">
        <f>SUM(C75:C82)</f>
        <v>3376</v>
      </c>
      <c r="D73" s="170">
        <f t="shared" ref="D73:P73" si="13">SUM(D75:D82)</f>
        <v>1020.7099999999999</v>
      </c>
      <c r="E73" s="170">
        <f t="shared" si="13"/>
        <v>5141</v>
      </c>
      <c r="F73" s="170">
        <f t="shared" si="13"/>
        <v>2750.567</v>
      </c>
      <c r="G73" s="185">
        <f t="shared" si="13"/>
        <v>2737</v>
      </c>
      <c r="H73" s="170">
        <f t="shared" si="13"/>
        <v>1574.5730000000001</v>
      </c>
      <c r="I73" s="170">
        <f t="shared" si="13"/>
        <v>96</v>
      </c>
      <c r="J73" s="170">
        <f t="shared" si="13"/>
        <v>89.8</v>
      </c>
      <c r="K73" s="170">
        <f t="shared" si="13"/>
        <v>227</v>
      </c>
      <c r="L73" s="170">
        <f t="shared" si="13"/>
        <v>186.6</v>
      </c>
      <c r="M73" s="170">
        <f t="shared" si="13"/>
        <v>32</v>
      </c>
      <c r="N73" s="170">
        <f t="shared" si="13"/>
        <v>9.84</v>
      </c>
      <c r="O73" s="170">
        <f t="shared" si="13"/>
        <v>132</v>
      </c>
      <c r="P73" s="176">
        <f t="shared" si="13"/>
        <v>39.9</v>
      </c>
      <c r="Q73" s="174" t="s">
        <v>236</v>
      </c>
      <c r="R73" s="174"/>
      <c r="S73" s="174"/>
      <c r="T73" s="124"/>
    </row>
    <row r="74" spans="1:20">
      <c r="A74" s="183"/>
      <c r="B74" s="184"/>
      <c r="C74" s="170"/>
      <c r="D74" s="170"/>
      <c r="E74" s="170"/>
      <c r="F74" s="170"/>
      <c r="G74" s="185"/>
      <c r="H74" s="170"/>
      <c r="I74" s="170"/>
      <c r="J74" s="170"/>
      <c r="K74" s="170"/>
      <c r="L74" s="170"/>
      <c r="M74" s="170"/>
      <c r="N74" s="170"/>
      <c r="O74" s="170"/>
      <c r="P74" s="176"/>
      <c r="Q74" s="174"/>
      <c r="R74" s="174"/>
      <c r="S74" s="174"/>
      <c r="T74" s="124"/>
    </row>
    <row r="75" spans="1:20">
      <c r="A75" s="128" t="s">
        <v>274</v>
      </c>
      <c r="B75" s="139">
        <f t="shared" ref="B75:B82" si="14">SUM(C75,E75,G75,I75,K75,M75,O75)</f>
        <v>0</v>
      </c>
      <c r="C75" s="154" t="s">
        <v>284</v>
      </c>
      <c r="D75" s="154">
        <v>0</v>
      </c>
      <c r="E75" s="154" t="s">
        <v>284</v>
      </c>
      <c r="F75" s="154">
        <v>0</v>
      </c>
      <c r="G75" s="154" t="s">
        <v>284</v>
      </c>
      <c r="H75" s="154">
        <v>0</v>
      </c>
      <c r="I75" s="154" t="s">
        <v>284</v>
      </c>
      <c r="J75" s="154">
        <v>0</v>
      </c>
      <c r="K75" s="154" t="s">
        <v>284</v>
      </c>
      <c r="L75" s="154">
        <v>0</v>
      </c>
      <c r="M75" s="154" t="s">
        <v>284</v>
      </c>
      <c r="N75" s="154">
        <v>0</v>
      </c>
      <c r="O75" s="154" t="s">
        <v>284</v>
      </c>
      <c r="P75" s="225">
        <v>0</v>
      </c>
      <c r="Q75" s="177" t="s">
        <v>237</v>
      </c>
      <c r="R75" s="177"/>
      <c r="S75" s="177"/>
      <c r="T75" s="177"/>
    </row>
    <row r="76" spans="1:20">
      <c r="A76" s="129" t="s">
        <v>275</v>
      </c>
      <c r="B76" s="139">
        <f t="shared" si="14"/>
        <v>0</v>
      </c>
      <c r="C76" s="154" t="s">
        <v>284</v>
      </c>
      <c r="D76" s="154">
        <v>0</v>
      </c>
      <c r="E76" s="154" t="s">
        <v>284</v>
      </c>
      <c r="F76" s="154">
        <v>0</v>
      </c>
      <c r="G76" s="154" t="s">
        <v>284</v>
      </c>
      <c r="H76" s="154">
        <v>0</v>
      </c>
      <c r="I76" s="154" t="s">
        <v>284</v>
      </c>
      <c r="J76" s="154">
        <v>0</v>
      </c>
      <c r="K76" s="154" t="s">
        <v>284</v>
      </c>
      <c r="L76" s="154">
        <v>0</v>
      </c>
      <c r="M76" s="154" t="s">
        <v>284</v>
      </c>
      <c r="N76" s="154">
        <v>0</v>
      </c>
      <c r="O76" s="154" t="s">
        <v>284</v>
      </c>
      <c r="P76" s="225">
        <v>0</v>
      </c>
      <c r="Q76" s="177" t="s">
        <v>238</v>
      </c>
      <c r="R76" s="177"/>
      <c r="S76" s="177"/>
      <c r="T76" s="177"/>
    </row>
    <row r="77" spans="1:20">
      <c r="A77" s="126" t="s">
        <v>106</v>
      </c>
      <c r="B77" s="139">
        <f t="shared" si="14"/>
        <v>0</v>
      </c>
      <c r="C77" s="154" t="s">
        <v>284</v>
      </c>
      <c r="D77" s="154">
        <v>0</v>
      </c>
      <c r="E77" s="154" t="s">
        <v>284</v>
      </c>
      <c r="F77" s="154">
        <v>0</v>
      </c>
      <c r="G77" s="154" t="s">
        <v>284</v>
      </c>
      <c r="H77" s="154">
        <v>0</v>
      </c>
      <c r="I77" s="154" t="s">
        <v>284</v>
      </c>
      <c r="J77" s="154">
        <v>0</v>
      </c>
      <c r="K77" s="154" t="s">
        <v>284</v>
      </c>
      <c r="L77" s="154">
        <v>0</v>
      </c>
      <c r="M77" s="154" t="s">
        <v>284</v>
      </c>
      <c r="N77" s="154">
        <v>0</v>
      </c>
      <c r="O77" s="154" t="s">
        <v>284</v>
      </c>
      <c r="P77" s="225">
        <v>0</v>
      </c>
      <c r="Q77" s="177" t="s">
        <v>239</v>
      </c>
      <c r="R77" s="177"/>
      <c r="S77" s="177"/>
      <c r="T77" s="177"/>
    </row>
    <row r="78" spans="1:20">
      <c r="A78" s="126" t="s">
        <v>108</v>
      </c>
      <c r="B78" s="139">
        <f t="shared" si="14"/>
        <v>0</v>
      </c>
      <c r="C78" s="154" t="s">
        <v>284</v>
      </c>
      <c r="D78" s="154">
        <v>0</v>
      </c>
      <c r="E78" s="154" t="s">
        <v>284</v>
      </c>
      <c r="F78" s="154">
        <v>0</v>
      </c>
      <c r="G78" s="154" t="s">
        <v>284</v>
      </c>
      <c r="H78" s="154">
        <v>0</v>
      </c>
      <c r="I78" s="154" t="s">
        <v>284</v>
      </c>
      <c r="J78" s="154">
        <v>0</v>
      </c>
      <c r="K78" s="154" t="s">
        <v>284</v>
      </c>
      <c r="L78" s="154">
        <v>0</v>
      </c>
      <c r="M78" s="154" t="s">
        <v>284</v>
      </c>
      <c r="N78" s="154">
        <v>0</v>
      </c>
      <c r="O78" s="154" t="s">
        <v>284</v>
      </c>
      <c r="P78" s="225">
        <v>0</v>
      </c>
      <c r="Q78" s="177" t="s">
        <v>240</v>
      </c>
      <c r="R78" s="177"/>
      <c r="S78" s="177"/>
      <c r="T78" s="177"/>
    </row>
    <row r="79" spans="1:20">
      <c r="A79" s="126" t="s">
        <v>110</v>
      </c>
      <c r="B79" s="139">
        <f t="shared" si="14"/>
        <v>4358</v>
      </c>
      <c r="C79" s="154">
        <v>1911</v>
      </c>
      <c r="D79" s="154">
        <v>587.91</v>
      </c>
      <c r="E79" s="154">
        <v>1769</v>
      </c>
      <c r="F79" s="154">
        <v>1287.2</v>
      </c>
      <c r="G79" s="154">
        <v>257</v>
      </c>
      <c r="H79" s="154">
        <v>123.34</v>
      </c>
      <c r="I79" s="154">
        <v>96</v>
      </c>
      <c r="J79" s="154">
        <v>89.8</v>
      </c>
      <c r="K79" s="154">
        <v>161</v>
      </c>
      <c r="L79" s="154">
        <v>125.1</v>
      </c>
      <c r="M79" s="154">
        <v>32</v>
      </c>
      <c r="N79" s="154">
        <v>9.84</v>
      </c>
      <c r="O79" s="154">
        <v>132</v>
      </c>
      <c r="P79" s="225">
        <v>39.9</v>
      </c>
      <c r="Q79" s="177" t="s">
        <v>241</v>
      </c>
      <c r="R79" s="177"/>
      <c r="S79" s="177"/>
      <c r="T79" s="177"/>
    </row>
    <row r="80" spans="1:20">
      <c r="A80" s="126" t="s">
        <v>113</v>
      </c>
      <c r="B80" s="139">
        <f t="shared" si="14"/>
        <v>6836</v>
      </c>
      <c r="C80" s="154">
        <v>1360</v>
      </c>
      <c r="D80" s="154">
        <v>391.5</v>
      </c>
      <c r="E80" s="154">
        <v>3163</v>
      </c>
      <c r="F80" s="154">
        <v>1321.6669999999999</v>
      </c>
      <c r="G80" s="154">
        <v>2313</v>
      </c>
      <c r="H80" s="154">
        <v>1395.3330000000001</v>
      </c>
      <c r="I80" s="155" t="s">
        <v>284</v>
      </c>
      <c r="J80" s="154">
        <v>0</v>
      </c>
      <c r="K80" s="155" t="s">
        <v>284</v>
      </c>
      <c r="L80" s="154">
        <v>0</v>
      </c>
      <c r="M80" s="155" t="s">
        <v>284</v>
      </c>
      <c r="N80" s="154">
        <v>0</v>
      </c>
      <c r="O80" s="155" t="s">
        <v>284</v>
      </c>
      <c r="P80" s="225">
        <v>0</v>
      </c>
      <c r="Q80" s="177" t="s">
        <v>242</v>
      </c>
      <c r="R80" s="177"/>
      <c r="S80" s="177"/>
      <c r="T80" s="177"/>
    </row>
    <row r="81" spans="1:20">
      <c r="A81" s="126" t="s">
        <v>115</v>
      </c>
      <c r="B81" s="139">
        <f t="shared" si="14"/>
        <v>0</v>
      </c>
      <c r="C81" s="154" t="s">
        <v>284</v>
      </c>
      <c r="D81" s="154">
        <v>0</v>
      </c>
      <c r="E81" s="154" t="s">
        <v>284</v>
      </c>
      <c r="F81" s="154">
        <v>0</v>
      </c>
      <c r="G81" s="154" t="s">
        <v>284</v>
      </c>
      <c r="H81" s="154">
        <v>0</v>
      </c>
      <c r="I81" s="155" t="s">
        <v>284</v>
      </c>
      <c r="J81" s="154">
        <v>0</v>
      </c>
      <c r="K81" s="155" t="s">
        <v>284</v>
      </c>
      <c r="L81" s="154">
        <v>0</v>
      </c>
      <c r="M81" s="155" t="s">
        <v>284</v>
      </c>
      <c r="N81" s="154">
        <v>0</v>
      </c>
      <c r="O81" s="155" t="s">
        <v>284</v>
      </c>
      <c r="P81" s="225">
        <v>0</v>
      </c>
      <c r="Q81" s="177" t="s">
        <v>243</v>
      </c>
      <c r="R81" s="177"/>
      <c r="S81" s="177"/>
      <c r="T81" s="177"/>
    </row>
    <row r="82" spans="1:20">
      <c r="A82" s="126" t="s">
        <v>117</v>
      </c>
      <c r="B82" s="139">
        <f t="shared" si="14"/>
        <v>547</v>
      </c>
      <c r="C82" s="154">
        <v>105</v>
      </c>
      <c r="D82" s="154">
        <v>41.3</v>
      </c>
      <c r="E82" s="154">
        <v>209</v>
      </c>
      <c r="F82" s="154">
        <v>141.69999999999999</v>
      </c>
      <c r="G82" s="154">
        <v>167</v>
      </c>
      <c r="H82" s="154">
        <v>55.9</v>
      </c>
      <c r="I82" s="155" t="s">
        <v>284</v>
      </c>
      <c r="J82" s="154">
        <v>0</v>
      </c>
      <c r="K82" s="154">
        <v>66</v>
      </c>
      <c r="L82" s="154">
        <v>61.5</v>
      </c>
      <c r="M82" s="155" t="s">
        <v>284</v>
      </c>
      <c r="N82" s="154">
        <v>0</v>
      </c>
      <c r="O82" s="155" t="s">
        <v>284</v>
      </c>
      <c r="P82" s="225">
        <v>0</v>
      </c>
      <c r="Q82" s="177" t="s">
        <v>244</v>
      </c>
      <c r="R82" s="177"/>
      <c r="S82" s="177"/>
      <c r="T82" s="177"/>
    </row>
    <row r="83" spans="1:20" ht="13.8">
      <c r="A83" s="183" t="s">
        <v>245</v>
      </c>
      <c r="B83" s="184">
        <f>SUM(B85:B89)</f>
        <v>22297</v>
      </c>
      <c r="C83" s="170">
        <f>SUM(C85:C89)</f>
        <v>4720</v>
      </c>
      <c r="D83" s="170">
        <f t="shared" ref="D83:P83" si="15">SUM(D85:D89)</f>
        <v>1675.85</v>
      </c>
      <c r="E83" s="170">
        <f t="shared" si="15"/>
        <v>3637</v>
      </c>
      <c r="F83" s="170">
        <f t="shared" si="15"/>
        <v>1381.55</v>
      </c>
      <c r="G83" s="185">
        <f t="shared" si="15"/>
        <v>3156</v>
      </c>
      <c r="H83" s="170">
        <f t="shared" si="15"/>
        <v>1229.76</v>
      </c>
      <c r="I83" s="170">
        <f t="shared" si="15"/>
        <v>6360</v>
      </c>
      <c r="J83" s="170">
        <f t="shared" si="15"/>
        <v>5654.18</v>
      </c>
      <c r="K83" s="170">
        <f t="shared" si="15"/>
        <v>2821</v>
      </c>
      <c r="L83" s="170">
        <f t="shared" si="15"/>
        <v>1793.55</v>
      </c>
      <c r="M83" s="170">
        <f t="shared" si="15"/>
        <v>1110</v>
      </c>
      <c r="N83" s="170">
        <f t="shared" si="15"/>
        <v>127.45</v>
      </c>
      <c r="O83" s="170">
        <f t="shared" si="15"/>
        <v>493</v>
      </c>
      <c r="P83" s="176">
        <f t="shared" si="15"/>
        <v>244.5</v>
      </c>
      <c r="Q83" s="172" t="s">
        <v>246</v>
      </c>
      <c r="R83" s="172"/>
      <c r="S83" s="172"/>
      <c r="T83" s="130"/>
    </row>
    <row r="84" spans="1:20" ht="13.8">
      <c r="A84" s="183"/>
      <c r="B84" s="184"/>
      <c r="C84" s="170"/>
      <c r="D84" s="170"/>
      <c r="E84" s="170"/>
      <c r="F84" s="170"/>
      <c r="G84" s="185"/>
      <c r="H84" s="170"/>
      <c r="I84" s="170"/>
      <c r="J84" s="170"/>
      <c r="K84" s="170"/>
      <c r="L84" s="170"/>
      <c r="M84" s="170"/>
      <c r="N84" s="170"/>
      <c r="O84" s="170"/>
      <c r="P84" s="176"/>
      <c r="Q84" s="172"/>
      <c r="R84" s="172"/>
      <c r="S84" s="172"/>
      <c r="T84" s="130"/>
    </row>
    <row r="85" spans="1:20">
      <c r="A85" s="126" t="s">
        <v>119</v>
      </c>
      <c r="B85" s="139">
        <f>SUM(C85,E85,G85,I85,K85,M85,O85)</f>
        <v>15907</v>
      </c>
      <c r="C85" s="154">
        <v>2648</v>
      </c>
      <c r="D85" s="154">
        <v>654.45000000000005</v>
      </c>
      <c r="E85" s="154">
        <v>2156</v>
      </c>
      <c r="F85" s="154">
        <v>671.9</v>
      </c>
      <c r="G85" s="154">
        <v>1164</v>
      </c>
      <c r="H85" s="154">
        <v>230.41</v>
      </c>
      <c r="I85" s="154">
        <v>6235</v>
      </c>
      <c r="J85" s="154">
        <v>5536.25</v>
      </c>
      <c r="K85" s="154">
        <v>2764</v>
      </c>
      <c r="L85" s="154">
        <v>1747.75</v>
      </c>
      <c r="M85" s="154">
        <v>940</v>
      </c>
      <c r="N85" s="154">
        <v>101.95</v>
      </c>
      <c r="O85" s="155" t="s">
        <v>284</v>
      </c>
      <c r="P85" s="225">
        <v>0</v>
      </c>
      <c r="Q85" s="127" t="s">
        <v>247</v>
      </c>
      <c r="R85" s="124"/>
      <c r="S85" s="124"/>
      <c r="T85" s="124"/>
    </row>
    <row r="86" spans="1:20">
      <c r="A86" s="126" t="s">
        <v>122</v>
      </c>
      <c r="B86" s="139">
        <f>SUM(C86,E86,G86,I86,K86,M86,O86)</f>
        <v>2673</v>
      </c>
      <c r="C86" s="154">
        <v>325</v>
      </c>
      <c r="D86" s="154">
        <v>97.5</v>
      </c>
      <c r="E86" s="154">
        <v>780</v>
      </c>
      <c r="F86" s="154">
        <v>312</v>
      </c>
      <c r="G86" s="154">
        <v>1300</v>
      </c>
      <c r="H86" s="154">
        <v>650</v>
      </c>
      <c r="I86" s="154">
        <v>12</v>
      </c>
      <c r="J86" s="154">
        <v>12</v>
      </c>
      <c r="K86" s="154">
        <v>21</v>
      </c>
      <c r="L86" s="154">
        <v>25.2</v>
      </c>
      <c r="M86" s="154">
        <v>170</v>
      </c>
      <c r="N86" s="154">
        <v>25.5</v>
      </c>
      <c r="O86" s="154">
        <v>65</v>
      </c>
      <c r="P86" s="225">
        <v>39</v>
      </c>
      <c r="Q86" s="127" t="s">
        <v>248</v>
      </c>
      <c r="R86" s="124"/>
      <c r="S86" s="124"/>
      <c r="T86" s="124"/>
    </row>
    <row r="87" spans="1:20">
      <c r="A87" s="126" t="s">
        <v>124</v>
      </c>
      <c r="B87" s="139">
        <f>SUM(C87,E87,G87,I87,K87,M87,O87)</f>
        <v>1654</v>
      </c>
      <c r="C87" s="154">
        <v>1205</v>
      </c>
      <c r="D87" s="154">
        <v>643.9</v>
      </c>
      <c r="E87" s="154">
        <v>34</v>
      </c>
      <c r="F87" s="154">
        <v>13.6</v>
      </c>
      <c r="G87" s="155" t="s">
        <v>284</v>
      </c>
      <c r="H87" s="154">
        <v>0</v>
      </c>
      <c r="I87" s="154">
        <v>80</v>
      </c>
      <c r="J87" s="154">
        <v>95.93</v>
      </c>
      <c r="K87" s="155" t="s">
        <v>284</v>
      </c>
      <c r="L87" s="154">
        <v>0</v>
      </c>
      <c r="M87" s="155" t="s">
        <v>284</v>
      </c>
      <c r="N87" s="154">
        <v>0</v>
      </c>
      <c r="O87" s="154">
        <v>335</v>
      </c>
      <c r="P87" s="225">
        <v>137.5</v>
      </c>
      <c r="Q87" s="127" t="s">
        <v>249</v>
      </c>
      <c r="R87" s="124"/>
      <c r="S87" s="124"/>
      <c r="T87" s="124"/>
    </row>
    <row r="88" spans="1:20">
      <c r="A88" s="126" t="s">
        <v>127</v>
      </c>
      <c r="B88" s="139">
        <f>SUM(C88,E88,G88,I88,K88,M88,O88)</f>
        <v>383</v>
      </c>
      <c r="C88" s="154">
        <v>40</v>
      </c>
      <c r="D88" s="154">
        <v>18.899999999999999</v>
      </c>
      <c r="E88" s="154">
        <v>177</v>
      </c>
      <c r="F88" s="154">
        <v>59.35</v>
      </c>
      <c r="G88" s="154">
        <v>123</v>
      </c>
      <c r="H88" s="154">
        <v>41.3</v>
      </c>
      <c r="I88" s="154">
        <v>18</v>
      </c>
      <c r="J88" s="154">
        <v>8.1999999999999993</v>
      </c>
      <c r="K88" s="154">
        <v>25</v>
      </c>
      <c r="L88" s="154">
        <v>16</v>
      </c>
      <c r="M88" s="155" t="s">
        <v>284</v>
      </c>
      <c r="N88" s="154">
        <v>0</v>
      </c>
      <c r="O88" s="155" t="s">
        <v>284</v>
      </c>
      <c r="P88" s="225">
        <v>0</v>
      </c>
      <c r="Q88" s="127" t="s">
        <v>250</v>
      </c>
      <c r="R88" s="124"/>
      <c r="S88" s="124"/>
      <c r="T88" s="124"/>
    </row>
    <row r="89" spans="1:20">
      <c r="A89" s="126" t="s">
        <v>129</v>
      </c>
      <c r="B89" s="139">
        <f>SUM(C89,E89,G89,I89,K89,M89,O89)</f>
        <v>1680</v>
      </c>
      <c r="C89" s="154">
        <v>502</v>
      </c>
      <c r="D89" s="154">
        <v>261.10000000000002</v>
      </c>
      <c r="E89" s="154">
        <v>490</v>
      </c>
      <c r="F89" s="154">
        <v>324.7</v>
      </c>
      <c r="G89" s="154">
        <v>569</v>
      </c>
      <c r="H89" s="154">
        <v>308.05</v>
      </c>
      <c r="I89" s="154">
        <v>15</v>
      </c>
      <c r="J89" s="154">
        <v>1.8</v>
      </c>
      <c r="K89" s="154">
        <v>11</v>
      </c>
      <c r="L89" s="154">
        <v>4.5999999999999996</v>
      </c>
      <c r="M89" s="155" t="s">
        <v>284</v>
      </c>
      <c r="N89" s="154">
        <v>0</v>
      </c>
      <c r="O89" s="154">
        <v>93</v>
      </c>
      <c r="P89" s="225">
        <v>68</v>
      </c>
      <c r="Q89" s="127" t="s">
        <v>251</v>
      </c>
      <c r="R89" s="124"/>
      <c r="S89" s="124"/>
      <c r="T89" s="124"/>
    </row>
    <row r="90" spans="1:20">
      <c r="A90" s="183" t="s">
        <v>252</v>
      </c>
      <c r="B90" s="184">
        <f>SUM(B92:B104)</f>
        <v>99318</v>
      </c>
      <c r="C90" s="170">
        <f>SUM(C92:C104)</f>
        <v>61678</v>
      </c>
      <c r="D90" s="170">
        <f t="shared" ref="D90:P90" si="16">SUM(D92:D104)</f>
        <v>14449.685000000001</v>
      </c>
      <c r="E90" s="170">
        <f t="shared" si="16"/>
        <v>18426</v>
      </c>
      <c r="F90" s="170">
        <f t="shared" si="16"/>
        <v>5525.4630000000006</v>
      </c>
      <c r="G90" s="185">
        <f t="shared" si="16"/>
        <v>11957</v>
      </c>
      <c r="H90" s="170">
        <f t="shared" si="16"/>
        <v>3096.2239999999997</v>
      </c>
      <c r="I90" s="170">
        <f t="shared" si="16"/>
        <v>2760</v>
      </c>
      <c r="J90" s="170">
        <f t="shared" si="16"/>
        <v>2148.7000000000003</v>
      </c>
      <c r="K90" s="170">
        <f t="shared" si="16"/>
        <v>393</v>
      </c>
      <c r="L90" s="170">
        <f t="shared" si="16"/>
        <v>213.14999999999998</v>
      </c>
      <c r="M90" s="170">
        <f t="shared" si="16"/>
        <v>47</v>
      </c>
      <c r="N90" s="170">
        <f t="shared" si="16"/>
        <v>8.4</v>
      </c>
      <c r="O90" s="170">
        <f t="shared" si="16"/>
        <v>4057</v>
      </c>
      <c r="P90" s="176">
        <f t="shared" si="16"/>
        <v>498.7</v>
      </c>
      <c r="Q90" s="173" t="s">
        <v>253</v>
      </c>
      <c r="R90" s="173"/>
      <c r="S90" s="173"/>
      <c r="T90" s="124"/>
    </row>
    <row r="91" spans="1:20">
      <c r="A91" s="183"/>
      <c r="B91" s="184"/>
      <c r="C91" s="170"/>
      <c r="D91" s="170"/>
      <c r="E91" s="170"/>
      <c r="F91" s="170"/>
      <c r="G91" s="185"/>
      <c r="H91" s="170"/>
      <c r="I91" s="170"/>
      <c r="J91" s="170"/>
      <c r="K91" s="170"/>
      <c r="L91" s="170"/>
      <c r="M91" s="170"/>
      <c r="N91" s="170"/>
      <c r="O91" s="170"/>
      <c r="P91" s="176"/>
      <c r="Q91" s="173"/>
      <c r="R91" s="173"/>
      <c r="S91" s="173"/>
      <c r="T91" s="124"/>
    </row>
    <row r="92" spans="1:20">
      <c r="A92" s="126" t="s">
        <v>131</v>
      </c>
      <c r="B92" s="139">
        <f t="shared" ref="B92:B104" si="17">SUM(C92,E92,G92,I92,K92,M92,O92)</f>
        <v>1368</v>
      </c>
      <c r="C92" s="154">
        <v>1252</v>
      </c>
      <c r="D92" s="154">
        <v>92</v>
      </c>
      <c r="E92" s="154">
        <v>95</v>
      </c>
      <c r="F92" s="154">
        <v>8.5</v>
      </c>
      <c r="G92" s="154">
        <v>20</v>
      </c>
      <c r="H92" s="154">
        <v>17</v>
      </c>
      <c r="I92" s="154">
        <v>1</v>
      </c>
      <c r="J92" s="154">
        <v>0.3</v>
      </c>
      <c r="K92" s="155" t="s">
        <v>284</v>
      </c>
      <c r="L92" s="154">
        <v>0</v>
      </c>
      <c r="M92" s="155" t="s">
        <v>284</v>
      </c>
      <c r="N92" s="154">
        <v>0</v>
      </c>
      <c r="O92" s="155" t="s">
        <v>284</v>
      </c>
      <c r="P92" s="225">
        <v>0</v>
      </c>
      <c r="Q92" s="127" t="s">
        <v>254</v>
      </c>
      <c r="R92" s="124"/>
      <c r="S92" s="124"/>
      <c r="T92" s="124"/>
    </row>
    <row r="93" spans="1:20">
      <c r="A93" s="126" t="s">
        <v>133</v>
      </c>
      <c r="B93" s="139">
        <f t="shared" si="17"/>
        <v>4893</v>
      </c>
      <c r="C93" s="154">
        <v>2158</v>
      </c>
      <c r="D93" s="154">
        <v>479</v>
      </c>
      <c r="E93" s="154">
        <v>1543</v>
      </c>
      <c r="F93" s="154">
        <v>401.9</v>
      </c>
      <c r="G93" s="154">
        <v>649</v>
      </c>
      <c r="H93" s="154">
        <v>158.1</v>
      </c>
      <c r="I93" s="154">
        <v>496</v>
      </c>
      <c r="J93" s="154">
        <v>492</v>
      </c>
      <c r="K93" s="154">
        <v>47</v>
      </c>
      <c r="L93" s="154">
        <v>49</v>
      </c>
      <c r="M93" s="155" t="s">
        <v>284</v>
      </c>
      <c r="N93" s="154">
        <v>0</v>
      </c>
      <c r="O93" s="155" t="s">
        <v>284</v>
      </c>
      <c r="P93" s="225">
        <v>0</v>
      </c>
      <c r="Q93" s="127" t="s">
        <v>255</v>
      </c>
      <c r="R93" s="124"/>
      <c r="S93" s="124"/>
      <c r="T93" s="124"/>
    </row>
    <row r="94" spans="1:20">
      <c r="A94" s="126" t="s">
        <v>135</v>
      </c>
      <c r="B94" s="139">
        <f t="shared" si="17"/>
        <v>3910</v>
      </c>
      <c r="C94" s="154">
        <v>3495</v>
      </c>
      <c r="D94" s="154">
        <v>677.7</v>
      </c>
      <c r="E94" s="154">
        <v>415</v>
      </c>
      <c r="F94" s="154">
        <v>46.6</v>
      </c>
      <c r="G94" s="155" t="s">
        <v>284</v>
      </c>
      <c r="H94" s="154">
        <v>0</v>
      </c>
      <c r="I94" s="155" t="s">
        <v>284</v>
      </c>
      <c r="J94" s="154">
        <v>0</v>
      </c>
      <c r="K94" s="155" t="s">
        <v>284</v>
      </c>
      <c r="L94" s="154">
        <v>0</v>
      </c>
      <c r="M94" s="155" t="s">
        <v>284</v>
      </c>
      <c r="N94" s="154">
        <v>0</v>
      </c>
      <c r="O94" s="155" t="s">
        <v>284</v>
      </c>
      <c r="P94" s="225">
        <v>0</v>
      </c>
      <c r="Q94" s="127" t="s">
        <v>256</v>
      </c>
      <c r="R94" s="124"/>
      <c r="S94" s="124"/>
      <c r="T94" s="124"/>
    </row>
    <row r="95" spans="1:20">
      <c r="A95" s="126" t="s">
        <v>137</v>
      </c>
      <c r="B95" s="139">
        <f t="shared" si="17"/>
        <v>4631</v>
      </c>
      <c r="C95" s="154">
        <v>1984</v>
      </c>
      <c r="D95" s="154">
        <v>575</v>
      </c>
      <c r="E95" s="154">
        <v>1477</v>
      </c>
      <c r="F95" s="154">
        <v>403.5</v>
      </c>
      <c r="G95" s="154">
        <v>925</v>
      </c>
      <c r="H95" s="154">
        <v>185.3</v>
      </c>
      <c r="I95" s="154">
        <v>65</v>
      </c>
      <c r="J95" s="154">
        <v>32.5</v>
      </c>
      <c r="K95" s="154">
        <v>20</v>
      </c>
      <c r="L95" s="154">
        <v>4</v>
      </c>
      <c r="M95" s="154">
        <v>10</v>
      </c>
      <c r="N95" s="154">
        <v>1</v>
      </c>
      <c r="O95" s="154">
        <v>150</v>
      </c>
      <c r="P95" s="225">
        <v>33</v>
      </c>
      <c r="Q95" s="127" t="s">
        <v>257</v>
      </c>
      <c r="R95" s="124"/>
      <c r="S95" s="124"/>
      <c r="T95" s="124"/>
    </row>
    <row r="96" spans="1:20">
      <c r="A96" s="126" t="s">
        <v>139</v>
      </c>
      <c r="B96" s="139">
        <f t="shared" si="17"/>
        <v>311</v>
      </c>
      <c r="C96" s="154">
        <v>42</v>
      </c>
      <c r="D96" s="154">
        <v>10.025</v>
      </c>
      <c r="E96" s="154">
        <v>113</v>
      </c>
      <c r="F96" s="154">
        <v>65.45</v>
      </c>
      <c r="G96" s="154">
        <v>102</v>
      </c>
      <c r="H96" s="154">
        <v>58.35</v>
      </c>
      <c r="I96" s="154">
        <v>8</v>
      </c>
      <c r="J96" s="154">
        <v>8</v>
      </c>
      <c r="K96" s="154">
        <v>6</v>
      </c>
      <c r="L96" s="154">
        <v>6</v>
      </c>
      <c r="M96" s="155" t="s">
        <v>284</v>
      </c>
      <c r="N96" s="154">
        <v>0</v>
      </c>
      <c r="O96" s="154">
        <v>40</v>
      </c>
      <c r="P96" s="225">
        <v>42</v>
      </c>
      <c r="Q96" s="127" t="s">
        <v>258</v>
      </c>
      <c r="R96" s="124"/>
      <c r="S96" s="124"/>
      <c r="T96" s="124"/>
    </row>
    <row r="97" spans="1:20">
      <c r="A97" s="126" t="s">
        <v>141</v>
      </c>
      <c r="B97" s="139">
        <f t="shared" si="17"/>
        <v>9367</v>
      </c>
      <c r="C97" s="154">
        <v>7654</v>
      </c>
      <c r="D97" s="154">
        <v>1142</v>
      </c>
      <c r="E97" s="154">
        <v>990</v>
      </c>
      <c r="F97" s="154">
        <v>371.8</v>
      </c>
      <c r="G97" s="154">
        <v>683</v>
      </c>
      <c r="H97" s="154">
        <v>328.4</v>
      </c>
      <c r="I97" s="155" t="s">
        <v>284</v>
      </c>
      <c r="J97" s="154">
        <v>0</v>
      </c>
      <c r="K97" s="154">
        <v>20</v>
      </c>
      <c r="L97" s="154">
        <v>6.1</v>
      </c>
      <c r="M97" s="155" t="s">
        <v>284</v>
      </c>
      <c r="N97" s="154">
        <v>0</v>
      </c>
      <c r="O97" s="154">
        <v>20</v>
      </c>
      <c r="P97" s="225">
        <v>4.2</v>
      </c>
      <c r="Q97" s="127" t="s">
        <v>259</v>
      </c>
      <c r="R97" s="124"/>
      <c r="S97" s="124"/>
      <c r="T97" s="124"/>
    </row>
    <row r="98" spans="1:20">
      <c r="A98" s="126" t="s">
        <v>144</v>
      </c>
      <c r="B98" s="139">
        <f t="shared" si="17"/>
        <v>10237</v>
      </c>
      <c r="C98" s="154">
        <v>4475</v>
      </c>
      <c r="D98" s="154">
        <v>1265.3</v>
      </c>
      <c r="E98" s="154">
        <v>4660</v>
      </c>
      <c r="F98" s="154">
        <v>2016.9</v>
      </c>
      <c r="G98" s="154">
        <v>600</v>
      </c>
      <c r="H98" s="154">
        <v>416.35</v>
      </c>
      <c r="I98" s="154">
        <v>458</v>
      </c>
      <c r="J98" s="154">
        <v>715</v>
      </c>
      <c r="K98" s="154">
        <v>44</v>
      </c>
      <c r="L98" s="154">
        <v>65</v>
      </c>
      <c r="M98" s="155" t="s">
        <v>284</v>
      </c>
      <c r="N98" s="154">
        <v>0</v>
      </c>
      <c r="O98" s="155" t="s">
        <v>284</v>
      </c>
      <c r="P98" s="225">
        <v>0</v>
      </c>
      <c r="Q98" s="127" t="s">
        <v>260</v>
      </c>
      <c r="R98" s="124"/>
      <c r="S98" s="124"/>
      <c r="T98" s="124"/>
    </row>
    <row r="99" spans="1:20">
      <c r="A99" s="126" t="s">
        <v>146</v>
      </c>
      <c r="B99" s="139">
        <f t="shared" si="17"/>
        <v>8035</v>
      </c>
      <c r="C99" s="154">
        <v>4940</v>
      </c>
      <c r="D99" s="154">
        <v>993.5</v>
      </c>
      <c r="E99" s="154">
        <v>2070</v>
      </c>
      <c r="F99" s="154">
        <v>429.5</v>
      </c>
      <c r="G99" s="154">
        <v>1005</v>
      </c>
      <c r="H99" s="154">
        <v>131.6</v>
      </c>
      <c r="I99" s="154">
        <v>5</v>
      </c>
      <c r="J99" s="154">
        <v>0.9</v>
      </c>
      <c r="K99" s="155" t="s">
        <v>284</v>
      </c>
      <c r="L99" s="154">
        <v>0</v>
      </c>
      <c r="M99" s="155" t="s">
        <v>284</v>
      </c>
      <c r="N99" s="154">
        <v>0</v>
      </c>
      <c r="O99" s="154">
        <v>15</v>
      </c>
      <c r="P99" s="225">
        <v>5</v>
      </c>
      <c r="Q99" s="127" t="s">
        <v>261</v>
      </c>
      <c r="R99" s="124"/>
      <c r="S99" s="124"/>
      <c r="T99" s="124"/>
    </row>
    <row r="100" spans="1:20">
      <c r="A100" s="126" t="s">
        <v>148</v>
      </c>
      <c r="B100" s="139">
        <f t="shared" si="17"/>
        <v>2000</v>
      </c>
      <c r="C100" s="154">
        <v>2000</v>
      </c>
      <c r="D100" s="154">
        <v>500</v>
      </c>
      <c r="E100" s="155" t="s">
        <v>284</v>
      </c>
      <c r="F100" s="154">
        <v>0</v>
      </c>
      <c r="G100" s="155" t="s">
        <v>284</v>
      </c>
      <c r="H100" s="154">
        <v>0</v>
      </c>
      <c r="I100" s="155" t="s">
        <v>284</v>
      </c>
      <c r="J100" s="154">
        <v>0</v>
      </c>
      <c r="K100" s="155" t="s">
        <v>284</v>
      </c>
      <c r="L100" s="154">
        <v>0</v>
      </c>
      <c r="M100" s="155" t="s">
        <v>284</v>
      </c>
      <c r="N100" s="154">
        <v>0</v>
      </c>
      <c r="O100" s="155" t="s">
        <v>284</v>
      </c>
      <c r="P100" s="225">
        <v>0</v>
      </c>
      <c r="Q100" s="127" t="s">
        <v>262</v>
      </c>
      <c r="R100" s="124"/>
      <c r="S100" s="124"/>
      <c r="T100" s="124"/>
    </row>
    <row r="101" spans="1:20">
      <c r="A101" s="126" t="s">
        <v>150</v>
      </c>
      <c r="B101" s="139">
        <f t="shared" si="17"/>
        <v>22170</v>
      </c>
      <c r="C101" s="154">
        <v>20217</v>
      </c>
      <c r="D101" s="154">
        <v>6445.5</v>
      </c>
      <c r="E101" s="154">
        <v>1033</v>
      </c>
      <c r="F101" s="154">
        <v>136.55000000000001</v>
      </c>
      <c r="G101" s="154">
        <v>563</v>
      </c>
      <c r="H101" s="154">
        <v>52.808999999999997</v>
      </c>
      <c r="I101" s="154">
        <v>2</v>
      </c>
      <c r="J101" s="154">
        <v>0.15</v>
      </c>
      <c r="K101" s="154">
        <v>165</v>
      </c>
      <c r="L101" s="154">
        <v>65.349999999999994</v>
      </c>
      <c r="M101" s="155" t="s">
        <v>284</v>
      </c>
      <c r="N101" s="154">
        <v>0</v>
      </c>
      <c r="O101" s="154">
        <v>190</v>
      </c>
      <c r="P101" s="225">
        <v>17.5</v>
      </c>
      <c r="Q101" s="127" t="s">
        <v>263</v>
      </c>
      <c r="R101" s="124"/>
      <c r="S101" s="124"/>
      <c r="T101" s="124"/>
    </row>
    <row r="102" spans="1:20">
      <c r="A102" s="126" t="s">
        <v>152</v>
      </c>
      <c r="B102" s="139">
        <f t="shared" si="17"/>
        <v>13520</v>
      </c>
      <c r="C102" s="154">
        <v>6350</v>
      </c>
      <c r="D102" s="154">
        <v>617.5</v>
      </c>
      <c r="E102" s="154">
        <v>860</v>
      </c>
      <c r="F102" s="154">
        <v>94.9</v>
      </c>
      <c r="G102" s="154">
        <v>2990</v>
      </c>
      <c r="H102" s="154">
        <v>333.5</v>
      </c>
      <c r="I102" s="154">
        <v>20</v>
      </c>
      <c r="J102" s="154">
        <v>2.4</v>
      </c>
      <c r="K102" s="155" t="s">
        <v>284</v>
      </c>
      <c r="L102" s="154">
        <v>0</v>
      </c>
      <c r="M102" s="155" t="s">
        <v>284</v>
      </c>
      <c r="N102" s="154">
        <v>0</v>
      </c>
      <c r="O102" s="154">
        <v>3300</v>
      </c>
      <c r="P102" s="225">
        <v>297</v>
      </c>
      <c r="Q102" s="127" t="s">
        <v>264</v>
      </c>
      <c r="R102" s="124"/>
      <c r="S102" s="124"/>
      <c r="T102" s="124"/>
    </row>
    <row r="103" spans="1:20">
      <c r="A103" s="126" t="s">
        <v>154</v>
      </c>
      <c r="B103" s="139">
        <f t="shared" si="17"/>
        <v>16647</v>
      </c>
      <c r="C103" s="154">
        <v>5508</v>
      </c>
      <c r="D103" s="154">
        <v>1312.66</v>
      </c>
      <c r="E103" s="154">
        <v>4715</v>
      </c>
      <c r="F103" s="154">
        <v>1416.3630000000001</v>
      </c>
      <c r="G103" s="154">
        <v>4275</v>
      </c>
      <c r="H103" s="154">
        <v>1362.4649999999999</v>
      </c>
      <c r="I103" s="154">
        <v>1679</v>
      </c>
      <c r="J103" s="154">
        <v>858.95</v>
      </c>
      <c r="K103" s="154">
        <v>91</v>
      </c>
      <c r="L103" s="154">
        <v>17.7</v>
      </c>
      <c r="M103" s="154">
        <v>37</v>
      </c>
      <c r="N103" s="154">
        <v>7.4</v>
      </c>
      <c r="O103" s="154">
        <v>342</v>
      </c>
      <c r="P103" s="225">
        <v>100</v>
      </c>
      <c r="Q103" s="127" t="s">
        <v>265</v>
      </c>
      <c r="R103" s="124"/>
      <c r="S103" s="124"/>
      <c r="T103" s="124"/>
    </row>
    <row r="104" spans="1:20">
      <c r="A104" s="126" t="s">
        <v>156</v>
      </c>
      <c r="B104" s="139">
        <f t="shared" si="17"/>
        <v>2229</v>
      </c>
      <c r="C104" s="154">
        <v>1603</v>
      </c>
      <c r="D104" s="154">
        <v>339.5</v>
      </c>
      <c r="E104" s="154">
        <v>455</v>
      </c>
      <c r="F104" s="154">
        <v>133.5</v>
      </c>
      <c r="G104" s="154">
        <v>145</v>
      </c>
      <c r="H104" s="154">
        <v>52.35</v>
      </c>
      <c r="I104" s="154">
        <v>26</v>
      </c>
      <c r="J104" s="154">
        <v>38.5</v>
      </c>
      <c r="K104" s="155" t="s">
        <v>284</v>
      </c>
      <c r="L104" s="154">
        <v>0</v>
      </c>
      <c r="M104" s="155" t="s">
        <v>284</v>
      </c>
      <c r="N104" s="154">
        <v>0</v>
      </c>
      <c r="O104" s="155" t="s">
        <v>284</v>
      </c>
      <c r="P104" s="225">
        <v>0</v>
      </c>
      <c r="Q104" s="127" t="s">
        <v>266</v>
      </c>
      <c r="R104" s="124"/>
      <c r="S104" s="124"/>
      <c r="T104" s="124"/>
    </row>
    <row r="105" spans="1:20">
      <c r="A105" s="183" t="s">
        <v>267</v>
      </c>
      <c r="B105" s="184">
        <f>SUM(B107:B110)</f>
        <v>66337</v>
      </c>
      <c r="C105" s="170">
        <f>SUM(C107:C110)</f>
        <v>19613</v>
      </c>
      <c r="D105" s="170">
        <f t="shared" ref="D105:P105" si="18">SUM(D107:D110)</f>
        <v>8156.63</v>
      </c>
      <c r="E105" s="170">
        <f t="shared" si="18"/>
        <v>25791</v>
      </c>
      <c r="F105" s="170">
        <f t="shared" si="18"/>
        <v>10333.73</v>
      </c>
      <c r="G105" s="185">
        <f t="shared" si="18"/>
        <v>12086</v>
      </c>
      <c r="H105" s="170">
        <f t="shared" si="18"/>
        <v>4807.1399999999994</v>
      </c>
      <c r="I105" s="170">
        <f t="shared" si="18"/>
        <v>2750</v>
      </c>
      <c r="J105" s="170">
        <f t="shared" si="18"/>
        <v>2360.37</v>
      </c>
      <c r="K105" s="170">
        <f t="shared" si="18"/>
        <v>4221</v>
      </c>
      <c r="L105" s="170">
        <f t="shared" si="18"/>
        <v>3156.88</v>
      </c>
      <c r="M105" s="170">
        <f t="shared" si="18"/>
        <v>544</v>
      </c>
      <c r="N105" s="170">
        <f t="shared" si="18"/>
        <v>174.85</v>
      </c>
      <c r="O105" s="170">
        <f t="shared" si="18"/>
        <v>1332</v>
      </c>
      <c r="P105" s="176">
        <f t="shared" si="18"/>
        <v>584.44999999999993</v>
      </c>
      <c r="Q105" s="174" t="s">
        <v>268</v>
      </c>
      <c r="R105" s="174"/>
      <c r="S105" s="174"/>
      <c r="T105" s="124"/>
    </row>
    <row r="106" spans="1:20">
      <c r="A106" s="183"/>
      <c r="B106" s="184"/>
      <c r="C106" s="170"/>
      <c r="D106" s="170"/>
      <c r="E106" s="170"/>
      <c r="F106" s="170"/>
      <c r="G106" s="185"/>
      <c r="H106" s="170"/>
      <c r="I106" s="170"/>
      <c r="J106" s="170"/>
      <c r="K106" s="170"/>
      <c r="L106" s="170"/>
      <c r="M106" s="170"/>
      <c r="N106" s="170"/>
      <c r="O106" s="170"/>
      <c r="P106" s="176"/>
      <c r="Q106" s="174"/>
      <c r="R106" s="174"/>
      <c r="S106" s="174"/>
      <c r="T106" s="124"/>
    </row>
    <row r="107" spans="1:20">
      <c r="A107" s="126" t="s">
        <v>158</v>
      </c>
      <c r="B107" s="139">
        <f>SUM(C107,E107,G107,I107,K107,M107,O107)</f>
        <v>27714</v>
      </c>
      <c r="C107" s="154">
        <v>12119</v>
      </c>
      <c r="D107" s="154">
        <v>5669.55</v>
      </c>
      <c r="E107" s="154">
        <v>7880</v>
      </c>
      <c r="F107" s="154">
        <v>3666.8</v>
      </c>
      <c r="G107" s="154">
        <v>4761</v>
      </c>
      <c r="H107" s="154">
        <v>2095.1</v>
      </c>
      <c r="I107" s="154">
        <v>483</v>
      </c>
      <c r="J107" s="154">
        <v>315.5</v>
      </c>
      <c r="K107" s="154">
        <v>1474</v>
      </c>
      <c r="L107" s="154">
        <v>964.6</v>
      </c>
      <c r="M107" s="154">
        <v>95</v>
      </c>
      <c r="N107" s="154">
        <v>47.7</v>
      </c>
      <c r="O107" s="154">
        <v>902</v>
      </c>
      <c r="P107" s="225">
        <v>389.9</v>
      </c>
      <c r="Q107" s="127" t="s">
        <v>269</v>
      </c>
      <c r="R107" s="124"/>
      <c r="S107" s="124"/>
      <c r="T107" s="124"/>
    </row>
    <row r="108" spans="1:20">
      <c r="A108" s="126" t="s">
        <v>160</v>
      </c>
      <c r="B108" s="139">
        <f>SUM(C108,E108,G108,I108,K108,M108,O108)</f>
        <v>5672</v>
      </c>
      <c r="C108" s="154">
        <v>1452</v>
      </c>
      <c r="D108" s="154">
        <v>433.38</v>
      </c>
      <c r="E108" s="154">
        <v>1223</v>
      </c>
      <c r="F108" s="154">
        <v>840.38</v>
      </c>
      <c r="G108" s="154">
        <v>1677</v>
      </c>
      <c r="H108" s="154">
        <v>862.6</v>
      </c>
      <c r="I108" s="154">
        <v>132</v>
      </c>
      <c r="J108" s="154">
        <v>59.05</v>
      </c>
      <c r="K108" s="154">
        <v>573</v>
      </c>
      <c r="L108" s="154">
        <v>317.39999999999998</v>
      </c>
      <c r="M108" s="154">
        <v>350</v>
      </c>
      <c r="N108" s="154">
        <v>70</v>
      </c>
      <c r="O108" s="154">
        <v>265</v>
      </c>
      <c r="P108" s="225">
        <v>92.95</v>
      </c>
      <c r="Q108" s="127" t="s">
        <v>270</v>
      </c>
      <c r="R108" s="124"/>
      <c r="S108" s="124"/>
      <c r="T108" s="124"/>
    </row>
    <row r="109" spans="1:20">
      <c r="A109" s="126" t="s">
        <v>163</v>
      </c>
      <c r="B109" s="139">
        <f>SUM(C109,E109,G109,I109,K109,M109,O109)</f>
        <v>19424</v>
      </c>
      <c r="C109" s="154">
        <v>4510</v>
      </c>
      <c r="D109" s="154">
        <v>1658.56</v>
      </c>
      <c r="E109" s="154">
        <v>11449</v>
      </c>
      <c r="F109" s="154">
        <v>4699.8</v>
      </c>
      <c r="G109" s="154">
        <v>2501</v>
      </c>
      <c r="H109" s="154">
        <v>1017.62</v>
      </c>
      <c r="I109" s="154">
        <v>343</v>
      </c>
      <c r="J109" s="154">
        <v>218.42</v>
      </c>
      <c r="K109" s="154">
        <v>612</v>
      </c>
      <c r="L109" s="154">
        <v>355</v>
      </c>
      <c r="M109" s="154">
        <v>8</v>
      </c>
      <c r="N109" s="154">
        <v>6.5</v>
      </c>
      <c r="O109" s="154">
        <v>1</v>
      </c>
      <c r="P109" s="225">
        <v>0.5</v>
      </c>
      <c r="Q109" s="127" t="s">
        <v>271</v>
      </c>
      <c r="R109" s="131"/>
      <c r="S109" s="131"/>
      <c r="T109" s="124"/>
    </row>
    <row r="110" spans="1:20" ht="10.8" thickBot="1">
      <c r="A110" s="132" t="s">
        <v>166</v>
      </c>
      <c r="B110" s="148">
        <f>SUM(C110,E110,G110,I110,K110,M110,O110)</f>
        <v>13527</v>
      </c>
      <c r="C110" s="226">
        <v>1532</v>
      </c>
      <c r="D110" s="226">
        <v>395.14</v>
      </c>
      <c r="E110" s="226">
        <v>5239</v>
      </c>
      <c r="F110" s="226">
        <v>1126.75</v>
      </c>
      <c r="G110" s="226">
        <v>3147</v>
      </c>
      <c r="H110" s="226">
        <v>831.82</v>
      </c>
      <c r="I110" s="226">
        <v>1792</v>
      </c>
      <c r="J110" s="226">
        <v>1767.4</v>
      </c>
      <c r="K110" s="226">
        <v>1562</v>
      </c>
      <c r="L110" s="226">
        <v>1519.88</v>
      </c>
      <c r="M110" s="226">
        <v>91</v>
      </c>
      <c r="N110" s="226">
        <v>50.65</v>
      </c>
      <c r="O110" s="226">
        <v>164</v>
      </c>
      <c r="P110" s="227">
        <v>101.1</v>
      </c>
      <c r="Q110" s="133" t="s">
        <v>272</v>
      </c>
      <c r="R110" s="134"/>
      <c r="S110" s="134"/>
      <c r="T110" s="124"/>
    </row>
    <row r="111" spans="1:20">
      <c r="A111" s="135" t="s">
        <v>273</v>
      </c>
      <c r="L111" s="131" t="s">
        <v>276</v>
      </c>
      <c r="N111" s="131"/>
      <c r="O111" s="131"/>
      <c r="P111" s="131"/>
      <c r="Q111" s="175"/>
      <c r="R111" s="175"/>
      <c r="S111" s="175"/>
    </row>
    <row r="112" spans="1:20">
      <c r="A112" s="136" t="s">
        <v>285</v>
      </c>
      <c r="L112" s="120" t="s">
        <v>280</v>
      </c>
    </row>
    <row r="113" spans="1:12">
      <c r="A113" s="120" t="s">
        <v>282</v>
      </c>
      <c r="L113" s="120" t="s">
        <v>281</v>
      </c>
    </row>
  </sheetData>
  <mergeCells count="247">
    <mergeCell ref="L10:L11"/>
    <mergeCell ref="A34:A35"/>
    <mergeCell ref="B34:B35"/>
    <mergeCell ref="I34:I35"/>
    <mergeCell ref="J34:J35"/>
    <mergeCell ref="O6:P8"/>
    <mergeCell ref="A5:F5"/>
    <mergeCell ref="G6:H8"/>
    <mergeCell ref="Q6:S9"/>
    <mergeCell ref="M12:M13"/>
    <mergeCell ref="F10:F11"/>
    <mergeCell ref="N12:N13"/>
    <mergeCell ref="L12:L13"/>
    <mergeCell ref="I8:J8"/>
    <mergeCell ref="K8:L8"/>
    <mergeCell ref="M6:N8"/>
    <mergeCell ref="A6:A9"/>
    <mergeCell ref="B6:B9"/>
    <mergeCell ref="I6:L7"/>
    <mergeCell ref="C6:D8"/>
    <mergeCell ref="E6:F8"/>
    <mergeCell ref="M10:M11"/>
    <mergeCell ref="N10:N11"/>
    <mergeCell ref="O10:O11"/>
    <mergeCell ref="J10:J11"/>
    <mergeCell ref="A20:A21"/>
    <mergeCell ref="B20:B21"/>
    <mergeCell ref="A12:A13"/>
    <mergeCell ref="B12:B13"/>
    <mergeCell ref="I12:I13"/>
    <mergeCell ref="J12:J13"/>
    <mergeCell ref="K12:K13"/>
    <mergeCell ref="C10:C11"/>
    <mergeCell ref="D10:D11"/>
    <mergeCell ref="E10:E11"/>
    <mergeCell ref="G10:G11"/>
    <mergeCell ref="H10:H11"/>
    <mergeCell ref="K10:K11"/>
    <mergeCell ref="A10:A11"/>
    <mergeCell ref="B10:B11"/>
    <mergeCell ref="I10:I11"/>
    <mergeCell ref="C12:C13"/>
    <mergeCell ref="D12:D13"/>
    <mergeCell ref="E12:E13"/>
    <mergeCell ref="F12:F13"/>
    <mergeCell ref="G12:G13"/>
    <mergeCell ref="H12:H13"/>
    <mergeCell ref="M34:M35"/>
    <mergeCell ref="C34:C35"/>
    <mergeCell ref="D34:D35"/>
    <mergeCell ref="E34:E35"/>
    <mergeCell ref="F34:F35"/>
    <mergeCell ref="O20:O21"/>
    <mergeCell ref="F20:F21"/>
    <mergeCell ref="N34:N35"/>
    <mergeCell ref="L34:L35"/>
    <mergeCell ref="M20:M21"/>
    <mergeCell ref="I20:I21"/>
    <mergeCell ref="J20:J21"/>
    <mergeCell ref="K20:K21"/>
    <mergeCell ref="L20:L21"/>
    <mergeCell ref="C20:C21"/>
    <mergeCell ref="D20:D21"/>
    <mergeCell ref="E20:E21"/>
    <mergeCell ref="G20:G21"/>
    <mergeCell ref="H20:H21"/>
    <mergeCell ref="G34:G35"/>
    <mergeCell ref="H34:H35"/>
    <mergeCell ref="K34:K35"/>
    <mergeCell ref="A47:A48"/>
    <mergeCell ref="B47:B48"/>
    <mergeCell ref="I47:I48"/>
    <mergeCell ref="J47:J48"/>
    <mergeCell ref="K47:K48"/>
    <mergeCell ref="M40:M41"/>
    <mergeCell ref="D40:D41"/>
    <mergeCell ref="E40:E41"/>
    <mergeCell ref="F40:F41"/>
    <mergeCell ref="H40:H41"/>
    <mergeCell ref="G47:G48"/>
    <mergeCell ref="H47:H48"/>
    <mergeCell ref="C47:C48"/>
    <mergeCell ref="D47:D48"/>
    <mergeCell ref="E47:E48"/>
    <mergeCell ref="F47:F48"/>
    <mergeCell ref="P40:P41"/>
    <mergeCell ref="A40:A41"/>
    <mergeCell ref="B40:B41"/>
    <mergeCell ref="I40:I41"/>
    <mergeCell ref="J40:J41"/>
    <mergeCell ref="K40:K41"/>
    <mergeCell ref="L40:L41"/>
    <mergeCell ref="C40:C41"/>
    <mergeCell ref="G40:G41"/>
    <mergeCell ref="A61:A62"/>
    <mergeCell ref="B61:B62"/>
    <mergeCell ref="I61:I62"/>
    <mergeCell ref="J61:J62"/>
    <mergeCell ref="K61:K62"/>
    <mergeCell ref="M54:M55"/>
    <mergeCell ref="D54:D55"/>
    <mergeCell ref="E54:E55"/>
    <mergeCell ref="F54:F55"/>
    <mergeCell ref="C61:C62"/>
    <mergeCell ref="D61:D62"/>
    <mergeCell ref="E61:E62"/>
    <mergeCell ref="F61:F62"/>
    <mergeCell ref="G61:G62"/>
    <mergeCell ref="A54:A55"/>
    <mergeCell ref="B54:B55"/>
    <mergeCell ref="I54:I55"/>
    <mergeCell ref="J54:J55"/>
    <mergeCell ref="K54:K55"/>
    <mergeCell ref="L54:L55"/>
    <mergeCell ref="C54:C55"/>
    <mergeCell ref="G54:G55"/>
    <mergeCell ref="H54:H55"/>
    <mergeCell ref="A73:A74"/>
    <mergeCell ref="B73:B74"/>
    <mergeCell ref="I73:I74"/>
    <mergeCell ref="J73:J74"/>
    <mergeCell ref="K73:K74"/>
    <mergeCell ref="M66:M67"/>
    <mergeCell ref="D66:D67"/>
    <mergeCell ref="E66:E67"/>
    <mergeCell ref="F66:F67"/>
    <mergeCell ref="M73:M74"/>
    <mergeCell ref="A66:A67"/>
    <mergeCell ref="B66:B67"/>
    <mergeCell ref="I66:I67"/>
    <mergeCell ref="J66:J67"/>
    <mergeCell ref="K66:K67"/>
    <mergeCell ref="L66:L67"/>
    <mergeCell ref="C66:C67"/>
    <mergeCell ref="G66:G67"/>
    <mergeCell ref="H66:H67"/>
    <mergeCell ref="C73:C74"/>
    <mergeCell ref="D73:D74"/>
    <mergeCell ref="E73:E74"/>
    <mergeCell ref="F73:F74"/>
    <mergeCell ref="G73:G74"/>
    <mergeCell ref="M83:M84"/>
    <mergeCell ref="N83:N84"/>
    <mergeCell ref="O83:O84"/>
    <mergeCell ref="P83:P84"/>
    <mergeCell ref="A83:A84"/>
    <mergeCell ref="B83:B84"/>
    <mergeCell ref="I83:I84"/>
    <mergeCell ref="J83:J84"/>
    <mergeCell ref="K83:K84"/>
    <mergeCell ref="L83:L84"/>
    <mergeCell ref="C83:C84"/>
    <mergeCell ref="D83:D84"/>
    <mergeCell ref="E83:E84"/>
    <mergeCell ref="F83:F84"/>
    <mergeCell ref="G83:G84"/>
    <mergeCell ref="H83:H84"/>
    <mergeCell ref="M90:M91"/>
    <mergeCell ref="N90:N91"/>
    <mergeCell ref="E90:E91"/>
    <mergeCell ref="F90:F91"/>
    <mergeCell ref="G90:G91"/>
    <mergeCell ref="H90:H91"/>
    <mergeCell ref="O90:O91"/>
    <mergeCell ref="P90:P91"/>
    <mergeCell ref="L90:L91"/>
    <mergeCell ref="A90:A91"/>
    <mergeCell ref="B90:B91"/>
    <mergeCell ref="I90:I91"/>
    <mergeCell ref="J90:J91"/>
    <mergeCell ref="K90:K91"/>
    <mergeCell ref="C90:C91"/>
    <mergeCell ref="D90:D91"/>
    <mergeCell ref="C105:C106"/>
    <mergeCell ref="D105:D106"/>
    <mergeCell ref="M105:M106"/>
    <mergeCell ref="N105:N106"/>
    <mergeCell ref="O105:O106"/>
    <mergeCell ref="P105:P106"/>
    <mergeCell ref="A105:A106"/>
    <mergeCell ref="B105:B106"/>
    <mergeCell ref="I105:I106"/>
    <mergeCell ref="J105:J106"/>
    <mergeCell ref="K105:K106"/>
    <mergeCell ref="L105:L106"/>
    <mergeCell ref="E105:E106"/>
    <mergeCell ref="F105:F106"/>
    <mergeCell ref="G105:G106"/>
    <mergeCell ref="H105:H106"/>
    <mergeCell ref="Q82:T82"/>
    <mergeCell ref="Q78:T78"/>
    <mergeCell ref="Q40:S41"/>
    <mergeCell ref="Q45:S45"/>
    <mergeCell ref="Q47:S48"/>
    <mergeCell ref="Q54:S55"/>
    <mergeCell ref="Q79:T79"/>
    <mergeCell ref="Q75:T75"/>
    <mergeCell ref="Q73:S74"/>
    <mergeCell ref="Q80:T80"/>
    <mergeCell ref="N66:N67"/>
    <mergeCell ref="O66:O67"/>
    <mergeCell ref="P66:P67"/>
    <mergeCell ref="Q64:S64"/>
    <mergeCell ref="Q66:S67"/>
    <mergeCell ref="Q81:T81"/>
    <mergeCell ref="Q34:S35"/>
    <mergeCell ref="P20:P21"/>
    <mergeCell ref="P10:P11"/>
    <mergeCell ref="O73:O74"/>
    <mergeCell ref="P73:P74"/>
    <mergeCell ref="O61:O62"/>
    <mergeCell ref="P61:P62"/>
    <mergeCell ref="Q61:S62"/>
    <mergeCell ref="O12:O13"/>
    <mergeCell ref="P12:P13"/>
    <mergeCell ref="Q10:S11"/>
    <mergeCell ref="Q12:S13"/>
    <mergeCell ref="Q20:S21"/>
    <mergeCell ref="N54:N55"/>
    <mergeCell ref="O54:O55"/>
    <mergeCell ref="P54:P55"/>
    <mergeCell ref="N40:N41"/>
    <mergeCell ref="O40:O41"/>
    <mergeCell ref="B2:R2"/>
    <mergeCell ref="B3:R3"/>
    <mergeCell ref="H73:H74"/>
    <mergeCell ref="H61:H62"/>
    <mergeCell ref="M5:S5"/>
    <mergeCell ref="Q83:S84"/>
    <mergeCell ref="Q90:S91"/>
    <mergeCell ref="Q105:S106"/>
    <mergeCell ref="Q111:S111"/>
    <mergeCell ref="N20:N21"/>
    <mergeCell ref="O47:O48"/>
    <mergeCell ref="P47:P48"/>
    <mergeCell ref="O34:O35"/>
    <mergeCell ref="P34:P35"/>
    <mergeCell ref="Q76:T76"/>
    <mergeCell ref="Q77:T77"/>
    <mergeCell ref="N73:N74"/>
    <mergeCell ref="L73:L74"/>
    <mergeCell ref="M61:M62"/>
    <mergeCell ref="N61:N62"/>
    <mergeCell ref="L61:L62"/>
    <mergeCell ref="M47:M48"/>
    <mergeCell ref="N47:N48"/>
    <mergeCell ref="L47:L48"/>
  </mergeCells>
  <conditionalFormatting sqref="C14:P19 C22:P28 C30:P33 C36:P39 C42:P46 C49:P53 C56:P60 C63:P65 C68:P72">
    <cfRule type="cellIs" dxfId="18" priority="22" operator="equal">
      <formula>0</formula>
    </cfRule>
  </conditionalFormatting>
  <conditionalFormatting sqref="C14:P19">
    <cfRule type="cellIs" dxfId="17" priority="9" operator="equal">
      <formula>0</formula>
    </cfRule>
  </conditionalFormatting>
  <conditionalFormatting sqref="C22:P28">
    <cfRule type="cellIs" dxfId="15" priority="8" operator="equal">
      <formula>0</formula>
    </cfRule>
  </conditionalFormatting>
  <conditionalFormatting sqref="C30:P33">
    <cfRule type="cellIs" dxfId="13" priority="7" operator="equal">
      <formula>0</formula>
    </cfRule>
  </conditionalFormatting>
  <conditionalFormatting sqref="C36:P39">
    <cfRule type="cellIs" dxfId="11" priority="6" operator="equal">
      <formula>0</formula>
    </cfRule>
  </conditionalFormatting>
  <conditionalFormatting sqref="C42:P46">
    <cfRule type="cellIs" dxfId="9" priority="5" operator="equal">
      <formula>0</formula>
    </cfRule>
  </conditionalFormatting>
  <conditionalFormatting sqref="C49:P53">
    <cfRule type="cellIs" dxfId="7" priority="4" operator="equal">
      <formula>0</formula>
    </cfRule>
  </conditionalFormatting>
  <conditionalFormatting sqref="C56:P60">
    <cfRule type="cellIs" dxfId="5" priority="3" operator="equal">
      <formula>0</formula>
    </cfRule>
  </conditionalFormatting>
  <conditionalFormatting sqref="C63:P65">
    <cfRule type="cellIs" dxfId="3" priority="2" operator="equal">
      <formula>0</formula>
    </cfRule>
  </conditionalFormatting>
  <conditionalFormatting sqref="C68:P72">
    <cfRule type="cellIs" dxfId="1" priority="1" operator="equal">
      <formula>0</formula>
    </cfRule>
  </conditionalFormatting>
  <pageMargins left="0.7" right="0.7" top="0.75" bottom="0.75" header="0.3" footer="0.3"/>
  <pageSetup paperSize="9" orientation="portrait" horizontalDpi="200" verticalDpi="200" r:id="rId1"/>
  <ignoredErrors>
    <ignoredError sqref="B11 B22:B28 B14:B19 B30:B33 C90:C91 C83:C84 C73:C74 C66:C67 C61:C62 C54:C55 C47:C48 C40:C41 C34:C35 C21 C29:P29 D21:P21 D34:P35 D40:P41 D47:P48 D54:P55 D61:P62 D66:P67 D73:P74 D83:P84 C105:P106 D90:P91 C20:P20 B36:B39 B42:B46 B49:B53 B56:B60 B63:B65 B68:B72 B75:B82 B85:B89 B92:B104 B107:B110" unlockedFormula="1"/>
    <ignoredError sqref="B2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ListOfValues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2015-05-06T10:25:36Z</cp:lastPrinted>
  <dcterms:created xsi:type="dcterms:W3CDTF">2015-05-05T09:33:52Z</dcterms:created>
  <dcterms:modified xsi:type="dcterms:W3CDTF">2017-11-16T08:41:06Z</dcterms:modified>
</cp:coreProperties>
</file>