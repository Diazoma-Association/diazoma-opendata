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2567" yWindow="-100" windowWidth="14851" windowHeight="7726" firstSheet="1" activeTab="1"/>
  </bookViews>
  <sheets>
    <sheet name="ListOfValues" sheetId="2" state="hidden" r:id="rId1"/>
    <sheet name="ΠΙΝΑΚΑΣ 2(η)" sheetId="1" r:id="rId2"/>
  </sheets>
  <calcPr calcId="125725"/>
</workbook>
</file>

<file path=xl/calcChain.xml><?xml version="1.0" encoding="utf-8"?>
<calcChain xmlns="http://schemas.openxmlformats.org/spreadsheetml/2006/main">
  <c r="M11" i="1"/>
  <c r="N11"/>
  <c r="O11"/>
  <c r="P11"/>
  <c r="M83" l="1"/>
  <c r="M82"/>
  <c r="M81"/>
  <c r="M80"/>
  <c r="M79"/>
  <c r="M78"/>
  <c r="M77"/>
  <c r="M76"/>
  <c r="N111"/>
  <c r="N110"/>
  <c r="N109"/>
  <c r="N108"/>
  <c r="N105"/>
  <c r="N104"/>
  <c r="N103"/>
  <c r="N102"/>
  <c r="N101"/>
  <c r="N100"/>
  <c r="N99"/>
  <c r="N98"/>
  <c r="N97"/>
  <c r="N96"/>
  <c r="N95"/>
  <c r="N94"/>
  <c r="N93"/>
  <c r="N90"/>
  <c r="N89"/>
  <c r="N88"/>
  <c r="N87"/>
  <c r="N86"/>
  <c r="N83"/>
  <c r="N82"/>
  <c r="N81"/>
  <c r="N80"/>
  <c r="N79"/>
  <c r="N78"/>
  <c r="N77"/>
  <c r="N76"/>
  <c r="N73"/>
  <c r="N72"/>
  <c r="N71"/>
  <c r="N70"/>
  <c r="N69"/>
  <c r="N66"/>
  <c r="N65"/>
  <c r="N64"/>
  <c r="N61"/>
  <c r="N60"/>
  <c r="N59"/>
  <c r="N58"/>
  <c r="N57"/>
  <c r="N54"/>
  <c r="N53"/>
  <c r="N52"/>
  <c r="N51"/>
  <c r="N50"/>
  <c r="N47"/>
  <c r="N46"/>
  <c r="N45"/>
  <c r="N44"/>
  <c r="N43"/>
  <c r="N40"/>
  <c r="N39"/>
  <c r="N38"/>
  <c r="N37"/>
  <c r="N34"/>
  <c r="N33"/>
  <c r="N32"/>
  <c r="N31"/>
  <c r="N29"/>
  <c r="N28"/>
  <c r="N27"/>
  <c r="N26"/>
  <c r="N25"/>
  <c r="N24"/>
  <c r="N23"/>
  <c r="M111"/>
  <c r="M110"/>
  <c r="M109"/>
  <c r="M108"/>
  <c r="M105"/>
  <c r="M104"/>
  <c r="M103"/>
  <c r="M102"/>
  <c r="M101"/>
  <c r="M100"/>
  <c r="M99"/>
  <c r="M98"/>
  <c r="M97"/>
  <c r="M96"/>
  <c r="M95"/>
  <c r="M94"/>
  <c r="M93"/>
  <c r="M90"/>
  <c r="M89"/>
  <c r="M88"/>
  <c r="M87"/>
  <c r="M86"/>
  <c r="M73"/>
  <c r="M72"/>
  <c r="M71"/>
  <c r="M70"/>
  <c r="M69"/>
  <c r="M66"/>
  <c r="M65"/>
  <c r="M64"/>
  <c r="M61"/>
  <c r="M60"/>
  <c r="M59"/>
  <c r="M58"/>
  <c r="M57"/>
  <c r="M54"/>
  <c r="M53"/>
  <c r="M52"/>
  <c r="M51"/>
  <c r="M50"/>
  <c r="M47"/>
  <c r="M46"/>
  <c r="M45"/>
  <c r="M44"/>
  <c r="M43"/>
  <c r="M40"/>
  <c r="M39"/>
  <c r="M38"/>
  <c r="M37"/>
  <c r="M34"/>
  <c r="M33"/>
  <c r="M32"/>
  <c r="M31"/>
  <c r="M29"/>
  <c r="M28"/>
  <c r="M27"/>
  <c r="M26"/>
  <c r="M25"/>
  <c r="M24"/>
  <c r="M23"/>
  <c r="N16"/>
  <c r="N17"/>
  <c r="N18"/>
  <c r="N19"/>
  <c r="N20"/>
  <c r="M16"/>
  <c r="M17"/>
  <c r="M18"/>
  <c r="M19"/>
  <c r="M20"/>
  <c r="N15"/>
  <c r="M15"/>
  <c r="B15"/>
  <c r="B80"/>
  <c r="B81"/>
  <c r="B82"/>
  <c r="B83"/>
  <c r="B79"/>
  <c r="B78"/>
  <c r="B77"/>
  <c r="B76"/>
  <c r="B69"/>
  <c r="C13"/>
  <c r="B74" l="1"/>
  <c r="C106"/>
  <c r="E84"/>
  <c r="F84"/>
  <c r="G84"/>
  <c r="H84"/>
  <c r="I84"/>
  <c r="J84"/>
  <c r="D84"/>
  <c r="L74"/>
  <c r="F74"/>
  <c r="I74"/>
  <c r="H74"/>
  <c r="L35"/>
  <c r="P30"/>
  <c r="O30"/>
  <c r="J30"/>
  <c r="L30"/>
  <c r="E30"/>
  <c r="F30"/>
  <c r="G30"/>
  <c r="H30"/>
  <c r="I30"/>
  <c r="K30"/>
  <c r="C30"/>
  <c r="D30"/>
  <c r="P21"/>
  <c r="O21"/>
  <c r="L21"/>
  <c r="D21"/>
  <c r="E21"/>
  <c r="F21"/>
  <c r="G21"/>
  <c r="H21"/>
  <c r="I21"/>
  <c r="J21"/>
  <c r="K21"/>
  <c r="C21"/>
  <c r="B111"/>
  <c r="B110"/>
  <c r="B109"/>
  <c r="B108"/>
  <c r="B105"/>
  <c r="B104"/>
  <c r="B103"/>
  <c r="B102"/>
  <c r="B101"/>
  <c r="B100"/>
  <c r="B99"/>
  <c r="B98"/>
  <c r="B97"/>
  <c r="B96"/>
  <c r="B95"/>
  <c r="B94"/>
  <c r="B93"/>
  <c r="B90"/>
  <c r="B89"/>
  <c r="B88"/>
  <c r="B87"/>
  <c r="B86"/>
  <c r="B73"/>
  <c r="B72"/>
  <c r="B71"/>
  <c r="B70"/>
  <c r="B66"/>
  <c r="B65"/>
  <c r="B64"/>
  <c r="B61"/>
  <c r="B60"/>
  <c r="B59"/>
  <c r="B58"/>
  <c r="B57"/>
  <c r="B54"/>
  <c r="B53"/>
  <c r="B52"/>
  <c r="B51"/>
  <c r="B50"/>
  <c r="B47"/>
  <c r="B46"/>
  <c r="B45"/>
  <c r="B44"/>
  <c r="B43"/>
  <c r="B40"/>
  <c r="B39"/>
  <c r="B38"/>
  <c r="B37"/>
  <c r="B34"/>
  <c r="B33"/>
  <c r="B32"/>
  <c r="B31"/>
  <c r="B29"/>
  <c r="B28"/>
  <c r="B27"/>
  <c r="B26"/>
  <c r="B25"/>
  <c r="B24"/>
  <c r="B23"/>
  <c r="B20"/>
  <c r="B19"/>
  <c r="B18"/>
  <c r="B17"/>
  <c r="B16"/>
  <c r="P106"/>
  <c r="O106"/>
  <c r="L106"/>
  <c r="K106"/>
  <c r="J106"/>
  <c r="I106"/>
  <c r="H106"/>
  <c r="N106" s="1"/>
  <c r="G106"/>
  <c r="M106" s="1"/>
  <c r="F106"/>
  <c r="E106"/>
  <c r="D106"/>
  <c r="P91"/>
  <c r="O91"/>
  <c r="L91"/>
  <c r="K91"/>
  <c r="J91"/>
  <c r="I91"/>
  <c r="H91"/>
  <c r="N91" s="1"/>
  <c r="G91"/>
  <c r="M91" s="1"/>
  <c r="F91"/>
  <c r="E91"/>
  <c r="D91"/>
  <c r="C91"/>
  <c r="P84"/>
  <c r="O84"/>
  <c r="L84"/>
  <c r="K84"/>
  <c r="C84"/>
  <c r="P74"/>
  <c r="O74"/>
  <c r="K74"/>
  <c r="J74"/>
  <c r="G74"/>
  <c r="E74"/>
  <c r="D74"/>
  <c r="C74"/>
  <c r="P67"/>
  <c r="O67"/>
  <c r="L67"/>
  <c r="K67"/>
  <c r="J67"/>
  <c r="I67"/>
  <c r="H67"/>
  <c r="G67"/>
  <c r="F67"/>
  <c r="E67"/>
  <c r="D67"/>
  <c r="C67"/>
  <c r="P62"/>
  <c r="O62"/>
  <c r="L62"/>
  <c r="K62"/>
  <c r="J62"/>
  <c r="I62"/>
  <c r="H62"/>
  <c r="N62" s="1"/>
  <c r="G62"/>
  <c r="F62"/>
  <c r="E62"/>
  <c r="D62"/>
  <c r="C62"/>
  <c r="P55"/>
  <c r="O55"/>
  <c r="L55"/>
  <c r="K55"/>
  <c r="J55"/>
  <c r="I55"/>
  <c r="H55"/>
  <c r="N55" s="1"/>
  <c r="G55"/>
  <c r="F55"/>
  <c r="E55"/>
  <c r="D55"/>
  <c r="C55"/>
  <c r="P48"/>
  <c r="O48"/>
  <c r="L48"/>
  <c r="K48"/>
  <c r="J48"/>
  <c r="I48"/>
  <c r="H48"/>
  <c r="G48"/>
  <c r="F48"/>
  <c r="E48"/>
  <c r="D48"/>
  <c r="C48"/>
  <c r="P41"/>
  <c r="O41"/>
  <c r="L41"/>
  <c r="K41"/>
  <c r="J41"/>
  <c r="I41"/>
  <c r="H41"/>
  <c r="N41" s="1"/>
  <c r="G41"/>
  <c r="F41"/>
  <c r="E41"/>
  <c r="D41"/>
  <c r="C41"/>
  <c r="P35"/>
  <c r="O35"/>
  <c r="K35"/>
  <c r="J35"/>
  <c r="I35"/>
  <c r="H35"/>
  <c r="G35"/>
  <c r="M35" s="1"/>
  <c r="F35"/>
  <c r="E35"/>
  <c r="D35"/>
  <c r="C35"/>
  <c r="P13"/>
  <c r="O13"/>
  <c r="L13"/>
  <c r="K13"/>
  <c r="J13"/>
  <c r="I13"/>
  <c r="H13"/>
  <c r="N13" s="1"/>
  <c r="G13"/>
  <c r="F13"/>
  <c r="F11" s="1"/>
  <c r="E13"/>
  <c r="D13"/>
  <c r="D11" l="1"/>
  <c r="M48"/>
  <c r="N74"/>
  <c r="B13"/>
  <c r="B30"/>
  <c r="M62"/>
  <c r="B67"/>
  <c r="N84"/>
  <c r="M74"/>
  <c r="M67"/>
  <c r="M55"/>
  <c r="M41"/>
  <c r="N35"/>
  <c r="C11"/>
  <c r="B106"/>
  <c r="B91"/>
  <c r="B84"/>
  <c r="B62"/>
  <c r="B55"/>
  <c r="B48"/>
  <c r="B41"/>
  <c r="B35"/>
  <c r="B21"/>
  <c r="E11"/>
  <c r="N67"/>
  <c r="N48"/>
  <c r="M13"/>
  <c r="M21"/>
  <c r="N21"/>
  <c r="J11"/>
  <c r="I11"/>
  <c r="G11"/>
  <c r="L11"/>
  <c r="K11"/>
  <c r="H11"/>
  <c r="M30"/>
  <c r="M84"/>
  <c r="N30"/>
  <c r="B11" l="1"/>
</calcChain>
</file>

<file path=xl/sharedStrings.xml><?xml version="1.0" encoding="utf-8"?>
<sst xmlns="http://schemas.openxmlformats.org/spreadsheetml/2006/main" count="522" uniqueCount="298">
  <si>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</si>
  <si>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</si>
  <si>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</si>
  <si>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</si>
  <si>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</si>
  <si>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</si>
  <si>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</si>
  <si>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</si>
  <si>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</si>
  <si>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</si>
  <si>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</si>
  <si>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</si>
  <si>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</si>
  <si>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</si>
  <si>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</si>
  <si>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</si>
  <si>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</si>
  <si>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</si>
  <si>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</si>
  <si>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</si>
  <si>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</si>
  <si>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</si>
  <si>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</si>
  <si>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</si>
  <si>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</si>
  <si>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</si>
  <si>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</si>
  <si>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</si>
  <si>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</si>
  <si>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</si>
  <si>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</si>
  <si>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</si>
  <si>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</si>
  <si>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</si>
  <si>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</si>
  <si>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</si>
  <si>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</si>
  <si>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</si>
  <si>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</si>
  <si>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</si>
  <si>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</si>
  <si>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</si>
  <si>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</si>
  <si>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</si>
  <si>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</si>
  <si>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</si>
  <si>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</si>
  <si>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</si>
  <si>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</si>
  <si>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</si>
  <si>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</si>
  <si>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</si>
  <si>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</si>
  <si>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</si>
  <si>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</si>
  <si>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</si>
  <si>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</si>
  <si>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</si>
  <si>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</si>
  <si>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</si>
  <si>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</si>
  <si>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</si>
  <si>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</si>
  <si>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</si>
  <si>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</si>
  <si>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</si>
  <si>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</si>
  <si>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</si>
  <si>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</si>
  <si>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</si>
  <si>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</si>
  <si>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</si>
  <si>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</si>
  <si>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</si>
  <si>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</si>
  <si>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</si>
  <si>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</si>
  <si>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</si>
  <si>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</si>
  <si>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</si>
  <si>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</si>
  <si>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</si>
  <si>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</si>
  <si>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</si>
  <si>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</si>
  <si>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</si>
  <si>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</si>
  <si>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</si>
  <si>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</si>
  <si>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</si>
  <si>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</si>
  <si>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</si>
  <si>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</si>
  <si>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</si>
  <si>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</si>
  <si>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</si>
  <si>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</si>
  <si>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</si>
  <si>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</si>
  <si>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</si>
  <si>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</si>
  <si>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</si>
  <si>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</si>
  <si>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</si>
  <si>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</si>
  <si>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</si>
  <si>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</si>
  <si>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</si>
  <si>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</si>
  <si>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</si>
  <si>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</si>
  <si>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</si>
  <si>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</si>
  <si>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</si>
  <si>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</si>
  <si>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</si>
  <si>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</si>
  <si>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</si>
  <si>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</si>
  <si>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</si>
  <si>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</si>
  <si>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</si>
  <si>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</si>
  <si>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</si>
  <si>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</si>
  <si>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</si>
  <si>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</si>
  <si>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</si>
  <si>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</si>
  <si>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</si>
  <si>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</si>
  <si>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</si>
  <si>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</si>
  <si>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</si>
  <si>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</si>
  <si>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</si>
  <si>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</si>
  <si>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</si>
  <si>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</si>
  <si>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</si>
  <si>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</si>
  <si>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</si>
  <si>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</si>
  <si>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</si>
  <si>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</si>
  <si>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</si>
  <si>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</si>
  <si>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</si>
  <si>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</si>
  <si>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</si>
  <si>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</si>
  <si>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</si>
  <si>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</si>
  <si>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</si>
  <si>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</si>
  <si>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</si>
  <si>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</si>
  <si>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</si>
  <si>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</si>
  <si>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</si>
  <si>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</si>
  <si>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</si>
  <si>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</si>
  <si>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</si>
  <si>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</si>
  <si>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</si>
  <si>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</si>
  <si>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</si>
  <si>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</si>
  <si>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</si>
  <si>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</si>
  <si>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</si>
  <si>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</si>
  <si>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</si>
  <si>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</si>
  <si>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</si>
  <si>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</si>
  <si>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</si>
  <si>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</si>
  <si>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</si>
  <si>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</si>
  <si>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</si>
  <si>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</si>
  <si>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</si>
  <si>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</si>
  <si>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</si>
  <si>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</si>
  <si>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</si>
  <si>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</si>
  <si>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</si>
  <si>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</si>
  <si>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</si>
  <si>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</si>
  <si>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</si>
  <si>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</si>
  <si>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</si>
  <si>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</si>
  <si>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</si>
  <si>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</si>
  <si>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</si>
  <si>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</si>
  <si>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</si>
  <si>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</si>
  <si>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</si>
  <si>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</si>
  <si>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</si>
  <si>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</si>
  <si>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</si>
  <si>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</si>
  <si>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</si>
  <si>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</si>
  <si>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</si>
  <si>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</si>
  <si>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</si>
  <si>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</si>
  <si>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</si>
  <si>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</si>
  <si>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</si>
  <si>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</si>
  <si>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</si>
  <si>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</si>
  <si>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</si>
  <si>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</si>
  <si>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</si>
  <si>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</si>
  <si>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</si>
  <si>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</si>
  <si>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</si>
  <si>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</si>
  <si>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</si>
  <si>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</si>
  <si>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</si>
  <si>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</si>
  <si>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</si>
  <si>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</si>
  <si>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</si>
  <si>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</si>
  <si>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</si>
  <si>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</si>
  <si>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</si>
  <si>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</si>
  <si>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</si>
  <si>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</si>
  <si>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</si>
  <si>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</si>
  <si>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</si>
  <si>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</si>
  <si>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</si>
  <si>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</si>
  <si>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</si>
  <si>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</si>
  <si>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</si>
  <si>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</si>
  <si>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</si>
  <si>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</si>
  <si>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</si>
  <si>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</si>
  <si>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</si>
  <si>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</si>
  <si>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</si>
  <si>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</si>
  <si>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</si>
  <si>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</si>
  <si>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</si>
  <si>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</si>
  <si>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</si>
  <si>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</si>
  <si>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</si>
  <si>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</si>
  <si>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</si>
  <si>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</si>
  <si>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</si>
  <si>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</si>
  <si>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</si>
  <si>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</si>
  <si>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</si>
  <si>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</si>
  <si>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</si>
  <si>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</si>
  <si>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</si>
  <si>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</si>
  <si>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</si>
  <si>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</si>
  <si>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Potatoes harvested</t>
  </si>
  <si>
    <t>Πεπόνια               Melons</t>
  </si>
  <si>
    <t>Καρπούζια     Watermelons</t>
  </si>
  <si>
    <t>την άνοιξη                               in spring</t>
  </si>
  <si>
    <t>—</t>
  </si>
  <si>
    <t>Πατάτες συγκομιζόμενες</t>
  </si>
  <si>
    <t>Περιφέρεια Δυτικής Μακεδονίας</t>
  </si>
  <si>
    <t>Region of Western Macedonia</t>
  </si>
  <si>
    <t>το καλοκαίρι
in summer</t>
  </si>
  <si>
    <t>Σύνολο
Total</t>
  </si>
  <si>
    <t xml:space="preserve"> Σύνολο 
Εκτάσεων
Total
Area</t>
  </si>
  <si>
    <t>Πίνακας 2η. Πεπονοειδή και πατάτες. Εκτάσεις και παραγωγή, κατά Περιφέρεια και Περιφερειακή Ενότητα, 2015</t>
  </si>
  <si>
    <t>Table 2h. Melons, watermelons and potatoes. Areas and production, by Region and Regional Unities, 2015</t>
  </si>
  <si>
    <t>Γλυκοπατάτες
Sweet potatoes</t>
  </si>
  <si>
    <t>το φθινόπωρο ή χειμώνα 
in autumn or winter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</si>
</sst>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11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Arial"/>
      <family val="2"/>
      <charset val="161"/>
    </font>
    <font>
      <sz val="8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1">
    <xf numFmtId="0" fontId="0" fillId="0" borderId="0" xfId="0"/>
    <xf numFmtId="0" fontId="12" fillId="0" borderId="0" xfId="0" applyFont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49" fontId="12" fillId="0" borderId="0" xfId="0" applyNumberFormat="1" applyFont="1" applyAlignment="1" applyProtection="1">
      <alignment horizontal="left" wrapText="1" indent="1"/>
      <protection locked="0"/>
    </xf>
    <xf numFmtId="0" fontId="12" fillId="0" borderId="0" xfId="0" applyFont="1" applyBorder="1" applyAlignment="1" applyProtection="1">
      <protection locked="0"/>
    </xf>
    <xf numFmtId="49" fontId="12" fillId="0" borderId="1" xfId="0" applyNumberFormat="1" applyFont="1" applyBorder="1" applyAlignment="1" applyProtection="1">
      <alignment horizontal="left" wrapText="1" indent="1"/>
      <protection locked="0"/>
    </xf>
    <xf numFmtId="0" fontId="12" fillId="0" borderId="1" xfId="0" applyFont="1" applyBorder="1" applyAlignment="1" applyProtection="1">
      <protection locked="0"/>
    </xf>
    <xf numFmtId="49" fontId="12" fillId="0" borderId="0" xfId="0" applyNumberFormat="1" applyFont="1" applyAlignment="1" applyProtection="1">
      <alignment wrapText="1"/>
      <protection locked="0"/>
    </xf>
    <xf numFmtId="49" fontId="12" fillId="0" borderId="0" xfId="0" applyNumberFormat="1" applyFont="1" applyProtection="1">
      <protection locked="0"/>
    </xf>
    <xf numFmtId="49" fontId="4" fillId="2" borderId="5" xfId="0" applyNumberFormat="1" applyFont="1" applyFill="1" applyBorder="1"/>
    <xf numFmtId="49" fontId="4" fillId="2" borderId="4" xfId="0" applyNumberFormat="1" applyFont="1" applyFill="1" applyBorder="1" applyAlignment="1">
      <alignment horizontal="left"/>
    </xf>
    <xf numFmtId="0" fontId="5" fillId="2" borderId="4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horizontal="centerContinuous" vertical="center" wrapText="1"/>
    </xf>
    <xf numFmtId="49" fontId="6" fillId="2" borderId="4" xfId="0" applyNumberFormat="1" applyFont="1" applyFill="1" applyBorder="1" applyAlignment="1">
      <alignment vertical="center" textRotation="90"/>
    </xf>
    <xf numFmtId="0" fontId="5" fillId="2" borderId="6" xfId="0" applyNumberFormat="1" applyFont="1" applyFill="1" applyBorder="1" applyAlignment="1" applyProtection="1"/>
    <xf numFmtId="49" fontId="4" fillId="2" borderId="7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vertical="center" textRotation="90"/>
    </xf>
    <xf numFmtId="0" fontId="5" fillId="2" borderId="8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  <xf numFmtId="49" fontId="4" fillId="8" borderId="7" xfId="0" applyNumberFormat="1" applyFont="1" applyFill="1" applyBorder="1"/>
    <xf numFmtId="49" fontId="4" fillId="8" borderId="0" xfId="0" applyNumberFormat="1" applyFont="1" applyFill="1" applyBorder="1" applyAlignment="1">
      <alignment horizontal="left"/>
    </xf>
    <xf numFmtId="0" fontId="5" fillId="8" borderId="0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6" fillId="8" borderId="0" xfId="0" applyNumberFormat="1" applyFont="1" applyFill="1" applyBorder="1" applyAlignment="1">
      <alignment vertical="center" textRotation="90"/>
    </xf>
    <xf numFmtId="0" fontId="5" fillId="8" borderId="8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6" fillId="8" borderId="0" xfId="0" applyNumberFormat="1" applyFont="1" applyFill="1" applyBorder="1" applyAlignment="1">
      <alignment horizontal="left"/>
    </xf>
    <xf numFmtId="49" fontId="7" fillId="8" borderId="0" xfId="0" applyNumberFormat="1" applyFont="1" applyFill="1" applyBorder="1"/>
    <xf numFmtId="49" fontId="4" fillId="4" borderId="7" xfId="0" applyNumberFormat="1" applyFont="1" applyFill="1" applyBorder="1"/>
    <xf numFmtId="49" fontId="4" fillId="4" borderId="0" xfId="0" applyNumberFormat="1" applyFont="1" applyFill="1" applyBorder="1"/>
    <xf numFmtId="0" fontId="5" fillId="4" borderId="0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6" fillId="9" borderId="0" xfId="0" applyNumberFormat="1" applyFont="1" applyFill="1" applyBorder="1" applyAlignment="1">
      <alignment vertical="center" textRotation="90"/>
    </xf>
    <xf numFmtId="0" fontId="5" fillId="4" borderId="8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4" fillId="4" borderId="9" xfId="0" applyNumberFormat="1" applyFont="1" applyFill="1" applyBorder="1"/>
    <xf numFmtId="49" fontId="4" fillId="4" borderId="1" xfId="0" applyNumberFormat="1" applyFont="1" applyFill="1" applyBorder="1"/>
    <xf numFmtId="0" fontId="5" fillId="4" borderId="1" xfId="0" applyNumberFormat="1" applyFont="1" applyFill="1" applyBorder="1" applyAlignment="1" applyProtection="1"/>
    <xf numFmtId="49" fontId="6" fillId="9" borderId="1" xfId="0" applyNumberFormat="1" applyFont="1" applyFill="1" applyBorder="1" applyAlignment="1">
      <alignment vertical="center" textRotation="90"/>
    </xf>
    <xf numFmtId="0" fontId="5" fillId="4" borderId="10" xfId="0" applyNumberFormat="1" applyFont="1" applyFill="1" applyBorder="1" applyAlignment="1" applyProtection="1"/>
    <xf numFmtId="49" fontId="4" fillId="10" borderId="5" xfId="0" applyNumberFormat="1" applyFont="1" applyFill="1" applyBorder="1"/>
    <xf numFmtId="49" fontId="4" fillId="10" borderId="4" xfId="0" applyNumberFormat="1" applyFont="1" applyFill="1" applyBorder="1"/>
    <xf numFmtId="0" fontId="5" fillId="10" borderId="4" xfId="0" applyNumberFormat="1" applyFont="1" applyFill="1" applyBorder="1" applyAlignment="1" applyProtection="1"/>
    <xf numFmtId="49" fontId="6" fillId="10" borderId="4" xfId="0" applyNumberFormat="1" applyFont="1" applyFill="1" applyBorder="1"/>
    <xf numFmtId="49" fontId="6" fillId="10" borderId="4" xfId="0" applyNumberFormat="1" applyFont="1" applyFill="1" applyBorder="1" applyAlignment="1">
      <alignment vertical="center" textRotation="90"/>
    </xf>
    <xf numFmtId="0" fontId="5" fillId="10" borderId="6" xfId="0" applyNumberFormat="1" applyFont="1" applyFill="1" applyBorder="1" applyAlignment="1" applyProtection="1"/>
    <xf numFmtId="49" fontId="4" fillId="10" borderId="7" xfId="0" applyNumberFormat="1" applyFont="1" applyFill="1" applyBorder="1"/>
    <xf numFmtId="49" fontId="4" fillId="10" borderId="0" xfId="0" applyNumberFormat="1" applyFont="1" applyFill="1" applyBorder="1"/>
    <xf numFmtId="0" fontId="5" fillId="10" borderId="0" xfId="0" applyNumberFormat="1" applyFont="1" applyFill="1" applyBorder="1" applyAlignment="1" applyProtection="1"/>
    <xf numFmtId="49" fontId="6" fillId="10" borderId="0" xfId="0" applyNumberFormat="1" applyFont="1" applyFill="1" applyBorder="1" applyAlignment="1">
      <alignment vertical="center" textRotation="90"/>
    </xf>
    <xf numFmtId="0" fontId="5" fillId="10" borderId="8" xfId="0" applyNumberFormat="1" applyFont="1" applyFill="1" applyBorder="1" applyAlignment="1" applyProtection="1"/>
    <xf numFmtId="49" fontId="7" fillId="10" borderId="0" xfId="0" applyNumberFormat="1" applyFont="1" applyFill="1" applyBorder="1"/>
    <xf numFmtId="49" fontId="4" fillId="5" borderId="7" xfId="0" applyNumberFormat="1" applyFont="1" applyFill="1" applyBorder="1"/>
    <xf numFmtId="49" fontId="4" fillId="5" borderId="0" xfId="0" applyNumberFormat="1" applyFont="1" applyFill="1" applyBorder="1"/>
    <xf numFmtId="0" fontId="5" fillId="5" borderId="0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6" fillId="5" borderId="0" xfId="0" applyNumberFormat="1" applyFont="1" applyFill="1" applyBorder="1" applyAlignment="1">
      <alignment vertical="center" textRotation="90"/>
    </xf>
    <xf numFmtId="0" fontId="5" fillId="5" borderId="8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4" fillId="5" borderId="9" xfId="0" applyNumberFormat="1" applyFont="1" applyFill="1" applyBorder="1"/>
    <xf numFmtId="49" fontId="4" fillId="5" borderId="1" xfId="0" applyNumberFormat="1" applyFont="1" applyFill="1" applyBorder="1"/>
    <xf numFmtId="0" fontId="5" fillId="5" borderId="1" xfId="0" applyNumberFormat="1" applyFont="1" applyFill="1" applyBorder="1" applyAlignment="1" applyProtection="1"/>
    <xf numFmtId="49" fontId="6" fillId="5" borderId="1" xfId="0" applyNumberFormat="1" applyFont="1" applyFill="1" applyBorder="1" applyAlignment="1">
      <alignment vertical="center" textRotation="90"/>
    </xf>
    <xf numFmtId="0" fontId="5" fillId="5" borderId="10" xfId="0" applyNumberFormat="1" applyFont="1" applyFill="1" applyBorder="1" applyAlignment="1" applyProtection="1"/>
    <xf numFmtId="49" fontId="4" fillId="6" borderId="5" xfId="0" applyNumberFormat="1" applyFont="1" applyFill="1" applyBorder="1"/>
    <xf numFmtId="49" fontId="4" fillId="6" borderId="4" xfId="0" applyNumberFormat="1" applyFont="1" applyFill="1" applyBorder="1"/>
    <xf numFmtId="0" fontId="5" fillId="6" borderId="4" xfId="0" applyNumberFormat="1" applyFont="1" applyFill="1" applyBorder="1" applyAlignment="1" applyProtection="1"/>
    <xf numFmtId="49" fontId="6" fillId="6" borderId="4" xfId="0" applyNumberFormat="1" applyFont="1" applyFill="1" applyBorder="1"/>
    <xf numFmtId="0" fontId="8" fillId="6" borderId="4" xfId="0" applyNumberFormat="1" applyFont="1" applyFill="1" applyBorder="1" applyAlignment="1" applyProtection="1"/>
    <xf numFmtId="49" fontId="6" fillId="6" borderId="4" xfId="0" applyNumberFormat="1" applyFont="1" applyFill="1" applyBorder="1" applyAlignment="1">
      <alignment vertical="center" textRotation="90"/>
    </xf>
    <xf numFmtId="0" fontId="8" fillId="6" borderId="6" xfId="0" applyNumberFormat="1" applyFont="1" applyFill="1" applyBorder="1" applyAlignment="1" applyProtection="1"/>
    <xf numFmtId="49" fontId="4" fillId="6" borderId="7" xfId="0" applyNumberFormat="1" applyFont="1" applyFill="1" applyBorder="1"/>
    <xf numFmtId="49" fontId="4" fillId="6" borderId="0" xfId="0" applyNumberFormat="1" applyFont="1" applyFill="1" applyBorder="1"/>
    <xf numFmtId="0" fontId="5" fillId="6" borderId="0" xfId="0" applyNumberFormat="1" applyFont="1" applyFill="1" applyBorder="1" applyAlignment="1" applyProtection="1"/>
    <xf numFmtId="49" fontId="6" fillId="6" borderId="0" xfId="0" applyNumberFormat="1" applyFont="1" applyFill="1" applyBorder="1" applyAlignment="1">
      <alignment vertical="center" textRotation="90"/>
    </xf>
    <xf numFmtId="0" fontId="5" fillId="6" borderId="8" xfId="0" applyNumberFormat="1" applyFont="1" applyFill="1" applyBorder="1" applyAlignment="1" applyProtection="1"/>
    <xf numFmtId="49" fontId="7" fillId="6" borderId="0" xfId="0" applyNumberFormat="1" applyFont="1" applyFill="1" applyBorder="1"/>
    <xf numFmtId="49" fontId="4" fillId="11" borderId="7" xfId="0" applyNumberFormat="1" applyFont="1" applyFill="1" applyBorder="1"/>
    <xf numFmtId="49" fontId="4" fillId="11" borderId="0" xfId="0" applyNumberFormat="1" applyFont="1" applyFill="1" applyBorder="1"/>
    <xf numFmtId="0" fontId="5" fillId="11" borderId="0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6" fillId="11" borderId="0" xfId="0" applyNumberFormat="1" applyFont="1" applyFill="1" applyBorder="1" applyAlignment="1">
      <alignment vertical="center" textRotation="90"/>
    </xf>
    <xf numFmtId="0" fontId="5" fillId="11" borderId="8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4" fillId="12" borderId="7" xfId="0" applyNumberFormat="1" applyFont="1" applyFill="1" applyBorder="1"/>
    <xf numFmtId="49" fontId="4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6" fillId="12" borderId="0" xfId="0" applyNumberFormat="1" applyFont="1" applyFill="1" applyBorder="1"/>
    <xf numFmtId="0" fontId="8" fillId="12" borderId="0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vertical="center" textRotation="90"/>
    </xf>
    <xf numFmtId="0" fontId="5" fillId="12" borderId="8" xfId="0" applyNumberFormat="1" applyFont="1" applyFill="1" applyBorder="1" applyAlignment="1" applyProtection="1"/>
    <xf numFmtId="49" fontId="4" fillId="12" borderId="9" xfId="0" applyNumberFormat="1" applyFont="1" applyFill="1" applyBorder="1"/>
    <xf numFmtId="49" fontId="4" fillId="12" borderId="1" xfId="0" applyNumberFormat="1" applyFont="1" applyFill="1" applyBorder="1"/>
    <xf numFmtId="0" fontId="5" fillId="12" borderId="1" xfId="0" applyNumberFormat="1" applyFont="1" applyFill="1" applyBorder="1" applyAlignment="1" applyProtection="1"/>
    <xf numFmtId="49" fontId="6" fillId="12" borderId="1" xfId="0" applyNumberFormat="1" applyFont="1" applyFill="1" applyBorder="1" applyAlignment="1">
      <alignment vertical="center" textRotation="90"/>
    </xf>
    <xf numFmtId="0" fontId="5" fillId="12" borderId="10" xfId="0" applyNumberFormat="1" applyFont="1" applyFill="1" applyBorder="1" applyAlignment="1" applyProtection="1"/>
    <xf numFmtId="0" fontId="9" fillId="6" borderId="4" xfId="0" applyNumberFormat="1" applyFont="1" applyFill="1" applyBorder="1" applyAlignment="1" applyProtection="1"/>
    <xf numFmtId="0" fontId="5" fillId="6" borderId="6" xfId="0" applyNumberFormat="1" applyFont="1" applyFill="1" applyBorder="1" applyAlignment="1" applyProtection="1"/>
    <xf numFmtId="0" fontId="8" fillId="6" borderId="0" xfId="0" applyNumberFormat="1" applyFont="1" applyFill="1" applyBorder="1" applyAlignment="1" applyProtection="1"/>
    <xf numFmtId="49" fontId="4" fillId="6" borderId="9" xfId="0" applyNumberFormat="1" applyFont="1" applyFill="1" applyBorder="1"/>
    <xf numFmtId="49" fontId="4" fillId="6" borderId="1" xfId="0" applyNumberFormat="1" applyFont="1" applyFill="1" applyBorder="1"/>
    <xf numFmtId="0" fontId="5" fillId="6" borderId="1" xfId="0" applyNumberFormat="1" applyFont="1" applyFill="1" applyBorder="1" applyAlignment="1" applyProtection="1"/>
    <xf numFmtId="0" fontId="5" fillId="6" borderId="10" xfId="0" applyNumberFormat="1" applyFont="1" applyFill="1" applyBorder="1" applyAlignment="1" applyProtection="1"/>
    <xf numFmtId="49" fontId="4" fillId="2" borderId="4" xfId="0" applyNumberFormat="1" applyFont="1" applyFill="1" applyBorder="1"/>
    <xf numFmtId="49" fontId="6" fillId="2" borderId="4" xfId="0" applyNumberFormat="1" applyFont="1" applyFill="1" applyBorder="1"/>
    <xf numFmtId="49" fontId="4" fillId="2" borderId="0" xfId="0" applyNumberFormat="1" applyFont="1" applyFill="1" applyBorder="1"/>
    <xf numFmtId="49" fontId="7" fillId="2" borderId="0" xfId="0" applyNumberFormat="1" applyFont="1" applyFill="1" applyBorder="1"/>
    <xf numFmtId="49" fontId="4" fillId="8" borderId="5" xfId="0" applyNumberFormat="1" applyFont="1" applyFill="1" applyBorder="1"/>
    <xf numFmtId="49" fontId="10" fillId="8" borderId="0" xfId="0" applyNumberFormat="1" applyFont="1" applyFill="1" applyBorder="1"/>
    <xf numFmtId="0" fontId="5" fillId="8" borderId="4" xfId="0" applyNumberFormat="1" applyFont="1" applyFill="1" applyBorder="1" applyAlignment="1" applyProtection="1"/>
    <xf numFmtId="49" fontId="6" fillId="8" borderId="4" xfId="0" applyNumberFormat="1" applyFont="1" applyFill="1" applyBorder="1"/>
    <xf numFmtId="49" fontId="4" fillId="8" borderId="4" xfId="0" applyNumberFormat="1" applyFont="1" applyFill="1" applyBorder="1"/>
    <xf numFmtId="0" fontId="5" fillId="8" borderId="6" xfId="0" applyNumberFormat="1" applyFont="1" applyFill="1" applyBorder="1" applyAlignment="1" applyProtection="1"/>
    <xf numFmtId="49" fontId="7" fillId="13" borderId="0" xfId="0" applyNumberFormat="1" applyFont="1" applyFill="1" applyBorder="1" applyAlignment="1">
      <alignment horizontal="left"/>
    </xf>
    <xf numFmtId="0" fontId="5" fillId="13" borderId="0" xfId="0" applyNumberFormat="1" applyFont="1" applyFill="1" applyBorder="1" applyAlignment="1" applyProtection="1">
      <alignment horizontal="left"/>
    </xf>
    <xf numFmtId="49" fontId="11" fillId="13" borderId="0" xfId="0" applyNumberFormat="1" applyFont="1" applyFill="1" applyBorder="1" applyAlignment="1">
      <alignment horizontal="left"/>
    </xf>
    <xf numFmtId="49" fontId="4" fillId="8" borderId="9" xfId="0" applyNumberFormat="1" applyFont="1" applyFill="1" applyBorder="1"/>
    <xf numFmtId="0" fontId="5" fillId="8" borderId="1" xfId="0" applyNumberFormat="1" applyFont="1" applyFill="1" applyBorder="1" applyAlignment="1" applyProtection="1"/>
    <xf numFmtId="49" fontId="4" fillId="8" borderId="1" xfId="0" applyNumberFormat="1" applyFont="1" applyFill="1" applyBorder="1"/>
    <xf numFmtId="0" fontId="5" fillId="8" borderId="10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0" fillId="14" borderId="12" xfId="0" applyNumberFormat="1" applyFont="1" applyFill="1" applyBorder="1"/>
    <xf numFmtId="0" fontId="5" fillId="2" borderId="13" xfId="0" applyNumberFormat="1" applyFont="1" applyFill="1" applyBorder="1" applyAlignment="1" applyProtection="1"/>
    <xf numFmtId="49" fontId="7" fillId="2" borderId="13" xfId="0" applyNumberFormat="1" applyFont="1" applyFill="1" applyBorder="1"/>
    <xf numFmtId="49" fontId="4" fillId="2" borderId="13" xfId="0" applyNumberFormat="1" applyFont="1" applyFill="1" applyBorder="1"/>
    <xf numFmtId="0" fontId="5" fillId="2" borderId="14" xfId="0" applyNumberFormat="1" applyFont="1" applyFill="1" applyBorder="1" applyAlignment="1" applyProtection="1"/>
    <xf numFmtId="49" fontId="13" fillId="0" borderId="0" xfId="0" applyNumberFormat="1" applyFont="1" applyBorder="1" applyAlignment="1" applyProtection="1">
      <alignment horizontal="left" vertical="center" wrapText="1" indent="2"/>
      <protection locked="0"/>
    </xf>
    <xf numFmtId="0" fontId="12" fillId="0" borderId="0" xfId="0" applyFont="1" applyBorder="1" applyProtection="1">
      <protection locked="0"/>
    </xf>
    <xf numFmtId="0" fontId="14" fillId="0" borderId="0" xfId="0" applyFont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16" xfId="0" applyFont="1" applyBorder="1" applyAlignment="1" applyProtection="1">
      <alignment horizontal="center"/>
      <protection locked="0"/>
    </xf>
    <xf numFmtId="3" fontId="2" fillId="0" borderId="18" xfId="0" applyNumberFormat="1" applyFont="1" applyFill="1" applyBorder="1" applyAlignment="1" applyProtection="1">
      <alignment horizontal="right"/>
    </xf>
    <xf numFmtId="0" fontId="12" fillId="0" borderId="0" xfId="0" applyFont="1" applyBorder="1" applyAlignment="1" applyProtection="1">
      <alignment horizontal="left" indent="1"/>
      <protection locked="0"/>
    </xf>
    <xf numFmtId="0" fontId="12" fillId="0" borderId="1" xfId="0" applyFont="1" applyBorder="1" applyAlignment="1" applyProtection="1">
      <alignment horizontal="left" inden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3" fontId="1" fillId="15" borderId="18" xfId="0" applyNumberFormat="1" applyFont="1" applyFill="1" applyBorder="1" applyAlignment="1">
      <alignment horizontal="right" vertical="center" wrapText="1"/>
    </xf>
    <xf numFmtId="3" fontId="1" fillId="0" borderId="18" xfId="0" applyNumberFormat="1" applyFont="1" applyFill="1" applyBorder="1" applyAlignment="1" applyProtection="1">
      <alignment horizontal="right" vertical="center"/>
    </xf>
    <xf numFmtId="49" fontId="15" fillId="0" borderId="0" xfId="0" applyNumberFormat="1" applyFont="1" applyAlignment="1" applyProtection="1">
      <alignment vertical="center" wrapText="1"/>
      <protection locked="0"/>
    </xf>
    <xf numFmtId="0" fontId="3" fillId="0" borderId="30" xfId="0" applyFont="1" applyBorder="1" applyAlignment="1" applyProtection="1">
      <alignment horizontal="center"/>
      <protection locked="0"/>
    </xf>
    <xf numFmtId="3" fontId="12" fillId="0" borderId="0" xfId="0" applyNumberFormat="1" applyFont="1" applyBorder="1" applyAlignment="1" applyProtection="1"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16" fillId="0" borderId="0" xfId="0" applyFont="1" applyProtection="1">
      <protection locked="0"/>
    </xf>
    <xf numFmtId="0" fontId="8" fillId="0" borderId="0" xfId="0" applyNumberFormat="1" applyFont="1" applyFill="1" applyBorder="1" applyAlignment="1" applyProtection="1">
      <alignment vertical="center" wrapText="1"/>
      <protection locked="0"/>
    </xf>
    <xf numFmtId="3" fontId="8" fillId="0" borderId="0" xfId="0" applyNumberFormat="1" applyFont="1" applyFill="1" applyBorder="1" applyAlignment="1" applyProtection="1">
      <alignment vertical="center" wrapText="1"/>
      <protection locked="0"/>
    </xf>
    <xf numFmtId="0" fontId="8" fillId="0" borderId="0" xfId="0" applyNumberFormat="1" applyFont="1" applyFill="1" applyBorder="1" applyAlignment="1" applyProtection="1">
      <alignment vertical="center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3" fontId="2" fillId="0" borderId="18" xfId="0" applyNumberFormat="1" applyFont="1" applyFill="1" applyBorder="1" applyAlignment="1">
      <alignment horizontal="right" vertical="top"/>
    </xf>
    <xf numFmtId="0" fontId="2" fillId="0" borderId="18" xfId="0" applyFont="1" applyFill="1" applyBorder="1" applyAlignment="1">
      <alignment horizontal="right" vertical="top"/>
    </xf>
    <xf numFmtId="3" fontId="17" fillId="0" borderId="18" xfId="0" applyNumberFormat="1" applyFont="1" applyBorder="1" applyAlignment="1">
      <alignment horizontal="right" vertical="top" wrapText="1"/>
    </xf>
    <xf numFmtId="3" fontId="2" fillId="0" borderId="2" xfId="0" applyNumberFormat="1" applyFont="1" applyFill="1" applyBorder="1" applyAlignment="1">
      <alignment horizontal="right" vertical="top"/>
    </xf>
    <xf numFmtId="3" fontId="1" fillId="0" borderId="0" xfId="0" applyNumberFormat="1" applyFont="1" applyFill="1" applyBorder="1" applyAlignment="1" applyProtection="1">
      <alignment vertical="center" wrapText="1"/>
      <protection locked="0"/>
    </xf>
    <xf numFmtId="3" fontId="2" fillId="0" borderId="2" xfId="0" applyNumberFormat="1" applyFont="1" applyFill="1" applyBorder="1" applyAlignment="1" applyProtection="1">
      <alignment horizontal="right"/>
    </xf>
    <xf numFmtId="3" fontId="17" fillId="0" borderId="2" xfId="0" applyNumberFormat="1" applyFont="1" applyBorder="1" applyAlignment="1">
      <alignment horizontal="right" vertical="top" wrapText="1"/>
    </xf>
    <xf numFmtId="49" fontId="6" fillId="16" borderId="4" xfId="0" applyNumberFormat="1" applyFont="1" applyFill="1" applyBorder="1" applyAlignment="1">
      <alignment horizontal="center" vertical="center" textRotation="90"/>
    </xf>
    <xf numFmtId="49" fontId="6" fillId="16" borderId="0" xfId="0" applyNumberFormat="1" applyFont="1" applyFill="1" applyBorder="1" applyAlignment="1">
      <alignment horizontal="center" vertical="center" textRotation="90"/>
    </xf>
    <xf numFmtId="49" fontId="6" fillId="16" borderId="1" xfId="0" applyNumberFormat="1" applyFont="1" applyFill="1" applyBorder="1" applyAlignment="1">
      <alignment horizontal="center" vertical="center" textRotation="90"/>
    </xf>
    <xf numFmtId="49" fontId="6" fillId="3" borderId="4" xfId="0" applyNumberFormat="1" applyFont="1" applyFill="1" applyBorder="1" applyAlignment="1">
      <alignment horizontal="center" vertical="center" textRotation="90" wrapText="1"/>
    </xf>
    <xf numFmtId="49" fontId="6" fillId="3" borderId="0" xfId="0" applyNumberFormat="1" applyFont="1" applyFill="1" applyBorder="1" applyAlignment="1">
      <alignment horizontal="center" vertical="center" textRotation="90" wrapText="1"/>
    </xf>
    <xf numFmtId="49" fontId="6" fillId="3" borderId="1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center" vertical="center" textRotation="90" wrapText="1"/>
    </xf>
    <xf numFmtId="49" fontId="6" fillId="2" borderId="1" xfId="0" applyNumberFormat="1" applyFont="1" applyFill="1" applyBorder="1" applyAlignment="1">
      <alignment horizontal="center" vertical="center" textRotation="90" wrapText="1"/>
    </xf>
    <xf numFmtId="49" fontId="6" fillId="7" borderId="4" xfId="0" applyNumberFormat="1" applyFont="1" applyFill="1" applyBorder="1" applyAlignment="1">
      <alignment horizontal="center" vertical="center" textRotation="90" wrapText="1"/>
    </xf>
    <xf numFmtId="49" fontId="6" fillId="7" borderId="0" xfId="0" applyNumberFormat="1" applyFont="1" applyFill="1" applyBorder="1" applyAlignment="1">
      <alignment horizontal="center" vertical="center" textRotation="90" wrapText="1"/>
    </xf>
    <xf numFmtId="49" fontId="6" fillId="7" borderId="1" xfId="0" applyNumberFormat="1" applyFont="1" applyFill="1" applyBorder="1" applyAlignment="1">
      <alignment horizontal="center" vertical="center" textRotation="90" wrapText="1"/>
    </xf>
    <xf numFmtId="0" fontId="2" fillId="0" borderId="1" xfId="0" applyNumberFormat="1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9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31" xfId="0" applyNumberFormat="1" applyFont="1" applyBorder="1" applyAlignment="1" applyProtection="1">
      <alignment horizontal="right" vertical="center"/>
    </xf>
    <xf numFmtId="3" fontId="1" fillId="0" borderId="18" xfId="0" applyNumberFormat="1" applyFont="1" applyBorder="1" applyAlignment="1" applyProtection="1">
      <alignment horizontal="right" vertical="center"/>
    </xf>
    <xf numFmtId="0" fontId="1" fillId="0" borderId="27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applyFont="1" applyBorder="1" applyAlignment="1" applyProtection="1">
      <alignment horizontal="center" vertical="center" wrapText="1"/>
      <protection locked="0"/>
    </xf>
    <xf numFmtId="0" fontId="12" fillId="0" borderId="28" xfId="0" applyFont="1" applyBorder="1" applyAlignment="1" applyProtection="1">
      <alignment horizontal="center" vertical="center" wrapText="1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0" fontId="12" fillId="0" borderId="25" xfId="0" applyFont="1" applyBorder="1" applyAlignment="1" applyProtection="1">
      <alignment horizontal="center" vertical="center" wrapText="1"/>
      <protection locked="0"/>
    </xf>
    <xf numFmtId="0" fontId="12" fillId="0" borderId="29" xfId="0" applyFont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4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26" xfId="0" applyNumberFormat="1" applyFont="1" applyFill="1" applyBorder="1" applyAlignment="1" applyProtection="1">
      <alignment horizontal="left" vertical="center" wrapText="1"/>
      <protection locked="0"/>
    </xf>
    <xf numFmtId="49" fontId="15" fillId="0" borderId="27" xfId="0" applyNumberFormat="1" applyFont="1" applyBorder="1" applyAlignment="1" applyProtection="1">
      <alignment horizontal="left" vertical="center"/>
      <protection locked="0"/>
    </xf>
    <xf numFmtId="49" fontId="15" fillId="0" borderId="0" xfId="0" applyNumberFormat="1" applyFont="1" applyBorder="1" applyAlignment="1" applyProtection="1">
      <alignment horizontal="left" vertical="center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left"/>
    </xf>
    <xf numFmtId="0" fontId="0" fillId="0" borderId="26" xfId="0" applyBorder="1" applyAlignment="1">
      <alignment horizontal="left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6" xfId="0" applyBorder="1" applyProtection="1">
      <protection locked="0"/>
    </xf>
    <xf numFmtId="49" fontId="15" fillId="0" borderId="0" xfId="0" applyNumberFormat="1" applyFont="1" applyAlignment="1" applyProtection="1">
      <alignment horizontal="left" vertical="center" wrapText="1"/>
      <protection locked="0"/>
    </xf>
    <xf numFmtId="49" fontId="15" fillId="0" borderId="0" xfId="0" applyNumberFormat="1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2" fillId="0" borderId="0" xfId="0" applyFont="1" applyBorder="1" applyAlignment="1" applyProtection="1">
      <alignment horizontal="left" wrapText="1" indent="1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12" fillId="0" borderId="0" xfId="0" applyFont="1" applyBorder="1" applyAlignment="1" applyProtection="1">
      <alignment horizontal="right" vertical="center"/>
      <protection locked="0"/>
    </xf>
    <xf numFmtId="0" fontId="12" fillId="0" borderId="4" xfId="0" applyFont="1" applyBorder="1" applyAlignment="1" applyProtection="1">
      <alignment horizontal="right" vertical="center"/>
      <protection locked="0"/>
    </xf>
    <xf numFmtId="3" fontId="2" fillId="0" borderId="18" xfId="0" applyNumberFormat="1" applyFont="1" applyBorder="1" applyAlignment="1" applyProtection="1">
      <alignment horizontal="right" vertical="center"/>
    </xf>
    <xf numFmtId="3" fontId="2" fillId="0" borderId="2" xfId="0" applyNumberFormat="1" applyFont="1" applyBorder="1" applyAlignment="1" applyProtection="1">
      <alignment horizontal="right" vertical="center"/>
    </xf>
    <xf numFmtId="0" fontId="8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workbookViewId="0">
      <selection sqref="A1:IV65536"/>
    </sheetView>
  </sheetViews>
  <sheetFormatPr defaultRowHeight="15.05"/>
  <sheetData>
    <row r="1" spans="1:13">
      <c r="A1" s="10" t="s">
        <v>178</v>
      </c>
      <c r="B1" s="11" t="s">
        <v>6</v>
      </c>
      <c r="C1" s="12"/>
      <c r="D1" s="13"/>
      <c r="E1" s="13"/>
      <c r="F1" s="13"/>
      <c r="G1" s="13"/>
      <c r="H1" s="161" t="s">
        <v>179</v>
      </c>
      <c r="I1" s="14"/>
      <c r="J1" s="12"/>
      <c r="K1" s="12"/>
      <c r="L1" s="12"/>
      <c r="M1" s="15"/>
    </row>
    <row r="2" spans="1:13">
      <c r="A2" s="16" t="s">
        <v>180</v>
      </c>
      <c r="B2" s="17" t="s">
        <v>8</v>
      </c>
      <c r="C2" s="18"/>
      <c r="D2" s="18"/>
      <c r="E2" s="18"/>
      <c r="F2" s="18"/>
      <c r="G2" s="18"/>
      <c r="H2" s="162"/>
      <c r="I2" s="19"/>
      <c r="J2" s="18"/>
      <c r="K2" s="18"/>
      <c r="L2" s="18"/>
      <c r="M2" s="20"/>
    </row>
    <row r="3" spans="1:13">
      <c r="A3" s="16" t="s">
        <v>181</v>
      </c>
      <c r="B3" s="17" t="s">
        <v>10</v>
      </c>
      <c r="C3" s="18"/>
      <c r="D3" s="164" t="s">
        <v>182</v>
      </c>
      <c r="E3" s="164"/>
      <c r="F3" s="164"/>
      <c r="G3" s="164"/>
      <c r="H3" s="162"/>
      <c r="I3" s="19"/>
      <c r="J3" s="18"/>
      <c r="K3" s="18"/>
      <c r="L3" s="18"/>
      <c r="M3" s="20"/>
    </row>
    <row r="4" spans="1:13">
      <c r="A4" s="16" t="s">
        <v>183</v>
      </c>
      <c r="B4" s="17" t="s">
        <v>12</v>
      </c>
      <c r="C4" s="18"/>
      <c r="D4" s="21" t="s">
        <v>184</v>
      </c>
      <c r="E4" s="18"/>
      <c r="F4" s="18"/>
      <c r="G4" s="18"/>
      <c r="H4" s="162"/>
      <c r="I4" s="19"/>
      <c r="J4" s="18"/>
      <c r="K4" s="18"/>
      <c r="L4" s="18"/>
      <c r="M4" s="20"/>
    </row>
    <row r="5" spans="1:13">
      <c r="A5" s="16" t="s">
        <v>185</v>
      </c>
      <c r="B5" s="17" t="s">
        <v>14</v>
      </c>
      <c r="C5" s="18"/>
      <c r="D5" s="18"/>
      <c r="E5" s="18"/>
      <c r="F5" s="18"/>
      <c r="G5" s="18"/>
      <c r="H5" s="162"/>
      <c r="I5" s="19"/>
      <c r="J5" s="18"/>
      <c r="K5" s="18"/>
      <c r="L5" s="18"/>
      <c r="M5" s="20"/>
    </row>
    <row r="6" spans="1:13">
      <c r="A6" s="16" t="s">
        <v>186</v>
      </c>
      <c r="B6" s="17" t="s">
        <v>16</v>
      </c>
      <c r="C6" s="18"/>
      <c r="D6" s="18"/>
      <c r="E6" s="18"/>
      <c r="F6" s="18"/>
      <c r="G6" s="18"/>
      <c r="H6" s="162"/>
      <c r="I6" s="19"/>
      <c r="J6" s="18"/>
      <c r="K6" s="18"/>
      <c r="L6" s="18"/>
      <c r="M6" s="20"/>
    </row>
    <row r="7" spans="1:13">
      <c r="A7" s="22" t="s">
        <v>187</v>
      </c>
      <c r="B7" s="23" t="s">
        <v>20</v>
      </c>
      <c r="C7" s="24"/>
      <c r="D7" s="25"/>
      <c r="E7" s="24"/>
      <c r="F7" s="24"/>
      <c r="G7" s="24"/>
      <c r="H7" s="162"/>
      <c r="I7" s="26"/>
      <c r="J7" s="24"/>
      <c r="K7" s="24"/>
      <c r="L7" s="24"/>
      <c r="M7" s="27"/>
    </row>
    <row r="8" spans="1:13">
      <c r="A8" s="22" t="s">
        <v>188</v>
      </c>
      <c r="B8" s="28" t="s">
        <v>22</v>
      </c>
      <c r="C8" s="24"/>
      <c r="D8" s="24"/>
      <c r="E8" s="24"/>
      <c r="F8" s="24"/>
      <c r="G8" s="24"/>
      <c r="H8" s="162"/>
      <c r="I8" s="26"/>
      <c r="J8" s="28"/>
      <c r="K8" s="29"/>
      <c r="L8" s="24"/>
      <c r="M8" s="27"/>
    </row>
    <row r="9" spans="1:13">
      <c r="A9" s="22" t="s">
        <v>189</v>
      </c>
      <c r="B9" s="28" t="s">
        <v>24</v>
      </c>
      <c r="C9" s="24"/>
      <c r="D9" s="24"/>
      <c r="E9" s="24"/>
      <c r="F9" s="24"/>
      <c r="G9" s="24"/>
      <c r="H9" s="162"/>
      <c r="I9" s="26"/>
      <c r="J9" s="24"/>
      <c r="K9" s="24"/>
      <c r="L9" s="24"/>
      <c r="M9" s="27"/>
    </row>
    <row r="10" spans="1:13">
      <c r="A10" s="22" t="s">
        <v>190</v>
      </c>
      <c r="B10" s="28" t="s">
        <v>26</v>
      </c>
      <c r="C10" s="24"/>
      <c r="D10" s="24"/>
      <c r="E10" s="24"/>
      <c r="F10" s="24"/>
      <c r="G10" s="24"/>
      <c r="H10" s="162"/>
      <c r="I10" s="26"/>
      <c r="J10" s="24"/>
      <c r="K10" s="24"/>
      <c r="L10" s="24"/>
      <c r="M10" s="27"/>
    </row>
    <row r="11" spans="1:13">
      <c r="A11" s="22" t="s">
        <v>191</v>
      </c>
      <c r="B11" s="28" t="s">
        <v>28</v>
      </c>
      <c r="C11" s="24"/>
      <c r="D11" s="30" t="s">
        <v>192</v>
      </c>
      <c r="E11" s="24"/>
      <c r="F11" s="24"/>
      <c r="G11" s="24"/>
      <c r="H11" s="162"/>
      <c r="I11" s="26"/>
      <c r="J11" s="24"/>
      <c r="K11" s="24"/>
      <c r="L11" s="24"/>
      <c r="M11" s="27"/>
    </row>
    <row r="12" spans="1:13">
      <c r="A12" s="22" t="s">
        <v>193</v>
      </c>
      <c r="B12" s="28" t="s">
        <v>30</v>
      </c>
      <c r="C12" s="24"/>
      <c r="D12" s="24"/>
      <c r="E12" s="24"/>
      <c r="F12" s="24"/>
      <c r="G12" s="24"/>
      <c r="H12" s="162"/>
      <c r="I12" s="26"/>
      <c r="J12" s="24"/>
      <c r="K12" s="24"/>
      <c r="L12" s="24"/>
      <c r="M12" s="27"/>
    </row>
    <row r="13" spans="1:13">
      <c r="A13" s="22" t="s">
        <v>194</v>
      </c>
      <c r="B13" s="28" t="s">
        <v>32</v>
      </c>
      <c r="C13" s="24"/>
      <c r="D13" s="24"/>
      <c r="E13" s="24"/>
      <c r="F13" s="24"/>
      <c r="G13" s="24"/>
      <c r="H13" s="162"/>
      <c r="I13" s="26"/>
      <c r="J13" s="24"/>
      <c r="K13" s="24"/>
      <c r="L13" s="24"/>
      <c r="M13" s="27"/>
    </row>
    <row r="14" spans="1:13">
      <c r="A14" s="22" t="s">
        <v>195</v>
      </c>
      <c r="B14" s="28" t="s">
        <v>34</v>
      </c>
      <c r="C14" s="24"/>
      <c r="D14" s="24"/>
      <c r="E14" s="24"/>
      <c r="F14" s="24"/>
      <c r="G14" s="24"/>
      <c r="H14" s="162"/>
      <c r="I14" s="26"/>
      <c r="J14" s="24"/>
      <c r="K14" s="24"/>
      <c r="L14" s="24"/>
      <c r="M14" s="27"/>
    </row>
    <row r="15" spans="1:13">
      <c r="A15" s="22" t="s">
        <v>196</v>
      </c>
      <c r="B15" s="28" t="s">
        <v>36</v>
      </c>
      <c r="C15" s="24"/>
      <c r="D15" s="24"/>
      <c r="E15" s="24"/>
      <c r="F15" s="24"/>
      <c r="G15" s="24"/>
      <c r="H15" s="162"/>
      <c r="I15" s="26"/>
      <c r="J15" s="24"/>
      <c r="K15" s="24"/>
      <c r="L15" s="24"/>
      <c r="M15" s="27"/>
    </row>
    <row r="16" spans="1:13">
      <c r="A16" s="22" t="s">
        <v>197</v>
      </c>
      <c r="B16" s="28" t="s">
        <v>38</v>
      </c>
      <c r="C16" s="24"/>
      <c r="D16" s="24"/>
      <c r="E16" s="24"/>
      <c r="F16" s="24"/>
      <c r="G16" s="24"/>
      <c r="H16" s="162"/>
      <c r="I16" s="26"/>
      <c r="J16" s="24"/>
      <c r="K16" s="24"/>
      <c r="L16" s="24"/>
      <c r="M16" s="27"/>
    </row>
    <row r="17" spans="1:13">
      <c r="A17" s="22" t="s">
        <v>198</v>
      </c>
      <c r="B17" s="28" t="s">
        <v>40</v>
      </c>
      <c r="C17" s="24"/>
      <c r="D17" s="24"/>
      <c r="E17" s="24"/>
      <c r="F17" s="24"/>
      <c r="G17" s="24"/>
      <c r="H17" s="162"/>
      <c r="I17" s="26"/>
      <c r="J17" s="24"/>
      <c r="K17" s="24"/>
      <c r="L17" s="24"/>
      <c r="M17" s="27"/>
    </row>
    <row r="18" spans="1:13">
      <c r="A18" s="31" t="s">
        <v>199</v>
      </c>
      <c r="B18" s="32" t="s">
        <v>44</v>
      </c>
      <c r="C18" s="33"/>
      <c r="D18" s="34"/>
      <c r="E18" s="33"/>
      <c r="F18" s="33"/>
      <c r="G18" s="33"/>
      <c r="H18" s="162"/>
      <c r="I18" s="35"/>
      <c r="J18" s="32"/>
      <c r="K18" s="32"/>
      <c r="L18" s="33"/>
      <c r="M18" s="36"/>
    </row>
    <row r="19" spans="1:13">
      <c r="A19" s="31" t="s">
        <v>200</v>
      </c>
      <c r="B19" s="32" t="s">
        <v>46</v>
      </c>
      <c r="C19" s="33"/>
      <c r="D19" s="33"/>
      <c r="E19" s="33"/>
      <c r="F19" s="33"/>
      <c r="G19" s="33"/>
      <c r="H19" s="162"/>
      <c r="I19" s="35"/>
      <c r="J19" s="32"/>
      <c r="K19" s="32"/>
      <c r="L19" s="33"/>
      <c r="M19" s="36"/>
    </row>
    <row r="20" spans="1:13">
      <c r="A20" s="31" t="s">
        <v>201</v>
      </c>
      <c r="B20" s="32" t="s">
        <v>48</v>
      </c>
      <c r="C20" s="33"/>
      <c r="D20" s="37" t="s">
        <v>202</v>
      </c>
      <c r="E20" s="33"/>
      <c r="F20" s="33"/>
      <c r="G20" s="33"/>
      <c r="H20" s="162"/>
      <c r="I20" s="35"/>
      <c r="J20" s="32"/>
      <c r="K20" s="32"/>
      <c r="L20" s="33"/>
      <c r="M20" s="36"/>
    </row>
    <row r="21" spans="1:13" ht="15.65" thickBot="1">
      <c r="A21" s="38" t="s">
        <v>203</v>
      </c>
      <c r="B21" s="39" t="s">
        <v>50</v>
      </c>
      <c r="C21" s="40"/>
      <c r="D21" s="40"/>
      <c r="E21" s="40"/>
      <c r="F21" s="40"/>
      <c r="G21" s="40"/>
      <c r="H21" s="163"/>
      <c r="I21" s="41"/>
      <c r="J21" s="39"/>
      <c r="K21" s="39"/>
      <c r="L21" s="40"/>
      <c r="M21" s="42"/>
    </row>
    <row r="22" spans="1:13">
      <c r="A22" s="43" t="s">
        <v>204</v>
      </c>
      <c r="B22" s="44" t="s">
        <v>54</v>
      </c>
      <c r="C22" s="45"/>
      <c r="D22" s="46"/>
      <c r="E22" s="45"/>
      <c r="F22" s="45"/>
      <c r="G22" s="47"/>
      <c r="H22" s="165" t="s">
        <v>205</v>
      </c>
      <c r="I22" s="45"/>
      <c r="J22" s="44"/>
      <c r="K22" s="44"/>
      <c r="L22" s="45"/>
      <c r="M22" s="48"/>
    </row>
    <row r="23" spans="1:13">
      <c r="A23" s="49" t="s">
        <v>206</v>
      </c>
      <c r="B23" s="50" t="s">
        <v>56</v>
      </c>
      <c r="C23" s="51"/>
      <c r="D23" s="51"/>
      <c r="E23" s="51"/>
      <c r="F23" s="51"/>
      <c r="G23" s="52"/>
      <c r="H23" s="166"/>
      <c r="I23" s="51"/>
      <c r="J23" s="50"/>
      <c r="K23" s="50"/>
      <c r="L23" s="51"/>
      <c r="M23" s="53"/>
    </row>
    <row r="24" spans="1:13">
      <c r="A24" s="49" t="s">
        <v>207</v>
      </c>
      <c r="B24" s="50" t="s">
        <v>58</v>
      </c>
      <c r="C24" s="51"/>
      <c r="D24" s="54" t="s">
        <v>208</v>
      </c>
      <c r="E24" s="51"/>
      <c r="F24" s="51"/>
      <c r="G24" s="52"/>
      <c r="H24" s="166"/>
      <c r="I24" s="51"/>
      <c r="J24" s="50"/>
      <c r="K24" s="50"/>
      <c r="L24" s="51"/>
      <c r="M24" s="53"/>
    </row>
    <row r="25" spans="1:13">
      <c r="A25" s="49" t="s">
        <v>209</v>
      </c>
      <c r="B25" s="50" t="s">
        <v>60</v>
      </c>
      <c r="C25" s="51"/>
      <c r="D25" s="51"/>
      <c r="E25" s="51"/>
      <c r="F25" s="51"/>
      <c r="G25" s="52"/>
      <c r="H25" s="166"/>
      <c r="I25" s="51"/>
      <c r="J25" s="50"/>
      <c r="K25" s="50"/>
      <c r="L25" s="51"/>
      <c r="M25" s="53"/>
    </row>
    <row r="26" spans="1:13">
      <c r="A26" s="49" t="s">
        <v>210</v>
      </c>
      <c r="B26" s="50" t="s">
        <v>62</v>
      </c>
      <c r="C26" s="51"/>
      <c r="D26" s="51"/>
      <c r="E26" s="51"/>
      <c r="F26" s="51"/>
      <c r="G26" s="52"/>
      <c r="H26" s="166"/>
      <c r="I26" s="51"/>
      <c r="J26" s="50"/>
      <c r="K26" s="50"/>
      <c r="L26" s="51"/>
      <c r="M26" s="53"/>
    </row>
    <row r="27" spans="1:13">
      <c r="A27" s="55" t="s">
        <v>211</v>
      </c>
      <c r="B27" s="56" t="s">
        <v>66</v>
      </c>
      <c r="C27" s="57"/>
      <c r="D27" s="58"/>
      <c r="E27" s="57"/>
      <c r="F27" s="57"/>
      <c r="G27" s="59"/>
      <c r="H27" s="166"/>
      <c r="I27" s="57"/>
      <c r="J27" s="56"/>
      <c r="K27" s="56"/>
      <c r="L27" s="57"/>
      <c r="M27" s="60"/>
    </row>
    <row r="28" spans="1:13">
      <c r="A28" s="55" t="s">
        <v>212</v>
      </c>
      <c r="B28" s="56" t="s">
        <v>68</v>
      </c>
      <c r="C28" s="57"/>
      <c r="D28" s="57"/>
      <c r="E28" s="57"/>
      <c r="F28" s="57"/>
      <c r="G28" s="59"/>
      <c r="H28" s="166"/>
      <c r="I28" s="57"/>
      <c r="J28" s="56"/>
      <c r="K28" s="56"/>
      <c r="L28" s="57"/>
      <c r="M28" s="60"/>
    </row>
    <row r="29" spans="1:13">
      <c r="A29" s="55" t="s">
        <v>213</v>
      </c>
      <c r="B29" s="56" t="s">
        <v>70</v>
      </c>
      <c r="C29" s="57"/>
      <c r="D29" s="61" t="s">
        <v>214</v>
      </c>
      <c r="E29" s="57"/>
      <c r="F29" s="57"/>
      <c r="G29" s="59"/>
      <c r="H29" s="166"/>
      <c r="I29" s="57"/>
      <c r="J29" s="56"/>
      <c r="K29" s="56"/>
      <c r="L29" s="57"/>
      <c r="M29" s="60"/>
    </row>
    <row r="30" spans="1:13">
      <c r="A30" s="55" t="s">
        <v>215</v>
      </c>
      <c r="B30" s="56" t="s">
        <v>72</v>
      </c>
      <c r="C30" s="57"/>
      <c r="D30" s="57"/>
      <c r="E30" s="57"/>
      <c r="F30" s="57"/>
      <c r="G30" s="59"/>
      <c r="H30" s="166"/>
      <c r="I30" s="57"/>
      <c r="J30" s="56"/>
      <c r="K30" s="56"/>
      <c r="L30" s="57"/>
      <c r="M30" s="60"/>
    </row>
    <row r="31" spans="1:13" ht="15.65" thickBot="1">
      <c r="A31" s="62" t="s">
        <v>216</v>
      </c>
      <c r="B31" s="63" t="s">
        <v>74</v>
      </c>
      <c r="C31" s="64"/>
      <c r="D31" s="64"/>
      <c r="E31" s="64"/>
      <c r="F31" s="64"/>
      <c r="G31" s="65"/>
      <c r="H31" s="167"/>
      <c r="I31" s="64"/>
      <c r="J31" s="63"/>
      <c r="K31" s="63"/>
      <c r="L31" s="64"/>
      <c r="M31" s="66"/>
    </row>
    <row r="32" spans="1:13">
      <c r="A32" s="67" t="s">
        <v>217</v>
      </c>
      <c r="B32" s="68" t="s">
        <v>78</v>
      </c>
      <c r="C32" s="69"/>
      <c r="D32" s="70"/>
      <c r="E32" s="71"/>
      <c r="F32" s="71"/>
      <c r="G32" s="72"/>
      <c r="H32" s="168" t="s">
        <v>218</v>
      </c>
      <c r="I32" s="71"/>
      <c r="J32" s="70"/>
      <c r="K32" s="70"/>
      <c r="L32" s="71"/>
      <c r="M32" s="73"/>
    </row>
    <row r="33" spans="1:13">
      <c r="A33" s="74" t="s">
        <v>219</v>
      </c>
      <c r="B33" s="75" t="s">
        <v>80</v>
      </c>
      <c r="C33" s="76"/>
      <c r="D33" s="76"/>
      <c r="E33" s="76"/>
      <c r="F33" s="76"/>
      <c r="G33" s="77"/>
      <c r="H33" s="169"/>
      <c r="I33" s="76"/>
      <c r="J33" s="75"/>
      <c r="K33" s="75"/>
      <c r="L33" s="76"/>
      <c r="M33" s="78"/>
    </row>
    <row r="34" spans="1:13">
      <c r="A34" s="74" t="s">
        <v>220</v>
      </c>
      <c r="B34" s="75" t="s">
        <v>82</v>
      </c>
      <c r="C34" s="76"/>
      <c r="D34" s="79" t="s">
        <v>221</v>
      </c>
      <c r="E34" s="76"/>
      <c r="F34" s="76"/>
      <c r="G34" s="77"/>
      <c r="H34" s="169"/>
      <c r="I34" s="76"/>
      <c r="J34" s="75"/>
      <c r="K34" s="75"/>
      <c r="L34" s="76"/>
      <c r="M34" s="78"/>
    </row>
    <row r="35" spans="1:13">
      <c r="A35" s="74" t="s">
        <v>222</v>
      </c>
      <c r="B35" s="75" t="s">
        <v>84</v>
      </c>
      <c r="C35" s="76"/>
      <c r="D35" s="76"/>
      <c r="E35" s="76"/>
      <c r="F35" s="76"/>
      <c r="G35" s="77"/>
      <c r="H35" s="169"/>
      <c r="I35" s="76"/>
      <c r="J35" s="75"/>
      <c r="K35" s="75"/>
      <c r="L35" s="76"/>
      <c r="M35" s="78"/>
    </row>
    <row r="36" spans="1:13">
      <c r="A36" s="74" t="s">
        <v>223</v>
      </c>
      <c r="B36" s="75" t="s">
        <v>86</v>
      </c>
      <c r="C36" s="76"/>
      <c r="D36" s="76"/>
      <c r="E36" s="76"/>
      <c r="F36" s="76"/>
      <c r="G36" s="77"/>
      <c r="H36" s="169"/>
      <c r="I36" s="76"/>
      <c r="J36" s="75"/>
      <c r="K36" s="75"/>
      <c r="L36" s="76"/>
      <c r="M36" s="78"/>
    </row>
    <row r="37" spans="1:13">
      <c r="A37" s="80" t="s">
        <v>224</v>
      </c>
      <c r="B37" s="81" t="s">
        <v>90</v>
      </c>
      <c r="C37" s="82"/>
      <c r="D37" s="83"/>
      <c r="E37" s="82"/>
      <c r="F37" s="82"/>
      <c r="G37" s="84"/>
      <c r="H37" s="169"/>
      <c r="I37" s="82"/>
      <c r="J37" s="81"/>
      <c r="K37" s="81"/>
      <c r="L37" s="82"/>
      <c r="M37" s="85"/>
    </row>
    <row r="38" spans="1:13">
      <c r="A38" s="80" t="s">
        <v>225</v>
      </c>
      <c r="B38" s="81" t="s">
        <v>92</v>
      </c>
      <c r="C38" s="82"/>
      <c r="D38" s="86" t="s">
        <v>226</v>
      </c>
      <c r="E38" s="82"/>
      <c r="F38" s="82"/>
      <c r="G38" s="84"/>
      <c r="H38" s="169"/>
      <c r="I38" s="82"/>
      <c r="J38" s="81"/>
      <c r="K38" s="81"/>
      <c r="L38" s="82"/>
      <c r="M38" s="85"/>
    </row>
    <row r="39" spans="1:13">
      <c r="A39" s="80" t="s">
        <v>227</v>
      </c>
      <c r="B39" s="81" t="s">
        <v>94</v>
      </c>
      <c r="C39" s="82"/>
      <c r="D39" s="82"/>
      <c r="E39" s="82"/>
      <c r="F39" s="82"/>
      <c r="G39" s="84"/>
      <c r="H39" s="169"/>
      <c r="I39" s="82"/>
      <c r="J39" s="81"/>
      <c r="K39" s="81"/>
      <c r="L39" s="82"/>
      <c r="M39" s="85"/>
    </row>
    <row r="40" spans="1:13">
      <c r="A40" s="87" t="s">
        <v>228</v>
      </c>
      <c r="B40" s="88" t="s">
        <v>98</v>
      </c>
      <c r="C40" s="89"/>
      <c r="D40" s="90"/>
      <c r="E40" s="91"/>
      <c r="F40" s="91"/>
      <c r="G40" s="92"/>
      <c r="H40" s="169"/>
      <c r="I40" s="89"/>
      <c r="J40" s="88"/>
      <c r="K40" s="88"/>
      <c r="L40" s="89"/>
      <c r="M40" s="93"/>
    </row>
    <row r="41" spans="1:13">
      <c r="A41" s="87" t="s">
        <v>229</v>
      </c>
      <c r="B41" s="88" t="s">
        <v>100</v>
      </c>
      <c r="C41" s="89"/>
      <c r="D41" s="89"/>
      <c r="E41" s="89"/>
      <c r="F41" s="89"/>
      <c r="G41" s="92"/>
      <c r="H41" s="169"/>
      <c r="I41" s="89"/>
      <c r="J41" s="88"/>
      <c r="K41" s="88"/>
      <c r="L41" s="89"/>
      <c r="M41" s="93"/>
    </row>
    <row r="42" spans="1:13">
      <c r="A42" s="87" t="s">
        <v>230</v>
      </c>
      <c r="B42" s="88" t="s">
        <v>102</v>
      </c>
      <c r="C42" s="89"/>
      <c r="D42" s="90" t="s">
        <v>231</v>
      </c>
      <c r="E42" s="89"/>
      <c r="F42" s="89"/>
      <c r="G42" s="92"/>
      <c r="H42" s="169"/>
      <c r="I42" s="89"/>
      <c r="J42" s="88"/>
      <c r="K42" s="88"/>
      <c r="L42" s="89"/>
      <c r="M42" s="93"/>
    </row>
    <row r="43" spans="1:13">
      <c r="A43" s="87" t="s">
        <v>232</v>
      </c>
      <c r="B43" s="88" t="s">
        <v>104</v>
      </c>
      <c r="C43" s="89"/>
      <c r="D43" s="89"/>
      <c r="E43" s="89"/>
      <c r="F43" s="89"/>
      <c r="G43" s="92"/>
      <c r="H43" s="169"/>
      <c r="I43" s="89"/>
      <c r="J43" s="88"/>
      <c r="K43" s="88"/>
      <c r="L43" s="89"/>
      <c r="M43" s="93"/>
    </row>
    <row r="44" spans="1:13" ht="15.65" thickBot="1">
      <c r="A44" s="94" t="s">
        <v>233</v>
      </c>
      <c r="B44" s="95" t="s">
        <v>106</v>
      </c>
      <c r="C44" s="96"/>
      <c r="D44" s="96"/>
      <c r="E44" s="96"/>
      <c r="F44" s="96"/>
      <c r="G44" s="97"/>
      <c r="H44" s="170"/>
      <c r="I44" s="96"/>
      <c r="J44" s="95"/>
      <c r="K44" s="95"/>
      <c r="L44" s="96"/>
      <c r="M44" s="98"/>
    </row>
    <row r="45" spans="1:13">
      <c r="A45" s="67" t="s">
        <v>234</v>
      </c>
      <c r="B45" s="68" t="s">
        <v>235</v>
      </c>
      <c r="C45" s="69"/>
      <c r="D45" s="69"/>
      <c r="E45" s="99"/>
      <c r="F45" s="69"/>
      <c r="G45" s="69"/>
      <c r="H45" s="161" t="s">
        <v>236</v>
      </c>
      <c r="I45" s="69"/>
      <c r="J45" s="68"/>
      <c r="K45" s="68"/>
      <c r="L45" s="69"/>
      <c r="M45" s="100"/>
    </row>
    <row r="46" spans="1:13">
      <c r="A46" s="74" t="s">
        <v>237</v>
      </c>
      <c r="B46" s="75" t="s">
        <v>238</v>
      </c>
      <c r="C46" s="76"/>
      <c r="D46" s="76"/>
      <c r="E46" s="76"/>
      <c r="F46" s="76"/>
      <c r="G46" s="76"/>
      <c r="H46" s="162"/>
      <c r="I46" s="76"/>
      <c r="J46" s="75"/>
      <c r="K46" s="75"/>
      <c r="L46" s="76"/>
      <c r="M46" s="78"/>
    </row>
    <row r="47" spans="1:13">
      <c r="A47" s="74" t="s">
        <v>239</v>
      </c>
      <c r="B47" s="75" t="s">
        <v>114</v>
      </c>
      <c r="C47" s="76"/>
      <c r="D47" s="76"/>
      <c r="E47" s="76"/>
      <c r="F47" s="76"/>
      <c r="G47" s="76"/>
      <c r="H47" s="162"/>
      <c r="I47" s="76"/>
      <c r="J47" s="75"/>
      <c r="K47" s="75"/>
      <c r="L47" s="76"/>
      <c r="M47" s="78"/>
    </row>
    <row r="48" spans="1:13">
      <c r="A48" s="74" t="s">
        <v>240</v>
      </c>
      <c r="B48" s="75" t="s">
        <v>116</v>
      </c>
      <c r="C48" s="76"/>
      <c r="D48" s="76"/>
      <c r="E48" s="76"/>
      <c r="F48" s="76"/>
      <c r="G48" s="76"/>
      <c r="H48" s="162"/>
      <c r="I48" s="76"/>
      <c r="J48" s="75"/>
      <c r="K48" s="75"/>
      <c r="L48" s="76"/>
      <c r="M48" s="78"/>
    </row>
    <row r="49" spans="1:13">
      <c r="A49" s="74" t="s">
        <v>241</v>
      </c>
      <c r="B49" s="75" t="s">
        <v>118</v>
      </c>
      <c r="C49" s="76"/>
      <c r="D49" s="76"/>
      <c r="E49" s="101" t="s">
        <v>242</v>
      </c>
      <c r="F49" s="76"/>
      <c r="G49" s="76"/>
      <c r="H49" s="162"/>
      <c r="I49" s="76"/>
      <c r="J49" s="75"/>
      <c r="K49" s="75"/>
      <c r="L49" s="76"/>
      <c r="M49" s="78"/>
    </row>
    <row r="50" spans="1:13">
      <c r="A50" s="74" t="s">
        <v>243</v>
      </c>
      <c r="B50" s="75" t="s">
        <v>120</v>
      </c>
      <c r="C50" s="76"/>
      <c r="D50" s="76"/>
      <c r="E50" s="76"/>
      <c r="F50" s="76"/>
      <c r="G50" s="76"/>
      <c r="H50" s="162"/>
      <c r="I50" s="76"/>
      <c r="J50" s="75"/>
      <c r="K50" s="75"/>
      <c r="L50" s="76"/>
      <c r="M50" s="78"/>
    </row>
    <row r="51" spans="1:13">
      <c r="A51" s="74" t="s">
        <v>244</v>
      </c>
      <c r="B51" s="75" t="s">
        <v>122</v>
      </c>
      <c r="C51" s="76"/>
      <c r="D51" s="76"/>
      <c r="E51" s="76"/>
      <c r="F51" s="76"/>
      <c r="G51" s="76"/>
      <c r="H51" s="162"/>
      <c r="I51" s="76"/>
      <c r="J51" s="75"/>
      <c r="K51" s="75"/>
      <c r="L51" s="76"/>
      <c r="M51" s="78"/>
    </row>
    <row r="52" spans="1:13" ht="15.65" thickBot="1">
      <c r="A52" s="102" t="s">
        <v>245</v>
      </c>
      <c r="B52" s="103" t="s">
        <v>124</v>
      </c>
      <c r="C52" s="104"/>
      <c r="D52" s="104"/>
      <c r="E52" s="104"/>
      <c r="F52" s="104"/>
      <c r="G52" s="104"/>
      <c r="H52" s="163"/>
      <c r="I52" s="104"/>
      <c r="J52" s="103"/>
      <c r="K52" s="103"/>
      <c r="L52" s="104"/>
      <c r="M52" s="105"/>
    </row>
    <row r="53" spans="1:13">
      <c r="A53" s="10" t="s">
        <v>246</v>
      </c>
      <c r="B53" s="106" t="s">
        <v>128</v>
      </c>
      <c r="C53" s="12"/>
      <c r="D53" s="107"/>
      <c r="E53" s="12"/>
      <c r="F53" s="12"/>
      <c r="G53" s="12"/>
      <c r="H53" s="158" t="s">
        <v>247</v>
      </c>
      <c r="I53" s="12"/>
      <c r="J53" s="106"/>
      <c r="K53" s="106"/>
      <c r="L53" s="12"/>
      <c r="M53" s="15"/>
    </row>
    <row r="54" spans="1:13">
      <c r="A54" s="16" t="s">
        <v>248</v>
      </c>
      <c r="B54" s="108" t="s">
        <v>130</v>
      </c>
      <c r="C54" s="18"/>
      <c r="D54" s="18"/>
      <c r="E54" s="18"/>
      <c r="F54" s="18"/>
      <c r="G54" s="18"/>
      <c r="H54" s="159"/>
      <c r="I54" s="18"/>
      <c r="J54" s="108"/>
      <c r="K54" s="108"/>
      <c r="L54" s="18"/>
      <c r="M54" s="20"/>
    </row>
    <row r="55" spans="1:13">
      <c r="A55" s="16" t="s">
        <v>249</v>
      </c>
      <c r="B55" s="108" t="s">
        <v>132</v>
      </c>
      <c r="C55" s="18"/>
      <c r="D55" s="109" t="s">
        <v>250</v>
      </c>
      <c r="E55" s="18"/>
      <c r="F55" s="18"/>
      <c r="G55" s="18"/>
      <c r="H55" s="159"/>
      <c r="I55" s="18"/>
      <c r="J55" s="108"/>
      <c r="K55" s="108"/>
      <c r="L55" s="18"/>
      <c r="M55" s="20"/>
    </row>
    <row r="56" spans="1:13">
      <c r="A56" s="16" t="s">
        <v>251</v>
      </c>
      <c r="B56" s="108" t="s">
        <v>134</v>
      </c>
      <c r="C56" s="18"/>
      <c r="D56" s="18"/>
      <c r="E56" s="18"/>
      <c r="F56" s="18"/>
      <c r="G56" s="18"/>
      <c r="H56" s="159"/>
      <c r="I56" s="18"/>
      <c r="J56" s="108"/>
      <c r="K56" s="108"/>
      <c r="L56" s="18"/>
      <c r="M56" s="20"/>
    </row>
    <row r="57" spans="1:13">
      <c r="A57" s="16" t="s">
        <v>252</v>
      </c>
      <c r="B57" s="108" t="s">
        <v>136</v>
      </c>
      <c r="C57" s="18"/>
      <c r="D57" s="18"/>
      <c r="E57" s="18"/>
      <c r="F57" s="18"/>
      <c r="G57" s="18"/>
      <c r="H57" s="159"/>
      <c r="I57" s="18"/>
      <c r="J57" s="108"/>
      <c r="K57" s="108"/>
      <c r="L57" s="18"/>
      <c r="M57" s="20"/>
    </row>
    <row r="58" spans="1:13">
      <c r="A58" s="55" t="s">
        <v>253</v>
      </c>
      <c r="B58" s="56" t="s">
        <v>140</v>
      </c>
      <c r="C58" s="57"/>
      <c r="D58" s="58"/>
      <c r="E58" s="57"/>
      <c r="F58" s="57"/>
      <c r="G58" s="57"/>
      <c r="H58" s="159"/>
      <c r="I58" s="57"/>
      <c r="J58" s="56"/>
      <c r="K58" s="56"/>
      <c r="L58" s="57"/>
      <c r="M58" s="60"/>
    </row>
    <row r="59" spans="1:13">
      <c r="A59" s="55" t="s">
        <v>254</v>
      </c>
      <c r="B59" s="56" t="s">
        <v>142</v>
      </c>
      <c r="C59" s="57"/>
      <c r="D59" s="57"/>
      <c r="E59" s="57"/>
      <c r="F59" s="57"/>
      <c r="G59" s="57"/>
      <c r="H59" s="159"/>
      <c r="I59" s="57"/>
      <c r="J59" s="56"/>
      <c r="K59" s="56"/>
      <c r="L59" s="57"/>
      <c r="M59" s="60"/>
    </row>
    <row r="60" spans="1:13">
      <c r="A60" s="55" t="s">
        <v>255</v>
      </c>
      <c r="B60" s="56" t="s">
        <v>144</v>
      </c>
      <c r="C60" s="57"/>
      <c r="D60" s="57"/>
      <c r="E60" s="57"/>
      <c r="F60" s="57"/>
      <c r="G60" s="57"/>
      <c r="H60" s="159"/>
      <c r="I60" s="57"/>
      <c r="J60" s="56"/>
      <c r="K60" s="56"/>
      <c r="L60" s="57"/>
      <c r="M60" s="60"/>
    </row>
    <row r="61" spans="1:13">
      <c r="A61" s="55" t="s">
        <v>256</v>
      </c>
      <c r="B61" s="56" t="s">
        <v>146</v>
      </c>
      <c r="C61" s="57"/>
      <c r="D61" s="57"/>
      <c r="E61" s="57"/>
      <c r="F61" s="57"/>
      <c r="G61" s="57"/>
      <c r="H61" s="159"/>
      <c r="I61" s="57"/>
      <c r="J61" s="56"/>
      <c r="K61" s="56"/>
      <c r="L61" s="57"/>
      <c r="M61" s="60"/>
    </row>
    <row r="62" spans="1:13">
      <c r="A62" s="55" t="s">
        <v>257</v>
      </c>
      <c r="B62" s="56" t="s">
        <v>148</v>
      </c>
      <c r="C62" s="57"/>
      <c r="D62" s="57"/>
      <c r="E62" s="57"/>
      <c r="F62" s="57"/>
      <c r="G62" s="57"/>
      <c r="H62" s="159"/>
      <c r="I62" s="57"/>
      <c r="J62" s="56"/>
      <c r="K62" s="56"/>
      <c r="L62" s="57"/>
      <c r="M62" s="60"/>
    </row>
    <row r="63" spans="1:13">
      <c r="A63" s="55" t="s">
        <v>258</v>
      </c>
      <c r="B63" s="56" t="s">
        <v>150</v>
      </c>
      <c r="C63" s="57"/>
      <c r="D63" s="61" t="s">
        <v>259</v>
      </c>
      <c r="E63" s="57"/>
      <c r="F63" s="57"/>
      <c r="G63" s="57"/>
      <c r="H63" s="159"/>
      <c r="I63" s="57"/>
      <c r="J63" s="56"/>
      <c r="K63" s="56"/>
      <c r="L63" s="57"/>
      <c r="M63" s="60"/>
    </row>
    <row r="64" spans="1:13">
      <c r="A64" s="55" t="s">
        <v>260</v>
      </c>
      <c r="B64" s="56" t="s">
        <v>152</v>
      </c>
      <c r="C64" s="57"/>
      <c r="D64" s="57"/>
      <c r="E64" s="57"/>
      <c r="F64" s="57"/>
      <c r="G64" s="57"/>
      <c r="H64" s="159"/>
      <c r="I64" s="57"/>
      <c r="J64" s="56"/>
      <c r="K64" s="56"/>
      <c r="L64" s="57"/>
      <c r="M64" s="60"/>
    </row>
    <row r="65" spans="1:13">
      <c r="A65" s="55" t="s">
        <v>261</v>
      </c>
      <c r="B65" s="56" t="s">
        <v>154</v>
      </c>
      <c r="C65" s="57"/>
      <c r="D65" s="57"/>
      <c r="E65" s="57"/>
      <c r="F65" s="57"/>
      <c r="G65" s="57"/>
      <c r="H65" s="159"/>
      <c r="I65" s="57"/>
      <c r="J65" s="56"/>
      <c r="K65" s="56"/>
      <c r="L65" s="57"/>
      <c r="M65" s="60"/>
    </row>
    <row r="66" spans="1:13">
      <c r="A66" s="55" t="s">
        <v>262</v>
      </c>
      <c r="B66" s="56" t="s">
        <v>156</v>
      </c>
      <c r="C66" s="57"/>
      <c r="D66" s="57"/>
      <c r="E66" s="57"/>
      <c r="F66" s="57"/>
      <c r="G66" s="57"/>
      <c r="H66" s="159"/>
      <c r="I66" s="57"/>
      <c r="J66" s="56"/>
      <c r="K66" s="56"/>
      <c r="L66" s="57"/>
      <c r="M66" s="60"/>
    </row>
    <row r="67" spans="1:13">
      <c r="A67" s="55" t="s">
        <v>263</v>
      </c>
      <c r="B67" s="56" t="s">
        <v>158</v>
      </c>
      <c r="C67" s="57"/>
      <c r="D67" s="57"/>
      <c r="E67" s="57"/>
      <c r="F67" s="57"/>
      <c r="G67" s="57"/>
      <c r="H67" s="159"/>
      <c r="I67" s="57"/>
      <c r="J67" s="56"/>
      <c r="K67" s="56"/>
      <c r="L67" s="57"/>
      <c r="M67" s="60"/>
    </row>
    <row r="68" spans="1:13">
      <c r="A68" s="55" t="s">
        <v>264</v>
      </c>
      <c r="B68" s="56" t="s">
        <v>160</v>
      </c>
      <c r="C68" s="57"/>
      <c r="D68" s="57"/>
      <c r="E68" s="57"/>
      <c r="F68" s="57"/>
      <c r="G68" s="57"/>
      <c r="H68" s="159"/>
      <c r="I68" s="57"/>
      <c r="J68" s="56"/>
      <c r="K68" s="56"/>
      <c r="L68" s="57"/>
      <c r="M68" s="60"/>
    </row>
    <row r="69" spans="1:13">
      <c r="A69" s="55" t="s">
        <v>265</v>
      </c>
      <c r="B69" s="56" t="s">
        <v>162</v>
      </c>
      <c r="C69" s="57"/>
      <c r="D69" s="57"/>
      <c r="E69" s="57"/>
      <c r="F69" s="57"/>
      <c r="G69" s="57"/>
      <c r="H69" s="159"/>
      <c r="I69" s="57"/>
      <c r="J69" s="56"/>
      <c r="K69" s="56"/>
      <c r="L69" s="57"/>
      <c r="M69" s="60"/>
    </row>
    <row r="70" spans="1:13" ht="15.65" thickBot="1">
      <c r="A70" s="62" t="s">
        <v>266</v>
      </c>
      <c r="B70" s="63" t="s">
        <v>164</v>
      </c>
      <c r="C70" s="64"/>
      <c r="D70" s="64"/>
      <c r="E70" s="64"/>
      <c r="F70" s="64"/>
      <c r="G70" s="64"/>
      <c r="H70" s="160"/>
      <c r="I70" s="64"/>
      <c r="J70" s="63"/>
      <c r="K70" s="63"/>
      <c r="L70" s="64"/>
      <c r="M70" s="66"/>
    </row>
    <row r="71" spans="1:13">
      <c r="A71" s="110" t="s">
        <v>267</v>
      </c>
      <c r="B71" s="111" t="s">
        <v>168</v>
      </c>
      <c r="C71" s="112"/>
      <c r="D71" s="113"/>
      <c r="E71" s="112"/>
      <c r="F71" s="112"/>
      <c r="G71" s="24"/>
      <c r="H71" s="112"/>
      <c r="I71" s="112"/>
      <c r="J71" s="114"/>
      <c r="K71" s="114"/>
      <c r="L71" s="112"/>
      <c r="M71" s="115"/>
    </row>
    <row r="72" spans="1:13">
      <c r="A72" s="22" t="s">
        <v>268</v>
      </c>
      <c r="B72" s="111" t="s">
        <v>170</v>
      </c>
      <c r="C72" s="24"/>
      <c r="D72" s="24"/>
      <c r="E72" s="24"/>
      <c r="F72" s="24"/>
      <c r="G72" s="24"/>
      <c r="H72" s="116" t="s">
        <v>269</v>
      </c>
      <c r="I72" s="117"/>
      <c r="J72" s="118"/>
      <c r="K72" s="118"/>
      <c r="L72" s="24"/>
      <c r="M72" s="27"/>
    </row>
    <row r="73" spans="1:13">
      <c r="A73" s="22" t="s">
        <v>270</v>
      </c>
      <c r="B73" s="111" t="s">
        <v>172</v>
      </c>
      <c r="C73" s="24"/>
      <c r="D73" s="30" t="s">
        <v>271</v>
      </c>
      <c r="E73" s="24"/>
      <c r="F73" s="29"/>
      <c r="G73" s="24"/>
      <c r="H73" s="24"/>
      <c r="I73" s="24"/>
      <c r="J73" s="28"/>
      <c r="K73" s="28"/>
      <c r="L73" s="24"/>
      <c r="M73" s="27"/>
    </row>
    <row r="74" spans="1:13" ht="15.65" thickBot="1">
      <c r="A74" s="119" t="s">
        <v>272</v>
      </c>
      <c r="B74" s="111" t="s">
        <v>174</v>
      </c>
      <c r="C74" s="120"/>
      <c r="D74" s="120"/>
      <c r="E74" s="120"/>
      <c r="F74" s="120"/>
      <c r="G74" s="120"/>
      <c r="H74" s="120"/>
      <c r="I74" s="120"/>
      <c r="J74" s="121"/>
      <c r="K74" s="121"/>
      <c r="L74" s="120"/>
      <c r="M74" s="122"/>
    </row>
    <row r="75" spans="1:13" ht="15.65" thickBot="1">
      <c r="A75" s="123" t="s">
        <v>273</v>
      </c>
      <c r="B75" s="124" t="s">
        <v>274</v>
      </c>
      <c r="C75" s="125"/>
      <c r="D75" s="126" t="s">
        <v>275</v>
      </c>
      <c r="E75" s="125"/>
      <c r="F75" s="125"/>
      <c r="G75" s="125"/>
      <c r="H75" s="125"/>
      <c r="I75" s="125"/>
      <c r="J75" s="127"/>
      <c r="K75" s="127"/>
      <c r="L75" s="125"/>
      <c r="M75" s="128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V113"/>
  <sheetViews>
    <sheetView showGridLines="0" tabSelected="1" zoomScale="120" zoomScaleNormal="120" workbookViewId="0">
      <selection activeCell="R3" sqref="R3"/>
    </sheetView>
  </sheetViews>
  <sheetFormatPr defaultRowHeight="10.65"/>
  <cols>
    <col min="1" max="1" width="34.77734375" style="1" bestFit="1" customWidth="1"/>
    <col min="2" max="2" width="7.109375" style="1" bestFit="1" customWidth="1"/>
    <col min="3" max="4" width="6.21875" style="1" bestFit="1" customWidth="1"/>
    <col min="5" max="5" width="5.44140625" style="1" bestFit="1" customWidth="1"/>
    <col min="6" max="8" width="6.21875" style="1" bestFit="1" customWidth="1"/>
    <col min="9" max="9" width="5.44140625" style="1" bestFit="1" customWidth="1"/>
    <col min="10" max="10" width="6.21875" style="1" bestFit="1" customWidth="1"/>
    <col min="11" max="11" width="5.44140625" style="1" bestFit="1" customWidth="1"/>
    <col min="12" max="14" width="6.21875" style="1" bestFit="1" customWidth="1"/>
    <col min="15" max="16" width="4.5546875" style="1" bestFit="1" customWidth="1"/>
    <col min="17" max="17" width="22.21875" style="1" bestFit="1" customWidth="1"/>
    <col min="18" max="18" width="11.6640625" style="1" customWidth="1"/>
    <col min="19" max="19" width="10" style="1" customWidth="1"/>
    <col min="20" max="20" width="6.44140625" style="1" customWidth="1"/>
    <col min="21" max="16384" width="8.88671875" style="1"/>
  </cols>
  <sheetData>
    <row r="2" spans="1:22" s="146" customFormat="1" ht="14.4" customHeight="1">
      <c r="B2" s="220" t="s">
        <v>294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149"/>
      <c r="Q2" s="149"/>
      <c r="R2" s="149"/>
      <c r="S2" s="147"/>
      <c r="T2" s="147"/>
      <c r="U2" s="147"/>
    </row>
    <row r="3" spans="1:22" s="146" customFormat="1" ht="14.4" customHeight="1"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149"/>
      <c r="Q3" s="149"/>
      <c r="R3" s="149"/>
      <c r="S3" s="147"/>
      <c r="T3" s="147"/>
      <c r="U3" s="147"/>
    </row>
    <row r="4" spans="1:22" s="146" customFormat="1" ht="14.4" customHeight="1">
      <c r="A4" s="148"/>
      <c r="B4" s="220" t="s">
        <v>295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149"/>
      <c r="S4" s="147"/>
      <c r="T4" s="147"/>
      <c r="U4" s="147"/>
    </row>
    <row r="5" spans="1:22">
      <c r="A5" s="138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38"/>
      <c r="Q5" s="155"/>
      <c r="R5" s="138"/>
      <c r="S5" s="138"/>
      <c r="T5" s="132"/>
      <c r="U5" s="132"/>
    </row>
    <row r="6" spans="1:22" ht="11.3" thickBot="1">
      <c r="A6" s="171" t="s">
        <v>0</v>
      </c>
      <c r="B6" s="172"/>
      <c r="C6" s="172"/>
      <c r="D6" s="172"/>
      <c r="E6" s="172"/>
      <c r="F6" s="172"/>
      <c r="G6" s="145"/>
      <c r="H6" s="145"/>
      <c r="I6" s="145"/>
      <c r="J6" s="145"/>
      <c r="K6" s="145"/>
      <c r="L6" s="145"/>
      <c r="M6" s="173"/>
      <c r="N6" s="173"/>
      <c r="O6" s="173"/>
      <c r="P6" s="173"/>
      <c r="Q6" s="173"/>
      <c r="R6" s="173"/>
      <c r="S6" s="173"/>
      <c r="T6" s="130"/>
    </row>
    <row r="7" spans="1:22" ht="13.8" customHeight="1">
      <c r="A7" s="195" t="s">
        <v>276</v>
      </c>
      <c r="B7" s="205" t="s">
        <v>293</v>
      </c>
      <c r="C7" s="174" t="s">
        <v>285</v>
      </c>
      <c r="D7" s="184"/>
      <c r="E7" s="187" t="s">
        <v>284</v>
      </c>
      <c r="F7" s="188"/>
      <c r="G7" s="174" t="s">
        <v>288</v>
      </c>
      <c r="H7" s="193"/>
      <c r="I7" s="193"/>
      <c r="J7" s="193"/>
      <c r="K7" s="193"/>
      <c r="L7" s="193"/>
      <c r="M7" s="193"/>
      <c r="N7" s="184"/>
      <c r="O7" s="174" t="s">
        <v>296</v>
      </c>
      <c r="P7" s="175"/>
      <c r="Q7" s="195" t="s">
        <v>1</v>
      </c>
      <c r="R7" s="195"/>
      <c r="S7" s="195"/>
      <c r="T7" s="130"/>
      <c r="U7" s="130"/>
      <c r="V7" s="130"/>
    </row>
    <row r="8" spans="1:22" ht="10.199999999999999" customHeight="1">
      <c r="A8" s="202"/>
      <c r="B8" s="206"/>
      <c r="C8" s="176"/>
      <c r="D8" s="185"/>
      <c r="E8" s="189"/>
      <c r="F8" s="190"/>
      <c r="G8" s="178" t="s">
        <v>283</v>
      </c>
      <c r="H8" s="194"/>
      <c r="I8" s="194"/>
      <c r="J8" s="194"/>
      <c r="K8" s="194"/>
      <c r="L8" s="194"/>
      <c r="M8" s="194"/>
      <c r="N8" s="186"/>
      <c r="O8" s="176"/>
      <c r="P8" s="177"/>
      <c r="Q8" s="196"/>
      <c r="R8" s="196"/>
      <c r="S8" s="196"/>
      <c r="T8" s="130"/>
      <c r="U8" s="130"/>
      <c r="V8" s="130"/>
    </row>
    <row r="9" spans="1:22" ht="40.85" customHeight="1">
      <c r="A9" s="202"/>
      <c r="B9" s="207"/>
      <c r="C9" s="178"/>
      <c r="D9" s="186"/>
      <c r="E9" s="191"/>
      <c r="F9" s="192"/>
      <c r="G9" s="200" t="s">
        <v>286</v>
      </c>
      <c r="H9" s="201"/>
      <c r="I9" s="200" t="s">
        <v>291</v>
      </c>
      <c r="J9" s="201"/>
      <c r="K9" s="200" t="s">
        <v>297</v>
      </c>
      <c r="L9" s="201"/>
      <c r="M9" s="200" t="s">
        <v>292</v>
      </c>
      <c r="N9" s="209"/>
      <c r="O9" s="178"/>
      <c r="P9" s="179"/>
      <c r="Q9" s="196"/>
      <c r="R9" s="196"/>
      <c r="S9" s="196"/>
      <c r="T9" s="130"/>
      <c r="U9" s="130"/>
      <c r="V9" s="130"/>
    </row>
    <row r="10" spans="1:22" ht="10.199999999999999" customHeight="1">
      <c r="A10" s="203"/>
      <c r="B10" s="208"/>
      <c r="C10" s="2">
        <v>1</v>
      </c>
      <c r="D10" s="2">
        <v>2</v>
      </c>
      <c r="E10" s="2">
        <v>1</v>
      </c>
      <c r="F10" s="2">
        <v>2</v>
      </c>
      <c r="G10" s="3">
        <v>1</v>
      </c>
      <c r="H10" s="3">
        <v>2</v>
      </c>
      <c r="I10" s="2">
        <v>1</v>
      </c>
      <c r="J10" s="2">
        <v>2</v>
      </c>
      <c r="K10" s="2">
        <v>1</v>
      </c>
      <c r="L10" s="3">
        <v>2</v>
      </c>
      <c r="M10" s="133">
        <v>1</v>
      </c>
      <c r="N10" s="3">
        <v>2</v>
      </c>
      <c r="O10" s="3">
        <v>1</v>
      </c>
      <c r="P10" s="142">
        <v>2</v>
      </c>
      <c r="Q10" s="197"/>
      <c r="R10" s="197"/>
      <c r="S10" s="197"/>
      <c r="T10" s="130"/>
      <c r="U10" s="130"/>
      <c r="V10" s="130"/>
    </row>
    <row r="11" spans="1:22" ht="11.45" customHeight="1">
      <c r="A11" s="198" t="s">
        <v>2</v>
      </c>
      <c r="B11" s="180">
        <f>SUM(B13,B21,B30,B35,B41,B48,B55,B62,B67,B74,B84,B91,B106)</f>
        <v>394877</v>
      </c>
      <c r="C11" s="180">
        <f>SUM(C13,C21,C30,C35,C41,C48,C55,C62,C67,C74,C84,C91,C106)</f>
        <v>105684</v>
      </c>
      <c r="D11" s="180">
        <f>SUM(D13,D21,D30,D35,D41,D48,D55,D62,D67,D74,D84,D91,D106)</f>
        <v>433486.08899999998</v>
      </c>
      <c r="E11" s="180">
        <f>SUM(E13,E21,E30,E35,E41,E48,E55,E62,E67,E74,E84,E91,E106)</f>
        <v>53813</v>
      </c>
      <c r="F11" s="180">
        <f>SUM(F13,F21,F30,F35,F41,F48,F55,F62,F67,F74,F84,F91,F106)</f>
        <v>116517.47499999999</v>
      </c>
      <c r="G11" s="180">
        <f t="shared" ref="G11:L11" si="0">SUM(G13,G21,G30,G35,G41,G48,G55,G62,G67,G74,G84,G91,G106)</f>
        <v>109296</v>
      </c>
      <c r="H11" s="180">
        <f t="shared" si="0"/>
        <v>284688.19200000004</v>
      </c>
      <c r="I11" s="180">
        <f t="shared" si="0"/>
        <v>77528</v>
      </c>
      <c r="J11" s="180">
        <f t="shared" si="0"/>
        <v>189722.61600000001</v>
      </c>
      <c r="K11" s="180">
        <f t="shared" si="0"/>
        <v>47467</v>
      </c>
      <c r="L11" s="180">
        <f t="shared" si="0"/>
        <v>106235.19899999999</v>
      </c>
      <c r="M11" s="180">
        <f t="shared" ref="M11:P11" si="1">SUM(M13,M21,M30,M35,M41,M48,M55,M62,M67,M74,M84,M91,M106)</f>
        <v>234291</v>
      </c>
      <c r="N11" s="180">
        <f t="shared" si="1"/>
        <v>580646.00699999987</v>
      </c>
      <c r="O11" s="180">
        <f t="shared" si="1"/>
        <v>1089</v>
      </c>
      <c r="P11" s="180">
        <f t="shared" si="1"/>
        <v>2558.7399999999998</v>
      </c>
      <c r="Q11" s="182" t="s">
        <v>3</v>
      </c>
      <c r="R11" s="182"/>
      <c r="S11" s="182"/>
      <c r="T11" s="5"/>
      <c r="U11" s="130"/>
      <c r="V11" s="130"/>
    </row>
    <row r="12" spans="1:22">
      <c r="A12" s="199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3"/>
      <c r="R12" s="183"/>
      <c r="S12" s="183"/>
      <c r="T12" s="5"/>
      <c r="U12" s="130"/>
      <c r="V12" s="130"/>
    </row>
    <row r="13" spans="1:22">
      <c r="A13" s="211" t="s">
        <v>4</v>
      </c>
      <c r="B13" s="181">
        <f>SUM(B15:B20)</f>
        <v>38054</v>
      </c>
      <c r="C13" s="181">
        <f>SUM(C15:C20)</f>
        <v>5231</v>
      </c>
      <c r="D13" s="181">
        <f t="shared" ref="D13:P13" si="2">SUM(D15:D20)</f>
        <v>16405.450999999997</v>
      </c>
      <c r="E13" s="181">
        <f t="shared" si="2"/>
        <v>3534</v>
      </c>
      <c r="F13" s="181">
        <f t="shared" si="2"/>
        <v>5037.12</v>
      </c>
      <c r="G13" s="181">
        <f t="shared" si="2"/>
        <v>18101</v>
      </c>
      <c r="H13" s="181">
        <f t="shared" si="2"/>
        <v>81483.569999999992</v>
      </c>
      <c r="I13" s="181">
        <f t="shared" si="2"/>
        <v>10201</v>
      </c>
      <c r="J13" s="181">
        <f t="shared" si="2"/>
        <v>30123.860999999997</v>
      </c>
      <c r="K13" s="181">
        <f t="shared" si="2"/>
        <v>987</v>
      </c>
      <c r="L13" s="181">
        <f t="shared" si="2"/>
        <v>1911.8020000000001</v>
      </c>
      <c r="M13" s="181">
        <f>SUM(G13,I13,K13)</f>
        <v>29289</v>
      </c>
      <c r="N13" s="181">
        <f>SUM(H13,J13,L13)</f>
        <v>113519.23299999998</v>
      </c>
      <c r="O13" s="181">
        <f t="shared" si="2"/>
        <v>0</v>
      </c>
      <c r="P13" s="181">
        <f t="shared" si="2"/>
        <v>0</v>
      </c>
      <c r="Q13" s="204" t="s">
        <v>5</v>
      </c>
      <c r="R13" s="204"/>
      <c r="S13" s="204"/>
      <c r="T13" s="132"/>
      <c r="U13" s="130"/>
      <c r="V13" s="130"/>
    </row>
    <row r="14" spans="1:22">
      <c r="A14" s="21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204"/>
      <c r="R14" s="204"/>
      <c r="S14" s="204"/>
      <c r="T14" s="132"/>
      <c r="U14" s="130"/>
      <c r="V14" s="130"/>
    </row>
    <row r="15" spans="1:22" ht="11.45" customHeight="1">
      <c r="A15" s="4" t="s">
        <v>6</v>
      </c>
      <c r="B15" s="218">
        <f>SUM(C15,E15,G15,I15,K15,O15)</f>
        <v>3251</v>
      </c>
      <c r="C15" s="153">
        <v>1775</v>
      </c>
      <c r="D15" s="151">
        <v>4315.1499999999996</v>
      </c>
      <c r="E15" s="151">
        <v>422</v>
      </c>
      <c r="F15" s="151">
        <v>545.79999999999995</v>
      </c>
      <c r="G15" s="151">
        <v>250</v>
      </c>
      <c r="H15" s="151">
        <v>466.2</v>
      </c>
      <c r="I15" s="151">
        <v>602</v>
      </c>
      <c r="J15" s="151">
        <v>1160.8</v>
      </c>
      <c r="K15" s="151">
        <v>202</v>
      </c>
      <c r="L15" s="151">
        <v>393</v>
      </c>
      <c r="M15" s="134">
        <f>SUM(G15,I15,K15)</f>
        <v>1054</v>
      </c>
      <c r="N15" s="134">
        <f>SUM(H15,J15,L15)</f>
        <v>2020</v>
      </c>
      <c r="O15" s="152" t="s">
        <v>287</v>
      </c>
      <c r="P15" s="151" t="s">
        <v>287</v>
      </c>
      <c r="Q15" s="135" t="s">
        <v>7</v>
      </c>
      <c r="R15" s="5"/>
      <c r="S15" s="5"/>
      <c r="T15" s="5"/>
      <c r="U15" s="130"/>
      <c r="V15" s="130"/>
    </row>
    <row r="16" spans="1:22">
      <c r="A16" s="4" t="s">
        <v>8</v>
      </c>
      <c r="B16" s="218">
        <f t="shared" ref="B16:B20" si="3">SUM(C16,E16,G16,I16,K16,O16)</f>
        <v>21377</v>
      </c>
      <c r="C16" s="153">
        <v>164</v>
      </c>
      <c r="D16" s="151">
        <v>968.5</v>
      </c>
      <c r="E16" s="151">
        <v>107</v>
      </c>
      <c r="F16" s="151">
        <v>254.2</v>
      </c>
      <c r="G16" s="151">
        <v>16894</v>
      </c>
      <c r="H16" s="151">
        <v>78943.97</v>
      </c>
      <c r="I16" s="151">
        <v>4198</v>
      </c>
      <c r="J16" s="151">
        <v>18745.099999999999</v>
      </c>
      <c r="K16" s="151">
        <v>14</v>
      </c>
      <c r="L16" s="151">
        <v>49</v>
      </c>
      <c r="M16" s="134">
        <f t="shared" ref="M16:M20" si="4">SUM(G16,I16,K16)</f>
        <v>21106</v>
      </c>
      <c r="N16" s="134">
        <f t="shared" ref="N16:N20" si="5">SUM(H16,J16,L16)</f>
        <v>97738.07</v>
      </c>
      <c r="O16" s="152" t="s">
        <v>287</v>
      </c>
      <c r="P16" s="151" t="s">
        <v>287</v>
      </c>
      <c r="Q16" s="135" t="s">
        <v>9</v>
      </c>
      <c r="R16" s="5"/>
      <c r="S16" s="143"/>
      <c r="T16" s="5"/>
      <c r="U16" s="130"/>
      <c r="V16" s="130"/>
    </row>
    <row r="17" spans="1:22">
      <c r="A17" s="4" t="s">
        <v>10</v>
      </c>
      <c r="B17" s="218">
        <f t="shared" si="3"/>
        <v>5203</v>
      </c>
      <c r="C17" s="153">
        <v>1427</v>
      </c>
      <c r="D17" s="151">
        <v>2798.5610000000001</v>
      </c>
      <c r="E17" s="151">
        <v>2489</v>
      </c>
      <c r="F17" s="151">
        <v>3032.35</v>
      </c>
      <c r="G17" s="151">
        <v>187</v>
      </c>
      <c r="H17" s="151">
        <v>568</v>
      </c>
      <c r="I17" s="151">
        <v>709</v>
      </c>
      <c r="J17" s="151">
        <v>2335.98</v>
      </c>
      <c r="K17" s="151">
        <v>391</v>
      </c>
      <c r="L17" s="151">
        <v>710.5</v>
      </c>
      <c r="M17" s="134">
        <f t="shared" si="4"/>
        <v>1287</v>
      </c>
      <c r="N17" s="134">
        <f t="shared" si="5"/>
        <v>3614.48</v>
      </c>
      <c r="O17" s="152" t="s">
        <v>287</v>
      </c>
      <c r="P17" s="151" t="s">
        <v>287</v>
      </c>
      <c r="Q17" s="135" t="s">
        <v>11</v>
      </c>
      <c r="R17" s="5"/>
      <c r="S17" s="5"/>
      <c r="T17" s="5"/>
      <c r="U17" s="130"/>
      <c r="V17" s="130"/>
    </row>
    <row r="18" spans="1:22">
      <c r="A18" s="4" t="s">
        <v>12</v>
      </c>
      <c r="B18" s="218">
        <f t="shared" si="3"/>
        <v>120</v>
      </c>
      <c r="C18" s="153">
        <v>10</v>
      </c>
      <c r="D18" s="151">
        <v>14.9</v>
      </c>
      <c r="E18" s="151">
        <v>5</v>
      </c>
      <c r="F18" s="151">
        <v>5.8</v>
      </c>
      <c r="G18" s="151">
        <v>59</v>
      </c>
      <c r="H18" s="151">
        <v>88.4</v>
      </c>
      <c r="I18" s="151">
        <v>46</v>
      </c>
      <c r="J18" s="151">
        <v>57.7</v>
      </c>
      <c r="K18" s="152" t="s">
        <v>287</v>
      </c>
      <c r="L18" s="151" t="s">
        <v>287</v>
      </c>
      <c r="M18" s="134">
        <f t="shared" si="4"/>
        <v>105</v>
      </c>
      <c r="N18" s="134">
        <f t="shared" si="5"/>
        <v>146.10000000000002</v>
      </c>
      <c r="O18" s="152" t="s">
        <v>287</v>
      </c>
      <c r="P18" s="151" t="s">
        <v>287</v>
      </c>
      <c r="Q18" s="135" t="s">
        <v>13</v>
      </c>
      <c r="R18" s="5"/>
      <c r="S18" s="5"/>
      <c r="T18" s="5"/>
      <c r="U18" s="130"/>
      <c r="V18" s="130"/>
    </row>
    <row r="19" spans="1:22">
      <c r="A19" s="4" t="s">
        <v>14</v>
      </c>
      <c r="B19" s="218">
        <f t="shared" si="3"/>
        <v>3077</v>
      </c>
      <c r="C19" s="153">
        <v>1519</v>
      </c>
      <c r="D19" s="151">
        <v>6757.5</v>
      </c>
      <c r="E19" s="151">
        <v>415</v>
      </c>
      <c r="F19" s="151">
        <v>965.5</v>
      </c>
      <c r="G19" s="151">
        <v>570</v>
      </c>
      <c r="H19" s="151">
        <v>855</v>
      </c>
      <c r="I19" s="151">
        <v>425</v>
      </c>
      <c r="J19" s="151">
        <v>716.96</v>
      </c>
      <c r="K19" s="151">
        <v>148</v>
      </c>
      <c r="L19" s="151">
        <v>240.7</v>
      </c>
      <c r="M19" s="134">
        <f t="shared" si="4"/>
        <v>1143</v>
      </c>
      <c r="N19" s="134">
        <f t="shared" si="5"/>
        <v>1812.66</v>
      </c>
      <c r="O19" s="152" t="s">
        <v>287</v>
      </c>
      <c r="P19" s="151" t="s">
        <v>287</v>
      </c>
      <c r="Q19" s="135" t="s">
        <v>15</v>
      </c>
      <c r="R19" s="5"/>
      <c r="S19" s="5"/>
      <c r="T19" s="5"/>
      <c r="U19" s="130"/>
      <c r="V19" s="130"/>
    </row>
    <row r="20" spans="1:22">
      <c r="A20" s="4" t="s">
        <v>16</v>
      </c>
      <c r="B20" s="218">
        <f t="shared" si="3"/>
        <v>5026</v>
      </c>
      <c r="C20" s="153">
        <v>336</v>
      </c>
      <c r="D20" s="151">
        <v>1550.84</v>
      </c>
      <c r="E20" s="151">
        <v>96</v>
      </c>
      <c r="F20" s="151">
        <v>233.47</v>
      </c>
      <c r="G20" s="151">
        <v>141</v>
      </c>
      <c r="H20" s="151">
        <v>562</v>
      </c>
      <c r="I20" s="151">
        <v>4221</v>
      </c>
      <c r="J20" s="151">
        <v>7107.3209999999999</v>
      </c>
      <c r="K20" s="151">
        <v>232</v>
      </c>
      <c r="L20" s="151">
        <v>518.60199999999998</v>
      </c>
      <c r="M20" s="134">
        <f t="shared" si="4"/>
        <v>4594</v>
      </c>
      <c r="N20" s="134">
        <f t="shared" si="5"/>
        <v>8187.9229999999998</v>
      </c>
      <c r="O20" s="152" t="s">
        <v>287</v>
      </c>
      <c r="P20" s="151" t="s">
        <v>287</v>
      </c>
      <c r="Q20" s="135" t="s">
        <v>17</v>
      </c>
      <c r="R20" s="5"/>
      <c r="S20" s="5"/>
      <c r="T20" s="5"/>
      <c r="U20" s="130"/>
      <c r="V20" s="130"/>
    </row>
    <row r="21" spans="1:22">
      <c r="A21" s="210" t="s">
        <v>18</v>
      </c>
      <c r="B21" s="181">
        <f>SUM(B23:B29)</f>
        <v>28330</v>
      </c>
      <c r="C21" s="181">
        <f>SUM(C23:C29)</f>
        <v>11339</v>
      </c>
      <c r="D21" s="181">
        <f t="shared" ref="D21:K21" si="6">SUM(D23:D29)</f>
        <v>52129.008999999998</v>
      </c>
      <c r="E21" s="181">
        <f t="shared" si="6"/>
        <v>5703</v>
      </c>
      <c r="F21" s="181">
        <f t="shared" si="6"/>
        <v>12778.759</v>
      </c>
      <c r="G21" s="181">
        <f t="shared" si="6"/>
        <v>1052</v>
      </c>
      <c r="H21" s="181">
        <f t="shared" si="6"/>
        <v>2901.3950000000004</v>
      </c>
      <c r="I21" s="181">
        <f t="shared" si="6"/>
        <v>7391</v>
      </c>
      <c r="J21" s="181">
        <f t="shared" si="6"/>
        <v>22172.48</v>
      </c>
      <c r="K21" s="181">
        <f t="shared" si="6"/>
        <v>2706</v>
      </c>
      <c r="L21" s="181">
        <f>SUM(L23:L29)</f>
        <v>6699.9459999999999</v>
      </c>
      <c r="M21" s="181">
        <f>SUM(G21,I21,K21)</f>
        <v>11149</v>
      </c>
      <c r="N21" s="181">
        <f>SUM(H21,J21,L21)</f>
        <v>31773.821</v>
      </c>
      <c r="O21" s="181">
        <f>SUM(O23:O29)</f>
        <v>139</v>
      </c>
      <c r="P21" s="181">
        <f>SUM(P23:P29)</f>
        <v>393.15</v>
      </c>
      <c r="Q21" s="212" t="s">
        <v>19</v>
      </c>
      <c r="R21" s="212"/>
      <c r="S21" s="212"/>
      <c r="T21" s="5"/>
      <c r="U21" s="130"/>
      <c r="V21" s="130"/>
    </row>
    <row r="22" spans="1:22">
      <c r="A22" s="21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212"/>
      <c r="R22" s="212"/>
      <c r="S22" s="212"/>
      <c r="T22" s="5"/>
      <c r="U22" s="130"/>
      <c r="V22" s="130"/>
    </row>
    <row r="23" spans="1:22">
      <c r="A23" s="4" t="s">
        <v>20</v>
      </c>
      <c r="B23" s="218">
        <f t="shared" ref="B23:B34" si="7">SUM(C23,E23,G23,I23,K23,O23)</f>
        <v>7635</v>
      </c>
      <c r="C23" s="151">
        <v>5046</v>
      </c>
      <c r="D23" s="151">
        <v>27619.5</v>
      </c>
      <c r="E23" s="151">
        <v>1766</v>
      </c>
      <c r="F23" s="151">
        <v>4837.2550000000001</v>
      </c>
      <c r="G23" s="151">
        <v>152</v>
      </c>
      <c r="H23" s="151">
        <v>434</v>
      </c>
      <c r="I23" s="151">
        <v>329</v>
      </c>
      <c r="J23" s="151">
        <v>978.2</v>
      </c>
      <c r="K23" s="151">
        <v>336</v>
      </c>
      <c r="L23" s="151">
        <v>969</v>
      </c>
      <c r="M23" s="134">
        <f t="shared" ref="M23:N29" si="8">SUM(G23,I23,K23)</f>
        <v>817</v>
      </c>
      <c r="N23" s="134">
        <f t="shared" si="8"/>
        <v>2381.1999999999998</v>
      </c>
      <c r="O23" s="153">
        <v>6</v>
      </c>
      <c r="P23" s="151">
        <v>18</v>
      </c>
      <c r="Q23" s="135" t="s">
        <v>21</v>
      </c>
      <c r="R23" s="5"/>
      <c r="S23" s="5"/>
      <c r="T23" s="5"/>
      <c r="U23" s="130"/>
      <c r="V23" s="130"/>
    </row>
    <row r="24" spans="1:22">
      <c r="A24" s="4" t="s">
        <v>22</v>
      </c>
      <c r="B24" s="218">
        <f t="shared" si="7"/>
        <v>444</v>
      </c>
      <c r="C24" s="151">
        <v>165</v>
      </c>
      <c r="D24" s="151">
        <v>808.9</v>
      </c>
      <c r="E24" s="151">
        <v>29</v>
      </c>
      <c r="F24" s="151">
        <v>83.9</v>
      </c>
      <c r="G24" s="151">
        <v>29</v>
      </c>
      <c r="H24" s="151">
        <v>128.19999999999999</v>
      </c>
      <c r="I24" s="151">
        <v>183</v>
      </c>
      <c r="J24" s="151">
        <v>597.6</v>
      </c>
      <c r="K24" s="151">
        <v>38</v>
      </c>
      <c r="L24" s="151">
        <v>178</v>
      </c>
      <c r="M24" s="134">
        <f t="shared" si="8"/>
        <v>250</v>
      </c>
      <c r="N24" s="134">
        <f t="shared" si="8"/>
        <v>903.8</v>
      </c>
      <c r="O24" s="152" t="s">
        <v>287</v>
      </c>
      <c r="P24" s="151" t="s">
        <v>287</v>
      </c>
      <c r="Q24" s="135" t="s">
        <v>23</v>
      </c>
      <c r="R24" s="5"/>
      <c r="S24" s="5"/>
      <c r="T24" s="5"/>
      <c r="U24" s="130"/>
      <c r="V24" s="130"/>
    </row>
    <row r="25" spans="1:22">
      <c r="A25" s="4" t="s">
        <v>24</v>
      </c>
      <c r="B25" s="218">
        <f t="shared" si="7"/>
        <v>2612</v>
      </c>
      <c r="C25" s="151">
        <v>1262</v>
      </c>
      <c r="D25" s="151">
        <v>2823.4850000000001</v>
      </c>
      <c r="E25" s="151">
        <v>369</v>
      </c>
      <c r="F25" s="151">
        <v>670.12</v>
      </c>
      <c r="G25" s="151">
        <v>227</v>
      </c>
      <c r="H25" s="151">
        <v>418.95</v>
      </c>
      <c r="I25" s="151">
        <v>326</v>
      </c>
      <c r="J25" s="151">
        <v>604.85</v>
      </c>
      <c r="K25" s="151">
        <v>419</v>
      </c>
      <c r="L25" s="151">
        <v>872.55</v>
      </c>
      <c r="M25" s="134">
        <f t="shared" si="8"/>
        <v>972</v>
      </c>
      <c r="N25" s="134">
        <f t="shared" si="8"/>
        <v>1896.35</v>
      </c>
      <c r="O25" s="153">
        <v>9</v>
      </c>
      <c r="P25" s="151">
        <v>9.9</v>
      </c>
      <c r="Q25" s="135" t="s">
        <v>25</v>
      </c>
      <c r="R25" s="5"/>
      <c r="S25" s="5"/>
      <c r="T25" s="5"/>
      <c r="U25" s="130"/>
      <c r="V25" s="130"/>
    </row>
    <row r="26" spans="1:22">
      <c r="A26" s="4" t="s">
        <v>26</v>
      </c>
      <c r="B26" s="218">
        <f t="shared" si="7"/>
        <v>5631</v>
      </c>
      <c r="C26" s="151">
        <v>922</v>
      </c>
      <c r="D26" s="151">
        <v>5486.1</v>
      </c>
      <c r="E26" s="151">
        <v>480</v>
      </c>
      <c r="F26" s="151">
        <v>1110.46</v>
      </c>
      <c r="G26" s="151">
        <v>243</v>
      </c>
      <c r="H26" s="151">
        <v>739.3</v>
      </c>
      <c r="I26" s="151">
        <v>3094</v>
      </c>
      <c r="J26" s="151">
        <v>7760.3649999999998</v>
      </c>
      <c r="K26" s="151">
        <v>882</v>
      </c>
      <c r="L26" s="151">
        <v>1517.51</v>
      </c>
      <c r="M26" s="134">
        <f t="shared" si="8"/>
        <v>4219</v>
      </c>
      <c r="N26" s="134">
        <f t="shared" si="8"/>
        <v>10017.174999999999</v>
      </c>
      <c r="O26" s="153">
        <v>10</v>
      </c>
      <c r="P26" s="151">
        <v>31</v>
      </c>
      <c r="Q26" s="135" t="s">
        <v>27</v>
      </c>
      <c r="R26" s="5"/>
      <c r="S26" s="5"/>
      <c r="T26" s="5"/>
      <c r="U26" s="130"/>
      <c r="V26" s="130"/>
    </row>
    <row r="27" spans="1:22">
      <c r="A27" s="4" t="s">
        <v>28</v>
      </c>
      <c r="B27" s="218">
        <f t="shared" si="7"/>
        <v>2561</v>
      </c>
      <c r="C27" s="151">
        <v>1600</v>
      </c>
      <c r="D27" s="151">
        <v>5636.2</v>
      </c>
      <c r="E27" s="151">
        <v>526</v>
      </c>
      <c r="F27" s="151">
        <v>1085.3</v>
      </c>
      <c r="G27" s="151">
        <v>126</v>
      </c>
      <c r="H27" s="151">
        <v>334.4</v>
      </c>
      <c r="I27" s="151">
        <v>220</v>
      </c>
      <c r="J27" s="151">
        <v>456.5</v>
      </c>
      <c r="K27" s="151">
        <v>89</v>
      </c>
      <c r="L27" s="151">
        <v>179.5</v>
      </c>
      <c r="M27" s="134">
        <f t="shared" si="8"/>
        <v>435</v>
      </c>
      <c r="N27" s="134">
        <f t="shared" si="8"/>
        <v>970.4</v>
      </c>
      <c r="O27" s="152" t="s">
        <v>287</v>
      </c>
      <c r="P27" s="151" t="s">
        <v>287</v>
      </c>
      <c r="Q27" s="135" t="s">
        <v>29</v>
      </c>
      <c r="R27" s="5"/>
      <c r="S27" s="5"/>
      <c r="T27" s="5"/>
      <c r="U27" s="130"/>
      <c r="V27" s="130"/>
    </row>
    <row r="28" spans="1:22">
      <c r="A28" s="4" t="s">
        <v>30</v>
      </c>
      <c r="B28" s="218">
        <f t="shared" si="7"/>
        <v>7555</v>
      </c>
      <c r="C28" s="151">
        <v>1731</v>
      </c>
      <c r="D28" s="151">
        <v>7411.25</v>
      </c>
      <c r="E28" s="151">
        <v>1565</v>
      </c>
      <c r="F28" s="151">
        <v>3202.902</v>
      </c>
      <c r="G28" s="151">
        <v>171</v>
      </c>
      <c r="H28" s="151">
        <v>535.20000000000005</v>
      </c>
      <c r="I28" s="151">
        <v>3108</v>
      </c>
      <c r="J28" s="151">
        <v>11508.7</v>
      </c>
      <c r="K28" s="151">
        <v>915</v>
      </c>
      <c r="L28" s="151">
        <v>2926.6</v>
      </c>
      <c r="M28" s="134">
        <f t="shared" si="8"/>
        <v>4194</v>
      </c>
      <c r="N28" s="134">
        <f t="shared" si="8"/>
        <v>14970.500000000002</v>
      </c>
      <c r="O28" s="153">
        <v>65</v>
      </c>
      <c r="P28" s="151">
        <v>218.1</v>
      </c>
      <c r="Q28" s="135" t="s">
        <v>31</v>
      </c>
      <c r="R28" s="5"/>
      <c r="S28" s="5"/>
      <c r="T28" s="5"/>
      <c r="U28" s="130"/>
      <c r="V28" s="130"/>
    </row>
    <row r="29" spans="1:22">
      <c r="A29" s="4" t="s">
        <v>32</v>
      </c>
      <c r="B29" s="218">
        <f t="shared" si="7"/>
        <v>1892</v>
      </c>
      <c r="C29" s="151">
        <v>613</v>
      </c>
      <c r="D29" s="151">
        <v>2343.5740000000001</v>
      </c>
      <c r="E29" s="151">
        <v>968</v>
      </c>
      <c r="F29" s="151">
        <v>1788.8219999999999</v>
      </c>
      <c r="G29" s="151">
        <v>104</v>
      </c>
      <c r="H29" s="151">
        <v>311.34500000000003</v>
      </c>
      <c r="I29" s="151">
        <v>131</v>
      </c>
      <c r="J29" s="151">
        <v>266.26499999999999</v>
      </c>
      <c r="K29" s="151">
        <v>27</v>
      </c>
      <c r="L29" s="151">
        <v>56.786000000000001</v>
      </c>
      <c r="M29" s="134">
        <f t="shared" si="8"/>
        <v>262</v>
      </c>
      <c r="N29" s="134">
        <f t="shared" si="8"/>
        <v>634.39599999999996</v>
      </c>
      <c r="O29" s="153">
        <v>49</v>
      </c>
      <c r="P29" s="151">
        <v>116.15</v>
      </c>
      <c r="Q29" s="135" t="s">
        <v>33</v>
      </c>
      <c r="R29" s="5"/>
      <c r="S29" s="5"/>
      <c r="T29" s="5"/>
      <c r="U29" s="130"/>
      <c r="V29" s="130"/>
    </row>
    <row r="30" spans="1:22" ht="21" customHeight="1">
      <c r="A30" s="141" t="s">
        <v>289</v>
      </c>
      <c r="B30" s="139">
        <f>SUM(B31:B34)</f>
        <v>11493</v>
      </c>
      <c r="C30" s="139">
        <f>SUM(C31:C34)</f>
        <v>436</v>
      </c>
      <c r="D30" s="139">
        <f>SUM(D31:D34)</f>
        <v>1348.819</v>
      </c>
      <c r="E30" s="139">
        <f t="shared" ref="E30:K30" si="9">SUM(E31:E34)</f>
        <v>646</v>
      </c>
      <c r="F30" s="139">
        <f t="shared" si="9"/>
        <v>1028.3600000000001</v>
      </c>
      <c r="G30" s="139">
        <f t="shared" si="9"/>
        <v>5599</v>
      </c>
      <c r="H30" s="139">
        <f t="shared" si="9"/>
        <v>20652.690000000002</v>
      </c>
      <c r="I30" s="139">
        <f t="shared" si="9"/>
        <v>4503</v>
      </c>
      <c r="J30" s="139">
        <f>SUM(J31:J34)</f>
        <v>14428.355</v>
      </c>
      <c r="K30" s="139">
        <f t="shared" si="9"/>
        <v>279</v>
      </c>
      <c r="L30" s="139">
        <f>SUM(L31:L34)</f>
        <v>978.40000000000009</v>
      </c>
      <c r="M30" s="140">
        <f>SUM(G30,I30,K30)</f>
        <v>10381</v>
      </c>
      <c r="N30" s="140">
        <f>SUM(H30,J30,L30)</f>
        <v>36059.445</v>
      </c>
      <c r="O30" s="139">
        <f t="shared" ref="O30:P30" si="10">SUM(O31:O34)</f>
        <v>30</v>
      </c>
      <c r="P30" s="139">
        <f t="shared" si="10"/>
        <v>36.17</v>
      </c>
      <c r="Q30" s="137" t="s">
        <v>290</v>
      </c>
      <c r="R30" s="144"/>
      <c r="S30" s="144"/>
      <c r="T30" s="5"/>
      <c r="U30" s="130"/>
      <c r="V30" s="130"/>
    </row>
    <row r="31" spans="1:22">
      <c r="A31" s="4" t="s">
        <v>34</v>
      </c>
      <c r="B31" s="218">
        <f t="shared" si="7"/>
        <v>5137</v>
      </c>
      <c r="C31" s="151">
        <v>183</v>
      </c>
      <c r="D31" s="151">
        <v>699.38900000000001</v>
      </c>
      <c r="E31" s="151">
        <v>271</v>
      </c>
      <c r="F31" s="151">
        <v>386.161</v>
      </c>
      <c r="G31" s="151">
        <v>2699</v>
      </c>
      <c r="H31" s="151">
        <v>10244.19</v>
      </c>
      <c r="I31" s="151">
        <v>1922</v>
      </c>
      <c r="J31" s="151">
        <v>5362.3549999999996</v>
      </c>
      <c r="K31" s="151">
        <v>56</v>
      </c>
      <c r="L31" s="151">
        <v>214.3</v>
      </c>
      <c r="M31" s="134">
        <f t="shared" ref="M31:N34" si="11">SUM(G31,I31,K31)</f>
        <v>4677</v>
      </c>
      <c r="N31" s="134">
        <f t="shared" si="11"/>
        <v>15820.844999999999</v>
      </c>
      <c r="O31" s="153">
        <v>6</v>
      </c>
      <c r="P31" s="151">
        <v>10.37</v>
      </c>
      <c r="Q31" s="135" t="s">
        <v>35</v>
      </c>
      <c r="R31" s="5"/>
      <c r="S31" s="5"/>
      <c r="T31" s="5"/>
      <c r="U31" s="130"/>
      <c r="V31" s="130"/>
    </row>
    <row r="32" spans="1:22">
      <c r="A32" s="4" t="s">
        <v>36</v>
      </c>
      <c r="B32" s="218">
        <f t="shared" si="7"/>
        <v>486</v>
      </c>
      <c r="C32" s="151">
        <v>48</v>
      </c>
      <c r="D32" s="151">
        <v>102.18</v>
      </c>
      <c r="E32" s="151">
        <v>115</v>
      </c>
      <c r="F32" s="151">
        <v>139.28</v>
      </c>
      <c r="G32" s="151">
        <v>275</v>
      </c>
      <c r="H32" s="151">
        <v>725.6</v>
      </c>
      <c r="I32" s="151">
        <v>27</v>
      </c>
      <c r="J32" s="151">
        <v>72.5</v>
      </c>
      <c r="K32" s="151">
        <v>20</v>
      </c>
      <c r="L32" s="151">
        <v>60</v>
      </c>
      <c r="M32" s="134">
        <f t="shared" si="11"/>
        <v>322</v>
      </c>
      <c r="N32" s="134">
        <f t="shared" si="11"/>
        <v>858.1</v>
      </c>
      <c r="O32" s="153">
        <v>1</v>
      </c>
      <c r="P32" s="151">
        <v>1</v>
      </c>
      <c r="Q32" s="135" t="s">
        <v>37</v>
      </c>
      <c r="R32" s="5"/>
      <c r="S32" s="5"/>
      <c r="T32" s="5"/>
      <c r="U32" s="130"/>
      <c r="V32" s="130"/>
    </row>
    <row r="33" spans="1:22">
      <c r="A33" s="4" t="s">
        <v>38</v>
      </c>
      <c r="B33" s="218">
        <f t="shared" si="7"/>
        <v>2315</v>
      </c>
      <c r="C33" s="151">
        <v>79</v>
      </c>
      <c r="D33" s="151">
        <v>346</v>
      </c>
      <c r="E33" s="151">
        <v>116</v>
      </c>
      <c r="F33" s="151">
        <v>344</v>
      </c>
      <c r="G33" s="151">
        <v>273</v>
      </c>
      <c r="H33" s="151">
        <v>846.6</v>
      </c>
      <c r="I33" s="151">
        <v>1773</v>
      </c>
      <c r="J33" s="151">
        <v>6259.35</v>
      </c>
      <c r="K33" s="151">
        <v>72</v>
      </c>
      <c r="L33" s="151">
        <v>219.5</v>
      </c>
      <c r="M33" s="134">
        <f t="shared" si="11"/>
        <v>2118</v>
      </c>
      <c r="N33" s="134">
        <f t="shared" si="11"/>
        <v>7325.4500000000007</v>
      </c>
      <c r="O33" s="153">
        <v>2</v>
      </c>
      <c r="P33" s="151">
        <v>4</v>
      </c>
      <c r="Q33" s="135" t="s">
        <v>39</v>
      </c>
      <c r="R33" s="5"/>
      <c r="S33" s="5"/>
      <c r="T33" s="5"/>
      <c r="U33" s="130"/>
      <c r="V33" s="130"/>
    </row>
    <row r="34" spans="1:22">
      <c r="A34" s="4" t="s">
        <v>40</v>
      </c>
      <c r="B34" s="218">
        <f t="shared" si="7"/>
        <v>3555</v>
      </c>
      <c r="C34" s="151">
        <v>126</v>
      </c>
      <c r="D34" s="151">
        <v>201.25</v>
      </c>
      <c r="E34" s="151">
        <v>144</v>
      </c>
      <c r="F34" s="151">
        <v>158.91900000000001</v>
      </c>
      <c r="G34" s="151">
        <v>2352</v>
      </c>
      <c r="H34" s="151">
        <v>8836.2999999999993</v>
      </c>
      <c r="I34" s="151">
        <v>781</v>
      </c>
      <c r="J34" s="151">
        <v>2734.15</v>
      </c>
      <c r="K34" s="151">
        <v>131</v>
      </c>
      <c r="L34" s="151">
        <v>484.6</v>
      </c>
      <c r="M34" s="134">
        <f t="shared" si="11"/>
        <v>3264</v>
      </c>
      <c r="N34" s="134">
        <f t="shared" si="11"/>
        <v>12055.05</v>
      </c>
      <c r="O34" s="153">
        <v>21</v>
      </c>
      <c r="P34" s="151">
        <v>20.8</v>
      </c>
      <c r="Q34" s="135" t="s">
        <v>41</v>
      </c>
      <c r="R34" s="5"/>
      <c r="S34" s="5"/>
      <c r="T34" s="5"/>
      <c r="U34" s="130"/>
      <c r="V34" s="130"/>
    </row>
    <row r="35" spans="1:22">
      <c r="A35" s="210" t="s">
        <v>42</v>
      </c>
      <c r="B35" s="181">
        <f>SUM(B37:B40)</f>
        <v>8752</v>
      </c>
      <c r="C35" s="181">
        <f>SUM(C37:C40)</f>
        <v>632</v>
      </c>
      <c r="D35" s="181">
        <f t="shared" ref="D35:P35" si="12">SUM(D37:D40)</f>
        <v>2624.5</v>
      </c>
      <c r="E35" s="181">
        <f t="shared" si="12"/>
        <v>331</v>
      </c>
      <c r="F35" s="181">
        <f t="shared" si="12"/>
        <v>688.05</v>
      </c>
      <c r="G35" s="181">
        <f t="shared" si="12"/>
        <v>2758</v>
      </c>
      <c r="H35" s="181">
        <f t="shared" si="12"/>
        <v>4173.8500000000004</v>
      </c>
      <c r="I35" s="181">
        <f t="shared" si="12"/>
        <v>4898</v>
      </c>
      <c r="J35" s="181">
        <f t="shared" si="12"/>
        <v>9462.32</v>
      </c>
      <c r="K35" s="181">
        <f t="shared" si="12"/>
        <v>132</v>
      </c>
      <c r="L35" s="181">
        <f>SUM(L37:L40)</f>
        <v>244.10000000000002</v>
      </c>
      <c r="M35" s="181">
        <f>SUM(G35,I35,K35)</f>
        <v>7788</v>
      </c>
      <c r="N35" s="181">
        <f>SUM(H35,J35,L35)</f>
        <v>13880.27</v>
      </c>
      <c r="O35" s="181">
        <f t="shared" si="12"/>
        <v>1</v>
      </c>
      <c r="P35" s="181">
        <f t="shared" si="12"/>
        <v>2</v>
      </c>
      <c r="Q35" s="213" t="s">
        <v>43</v>
      </c>
      <c r="R35" s="213"/>
      <c r="S35" s="213"/>
      <c r="T35" s="5"/>
      <c r="U35" s="130"/>
      <c r="V35" s="130"/>
    </row>
    <row r="36" spans="1:22">
      <c r="A36" s="21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213"/>
      <c r="R36" s="213"/>
      <c r="S36" s="213"/>
      <c r="T36" s="5"/>
      <c r="U36" s="130"/>
      <c r="V36" s="130"/>
    </row>
    <row r="37" spans="1:22">
      <c r="A37" s="4" t="s">
        <v>44</v>
      </c>
      <c r="B37" s="218">
        <f>SUM(C37,E37,G37,I37,K37,O37)</f>
        <v>5462</v>
      </c>
      <c r="C37" s="151">
        <v>5</v>
      </c>
      <c r="D37" s="151">
        <v>16.3</v>
      </c>
      <c r="E37" s="151">
        <v>121</v>
      </c>
      <c r="F37" s="151">
        <v>300.5</v>
      </c>
      <c r="G37" s="151">
        <v>623</v>
      </c>
      <c r="H37" s="151">
        <v>820</v>
      </c>
      <c r="I37" s="151">
        <v>4672</v>
      </c>
      <c r="J37" s="151">
        <v>8917.02</v>
      </c>
      <c r="K37" s="151">
        <v>41</v>
      </c>
      <c r="L37" s="151">
        <v>41.3</v>
      </c>
      <c r="M37" s="134">
        <f t="shared" ref="M37:N40" si="13">SUM(G37,I37,K37)</f>
        <v>5336</v>
      </c>
      <c r="N37" s="134">
        <f t="shared" si="13"/>
        <v>9778.32</v>
      </c>
      <c r="O37" s="152" t="s">
        <v>287</v>
      </c>
      <c r="P37" s="151" t="s">
        <v>287</v>
      </c>
      <c r="Q37" s="135" t="s">
        <v>45</v>
      </c>
      <c r="R37" s="5"/>
      <c r="S37" s="5"/>
      <c r="T37" s="5"/>
      <c r="U37" s="130"/>
      <c r="V37" s="130"/>
    </row>
    <row r="38" spans="1:22">
      <c r="A38" s="4" t="s">
        <v>46</v>
      </c>
      <c r="B38" s="218">
        <f>SUM(C38,E38,G38,I38,K38,O38)</f>
        <v>2025</v>
      </c>
      <c r="C38" s="151">
        <v>31</v>
      </c>
      <c r="D38" s="151">
        <v>62.6</v>
      </c>
      <c r="E38" s="151">
        <v>12</v>
      </c>
      <c r="F38" s="151">
        <v>10.75</v>
      </c>
      <c r="G38" s="151">
        <v>1973</v>
      </c>
      <c r="H38" s="151">
        <v>2908.85</v>
      </c>
      <c r="I38" s="152" t="s">
        <v>287</v>
      </c>
      <c r="J38" s="151" t="s">
        <v>287</v>
      </c>
      <c r="K38" s="151">
        <v>9</v>
      </c>
      <c r="L38" s="151">
        <v>19</v>
      </c>
      <c r="M38" s="134">
        <f t="shared" si="13"/>
        <v>1982</v>
      </c>
      <c r="N38" s="134">
        <f t="shared" si="13"/>
        <v>2927.85</v>
      </c>
      <c r="O38" s="152" t="s">
        <v>287</v>
      </c>
      <c r="P38" s="151" t="s">
        <v>287</v>
      </c>
      <c r="Q38" s="135" t="s">
        <v>47</v>
      </c>
      <c r="R38" s="5"/>
      <c r="S38" s="5"/>
      <c r="T38" s="5"/>
      <c r="U38" s="130"/>
      <c r="V38" s="130"/>
    </row>
    <row r="39" spans="1:22">
      <c r="A39" s="4" t="s">
        <v>48</v>
      </c>
      <c r="B39" s="218">
        <f>SUM(C39,E39,G39,I39,K39,O39)</f>
        <v>846</v>
      </c>
      <c r="C39" s="151">
        <v>449</v>
      </c>
      <c r="D39" s="151">
        <v>1991.5</v>
      </c>
      <c r="E39" s="151">
        <v>137</v>
      </c>
      <c r="F39" s="151">
        <v>212.8</v>
      </c>
      <c r="G39" s="151">
        <v>64</v>
      </c>
      <c r="H39" s="151">
        <v>151</v>
      </c>
      <c r="I39" s="151">
        <v>194</v>
      </c>
      <c r="J39" s="151">
        <v>461.3</v>
      </c>
      <c r="K39" s="151">
        <v>1</v>
      </c>
      <c r="L39" s="151">
        <v>4</v>
      </c>
      <c r="M39" s="134">
        <f t="shared" si="13"/>
        <v>259</v>
      </c>
      <c r="N39" s="134">
        <f t="shared" si="13"/>
        <v>616.29999999999995</v>
      </c>
      <c r="O39" s="153">
        <v>1</v>
      </c>
      <c r="P39" s="151">
        <v>2</v>
      </c>
      <c r="Q39" s="135" t="s">
        <v>49</v>
      </c>
      <c r="R39" s="5"/>
      <c r="S39" s="5"/>
      <c r="T39" s="5"/>
      <c r="U39" s="130"/>
      <c r="V39" s="130"/>
    </row>
    <row r="40" spans="1:22">
      <c r="A40" s="4" t="s">
        <v>50</v>
      </c>
      <c r="B40" s="218">
        <f>SUM(C40,E40,G40,I40,K40,O40)</f>
        <v>419</v>
      </c>
      <c r="C40" s="151">
        <v>147</v>
      </c>
      <c r="D40" s="151">
        <v>554.1</v>
      </c>
      <c r="E40" s="151">
        <v>61</v>
      </c>
      <c r="F40" s="151">
        <v>164</v>
      </c>
      <c r="G40" s="151">
        <v>98</v>
      </c>
      <c r="H40" s="151">
        <v>294</v>
      </c>
      <c r="I40" s="151">
        <v>32</v>
      </c>
      <c r="J40" s="151">
        <v>84</v>
      </c>
      <c r="K40" s="151">
        <v>81</v>
      </c>
      <c r="L40" s="151">
        <v>179.8</v>
      </c>
      <c r="M40" s="134">
        <f t="shared" si="13"/>
        <v>211</v>
      </c>
      <c r="N40" s="134">
        <f t="shared" si="13"/>
        <v>557.79999999999995</v>
      </c>
      <c r="O40" s="152" t="s">
        <v>287</v>
      </c>
      <c r="P40" s="151" t="s">
        <v>287</v>
      </c>
      <c r="Q40" s="135" t="s">
        <v>51</v>
      </c>
      <c r="R40" s="5"/>
      <c r="S40" s="5"/>
      <c r="T40" s="5"/>
      <c r="U40" s="130"/>
      <c r="V40" s="130"/>
    </row>
    <row r="41" spans="1:22">
      <c r="A41" s="210" t="s">
        <v>52</v>
      </c>
      <c r="B41" s="181">
        <f>SUM(B43:B47)</f>
        <v>19494</v>
      </c>
      <c r="C41" s="181">
        <f>SUM(C43:C47)</f>
        <v>6489</v>
      </c>
      <c r="D41" s="181">
        <f t="shared" ref="D41:P41" si="14">SUM(D43:D47)</f>
        <v>31861.949999999997</v>
      </c>
      <c r="E41" s="181">
        <f t="shared" si="14"/>
        <v>6987</v>
      </c>
      <c r="F41" s="181">
        <f t="shared" si="14"/>
        <v>19560.175999999999</v>
      </c>
      <c r="G41" s="181">
        <f t="shared" si="14"/>
        <v>1772</v>
      </c>
      <c r="H41" s="181">
        <f t="shared" si="14"/>
        <v>4498.59</v>
      </c>
      <c r="I41" s="181">
        <f t="shared" si="14"/>
        <v>3484</v>
      </c>
      <c r="J41" s="181">
        <f t="shared" si="14"/>
        <v>5152.7300000000005</v>
      </c>
      <c r="K41" s="181">
        <f t="shared" si="14"/>
        <v>748</v>
      </c>
      <c r="L41" s="181">
        <f t="shared" si="14"/>
        <v>1669.9099999999999</v>
      </c>
      <c r="M41" s="181">
        <f>SUM(G41,I41,K41)</f>
        <v>6004</v>
      </c>
      <c r="N41" s="181">
        <f>SUM(H41,J41,L41)</f>
        <v>11321.23</v>
      </c>
      <c r="O41" s="181">
        <f t="shared" si="14"/>
        <v>14</v>
      </c>
      <c r="P41" s="181">
        <f t="shared" si="14"/>
        <v>33.049999999999997</v>
      </c>
      <c r="Q41" s="213" t="s">
        <v>53</v>
      </c>
      <c r="R41" s="213"/>
      <c r="S41" s="213"/>
      <c r="T41" s="5"/>
      <c r="U41" s="130"/>
      <c r="V41" s="130"/>
    </row>
    <row r="42" spans="1:22">
      <c r="A42" s="21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213"/>
      <c r="R42" s="213"/>
      <c r="S42" s="213"/>
      <c r="T42" s="5"/>
      <c r="U42" s="130"/>
      <c r="V42" s="130"/>
    </row>
    <row r="43" spans="1:22">
      <c r="A43" s="4" t="s">
        <v>54</v>
      </c>
      <c r="B43" s="218">
        <f t="shared" ref="B43:B47" si="15">SUM(C43,E43,G43,I43,K43,O43)</f>
        <v>6500</v>
      </c>
      <c r="C43" s="151">
        <v>3657</v>
      </c>
      <c r="D43" s="151">
        <v>16418.55</v>
      </c>
      <c r="E43" s="151">
        <v>560</v>
      </c>
      <c r="F43" s="151">
        <v>1539.2</v>
      </c>
      <c r="G43" s="151">
        <v>1089</v>
      </c>
      <c r="H43" s="151">
        <v>3072.6</v>
      </c>
      <c r="I43" s="151">
        <v>661</v>
      </c>
      <c r="J43" s="151">
        <v>1585.6</v>
      </c>
      <c r="K43" s="151">
        <v>525</v>
      </c>
      <c r="L43" s="151">
        <v>1265.8</v>
      </c>
      <c r="M43" s="134">
        <f t="shared" ref="M43:N47" si="16">SUM(G43,I43,K43)</f>
        <v>2275</v>
      </c>
      <c r="N43" s="134">
        <f t="shared" si="16"/>
        <v>5924</v>
      </c>
      <c r="O43" s="153">
        <v>8</v>
      </c>
      <c r="P43" s="151">
        <v>13.8</v>
      </c>
      <c r="Q43" s="135" t="s">
        <v>55</v>
      </c>
      <c r="R43" s="5"/>
      <c r="S43" s="5"/>
      <c r="T43" s="5"/>
      <c r="U43" s="130"/>
      <c r="V43" s="130"/>
    </row>
    <row r="44" spans="1:22">
      <c r="A44" s="4" t="s">
        <v>56</v>
      </c>
      <c r="B44" s="218">
        <f t="shared" si="15"/>
        <v>5203</v>
      </c>
      <c r="C44" s="151">
        <v>903</v>
      </c>
      <c r="D44" s="151">
        <v>4469.3999999999996</v>
      </c>
      <c r="E44" s="151">
        <v>2480</v>
      </c>
      <c r="F44" s="151">
        <v>6447.74</v>
      </c>
      <c r="G44" s="151">
        <v>263</v>
      </c>
      <c r="H44" s="151">
        <v>369.9</v>
      </c>
      <c r="I44" s="151">
        <v>1480</v>
      </c>
      <c r="J44" s="151">
        <v>1405.95</v>
      </c>
      <c r="K44" s="151">
        <v>77</v>
      </c>
      <c r="L44" s="151">
        <v>70.099999999999994</v>
      </c>
      <c r="M44" s="134">
        <f t="shared" si="16"/>
        <v>1820</v>
      </c>
      <c r="N44" s="134">
        <f t="shared" si="16"/>
        <v>1845.9499999999998</v>
      </c>
      <c r="O44" s="152" t="s">
        <v>287</v>
      </c>
      <c r="P44" s="151" t="s">
        <v>287</v>
      </c>
      <c r="Q44" s="135" t="s">
        <v>57</v>
      </c>
      <c r="R44" s="5"/>
      <c r="S44" s="5"/>
      <c r="T44" s="5"/>
      <c r="U44" s="130"/>
      <c r="V44" s="130"/>
    </row>
    <row r="45" spans="1:22">
      <c r="A45" s="4" t="s">
        <v>58</v>
      </c>
      <c r="B45" s="218">
        <f t="shared" si="15"/>
        <v>745</v>
      </c>
      <c r="C45" s="151">
        <v>289</v>
      </c>
      <c r="D45" s="151">
        <v>1210.3</v>
      </c>
      <c r="E45" s="151">
        <v>277</v>
      </c>
      <c r="F45" s="151">
        <v>559.04</v>
      </c>
      <c r="G45" s="151">
        <v>76</v>
      </c>
      <c r="H45" s="151">
        <v>240.75</v>
      </c>
      <c r="I45" s="151">
        <v>55</v>
      </c>
      <c r="J45" s="151">
        <v>161.44</v>
      </c>
      <c r="K45" s="151">
        <v>42</v>
      </c>
      <c r="L45" s="151">
        <v>95.39</v>
      </c>
      <c r="M45" s="134">
        <f t="shared" si="16"/>
        <v>173</v>
      </c>
      <c r="N45" s="134">
        <f t="shared" si="16"/>
        <v>497.58</v>
      </c>
      <c r="O45" s="153">
        <v>6</v>
      </c>
      <c r="P45" s="151">
        <v>19.25</v>
      </c>
      <c r="Q45" s="135" t="s">
        <v>59</v>
      </c>
      <c r="R45" s="5"/>
      <c r="S45" s="5"/>
      <c r="T45" s="5"/>
      <c r="U45" s="130"/>
      <c r="V45" s="130"/>
    </row>
    <row r="46" spans="1:22">
      <c r="A46" s="4" t="s">
        <v>60</v>
      </c>
      <c r="B46" s="218">
        <f t="shared" si="15"/>
        <v>11</v>
      </c>
      <c r="C46" s="151">
        <v>4</v>
      </c>
      <c r="D46" s="151">
        <v>12</v>
      </c>
      <c r="E46" s="151">
        <v>4</v>
      </c>
      <c r="F46" s="151">
        <v>4</v>
      </c>
      <c r="G46" s="151">
        <v>1</v>
      </c>
      <c r="H46" s="151">
        <v>4</v>
      </c>
      <c r="I46" s="151">
        <v>2</v>
      </c>
      <c r="J46" s="151">
        <v>8</v>
      </c>
      <c r="K46" s="152" t="s">
        <v>287</v>
      </c>
      <c r="L46" s="151" t="s">
        <v>287</v>
      </c>
      <c r="M46" s="134">
        <f t="shared" si="16"/>
        <v>3</v>
      </c>
      <c r="N46" s="134">
        <f t="shared" si="16"/>
        <v>12</v>
      </c>
      <c r="O46" s="152" t="s">
        <v>287</v>
      </c>
      <c r="P46" s="151" t="s">
        <v>287</v>
      </c>
      <c r="Q46" s="214" t="s">
        <v>61</v>
      </c>
      <c r="R46" s="214"/>
      <c r="S46" s="214"/>
      <c r="T46" s="5"/>
      <c r="U46" s="130"/>
      <c r="V46" s="130"/>
    </row>
    <row r="47" spans="1:22">
      <c r="A47" s="4" t="s">
        <v>62</v>
      </c>
      <c r="B47" s="218">
        <f t="shared" si="15"/>
        <v>7035</v>
      </c>
      <c r="C47" s="151">
        <v>1636</v>
      </c>
      <c r="D47" s="151">
        <v>9751.7000000000007</v>
      </c>
      <c r="E47" s="151">
        <v>3666</v>
      </c>
      <c r="F47" s="151">
        <v>11010.196</v>
      </c>
      <c r="G47" s="151">
        <v>343</v>
      </c>
      <c r="H47" s="151">
        <v>811.34</v>
      </c>
      <c r="I47" s="151">
        <v>1286</v>
      </c>
      <c r="J47" s="151">
        <v>1991.74</v>
      </c>
      <c r="K47" s="151">
        <v>104</v>
      </c>
      <c r="L47" s="151">
        <v>238.62</v>
      </c>
      <c r="M47" s="134">
        <f t="shared" si="16"/>
        <v>1733</v>
      </c>
      <c r="N47" s="134">
        <f t="shared" si="16"/>
        <v>3041.7</v>
      </c>
      <c r="O47" s="152" t="s">
        <v>287</v>
      </c>
      <c r="P47" s="151" t="s">
        <v>287</v>
      </c>
      <c r="Q47" s="135" t="s">
        <v>63</v>
      </c>
      <c r="R47" s="5"/>
      <c r="S47" s="5"/>
      <c r="T47" s="5"/>
      <c r="U47" s="130"/>
      <c r="V47" s="130"/>
    </row>
    <row r="48" spans="1:22">
      <c r="A48" s="211" t="s">
        <v>64</v>
      </c>
      <c r="B48" s="181">
        <f>SUM(B50:B54)</f>
        <v>27115</v>
      </c>
      <c r="C48" s="181">
        <f>SUM(C50:C54)</f>
        <v>4776</v>
      </c>
      <c r="D48" s="181">
        <f t="shared" ref="D48:P48" si="17">SUM(D50:D54)</f>
        <v>17167.39</v>
      </c>
      <c r="E48" s="181">
        <f t="shared" si="17"/>
        <v>4926</v>
      </c>
      <c r="F48" s="181">
        <f t="shared" si="17"/>
        <v>10512.35</v>
      </c>
      <c r="G48" s="181">
        <f t="shared" si="17"/>
        <v>5495</v>
      </c>
      <c r="H48" s="181">
        <f t="shared" si="17"/>
        <v>15238.73</v>
      </c>
      <c r="I48" s="181">
        <f t="shared" si="17"/>
        <v>7125</v>
      </c>
      <c r="J48" s="181">
        <f t="shared" si="17"/>
        <v>19493.560000000001</v>
      </c>
      <c r="K48" s="181">
        <f t="shared" si="17"/>
        <v>4767</v>
      </c>
      <c r="L48" s="181">
        <f t="shared" si="17"/>
        <v>11158.859999999999</v>
      </c>
      <c r="M48" s="181">
        <f>SUM(G48,I48,K48)</f>
        <v>17387</v>
      </c>
      <c r="N48" s="181">
        <f>SUM(H48,J48,L48)</f>
        <v>45891.15</v>
      </c>
      <c r="O48" s="181">
        <f t="shared" si="17"/>
        <v>26</v>
      </c>
      <c r="P48" s="181">
        <f t="shared" si="17"/>
        <v>35.799999999999997</v>
      </c>
      <c r="Q48" s="215" t="s">
        <v>65</v>
      </c>
      <c r="R48" s="215"/>
      <c r="S48" s="215"/>
      <c r="T48" s="5"/>
      <c r="U48" s="130"/>
      <c r="V48" s="130"/>
    </row>
    <row r="49" spans="1:22">
      <c r="A49" s="21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215"/>
      <c r="R49" s="215"/>
      <c r="S49" s="215"/>
      <c r="T49" s="5"/>
      <c r="U49" s="130"/>
      <c r="V49" s="130"/>
    </row>
    <row r="50" spans="1:22">
      <c r="A50" s="4" t="s">
        <v>66</v>
      </c>
      <c r="B50" s="218">
        <f t="shared" ref="B50:B54" si="18">SUM(C50,E50,G50,I50,K50,O50)</f>
        <v>6652</v>
      </c>
      <c r="C50" s="151">
        <v>1427</v>
      </c>
      <c r="D50" s="151">
        <v>5107.07</v>
      </c>
      <c r="E50" s="151">
        <v>917</v>
      </c>
      <c r="F50" s="151">
        <v>2004.14</v>
      </c>
      <c r="G50" s="151">
        <v>1987</v>
      </c>
      <c r="H50" s="151">
        <v>5033.9799999999996</v>
      </c>
      <c r="I50" s="151">
        <v>1695</v>
      </c>
      <c r="J50" s="151">
        <v>5165.71</v>
      </c>
      <c r="K50" s="151">
        <v>609</v>
      </c>
      <c r="L50" s="151">
        <v>791.11</v>
      </c>
      <c r="M50" s="134">
        <f t="shared" ref="M50:N54" si="19">SUM(G50,I50,K50)</f>
        <v>4291</v>
      </c>
      <c r="N50" s="134">
        <f t="shared" si="19"/>
        <v>10990.8</v>
      </c>
      <c r="O50" s="153">
        <v>17</v>
      </c>
      <c r="P50" s="151">
        <v>18.2</v>
      </c>
      <c r="Q50" s="135" t="s">
        <v>67</v>
      </c>
      <c r="R50" s="5"/>
      <c r="S50" s="5"/>
      <c r="T50" s="5"/>
      <c r="U50" s="130"/>
      <c r="V50" s="130"/>
    </row>
    <row r="51" spans="1:22">
      <c r="A51" s="4" t="s">
        <v>68</v>
      </c>
      <c r="B51" s="218">
        <f t="shared" si="18"/>
        <v>13029</v>
      </c>
      <c r="C51" s="151">
        <v>2174</v>
      </c>
      <c r="D51" s="151">
        <v>8960</v>
      </c>
      <c r="E51" s="151">
        <v>2955</v>
      </c>
      <c r="F51" s="151">
        <v>6102.2</v>
      </c>
      <c r="G51" s="151">
        <v>976</v>
      </c>
      <c r="H51" s="151">
        <v>2551.8000000000002</v>
      </c>
      <c r="I51" s="151">
        <v>3454</v>
      </c>
      <c r="J51" s="151">
        <v>9538.1</v>
      </c>
      <c r="K51" s="151">
        <v>3469</v>
      </c>
      <c r="L51" s="151">
        <v>8567.5499999999993</v>
      </c>
      <c r="M51" s="134">
        <f t="shared" si="19"/>
        <v>7899</v>
      </c>
      <c r="N51" s="134">
        <f t="shared" si="19"/>
        <v>20657.45</v>
      </c>
      <c r="O51" s="153">
        <v>1</v>
      </c>
      <c r="P51" s="151">
        <v>2.4</v>
      </c>
      <c r="Q51" s="135" t="s">
        <v>69</v>
      </c>
      <c r="R51" s="5"/>
      <c r="S51" s="5"/>
      <c r="T51" s="5"/>
      <c r="U51" s="130"/>
      <c r="V51" s="130"/>
    </row>
    <row r="52" spans="1:22">
      <c r="A52" s="4" t="s">
        <v>70</v>
      </c>
      <c r="B52" s="218">
        <f t="shared" si="18"/>
        <v>6815</v>
      </c>
      <c r="C52" s="151">
        <v>1171</v>
      </c>
      <c r="D52" s="151">
        <v>3096.32</v>
      </c>
      <c r="E52" s="151">
        <v>1046</v>
      </c>
      <c r="F52" s="151">
        <v>2402.31</v>
      </c>
      <c r="G52" s="151">
        <v>2439</v>
      </c>
      <c r="H52" s="151">
        <v>7494.95</v>
      </c>
      <c r="I52" s="151">
        <v>1486</v>
      </c>
      <c r="J52" s="151">
        <v>4294.5</v>
      </c>
      <c r="K52" s="151">
        <v>665</v>
      </c>
      <c r="L52" s="151">
        <v>1767.4</v>
      </c>
      <c r="M52" s="134">
        <f t="shared" si="19"/>
        <v>4590</v>
      </c>
      <c r="N52" s="134">
        <f t="shared" si="19"/>
        <v>13556.85</v>
      </c>
      <c r="O52" s="153">
        <v>8</v>
      </c>
      <c r="P52" s="151">
        <v>15.2</v>
      </c>
      <c r="Q52" s="135" t="s">
        <v>71</v>
      </c>
      <c r="R52" s="5"/>
      <c r="S52" s="5"/>
      <c r="T52" s="5"/>
      <c r="U52" s="130"/>
      <c r="V52" s="130"/>
    </row>
    <row r="53" spans="1:22">
      <c r="A53" s="4" t="s">
        <v>72</v>
      </c>
      <c r="B53" s="218">
        <f t="shared" si="18"/>
        <v>250</v>
      </c>
      <c r="C53" s="151">
        <v>3</v>
      </c>
      <c r="D53" s="151">
        <v>1</v>
      </c>
      <c r="E53" s="151">
        <v>4</v>
      </c>
      <c r="F53" s="151">
        <v>0.7</v>
      </c>
      <c r="G53" s="151">
        <v>3</v>
      </c>
      <c r="H53" s="151">
        <v>2.7</v>
      </c>
      <c r="I53" s="151">
        <v>240</v>
      </c>
      <c r="J53" s="151">
        <v>249.7</v>
      </c>
      <c r="K53" s="152" t="s">
        <v>287</v>
      </c>
      <c r="L53" s="151" t="s">
        <v>287</v>
      </c>
      <c r="M53" s="134">
        <f t="shared" si="19"/>
        <v>243</v>
      </c>
      <c r="N53" s="134">
        <f t="shared" si="19"/>
        <v>252.39999999999998</v>
      </c>
      <c r="O53" s="152" t="s">
        <v>287</v>
      </c>
      <c r="P53" s="151" t="s">
        <v>287</v>
      </c>
      <c r="Q53" s="135" t="s">
        <v>73</v>
      </c>
      <c r="R53" s="5"/>
      <c r="S53" s="5"/>
      <c r="T53" s="5"/>
      <c r="U53" s="130"/>
      <c r="V53" s="130"/>
    </row>
    <row r="54" spans="1:22">
      <c r="A54" s="4" t="s">
        <v>74</v>
      </c>
      <c r="B54" s="218">
        <f t="shared" si="18"/>
        <v>369</v>
      </c>
      <c r="C54" s="151">
        <v>1</v>
      </c>
      <c r="D54" s="151">
        <v>3</v>
      </c>
      <c r="E54" s="151">
        <v>4</v>
      </c>
      <c r="F54" s="151">
        <v>3</v>
      </c>
      <c r="G54" s="151">
        <v>90</v>
      </c>
      <c r="H54" s="151">
        <v>155.30000000000001</v>
      </c>
      <c r="I54" s="151">
        <v>250</v>
      </c>
      <c r="J54" s="151">
        <v>245.55</v>
      </c>
      <c r="K54" s="151">
        <v>24</v>
      </c>
      <c r="L54" s="151">
        <v>32.799999999999997</v>
      </c>
      <c r="M54" s="134">
        <f t="shared" si="19"/>
        <v>364</v>
      </c>
      <c r="N54" s="134">
        <f t="shared" si="19"/>
        <v>433.65000000000003</v>
      </c>
      <c r="O54" s="152" t="s">
        <v>287</v>
      </c>
      <c r="P54" s="151" t="s">
        <v>287</v>
      </c>
      <c r="Q54" s="135" t="s">
        <v>75</v>
      </c>
      <c r="R54" s="5"/>
      <c r="S54" s="5"/>
      <c r="T54" s="5"/>
      <c r="U54" s="130"/>
      <c r="V54" s="130"/>
    </row>
    <row r="55" spans="1:22">
      <c r="A55" s="210" t="s">
        <v>76</v>
      </c>
      <c r="B55" s="181">
        <f>SUM(B57:B61)</f>
        <v>10877</v>
      </c>
      <c r="C55" s="181">
        <f>SUM(C57:C61)</f>
        <v>845</v>
      </c>
      <c r="D55" s="181">
        <f t="shared" ref="D55:P55" si="20">SUM(D57:D61)</f>
        <v>1986.7329999999999</v>
      </c>
      <c r="E55" s="181">
        <f t="shared" si="20"/>
        <v>676</v>
      </c>
      <c r="F55" s="181">
        <f t="shared" si="20"/>
        <v>894.33699999999999</v>
      </c>
      <c r="G55" s="181">
        <f t="shared" si="20"/>
        <v>7221</v>
      </c>
      <c r="H55" s="181">
        <f t="shared" si="20"/>
        <v>10037.562999999998</v>
      </c>
      <c r="I55" s="181">
        <f t="shared" si="20"/>
        <v>1050</v>
      </c>
      <c r="J55" s="181">
        <f t="shared" si="20"/>
        <v>1071.92</v>
      </c>
      <c r="K55" s="181">
        <f t="shared" si="20"/>
        <v>1067</v>
      </c>
      <c r="L55" s="181">
        <f t="shared" si="20"/>
        <v>1090.96</v>
      </c>
      <c r="M55" s="181">
        <f>SUM(G55,I55,K55)</f>
        <v>9338</v>
      </c>
      <c r="N55" s="181">
        <f>SUM(H55,J55,L55)</f>
        <v>12200.442999999999</v>
      </c>
      <c r="O55" s="181">
        <f t="shared" si="20"/>
        <v>18</v>
      </c>
      <c r="P55" s="181">
        <f t="shared" si="20"/>
        <v>23.35</v>
      </c>
      <c r="Q55" s="213" t="s">
        <v>77</v>
      </c>
      <c r="R55" s="213"/>
      <c r="S55" s="213"/>
      <c r="T55" s="5"/>
      <c r="U55" s="130"/>
      <c r="V55" s="130"/>
    </row>
    <row r="56" spans="1:22">
      <c r="A56" s="21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213"/>
      <c r="R56" s="213"/>
      <c r="S56" s="213"/>
      <c r="T56" s="5"/>
      <c r="U56" s="130"/>
      <c r="V56" s="130"/>
    </row>
    <row r="57" spans="1:22">
      <c r="A57" s="4" t="s">
        <v>78</v>
      </c>
      <c r="B57" s="218">
        <f t="shared" ref="B57:B61" si="21">SUM(C57,E57,G57,I57,K57,O57)</f>
        <v>8867</v>
      </c>
      <c r="C57" s="151">
        <v>386</v>
      </c>
      <c r="D57" s="151">
        <v>874.38300000000004</v>
      </c>
      <c r="E57" s="151">
        <v>237</v>
      </c>
      <c r="F57" s="151">
        <v>335.03699999999998</v>
      </c>
      <c r="G57" s="151">
        <v>6551</v>
      </c>
      <c r="H57" s="151">
        <v>8516.1929999999993</v>
      </c>
      <c r="I57" s="151">
        <v>875</v>
      </c>
      <c r="J57" s="151">
        <v>906.32</v>
      </c>
      <c r="K57" s="151">
        <v>805</v>
      </c>
      <c r="L57" s="151">
        <v>633.14</v>
      </c>
      <c r="M57" s="134">
        <f t="shared" ref="M57:N61" si="22">SUM(G57,I57,K57)</f>
        <v>8231</v>
      </c>
      <c r="N57" s="134">
        <f t="shared" si="22"/>
        <v>10055.652999999998</v>
      </c>
      <c r="O57" s="153">
        <v>13</v>
      </c>
      <c r="P57" s="151">
        <v>12.85</v>
      </c>
      <c r="Q57" s="135" t="s">
        <v>79</v>
      </c>
      <c r="R57" s="5"/>
      <c r="S57" s="5"/>
      <c r="T57" s="5"/>
      <c r="U57" s="130"/>
      <c r="V57" s="130"/>
    </row>
    <row r="58" spans="1:22">
      <c r="A58" s="4" t="s">
        <v>80</v>
      </c>
      <c r="B58" s="218">
        <f t="shared" si="21"/>
        <v>376</v>
      </c>
      <c r="C58" s="151">
        <v>62</v>
      </c>
      <c r="D58" s="151">
        <v>176.3</v>
      </c>
      <c r="E58" s="151">
        <v>104</v>
      </c>
      <c r="F58" s="151">
        <v>220</v>
      </c>
      <c r="G58" s="151">
        <v>72</v>
      </c>
      <c r="H58" s="151">
        <v>93.3</v>
      </c>
      <c r="I58" s="151">
        <v>108</v>
      </c>
      <c r="J58" s="151">
        <v>136.6</v>
      </c>
      <c r="K58" s="151">
        <v>30</v>
      </c>
      <c r="L58" s="151">
        <v>34.799999999999997</v>
      </c>
      <c r="M58" s="134">
        <f t="shared" si="22"/>
        <v>210</v>
      </c>
      <c r="N58" s="134">
        <f t="shared" si="22"/>
        <v>264.7</v>
      </c>
      <c r="O58" s="152" t="s">
        <v>287</v>
      </c>
      <c r="P58" s="151" t="s">
        <v>287</v>
      </c>
      <c r="Q58" s="135" t="s">
        <v>81</v>
      </c>
      <c r="R58" s="5"/>
      <c r="S58" s="5"/>
      <c r="T58" s="5"/>
      <c r="U58" s="130"/>
      <c r="V58" s="130"/>
    </row>
    <row r="59" spans="1:22">
      <c r="A59" s="4" t="s">
        <v>82</v>
      </c>
      <c r="B59" s="218">
        <f t="shared" si="21"/>
        <v>18</v>
      </c>
      <c r="C59" s="152" t="s">
        <v>287</v>
      </c>
      <c r="D59" s="151" t="s">
        <v>287</v>
      </c>
      <c r="E59" s="152" t="s">
        <v>287</v>
      </c>
      <c r="F59" s="151" t="s">
        <v>287</v>
      </c>
      <c r="G59" s="151">
        <v>8</v>
      </c>
      <c r="H59" s="151">
        <v>1.32</v>
      </c>
      <c r="I59" s="151">
        <v>10</v>
      </c>
      <c r="J59" s="151">
        <v>2.11</v>
      </c>
      <c r="K59" s="152" t="s">
        <v>287</v>
      </c>
      <c r="L59" s="151" t="s">
        <v>287</v>
      </c>
      <c r="M59" s="134">
        <f t="shared" si="22"/>
        <v>18</v>
      </c>
      <c r="N59" s="134">
        <f t="shared" si="22"/>
        <v>3.4299999999999997</v>
      </c>
      <c r="O59" s="152" t="s">
        <v>287</v>
      </c>
      <c r="P59" s="151" t="s">
        <v>287</v>
      </c>
      <c r="Q59" s="135" t="s">
        <v>83</v>
      </c>
      <c r="R59" s="5"/>
      <c r="S59" s="5"/>
      <c r="T59" s="5"/>
      <c r="U59" s="130"/>
      <c r="V59" s="130"/>
    </row>
    <row r="60" spans="1:22">
      <c r="A60" s="4" t="s">
        <v>84</v>
      </c>
      <c r="B60" s="218">
        <f t="shared" si="21"/>
        <v>1469</v>
      </c>
      <c r="C60" s="151">
        <v>377</v>
      </c>
      <c r="D60" s="151">
        <v>919.05</v>
      </c>
      <c r="E60" s="151">
        <v>332</v>
      </c>
      <c r="F60" s="151">
        <v>336.3</v>
      </c>
      <c r="G60" s="151">
        <v>482</v>
      </c>
      <c r="H60" s="151">
        <v>1315.75</v>
      </c>
      <c r="I60" s="151">
        <v>52</v>
      </c>
      <c r="J60" s="151">
        <v>20.39</v>
      </c>
      <c r="K60" s="151">
        <v>221</v>
      </c>
      <c r="L60" s="151">
        <v>412.02</v>
      </c>
      <c r="M60" s="134">
        <f t="shared" si="22"/>
        <v>755</v>
      </c>
      <c r="N60" s="134">
        <f t="shared" si="22"/>
        <v>1748.16</v>
      </c>
      <c r="O60" s="153">
        <v>5</v>
      </c>
      <c r="P60" s="151">
        <v>10.5</v>
      </c>
      <c r="Q60" s="135" t="s">
        <v>85</v>
      </c>
      <c r="R60" s="5"/>
      <c r="S60" s="5"/>
      <c r="T60" s="5"/>
      <c r="U60" s="130"/>
      <c r="V60" s="130"/>
    </row>
    <row r="61" spans="1:22">
      <c r="A61" s="4" t="s">
        <v>86</v>
      </c>
      <c r="B61" s="218">
        <f t="shared" si="21"/>
        <v>147</v>
      </c>
      <c r="C61" s="151">
        <v>20</v>
      </c>
      <c r="D61" s="151">
        <v>17</v>
      </c>
      <c r="E61" s="151">
        <v>3</v>
      </c>
      <c r="F61" s="151">
        <v>3</v>
      </c>
      <c r="G61" s="151">
        <v>108</v>
      </c>
      <c r="H61" s="151">
        <v>111</v>
      </c>
      <c r="I61" s="151">
        <v>5</v>
      </c>
      <c r="J61" s="151">
        <v>6.5</v>
      </c>
      <c r="K61" s="151">
        <v>11</v>
      </c>
      <c r="L61" s="151">
        <v>11</v>
      </c>
      <c r="M61" s="134">
        <f t="shared" si="22"/>
        <v>124</v>
      </c>
      <c r="N61" s="134">
        <f t="shared" si="22"/>
        <v>128.5</v>
      </c>
      <c r="O61" s="152" t="s">
        <v>287</v>
      </c>
      <c r="P61" s="151" t="s">
        <v>287</v>
      </c>
      <c r="Q61" s="135" t="s">
        <v>87</v>
      </c>
      <c r="R61" s="5"/>
      <c r="S61" s="5"/>
      <c r="T61" s="5"/>
      <c r="U61" s="130"/>
      <c r="V61" s="130"/>
    </row>
    <row r="62" spans="1:22">
      <c r="A62" s="211" t="s">
        <v>88</v>
      </c>
      <c r="B62" s="181">
        <f>SUM(B64:B66)</f>
        <v>119219</v>
      </c>
      <c r="C62" s="181">
        <f>SUM(C64:C66)</f>
        <v>50650</v>
      </c>
      <c r="D62" s="181">
        <f t="shared" ref="D62:P62" si="23">SUM(D64:D66)</f>
        <v>245536.4</v>
      </c>
      <c r="E62" s="181">
        <f t="shared" si="23"/>
        <v>14047</v>
      </c>
      <c r="F62" s="181">
        <f t="shared" si="23"/>
        <v>35883.474999999999</v>
      </c>
      <c r="G62" s="181">
        <f t="shared" si="23"/>
        <v>30493</v>
      </c>
      <c r="H62" s="181">
        <f t="shared" si="23"/>
        <v>83984.55</v>
      </c>
      <c r="I62" s="181">
        <f t="shared" si="23"/>
        <v>3417</v>
      </c>
      <c r="J62" s="181">
        <f t="shared" si="23"/>
        <v>9309.49</v>
      </c>
      <c r="K62" s="181">
        <f t="shared" si="23"/>
        <v>20013</v>
      </c>
      <c r="L62" s="181">
        <f t="shared" si="23"/>
        <v>59656.06</v>
      </c>
      <c r="M62" s="181">
        <f>SUM(G62,I62,K62)</f>
        <v>53923</v>
      </c>
      <c r="N62" s="181">
        <f>SUM(H62,J62,L62)</f>
        <v>152950.1</v>
      </c>
      <c r="O62" s="181">
        <f t="shared" si="23"/>
        <v>599</v>
      </c>
      <c r="P62" s="181">
        <f t="shared" si="23"/>
        <v>1673.8</v>
      </c>
      <c r="Q62" s="215" t="s">
        <v>89</v>
      </c>
      <c r="R62" s="215"/>
      <c r="S62" s="215"/>
      <c r="T62" s="5"/>
      <c r="U62" s="130"/>
      <c r="V62" s="130"/>
    </row>
    <row r="63" spans="1:22">
      <c r="A63" s="21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215"/>
      <c r="R63" s="215"/>
      <c r="S63" s="215"/>
      <c r="T63" s="5"/>
      <c r="U63" s="130"/>
      <c r="V63" s="130"/>
    </row>
    <row r="64" spans="1:22">
      <c r="A64" s="4" t="s">
        <v>90</v>
      </c>
      <c r="B64" s="218">
        <f>SUM(C64,E64,G64,I64,K64,O64)</f>
        <v>15626</v>
      </c>
      <c r="C64" s="151">
        <v>4218</v>
      </c>
      <c r="D64" s="151">
        <v>22039.4</v>
      </c>
      <c r="E64" s="151">
        <v>539</v>
      </c>
      <c r="F64" s="151">
        <v>1300.2</v>
      </c>
      <c r="G64" s="151">
        <v>5890</v>
      </c>
      <c r="H64" s="151">
        <v>19708.900000000001</v>
      </c>
      <c r="I64" s="151">
        <v>467</v>
      </c>
      <c r="J64" s="151">
        <v>958.14</v>
      </c>
      <c r="K64" s="151">
        <v>4507</v>
      </c>
      <c r="L64" s="151">
        <v>14461.96</v>
      </c>
      <c r="M64" s="134">
        <f t="shared" ref="M64:N66" si="24">SUM(G64,I64,K64)</f>
        <v>10864</v>
      </c>
      <c r="N64" s="134">
        <f t="shared" si="24"/>
        <v>35129</v>
      </c>
      <c r="O64" s="153">
        <v>5</v>
      </c>
      <c r="P64" s="151">
        <v>10</v>
      </c>
      <c r="Q64" s="135" t="s">
        <v>91</v>
      </c>
      <c r="R64" s="5"/>
      <c r="S64" s="5"/>
      <c r="T64" s="5"/>
      <c r="U64" s="130"/>
      <c r="V64" s="130"/>
    </row>
    <row r="65" spans="1:22">
      <c r="A65" s="4" t="s">
        <v>92</v>
      </c>
      <c r="B65" s="218">
        <f>SUM(C65,E65,G65,I65,K65,O65)</f>
        <v>21256</v>
      </c>
      <c r="C65" s="151">
        <v>5112</v>
      </c>
      <c r="D65" s="151">
        <v>12747</v>
      </c>
      <c r="E65" s="151">
        <v>5066</v>
      </c>
      <c r="F65" s="151">
        <v>8141.5749999999998</v>
      </c>
      <c r="G65" s="151">
        <v>9520</v>
      </c>
      <c r="H65" s="151">
        <v>8046.65</v>
      </c>
      <c r="I65" s="151">
        <v>1069</v>
      </c>
      <c r="J65" s="151">
        <v>888.85</v>
      </c>
      <c r="K65" s="151">
        <v>415</v>
      </c>
      <c r="L65" s="151">
        <v>512.1</v>
      </c>
      <c r="M65" s="134">
        <f t="shared" si="24"/>
        <v>11004</v>
      </c>
      <c r="N65" s="134">
        <f t="shared" si="24"/>
        <v>9447.6</v>
      </c>
      <c r="O65" s="153">
        <v>74</v>
      </c>
      <c r="P65" s="151">
        <v>103.8</v>
      </c>
      <c r="Q65" s="214" t="s">
        <v>93</v>
      </c>
      <c r="R65" s="214"/>
      <c r="S65" s="214"/>
      <c r="T65" s="5"/>
      <c r="U65" s="130"/>
      <c r="V65" s="130"/>
    </row>
    <row r="66" spans="1:22">
      <c r="A66" s="4" t="s">
        <v>94</v>
      </c>
      <c r="B66" s="218">
        <f>SUM(C66,E66,G66,I66,K66,O66)</f>
        <v>82337</v>
      </c>
      <c r="C66" s="151">
        <v>41320</v>
      </c>
      <c r="D66" s="151">
        <v>210750</v>
      </c>
      <c r="E66" s="151">
        <v>8442</v>
      </c>
      <c r="F66" s="151">
        <v>26441.7</v>
      </c>
      <c r="G66" s="151">
        <v>15083</v>
      </c>
      <c r="H66" s="151">
        <v>56229</v>
      </c>
      <c r="I66" s="151">
        <v>1881</v>
      </c>
      <c r="J66" s="151">
        <v>7462.5</v>
      </c>
      <c r="K66" s="151">
        <v>15091</v>
      </c>
      <c r="L66" s="151">
        <v>44682</v>
      </c>
      <c r="M66" s="134">
        <f t="shared" si="24"/>
        <v>32055</v>
      </c>
      <c r="N66" s="134">
        <f t="shared" si="24"/>
        <v>108373.5</v>
      </c>
      <c r="O66" s="153">
        <v>520</v>
      </c>
      <c r="P66" s="151">
        <v>1560</v>
      </c>
      <c r="Q66" s="135" t="s">
        <v>95</v>
      </c>
      <c r="R66" s="5"/>
      <c r="S66" s="5"/>
      <c r="T66" s="5"/>
      <c r="U66" s="130"/>
      <c r="V66" s="130"/>
    </row>
    <row r="67" spans="1:22">
      <c r="A67" s="211" t="s">
        <v>96</v>
      </c>
      <c r="B67" s="181">
        <f>SUM(B69:B73)</f>
        <v>37323</v>
      </c>
      <c r="C67" s="181">
        <f>SUM(C69:C73)</f>
        <v>8808</v>
      </c>
      <c r="D67" s="181">
        <f t="shared" ref="D67:P67" si="25">SUM(D69:D73)</f>
        <v>36501.440000000002</v>
      </c>
      <c r="E67" s="181">
        <f t="shared" si="25"/>
        <v>4066</v>
      </c>
      <c r="F67" s="181">
        <f t="shared" si="25"/>
        <v>10631.264999999999</v>
      </c>
      <c r="G67" s="181">
        <f t="shared" si="25"/>
        <v>7916</v>
      </c>
      <c r="H67" s="181">
        <f t="shared" si="25"/>
        <v>18279.09</v>
      </c>
      <c r="I67" s="181">
        <f t="shared" si="25"/>
        <v>13803</v>
      </c>
      <c r="J67" s="181">
        <f t="shared" si="25"/>
        <v>37842.1</v>
      </c>
      <c r="K67" s="181">
        <f t="shared" si="25"/>
        <v>2730</v>
      </c>
      <c r="L67" s="181">
        <f t="shared" si="25"/>
        <v>5347.6459999999997</v>
      </c>
      <c r="M67" s="181">
        <f>SUM(G67,I67,K67)</f>
        <v>24449</v>
      </c>
      <c r="N67" s="181">
        <f>SUM(H67,J67,L67)</f>
        <v>61468.836000000003</v>
      </c>
      <c r="O67" s="181">
        <f t="shared" si="25"/>
        <v>0</v>
      </c>
      <c r="P67" s="181">
        <f t="shared" si="25"/>
        <v>0</v>
      </c>
      <c r="Q67" s="215" t="s">
        <v>97</v>
      </c>
      <c r="R67" s="215"/>
      <c r="S67" s="215"/>
      <c r="T67" s="5"/>
      <c r="U67" s="130"/>
      <c r="V67" s="130"/>
    </row>
    <row r="68" spans="1:22">
      <c r="A68" s="21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215"/>
      <c r="R68" s="215"/>
      <c r="S68" s="215"/>
      <c r="T68" s="5"/>
      <c r="U68" s="130"/>
      <c r="V68" s="130"/>
    </row>
    <row r="69" spans="1:22">
      <c r="A69" s="4" t="s">
        <v>98</v>
      </c>
      <c r="B69" s="218">
        <f>SUM(C69,E69,G69,I69,K69,O69)</f>
        <v>8539</v>
      </c>
      <c r="C69" s="151">
        <v>187</v>
      </c>
      <c r="D69" s="151">
        <v>656.4</v>
      </c>
      <c r="E69" s="151">
        <v>146</v>
      </c>
      <c r="F69" s="151">
        <v>367.6</v>
      </c>
      <c r="G69" s="151">
        <v>235</v>
      </c>
      <c r="H69" s="151">
        <v>570.25</v>
      </c>
      <c r="I69" s="151">
        <v>7945</v>
      </c>
      <c r="J69" s="151">
        <v>27699.15</v>
      </c>
      <c r="K69" s="151">
        <v>26</v>
      </c>
      <c r="L69" s="151">
        <v>68</v>
      </c>
      <c r="M69" s="134">
        <f t="shared" ref="M69:N73" si="26">SUM(G69,I69,K69)</f>
        <v>8206</v>
      </c>
      <c r="N69" s="134">
        <f t="shared" si="26"/>
        <v>28337.4</v>
      </c>
      <c r="O69" s="152" t="s">
        <v>287</v>
      </c>
      <c r="P69" s="151" t="s">
        <v>287</v>
      </c>
      <c r="Q69" s="135" t="s">
        <v>99</v>
      </c>
      <c r="R69" s="5"/>
      <c r="S69" s="5"/>
      <c r="T69" s="5"/>
      <c r="U69" s="130"/>
      <c r="V69" s="130"/>
    </row>
    <row r="70" spans="1:22">
      <c r="A70" s="4" t="s">
        <v>100</v>
      </c>
      <c r="B70" s="218">
        <f t="shared" ref="B70:B73" si="27">SUM(C70,E70,G70,I70,K70,O70)</f>
        <v>3778</v>
      </c>
      <c r="C70" s="151">
        <v>452</v>
      </c>
      <c r="D70" s="151">
        <v>1414.7</v>
      </c>
      <c r="E70" s="151">
        <v>870</v>
      </c>
      <c r="F70" s="151">
        <v>1992.3</v>
      </c>
      <c r="G70" s="151">
        <v>921</v>
      </c>
      <c r="H70" s="151">
        <v>2637.3</v>
      </c>
      <c r="I70" s="151">
        <v>644</v>
      </c>
      <c r="J70" s="151">
        <v>1598.75</v>
      </c>
      <c r="K70" s="151">
        <v>891</v>
      </c>
      <c r="L70" s="151">
        <v>1822.2</v>
      </c>
      <c r="M70" s="134">
        <f t="shared" si="26"/>
        <v>2456</v>
      </c>
      <c r="N70" s="134">
        <f t="shared" si="26"/>
        <v>6058.25</v>
      </c>
      <c r="O70" s="152" t="s">
        <v>287</v>
      </c>
      <c r="P70" s="151" t="s">
        <v>287</v>
      </c>
      <c r="Q70" s="135" t="s">
        <v>101</v>
      </c>
      <c r="R70" s="5"/>
      <c r="S70" s="5"/>
      <c r="T70" s="5"/>
      <c r="U70" s="130"/>
      <c r="V70" s="130"/>
    </row>
    <row r="71" spans="1:22">
      <c r="A71" s="4" t="s">
        <v>102</v>
      </c>
      <c r="B71" s="218">
        <f t="shared" si="27"/>
        <v>1632</v>
      </c>
      <c r="C71" s="151">
        <v>72</v>
      </c>
      <c r="D71" s="151">
        <v>218.3</v>
      </c>
      <c r="E71" s="151">
        <v>402</v>
      </c>
      <c r="F71" s="151">
        <v>1009.6</v>
      </c>
      <c r="G71" s="151">
        <v>665</v>
      </c>
      <c r="H71" s="151">
        <v>2352</v>
      </c>
      <c r="I71" s="151">
        <v>460</v>
      </c>
      <c r="J71" s="151">
        <v>1659</v>
      </c>
      <c r="K71" s="151">
        <v>33</v>
      </c>
      <c r="L71" s="151">
        <v>117.2</v>
      </c>
      <c r="M71" s="134">
        <f t="shared" si="26"/>
        <v>1158</v>
      </c>
      <c r="N71" s="134">
        <f t="shared" si="26"/>
        <v>4128.2</v>
      </c>
      <c r="O71" s="152" t="s">
        <v>287</v>
      </c>
      <c r="P71" s="151" t="s">
        <v>287</v>
      </c>
      <c r="Q71" s="135" t="s">
        <v>103</v>
      </c>
      <c r="R71" s="5"/>
      <c r="S71" s="5"/>
      <c r="T71" s="5"/>
      <c r="U71" s="130"/>
      <c r="V71" s="130"/>
    </row>
    <row r="72" spans="1:22">
      <c r="A72" s="4" t="s">
        <v>104</v>
      </c>
      <c r="B72" s="218">
        <f t="shared" si="27"/>
        <v>8136</v>
      </c>
      <c r="C72" s="151">
        <v>2192</v>
      </c>
      <c r="D72" s="151">
        <v>7288.6</v>
      </c>
      <c r="E72" s="151">
        <v>1234</v>
      </c>
      <c r="F72" s="151">
        <v>3092.92</v>
      </c>
      <c r="G72" s="151">
        <v>1510</v>
      </c>
      <c r="H72" s="151">
        <v>2938.88</v>
      </c>
      <c r="I72" s="151">
        <v>2453</v>
      </c>
      <c r="J72" s="151">
        <v>3606.85</v>
      </c>
      <c r="K72" s="151">
        <v>747</v>
      </c>
      <c r="L72" s="151">
        <v>1713.06</v>
      </c>
      <c r="M72" s="134">
        <f t="shared" si="26"/>
        <v>4710</v>
      </c>
      <c r="N72" s="134">
        <f t="shared" si="26"/>
        <v>8258.7899999999991</v>
      </c>
      <c r="O72" s="152" t="s">
        <v>287</v>
      </c>
      <c r="P72" s="151" t="s">
        <v>287</v>
      </c>
      <c r="Q72" s="135" t="s">
        <v>105</v>
      </c>
      <c r="R72" s="5"/>
      <c r="S72" s="5"/>
      <c r="T72" s="5"/>
      <c r="U72" s="130"/>
      <c r="V72" s="130"/>
    </row>
    <row r="73" spans="1:22">
      <c r="A73" s="4" t="s">
        <v>106</v>
      </c>
      <c r="B73" s="218">
        <f t="shared" si="27"/>
        <v>15238</v>
      </c>
      <c r="C73" s="151">
        <v>5905</v>
      </c>
      <c r="D73" s="151">
        <v>26923.439999999999</v>
      </c>
      <c r="E73" s="151">
        <v>1414</v>
      </c>
      <c r="F73" s="151">
        <v>4168.8450000000003</v>
      </c>
      <c r="G73" s="151">
        <v>4585</v>
      </c>
      <c r="H73" s="151">
        <v>9780.66</v>
      </c>
      <c r="I73" s="151">
        <v>2301</v>
      </c>
      <c r="J73" s="151">
        <v>3278.35</v>
      </c>
      <c r="K73" s="151">
        <v>1033</v>
      </c>
      <c r="L73" s="151">
        <v>1627.1859999999999</v>
      </c>
      <c r="M73" s="134">
        <f t="shared" si="26"/>
        <v>7919</v>
      </c>
      <c r="N73" s="134">
        <f t="shared" si="26"/>
        <v>14686.196</v>
      </c>
      <c r="O73" s="152" t="s">
        <v>287</v>
      </c>
      <c r="P73" s="151" t="s">
        <v>287</v>
      </c>
      <c r="Q73" s="135" t="s">
        <v>107</v>
      </c>
      <c r="R73" s="5"/>
      <c r="S73" s="5"/>
      <c r="T73" s="5"/>
      <c r="U73" s="130"/>
      <c r="V73" s="130"/>
    </row>
    <row r="74" spans="1:22">
      <c r="A74" s="210" t="s">
        <v>108</v>
      </c>
      <c r="B74" s="181">
        <f>SUM(B76:B83)</f>
        <v>3464</v>
      </c>
      <c r="C74" s="181">
        <f>SUM(C76:C83)</f>
        <v>511</v>
      </c>
      <c r="D74" s="181">
        <f t="shared" ref="D74:P74" si="28">SUM(D76:D83)</f>
        <v>1209.5569999999998</v>
      </c>
      <c r="E74" s="181">
        <f t="shared" si="28"/>
        <v>1118</v>
      </c>
      <c r="F74" s="181">
        <f>SUM(F76:F83)</f>
        <v>2058.5529999999999</v>
      </c>
      <c r="G74" s="181">
        <f t="shared" si="28"/>
        <v>870</v>
      </c>
      <c r="H74" s="181">
        <f>SUM(H76:H83)</f>
        <v>1413.3330000000001</v>
      </c>
      <c r="I74" s="181">
        <f>SUM(I76:I83)</f>
        <v>609</v>
      </c>
      <c r="J74" s="181">
        <f t="shared" si="28"/>
        <v>1394.38</v>
      </c>
      <c r="K74" s="181">
        <f>SUM(K76:K83)</f>
        <v>346</v>
      </c>
      <c r="L74" s="181">
        <f>SUM(L76:L83)</f>
        <v>746.8</v>
      </c>
      <c r="M74" s="181">
        <f>SUM(G74,I74,K74)</f>
        <v>1825</v>
      </c>
      <c r="N74" s="181">
        <f>SUM(H74,J74,L74)</f>
        <v>3554.5129999999999</v>
      </c>
      <c r="O74" s="181">
        <f t="shared" si="28"/>
        <v>10</v>
      </c>
      <c r="P74" s="181">
        <f t="shared" si="28"/>
        <v>17</v>
      </c>
      <c r="Q74" s="213" t="s">
        <v>109</v>
      </c>
      <c r="R74" s="213"/>
      <c r="S74" s="213"/>
      <c r="T74" s="5"/>
      <c r="U74" s="130"/>
      <c r="V74" s="130"/>
    </row>
    <row r="75" spans="1:22" ht="6.6" customHeight="1">
      <c r="A75" s="21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213"/>
      <c r="R75" s="213"/>
      <c r="S75" s="213"/>
      <c r="T75" s="5"/>
      <c r="U75" s="130"/>
      <c r="V75" s="130"/>
    </row>
    <row r="76" spans="1:22">
      <c r="A76" s="129" t="s">
        <v>110</v>
      </c>
      <c r="B76" s="218">
        <f>SUM(C76,E76,G76,I76,K76,O76)</f>
        <v>0</v>
      </c>
      <c r="C76" s="151" t="s">
        <v>287</v>
      </c>
      <c r="D76" s="151" t="s">
        <v>287</v>
      </c>
      <c r="E76" s="151" t="s">
        <v>287</v>
      </c>
      <c r="F76" s="151" t="s">
        <v>287</v>
      </c>
      <c r="G76" s="151" t="s">
        <v>287</v>
      </c>
      <c r="H76" s="151" t="s">
        <v>287</v>
      </c>
      <c r="I76" s="151" t="s">
        <v>287</v>
      </c>
      <c r="J76" s="151" t="s">
        <v>287</v>
      </c>
      <c r="K76" s="151" t="s">
        <v>287</v>
      </c>
      <c r="L76" s="151" t="s">
        <v>287</v>
      </c>
      <c r="M76" s="134">
        <f t="shared" ref="M76:M83" si="29">SUM(G76,I76,K76)</f>
        <v>0</v>
      </c>
      <c r="N76" s="134">
        <f t="shared" ref="N76:N83" si="30">SUM(H76,J76,L76)</f>
        <v>0</v>
      </c>
      <c r="O76" s="152" t="s">
        <v>287</v>
      </c>
      <c r="P76" s="151" t="s">
        <v>287</v>
      </c>
      <c r="Q76" s="214" t="s">
        <v>111</v>
      </c>
      <c r="R76" s="214"/>
      <c r="S76" s="214"/>
      <c r="T76" s="214"/>
      <c r="U76" s="130"/>
      <c r="V76" s="130"/>
    </row>
    <row r="77" spans="1:22">
      <c r="A77" s="129" t="s">
        <v>112</v>
      </c>
      <c r="B77" s="218">
        <f>SUM(C77,E77,G77,I77,K77,O77)</f>
        <v>1</v>
      </c>
      <c r="C77" s="151">
        <v>1</v>
      </c>
      <c r="D77" s="151">
        <v>0.02</v>
      </c>
      <c r="E77" s="152" t="s">
        <v>287</v>
      </c>
      <c r="F77" s="151" t="s">
        <v>287</v>
      </c>
      <c r="G77" s="152" t="s">
        <v>287</v>
      </c>
      <c r="H77" s="151" t="s">
        <v>287</v>
      </c>
      <c r="I77" s="152" t="s">
        <v>287</v>
      </c>
      <c r="J77" s="151" t="s">
        <v>287</v>
      </c>
      <c r="K77" s="152" t="s">
        <v>287</v>
      </c>
      <c r="L77" s="151" t="s">
        <v>287</v>
      </c>
      <c r="M77" s="134">
        <f t="shared" si="29"/>
        <v>0</v>
      </c>
      <c r="N77" s="134">
        <f t="shared" si="30"/>
        <v>0</v>
      </c>
      <c r="O77" s="152" t="s">
        <v>287</v>
      </c>
      <c r="P77" s="151" t="s">
        <v>287</v>
      </c>
      <c r="Q77" s="214" t="s">
        <v>113</v>
      </c>
      <c r="R77" s="214"/>
      <c r="S77" s="214"/>
      <c r="T77" s="214"/>
      <c r="U77" s="130"/>
      <c r="V77" s="130"/>
    </row>
    <row r="78" spans="1:22">
      <c r="A78" s="129" t="s">
        <v>277</v>
      </c>
      <c r="B78" s="218">
        <f>SUM(C78,E78,G78,I78,K78,O78)</f>
        <v>0</v>
      </c>
      <c r="C78" s="151" t="s">
        <v>287</v>
      </c>
      <c r="D78" s="151" t="s">
        <v>287</v>
      </c>
      <c r="E78" s="152" t="s">
        <v>287</v>
      </c>
      <c r="F78" s="151" t="s">
        <v>287</v>
      </c>
      <c r="G78" s="152" t="s">
        <v>287</v>
      </c>
      <c r="H78" s="151" t="s">
        <v>287</v>
      </c>
      <c r="I78" s="152" t="s">
        <v>287</v>
      </c>
      <c r="J78" s="151" t="s">
        <v>287</v>
      </c>
      <c r="K78" s="152" t="s">
        <v>287</v>
      </c>
      <c r="L78" s="151" t="s">
        <v>287</v>
      </c>
      <c r="M78" s="134">
        <f t="shared" si="29"/>
        <v>0</v>
      </c>
      <c r="N78" s="134">
        <f t="shared" si="30"/>
        <v>0</v>
      </c>
      <c r="O78" s="152" t="s">
        <v>287</v>
      </c>
      <c r="P78" s="151" t="s">
        <v>287</v>
      </c>
      <c r="Q78" s="214" t="s">
        <v>115</v>
      </c>
      <c r="R78" s="214"/>
      <c r="S78" s="214"/>
      <c r="T78" s="214"/>
      <c r="U78" s="130"/>
      <c r="V78" s="130"/>
    </row>
    <row r="79" spans="1:22">
      <c r="A79" s="129" t="s">
        <v>278</v>
      </c>
      <c r="B79" s="218">
        <f>SUM(C79,E79,G79,I79,K79,O79)</f>
        <v>0</v>
      </c>
      <c r="C79" s="151" t="s">
        <v>287</v>
      </c>
      <c r="D79" s="151" t="s">
        <v>287</v>
      </c>
      <c r="E79" s="152" t="s">
        <v>287</v>
      </c>
      <c r="F79" s="151" t="s">
        <v>287</v>
      </c>
      <c r="G79" s="152" t="s">
        <v>287</v>
      </c>
      <c r="H79" s="151" t="s">
        <v>287</v>
      </c>
      <c r="I79" s="152" t="s">
        <v>287</v>
      </c>
      <c r="J79" s="151" t="s">
        <v>287</v>
      </c>
      <c r="K79" s="152" t="s">
        <v>287</v>
      </c>
      <c r="L79" s="151" t="s">
        <v>287</v>
      </c>
      <c r="M79" s="134">
        <f t="shared" si="29"/>
        <v>0</v>
      </c>
      <c r="N79" s="134">
        <f t="shared" si="30"/>
        <v>0</v>
      </c>
      <c r="O79" s="152" t="s">
        <v>287</v>
      </c>
      <c r="P79" s="151" t="s">
        <v>287</v>
      </c>
      <c r="Q79" s="214" t="s">
        <v>117</v>
      </c>
      <c r="R79" s="214"/>
      <c r="S79" s="214"/>
      <c r="T79" s="214"/>
      <c r="U79" s="130"/>
      <c r="V79" s="130"/>
    </row>
    <row r="80" spans="1:22">
      <c r="A80" s="129" t="s">
        <v>279</v>
      </c>
      <c r="B80" s="218">
        <f t="shared" ref="B80:B83" si="31">SUM(C80,E80,G80,I80,K80,O80)</f>
        <v>2254</v>
      </c>
      <c r="C80" s="151">
        <v>336</v>
      </c>
      <c r="D80" s="151">
        <v>543.77</v>
      </c>
      <c r="E80" s="151">
        <v>177</v>
      </c>
      <c r="F80" s="151">
        <v>353.62</v>
      </c>
      <c r="G80" s="151">
        <v>830</v>
      </c>
      <c r="H80" s="151">
        <v>1309.5</v>
      </c>
      <c r="I80" s="151">
        <v>556</v>
      </c>
      <c r="J80" s="151">
        <v>1270.8800000000001</v>
      </c>
      <c r="K80" s="151">
        <v>345</v>
      </c>
      <c r="L80" s="151">
        <v>745.3</v>
      </c>
      <c r="M80" s="134">
        <f t="shared" si="29"/>
        <v>1731</v>
      </c>
      <c r="N80" s="134">
        <f t="shared" si="30"/>
        <v>3325.6800000000003</v>
      </c>
      <c r="O80" s="153">
        <v>10</v>
      </c>
      <c r="P80" s="151">
        <v>17</v>
      </c>
      <c r="Q80" s="214" t="s">
        <v>119</v>
      </c>
      <c r="R80" s="214"/>
      <c r="S80" s="214"/>
      <c r="T80" s="214"/>
      <c r="U80" s="130"/>
      <c r="V80" s="130"/>
    </row>
    <row r="81" spans="1:22">
      <c r="A81" s="129" t="s">
        <v>280</v>
      </c>
      <c r="B81" s="218">
        <f t="shared" si="31"/>
        <v>1107</v>
      </c>
      <c r="C81" s="151">
        <v>167</v>
      </c>
      <c r="D81" s="151">
        <v>631.66700000000003</v>
      </c>
      <c r="E81" s="151">
        <v>923</v>
      </c>
      <c r="F81" s="151">
        <v>1645.3330000000001</v>
      </c>
      <c r="G81" s="151">
        <v>7</v>
      </c>
      <c r="H81" s="151">
        <v>8.3330000000000002</v>
      </c>
      <c r="I81" s="151">
        <v>10</v>
      </c>
      <c r="J81" s="151">
        <v>10</v>
      </c>
      <c r="K81" s="152" t="s">
        <v>287</v>
      </c>
      <c r="L81" s="151" t="s">
        <v>287</v>
      </c>
      <c r="M81" s="134">
        <f t="shared" si="29"/>
        <v>17</v>
      </c>
      <c r="N81" s="134">
        <f t="shared" si="30"/>
        <v>18.332999999999998</v>
      </c>
      <c r="O81" s="152" t="s">
        <v>287</v>
      </c>
      <c r="P81" s="151" t="s">
        <v>287</v>
      </c>
      <c r="Q81" s="214" t="s">
        <v>121</v>
      </c>
      <c r="R81" s="214"/>
      <c r="S81" s="214"/>
      <c r="T81" s="214"/>
      <c r="U81" s="130"/>
      <c r="V81" s="130"/>
    </row>
    <row r="82" spans="1:22">
      <c r="A82" s="129" t="s">
        <v>281</v>
      </c>
      <c r="B82" s="218">
        <f t="shared" si="31"/>
        <v>0</v>
      </c>
      <c r="C82" s="151" t="s">
        <v>287</v>
      </c>
      <c r="D82" s="151" t="s">
        <v>287</v>
      </c>
      <c r="E82" s="151" t="s">
        <v>287</v>
      </c>
      <c r="F82" s="151" t="s">
        <v>287</v>
      </c>
      <c r="G82" s="151" t="s">
        <v>287</v>
      </c>
      <c r="H82" s="151" t="s">
        <v>287</v>
      </c>
      <c r="I82" s="151" t="s">
        <v>287</v>
      </c>
      <c r="J82" s="151" t="s">
        <v>287</v>
      </c>
      <c r="K82" s="152" t="s">
        <v>287</v>
      </c>
      <c r="L82" s="151" t="s">
        <v>287</v>
      </c>
      <c r="M82" s="134">
        <f t="shared" si="29"/>
        <v>0</v>
      </c>
      <c r="N82" s="134">
        <f t="shared" si="30"/>
        <v>0</v>
      </c>
      <c r="O82" s="152" t="s">
        <v>287</v>
      </c>
      <c r="P82" s="151" t="s">
        <v>287</v>
      </c>
      <c r="Q82" s="214" t="s">
        <v>123</v>
      </c>
      <c r="R82" s="214"/>
      <c r="S82" s="214"/>
      <c r="T82" s="214"/>
      <c r="U82" s="130"/>
      <c r="V82" s="130"/>
    </row>
    <row r="83" spans="1:22">
      <c r="A83" s="129" t="s">
        <v>282</v>
      </c>
      <c r="B83" s="218">
        <f t="shared" si="31"/>
        <v>102</v>
      </c>
      <c r="C83" s="151">
        <v>7</v>
      </c>
      <c r="D83" s="151">
        <v>34.1</v>
      </c>
      <c r="E83" s="151">
        <v>18</v>
      </c>
      <c r="F83" s="151">
        <v>59.6</v>
      </c>
      <c r="G83" s="151">
        <v>33</v>
      </c>
      <c r="H83" s="151">
        <v>95.5</v>
      </c>
      <c r="I83" s="151">
        <v>43</v>
      </c>
      <c r="J83" s="151">
        <v>113.5</v>
      </c>
      <c r="K83" s="151">
        <v>1</v>
      </c>
      <c r="L83" s="151">
        <v>1.5</v>
      </c>
      <c r="M83" s="134">
        <f t="shared" si="29"/>
        <v>77</v>
      </c>
      <c r="N83" s="134">
        <f t="shared" si="30"/>
        <v>210.5</v>
      </c>
      <c r="O83" s="152" t="s">
        <v>287</v>
      </c>
      <c r="P83" s="151" t="s">
        <v>287</v>
      </c>
      <c r="Q83" s="214" t="s">
        <v>125</v>
      </c>
      <c r="R83" s="214"/>
      <c r="S83" s="214"/>
      <c r="T83" s="214"/>
      <c r="U83" s="130"/>
      <c r="V83" s="130"/>
    </row>
    <row r="84" spans="1:22" ht="19.899999999999999" customHeight="1">
      <c r="A84" s="210" t="s">
        <v>126</v>
      </c>
      <c r="B84" s="181">
        <f>SUM(B86:B90)</f>
        <v>9287</v>
      </c>
      <c r="C84" s="181">
        <f>SUM(C86:C90)</f>
        <v>2075</v>
      </c>
      <c r="D84" s="181">
        <f>SUM(D86:D90)</f>
        <v>2744</v>
      </c>
      <c r="E84" s="181">
        <f t="shared" ref="E84:J84" si="32">SUM(E86:E90)</f>
        <v>1658</v>
      </c>
      <c r="F84" s="181">
        <f t="shared" si="32"/>
        <v>1519.25</v>
      </c>
      <c r="G84" s="181">
        <f t="shared" si="32"/>
        <v>3206</v>
      </c>
      <c r="H84" s="181">
        <f t="shared" si="32"/>
        <v>4294.2910000000002</v>
      </c>
      <c r="I84" s="181">
        <f t="shared" si="32"/>
        <v>1267</v>
      </c>
      <c r="J84" s="181">
        <f t="shared" si="32"/>
        <v>1350.74</v>
      </c>
      <c r="K84" s="181">
        <f t="shared" ref="K84:P84" si="33">SUM(K86:K90)</f>
        <v>1067</v>
      </c>
      <c r="L84" s="181">
        <f t="shared" si="33"/>
        <v>1197.7150000000001</v>
      </c>
      <c r="M84" s="181">
        <f>SUM(G84,I84,K84)</f>
        <v>5540</v>
      </c>
      <c r="N84" s="181">
        <f>SUM(H84,J84,L84)</f>
        <v>6842.7460000000001</v>
      </c>
      <c r="O84" s="181">
        <f t="shared" si="33"/>
        <v>14</v>
      </c>
      <c r="P84" s="181">
        <f t="shared" si="33"/>
        <v>8.75</v>
      </c>
      <c r="Q84" s="215" t="s">
        <v>127</v>
      </c>
      <c r="R84" s="215"/>
      <c r="S84" s="215"/>
      <c r="T84" s="131"/>
      <c r="U84" s="130"/>
      <c r="V84" s="130"/>
    </row>
    <row r="85" spans="1:22" ht="14.4">
      <c r="A85" s="21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215"/>
      <c r="R85" s="215"/>
      <c r="S85" s="215"/>
      <c r="T85" s="131"/>
      <c r="U85" s="130"/>
      <c r="V85" s="130"/>
    </row>
    <row r="86" spans="1:22">
      <c r="A86" s="4" t="s">
        <v>128</v>
      </c>
      <c r="B86" s="218">
        <f t="shared" ref="B86:B90" si="34">SUM(C86,E86,G86,I86,K86,O86)</f>
        <v>4270</v>
      </c>
      <c r="C86" s="151">
        <v>1189</v>
      </c>
      <c r="D86" s="151">
        <v>1351.1</v>
      </c>
      <c r="E86" s="151">
        <v>916</v>
      </c>
      <c r="F86" s="151">
        <v>690.65</v>
      </c>
      <c r="G86" s="151">
        <v>1328</v>
      </c>
      <c r="H86" s="151">
        <v>1435.2</v>
      </c>
      <c r="I86" s="151">
        <v>574</v>
      </c>
      <c r="J86" s="151">
        <v>519</v>
      </c>
      <c r="K86" s="151">
        <v>263</v>
      </c>
      <c r="L86" s="151">
        <v>311.3</v>
      </c>
      <c r="M86" s="134">
        <f t="shared" ref="M86:N90" si="35">SUM(G86,I86,K86)</f>
        <v>2165</v>
      </c>
      <c r="N86" s="134">
        <f t="shared" si="35"/>
        <v>2265.5</v>
      </c>
      <c r="O86" s="152" t="s">
        <v>287</v>
      </c>
      <c r="P86" s="151" t="s">
        <v>287</v>
      </c>
      <c r="Q86" s="135" t="s">
        <v>129</v>
      </c>
      <c r="R86" s="5"/>
      <c r="S86" s="5"/>
      <c r="T86" s="5"/>
      <c r="U86" s="130"/>
      <c r="V86" s="130"/>
    </row>
    <row r="87" spans="1:22">
      <c r="A87" s="4" t="s">
        <v>130</v>
      </c>
      <c r="B87" s="218">
        <f t="shared" si="34"/>
        <v>297</v>
      </c>
      <c r="C87" s="151">
        <v>26</v>
      </c>
      <c r="D87" s="151">
        <v>65</v>
      </c>
      <c r="E87" s="151">
        <v>29</v>
      </c>
      <c r="F87" s="151">
        <v>20.3</v>
      </c>
      <c r="G87" s="151">
        <v>52</v>
      </c>
      <c r="H87" s="151">
        <v>93.6</v>
      </c>
      <c r="I87" s="151">
        <v>176</v>
      </c>
      <c r="J87" s="151">
        <v>316.8</v>
      </c>
      <c r="K87" s="151">
        <v>12</v>
      </c>
      <c r="L87" s="151">
        <v>21.6</v>
      </c>
      <c r="M87" s="134">
        <f t="shared" si="35"/>
        <v>240</v>
      </c>
      <c r="N87" s="134">
        <f t="shared" si="35"/>
        <v>432</v>
      </c>
      <c r="O87" s="153">
        <v>2</v>
      </c>
      <c r="P87" s="151">
        <v>0.6</v>
      </c>
      <c r="Q87" s="135" t="s">
        <v>131</v>
      </c>
      <c r="R87" s="5"/>
      <c r="S87" s="5"/>
      <c r="T87" s="5"/>
      <c r="U87" s="130"/>
      <c r="V87" s="130"/>
    </row>
    <row r="88" spans="1:22">
      <c r="A88" s="4" t="s">
        <v>132</v>
      </c>
      <c r="B88" s="218">
        <f t="shared" si="34"/>
        <v>287</v>
      </c>
      <c r="C88" s="151">
        <v>85</v>
      </c>
      <c r="D88" s="151">
        <v>71.400000000000006</v>
      </c>
      <c r="E88" s="151">
        <v>114</v>
      </c>
      <c r="F88" s="151">
        <v>47.3</v>
      </c>
      <c r="G88" s="151">
        <v>38</v>
      </c>
      <c r="H88" s="151">
        <v>97.5</v>
      </c>
      <c r="I88" s="151">
        <v>40</v>
      </c>
      <c r="J88" s="151">
        <v>48</v>
      </c>
      <c r="K88" s="151">
        <v>10</v>
      </c>
      <c r="L88" s="151">
        <v>25</v>
      </c>
      <c r="M88" s="134">
        <f t="shared" si="35"/>
        <v>88</v>
      </c>
      <c r="N88" s="134">
        <f t="shared" si="35"/>
        <v>170.5</v>
      </c>
      <c r="O88" s="152" t="s">
        <v>287</v>
      </c>
      <c r="P88" s="151" t="s">
        <v>287</v>
      </c>
      <c r="Q88" s="135" t="s">
        <v>133</v>
      </c>
      <c r="R88" s="5"/>
      <c r="S88" s="5"/>
      <c r="T88" s="5"/>
      <c r="U88" s="130"/>
      <c r="V88" s="130"/>
    </row>
    <row r="89" spans="1:22">
      <c r="A89" s="4" t="s">
        <v>134</v>
      </c>
      <c r="B89" s="218">
        <f t="shared" si="34"/>
        <v>1201</v>
      </c>
      <c r="C89" s="151">
        <v>234</v>
      </c>
      <c r="D89" s="151">
        <v>463</v>
      </c>
      <c r="E89" s="151">
        <v>203</v>
      </c>
      <c r="F89" s="151">
        <v>302.5</v>
      </c>
      <c r="G89" s="151">
        <v>423</v>
      </c>
      <c r="H89" s="151">
        <v>846</v>
      </c>
      <c r="I89" s="151">
        <v>53</v>
      </c>
      <c r="J89" s="151">
        <v>79.5</v>
      </c>
      <c r="K89" s="151">
        <v>277</v>
      </c>
      <c r="L89" s="151">
        <v>554</v>
      </c>
      <c r="M89" s="134">
        <f t="shared" si="35"/>
        <v>753</v>
      </c>
      <c r="N89" s="134">
        <f t="shared" si="35"/>
        <v>1479.5</v>
      </c>
      <c r="O89" s="153">
        <v>11</v>
      </c>
      <c r="P89" s="151">
        <v>7.8</v>
      </c>
      <c r="Q89" s="135" t="s">
        <v>135</v>
      </c>
      <c r="R89" s="5"/>
      <c r="S89" s="5"/>
      <c r="T89" s="5"/>
      <c r="U89" s="130"/>
      <c r="V89" s="130"/>
    </row>
    <row r="90" spans="1:22">
      <c r="A90" s="4" t="s">
        <v>136</v>
      </c>
      <c r="B90" s="218">
        <f t="shared" si="34"/>
        <v>3232</v>
      </c>
      <c r="C90" s="151">
        <v>541</v>
      </c>
      <c r="D90" s="151">
        <v>793.5</v>
      </c>
      <c r="E90" s="151">
        <v>396</v>
      </c>
      <c r="F90" s="151">
        <v>458.5</v>
      </c>
      <c r="G90" s="151">
        <v>1365</v>
      </c>
      <c r="H90" s="151">
        <v>1821.991</v>
      </c>
      <c r="I90" s="151">
        <v>424</v>
      </c>
      <c r="J90" s="151">
        <v>387.44</v>
      </c>
      <c r="K90" s="151">
        <v>505</v>
      </c>
      <c r="L90" s="151">
        <v>285.815</v>
      </c>
      <c r="M90" s="134">
        <f t="shared" si="35"/>
        <v>2294</v>
      </c>
      <c r="N90" s="134">
        <f t="shared" si="35"/>
        <v>2495.2460000000001</v>
      </c>
      <c r="O90" s="153">
        <v>1</v>
      </c>
      <c r="P90" s="151">
        <v>0.35</v>
      </c>
      <c r="Q90" s="135" t="s">
        <v>137</v>
      </c>
      <c r="R90" s="5"/>
      <c r="S90" s="5"/>
      <c r="T90" s="5"/>
      <c r="U90" s="130"/>
      <c r="V90" s="130"/>
    </row>
    <row r="91" spans="1:22">
      <c r="A91" s="210" t="s">
        <v>138</v>
      </c>
      <c r="B91" s="181">
        <f>SUM(B93:B105)</f>
        <v>19746</v>
      </c>
      <c r="C91" s="181">
        <f>SUM(C93:C105)</f>
        <v>3477</v>
      </c>
      <c r="D91" s="181">
        <f t="shared" ref="D91:P91" si="36">SUM(D93:D105)</f>
        <v>6626.5800000000008</v>
      </c>
      <c r="E91" s="181">
        <f t="shared" si="36"/>
        <v>2527</v>
      </c>
      <c r="F91" s="181">
        <f t="shared" si="36"/>
        <v>2721.47</v>
      </c>
      <c r="G91" s="181">
        <f t="shared" si="36"/>
        <v>7931</v>
      </c>
      <c r="H91" s="181">
        <f t="shared" si="36"/>
        <v>14954.43</v>
      </c>
      <c r="I91" s="181">
        <f t="shared" si="36"/>
        <v>1200</v>
      </c>
      <c r="J91" s="181">
        <f t="shared" si="36"/>
        <v>1281.17</v>
      </c>
      <c r="K91" s="181">
        <f t="shared" si="36"/>
        <v>4379</v>
      </c>
      <c r="L91" s="181">
        <f t="shared" si="36"/>
        <v>6775.62</v>
      </c>
      <c r="M91" s="181">
        <f>SUM(G91,I91,K91)</f>
        <v>13510</v>
      </c>
      <c r="N91" s="181">
        <f>SUM(H91,J91,L91)</f>
        <v>23011.22</v>
      </c>
      <c r="O91" s="181">
        <f t="shared" si="36"/>
        <v>232</v>
      </c>
      <c r="P91" s="181">
        <f t="shared" si="36"/>
        <v>330.17</v>
      </c>
      <c r="Q91" s="212" t="s">
        <v>139</v>
      </c>
      <c r="R91" s="212"/>
      <c r="S91" s="212"/>
      <c r="T91" s="5"/>
      <c r="U91" s="130"/>
      <c r="V91" s="130"/>
    </row>
    <row r="92" spans="1:22">
      <c r="A92" s="21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212"/>
      <c r="R92" s="212"/>
      <c r="S92" s="212"/>
      <c r="T92" s="5"/>
      <c r="U92" s="130"/>
      <c r="V92" s="130"/>
    </row>
    <row r="93" spans="1:22">
      <c r="A93" s="4" t="s">
        <v>140</v>
      </c>
      <c r="B93" s="218">
        <f t="shared" ref="B93:B105" si="37">SUM(C93,E93,G93,I93,K93,O93)</f>
        <v>746</v>
      </c>
      <c r="C93" s="151">
        <v>43</v>
      </c>
      <c r="D93" s="151">
        <v>43</v>
      </c>
      <c r="E93" s="151">
        <v>65</v>
      </c>
      <c r="F93" s="151">
        <v>64</v>
      </c>
      <c r="G93" s="151">
        <v>349</v>
      </c>
      <c r="H93" s="151">
        <v>680</v>
      </c>
      <c r="I93" s="151">
        <v>85</v>
      </c>
      <c r="J93" s="151">
        <v>115</v>
      </c>
      <c r="K93" s="151">
        <v>204</v>
      </c>
      <c r="L93" s="151">
        <v>235</v>
      </c>
      <c r="M93" s="134">
        <f t="shared" ref="M93:N105" si="38">SUM(G93,I93,K93)</f>
        <v>638</v>
      </c>
      <c r="N93" s="134">
        <f t="shared" si="38"/>
        <v>1030</v>
      </c>
      <c r="O93" s="152" t="s">
        <v>287</v>
      </c>
      <c r="P93" s="151" t="s">
        <v>287</v>
      </c>
      <c r="Q93" s="135" t="s">
        <v>141</v>
      </c>
      <c r="R93" s="5"/>
      <c r="S93" s="5"/>
      <c r="T93" s="5"/>
      <c r="U93" s="130"/>
      <c r="V93" s="130"/>
    </row>
    <row r="94" spans="1:22">
      <c r="A94" s="4" t="s">
        <v>142</v>
      </c>
      <c r="B94" s="218">
        <f t="shared" si="37"/>
        <v>1287</v>
      </c>
      <c r="C94" s="151">
        <v>38</v>
      </c>
      <c r="D94" s="151">
        <v>32.799999999999997</v>
      </c>
      <c r="E94" s="151">
        <v>43</v>
      </c>
      <c r="F94" s="151">
        <v>20.100000000000001</v>
      </c>
      <c r="G94" s="151">
        <v>657</v>
      </c>
      <c r="H94" s="151">
        <v>1278</v>
      </c>
      <c r="I94" s="151">
        <v>304</v>
      </c>
      <c r="J94" s="151">
        <v>467</v>
      </c>
      <c r="K94" s="151">
        <v>245</v>
      </c>
      <c r="L94" s="151">
        <v>315.60000000000002</v>
      </c>
      <c r="M94" s="134">
        <f t="shared" si="38"/>
        <v>1206</v>
      </c>
      <c r="N94" s="134">
        <f t="shared" si="38"/>
        <v>2060.6</v>
      </c>
      <c r="O94" s="152" t="s">
        <v>287</v>
      </c>
      <c r="P94" s="151" t="s">
        <v>287</v>
      </c>
      <c r="Q94" s="135" t="s">
        <v>143</v>
      </c>
      <c r="R94" s="5"/>
      <c r="S94" s="5"/>
      <c r="T94" s="5"/>
      <c r="U94" s="130"/>
      <c r="V94" s="130"/>
    </row>
    <row r="95" spans="1:22">
      <c r="A95" s="4" t="s">
        <v>144</v>
      </c>
      <c r="B95" s="218">
        <f t="shared" si="37"/>
        <v>807</v>
      </c>
      <c r="C95" s="151">
        <v>60</v>
      </c>
      <c r="D95" s="151">
        <v>26.75</v>
      </c>
      <c r="E95" s="151">
        <v>139</v>
      </c>
      <c r="F95" s="151">
        <v>47</v>
      </c>
      <c r="G95" s="151">
        <v>513</v>
      </c>
      <c r="H95" s="151">
        <v>301.2</v>
      </c>
      <c r="I95" s="152" t="s">
        <v>287</v>
      </c>
      <c r="J95" s="151" t="s">
        <v>287</v>
      </c>
      <c r="K95" s="151">
        <v>95</v>
      </c>
      <c r="L95" s="151">
        <v>60.5</v>
      </c>
      <c r="M95" s="134">
        <f t="shared" si="38"/>
        <v>608</v>
      </c>
      <c r="N95" s="134">
        <f t="shared" si="38"/>
        <v>361.7</v>
      </c>
      <c r="O95" s="152" t="s">
        <v>287</v>
      </c>
      <c r="P95" s="151" t="s">
        <v>287</v>
      </c>
      <c r="Q95" s="135" t="s">
        <v>145</v>
      </c>
      <c r="R95" s="5"/>
      <c r="S95" s="5"/>
      <c r="T95" s="5"/>
      <c r="U95" s="130"/>
      <c r="V95" s="130"/>
    </row>
    <row r="96" spans="1:22">
      <c r="A96" s="4" t="s">
        <v>146</v>
      </c>
      <c r="B96" s="218">
        <f t="shared" si="37"/>
        <v>487</v>
      </c>
      <c r="C96" s="151">
        <v>43</v>
      </c>
      <c r="D96" s="151">
        <v>59.5</v>
      </c>
      <c r="E96" s="151">
        <v>65</v>
      </c>
      <c r="F96" s="151">
        <v>41</v>
      </c>
      <c r="G96" s="151">
        <v>199</v>
      </c>
      <c r="H96" s="151">
        <v>201.8</v>
      </c>
      <c r="I96" s="152" t="s">
        <v>287</v>
      </c>
      <c r="J96" s="151" t="s">
        <v>287</v>
      </c>
      <c r="K96" s="151">
        <v>158</v>
      </c>
      <c r="L96" s="151">
        <v>113.9</v>
      </c>
      <c r="M96" s="134">
        <f t="shared" si="38"/>
        <v>357</v>
      </c>
      <c r="N96" s="134">
        <f t="shared" si="38"/>
        <v>315.70000000000005</v>
      </c>
      <c r="O96" s="153">
        <v>22</v>
      </c>
      <c r="P96" s="151">
        <v>11.5</v>
      </c>
      <c r="Q96" s="135" t="s">
        <v>147</v>
      </c>
      <c r="R96" s="5"/>
      <c r="S96" s="5"/>
      <c r="T96" s="5"/>
      <c r="U96" s="130"/>
      <c r="V96" s="130"/>
    </row>
    <row r="97" spans="1:22">
      <c r="A97" s="4" t="s">
        <v>148</v>
      </c>
      <c r="B97" s="218">
        <f t="shared" si="37"/>
        <v>72</v>
      </c>
      <c r="C97" s="151">
        <v>14</v>
      </c>
      <c r="D97" s="151">
        <v>16.850000000000001</v>
      </c>
      <c r="E97" s="151">
        <v>14</v>
      </c>
      <c r="F97" s="151">
        <v>16.8</v>
      </c>
      <c r="G97" s="151">
        <v>41</v>
      </c>
      <c r="H97" s="151">
        <v>31.05</v>
      </c>
      <c r="I97" s="151">
        <v>2</v>
      </c>
      <c r="J97" s="151">
        <v>0.2</v>
      </c>
      <c r="K97" s="151">
        <v>1</v>
      </c>
      <c r="L97" s="151">
        <v>0.1</v>
      </c>
      <c r="M97" s="134">
        <f t="shared" si="38"/>
        <v>44</v>
      </c>
      <c r="N97" s="134">
        <f t="shared" si="38"/>
        <v>31.35</v>
      </c>
      <c r="O97" s="152" t="s">
        <v>287</v>
      </c>
      <c r="P97" s="151" t="s">
        <v>287</v>
      </c>
      <c r="Q97" s="135" t="s">
        <v>149</v>
      </c>
      <c r="R97" s="5"/>
      <c r="S97" s="5"/>
      <c r="T97" s="5"/>
      <c r="U97" s="130"/>
      <c r="V97" s="130"/>
    </row>
    <row r="98" spans="1:22">
      <c r="A98" s="4" t="s">
        <v>150</v>
      </c>
      <c r="B98" s="218">
        <f t="shared" si="37"/>
        <v>236</v>
      </c>
      <c r="C98" s="151">
        <v>48</v>
      </c>
      <c r="D98" s="151">
        <v>22</v>
      </c>
      <c r="E98" s="151">
        <v>29</v>
      </c>
      <c r="F98" s="151">
        <v>22</v>
      </c>
      <c r="G98" s="151">
        <v>5</v>
      </c>
      <c r="H98" s="151">
        <v>15</v>
      </c>
      <c r="I98" s="151">
        <v>130</v>
      </c>
      <c r="J98" s="151">
        <v>98</v>
      </c>
      <c r="K98" s="151">
        <v>24</v>
      </c>
      <c r="L98" s="151">
        <v>18</v>
      </c>
      <c r="M98" s="134">
        <f t="shared" si="38"/>
        <v>159</v>
      </c>
      <c r="N98" s="134">
        <f t="shared" si="38"/>
        <v>131</v>
      </c>
      <c r="O98" s="152" t="s">
        <v>287</v>
      </c>
      <c r="P98" s="151" t="s">
        <v>287</v>
      </c>
      <c r="Q98" s="135" t="s">
        <v>151</v>
      </c>
      <c r="R98" s="5"/>
      <c r="S98" s="5"/>
      <c r="T98" s="5"/>
      <c r="U98" s="130"/>
      <c r="V98" s="130"/>
    </row>
    <row r="99" spans="1:22">
      <c r="A99" s="4" t="s">
        <v>152</v>
      </c>
      <c r="B99" s="218">
        <f t="shared" si="37"/>
        <v>2097</v>
      </c>
      <c r="C99" s="151">
        <v>736</v>
      </c>
      <c r="D99" s="151">
        <v>3274.5</v>
      </c>
      <c r="E99" s="151">
        <v>422</v>
      </c>
      <c r="F99" s="151">
        <v>874.65</v>
      </c>
      <c r="G99" s="151">
        <v>695</v>
      </c>
      <c r="H99" s="151">
        <v>2475.9</v>
      </c>
      <c r="I99" s="152" t="s">
        <v>287</v>
      </c>
      <c r="J99" s="151" t="s">
        <v>287</v>
      </c>
      <c r="K99" s="151">
        <v>237</v>
      </c>
      <c r="L99" s="151">
        <v>671.22</v>
      </c>
      <c r="M99" s="134">
        <f t="shared" si="38"/>
        <v>932</v>
      </c>
      <c r="N99" s="134">
        <f t="shared" si="38"/>
        <v>3147.12</v>
      </c>
      <c r="O99" s="153">
        <v>7</v>
      </c>
      <c r="P99" s="151">
        <v>11.34</v>
      </c>
      <c r="Q99" s="135" t="s">
        <v>153</v>
      </c>
      <c r="R99" s="5"/>
      <c r="S99" s="5"/>
      <c r="T99" s="5"/>
      <c r="U99" s="130"/>
      <c r="V99" s="130"/>
    </row>
    <row r="100" spans="1:22">
      <c r="A100" s="4" t="s">
        <v>154</v>
      </c>
      <c r="B100" s="218">
        <f t="shared" si="37"/>
        <v>2166</v>
      </c>
      <c r="C100" s="151">
        <v>981</v>
      </c>
      <c r="D100" s="151">
        <v>776.32</v>
      </c>
      <c r="E100" s="151">
        <v>735</v>
      </c>
      <c r="F100" s="151">
        <v>520.70000000000005</v>
      </c>
      <c r="G100" s="151">
        <v>329</v>
      </c>
      <c r="H100" s="151">
        <v>714.2</v>
      </c>
      <c r="I100" s="151">
        <v>42</v>
      </c>
      <c r="J100" s="151">
        <v>35</v>
      </c>
      <c r="K100" s="151">
        <v>79</v>
      </c>
      <c r="L100" s="151">
        <v>91</v>
      </c>
      <c r="M100" s="134">
        <f t="shared" si="38"/>
        <v>450</v>
      </c>
      <c r="N100" s="134">
        <f t="shared" si="38"/>
        <v>840.2</v>
      </c>
      <c r="O100" s="152" t="s">
        <v>287</v>
      </c>
      <c r="P100" s="151" t="s">
        <v>287</v>
      </c>
      <c r="Q100" s="135" t="s">
        <v>155</v>
      </c>
      <c r="R100" s="5"/>
      <c r="S100" s="5"/>
      <c r="T100" s="5"/>
      <c r="U100" s="130"/>
      <c r="V100" s="130"/>
    </row>
    <row r="101" spans="1:22">
      <c r="A101" s="4" t="s">
        <v>156</v>
      </c>
      <c r="B101" s="218">
        <f t="shared" si="37"/>
        <v>235</v>
      </c>
      <c r="C101" s="151">
        <v>135</v>
      </c>
      <c r="D101" s="151">
        <v>232.5</v>
      </c>
      <c r="E101" s="151">
        <v>70</v>
      </c>
      <c r="F101" s="151">
        <v>106</v>
      </c>
      <c r="G101" s="152" t="s">
        <v>287</v>
      </c>
      <c r="H101" s="151">
        <v>0</v>
      </c>
      <c r="I101" s="152" t="s">
        <v>287</v>
      </c>
      <c r="J101" s="151" t="s">
        <v>287</v>
      </c>
      <c r="K101" s="151">
        <v>20</v>
      </c>
      <c r="L101" s="151">
        <v>20</v>
      </c>
      <c r="M101" s="134">
        <f t="shared" si="38"/>
        <v>20</v>
      </c>
      <c r="N101" s="134">
        <f t="shared" si="38"/>
        <v>20</v>
      </c>
      <c r="O101" s="153">
        <v>10</v>
      </c>
      <c r="P101" s="151">
        <v>10</v>
      </c>
      <c r="Q101" s="135" t="s">
        <v>157</v>
      </c>
      <c r="R101" s="5"/>
      <c r="S101" s="5"/>
      <c r="T101" s="5"/>
      <c r="U101" s="130"/>
      <c r="V101" s="130"/>
    </row>
    <row r="102" spans="1:22">
      <c r="A102" s="4" t="s">
        <v>158</v>
      </c>
      <c r="B102" s="218">
        <f t="shared" si="37"/>
        <v>4819</v>
      </c>
      <c r="C102" s="151">
        <v>52</v>
      </c>
      <c r="D102" s="151">
        <v>56.56</v>
      </c>
      <c r="E102" s="151">
        <v>29</v>
      </c>
      <c r="F102" s="151">
        <v>20.05</v>
      </c>
      <c r="G102" s="151">
        <v>2768</v>
      </c>
      <c r="H102" s="151">
        <v>6207.1</v>
      </c>
      <c r="I102" s="151">
        <v>21</v>
      </c>
      <c r="J102" s="151">
        <v>16.600000000000001</v>
      </c>
      <c r="K102" s="151">
        <v>1878</v>
      </c>
      <c r="L102" s="151">
        <v>3740.5</v>
      </c>
      <c r="M102" s="134">
        <f t="shared" si="38"/>
        <v>4667</v>
      </c>
      <c r="N102" s="134">
        <f t="shared" si="38"/>
        <v>9964.2000000000007</v>
      </c>
      <c r="O102" s="153">
        <v>71</v>
      </c>
      <c r="P102" s="151">
        <v>172.85</v>
      </c>
      <c r="Q102" s="135" t="s">
        <v>159</v>
      </c>
      <c r="R102" s="5"/>
      <c r="S102" s="5"/>
      <c r="T102" s="5"/>
      <c r="U102" s="130"/>
      <c r="V102" s="130"/>
    </row>
    <row r="103" spans="1:22">
      <c r="A103" s="4" t="s">
        <v>160</v>
      </c>
      <c r="B103" s="218">
        <f t="shared" si="37"/>
        <v>1024</v>
      </c>
      <c r="C103" s="151">
        <v>218</v>
      </c>
      <c r="D103" s="151">
        <v>91.5</v>
      </c>
      <c r="E103" s="151">
        <v>186</v>
      </c>
      <c r="F103" s="151">
        <v>73</v>
      </c>
      <c r="G103" s="151">
        <v>349</v>
      </c>
      <c r="H103" s="151">
        <v>252.6</v>
      </c>
      <c r="I103" s="151">
        <v>30</v>
      </c>
      <c r="J103" s="151">
        <v>21</v>
      </c>
      <c r="K103" s="151">
        <v>231</v>
      </c>
      <c r="L103" s="151">
        <v>166.7</v>
      </c>
      <c r="M103" s="134">
        <f t="shared" si="38"/>
        <v>610</v>
      </c>
      <c r="N103" s="134">
        <f t="shared" si="38"/>
        <v>440.3</v>
      </c>
      <c r="O103" s="153">
        <v>10</v>
      </c>
      <c r="P103" s="151">
        <v>7</v>
      </c>
      <c r="Q103" s="135" t="s">
        <v>161</v>
      </c>
      <c r="R103" s="5"/>
      <c r="S103" s="5"/>
      <c r="T103" s="5"/>
      <c r="U103" s="130"/>
      <c r="V103" s="130"/>
    </row>
    <row r="104" spans="1:22">
      <c r="A104" s="4" t="s">
        <v>162</v>
      </c>
      <c r="B104" s="218">
        <f t="shared" si="37"/>
        <v>5263</v>
      </c>
      <c r="C104" s="151">
        <v>1066</v>
      </c>
      <c r="D104" s="151">
        <v>1928.3</v>
      </c>
      <c r="E104" s="151">
        <v>695</v>
      </c>
      <c r="F104" s="151">
        <v>886.97</v>
      </c>
      <c r="G104" s="151">
        <v>1719</v>
      </c>
      <c r="H104" s="151">
        <v>2293.98</v>
      </c>
      <c r="I104" s="151">
        <v>571</v>
      </c>
      <c r="J104" s="151">
        <v>503.37</v>
      </c>
      <c r="K104" s="151">
        <v>1100</v>
      </c>
      <c r="L104" s="151">
        <v>1227.3</v>
      </c>
      <c r="M104" s="134">
        <f t="shared" si="38"/>
        <v>3390</v>
      </c>
      <c r="N104" s="134">
        <f t="shared" si="38"/>
        <v>4024.6499999999996</v>
      </c>
      <c r="O104" s="153">
        <v>112</v>
      </c>
      <c r="P104" s="151">
        <v>117.48</v>
      </c>
      <c r="Q104" s="135" t="s">
        <v>163</v>
      </c>
      <c r="R104" s="5"/>
      <c r="S104" s="5"/>
      <c r="T104" s="5"/>
      <c r="U104" s="130"/>
      <c r="V104" s="130"/>
    </row>
    <row r="105" spans="1:22">
      <c r="A105" s="4" t="s">
        <v>164</v>
      </c>
      <c r="B105" s="218">
        <f t="shared" si="37"/>
        <v>507</v>
      </c>
      <c r="C105" s="151">
        <v>43</v>
      </c>
      <c r="D105" s="151">
        <v>66</v>
      </c>
      <c r="E105" s="151">
        <v>35</v>
      </c>
      <c r="F105" s="151">
        <v>29.2</v>
      </c>
      <c r="G105" s="151">
        <v>307</v>
      </c>
      <c r="H105" s="151">
        <v>503.6</v>
      </c>
      <c r="I105" s="151">
        <v>15</v>
      </c>
      <c r="J105" s="151">
        <v>25</v>
      </c>
      <c r="K105" s="151">
        <v>107</v>
      </c>
      <c r="L105" s="151">
        <v>115.8</v>
      </c>
      <c r="M105" s="134">
        <f t="shared" si="38"/>
        <v>429</v>
      </c>
      <c r="N105" s="134">
        <f t="shared" si="38"/>
        <v>644.4</v>
      </c>
      <c r="O105" s="152" t="s">
        <v>287</v>
      </c>
      <c r="P105" s="151" t="s">
        <v>287</v>
      </c>
      <c r="Q105" s="135" t="s">
        <v>165</v>
      </c>
      <c r="R105" s="5"/>
      <c r="S105" s="5"/>
      <c r="T105" s="5"/>
      <c r="U105" s="130"/>
      <c r="V105" s="130"/>
    </row>
    <row r="106" spans="1:22">
      <c r="A106" s="210" t="s">
        <v>166</v>
      </c>
      <c r="B106" s="181">
        <f>SUM(B108:B111)</f>
        <v>61723</v>
      </c>
      <c r="C106" s="181">
        <f>SUM(C108:C111)</f>
        <v>10415</v>
      </c>
      <c r="D106" s="181">
        <f t="shared" ref="D106:P106" si="39">SUM(D108:D111)</f>
        <v>17344.260000000002</v>
      </c>
      <c r="E106" s="181">
        <f t="shared" si="39"/>
        <v>7594</v>
      </c>
      <c r="F106" s="181">
        <f t="shared" si="39"/>
        <v>13204.31</v>
      </c>
      <c r="G106" s="181">
        <f t="shared" si="39"/>
        <v>16882</v>
      </c>
      <c r="H106" s="181">
        <f t="shared" si="39"/>
        <v>22776.11</v>
      </c>
      <c r="I106" s="181">
        <f t="shared" si="39"/>
        <v>18580</v>
      </c>
      <c r="J106" s="181">
        <f t="shared" si="39"/>
        <v>36639.51</v>
      </c>
      <c r="K106" s="181">
        <f t="shared" si="39"/>
        <v>8246</v>
      </c>
      <c r="L106" s="181">
        <f t="shared" si="39"/>
        <v>8757.380000000001</v>
      </c>
      <c r="M106" s="181">
        <f>SUM(G106,I106,K106)</f>
        <v>43708</v>
      </c>
      <c r="N106" s="181">
        <f>SUM(H106,J106,L106)</f>
        <v>68173</v>
      </c>
      <c r="O106" s="181">
        <f t="shared" si="39"/>
        <v>6</v>
      </c>
      <c r="P106" s="181">
        <f t="shared" si="39"/>
        <v>5.5</v>
      </c>
      <c r="Q106" s="213" t="s">
        <v>167</v>
      </c>
      <c r="R106" s="213"/>
      <c r="S106" s="213"/>
      <c r="T106" s="5"/>
      <c r="U106" s="130"/>
      <c r="V106" s="130"/>
    </row>
    <row r="107" spans="1:22">
      <c r="A107" s="210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213"/>
      <c r="R107" s="213"/>
      <c r="S107" s="213"/>
      <c r="T107" s="5"/>
      <c r="U107" s="130"/>
      <c r="V107" s="130"/>
    </row>
    <row r="108" spans="1:22">
      <c r="A108" s="4" t="s">
        <v>168</v>
      </c>
      <c r="B108" s="218">
        <f>SUM(C108,E108,G108,I108,K108,O108)</f>
        <v>34151</v>
      </c>
      <c r="C108" s="151">
        <v>6568</v>
      </c>
      <c r="D108" s="151">
        <v>8657.7999999999993</v>
      </c>
      <c r="E108" s="151">
        <v>4332</v>
      </c>
      <c r="F108" s="151">
        <v>4919.7</v>
      </c>
      <c r="G108" s="151">
        <v>9373</v>
      </c>
      <c r="H108" s="151">
        <v>12171.7</v>
      </c>
      <c r="I108" s="151">
        <v>7914</v>
      </c>
      <c r="J108" s="151">
        <v>11592.4</v>
      </c>
      <c r="K108" s="151">
        <v>5964</v>
      </c>
      <c r="L108" s="151">
        <v>6800.5</v>
      </c>
      <c r="M108" s="134">
        <f t="shared" ref="M108:N111" si="40">SUM(G108,I108,K108)</f>
        <v>23251</v>
      </c>
      <c r="N108" s="134">
        <f t="shared" si="40"/>
        <v>30564.6</v>
      </c>
      <c r="O108" s="152" t="s">
        <v>287</v>
      </c>
      <c r="P108" s="151" t="s">
        <v>287</v>
      </c>
      <c r="Q108" s="135" t="s">
        <v>169</v>
      </c>
      <c r="R108" s="5"/>
      <c r="S108" s="5"/>
      <c r="T108" s="5"/>
      <c r="U108" s="130"/>
      <c r="V108" s="130"/>
    </row>
    <row r="109" spans="1:22" ht="12.05" customHeight="1">
      <c r="A109" s="4" t="s">
        <v>170</v>
      </c>
      <c r="B109" s="218">
        <f>SUM(C109,E109,G109,I109,K109,O109)</f>
        <v>13557</v>
      </c>
      <c r="C109" s="151">
        <v>636</v>
      </c>
      <c r="D109" s="151">
        <v>1800.34</v>
      </c>
      <c r="E109" s="151">
        <v>1152</v>
      </c>
      <c r="F109" s="151">
        <v>4532.04</v>
      </c>
      <c r="G109" s="151">
        <v>2682</v>
      </c>
      <c r="H109" s="151">
        <v>4380.41</v>
      </c>
      <c r="I109" s="151">
        <v>8260</v>
      </c>
      <c r="J109" s="151">
        <v>22328.560000000001</v>
      </c>
      <c r="K109" s="151">
        <v>827</v>
      </c>
      <c r="L109" s="151">
        <v>712.38</v>
      </c>
      <c r="M109" s="134">
        <f t="shared" si="40"/>
        <v>11769</v>
      </c>
      <c r="N109" s="134">
        <f t="shared" si="40"/>
        <v>27421.350000000002</v>
      </c>
      <c r="O109" s="152" t="s">
        <v>287</v>
      </c>
      <c r="P109" s="151" t="s">
        <v>287</v>
      </c>
      <c r="Q109" s="135" t="s">
        <v>171</v>
      </c>
      <c r="R109" s="5"/>
      <c r="S109" s="5"/>
      <c r="T109" s="5"/>
      <c r="U109" s="130"/>
      <c r="V109" s="130"/>
    </row>
    <row r="110" spans="1:22">
      <c r="A110" s="4" t="s">
        <v>172</v>
      </c>
      <c r="B110" s="218">
        <f>SUM(C110,E110,G110,I110,K110,O110)</f>
        <v>3639</v>
      </c>
      <c r="C110" s="151">
        <v>831</v>
      </c>
      <c r="D110" s="151">
        <v>1102.77</v>
      </c>
      <c r="E110" s="151">
        <v>395</v>
      </c>
      <c r="F110" s="151">
        <v>404.47</v>
      </c>
      <c r="G110" s="151">
        <v>1318</v>
      </c>
      <c r="H110" s="151">
        <v>1689.35</v>
      </c>
      <c r="I110" s="151">
        <v>660</v>
      </c>
      <c r="J110" s="151">
        <v>769.55</v>
      </c>
      <c r="K110" s="151">
        <v>435</v>
      </c>
      <c r="L110" s="151">
        <v>343</v>
      </c>
      <c r="M110" s="134">
        <f t="shared" si="40"/>
        <v>2413</v>
      </c>
      <c r="N110" s="134">
        <f t="shared" si="40"/>
        <v>2801.8999999999996</v>
      </c>
      <c r="O110" s="152" t="s">
        <v>287</v>
      </c>
      <c r="P110" s="151" t="s">
        <v>287</v>
      </c>
      <c r="Q110" s="135" t="s">
        <v>173</v>
      </c>
      <c r="R110" s="5"/>
      <c r="S110" s="5"/>
      <c r="T110" s="5"/>
      <c r="U110" s="130"/>
      <c r="V110" s="130"/>
    </row>
    <row r="111" spans="1:22" ht="11.3" thickBot="1">
      <c r="A111" s="6" t="s">
        <v>174</v>
      </c>
      <c r="B111" s="219">
        <f>SUM(C111,E111,G111,I111,K111,O111)</f>
        <v>10376</v>
      </c>
      <c r="C111" s="154">
        <v>2380</v>
      </c>
      <c r="D111" s="154">
        <v>5783.35</v>
      </c>
      <c r="E111" s="154">
        <v>1715</v>
      </c>
      <c r="F111" s="154">
        <v>3348.1</v>
      </c>
      <c r="G111" s="154">
        <v>3509</v>
      </c>
      <c r="H111" s="154">
        <v>4534.6499999999996</v>
      </c>
      <c r="I111" s="154">
        <v>1746</v>
      </c>
      <c r="J111" s="154">
        <v>1949</v>
      </c>
      <c r="K111" s="154">
        <v>1020</v>
      </c>
      <c r="L111" s="154">
        <v>901.5</v>
      </c>
      <c r="M111" s="156">
        <f t="shared" si="40"/>
        <v>6275</v>
      </c>
      <c r="N111" s="156">
        <f t="shared" si="40"/>
        <v>7385.15</v>
      </c>
      <c r="O111" s="157">
        <v>6</v>
      </c>
      <c r="P111" s="154">
        <v>5.5</v>
      </c>
      <c r="Q111" s="136" t="s">
        <v>175</v>
      </c>
      <c r="R111" s="7"/>
      <c r="S111" s="7"/>
      <c r="T111" s="5"/>
      <c r="U111" s="130"/>
      <c r="V111" s="130"/>
    </row>
    <row r="112" spans="1:22">
      <c r="A112" s="8" t="s">
        <v>176</v>
      </c>
      <c r="L112" s="5"/>
      <c r="N112" s="5"/>
      <c r="O112" s="5"/>
      <c r="P112" s="216" t="s">
        <v>177</v>
      </c>
      <c r="Q112" s="217"/>
      <c r="R112" s="217"/>
      <c r="S112" s="217"/>
    </row>
    <row r="113" spans="1:1">
      <c r="A113" s="9"/>
    </row>
  </sheetData>
  <mergeCells count="248">
    <mergeCell ref="B2:O3"/>
    <mergeCell ref="B4:Q4"/>
    <mergeCell ref="P112:S112"/>
    <mergeCell ref="K9:L9"/>
    <mergeCell ref="Q106:S107"/>
    <mergeCell ref="M84:M85"/>
    <mergeCell ref="N84:N85"/>
    <mergeCell ref="O84:O85"/>
    <mergeCell ref="P74:P75"/>
    <mergeCell ref="Q74:S75"/>
    <mergeCell ref="K106:K107"/>
    <mergeCell ref="L106:L107"/>
    <mergeCell ref="Q91:S92"/>
    <mergeCell ref="P84:P85"/>
    <mergeCell ref="Q84:S85"/>
    <mergeCell ref="Q83:T83"/>
    <mergeCell ref="Q77:T77"/>
    <mergeCell ref="Q78:T78"/>
    <mergeCell ref="P106:P107"/>
    <mergeCell ref="P91:P92"/>
    <mergeCell ref="K84:K85"/>
    <mergeCell ref="L84:L85"/>
    <mergeCell ref="Q79:T79"/>
    <mergeCell ref="Q80:T80"/>
    <mergeCell ref="Q81:T81"/>
    <mergeCell ref="Q82:T82"/>
    <mergeCell ref="J106:J107"/>
    <mergeCell ref="M106:M107"/>
    <mergeCell ref="O91:O92"/>
    <mergeCell ref="K91:K92"/>
    <mergeCell ref="L91:L92"/>
    <mergeCell ref="M91:M92"/>
    <mergeCell ref="N91:N92"/>
    <mergeCell ref="J84:J85"/>
    <mergeCell ref="N106:N107"/>
    <mergeCell ref="O106:O107"/>
    <mergeCell ref="J91:J92"/>
    <mergeCell ref="H91:H92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A74:A75"/>
    <mergeCell ref="B74:B75"/>
    <mergeCell ref="C74:C75"/>
    <mergeCell ref="D74:D75"/>
    <mergeCell ref="E74:E75"/>
    <mergeCell ref="F74:F75"/>
    <mergeCell ref="A84:A85"/>
    <mergeCell ref="B84:B85"/>
    <mergeCell ref="C84:C85"/>
    <mergeCell ref="D84:D85"/>
    <mergeCell ref="E84:E85"/>
    <mergeCell ref="F84:F85"/>
    <mergeCell ref="I91:I92"/>
    <mergeCell ref="G84:G85"/>
    <mergeCell ref="H84:H85"/>
    <mergeCell ref="I84:I85"/>
    <mergeCell ref="A91:A92"/>
    <mergeCell ref="B91:B92"/>
    <mergeCell ref="C91:C92"/>
    <mergeCell ref="D91:D92"/>
    <mergeCell ref="E91:E92"/>
    <mergeCell ref="F91:F92"/>
    <mergeCell ref="G91:G92"/>
    <mergeCell ref="Q76:T76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H62:H63"/>
    <mergeCell ref="I62:I63"/>
    <mergeCell ref="Q65:S65"/>
    <mergeCell ref="A67:A68"/>
    <mergeCell ref="B67:B68"/>
    <mergeCell ref="C67:C68"/>
    <mergeCell ref="D67:D68"/>
    <mergeCell ref="E67:E68"/>
    <mergeCell ref="P67:P68"/>
    <mergeCell ref="Q67:S68"/>
    <mergeCell ref="F67:F68"/>
    <mergeCell ref="G67:G68"/>
    <mergeCell ref="M62:M63"/>
    <mergeCell ref="N67:N68"/>
    <mergeCell ref="O67:O68"/>
    <mergeCell ref="H67:H68"/>
    <mergeCell ref="I67:I68"/>
    <mergeCell ref="J67:J68"/>
    <mergeCell ref="K67:K68"/>
    <mergeCell ref="L67:L68"/>
    <mergeCell ref="M67:M68"/>
    <mergeCell ref="N62:N63"/>
    <mergeCell ref="O62:O63"/>
    <mergeCell ref="J55:J56"/>
    <mergeCell ref="J62:J63"/>
    <mergeCell ref="K62:K63"/>
    <mergeCell ref="L62:L63"/>
    <mergeCell ref="P62:P63"/>
    <mergeCell ref="Q62:S63"/>
    <mergeCell ref="A55:A56"/>
    <mergeCell ref="B55:B56"/>
    <mergeCell ref="C55:C56"/>
    <mergeCell ref="D55:D56"/>
    <mergeCell ref="E55:E56"/>
    <mergeCell ref="F55:F56"/>
    <mergeCell ref="A62:A63"/>
    <mergeCell ref="B62:B63"/>
    <mergeCell ref="C62:C63"/>
    <mergeCell ref="D62:D63"/>
    <mergeCell ref="E62:E63"/>
    <mergeCell ref="F62:F63"/>
    <mergeCell ref="G62:G63"/>
    <mergeCell ref="I55:I56"/>
    <mergeCell ref="G55:G56"/>
    <mergeCell ref="H55:H56"/>
    <mergeCell ref="O55:O56"/>
    <mergeCell ref="P55:P56"/>
    <mergeCell ref="I41:I42"/>
    <mergeCell ref="J41:J42"/>
    <mergeCell ref="K41:K42"/>
    <mergeCell ref="Q46:S46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P48:P49"/>
    <mergeCell ref="Q48:S49"/>
    <mergeCell ref="K48:K49"/>
    <mergeCell ref="L48:L49"/>
    <mergeCell ref="M48:M49"/>
    <mergeCell ref="N48:N49"/>
    <mergeCell ref="O48:O49"/>
    <mergeCell ref="J48:J49"/>
    <mergeCell ref="L41:L42"/>
    <mergeCell ref="M41:M42"/>
    <mergeCell ref="A41:A42"/>
    <mergeCell ref="Q55:S56"/>
    <mergeCell ref="K55:K56"/>
    <mergeCell ref="N41:N42"/>
    <mergeCell ref="O41:O42"/>
    <mergeCell ref="P41:P42"/>
    <mergeCell ref="Q41:S42"/>
    <mergeCell ref="L55:L56"/>
    <mergeCell ref="M55:M56"/>
    <mergeCell ref="N55:N56"/>
    <mergeCell ref="B41:B42"/>
    <mergeCell ref="C41:C42"/>
    <mergeCell ref="D41:D42"/>
    <mergeCell ref="E41:E42"/>
    <mergeCell ref="G35:G36"/>
    <mergeCell ref="H35:H36"/>
    <mergeCell ref="A35:A36"/>
    <mergeCell ref="B35:B36"/>
    <mergeCell ref="C35:C36"/>
    <mergeCell ref="D35:D36"/>
    <mergeCell ref="E35:E36"/>
    <mergeCell ref="F35:F36"/>
    <mergeCell ref="F41:F42"/>
    <mergeCell ref="G41:G42"/>
    <mergeCell ref="H41:H42"/>
    <mergeCell ref="M35:M36"/>
    <mergeCell ref="N35:N36"/>
    <mergeCell ref="I35:I36"/>
    <mergeCell ref="J35:J36"/>
    <mergeCell ref="K35:K36"/>
    <mergeCell ref="L35:L36"/>
    <mergeCell ref="O35:O36"/>
    <mergeCell ref="P35:P36"/>
    <mergeCell ref="Q35:S36"/>
    <mergeCell ref="L21:L22"/>
    <mergeCell ref="M21:M22"/>
    <mergeCell ref="N21:N22"/>
    <mergeCell ref="O21:O22"/>
    <mergeCell ref="P21:P22"/>
    <mergeCell ref="Q21:S22"/>
    <mergeCell ref="H21:H22"/>
    <mergeCell ref="I21:I22"/>
    <mergeCell ref="J21:J22"/>
    <mergeCell ref="K21:K22"/>
    <mergeCell ref="A21:A22"/>
    <mergeCell ref="B21:B22"/>
    <mergeCell ref="C21:C22"/>
    <mergeCell ref="D21:D22"/>
    <mergeCell ref="E21:E22"/>
    <mergeCell ref="G13:G14"/>
    <mergeCell ref="F21:F22"/>
    <mergeCell ref="G21:G22"/>
    <mergeCell ref="A13:A14"/>
    <mergeCell ref="B13:B14"/>
    <mergeCell ref="C13:C14"/>
    <mergeCell ref="D13:D14"/>
    <mergeCell ref="E13:E14"/>
    <mergeCell ref="F13:F14"/>
    <mergeCell ref="G9:H9"/>
    <mergeCell ref="A7:A10"/>
    <mergeCell ref="M13:M14"/>
    <mergeCell ref="N13:N14"/>
    <mergeCell ref="O13:O14"/>
    <mergeCell ref="P13:P14"/>
    <mergeCell ref="Q13:S14"/>
    <mergeCell ref="H13:H14"/>
    <mergeCell ref="I13:I14"/>
    <mergeCell ref="K13:K14"/>
    <mergeCell ref="L13:L14"/>
    <mergeCell ref="J13:J14"/>
    <mergeCell ref="B7:B10"/>
    <mergeCell ref="F11:F12"/>
    <mergeCell ref="G11:G12"/>
    <mergeCell ref="H11:H12"/>
    <mergeCell ref="I9:J9"/>
    <mergeCell ref="M9:N9"/>
    <mergeCell ref="A6:F6"/>
    <mergeCell ref="M6:S6"/>
    <mergeCell ref="O7:P9"/>
    <mergeCell ref="L11:L12"/>
    <mergeCell ref="M11:M12"/>
    <mergeCell ref="N11:N12"/>
    <mergeCell ref="O11:O12"/>
    <mergeCell ref="P11:P12"/>
    <mergeCell ref="Q11:S12"/>
    <mergeCell ref="I11:I12"/>
    <mergeCell ref="J11:J12"/>
    <mergeCell ref="K11:K12"/>
    <mergeCell ref="C7:D9"/>
    <mergeCell ref="E7:F9"/>
    <mergeCell ref="G7:N7"/>
    <mergeCell ref="G8:N8"/>
    <mergeCell ref="C11:C12"/>
    <mergeCell ref="D11:D12"/>
    <mergeCell ref="E11:E12"/>
    <mergeCell ref="Q7:S10"/>
    <mergeCell ref="A11:A12"/>
    <mergeCell ref="B11:B12"/>
  </mergeCells>
  <pageMargins left="0.7" right="0.7" top="0.75" bottom="0.75" header="0.3" footer="0.3"/>
  <pageSetup paperSize="9" orientation="portrait" horizontalDpi="200" verticalDpi="200" r:id="rId1"/>
  <ignoredErrors>
    <ignoredError sqref="B31:B34 B86:B90 B16:B20 B23:B29 B108:B111 B37:B40 B43:B47 B50:B54 B57:B61 B64:B66 B70:B73 B93:B105" unlockedFormula="1"/>
    <ignoredError sqref="B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cp:lastPrinted>2015-05-06T08:57:43Z</cp:lastPrinted>
  <dcterms:created xsi:type="dcterms:W3CDTF">2015-05-06T07:17:17Z</dcterms:created>
  <dcterms:modified xsi:type="dcterms:W3CDTF">2019-01-09T06:37:45Z</dcterms:modified>
</cp:coreProperties>
</file>