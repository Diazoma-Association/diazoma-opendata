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803" yWindow="275" windowWidth="12196" windowHeight="6624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1" i="1"/>
  <c r="B63" l="1"/>
  <c r="B64"/>
  <c r="B65"/>
  <c r="B66"/>
  <c r="B67"/>
  <c r="C71" l="1"/>
  <c r="D71"/>
  <c r="E71"/>
  <c r="F71"/>
  <c r="G71"/>
  <c r="H71"/>
  <c r="I71"/>
  <c r="J71"/>
  <c r="K71"/>
  <c r="L71"/>
  <c r="M71"/>
  <c r="N71"/>
  <c r="B95"/>
  <c r="B94"/>
  <c r="B93"/>
  <c r="B92"/>
  <c r="B90"/>
  <c r="B89"/>
  <c r="B88"/>
  <c r="B87"/>
  <c r="B86"/>
  <c r="B85"/>
  <c r="B84"/>
  <c r="B83"/>
  <c r="B82"/>
  <c r="B81"/>
  <c r="B80"/>
  <c r="B79"/>
  <c r="B78"/>
  <c r="B76"/>
  <c r="B75"/>
  <c r="B74"/>
  <c r="B73"/>
  <c r="B72"/>
  <c r="B70"/>
  <c r="B69"/>
  <c r="B68"/>
  <c r="B61"/>
  <c r="B60"/>
  <c r="B59"/>
  <c r="B58"/>
  <c r="B57"/>
  <c r="B55"/>
  <c r="B54"/>
  <c r="B53"/>
  <c r="B51"/>
  <c r="B50"/>
  <c r="B49"/>
  <c r="B48"/>
  <c r="B47"/>
  <c r="B45"/>
  <c r="B44"/>
  <c r="B43"/>
  <c r="B42"/>
  <c r="B41"/>
  <c r="B39"/>
  <c r="B38"/>
  <c r="B37"/>
  <c r="B36"/>
  <c r="B35"/>
  <c r="B33"/>
  <c r="B32"/>
  <c r="B31"/>
  <c r="B30"/>
  <c r="B28"/>
  <c r="B27"/>
  <c r="B26"/>
  <c r="B25"/>
  <c r="B23"/>
  <c r="B22"/>
  <c r="B21"/>
  <c r="B20"/>
  <c r="B19"/>
  <c r="B18"/>
  <c r="B17"/>
  <c r="B12"/>
  <c r="B13"/>
  <c r="B14"/>
  <c r="B15"/>
  <c r="B10"/>
  <c r="B77" l="1"/>
  <c r="B16"/>
  <c r="B9"/>
  <c r="C9"/>
  <c r="D9"/>
  <c r="E9"/>
  <c r="F9"/>
  <c r="G9"/>
  <c r="H9"/>
  <c r="I9"/>
  <c r="J9"/>
  <c r="K9"/>
  <c r="L9"/>
  <c r="M9"/>
  <c r="N9"/>
  <c r="C16"/>
  <c r="D16"/>
  <c r="E16"/>
  <c r="F16"/>
  <c r="G16"/>
  <c r="H16"/>
  <c r="I16"/>
  <c r="J16"/>
  <c r="K16"/>
  <c r="L16"/>
  <c r="M16"/>
  <c r="N16"/>
  <c r="B24"/>
  <c r="C24"/>
  <c r="D24"/>
  <c r="E24"/>
  <c r="F24"/>
  <c r="G24"/>
  <c r="H24"/>
  <c r="I24"/>
  <c r="J24"/>
  <c r="K24"/>
  <c r="L24"/>
  <c r="M24"/>
  <c r="N24"/>
  <c r="B29"/>
  <c r="C29"/>
  <c r="D29"/>
  <c r="E29"/>
  <c r="F29"/>
  <c r="G29"/>
  <c r="H29"/>
  <c r="I29"/>
  <c r="J29"/>
  <c r="K29"/>
  <c r="L29"/>
  <c r="M29"/>
  <c r="N29"/>
  <c r="B34"/>
  <c r="C34"/>
  <c r="D34"/>
  <c r="E34"/>
  <c r="F34"/>
  <c r="G34"/>
  <c r="H34"/>
  <c r="I34"/>
  <c r="J34"/>
  <c r="K34"/>
  <c r="L34"/>
  <c r="M34"/>
  <c r="N34"/>
  <c r="B40"/>
  <c r="C40"/>
  <c r="D40"/>
  <c r="E40"/>
  <c r="F40"/>
  <c r="G40"/>
  <c r="H40"/>
  <c r="I40"/>
  <c r="J40"/>
  <c r="K40"/>
  <c r="L40"/>
  <c r="M40"/>
  <c r="N40"/>
  <c r="B46"/>
  <c r="C46"/>
  <c r="D46"/>
  <c r="E46"/>
  <c r="F46"/>
  <c r="G46"/>
  <c r="H46"/>
  <c r="I46"/>
  <c r="J46"/>
  <c r="K46"/>
  <c r="L46"/>
  <c r="M46"/>
  <c r="N46"/>
  <c r="B52"/>
  <c r="C52"/>
  <c r="D52"/>
  <c r="E52"/>
  <c r="F52"/>
  <c r="G52"/>
  <c r="H52"/>
  <c r="I52"/>
  <c r="J52"/>
  <c r="K52"/>
  <c r="L52"/>
  <c r="M52"/>
  <c r="N52"/>
  <c r="B56"/>
  <c r="C56"/>
  <c r="D56"/>
  <c r="E56"/>
  <c r="F56"/>
  <c r="G56"/>
  <c r="H56"/>
  <c r="I56"/>
  <c r="J56"/>
  <c r="K56"/>
  <c r="L56"/>
  <c r="M56"/>
  <c r="N56"/>
  <c r="B62"/>
  <c r="C62"/>
  <c r="D62"/>
  <c r="E62"/>
  <c r="F62"/>
  <c r="G62"/>
  <c r="H62"/>
  <c r="I62"/>
  <c r="J62"/>
  <c r="K62"/>
  <c r="L62"/>
  <c r="M62"/>
  <c r="N62"/>
  <c r="B71"/>
  <c r="C77"/>
  <c r="D77"/>
  <c r="E77"/>
  <c r="F77"/>
  <c r="G77"/>
  <c r="H77"/>
  <c r="I77"/>
  <c r="J77"/>
  <c r="K77"/>
  <c r="L77"/>
  <c r="M77"/>
  <c r="N77"/>
  <c r="B91"/>
  <c r="C91"/>
  <c r="D91"/>
  <c r="E91"/>
  <c r="F91"/>
  <c r="G91"/>
  <c r="H91"/>
  <c r="I91"/>
  <c r="J91"/>
  <c r="K91"/>
  <c r="L91"/>
  <c r="M91"/>
  <c r="N91"/>
  <c r="M8" l="1"/>
  <c r="N8"/>
  <c r="L8"/>
  <c r="J8"/>
  <c r="H8"/>
  <c r="F8"/>
  <c r="D8"/>
  <c r="K8"/>
  <c r="I8"/>
  <c r="G8"/>
  <c r="E8"/>
  <c r="C8"/>
  <c r="B8"/>
</calcChain>
</file>

<file path=xl/sharedStrings.xml><?xml version="1.0" encoding="utf-8"?>
<sst xmlns="http://schemas.openxmlformats.org/spreadsheetml/2006/main" count="688" uniqueCount="194">
  <si>
    <t>Εκτάσεις σε στρέμματα, παραγωγή σε τόνους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</si>
  <si>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</si>
  <si>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</si>
  <si>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</si>
  <si>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</si>
  <si>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</si>
  <si>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</si>
  <si>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</si>
  <si>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</si>
  <si>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</si>
  <si>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</si>
  <si>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</si>
  <si>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</si>
  <si>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</si>
  <si>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</si>
  <si>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</si>
  <si>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</si>
  <si>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</si>
  <si>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</si>
  <si>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</si>
  <si>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</si>
  <si>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</si>
  <si>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</si>
  <si>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</si>
  <si>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</si>
  <si>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</si>
  <si>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</si>
  <si>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</si>
  <si>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</si>
  <si>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</si>
  <si>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</si>
  <si>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</si>
  <si>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</si>
  <si>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</si>
  <si>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</si>
  <si>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</si>
  <si>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</si>
  <si>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</si>
  <si>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</si>
  <si>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</si>
  <si>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</si>
  <si>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</si>
  <si>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</si>
  <si>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</si>
  <si>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</si>
  <si>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</si>
  <si>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</si>
  <si>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</si>
  <si>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</si>
  <si>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</si>
  <si>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</si>
  <si>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</si>
  <si>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</si>
  <si>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</si>
  <si>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</si>
  <si>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</si>
  <si>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</si>
  <si>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</si>
  <si>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</si>
  <si>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</si>
  <si>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</si>
  <si>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</si>
  <si>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</si>
  <si>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</si>
  <si>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</si>
  <si>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</si>
  <si>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</si>
  <si>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</si>
  <si>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</si>
  <si>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</si>
  <si>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</si>
  <si>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</si>
  <si>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</si>
  <si>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</si>
  <si>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</si>
  <si>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</si>
  <si>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</si>
  <si>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</si>
  <si>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</si>
  <si>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</si>
  <si>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</si>
  <si>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</si>
  <si>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</si>
  <si>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</si>
  <si>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</si>
  <si>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</si>
  <si>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</si>
  <si>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</si>
  <si>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</si>
  <si>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</si>
  <si>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</si>
  <si>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</si>
  <si>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</si>
  <si>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</si>
  <si>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</si>
  <si>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</si>
  <si>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</si>
  <si>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</si>
  <si>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</si>
  <si>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</si>
  <si>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</si>
  <si>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</si>
  <si>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</si>
  <si>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</si>
  <si>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</si>
  <si>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</si>
  <si>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</si>
  <si>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</si>
  <si>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Λούπινα
Lupine</t>
  </si>
  <si>
    <t>Λαθούρια 
Veltching (Lathyrus)</t>
  </si>
  <si>
    <t>Σπόρος τριφυλλιών
Clover seeds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</si>
  <si>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</si>
  <si>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</si>
  <si>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</si>
  <si>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</si>
  <si>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</si>
  <si>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</si>
  <si>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</si>
  <si>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</si>
  <si>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</si>
  <si>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</si>
  <si>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</si>
  <si>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</si>
  <si>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</si>
  <si>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</si>
  <si>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</si>
  <si>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</si>
  <si>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</si>
  <si>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</si>
  <si>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</si>
  <si>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</si>
  <si>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</si>
  <si>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</si>
  <si>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</si>
  <si>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</si>
  <si>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</si>
  <si>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</si>
  <si>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</si>
  <si>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</si>
  <si>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</si>
  <si>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</si>
  <si>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</si>
  <si>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</si>
  <si>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</si>
  <si>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</si>
  <si>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</si>
  <si>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</si>
  <si>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</si>
  <si>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</si>
  <si>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</si>
  <si>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</si>
  <si>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</si>
  <si>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</si>
  <si>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</si>
  <si>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</si>
  <si>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</si>
  <si>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</si>
  <si>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</si>
  <si>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</si>
  <si>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</si>
  <si>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</si>
  <si>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</si>
  <si>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</si>
  <si>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</si>
  <si>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</si>
  <si>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</si>
  <si>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</si>
  <si>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</si>
  <si>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</si>
  <si>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</si>
  <si>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</si>
  <si>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</si>
  <si>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</si>
  <si>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</si>
  <si>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</si>
  <si>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</si>
  <si>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</si>
  <si>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</si>
  <si>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</si>
  <si>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</si>
  <si>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</si>
  <si>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</si>
  <si>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</si>
  <si>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</si>
  <si>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</si>
  <si>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</si>
  <si>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</si>
  <si>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</si>
  <si>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</si>
  <si>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</si>
  <si>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t>Πίνακας 2γ. Κτηνοτροφικά όσπρια. Εκτάσεις και παραγωγή, κατά Περιφέρεια και Περιφερειακή Ενότητα, 2016</t>
  </si>
  <si>
    <t>Table 2c. Fodder seeds. Areas and production, by Region and Regional Unities, 2016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</si>
  <si>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</si>
  <si>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>Areas in stremmas (1 stremma = 0.1 ha), production in tons</t>
  </si>
</sst>
</file>

<file path=xl/styles.xml><?xml version="1.0" encoding="utf-8"?>
<styleSheet xmlns="http://schemas.openxmlformats.org/spreadsheetml/2006/main">
  <fonts count="10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left"/>
      <protection locked="0"/>
    </xf>
    <xf numFmtId="0" fontId="4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horizontal="centerContinuous"/>
      <protection locked="0"/>
    </xf>
    <xf numFmtId="0" fontId="3" fillId="0" borderId="0" xfId="0" applyFont="1" applyBorder="1" applyProtection="1">
      <protection locked="0"/>
    </xf>
    <xf numFmtId="0" fontId="4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Fill="1" applyBorder="1" applyAlignment="1" applyProtection="1">
      <alignment horizont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3" fontId="6" fillId="0" borderId="7" xfId="0" applyNumberFormat="1" applyFont="1" applyBorder="1" applyAlignment="1" applyProtection="1">
      <alignment horizontal="right" vertical="center"/>
    </xf>
    <xf numFmtId="3" fontId="6" fillId="0" borderId="4" xfId="0" applyNumberFormat="1" applyFont="1" applyBorder="1" applyAlignment="1" applyProtection="1">
      <alignment horizontal="right" vertical="center"/>
    </xf>
    <xf numFmtId="3" fontId="6" fillId="0" borderId="4" xfId="0" applyNumberFormat="1" applyFont="1" applyFill="1" applyBorder="1" applyAlignment="1" applyProtection="1">
      <alignment horizontal="right" vertical="center"/>
    </xf>
    <xf numFmtId="3" fontId="6" fillId="0" borderId="8" xfId="0" applyNumberFormat="1" applyFont="1" applyFill="1" applyBorder="1" applyAlignment="1" applyProtection="1">
      <alignment horizontal="right" vertical="center"/>
    </xf>
    <xf numFmtId="0" fontId="2" fillId="0" borderId="3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protection locked="0"/>
    </xf>
    <xf numFmtId="49" fontId="6" fillId="0" borderId="18" xfId="0" applyNumberFormat="1" applyFont="1" applyBorder="1" applyAlignment="1" applyProtection="1">
      <alignment horizontal="left" vertical="center" wrapText="1"/>
      <protection locked="0"/>
    </xf>
    <xf numFmtId="3" fontId="6" fillId="0" borderId="9" xfId="0" applyNumberFormat="1" applyFont="1" applyBorder="1" applyAlignment="1" applyProtection="1">
      <alignment horizontal="right" vertical="center"/>
    </xf>
    <xf numFmtId="3" fontId="6" fillId="0" borderId="5" xfId="0" applyNumberFormat="1" applyFont="1" applyBorder="1" applyAlignment="1" applyProtection="1">
      <alignment horizontal="right" vertical="center"/>
    </xf>
    <xf numFmtId="3" fontId="6" fillId="0" borderId="5" xfId="0" applyNumberFormat="1" applyFont="1" applyFill="1" applyBorder="1" applyAlignment="1" applyProtection="1">
      <alignment horizontal="right" vertical="center"/>
    </xf>
    <xf numFmtId="3" fontId="6" fillId="0" borderId="1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0" applyNumberFormat="1" applyFont="1" applyBorder="1" applyAlignment="1" applyProtection="1">
      <alignment horizontal="left" wrapText="1" indent="1"/>
      <protection locked="0"/>
    </xf>
    <xf numFmtId="3" fontId="3" fillId="0" borderId="9" xfId="0" applyNumberFormat="1" applyFont="1" applyBorder="1" applyAlignment="1" applyProtection="1">
      <alignment horizontal="right" vertical="center"/>
      <protection locked="0"/>
    </xf>
    <xf numFmtId="3" fontId="1" fillId="0" borderId="5" xfId="0" applyNumberFormat="1" applyFont="1" applyBorder="1" applyAlignment="1">
      <alignment horizontal="right" vertical="top"/>
    </xf>
    <xf numFmtId="3" fontId="1" fillId="0" borderId="0" xfId="0" applyNumberFormat="1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3" fontId="1" fillId="0" borderId="21" xfId="0" applyNumberFormat="1" applyFont="1" applyBorder="1" applyAlignment="1">
      <alignment horizontal="right" vertical="top"/>
    </xf>
    <xf numFmtId="0" fontId="3" fillId="0" borderId="0" xfId="0" applyFont="1" applyBorder="1" applyAlignment="1" applyProtection="1">
      <alignment horizontal="left" indent="1"/>
      <protection locked="0"/>
    </xf>
    <xf numFmtId="0" fontId="3" fillId="0" borderId="0" xfId="0" applyFont="1" applyBorder="1" applyAlignment="1" applyProtection="1">
      <protection locked="0"/>
    </xf>
    <xf numFmtId="3" fontId="4" fillId="0" borderId="0" xfId="0" applyNumberFormat="1" applyFont="1" applyFill="1" applyBorder="1" applyAlignment="1" applyProtection="1"/>
    <xf numFmtId="3" fontId="3" fillId="0" borderId="0" xfId="0" applyNumberFormat="1" applyFont="1" applyBorder="1" applyAlignment="1" applyProtection="1">
      <protection locked="0"/>
    </xf>
    <xf numFmtId="3" fontId="6" fillId="0" borderId="9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Fill="1" applyBorder="1" applyAlignment="1" applyProtection="1">
      <alignment horizontal="right" vertical="center"/>
      <protection locked="0"/>
    </xf>
    <xf numFmtId="3" fontId="6" fillId="0" borderId="10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3" fontId="6" fillId="0" borderId="0" xfId="0" applyNumberFormat="1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left" wrapText="1" indent="1"/>
      <protection locked="0"/>
    </xf>
    <xf numFmtId="0" fontId="3" fillId="0" borderId="0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49" fontId="1" fillId="0" borderId="18" xfId="0" applyNumberFormat="1" applyFont="1" applyBorder="1" applyAlignment="1" applyProtection="1">
      <alignment horizontal="left" indent="1"/>
      <protection locked="0"/>
    </xf>
    <xf numFmtId="49" fontId="1" fillId="0" borderId="18" xfId="0" applyNumberFormat="1" applyFont="1" applyBorder="1" applyAlignment="1" applyProtection="1">
      <alignment horizontal="left" wrapText="1" indent="1"/>
      <protection locked="0"/>
    </xf>
    <xf numFmtId="49" fontId="3" fillId="0" borderId="18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3" fontId="7" fillId="0" borderId="21" xfId="0" applyNumberFormat="1" applyFont="1" applyBorder="1" applyAlignment="1">
      <alignment horizontal="right" vertical="top"/>
    </xf>
    <xf numFmtId="49" fontId="3" fillId="0" borderId="19" xfId="0" applyNumberFormat="1" applyFont="1" applyBorder="1" applyAlignment="1" applyProtection="1">
      <alignment horizontal="left" wrapText="1" indent="1"/>
      <protection locked="0"/>
    </xf>
    <xf numFmtId="3" fontId="3" fillId="0" borderId="20" xfId="0" applyNumberFormat="1" applyFont="1" applyBorder="1" applyAlignment="1" applyProtection="1">
      <alignment horizontal="right" vertical="center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11" xfId="0" applyFont="1" applyBorder="1" applyAlignment="1">
      <alignment horizontal="right" vertical="top"/>
    </xf>
    <xf numFmtId="3" fontId="7" fillId="0" borderId="22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NumberFormat="1" applyFont="1" applyFill="1" applyBorder="1" applyAlignment="1" applyProtection="1">
      <alignment horizontal="left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left" wrapText="1" indent="1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alignment horizontal="right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114"/>
  <sheetViews>
    <sheetView showGridLines="0" tabSelected="1" zoomScaleNormal="100" workbookViewId="0">
      <selection activeCell="P9" sqref="P9"/>
    </sheetView>
  </sheetViews>
  <sheetFormatPr defaultRowHeight="15.05"/>
  <cols>
    <col min="1" max="1" width="43.33203125" style="3" customWidth="1"/>
    <col min="2" max="2" width="11.109375" style="3" customWidth="1"/>
    <col min="3" max="3" width="7.5546875" style="3" bestFit="1" customWidth="1"/>
    <col min="4" max="4" width="6.5546875" style="64" bestFit="1" customWidth="1"/>
    <col min="5" max="5" width="5.5546875" style="3" bestFit="1" customWidth="1"/>
    <col min="6" max="6" width="5.21875" style="64" customWidth="1"/>
    <col min="7" max="7" width="6.5546875" style="3" bestFit="1" customWidth="1"/>
    <col min="8" max="8" width="5.5546875" style="64" bestFit="1" customWidth="1"/>
    <col min="9" max="9" width="5.5546875" style="3" bestFit="1" customWidth="1"/>
    <col min="10" max="10" width="4" style="64" bestFit="1" customWidth="1"/>
    <col min="11" max="11" width="6.5546875" style="3" bestFit="1" customWidth="1"/>
    <col min="12" max="12" width="5.5546875" style="64" bestFit="1" customWidth="1"/>
    <col min="13" max="13" width="7.5546875" style="3" bestFit="1" customWidth="1"/>
    <col min="14" max="14" width="6.5546875" style="64" bestFit="1" customWidth="1"/>
    <col min="15" max="15" width="40.33203125" style="3" bestFit="1" customWidth="1"/>
    <col min="16" max="16" width="7.6640625" style="3" customWidth="1"/>
    <col min="17" max="19" width="6.44140625" style="3" customWidth="1"/>
    <col min="20" max="20" width="6.109375" style="3" customWidth="1"/>
    <col min="21" max="21" width="2.109375" style="3" bestFit="1" customWidth="1"/>
    <col min="22" max="22" width="6.44140625" style="3" customWidth="1"/>
    <col min="23" max="16384" width="8.88671875" style="3"/>
  </cols>
  <sheetData>
    <row r="2" spans="1:21" ht="18.2">
      <c r="A2" s="74" t="s">
        <v>190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  <c r="Q2" s="1"/>
      <c r="R2" s="2"/>
      <c r="S2" s="2"/>
      <c r="T2" s="2"/>
      <c r="U2" s="2"/>
    </row>
    <row r="3" spans="1:21" ht="18.2">
      <c r="A3" s="74" t="s">
        <v>191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1"/>
      <c r="Q3" s="1"/>
      <c r="R3" s="2"/>
      <c r="S3" s="2"/>
      <c r="T3" s="2"/>
      <c r="U3" s="2"/>
    </row>
    <row r="4" spans="1:2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  <c r="Q4" s="1"/>
      <c r="R4" s="2"/>
      <c r="S4" s="2"/>
      <c r="T4" s="2"/>
      <c r="U4" s="2"/>
    </row>
    <row r="5" spans="1:21" ht="15.05" customHeight="1" thickBot="1">
      <c r="A5" s="68" t="s">
        <v>0</v>
      </c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78" t="s">
        <v>193</v>
      </c>
      <c r="N5" s="78"/>
      <c r="O5" s="78"/>
      <c r="P5" s="7"/>
      <c r="Q5" s="7"/>
      <c r="R5" s="8"/>
      <c r="S5" s="6"/>
      <c r="T5" s="6"/>
      <c r="U5" s="6"/>
    </row>
    <row r="6" spans="1:21" ht="63.1" customHeight="1">
      <c r="A6" s="79" t="s">
        <v>1</v>
      </c>
      <c r="B6" s="72" t="s">
        <v>2</v>
      </c>
      <c r="C6" s="75" t="s">
        <v>106</v>
      </c>
      <c r="D6" s="77"/>
      <c r="E6" s="75" t="s">
        <v>107</v>
      </c>
      <c r="F6" s="77"/>
      <c r="G6" s="75" t="s">
        <v>108</v>
      </c>
      <c r="H6" s="77"/>
      <c r="I6" s="75" t="s">
        <v>109</v>
      </c>
      <c r="J6" s="77"/>
      <c r="K6" s="75" t="s">
        <v>110</v>
      </c>
      <c r="L6" s="77"/>
      <c r="M6" s="75" t="s">
        <v>192</v>
      </c>
      <c r="N6" s="76"/>
      <c r="O6" s="69" t="s">
        <v>3</v>
      </c>
      <c r="P6" s="9"/>
      <c r="Q6" s="9"/>
    </row>
    <row r="7" spans="1:21">
      <c r="A7" s="80"/>
      <c r="B7" s="73"/>
      <c r="C7" s="10">
        <v>1</v>
      </c>
      <c r="D7" s="10">
        <v>2</v>
      </c>
      <c r="E7" s="10">
        <v>1</v>
      </c>
      <c r="F7" s="10">
        <v>2</v>
      </c>
      <c r="G7" s="10">
        <v>1</v>
      </c>
      <c r="H7" s="10">
        <v>2</v>
      </c>
      <c r="I7" s="10">
        <v>1</v>
      </c>
      <c r="J7" s="10">
        <v>2</v>
      </c>
      <c r="K7" s="11">
        <v>1</v>
      </c>
      <c r="L7" s="10">
        <v>2</v>
      </c>
      <c r="M7" s="11">
        <v>1</v>
      </c>
      <c r="N7" s="12">
        <v>2</v>
      </c>
      <c r="O7" s="70"/>
      <c r="P7" s="9"/>
      <c r="Q7" s="9"/>
    </row>
    <row r="8" spans="1:21" ht="23.8" customHeight="1">
      <c r="A8" s="13" t="s">
        <v>4</v>
      </c>
      <c r="B8" s="14">
        <f>SUM(B9,B16,B24,B29,B34,B40,B46,B52,B56,B62,B71,B77,B91)</f>
        <v>458931</v>
      </c>
      <c r="C8" s="15">
        <f t="shared" ref="C8:N8" si="0">SUM(C9,C16,C24,C29,C34,C40,C46,C52,C56,C62,C71,C77,C91)</f>
        <v>183315</v>
      </c>
      <c r="D8" s="16">
        <f t="shared" si="0"/>
        <v>33977.620000000003</v>
      </c>
      <c r="E8" s="15">
        <f t="shared" si="0"/>
        <v>1387</v>
      </c>
      <c r="F8" s="16">
        <f t="shared" si="0"/>
        <v>210.40499999999997</v>
      </c>
      <c r="G8" s="15">
        <f t="shared" si="0"/>
        <v>32162</v>
      </c>
      <c r="H8" s="16">
        <f t="shared" si="0"/>
        <v>5715.389000000001</v>
      </c>
      <c r="I8" s="15">
        <f t="shared" si="0"/>
        <v>2042</v>
      </c>
      <c r="J8" s="16">
        <f t="shared" si="0"/>
        <v>414.76999999999992</v>
      </c>
      <c r="K8" s="15">
        <f t="shared" si="0"/>
        <v>25835</v>
      </c>
      <c r="L8" s="16">
        <f t="shared" si="0"/>
        <v>1745.5069999999998</v>
      </c>
      <c r="M8" s="15">
        <f t="shared" si="0"/>
        <v>214190</v>
      </c>
      <c r="N8" s="17">
        <f t="shared" si="0"/>
        <v>42589.202999999994</v>
      </c>
      <c r="O8" s="18" t="s">
        <v>5</v>
      </c>
      <c r="P8" s="2"/>
      <c r="Q8" s="2"/>
      <c r="R8" s="19"/>
    </row>
    <row r="9" spans="1:21" ht="20.7" customHeight="1">
      <c r="A9" s="20" t="s">
        <v>6</v>
      </c>
      <c r="B9" s="21">
        <f>SUM(B10:B15)</f>
        <v>21490</v>
      </c>
      <c r="C9" s="22">
        <f>SUM(C10:C15)</f>
        <v>12494</v>
      </c>
      <c r="D9" s="23">
        <f t="shared" ref="D9:N9" si="1">SUM(D10:D15)</f>
        <v>2309.3429999999998</v>
      </c>
      <c r="E9" s="22">
        <f t="shared" si="1"/>
        <v>62</v>
      </c>
      <c r="F9" s="23">
        <f t="shared" si="1"/>
        <v>11.16</v>
      </c>
      <c r="G9" s="22">
        <f t="shared" si="1"/>
        <v>457</v>
      </c>
      <c r="H9" s="23">
        <f t="shared" si="1"/>
        <v>112.03999999999999</v>
      </c>
      <c r="I9" s="22">
        <f t="shared" si="1"/>
        <v>0</v>
      </c>
      <c r="J9" s="23">
        <f t="shared" si="1"/>
        <v>0</v>
      </c>
      <c r="K9" s="22">
        <f t="shared" si="1"/>
        <v>543</v>
      </c>
      <c r="L9" s="23">
        <f t="shared" si="1"/>
        <v>56.783999999999999</v>
      </c>
      <c r="M9" s="22">
        <f t="shared" si="1"/>
        <v>7934</v>
      </c>
      <c r="N9" s="24">
        <f t="shared" si="1"/>
        <v>1765.921</v>
      </c>
      <c r="O9" s="25" t="s">
        <v>7</v>
      </c>
      <c r="P9" s="25"/>
      <c r="Q9" s="25"/>
      <c r="R9" s="2"/>
    </row>
    <row r="10" spans="1:21">
      <c r="A10" s="26" t="s">
        <v>112</v>
      </c>
      <c r="B10" s="27">
        <f>SUM(C10,E10,G10,I10,K10,M10)</f>
        <v>3702</v>
      </c>
      <c r="C10" s="28">
        <v>2581</v>
      </c>
      <c r="D10" s="29">
        <v>543.47</v>
      </c>
      <c r="E10" s="28">
        <v>62</v>
      </c>
      <c r="F10" s="29">
        <v>11.16</v>
      </c>
      <c r="G10" s="28">
        <v>2</v>
      </c>
      <c r="H10" s="29">
        <v>0.5</v>
      </c>
      <c r="I10" s="30" t="s">
        <v>104</v>
      </c>
      <c r="J10" s="29" t="s">
        <v>104</v>
      </c>
      <c r="K10" s="30" t="s">
        <v>104</v>
      </c>
      <c r="L10" s="29" t="s">
        <v>104</v>
      </c>
      <c r="M10" s="28">
        <v>1057</v>
      </c>
      <c r="N10" s="31">
        <v>208.08500000000001</v>
      </c>
      <c r="O10" s="32" t="s">
        <v>8</v>
      </c>
      <c r="P10" s="33"/>
      <c r="Q10" s="19"/>
      <c r="R10" s="19"/>
    </row>
    <row r="11" spans="1:21">
      <c r="A11" s="26" t="s">
        <v>113</v>
      </c>
      <c r="B11" s="27">
        <f>SUM(C11,E11,G11,I11,K11,M11)</f>
        <v>4198</v>
      </c>
      <c r="C11" s="28">
        <v>2648</v>
      </c>
      <c r="D11" s="29">
        <v>653.63</v>
      </c>
      <c r="E11" s="30" t="s">
        <v>104</v>
      </c>
      <c r="F11" s="29" t="s">
        <v>104</v>
      </c>
      <c r="G11" s="28">
        <v>366</v>
      </c>
      <c r="H11" s="29">
        <v>91.5</v>
      </c>
      <c r="I11" s="30" t="s">
        <v>104</v>
      </c>
      <c r="J11" s="29" t="s">
        <v>104</v>
      </c>
      <c r="K11" s="30" t="s">
        <v>104</v>
      </c>
      <c r="L11" s="29" t="s">
        <v>104</v>
      </c>
      <c r="M11" s="28">
        <v>1184</v>
      </c>
      <c r="N11" s="31">
        <v>274.39</v>
      </c>
      <c r="O11" s="32" t="s">
        <v>9</v>
      </c>
      <c r="P11" s="33"/>
      <c r="Q11" s="19"/>
      <c r="R11" s="19"/>
    </row>
    <row r="12" spans="1:21">
      <c r="A12" s="26" t="s">
        <v>114</v>
      </c>
      <c r="B12" s="27">
        <f t="shared" ref="B12:B15" si="2">SUM(C12,E12,G12,I12,K12,M12)</f>
        <v>6364</v>
      </c>
      <c r="C12" s="28">
        <v>3658</v>
      </c>
      <c r="D12" s="29">
        <v>465.26499999999999</v>
      </c>
      <c r="E12" s="30" t="s">
        <v>104</v>
      </c>
      <c r="F12" s="29" t="s">
        <v>104</v>
      </c>
      <c r="G12" s="28">
        <v>83</v>
      </c>
      <c r="H12" s="29">
        <v>18.04</v>
      </c>
      <c r="I12" s="30" t="s">
        <v>104</v>
      </c>
      <c r="J12" s="29" t="s">
        <v>104</v>
      </c>
      <c r="K12" s="28">
        <v>543</v>
      </c>
      <c r="L12" s="29">
        <v>56.783999999999999</v>
      </c>
      <c r="M12" s="28">
        <v>2080</v>
      </c>
      <c r="N12" s="31">
        <v>568.6</v>
      </c>
      <c r="O12" s="32" t="s">
        <v>10</v>
      </c>
      <c r="P12" s="33"/>
      <c r="Q12" s="19"/>
      <c r="R12" s="19"/>
      <c r="T12" s="34"/>
    </row>
    <row r="13" spans="1:21">
      <c r="A13" s="26" t="s">
        <v>115</v>
      </c>
      <c r="B13" s="27">
        <f t="shared" si="2"/>
        <v>0</v>
      </c>
      <c r="C13" s="28" t="s">
        <v>104</v>
      </c>
      <c r="D13" s="29" t="s">
        <v>104</v>
      </c>
      <c r="E13" s="30" t="s">
        <v>104</v>
      </c>
      <c r="F13" s="29" t="s">
        <v>104</v>
      </c>
      <c r="G13" s="28" t="s">
        <v>104</v>
      </c>
      <c r="H13" s="29" t="s">
        <v>104</v>
      </c>
      <c r="I13" s="30" t="s">
        <v>104</v>
      </c>
      <c r="J13" s="29" t="s">
        <v>104</v>
      </c>
      <c r="K13" s="28" t="s">
        <v>104</v>
      </c>
      <c r="L13" s="29" t="s">
        <v>104</v>
      </c>
      <c r="M13" s="28" t="s">
        <v>104</v>
      </c>
      <c r="N13" s="31" t="s">
        <v>104</v>
      </c>
      <c r="O13" s="32" t="s">
        <v>11</v>
      </c>
      <c r="P13" s="33"/>
      <c r="Q13" s="19"/>
      <c r="R13" s="19"/>
    </row>
    <row r="14" spans="1:21">
      <c r="A14" s="26" t="s">
        <v>116</v>
      </c>
      <c r="B14" s="27">
        <f t="shared" si="2"/>
        <v>3236</v>
      </c>
      <c r="C14" s="28">
        <v>446</v>
      </c>
      <c r="D14" s="29">
        <v>93.42</v>
      </c>
      <c r="E14" s="30" t="s">
        <v>104</v>
      </c>
      <c r="F14" s="29" t="s">
        <v>104</v>
      </c>
      <c r="G14" s="28">
        <v>6</v>
      </c>
      <c r="H14" s="29">
        <v>2</v>
      </c>
      <c r="I14" s="30" t="s">
        <v>104</v>
      </c>
      <c r="J14" s="29" t="s">
        <v>104</v>
      </c>
      <c r="K14" s="30" t="s">
        <v>104</v>
      </c>
      <c r="L14" s="29" t="s">
        <v>104</v>
      </c>
      <c r="M14" s="28">
        <v>2784</v>
      </c>
      <c r="N14" s="31">
        <v>514</v>
      </c>
      <c r="O14" s="32" t="s">
        <v>12</v>
      </c>
      <c r="P14" s="35"/>
      <c r="Q14" s="19"/>
      <c r="R14" s="19"/>
    </row>
    <row r="15" spans="1:21">
      <c r="A15" s="26" t="s">
        <v>117</v>
      </c>
      <c r="B15" s="27">
        <f t="shared" si="2"/>
        <v>3990</v>
      </c>
      <c r="C15" s="28">
        <v>3161</v>
      </c>
      <c r="D15" s="29">
        <v>553.55799999999999</v>
      </c>
      <c r="E15" s="30" t="s">
        <v>104</v>
      </c>
      <c r="F15" s="29" t="s">
        <v>104</v>
      </c>
      <c r="G15" s="30" t="s">
        <v>104</v>
      </c>
      <c r="H15" s="29">
        <v>0</v>
      </c>
      <c r="I15" s="30" t="s">
        <v>104</v>
      </c>
      <c r="J15" s="29" t="s">
        <v>104</v>
      </c>
      <c r="K15" s="30" t="s">
        <v>104</v>
      </c>
      <c r="L15" s="29" t="s">
        <v>104</v>
      </c>
      <c r="M15" s="28">
        <v>829</v>
      </c>
      <c r="N15" s="31">
        <v>200.846</v>
      </c>
      <c r="O15" s="32" t="s">
        <v>13</v>
      </c>
      <c r="P15" s="35"/>
      <c r="Q15" s="19"/>
      <c r="R15" s="19"/>
    </row>
    <row r="16" spans="1:21" s="43" customFormat="1" ht="19.25" customHeight="1">
      <c r="A16" s="20" t="s">
        <v>14</v>
      </c>
      <c r="B16" s="36">
        <f>SUM(B17:B23)</f>
        <v>227791</v>
      </c>
      <c r="C16" s="37">
        <f t="shared" ref="C16:M16" si="3">SUM(C17:C23)</f>
        <v>73372</v>
      </c>
      <c r="D16" s="38">
        <f t="shared" si="3"/>
        <v>13223.267</v>
      </c>
      <c r="E16" s="37">
        <f t="shared" si="3"/>
        <v>38</v>
      </c>
      <c r="F16" s="38">
        <f t="shared" si="3"/>
        <v>7.18</v>
      </c>
      <c r="G16" s="37">
        <f>SUM(G17:G23)</f>
        <v>29226</v>
      </c>
      <c r="H16" s="38">
        <f t="shared" si="3"/>
        <v>5049.3500000000004</v>
      </c>
      <c r="I16" s="37">
        <f t="shared" si="3"/>
        <v>64</v>
      </c>
      <c r="J16" s="38">
        <f t="shared" si="3"/>
        <v>9.75</v>
      </c>
      <c r="K16" s="37">
        <f t="shared" si="3"/>
        <v>1744</v>
      </c>
      <c r="L16" s="38">
        <f t="shared" si="3"/>
        <v>199.81899999999999</v>
      </c>
      <c r="M16" s="37">
        <f t="shared" si="3"/>
        <v>123347</v>
      </c>
      <c r="N16" s="39">
        <f>SUM(N17:N23)</f>
        <v>22846.403999999999</v>
      </c>
      <c r="O16" s="40" t="s">
        <v>15</v>
      </c>
      <c r="P16" s="41"/>
      <c r="Q16" s="40"/>
      <c r="R16" s="42"/>
    </row>
    <row r="17" spans="1:18">
      <c r="A17" s="26" t="s">
        <v>118</v>
      </c>
      <c r="B17" s="27">
        <f t="shared" ref="B17:B23" si="4">SUM(C17,E17,G17,I17,K17,M17)</f>
        <v>78101</v>
      </c>
      <c r="C17" s="28">
        <v>21126</v>
      </c>
      <c r="D17" s="29">
        <v>3260.5259999999998</v>
      </c>
      <c r="E17" s="30" t="s">
        <v>104</v>
      </c>
      <c r="F17" s="29" t="s">
        <v>104</v>
      </c>
      <c r="G17" s="28">
        <v>16062</v>
      </c>
      <c r="H17" s="29">
        <v>2452.0700000000002</v>
      </c>
      <c r="I17" s="30" t="s">
        <v>104</v>
      </c>
      <c r="J17" s="29" t="s">
        <v>104</v>
      </c>
      <c r="K17" s="30" t="s">
        <v>104</v>
      </c>
      <c r="L17" s="29" t="s">
        <v>104</v>
      </c>
      <c r="M17" s="28">
        <v>40913</v>
      </c>
      <c r="N17" s="31">
        <v>5721.125</v>
      </c>
      <c r="O17" s="32" t="s">
        <v>16</v>
      </c>
      <c r="P17" s="33"/>
      <c r="Q17" s="19"/>
      <c r="R17" s="19"/>
    </row>
    <row r="18" spans="1:18">
      <c r="A18" s="26" t="s">
        <v>119</v>
      </c>
      <c r="B18" s="27">
        <f t="shared" si="4"/>
        <v>2910</v>
      </c>
      <c r="C18" s="28">
        <v>1793</v>
      </c>
      <c r="D18" s="29">
        <v>341.18</v>
      </c>
      <c r="E18" s="30" t="s">
        <v>104</v>
      </c>
      <c r="F18" s="29" t="s">
        <v>104</v>
      </c>
      <c r="G18" s="30" t="s">
        <v>104</v>
      </c>
      <c r="H18" s="29">
        <v>0</v>
      </c>
      <c r="I18" s="30" t="s">
        <v>104</v>
      </c>
      <c r="J18" s="29" t="s">
        <v>104</v>
      </c>
      <c r="K18" s="28">
        <v>238</v>
      </c>
      <c r="L18" s="29">
        <v>19.079999999999998</v>
      </c>
      <c r="M18" s="28">
        <v>879</v>
      </c>
      <c r="N18" s="31">
        <v>147.96</v>
      </c>
      <c r="O18" s="32" t="s">
        <v>17</v>
      </c>
      <c r="P18" s="33"/>
      <c r="Q18" s="19"/>
      <c r="R18" s="19"/>
    </row>
    <row r="19" spans="1:18">
      <c r="A19" s="26" t="s">
        <v>120</v>
      </c>
      <c r="B19" s="27">
        <f t="shared" si="4"/>
        <v>80105</v>
      </c>
      <c r="C19" s="28">
        <v>26881</v>
      </c>
      <c r="D19" s="29">
        <v>5122.26</v>
      </c>
      <c r="E19" s="28">
        <v>17</v>
      </c>
      <c r="F19" s="29">
        <v>3.4</v>
      </c>
      <c r="G19" s="28">
        <v>8169</v>
      </c>
      <c r="H19" s="29">
        <v>1508.78</v>
      </c>
      <c r="I19" s="28">
        <v>51</v>
      </c>
      <c r="J19" s="29">
        <v>7.65</v>
      </c>
      <c r="K19" s="28">
        <v>354</v>
      </c>
      <c r="L19" s="29">
        <v>25.89</v>
      </c>
      <c r="M19" s="28">
        <v>44633</v>
      </c>
      <c r="N19" s="31">
        <v>7605.4840000000004</v>
      </c>
      <c r="O19" s="32" t="s">
        <v>18</v>
      </c>
      <c r="P19" s="35"/>
      <c r="Q19" s="19"/>
      <c r="R19" s="19"/>
    </row>
    <row r="20" spans="1:18">
      <c r="A20" s="26" t="s">
        <v>121</v>
      </c>
      <c r="B20" s="27">
        <f t="shared" si="4"/>
        <v>4291</v>
      </c>
      <c r="C20" s="28">
        <v>3354</v>
      </c>
      <c r="D20" s="29">
        <v>600.10599999999999</v>
      </c>
      <c r="E20" s="28">
        <v>11</v>
      </c>
      <c r="F20" s="29">
        <v>1.28</v>
      </c>
      <c r="G20" s="28">
        <v>28</v>
      </c>
      <c r="H20" s="29">
        <v>8.4</v>
      </c>
      <c r="I20" s="30" t="s">
        <v>104</v>
      </c>
      <c r="J20" s="29" t="s">
        <v>104</v>
      </c>
      <c r="K20" s="28">
        <v>85</v>
      </c>
      <c r="L20" s="29">
        <v>4.25</v>
      </c>
      <c r="M20" s="28">
        <v>813</v>
      </c>
      <c r="N20" s="31">
        <v>233.17599999999999</v>
      </c>
      <c r="O20" s="32" t="s">
        <v>19</v>
      </c>
      <c r="P20" s="33"/>
      <c r="Q20" s="19"/>
      <c r="R20" s="19"/>
    </row>
    <row r="21" spans="1:18">
      <c r="A21" s="26" t="s">
        <v>122</v>
      </c>
      <c r="B21" s="27">
        <f t="shared" si="4"/>
        <v>4455</v>
      </c>
      <c r="C21" s="28">
        <v>438</v>
      </c>
      <c r="D21" s="29">
        <v>65.91</v>
      </c>
      <c r="E21" s="30" t="s">
        <v>104</v>
      </c>
      <c r="F21" s="29" t="s">
        <v>104</v>
      </c>
      <c r="G21" s="28">
        <v>183</v>
      </c>
      <c r="H21" s="29">
        <v>53.5</v>
      </c>
      <c r="I21" s="30" t="s">
        <v>104</v>
      </c>
      <c r="J21" s="29" t="s">
        <v>104</v>
      </c>
      <c r="K21" s="28">
        <v>184</v>
      </c>
      <c r="L21" s="29">
        <v>5.7489999999999997</v>
      </c>
      <c r="M21" s="28">
        <v>3650</v>
      </c>
      <c r="N21" s="31">
        <v>1045.9000000000001</v>
      </c>
      <c r="O21" s="32" t="s">
        <v>20</v>
      </c>
      <c r="P21" s="33"/>
      <c r="Q21" s="19"/>
      <c r="R21" s="19"/>
    </row>
    <row r="22" spans="1:18">
      <c r="A22" s="26" t="s">
        <v>123</v>
      </c>
      <c r="B22" s="27">
        <f t="shared" si="4"/>
        <v>13104</v>
      </c>
      <c r="C22" s="28">
        <v>1798</v>
      </c>
      <c r="D22" s="29">
        <v>371.66500000000002</v>
      </c>
      <c r="E22" s="30" t="s">
        <v>104</v>
      </c>
      <c r="F22" s="29" t="s">
        <v>104</v>
      </c>
      <c r="G22" s="28">
        <v>1676</v>
      </c>
      <c r="H22" s="29">
        <v>575.29999999999995</v>
      </c>
      <c r="I22" s="30" t="s">
        <v>104</v>
      </c>
      <c r="J22" s="29" t="s">
        <v>104</v>
      </c>
      <c r="K22" s="28">
        <v>883</v>
      </c>
      <c r="L22" s="29">
        <v>144.85</v>
      </c>
      <c r="M22" s="28">
        <v>8747</v>
      </c>
      <c r="N22" s="31">
        <v>3568.13</v>
      </c>
      <c r="O22" s="32" t="s">
        <v>21</v>
      </c>
      <c r="P22" s="33"/>
      <c r="Q22" s="19"/>
      <c r="R22" s="19"/>
    </row>
    <row r="23" spans="1:18">
      <c r="A23" s="26" t="s">
        <v>124</v>
      </c>
      <c r="B23" s="27">
        <f t="shared" si="4"/>
        <v>44825</v>
      </c>
      <c r="C23" s="28">
        <v>17982</v>
      </c>
      <c r="D23" s="29">
        <v>3461.62</v>
      </c>
      <c r="E23" s="28">
        <v>10</v>
      </c>
      <c r="F23" s="29">
        <v>2.5</v>
      </c>
      <c r="G23" s="28">
        <v>3108</v>
      </c>
      <c r="H23" s="29">
        <v>451.3</v>
      </c>
      <c r="I23" s="28">
        <v>13</v>
      </c>
      <c r="J23" s="29">
        <v>2.1</v>
      </c>
      <c r="K23" s="30" t="s">
        <v>104</v>
      </c>
      <c r="L23" s="29" t="s">
        <v>104</v>
      </c>
      <c r="M23" s="28">
        <v>23712</v>
      </c>
      <c r="N23" s="31">
        <v>4524.6289999999999</v>
      </c>
      <c r="O23" s="32" t="s">
        <v>22</v>
      </c>
      <c r="P23" s="33"/>
      <c r="Q23" s="19"/>
      <c r="R23" s="19"/>
    </row>
    <row r="24" spans="1:18" ht="18" customHeight="1">
      <c r="A24" s="20" t="s">
        <v>23</v>
      </c>
      <c r="B24" s="36">
        <f>SUM(B25:B28)</f>
        <v>48177</v>
      </c>
      <c r="C24" s="37">
        <f>SUM(C25:C28)</f>
        <v>11450</v>
      </c>
      <c r="D24" s="38">
        <f t="shared" ref="D24:N24" si="5">SUM(D25:D28)</f>
        <v>1779.0720000000001</v>
      </c>
      <c r="E24" s="37">
        <f t="shared" si="5"/>
        <v>190</v>
      </c>
      <c r="F24" s="38">
        <f t="shared" si="5"/>
        <v>26.936</v>
      </c>
      <c r="G24" s="37">
        <f t="shared" si="5"/>
        <v>78</v>
      </c>
      <c r="H24" s="38">
        <f t="shared" si="5"/>
        <v>10.92</v>
      </c>
      <c r="I24" s="37">
        <f t="shared" si="5"/>
        <v>182</v>
      </c>
      <c r="J24" s="38">
        <f t="shared" si="5"/>
        <v>32.31</v>
      </c>
      <c r="K24" s="37">
        <f t="shared" si="5"/>
        <v>34</v>
      </c>
      <c r="L24" s="38">
        <f t="shared" si="5"/>
        <v>2.72</v>
      </c>
      <c r="M24" s="37">
        <f t="shared" si="5"/>
        <v>36243</v>
      </c>
      <c r="N24" s="39">
        <f t="shared" si="5"/>
        <v>7499.4930000000013</v>
      </c>
      <c r="O24" s="44" t="s">
        <v>105</v>
      </c>
      <c r="P24" s="33"/>
      <c r="Q24" s="19"/>
      <c r="R24" s="19"/>
    </row>
    <row r="25" spans="1:18">
      <c r="A25" s="26" t="s">
        <v>125</v>
      </c>
      <c r="B25" s="27">
        <f t="shared" ref="B25:B28" si="6">SUM(C25,E25,G25,I25,K25,M25)</f>
        <v>26684</v>
      </c>
      <c r="C25" s="28">
        <v>6616</v>
      </c>
      <c r="D25" s="29">
        <v>953.09199999999998</v>
      </c>
      <c r="E25" s="28">
        <v>31</v>
      </c>
      <c r="F25" s="29">
        <v>2.4660000000000002</v>
      </c>
      <c r="G25" s="28">
        <v>14</v>
      </c>
      <c r="H25" s="29">
        <v>2.69</v>
      </c>
      <c r="I25" s="28">
        <v>52</v>
      </c>
      <c r="J25" s="29">
        <v>10.36</v>
      </c>
      <c r="K25" s="30" t="s">
        <v>104</v>
      </c>
      <c r="L25" s="29" t="s">
        <v>104</v>
      </c>
      <c r="M25" s="28">
        <v>19971</v>
      </c>
      <c r="N25" s="31">
        <v>4701.3410000000003</v>
      </c>
      <c r="O25" s="32" t="s">
        <v>24</v>
      </c>
      <c r="P25" s="33"/>
      <c r="Q25" s="19"/>
      <c r="R25" s="19"/>
    </row>
    <row r="26" spans="1:18">
      <c r="A26" s="26" t="s">
        <v>126</v>
      </c>
      <c r="B26" s="27">
        <f t="shared" si="6"/>
        <v>19367</v>
      </c>
      <c r="C26" s="28">
        <v>4337</v>
      </c>
      <c r="D26" s="29">
        <v>746.44</v>
      </c>
      <c r="E26" s="28">
        <v>159</v>
      </c>
      <c r="F26" s="29">
        <v>24.47</v>
      </c>
      <c r="G26" s="28">
        <v>47</v>
      </c>
      <c r="H26" s="29">
        <v>5.56</v>
      </c>
      <c r="I26" s="28">
        <v>130</v>
      </c>
      <c r="J26" s="29">
        <v>21.95</v>
      </c>
      <c r="K26" s="30" t="s">
        <v>104</v>
      </c>
      <c r="L26" s="29" t="s">
        <v>104</v>
      </c>
      <c r="M26" s="28">
        <v>14694</v>
      </c>
      <c r="N26" s="31">
        <v>2509.0819999999999</v>
      </c>
      <c r="O26" s="32" t="s">
        <v>25</v>
      </c>
      <c r="P26" s="33"/>
      <c r="Q26" s="19"/>
      <c r="R26" s="19"/>
    </row>
    <row r="27" spans="1:18">
      <c r="A27" s="26" t="s">
        <v>127</v>
      </c>
      <c r="B27" s="27">
        <f t="shared" si="6"/>
        <v>1016</v>
      </c>
      <c r="C27" s="28">
        <v>458</v>
      </c>
      <c r="D27" s="29">
        <v>71.36</v>
      </c>
      <c r="E27" s="30" t="s">
        <v>104</v>
      </c>
      <c r="F27" s="29" t="s">
        <v>104</v>
      </c>
      <c r="G27" s="30" t="s">
        <v>104</v>
      </c>
      <c r="H27" s="29" t="s">
        <v>104</v>
      </c>
      <c r="I27" s="30" t="s">
        <v>104</v>
      </c>
      <c r="J27" s="29" t="s">
        <v>104</v>
      </c>
      <c r="K27" s="30" t="s">
        <v>104</v>
      </c>
      <c r="L27" s="29" t="s">
        <v>104</v>
      </c>
      <c r="M27" s="28">
        <v>558</v>
      </c>
      <c r="N27" s="31">
        <v>89.02</v>
      </c>
      <c r="O27" s="32" t="s">
        <v>26</v>
      </c>
      <c r="P27" s="33"/>
      <c r="Q27" s="19"/>
      <c r="R27" s="19"/>
    </row>
    <row r="28" spans="1:18">
      <c r="A28" s="26" t="s">
        <v>128</v>
      </c>
      <c r="B28" s="27">
        <f t="shared" si="6"/>
        <v>1110</v>
      </c>
      <c r="C28" s="28">
        <v>39</v>
      </c>
      <c r="D28" s="29">
        <v>8.18</v>
      </c>
      <c r="E28" s="30" t="s">
        <v>104</v>
      </c>
      <c r="F28" s="29" t="s">
        <v>104</v>
      </c>
      <c r="G28" s="28">
        <v>17</v>
      </c>
      <c r="H28" s="29">
        <v>2.67</v>
      </c>
      <c r="I28" s="30" t="s">
        <v>104</v>
      </c>
      <c r="J28" s="29" t="s">
        <v>104</v>
      </c>
      <c r="K28" s="28">
        <v>34</v>
      </c>
      <c r="L28" s="29">
        <v>2.72</v>
      </c>
      <c r="M28" s="28">
        <v>1020</v>
      </c>
      <c r="N28" s="31">
        <v>200.05</v>
      </c>
      <c r="O28" s="32" t="s">
        <v>27</v>
      </c>
      <c r="P28" s="33"/>
      <c r="Q28" s="19"/>
      <c r="R28" s="19"/>
    </row>
    <row r="29" spans="1:18" ht="16.3" customHeight="1">
      <c r="A29" s="20" t="s">
        <v>28</v>
      </c>
      <c r="B29" s="36">
        <f>SUM(B30:B33)</f>
        <v>368</v>
      </c>
      <c r="C29" s="37">
        <f t="shared" ref="C29:N29" si="7">SUM(C30:C33)</f>
        <v>61</v>
      </c>
      <c r="D29" s="38">
        <f t="shared" si="7"/>
        <v>9.15</v>
      </c>
      <c r="E29" s="37">
        <f t="shared" si="7"/>
        <v>0</v>
      </c>
      <c r="F29" s="38">
        <f t="shared" si="7"/>
        <v>0</v>
      </c>
      <c r="G29" s="37">
        <f t="shared" si="7"/>
        <v>9</v>
      </c>
      <c r="H29" s="38">
        <f t="shared" si="7"/>
        <v>3.6</v>
      </c>
      <c r="I29" s="37">
        <f t="shared" si="7"/>
        <v>0</v>
      </c>
      <c r="J29" s="38">
        <f t="shared" si="7"/>
        <v>0</v>
      </c>
      <c r="K29" s="37">
        <f t="shared" si="7"/>
        <v>28</v>
      </c>
      <c r="L29" s="38">
        <f t="shared" si="7"/>
        <v>2.8</v>
      </c>
      <c r="M29" s="37">
        <f t="shared" si="7"/>
        <v>270</v>
      </c>
      <c r="N29" s="39">
        <f t="shared" si="7"/>
        <v>62.05</v>
      </c>
      <c r="O29" s="45" t="s">
        <v>29</v>
      </c>
      <c r="P29" s="45"/>
      <c r="Q29" s="45"/>
      <c r="R29" s="19"/>
    </row>
    <row r="30" spans="1:18">
      <c r="A30" s="26" t="s">
        <v>129</v>
      </c>
      <c r="B30" s="27">
        <f t="shared" ref="B30:B33" si="8">SUM(C30,E30,G30,I30,K30,M30)</f>
        <v>167</v>
      </c>
      <c r="C30" s="28">
        <v>61</v>
      </c>
      <c r="D30" s="29">
        <v>9.15</v>
      </c>
      <c r="E30" s="30" t="s">
        <v>104</v>
      </c>
      <c r="F30" s="29" t="s">
        <v>104</v>
      </c>
      <c r="G30" s="30" t="s">
        <v>104</v>
      </c>
      <c r="H30" s="29" t="s">
        <v>104</v>
      </c>
      <c r="I30" s="30" t="s">
        <v>104</v>
      </c>
      <c r="J30" s="29" t="s">
        <v>104</v>
      </c>
      <c r="K30" s="30" t="s">
        <v>104</v>
      </c>
      <c r="L30" s="29" t="s">
        <v>104</v>
      </c>
      <c r="M30" s="28">
        <v>106</v>
      </c>
      <c r="N30" s="31">
        <v>21.45</v>
      </c>
      <c r="O30" s="32" t="s">
        <v>30</v>
      </c>
      <c r="P30" s="33"/>
      <c r="Q30" s="19"/>
      <c r="R30" s="19"/>
    </row>
    <row r="31" spans="1:18">
      <c r="A31" s="26" t="s">
        <v>130</v>
      </c>
      <c r="B31" s="27">
        <f t="shared" si="8"/>
        <v>15</v>
      </c>
      <c r="C31" s="30" t="s">
        <v>104</v>
      </c>
      <c r="D31" s="29" t="s">
        <v>104</v>
      </c>
      <c r="E31" s="30" t="s">
        <v>104</v>
      </c>
      <c r="F31" s="29" t="s">
        <v>104</v>
      </c>
      <c r="G31" s="28">
        <v>9</v>
      </c>
      <c r="H31" s="29">
        <v>3.6</v>
      </c>
      <c r="I31" s="30" t="s">
        <v>104</v>
      </c>
      <c r="J31" s="29" t="s">
        <v>104</v>
      </c>
      <c r="K31" s="30" t="s">
        <v>104</v>
      </c>
      <c r="L31" s="29" t="s">
        <v>104</v>
      </c>
      <c r="M31" s="28">
        <v>6</v>
      </c>
      <c r="N31" s="31">
        <v>2.7</v>
      </c>
      <c r="O31" s="32" t="s">
        <v>31</v>
      </c>
      <c r="P31" s="33"/>
      <c r="Q31" s="19"/>
      <c r="R31" s="19"/>
    </row>
    <row r="32" spans="1:18">
      <c r="A32" s="26" t="s">
        <v>131</v>
      </c>
      <c r="B32" s="27">
        <f t="shared" si="8"/>
        <v>65</v>
      </c>
      <c r="C32" s="30" t="s">
        <v>104</v>
      </c>
      <c r="D32" s="29" t="s">
        <v>104</v>
      </c>
      <c r="E32" s="30" t="s">
        <v>104</v>
      </c>
      <c r="F32" s="29" t="s">
        <v>104</v>
      </c>
      <c r="G32" s="30" t="s">
        <v>104</v>
      </c>
      <c r="H32" s="29" t="s">
        <v>104</v>
      </c>
      <c r="I32" s="30" t="s">
        <v>104</v>
      </c>
      <c r="J32" s="29" t="s">
        <v>104</v>
      </c>
      <c r="K32" s="30" t="s">
        <v>104</v>
      </c>
      <c r="L32" s="29" t="s">
        <v>104</v>
      </c>
      <c r="M32" s="28">
        <v>65</v>
      </c>
      <c r="N32" s="31">
        <v>17.899999999999999</v>
      </c>
      <c r="O32" s="32" t="s">
        <v>32</v>
      </c>
      <c r="P32" s="33"/>
      <c r="Q32" s="19"/>
      <c r="R32" s="19"/>
    </row>
    <row r="33" spans="1:18">
      <c r="A33" s="26" t="s">
        <v>132</v>
      </c>
      <c r="B33" s="27">
        <f t="shared" si="8"/>
        <v>121</v>
      </c>
      <c r="C33" s="30" t="s">
        <v>104</v>
      </c>
      <c r="D33" s="29" t="s">
        <v>104</v>
      </c>
      <c r="E33" s="30" t="s">
        <v>104</v>
      </c>
      <c r="F33" s="29" t="s">
        <v>104</v>
      </c>
      <c r="G33" s="30" t="s">
        <v>104</v>
      </c>
      <c r="H33" s="29" t="s">
        <v>104</v>
      </c>
      <c r="I33" s="30" t="s">
        <v>104</v>
      </c>
      <c r="J33" s="29" t="s">
        <v>104</v>
      </c>
      <c r="K33" s="28">
        <v>28</v>
      </c>
      <c r="L33" s="29">
        <v>2.8</v>
      </c>
      <c r="M33" s="28">
        <v>93</v>
      </c>
      <c r="N33" s="31">
        <v>20</v>
      </c>
      <c r="O33" s="32" t="s">
        <v>33</v>
      </c>
      <c r="P33" s="33"/>
      <c r="Q33" s="19"/>
      <c r="R33" s="19"/>
    </row>
    <row r="34" spans="1:18" ht="19.25" customHeight="1">
      <c r="A34" s="20" t="s">
        <v>34</v>
      </c>
      <c r="B34" s="36">
        <f>SUM(B35:B39)</f>
        <v>104140</v>
      </c>
      <c r="C34" s="37">
        <f t="shared" ref="C34:N34" si="9">SUM(C35:C39)</f>
        <v>55218</v>
      </c>
      <c r="D34" s="38">
        <f t="shared" si="9"/>
        <v>10916.302999999998</v>
      </c>
      <c r="E34" s="37">
        <f t="shared" si="9"/>
        <v>23</v>
      </c>
      <c r="F34" s="38">
        <f t="shared" si="9"/>
        <v>1.64</v>
      </c>
      <c r="G34" s="37">
        <f t="shared" si="9"/>
        <v>279</v>
      </c>
      <c r="H34" s="38">
        <f t="shared" si="9"/>
        <v>69.164000000000001</v>
      </c>
      <c r="I34" s="37">
        <f t="shared" si="9"/>
        <v>437</v>
      </c>
      <c r="J34" s="38">
        <f t="shared" si="9"/>
        <v>89.1</v>
      </c>
      <c r="K34" s="37">
        <f t="shared" si="9"/>
        <v>19204</v>
      </c>
      <c r="L34" s="38">
        <f t="shared" si="9"/>
        <v>1166.8439999999998</v>
      </c>
      <c r="M34" s="37">
        <f t="shared" si="9"/>
        <v>28979</v>
      </c>
      <c r="N34" s="39">
        <f t="shared" si="9"/>
        <v>6622.7050000000008</v>
      </c>
      <c r="O34" s="45" t="s">
        <v>35</v>
      </c>
      <c r="P34" s="45"/>
      <c r="Q34" s="45"/>
      <c r="R34" s="19"/>
    </row>
    <row r="35" spans="1:18">
      <c r="A35" s="26" t="s">
        <v>133</v>
      </c>
      <c r="B35" s="27">
        <f t="shared" ref="B35:B39" si="10">SUM(C35,E35,G35,I35,K35,M35)</f>
        <v>63964</v>
      </c>
      <c r="C35" s="28">
        <v>42639</v>
      </c>
      <c r="D35" s="29">
        <v>8697.42</v>
      </c>
      <c r="E35" s="30" t="s">
        <v>104</v>
      </c>
      <c r="F35" s="29" t="s">
        <v>104</v>
      </c>
      <c r="G35" s="28">
        <v>50</v>
      </c>
      <c r="H35" s="29">
        <v>10</v>
      </c>
      <c r="I35" s="28">
        <v>332</v>
      </c>
      <c r="J35" s="29">
        <v>84.5</v>
      </c>
      <c r="K35" s="28">
        <v>2752</v>
      </c>
      <c r="L35" s="29">
        <v>280.63</v>
      </c>
      <c r="M35" s="28">
        <v>18191</v>
      </c>
      <c r="N35" s="31">
        <v>4115.9350000000004</v>
      </c>
      <c r="O35" s="32" t="s">
        <v>36</v>
      </c>
      <c r="P35" s="33"/>
      <c r="Q35" s="19"/>
      <c r="R35" s="19"/>
    </row>
    <row r="36" spans="1:18">
      <c r="A36" s="26" t="s">
        <v>134</v>
      </c>
      <c r="B36" s="27">
        <f t="shared" si="10"/>
        <v>18138</v>
      </c>
      <c r="C36" s="28">
        <v>407</v>
      </c>
      <c r="D36" s="29">
        <v>68.033000000000001</v>
      </c>
      <c r="E36" s="28">
        <v>20</v>
      </c>
      <c r="F36" s="29">
        <v>1.4</v>
      </c>
      <c r="G36" s="30" t="s">
        <v>104</v>
      </c>
      <c r="H36" s="29" t="s">
        <v>104</v>
      </c>
      <c r="I36" s="28">
        <v>100</v>
      </c>
      <c r="J36" s="29">
        <v>3.5</v>
      </c>
      <c r="K36" s="28">
        <v>14281</v>
      </c>
      <c r="L36" s="29">
        <v>496.01400000000001</v>
      </c>
      <c r="M36" s="28">
        <v>3330</v>
      </c>
      <c r="N36" s="31">
        <v>742.88</v>
      </c>
      <c r="O36" s="32" t="s">
        <v>37</v>
      </c>
      <c r="P36" s="33"/>
      <c r="Q36" s="19"/>
      <c r="R36" s="19"/>
    </row>
    <row r="37" spans="1:18">
      <c r="A37" s="26" t="s">
        <v>135</v>
      </c>
      <c r="B37" s="27">
        <f t="shared" si="10"/>
        <v>16231</v>
      </c>
      <c r="C37" s="28">
        <v>9641</v>
      </c>
      <c r="D37" s="29">
        <v>1639.4</v>
      </c>
      <c r="E37" s="30" t="s">
        <v>104</v>
      </c>
      <c r="F37" s="29" t="s">
        <v>104</v>
      </c>
      <c r="G37" s="28">
        <v>209</v>
      </c>
      <c r="H37" s="29">
        <v>53.664000000000001</v>
      </c>
      <c r="I37" s="30" t="s">
        <v>104</v>
      </c>
      <c r="J37" s="29" t="s">
        <v>104</v>
      </c>
      <c r="K37" s="28">
        <v>1837</v>
      </c>
      <c r="L37" s="29">
        <v>368.4</v>
      </c>
      <c r="M37" s="28">
        <v>4544</v>
      </c>
      <c r="N37" s="31">
        <v>1096.8399999999999</v>
      </c>
      <c r="O37" s="32" t="s">
        <v>38</v>
      </c>
      <c r="P37" s="33"/>
      <c r="Q37" s="19"/>
      <c r="R37" s="19"/>
    </row>
    <row r="38" spans="1:18">
      <c r="A38" s="26" t="s">
        <v>136</v>
      </c>
      <c r="B38" s="27">
        <f t="shared" si="10"/>
        <v>30</v>
      </c>
      <c r="C38" s="28">
        <v>30</v>
      </c>
      <c r="D38" s="29">
        <v>8.4</v>
      </c>
      <c r="E38" s="30" t="s">
        <v>104</v>
      </c>
      <c r="F38" s="29" t="s">
        <v>104</v>
      </c>
      <c r="G38" s="30" t="s">
        <v>104</v>
      </c>
      <c r="H38" s="29" t="s">
        <v>104</v>
      </c>
      <c r="I38" s="30" t="s">
        <v>104</v>
      </c>
      <c r="J38" s="29" t="s">
        <v>104</v>
      </c>
      <c r="K38" s="30" t="s">
        <v>104</v>
      </c>
      <c r="L38" s="29" t="s">
        <v>104</v>
      </c>
      <c r="M38" s="28" t="s">
        <v>104</v>
      </c>
      <c r="N38" s="31" t="s">
        <v>104</v>
      </c>
      <c r="O38" s="46" t="s">
        <v>39</v>
      </c>
      <c r="P38" s="47"/>
      <c r="Q38" s="47"/>
      <c r="R38" s="19"/>
    </row>
    <row r="39" spans="1:18">
      <c r="A39" s="26" t="s">
        <v>137</v>
      </c>
      <c r="B39" s="27">
        <f t="shared" si="10"/>
        <v>5777</v>
      </c>
      <c r="C39" s="28">
        <v>2501</v>
      </c>
      <c r="D39" s="29">
        <v>503.05</v>
      </c>
      <c r="E39" s="28">
        <v>3</v>
      </c>
      <c r="F39" s="29">
        <v>0.24</v>
      </c>
      <c r="G39" s="28">
        <v>20</v>
      </c>
      <c r="H39" s="29">
        <v>5.5</v>
      </c>
      <c r="I39" s="28">
        <v>5</v>
      </c>
      <c r="J39" s="29">
        <v>1.1000000000000001</v>
      </c>
      <c r="K39" s="28">
        <v>334</v>
      </c>
      <c r="L39" s="29">
        <v>21.8</v>
      </c>
      <c r="M39" s="28">
        <v>2914</v>
      </c>
      <c r="N39" s="31">
        <v>667.05</v>
      </c>
      <c r="O39" s="32" t="s">
        <v>40</v>
      </c>
      <c r="P39" s="33"/>
      <c r="Q39" s="19"/>
      <c r="R39" s="19"/>
    </row>
    <row r="40" spans="1:18" ht="19.25" customHeight="1">
      <c r="A40" s="20" t="s">
        <v>41</v>
      </c>
      <c r="B40" s="36">
        <f>SUM(B41:B45)</f>
        <v>35257</v>
      </c>
      <c r="C40" s="37">
        <f t="shared" ref="C40:N40" si="11">SUM(C41:C45)</f>
        <v>17748</v>
      </c>
      <c r="D40" s="38">
        <f t="shared" si="11"/>
        <v>3058.748</v>
      </c>
      <c r="E40" s="37">
        <f t="shared" si="11"/>
        <v>119</v>
      </c>
      <c r="F40" s="38">
        <f t="shared" si="11"/>
        <v>29.084999999999997</v>
      </c>
      <c r="G40" s="37">
        <f t="shared" si="11"/>
        <v>829</v>
      </c>
      <c r="H40" s="38">
        <f t="shared" si="11"/>
        <v>163.185</v>
      </c>
      <c r="I40" s="37">
        <f t="shared" si="11"/>
        <v>221</v>
      </c>
      <c r="J40" s="38">
        <f t="shared" si="11"/>
        <v>42.174999999999997</v>
      </c>
      <c r="K40" s="37">
        <f t="shared" si="11"/>
        <v>4155</v>
      </c>
      <c r="L40" s="38">
        <f t="shared" si="11"/>
        <v>307</v>
      </c>
      <c r="M40" s="37">
        <f t="shared" si="11"/>
        <v>12185</v>
      </c>
      <c r="N40" s="39">
        <f t="shared" si="11"/>
        <v>2664.61</v>
      </c>
      <c r="O40" s="48" t="s">
        <v>42</v>
      </c>
      <c r="P40" s="48"/>
      <c r="Q40" s="48"/>
      <c r="R40" s="19"/>
    </row>
    <row r="41" spans="1:18">
      <c r="A41" s="26" t="s">
        <v>138</v>
      </c>
      <c r="B41" s="27">
        <f t="shared" ref="B41:B45" si="12">SUM(C41,E41,G41,I41,K41,M41)</f>
        <v>28451</v>
      </c>
      <c r="C41" s="28">
        <v>13946</v>
      </c>
      <c r="D41" s="29">
        <v>2218.6950000000002</v>
      </c>
      <c r="E41" s="28">
        <v>88</v>
      </c>
      <c r="F41" s="29">
        <v>22.524999999999999</v>
      </c>
      <c r="G41" s="28">
        <v>561</v>
      </c>
      <c r="H41" s="29">
        <v>85.06</v>
      </c>
      <c r="I41" s="28">
        <v>50</v>
      </c>
      <c r="J41" s="29">
        <v>6</v>
      </c>
      <c r="K41" s="28">
        <v>3877</v>
      </c>
      <c r="L41" s="29">
        <v>259.8</v>
      </c>
      <c r="M41" s="28">
        <v>9929</v>
      </c>
      <c r="N41" s="31">
        <v>2272.42</v>
      </c>
      <c r="O41" s="32" t="s">
        <v>43</v>
      </c>
      <c r="P41" s="33"/>
      <c r="Q41" s="19"/>
      <c r="R41" s="19"/>
    </row>
    <row r="42" spans="1:18">
      <c r="A42" s="26" t="s">
        <v>139</v>
      </c>
      <c r="B42" s="27">
        <f t="shared" si="12"/>
        <v>4051</v>
      </c>
      <c r="C42" s="28">
        <v>2748</v>
      </c>
      <c r="D42" s="29">
        <v>706.48</v>
      </c>
      <c r="E42" s="28">
        <v>14</v>
      </c>
      <c r="F42" s="29">
        <v>5.5</v>
      </c>
      <c r="G42" s="28">
        <v>5</v>
      </c>
      <c r="H42" s="29">
        <v>1.9</v>
      </c>
      <c r="I42" s="28">
        <v>91</v>
      </c>
      <c r="J42" s="29">
        <v>22.695</v>
      </c>
      <c r="K42" s="28">
        <v>257</v>
      </c>
      <c r="L42" s="29">
        <v>44</v>
      </c>
      <c r="M42" s="28">
        <v>936</v>
      </c>
      <c r="N42" s="31">
        <v>262.89</v>
      </c>
      <c r="O42" s="32" t="s">
        <v>44</v>
      </c>
      <c r="P42" s="33"/>
      <c r="Q42" s="19"/>
      <c r="R42" s="19"/>
    </row>
    <row r="43" spans="1:18">
      <c r="A43" s="26" t="s">
        <v>140</v>
      </c>
      <c r="B43" s="27">
        <f t="shared" si="12"/>
        <v>2458</v>
      </c>
      <c r="C43" s="28">
        <v>1013</v>
      </c>
      <c r="D43" s="29">
        <v>126.373</v>
      </c>
      <c r="E43" s="28">
        <v>17</v>
      </c>
      <c r="F43" s="29">
        <v>1.06</v>
      </c>
      <c r="G43" s="28">
        <v>37</v>
      </c>
      <c r="H43" s="29">
        <v>5.9249999999999998</v>
      </c>
      <c r="I43" s="28">
        <v>80</v>
      </c>
      <c r="J43" s="29">
        <v>13.48</v>
      </c>
      <c r="K43" s="28">
        <v>21</v>
      </c>
      <c r="L43" s="29">
        <v>3.2</v>
      </c>
      <c r="M43" s="28">
        <v>1290</v>
      </c>
      <c r="N43" s="31">
        <v>122.81</v>
      </c>
      <c r="O43" s="32" t="s">
        <v>45</v>
      </c>
      <c r="P43" s="33"/>
      <c r="Q43" s="19"/>
      <c r="R43" s="19"/>
    </row>
    <row r="44" spans="1:18">
      <c r="A44" s="26" t="s">
        <v>141</v>
      </c>
      <c r="B44" s="27">
        <f t="shared" si="12"/>
        <v>14</v>
      </c>
      <c r="C44" s="30" t="s">
        <v>104</v>
      </c>
      <c r="D44" s="29" t="s">
        <v>104</v>
      </c>
      <c r="E44" s="30" t="s">
        <v>104</v>
      </c>
      <c r="F44" s="29" t="s">
        <v>104</v>
      </c>
      <c r="G44" s="28">
        <v>2</v>
      </c>
      <c r="H44" s="29">
        <v>0.4</v>
      </c>
      <c r="I44" s="30" t="s">
        <v>104</v>
      </c>
      <c r="J44" s="29" t="s">
        <v>104</v>
      </c>
      <c r="K44" s="30" t="s">
        <v>104</v>
      </c>
      <c r="L44" s="29" t="s">
        <v>104</v>
      </c>
      <c r="M44" s="28">
        <v>12</v>
      </c>
      <c r="N44" s="31">
        <v>0.19</v>
      </c>
      <c r="O44" s="32" t="s">
        <v>46</v>
      </c>
      <c r="P44" s="33"/>
      <c r="Q44" s="19"/>
      <c r="R44" s="19"/>
    </row>
    <row r="45" spans="1:18">
      <c r="A45" s="26" t="s">
        <v>142</v>
      </c>
      <c r="B45" s="27">
        <f t="shared" si="12"/>
        <v>283</v>
      </c>
      <c r="C45" s="28">
        <v>41</v>
      </c>
      <c r="D45" s="29">
        <v>7.2</v>
      </c>
      <c r="E45" s="30" t="s">
        <v>104</v>
      </c>
      <c r="F45" s="29" t="s">
        <v>104</v>
      </c>
      <c r="G45" s="28">
        <v>224</v>
      </c>
      <c r="H45" s="29">
        <v>69.900000000000006</v>
      </c>
      <c r="I45" s="30" t="s">
        <v>104</v>
      </c>
      <c r="J45" s="29" t="s">
        <v>104</v>
      </c>
      <c r="K45" s="30" t="s">
        <v>104</v>
      </c>
      <c r="L45" s="29" t="s">
        <v>104</v>
      </c>
      <c r="M45" s="28">
        <v>18</v>
      </c>
      <c r="N45" s="31">
        <v>6.3</v>
      </c>
      <c r="O45" s="32" t="s">
        <v>47</v>
      </c>
      <c r="P45" s="33"/>
      <c r="Q45" s="19"/>
      <c r="R45" s="19"/>
    </row>
    <row r="46" spans="1:18" ht="18.649999999999999" customHeight="1">
      <c r="A46" s="20" t="s">
        <v>48</v>
      </c>
      <c r="B46" s="36">
        <f>SUM(B47:B51)</f>
        <v>241</v>
      </c>
      <c r="C46" s="37">
        <f t="shared" ref="C46:N46" si="13">SUM(C47:C51)</f>
        <v>98</v>
      </c>
      <c r="D46" s="38">
        <f t="shared" si="13"/>
        <v>18.920999999999999</v>
      </c>
      <c r="E46" s="37">
        <f t="shared" si="13"/>
        <v>0</v>
      </c>
      <c r="F46" s="38">
        <f t="shared" si="13"/>
        <v>0</v>
      </c>
      <c r="G46" s="37">
        <f t="shared" si="13"/>
        <v>0</v>
      </c>
      <c r="H46" s="38">
        <f t="shared" si="13"/>
        <v>0</v>
      </c>
      <c r="I46" s="37">
        <f t="shared" si="13"/>
        <v>1</v>
      </c>
      <c r="J46" s="38">
        <f t="shared" si="13"/>
        <v>0.4</v>
      </c>
      <c r="K46" s="37">
        <f t="shared" si="13"/>
        <v>0</v>
      </c>
      <c r="L46" s="38">
        <f t="shared" si="13"/>
        <v>0</v>
      </c>
      <c r="M46" s="37">
        <f t="shared" si="13"/>
        <v>142</v>
      </c>
      <c r="N46" s="39">
        <f t="shared" si="13"/>
        <v>23.009999999999998</v>
      </c>
      <c r="O46" s="45" t="s">
        <v>49</v>
      </c>
      <c r="P46" s="45"/>
      <c r="Q46" s="45"/>
      <c r="R46" s="19"/>
    </row>
    <row r="47" spans="1:18">
      <c r="A47" s="26" t="s">
        <v>143</v>
      </c>
      <c r="B47" s="27">
        <f t="shared" ref="B47:B51" si="14">SUM(C47,E47,G47,I47,K47,M47)</f>
        <v>26</v>
      </c>
      <c r="C47" s="28">
        <v>21</v>
      </c>
      <c r="D47" s="29">
        <v>5.3449999999999998</v>
      </c>
      <c r="E47" s="30" t="s">
        <v>104</v>
      </c>
      <c r="F47" s="29" t="s">
        <v>104</v>
      </c>
      <c r="G47" s="30" t="s">
        <v>104</v>
      </c>
      <c r="H47" s="29" t="s">
        <v>104</v>
      </c>
      <c r="I47" s="28">
        <v>1</v>
      </c>
      <c r="J47" s="29">
        <v>0.4</v>
      </c>
      <c r="K47" s="30" t="s">
        <v>104</v>
      </c>
      <c r="L47" s="29" t="s">
        <v>104</v>
      </c>
      <c r="M47" s="28">
        <v>4</v>
      </c>
      <c r="N47" s="31">
        <v>1.31</v>
      </c>
      <c r="O47" s="32" t="s">
        <v>50</v>
      </c>
      <c r="P47" s="33"/>
      <c r="Q47" s="19"/>
      <c r="R47" s="19"/>
    </row>
    <row r="48" spans="1:18">
      <c r="A48" s="26" t="s">
        <v>144</v>
      </c>
      <c r="B48" s="27">
        <f t="shared" si="14"/>
        <v>115</v>
      </c>
      <c r="C48" s="28">
        <v>64</v>
      </c>
      <c r="D48" s="29">
        <v>12</v>
      </c>
      <c r="E48" s="30" t="s">
        <v>104</v>
      </c>
      <c r="F48" s="29" t="s">
        <v>104</v>
      </c>
      <c r="G48" s="30" t="s">
        <v>104</v>
      </c>
      <c r="H48" s="29" t="s">
        <v>104</v>
      </c>
      <c r="I48" s="30" t="s">
        <v>104</v>
      </c>
      <c r="J48" s="29" t="s">
        <v>104</v>
      </c>
      <c r="K48" s="30" t="s">
        <v>104</v>
      </c>
      <c r="L48" s="29" t="s">
        <v>104</v>
      </c>
      <c r="M48" s="28">
        <v>51</v>
      </c>
      <c r="N48" s="31">
        <v>9.1999999999999993</v>
      </c>
      <c r="O48" s="32" t="s">
        <v>51</v>
      </c>
      <c r="P48" s="33"/>
      <c r="Q48" s="19"/>
      <c r="R48" s="19"/>
    </row>
    <row r="49" spans="1:19">
      <c r="A49" s="26" t="s">
        <v>145</v>
      </c>
      <c r="B49" s="27">
        <f t="shared" si="14"/>
        <v>0</v>
      </c>
      <c r="C49" s="28" t="s">
        <v>104</v>
      </c>
      <c r="D49" s="29" t="s">
        <v>104</v>
      </c>
      <c r="E49" s="30" t="s">
        <v>104</v>
      </c>
      <c r="F49" s="29" t="s">
        <v>104</v>
      </c>
      <c r="G49" s="30" t="s">
        <v>104</v>
      </c>
      <c r="H49" s="29" t="s">
        <v>104</v>
      </c>
      <c r="I49" s="30" t="s">
        <v>104</v>
      </c>
      <c r="J49" s="29" t="s">
        <v>104</v>
      </c>
      <c r="K49" s="30" t="s">
        <v>104</v>
      </c>
      <c r="L49" s="29" t="s">
        <v>104</v>
      </c>
      <c r="M49" s="28" t="s">
        <v>104</v>
      </c>
      <c r="N49" s="31" t="s">
        <v>104</v>
      </c>
      <c r="O49" s="32" t="s">
        <v>52</v>
      </c>
      <c r="P49" s="33"/>
      <c r="Q49" s="19"/>
      <c r="R49" s="19"/>
    </row>
    <row r="50" spans="1:19">
      <c r="A50" s="26" t="s">
        <v>146</v>
      </c>
      <c r="B50" s="27">
        <f t="shared" si="14"/>
        <v>100</v>
      </c>
      <c r="C50" s="28">
        <v>13</v>
      </c>
      <c r="D50" s="29">
        <v>1.5760000000000001</v>
      </c>
      <c r="E50" s="30" t="s">
        <v>104</v>
      </c>
      <c r="F50" s="29" t="s">
        <v>104</v>
      </c>
      <c r="G50" s="30" t="s">
        <v>104</v>
      </c>
      <c r="H50" s="29" t="s">
        <v>104</v>
      </c>
      <c r="I50" s="30" t="s">
        <v>104</v>
      </c>
      <c r="J50" s="29" t="s">
        <v>104</v>
      </c>
      <c r="K50" s="30" t="s">
        <v>104</v>
      </c>
      <c r="L50" s="29" t="s">
        <v>104</v>
      </c>
      <c r="M50" s="28">
        <v>87</v>
      </c>
      <c r="N50" s="31">
        <v>12.5</v>
      </c>
      <c r="O50" s="32" t="s">
        <v>53</v>
      </c>
      <c r="P50" s="33"/>
      <c r="Q50" s="19"/>
      <c r="R50" s="19"/>
    </row>
    <row r="51" spans="1:19">
      <c r="A51" s="26" t="s">
        <v>147</v>
      </c>
      <c r="B51" s="27">
        <f t="shared" si="14"/>
        <v>0</v>
      </c>
      <c r="C51" s="28" t="s">
        <v>104</v>
      </c>
      <c r="D51" s="29" t="s">
        <v>104</v>
      </c>
      <c r="E51" s="30" t="s">
        <v>104</v>
      </c>
      <c r="F51" s="29" t="s">
        <v>104</v>
      </c>
      <c r="G51" s="30" t="s">
        <v>104</v>
      </c>
      <c r="H51" s="29" t="s">
        <v>104</v>
      </c>
      <c r="I51" s="30" t="s">
        <v>104</v>
      </c>
      <c r="J51" s="29" t="s">
        <v>104</v>
      </c>
      <c r="K51" s="30" t="s">
        <v>104</v>
      </c>
      <c r="L51" s="29" t="s">
        <v>104</v>
      </c>
      <c r="M51" s="28" t="s">
        <v>104</v>
      </c>
      <c r="N51" s="31" t="s">
        <v>104</v>
      </c>
      <c r="O51" s="32" t="s">
        <v>54</v>
      </c>
      <c r="P51" s="33"/>
      <c r="Q51" s="19"/>
      <c r="R51" s="19"/>
    </row>
    <row r="52" spans="1:19" ht="16.3" customHeight="1">
      <c r="A52" s="20" t="s">
        <v>55</v>
      </c>
      <c r="B52" s="36">
        <f>SUM(B53:B55)</f>
        <v>3545</v>
      </c>
      <c r="C52" s="37">
        <f t="shared" ref="C52:N52" si="15">SUM(C53:C55)</f>
        <v>958</v>
      </c>
      <c r="D52" s="38">
        <f t="shared" si="15"/>
        <v>197.27499999999998</v>
      </c>
      <c r="E52" s="37">
        <f t="shared" si="15"/>
        <v>30</v>
      </c>
      <c r="F52" s="38">
        <f t="shared" si="15"/>
        <v>6</v>
      </c>
      <c r="G52" s="37">
        <f t="shared" si="15"/>
        <v>965</v>
      </c>
      <c r="H52" s="38">
        <f t="shared" si="15"/>
        <v>231.82</v>
      </c>
      <c r="I52" s="37">
        <f t="shared" si="15"/>
        <v>0</v>
      </c>
      <c r="J52" s="38">
        <f t="shared" si="15"/>
        <v>0</v>
      </c>
      <c r="K52" s="37">
        <f t="shared" si="15"/>
        <v>0</v>
      </c>
      <c r="L52" s="38">
        <f t="shared" si="15"/>
        <v>0</v>
      </c>
      <c r="M52" s="37">
        <f t="shared" si="15"/>
        <v>1592</v>
      </c>
      <c r="N52" s="39">
        <f t="shared" si="15"/>
        <v>348.7</v>
      </c>
      <c r="O52" s="48" t="s">
        <v>56</v>
      </c>
      <c r="P52" s="48"/>
      <c r="Q52" s="48"/>
      <c r="R52" s="19"/>
    </row>
    <row r="53" spans="1:19">
      <c r="A53" s="26" t="s">
        <v>148</v>
      </c>
      <c r="B53" s="27">
        <f t="shared" ref="B53:B55" si="16">SUM(C53,E53,G53,I53,K53,M53)</f>
        <v>282</v>
      </c>
      <c r="C53" s="28">
        <v>151</v>
      </c>
      <c r="D53" s="29">
        <v>36.174999999999997</v>
      </c>
      <c r="E53" s="30" t="s">
        <v>104</v>
      </c>
      <c r="F53" s="29" t="s">
        <v>104</v>
      </c>
      <c r="G53" s="28">
        <v>35</v>
      </c>
      <c r="H53" s="29">
        <v>5.82</v>
      </c>
      <c r="I53" s="30" t="s">
        <v>104</v>
      </c>
      <c r="J53" s="29" t="s">
        <v>104</v>
      </c>
      <c r="K53" s="30" t="s">
        <v>104</v>
      </c>
      <c r="L53" s="29" t="s">
        <v>104</v>
      </c>
      <c r="M53" s="28">
        <v>96</v>
      </c>
      <c r="N53" s="31">
        <v>20.9</v>
      </c>
      <c r="O53" s="32" t="s">
        <v>57</v>
      </c>
      <c r="P53" s="33"/>
      <c r="Q53" s="19"/>
      <c r="R53" s="19"/>
    </row>
    <row r="54" spans="1:19">
      <c r="A54" s="26" t="s">
        <v>149</v>
      </c>
      <c r="B54" s="27">
        <f t="shared" si="16"/>
        <v>2505</v>
      </c>
      <c r="C54" s="28">
        <v>455</v>
      </c>
      <c r="D54" s="29">
        <v>85</v>
      </c>
      <c r="E54" s="28">
        <v>30</v>
      </c>
      <c r="F54" s="29">
        <v>6</v>
      </c>
      <c r="G54" s="28">
        <v>720</v>
      </c>
      <c r="H54" s="29">
        <v>158</v>
      </c>
      <c r="I54" s="30" t="s">
        <v>104</v>
      </c>
      <c r="J54" s="29" t="s">
        <v>104</v>
      </c>
      <c r="K54" s="30" t="s">
        <v>104</v>
      </c>
      <c r="L54" s="29" t="s">
        <v>104</v>
      </c>
      <c r="M54" s="28">
        <v>1300</v>
      </c>
      <c r="N54" s="31">
        <v>260</v>
      </c>
      <c r="O54" s="46" t="s">
        <v>58</v>
      </c>
      <c r="P54" s="47"/>
      <c r="Q54" s="47"/>
      <c r="R54" s="19"/>
    </row>
    <row r="55" spans="1:19">
      <c r="A55" s="26" t="s">
        <v>150</v>
      </c>
      <c r="B55" s="27">
        <f t="shared" si="16"/>
        <v>758</v>
      </c>
      <c r="C55" s="28">
        <v>352</v>
      </c>
      <c r="D55" s="29">
        <v>76.099999999999994</v>
      </c>
      <c r="E55" s="30" t="s">
        <v>104</v>
      </c>
      <c r="F55" s="29" t="s">
        <v>104</v>
      </c>
      <c r="G55" s="28">
        <v>210</v>
      </c>
      <c r="H55" s="29">
        <v>68</v>
      </c>
      <c r="I55" s="30" t="s">
        <v>104</v>
      </c>
      <c r="J55" s="29" t="s">
        <v>104</v>
      </c>
      <c r="K55" s="30" t="s">
        <v>104</v>
      </c>
      <c r="L55" s="29" t="s">
        <v>104</v>
      </c>
      <c r="M55" s="28">
        <v>196</v>
      </c>
      <c r="N55" s="31">
        <v>67.8</v>
      </c>
      <c r="O55" s="32" t="s">
        <v>59</v>
      </c>
      <c r="P55" s="33"/>
      <c r="Q55" s="19"/>
      <c r="R55" s="19"/>
    </row>
    <row r="56" spans="1:19" ht="18.649999999999999" customHeight="1">
      <c r="A56" s="20" t="s">
        <v>60</v>
      </c>
      <c r="B56" s="36">
        <f>SUM(B57:B61)</f>
        <v>9501</v>
      </c>
      <c r="C56" s="37">
        <f t="shared" ref="C56:N56" si="17">SUM(C57:C61)</f>
        <v>6876</v>
      </c>
      <c r="D56" s="38">
        <f t="shared" si="17"/>
        <v>1659.971</v>
      </c>
      <c r="E56" s="37">
        <f t="shared" si="17"/>
        <v>51</v>
      </c>
      <c r="F56" s="38">
        <f t="shared" si="17"/>
        <v>17.399999999999999</v>
      </c>
      <c r="G56" s="37">
        <f t="shared" si="17"/>
        <v>273</v>
      </c>
      <c r="H56" s="38">
        <f t="shared" si="17"/>
        <v>65</v>
      </c>
      <c r="I56" s="37">
        <f t="shared" si="17"/>
        <v>897</v>
      </c>
      <c r="J56" s="38">
        <f t="shared" si="17"/>
        <v>213.3</v>
      </c>
      <c r="K56" s="37">
        <f t="shared" si="17"/>
        <v>0</v>
      </c>
      <c r="L56" s="38">
        <f t="shared" si="17"/>
        <v>0</v>
      </c>
      <c r="M56" s="37">
        <f t="shared" si="17"/>
        <v>1404</v>
      </c>
      <c r="N56" s="39">
        <f t="shared" si="17"/>
        <v>349.15000000000003</v>
      </c>
      <c r="O56" s="48" t="s">
        <v>61</v>
      </c>
      <c r="P56" s="48"/>
      <c r="Q56" s="48"/>
      <c r="R56" s="19"/>
    </row>
    <row r="57" spans="1:19">
      <c r="A57" s="26" t="s">
        <v>151</v>
      </c>
      <c r="B57" s="27">
        <f t="shared" ref="B57:B61" si="18">SUM(C57,E57,G57,I57,K57,M57)</f>
        <v>2751</v>
      </c>
      <c r="C57" s="28">
        <v>1829</v>
      </c>
      <c r="D57" s="29">
        <v>449.52100000000002</v>
      </c>
      <c r="E57" s="28">
        <v>45</v>
      </c>
      <c r="F57" s="29">
        <v>15</v>
      </c>
      <c r="G57" s="28">
        <v>150</v>
      </c>
      <c r="H57" s="29">
        <v>36.1</v>
      </c>
      <c r="I57" s="28">
        <v>60</v>
      </c>
      <c r="J57" s="29">
        <v>30</v>
      </c>
      <c r="K57" s="30" t="s">
        <v>104</v>
      </c>
      <c r="L57" s="29" t="s">
        <v>104</v>
      </c>
      <c r="M57" s="28">
        <v>667</v>
      </c>
      <c r="N57" s="31">
        <v>146</v>
      </c>
      <c r="O57" s="32" t="s">
        <v>62</v>
      </c>
      <c r="P57" s="33"/>
      <c r="Q57" s="19"/>
      <c r="R57" s="19"/>
    </row>
    <row r="58" spans="1:19">
      <c r="A58" s="26" t="s">
        <v>152</v>
      </c>
      <c r="B58" s="27">
        <f t="shared" si="18"/>
        <v>400</v>
      </c>
      <c r="C58" s="28">
        <v>380</v>
      </c>
      <c r="D58" s="29">
        <v>64.5</v>
      </c>
      <c r="E58" s="30" t="s">
        <v>104</v>
      </c>
      <c r="F58" s="29" t="s">
        <v>104</v>
      </c>
      <c r="G58" s="30" t="s">
        <v>104</v>
      </c>
      <c r="H58" s="29" t="s">
        <v>104</v>
      </c>
      <c r="I58" s="30" t="s">
        <v>104</v>
      </c>
      <c r="J58" s="29" t="s">
        <v>104</v>
      </c>
      <c r="K58" s="30" t="s">
        <v>104</v>
      </c>
      <c r="L58" s="29" t="s">
        <v>104</v>
      </c>
      <c r="M58" s="28">
        <v>20</v>
      </c>
      <c r="N58" s="31">
        <v>3</v>
      </c>
      <c r="O58" s="32" t="s">
        <v>63</v>
      </c>
      <c r="P58" s="33"/>
      <c r="Q58" s="19"/>
      <c r="R58" s="19"/>
    </row>
    <row r="59" spans="1:19">
      <c r="A59" s="26" t="s">
        <v>153</v>
      </c>
      <c r="B59" s="27">
        <f t="shared" si="18"/>
        <v>3505</v>
      </c>
      <c r="C59" s="28">
        <v>1974</v>
      </c>
      <c r="D59" s="29">
        <v>513.35</v>
      </c>
      <c r="E59" s="28">
        <v>6</v>
      </c>
      <c r="F59" s="29">
        <v>2.4</v>
      </c>
      <c r="G59" s="30" t="s">
        <v>104</v>
      </c>
      <c r="H59" s="29" t="s">
        <v>104</v>
      </c>
      <c r="I59" s="28">
        <v>837</v>
      </c>
      <c r="J59" s="29">
        <v>183.3</v>
      </c>
      <c r="K59" s="30" t="s">
        <v>104</v>
      </c>
      <c r="L59" s="29" t="s">
        <v>104</v>
      </c>
      <c r="M59" s="28">
        <v>688</v>
      </c>
      <c r="N59" s="31">
        <v>188.55</v>
      </c>
      <c r="O59" s="32" t="s">
        <v>64</v>
      </c>
      <c r="P59" s="33"/>
      <c r="Q59" s="19"/>
      <c r="R59" s="19"/>
    </row>
    <row r="60" spans="1:19">
      <c r="A60" s="26" t="s">
        <v>154</v>
      </c>
      <c r="B60" s="27">
        <f t="shared" si="18"/>
        <v>1088</v>
      </c>
      <c r="C60" s="28">
        <v>948</v>
      </c>
      <c r="D60" s="29">
        <v>299.35000000000002</v>
      </c>
      <c r="E60" s="30" t="s">
        <v>104</v>
      </c>
      <c r="F60" s="29" t="s">
        <v>104</v>
      </c>
      <c r="G60" s="28">
        <v>121</v>
      </c>
      <c r="H60" s="29">
        <v>28.7</v>
      </c>
      <c r="I60" s="30" t="s">
        <v>104</v>
      </c>
      <c r="J60" s="29" t="s">
        <v>104</v>
      </c>
      <c r="K60" s="30" t="s">
        <v>104</v>
      </c>
      <c r="L60" s="29" t="s">
        <v>104</v>
      </c>
      <c r="M60" s="28">
        <v>19</v>
      </c>
      <c r="N60" s="31">
        <v>6.6</v>
      </c>
      <c r="O60" s="32" t="s">
        <v>65</v>
      </c>
      <c r="P60" s="33"/>
      <c r="Q60" s="19"/>
      <c r="R60" s="19"/>
    </row>
    <row r="61" spans="1:19">
      <c r="A61" s="26" t="s">
        <v>155</v>
      </c>
      <c r="B61" s="27">
        <f t="shared" si="18"/>
        <v>1757</v>
      </c>
      <c r="C61" s="28">
        <v>1745</v>
      </c>
      <c r="D61" s="29">
        <v>333.25</v>
      </c>
      <c r="E61" s="30" t="s">
        <v>104</v>
      </c>
      <c r="F61" s="29" t="s">
        <v>104</v>
      </c>
      <c r="G61" s="28">
        <v>2</v>
      </c>
      <c r="H61" s="29">
        <v>0.2</v>
      </c>
      <c r="I61" s="30" t="s">
        <v>104</v>
      </c>
      <c r="J61" s="29" t="s">
        <v>104</v>
      </c>
      <c r="K61" s="30" t="s">
        <v>104</v>
      </c>
      <c r="L61" s="29" t="s">
        <v>104</v>
      </c>
      <c r="M61" s="28">
        <v>10</v>
      </c>
      <c r="N61" s="31">
        <v>5</v>
      </c>
      <c r="O61" s="32" t="s">
        <v>66</v>
      </c>
      <c r="P61" s="33"/>
      <c r="Q61" s="19"/>
      <c r="R61" s="19"/>
    </row>
    <row r="62" spans="1:19" ht="19.899999999999999" customHeight="1">
      <c r="A62" s="20" t="s">
        <v>67</v>
      </c>
      <c r="B62" s="36">
        <f>SUM(B67:B70)</f>
        <v>1271</v>
      </c>
      <c r="C62" s="37">
        <f t="shared" ref="C62:N62" si="19">SUM(C67:C70)</f>
        <v>992</v>
      </c>
      <c r="D62" s="38">
        <f t="shared" si="19"/>
        <v>126.60000000000001</v>
      </c>
      <c r="E62" s="37">
        <f t="shared" si="19"/>
        <v>0</v>
      </c>
      <c r="F62" s="38">
        <f t="shared" si="19"/>
        <v>0</v>
      </c>
      <c r="G62" s="37">
        <f t="shared" si="19"/>
        <v>23</v>
      </c>
      <c r="H62" s="38">
        <f t="shared" si="19"/>
        <v>6.9</v>
      </c>
      <c r="I62" s="37">
        <f t="shared" si="19"/>
        <v>104</v>
      </c>
      <c r="J62" s="38">
        <f t="shared" si="19"/>
        <v>12.06</v>
      </c>
      <c r="K62" s="37">
        <f t="shared" si="19"/>
        <v>0</v>
      </c>
      <c r="L62" s="38">
        <f t="shared" si="19"/>
        <v>0</v>
      </c>
      <c r="M62" s="37">
        <f t="shared" si="19"/>
        <v>152</v>
      </c>
      <c r="N62" s="39">
        <f t="shared" si="19"/>
        <v>27.48</v>
      </c>
      <c r="O62" s="45" t="s">
        <v>68</v>
      </c>
      <c r="P62" s="45"/>
      <c r="Q62" s="45"/>
      <c r="R62" s="19"/>
    </row>
    <row r="63" spans="1:19">
      <c r="A63" s="49" t="s">
        <v>156</v>
      </c>
      <c r="B63" s="27">
        <f t="shared" ref="B63:B66" si="20">SUM(C63,E63,G63,I63,K63,M63)</f>
        <v>0</v>
      </c>
      <c r="C63" s="28" t="s">
        <v>104</v>
      </c>
      <c r="D63" s="29" t="s">
        <v>104</v>
      </c>
      <c r="E63" s="30" t="s">
        <v>104</v>
      </c>
      <c r="F63" s="29" t="s">
        <v>104</v>
      </c>
      <c r="G63" s="28" t="s">
        <v>104</v>
      </c>
      <c r="H63" s="29" t="s">
        <v>104</v>
      </c>
      <c r="I63" s="30" t="s">
        <v>104</v>
      </c>
      <c r="J63" s="29" t="s">
        <v>104</v>
      </c>
      <c r="K63" s="30" t="s">
        <v>104</v>
      </c>
      <c r="L63" s="29" t="s">
        <v>104</v>
      </c>
      <c r="M63" s="28" t="s">
        <v>104</v>
      </c>
      <c r="N63" s="31" t="s">
        <v>104</v>
      </c>
      <c r="O63" s="46" t="s">
        <v>189</v>
      </c>
      <c r="P63" s="71"/>
      <c r="Q63" s="71"/>
      <c r="R63" s="71"/>
      <c r="S63" s="71"/>
    </row>
    <row r="64" spans="1:19">
      <c r="A64" s="50" t="s">
        <v>157</v>
      </c>
      <c r="B64" s="27">
        <f t="shared" si="20"/>
        <v>0</v>
      </c>
      <c r="C64" s="28" t="s">
        <v>104</v>
      </c>
      <c r="D64" s="29" t="s">
        <v>104</v>
      </c>
      <c r="E64" s="30" t="s">
        <v>104</v>
      </c>
      <c r="F64" s="29" t="s">
        <v>104</v>
      </c>
      <c r="G64" s="28" t="s">
        <v>104</v>
      </c>
      <c r="H64" s="29" t="s">
        <v>104</v>
      </c>
      <c r="I64" s="30" t="s">
        <v>104</v>
      </c>
      <c r="J64" s="29" t="s">
        <v>104</v>
      </c>
      <c r="K64" s="30" t="s">
        <v>104</v>
      </c>
      <c r="L64" s="29" t="s">
        <v>104</v>
      </c>
      <c r="M64" s="28" t="s">
        <v>104</v>
      </c>
      <c r="N64" s="31" t="s">
        <v>104</v>
      </c>
      <c r="O64" s="46" t="s">
        <v>188</v>
      </c>
      <c r="P64" s="71"/>
      <c r="Q64" s="71"/>
      <c r="R64" s="71"/>
      <c r="S64" s="71"/>
    </row>
    <row r="65" spans="1:19">
      <c r="A65" s="49" t="s">
        <v>158</v>
      </c>
      <c r="B65" s="27">
        <f t="shared" si="20"/>
        <v>0</v>
      </c>
      <c r="C65" s="28" t="s">
        <v>104</v>
      </c>
      <c r="D65" s="29" t="s">
        <v>104</v>
      </c>
      <c r="E65" s="30" t="s">
        <v>104</v>
      </c>
      <c r="F65" s="29" t="s">
        <v>104</v>
      </c>
      <c r="G65" s="28" t="s">
        <v>104</v>
      </c>
      <c r="H65" s="29" t="s">
        <v>104</v>
      </c>
      <c r="I65" s="30" t="s">
        <v>104</v>
      </c>
      <c r="J65" s="29" t="s">
        <v>104</v>
      </c>
      <c r="K65" s="30" t="s">
        <v>104</v>
      </c>
      <c r="L65" s="29" t="s">
        <v>104</v>
      </c>
      <c r="M65" s="28" t="s">
        <v>104</v>
      </c>
      <c r="N65" s="31" t="s">
        <v>104</v>
      </c>
      <c r="O65" s="46" t="s">
        <v>187</v>
      </c>
      <c r="P65" s="71"/>
      <c r="Q65" s="71"/>
      <c r="R65" s="71"/>
      <c r="S65" s="71"/>
    </row>
    <row r="66" spans="1:19">
      <c r="A66" s="49" t="s">
        <v>159</v>
      </c>
      <c r="B66" s="27">
        <f t="shared" si="20"/>
        <v>0</v>
      </c>
      <c r="C66" s="28" t="s">
        <v>104</v>
      </c>
      <c r="D66" s="29" t="s">
        <v>104</v>
      </c>
      <c r="E66" s="30" t="s">
        <v>104</v>
      </c>
      <c r="F66" s="29" t="s">
        <v>104</v>
      </c>
      <c r="G66" s="28" t="s">
        <v>104</v>
      </c>
      <c r="H66" s="29" t="s">
        <v>104</v>
      </c>
      <c r="I66" s="30" t="s">
        <v>104</v>
      </c>
      <c r="J66" s="29" t="s">
        <v>104</v>
      </c>
      <c r="K66" s="30" t="s">
        <v>104</v>
      </c>
      <c r="L66" s="29" t="s">
        <v>104</v>
      </c>
      <c r="M66" s="28" t="s">
        <v>104</v>
      </c>
      <c r="N66" s="31" t="s">
        <v>104</v>
      </c>
      <c r="O66" s="46" t="s">
        <v>186</v>
      </c>
      <c r="P66" s="71"/>
      <c r="Q66" s="71"/>
      <c r="R66" s="71"/>
      <c r="S66" s="71"/>
    </row>
    <row r="67" spans="1:19">
      <c r="A67" s="51" t="s">
        <v>160</v>
      </c>
      <c r="B67" s="27">
        <f>SUM(C67,E67,G67,I67,K67,M67)</f>
        <v>631</v>
      </c>
      <c r="C67" s="28">
        <v>486</v>
      </c>
      <c r="D67" s="29">
        <v>69.900000000000006</v>
      </c>
      <c r="E67" s="30" t="s">
        <v>104</v>
      </c>
      <c r="F67" s="29" t="s">
        <v>104</v>
      </c>
      <c r="G67" s="30" t="s">
        <v>104</v>
      </c>
      <c r="H67" s="29" t="s">
        <v>104</v>
      </c>
      <c r="I67" s="30" t="s">
        <v>104</v>
      </c>
      <c r="J67" s="29" t="s">
        <v>104</v>
      </c>
      <c r="K67" s="30" t="s">
        <v>104</v>
      </c>
      <c r="L67" s="29" t="s">
        <v>104</v>
      </c>
      <c r="M67" s="28">
        <v>145</v>
      </c>
      <c r="N67" s="31">
        <v>26.43</v>
      </c>
      <c r="O67" s="46" t="s">
        <v>69</v>
      </c>
      <c r="P67" s="71"/>
      <c r="Q67" s="71"/>
      <c r="R67" s="71"/>
      <c r="S67" s="71"/>
    </row>
    <row r="68" spans="1:19">
      <c r="A68" s="51" t="s">
        <v>161</v>
      </c>
      <c r="B68" s="27">
        <f t="shared" ref="B68:B70" si="21">SUM(C68,E68,G68,I68,K68,M68)</f>
        <v>631</v>
      </c>
      <c r="C68" s="28">
        <v>497</v>
      </c>
      <c r="D68" s="29">
        <v>54</v>
      </c>
      <c r="E68" s="30" t="s">
        <v>104</v>
      </c>
      <c r="F68" s="29" t="s">
        <v>104</v>
      </c>
      <c r="G68" s="28">
        <v>23</v>
      </c>
      <c r="H68" s="29">
        <v>6.9</v>
      </c>
      <c r="I68" s="28">
        <v>104</v>
      </c>
      <c r="J68" s="29">
        <v>12.06</v>
      </c>
      <c r="K68" s="30" t="s">
        <v>104</v>
      </c>
      <c r="L68" s="29" t="s">
        <v>104</v>
      </c>
      <c r="M68" s="28">
        <v>7</v>
      </c>
      <c r="N68" s="31">
        <v>1.05</v>
      </c>
      <c r="O68" s="46" t="s">
        <v>70</v>
      </c>
      <c r="P68" s="47"/>
      <c r="Q68" s="47"/>
      <c r="R68" s="47"/>
    </row>
    <row r="69" spans="1:19">
      <c r="A69" s="51" t="s">
        <v>162</v>
      </c>
      <c r="B69" s="27">
        <f t="shared" si="21"/>
        <v>0</v>
      </c>
      <c r="C69" s="28" t="s">
        <v>104</v>
      </c>
      <c r="D69" s="29" t="s">
        <v>104</v>
      </c>
      <c r="E69" s="30" t="s">
        <v>104</v>
      </c>
      <c r="F69" s="29" t="s">
        <v>104</v>
      </c>
      <c r="G69" s="28" t="s">
        <v>104</v>
      </c>
      <c r="H69" s="29" t="s">
        <v>104</v>
      </c>
      <c r="I69" s="28" t="s">
        <v>104</v>
      </c>
      <c r="J69" s="29" t="s">
        <v>104</v>
      </c>
      <c r="K69" s="30" t="s">
        <v>104</v>
      </c>
      <c r="L69" s="29" t="s">
        <v>104</v>
      </c>
      <c r="M69" s="28" t="s">
        <v>104</v>
      </c>
      <c r="N69" s="31" t="s">
        <v>104</v>
      </c>
      <c r="O69" s="46" t="s">
        <v>71</v>
      </c>
      <c r="P69" s="47"/>
      <c r="Q69" s="47"/>
      <c r="R69" s="47"/>
    </row>
    <row r="70" spans="1:19">
      <c r="A70" s="51" t="s">
        <v>163</v>
      </c>
      <c r="B70" s="27">
        <f t="shared" si="21"/>
        <v>9</v>
      </c>
      <c r="C70" s="28">
        <v>9</v>
      </c>
      <c r="D70" s="29">
        <v>2.7</v>
      </c>
      <c r="E70" s="30" t="s">
        <v>104</v>
      </c>
      <c r="F70" s="29" t="s">
        <v>104</v>
      </c>
      <c r="G70" s="30" t="s">
        <v>104</v>
      </c>
      <c r="H70" s="29" t="s">
        <v>104</v>
      </c>
      <c r="I70" s="30" t="s">
        <v>104</v>
      </c>
      <c r="J70" s="29" t="s">
        <v>104</v>
      </c>
      <c r="K70" s="30" t="s">
        <v>104</v>
      </c>
      <c r="L70" s="29" t="s">
        <v>104</v>
      </c>
      <c r="M70" s="28" t="s">
        <v>104</v>
      </c>
      <c r="N70" s="31" t="s">
        <v>104</v>
      </c>
      <c r="O70" s="46" t="s">
        <v>72</v>
      </c>
      <c r="P70" s="47"/>
      <c r="Q70" s="47"/>
      <c r="R70" s="47"/>
    </row>
    <row r="71" spans="1:19" ht="19.25" customHeight="1">
      <c r="A71" s="20" t="s">
        <v>73</v>
      </c>
      <c r="B71" s="36">
        <f>SUM(B72:B76)</f>
        <v>2043</v>
      </c>
      <c r="C71" s="37">
        <f t="shared" ref="C71:N71" si="22">SUM(C72:C76)</f>
        <v>954</v>
      </c>
      <c r="D71" s="38">
        <f t="shared" si="22"/>
        <v>185.32</v>
      </c>
      <c r="E71" s="37">
        <f t="shared" si="22"/>
        <v>0</v>
      </c>
      <c r="F71" s="38">
        <f t="shared" si="22"/>
        <v>0</v>
      </c>
      <c r="G71" s="37">
        <f t="shared" si="22"/>
        <v>0</v>
      </c>
      <c r="H71" s="38">
        <f t="shared" si="22"/>
        <v>0</v>
      </c>
      <c r="I71" s="37">
        <f t="shared" si="22"/>
        <v>0</v>
      </c>
      <c r="J71" s="38">
        <f t="shared" si="22"/>
        <v>0</v>
      </c>
      <c r="K71" s="37">
        <f t="shared" si="22"/>
        <v>80</v>
      </c>
      <c r="L71" s="38">
        <f t="shared" si="22"/>
        <v>4</v>
      </c>
      <c r="M71" s="37">
        <f t="shared" si="22"/>
        <v>1009</v>
      </c>
      <c r="N71" s="39">
        <f t="shared" si="22"/>
        <v>236.08999999999997</v>
      </c>
      <c r="O71" s="48" t="s">
        <v>74</v>
      </c>
      <c r="P71" s="48"/>
      <c r="Q71" s="48"/>
      <c r="R71" s="19"/>
    </row>
    <row r="72" spans="1:19">
      <c r="A72" s="26" t="s">
        <v>164</v>
      </c>
      <c r="B72" s="27">
        <f t="shared" ref="B72:B76" si="23">SUM(C72,E72,G72,I72,K72,M72)</f>
        <v>714</v>
      </c>
      <c r="C72" s="52">
        <v>448</v>
      </c>
      <c r="D72" s="53">
        <v>73.97</v>
      </c>
      <c r="E72" s="54" t="s">
        <v>104</v>
      </c>
      <c r="F72" s="53" t="s">
        <v>104</v>
      </c>
      <c r="G72" s="54" t="s">
        <v>104</v>
      </c>
      <c r="H72" s="53" t="s">
        <v>104</v>
      </c>
      <c r="I72" s="54" t="s">
        <v>104</v>
      </c>
      <c r="J72" s="53" t="s">
        <v>104</v>
      </c>
      <c r="K72" s="52">
        <v>80</v>
      </c>
      <c r="L72" s="53">
        <v>4</v>
      </c>
      <c r="M72" s="52">
        <v>186</v>
      </c>
      <c r="N72" s="55">
        <v>36.19</v>
      </c>
      <c r="O72" s="32" t="s">
        <v>75</v>
      </c>
      <c r="P72" s="33"/>
      <c r="Q72" s="19"/>
      <c r="R72" s="19"/>
    </row>
    <row r="73" spans="1:19">
      <c r="A73" s="26" t="s">
        <v>165</v>
      </c>
      <c r="B73" s="27">
        <f t="shared" si="23"/>
        <v>0</v>
      </c>
      <c r="C73" s="52" t="s">
        <v>104</v>
      </c>
      <c r="D73" s="53" t="s">
        <v>104</v>
      </c>
      <c r="E73" s="54" t="s">
        <v>104</v>
      </c>
      <c r="F73" s="53" t="s">
        <v>104</v>
      </c>
      <c r="G73" s="54" t="s">
        <v>104</v>
      </c>
      <c r="H73" s="53" t="s">
        <v>104</v>
      </c>
      <c r="I73" s="54" t="s">
        <v>104</v>
      </c>
      <c r="J73" s="53" t="s">
        <v>104</v>
      </c>
      <c r="K73" s="52" t="s">
        <v>104</v>
      </c>
      <c r="L73" s="53" t="s">
        <v>104</v>
      </c>
      <c r="M73" s="52" t="s">
        <v>104</v>
      </c>
      <c r="N73" s="55" t="s">
        <v>104</v>
      </c>
      <c r="O73" s="32" t="s">
        <v>76</v>
      </c>
      <c r="P73" s="33"/>
      <c r="Q73" s="19"/>
      <c r="R73" s="19"/>
    </row>
    <row r="74" spans="1:19">
      <c r="A74" s="26" t="s">
        <v>166</v>
      </c>
      <c r="B74" s="27">
        <f t="shared" si="23"/>
        <v>600</v>
      </c>
      <c r="C74" s="52">
        <v>10</v>
      </c>
      <c r="D74" s="53">
        <v>3</v>
      </c>
      <c r="E74" s="54" t="s">
        <v>104</v>
      </c>
      <c r="F74" s="53" t="s">
        <v>104</v>
      </c>
      <c r="G74" s="54" t="s">
        <v>104</v>
      </c>
      <c r="H74" s="53" t="s">
        <v>104</v>
      </c>
      <c r="I74" s="54" t="s">
        <v>104</v>
      </c>
      <c r="J74" s="53" t="s">
        <v>104</v>
      </c>
      <c r="K74" s="54" t="s">
        <v>104</v>
      </c>
      <c r="L74" s="53" t="s">
        <v>104</v>
      </c>
      <c r="M74" s="52">
        <v>590</v>
      </c>
      <c r="N74" s="55">
        <v>167.7</v>
      </c>
      <c r="O74" s="32" t="s">
        <v>77</v>
      </c>
      <c r="P74" s="33"/>
      <c r="Q74" s="19"/>
      <c r="R74" s="19"/>
    </row>
    <row r="75" spans="1:19">
      <c r="A75" s="26" t="s">
        <v>167</v>
      </c>
      <c r="B75" s="27">
        <f t="shared" si="23"/>
        <v>27</v>
      </c>
      <c r="C75" s="52">
        <v>3</v>
      </c>
      <c r="D75" s="53">
        <v>0.6</v>
      </c>
      <c r="E75" s="54" t="s">
        <v>104</v>
      </c>
      <c r="F75" s="53" t="s">
        <v>104</v>
      </c>
      <c r="G75" s="54" t="s">
        <v>104</v>
      </c>
      <c r="H75" s="53" t="s">
        <v>104</v>
      </c>
      <c r="I75" s="54" t="s">
        <v>104</v>
      </c>
      <c r="J75" s="53" t="s">
        <v>104</v>
      </c>
      <c r="K75" s="54" t="s">
        <v>104</v>
      </c>
      <c r="L75" s="53" t="s">
        <v>104</v>
      </c>
      <c r="M75" s="52">
        <v>24</v>
      </c>
      <c r="N75" s="55">
        <v>3.6</v>
      </c>
      <c r="O75" s="32" t="s">
        <v>78</v>
      </c>
      <c r="P75" s="33"/>
      <c r="Q75" s="19"/>
      <c r="R75" s="19"/>
    </row>
    <row r="76" spans="1:19">
      <c r="A76" s="26" t="s">
        <v>168</v>
      </c>
      <c r="B76" s="27">
        <f t="shared" si="23"/>
        <v>702</v>
      </c>
      <c r="C76" s="52">
        <v>493</v>
      </c>
      <c r="D76" s="53">
        <v>107.75</v>
      </c>
      <c r="E76" s="54" t="s">
        <v>104</v>
      </c>
      <c r="F76" s="53" t="s">
        <v>104</v>
      </c>
      <c r="G76" s="54" t="s">
        <v>104</v>
      </c>
      <c r="H76" s="53" t="s">
        <v>104</v>
      </c>
      <c r="I76" s="54" t="s">
        <v>104</v>
      </c>
      <c r="J76" s="53" t="s">
        <v>104</v>
      </c>
      <c r="K76" s="54" t="s">
        <v>104</v>
      </c>
      <c r="L76" s="53" t="s">
        <v>104</v>
      </c>
      <c r="M76" s="52">
        <v>209</v>
      </c>
      <c r="N76" s="55">
        <v>28.6</v>
      </c>
      <c r="O76" s="32" t="s">
        <v>79</v>
      </c>
      <c r="P76" s="33"/>
      <c r="Q76" s="19"/>
      <c r="R76" s="19"/>
    </row>
    <row r="77" spans="1:19" ht="17.399999999999999" customHeight="1">
      <c r="A77" s="20" t="s">
        <v>80</v>
      </c>
      <c r="B77" s="36">
        <f>SUM(B78:B90)</f>
        <v>1193</v>
      </c>
      <c r="C77" s="37">
        <f t="shared" ref="C77:N77" si="24">SUM(C78:C90)</f>
        <v>797</v>
      </c>
      <c r="D77" s="38">
        <f t="shared" si="24"/>
        <v>94.483000000000004</v>
      </c>
      <c r="E77" s="37">
        <f t="shared" si="24"/>
        <v>0</v>
      </c>
      <c r="F77" s="38">
        <f t="shared" si="24"/>
        <v>0</v>
      </c>
      <c r="G77" s="37">
        <f t="shared" si="24"/>
        <v>2</v>
      </c>
      <c r="H77" s="38">
        <f t="shared" si="24"/>
        <v>0.14000000000000001</v>
      </c>
      <c r="I77" s="37">
        <f t="shared" si="24"/>
        <v>114</v>
      </c>
      <c r="J77" s="38">
        <f t="shared" si="24"/>
        <v>11.9</v>
      </c>
      <c r="K77" s="37">
        <f t="shared" si="24"/>
        <v>44</v>
      </c>
      <c r="L77" s="38">
        <f t="shared" si="24"/>
        <v>5.3</v>
      </c>
      <c r="M77" s="37">
        <f t="shared" si="24"/>
        <v>236</v>
      </c>
      <c r="N77" s="39">
        <f t="shared" si="24"/>
        <v>59.46</v>
      </c>
      <c r="O77" s="40" t="s">
        <v>81</v>
      </c>
      <c r="P77" s="40"/>
      <c r="Q77" s="40"/>
      <c r="R77" s="19"/>
    </row>
    <row r="78" spans="1:19">
      <c r="A78" s="26" t="s">
        <v>169</v>
      </c>
      <c r="B78" s="27">
        <f t="shared" ref="B78:B90" si="25">SUM(C78,E78,G78,I78,K78,M78)</f>
        <v>0</v>
      </c>
      <c r="C78" s="52" t="s">
        <v>104</v>
      </c>
      <c r="D78" s="53" t="s">
        <v>104</v>
      </c>
      <c r="E78" s="54" t="s">
        <v>104</v>
      </c>
      <c r="F78" s="53" t="s">
        <v>104</v>
      </c>
      <c r="G78" s="54" t="s">
        <v>104</v>
      </c>
      <c r="H78" s="53" t="s">
        <v>104</v>
      </c>
      <c r="I78" s="54" t="s">
        <v>104</v>
      </c>
      <c r="J78" s="53" t="s">
        <v>104</v>
      </c>
      <c r="K78" s="54" t="s">
        <v>104</v>
      </c>
      <c r="L78" s="53" t="s">
        <v>104</v>
      </c>
      <c r="M78" s="52" t="s">
        <v>104</v>
      </c>
      <c r="N78" s="55" t="s">
        <v>104</v>
      </c>
      <c r="O78" s="32" t="s">
        <v>82</v>
      </c>
      <c r="P78" s="33"/>
      <c r="Q78" s="19"/>
      <c r="R78" s="19"/>
    </row>
    <row r="79" spans="1:19">
      <c r="A79" s="26" t="s">
        <v>170</v>
      </c>
      <c r="B79" s="27">
        <f t="shared" si="25"/>
        <v>2</v>
      </c>
      <c r="C79" s="54" t="s">
        <v>104</v>
      </c>
      <c r="D79" s="53" t="s">
        <v>104</v>
      </c>
      <c r="E79" s="54" t="s">
        <v>104</v>
      </c>
      <c r="F79" s="53" t="s">
        <v>104</v>
      </c>
      <c r="G79" s="54" t="s">
        <v>104</v>
      </c>
      <c r="H79" s="53" t="s">
        <v>104</v>
      </c>
      <c r="I79" s="54" t="s">
        <v>104</v>
      </c>
      <c r="J79" s="53" t="s">
        <v>104</v>
      </c>
      <c r="K79" s="54" t="s">
        <v>104</v>
      </c>
      <c r="L79" s="53" t="s">
        <v>104</v>
      </c>
      <c r="M79" s="52">
        <v>2</v>
      </c>
      <c r="N79" s="55">
        <v>0.3</v>
      </c>
      <c r="O79" s="32" t="s">
        <v>83</v>
      </c>
      <c r="P79" s="33"/>
      <c r="Q79" s="19"/>
      <c r="R79" s="19"/>
    </row>
    <row r="80" spans="1:19">
      <c r="A80" s="26" t="s">
        <v>171</v>
      </c>
      <c r="B80" s="27">
        <f t="shared" si="25"/>
        <v>61</v>
      </c>
      <c r="C80" s="52">
        <v>57</v>
      </c>
      <c r="D80" s="53">
        <v>3.14</v>
      </c>
      <c r="E80" s="54" t="s">
        <v>104</v>
      </c>
      <c r="F80" s="53" t="s">
        <v>104</v>
      </c>
      <c r="G80" s="54" t="s">
        <v>104</v>
      </c>
      <c r="H80" s="53" t="s">
        <v>104</v>
      </c>
      <c r="I80" s="54" t="s">
        <v>104</v>
      </c>
      <c r="J80" s="53" t="s">
        <v>104</v>
      </c>
      <c r="K80" s="52">
        <v>4</v>
      </c>
      <c r="L80" s="53">
        <v>0.5</v>
      </c>
      <c r="M80" s="52" t="s">
        <v>104</v>
      </c>
      <c r="N80" s="55" t="s">
        <v>104</v>
      </c>
      <c r="O80" s="32" t="s">
        <v>84</v>
      </c>
      <c r="P80" s="33"/>
      <c r="Q80" s="19"/>
      <c r="R80" s="19"/>
    </row>
    <row r="81" spans="1:18">
      <c r="A81" s="26" t="s">
        <v>172</v>
      </c>
      <c r="B81" s="27">
        <f t="shared" si="25"/>
        <v>50</v>
      </c>
      <c r="C81" s="54" t="s">
        <v>104</v>
      </c>
      <c r="D81" s="53" t="s">
        <v>104</v>
      </c>
      <c r="E81" s="54" t="s">
        <v>104</v>
      </c>
      <c r="F81" s="53" t="s">
        <v>104</v>
      </c>
      <c r="G81" s="54" t="s">
        <v>104</v>
      </c>
      <c r="H81" s="53" t="s">
        <v>104</v>
      </c>
      <c r="I81" s="52">
        <v>50</v>
      </c>
      <c r="J81" s="53">
        <v>5</v>
      </c>
      <c r="K81" s="54" t="s">
        <v>104</v>
      </c>
      <c r="L81" s="53" t="s">
        <v>104</v>
      </c>
      <c r="M81" s="52" t="s">
        <v>104</v>
      </c>
      <c r="N81" s="55" t="s">
        <v>104</v>
      </c>
      <c r="O81" s="32" t="s">
        <v>85</v>
      </c>
      <c r="P81" s="33"/>
      <c r="Q81" s="19"/>
      <c r="R81" s="19"/>
    </row>
    <row r="82" spans="1:18">
      <c r="A82" s="26" t="s">
        <v>173</v>
      </c>
      <c r="B82" s="27">
        <f t="shared" si="25"/>
        <v>62</v>
      </c>
      <c r="C82" s="52">
        <v>34</v>
      </c>
      <c r="D82" s="53">
        <v>3.2229999999999999</v>
      </c>
      <c r="E82" s="54" t="s">
        <v>104</v>
      </c>
      <c r="F82" s="53" t="s">
        <v>104</v>
      </c>
      <c r="G82" s="52">
        <v>2</v>
      </c>
      <c r="H82" s="53">
        <v>0.14000000000000001</v>
      </c>
      <c r="I82" s="52">
        <v>14</v>
      </c>
      <c r="J82" s="53">
        <v>1.1000000000000001</v>
      </c>
      <c r="K82" s="54" t="s">
        <v>104</v>
      </c>
      <c r="L82" s="53" t="s">
        <v>104</v>
      </c>
      <c r="M82" s="52">
        <v>12</v>
      </c>
      <c r="N82" s="55">
        <v>2.5099999999999998</v>
      </c>
      <c r="O82" s="32" t="s">
        <v>86</v>
      </c>
      <c r="P82" s="33"/>
      <c r="Q82" s="19"/>
      <c r="R82" s="19"/>
    </row>
    <row r="83" spans="1:18">
      <c r="A83" s="26" t="s">
        <v>174</v>
      </c>
      <c r="B83" s="27">
        <f t="shared" si="25"/>
        <v>0</v>
      </c>
      <c r="C83" s="52" t="s">
        <v>104</v>
      </c>
      <c r="D83" s="53" t="s">
        <v>104</v>
      </c>
      <c r="E83" s="54" t="s">
        <v>104</v>
      </c>
      <c r="F83" s="53" t="s">
        <v>104</v>
      </c>
      <c r="G83" s="52" t="s">
        <v>104</v>
      </c>
      <c r="H83" s="53" t="s">
        <v>104</v>
      </c>
      <c r="I83" s="52" t="s">
        <v>104</v>
      </c>
      <c r="J83" s="53" t="s">
        <v>104</v>
      </c>
      <c r="K83" s="54" t="s">
        <v>104</v>
      </c>
      <c r="L83" s="53" t="s">
        <v>104</v>
      </c>
      <c r="M83" s="52" t="s">
        <v>104</v>
      </c>
      <c r="N83" s="55" t="s">
        <v>104</v>
      </c>
      <c r="O83" s="32" t="s">
        <v>87</v>
      </c>
      <c r="P83" s="33"/>
      <c r="Q83" s="19"/>
      <c r="R83" s="19"/>
    </row>
    <row r="84" spans="1:18">
      <c r="A84" s="26" t="s">
        <v>175</v>
      </c>
      <c r="B84" s="27">
        <f t="shared" si="25"/>
        <v>155</v>
      </c>
      <c r="C84" s="52">
        <v>130</v>
      </c>
      <c r="D84" s="53">
        <v>19.8</v>
      </c>
      <c r="E84" s="54" t="s">
        <v>104</v>
      </c>
      <c r="F84" s="53" t="s">
        <v>104</v>
      </c>
      <c r="G84" s="54" t="s">
        <v>104</v>
      </c>
      <c r="H84" s="53" t="s">
        <v>104</v>
      </c>
      <c r="I84" s="54" t="s">
        <v>104</v>
      </c>
      <c r="J84" s="53" t="s">
        <v>104</v>
      </c>
      <c r="K84" s="54" t="s">
        <v>104</v>
      </c>
      <c r="L84" s="53" t="s">
        <v>104</v>
      </c>
      <c r="M84" s="52">
        <v>25</v>
      </c>
      <c r="N84" s="55">
        <v>10.5</v>
      </c>
      <c r="O84" s="32" t="s">
        <v>88</v>
      </c>
      <c r="P84" s="33"/>
      <c r="Q84" s="19"/>
      <c r="R84" s="19"/>
    </row>
    <row r="85" spans="1:18">
      <c r="A85" s="26" t="s">
        <v>176</v>
      </c>
      <c r="B85" s="27">
        <f t="shared" si="25"/>
        <v>0</v>
      </c>
      <c r="C85" s="52" t="s">
        <v>104</v>
      </c>
      <c r="D85" s="53" t="s">
        <v>104</v>
      </c>
      <c r="E85" s="54" t="s">
        <v>104</v>
      </c>
      <c r="F85" s="53" t="s">
        <v>104</v>
      </c>
      <c r="G85" s="54" t="s">
        <v>104</v>
      </c>
      <c r="H85" s="53" t="s">
        <v>104</v>
      </c>
      <c r="I85" s="54" t="s">
        <v>104</v>
      </c>
      <c r="J85" s="53" t="s">
        <v>104</v>
      </c>
      <c r="K85" s="54" t="s">
        <v>104</v>
      </c>
      <c r="L85" s="53" t="s">
        <v>104</v>
      </c>
      <c r="M85" s="52" t="s">
        <v>104</v>
      </c>
      <c r="N85" s="55" t="s">
        <v>104</v>
      </c>
      <c r="O85" s="32" t="s">
        <v>89</v>
      </c>
      <c r="P85" s="33"/>
      <c r="Q85" s="19"/>
      <c r="R85" s="19"/>
    </row>
    <row r="86" spans="1:18">
      <c r="A86" s="26" t="s">
        <v>177</v>
      </c>
      <c r="B86" s="27">
        <f t="shared" si="25"/>
        <v>0</v>
      </c>
      <c r="C86" s="52" t="s">
        <v>104</v>
      </c>
      <c r="D86" s="53" t="s">
        <v>104</v>
      </c>
      <c r="E86" s="54" t="s">
        <v>104</v>
      </c>
      <c r="F86" s="53" t="s">
        <v>104</v>
      </c>
      <c r="G86" s="54" t="s">
        <v>104</v>
      </c>
      <c r="H86" s="53" t="s">
        <v>104</v>
      </c>
      <c r="I86" s="54" t="s">
        <v>104</v>
      </c>
      <c r="J86" s="53" t="s">
        <v>104</v>
      </c>
      <c r="K86" s="54" t="s">
        <v>104</v>
      </c>
      <c r="L86" s="53" t="s">
        <v>104</v>
      </c>
      <c r="M86" s="52" t="s">
        <v>104</v>
      </c>
      <c r="N86" s="55" t="s">
        <v>104</v>
      </c>
      <c r="O86" s="32" t="s">
        <v>90</v>
      </c>
      <c r="P86" s="33"/>
      <c r="Q86" s="19"/>
      <c r="R86" s="19"/>
    </row>
    <row r="87" spans="1:18">
      <c r="A87" s="26" t="s">
        <v>178</v>
      </c>
      <c r="B87" s="27">
        <f t="shared" si="25"/>
        <v>38</v>
      </c>
      <c r="C87" s="52">
        <v>24</v>
      </c>
      <c r="D87" s="53">
        <v>1.92</v>
      </c>
      <c r="E87" s="54" t="s">
        <v>104</v>
      </c>
      <c r="F87" s="53" t="s">
        <v>104</v>
      </c>
      <c r="G87" s="54" t="s">
        <v>104</v>
      </c>
      <c r="H87" s="53" t="s">
        <v>104</v>
      </c>
      <c r="I87" s="52">
        <v>4</v>
      </c>
      <c r="J87" s="53">
        <v>0.4</v>
      </c>
      <c r="K87" s="54" t="s">
        <v>104</v>
      </c>
      <c r="L87" s="53" t="s">
        <v>104</v>
      </c>
      <c r="M87" s="52">
        <v>10</v>
      </c>
      <c r="N87" s="55">
        <v>0.65</v>
      </c>
      <c r="O87" s="32" t="s">
        <v>91</v>
      </c>
      <c r="P87" s="33"/>
      <c r="Q87" s="19"/>
      <c r="R87" s="19"/>
    </row>
    <row r="88" spans="1:18">
      <c r="A88" s="26" t="s">
        <v>179</v>
      </c>
      <c r="B88" s="27">
        <f t="shared" si="25"/>
        <v>160</v>
      </c>
      <c r="C88" s="52">
        <v>160</v>
      </c>
      <c r="D88" s="53">
        <v>16</v>
      </c>
      <c r="E88" s="54" t="s">
        <v>104</v>
      </c>
      <c r="F88" s="53" t="s">
        <v>104</v>
      </c>
      <c r="G88" s="54" t="s">
        <v>104</v>
      </c>
      <c r="H88" s="53" t="s">
        <v>104</v>
      </c>
      <c r="I88" s="54" t="s">
        <v>104</v>
      </c>
      <c r="J88" s="53" t="s">
        <v>104</v>
      </c>
      <c r="K88" s="54" t="s">
        <v>104</v>
      </c>
      <c r="L88" s="53" t="s">
        <v>104</v>
      </c>
      <c r="M88" s="52" t="s">
        <v>104</v>
      </c>
      <c r="N88" s="55" t="s">
        <v>104</v>
      </c>
      <c r="O88" s="32" t="s">
        <v>92</v>
      </c>
      <c r="P88" s="33"/>
      <c r="Q88" s="19"/>
      <c r="R88" s="19"/>
    </row>
    <row r="89" spans="1:18">
      <c r="A89" s="26" t="s">
        <v>180</v>
      </c>
      <c r="B89" s="27">
        <f t="shared" si="25"/>
        <v>665</v>
      </c>
      <c r="C89" s="52">
        <v>392</v>
      </c>
      <c r="D89" s="53">
        <v>50.4</v>
      </c>
      <c r="E89" s="54" t="s">
        <v>104</v>
      </c>
      <c r="F89" s="53" t="s">
        <v>104</v>
      </c>
      <c r="G89" s="54" t="s">
        <v>104</v>
      </c>
      <c r="H89" s="53" t="s">
        <v>104</v>
      </c>
      <c r="I89" s="52">
        <v>46</v>
      </c>
      <c r="J89" s="53">
        <v>5.4</v>
      </c>
      <c r="K89" s="52">
        <v>40</v>
      </c>
      <c r="L89" s="53">
        <v>4.8</v>
      </c>
      <c r="M89" s="52">
        <v>187</v>
      </c>
      <c r="N89" s="55">
        <v>45.5</v>
      </c>
      <c r="O89" s="32" t="s">
        <v>93</v>
      </c>
      <c r="P89" s="33"/>
      <c r="Q89" s="19"/>
      <c r="R89" s="19"/>
    </row>
    <row r="90" spans="1:18">
      <c r="A90" s="26" t="s">
        <v>181</v>
      </c>
      <c r="B90" s="27">
        <f t="shared" si="25"/>
        <v>0</v>
      </c>
      <c r="C90" s="52" t="s">
        <v>104</v>
      </c>
      <c r="D90" s="53" t="s">
        <v>104</v>
      </c>
      <c r="E90" s="54" t="s">
        <v>104</v>
      </c>
      <c r="F90" s="53" t="s">
        <v>104</v>
      </c>
      <c r="G90" s="54" t="s">
        <v>104</v>
      </c>
      <c r="H90" s="53" t="s">
        <v>104</v>
      </c>
      <c r="I90" s="52" t="s">
        <v>104</v>
      </c>
      <c r="J90" s="53" t="s">
        <v>104</v>
      </c>
      <c r="K90" s="52" t="s">
        <v>104</v>
      </c>
      <c r="L90" s="53" t="s">
        <v>104</v>
      </c>
      <c r="M90" s="52" t="s">
        <v>104</v>
      </c>
      <c r="N90" s="55" t="s">
        <v>104</v>
      </c>
      <c r="O90" s="32" t="s">
        <v>94</v>
      </c>
      <c r="P90" s="33"/>
      <c r="Q90" s="19"/>
      <c r="R90" s="19"/>
    </row>
    <row r="91" spans="1:18" ht="16.3" customHeight="1">
      <c r="A91" s="20" t="s">
        <v>95</v>
      </c>
      <c r="B91" s="36">
        <f>SUM(B92:B95)</f>
        <v>3914</v>
      </c>
      <c r="C91" s="37">
        <f t="shared" ref="C91:N91" si="26">SUM(C92:C95)</f>
        <v>2297</v>
      </c>
      <c r="D91" s="38">
        <f t="shared" si="26"/>
        <v>399.16700000000003</v>
      </c>
      <c r="E91" s="37">
        <f t="shared" si="26"/>
        <v>874</v>
      </c>
      <c r="F91" s="38">
        <f t="shared" si="26"/>
        <v>111.004</v>
      </c>
      <c r="G91" s="37">
        <f t="shared" si="26"/>
        <v>21</v>
      </c>
      <c r="H91" s="38">
        <f t="shared" si="26"/>
        <v>3.27</v>
      </c>
      <c r="I91" s="37">
        <f t="shared" si="26"/>
        <v>22</v>
      </c>
      <c r="J91" s="38">
        <f t="shared" si="26"/>
        <v>3.7749999999999999</v>
      </c>
      <c r="K91" s="37">
        <f t="shared" si="26"/>
        <v>3</v>
      </c>
      <c r="L91" s="38">
        <f t="shared" si="26"/>
        <v>0.24</v>
      </c>
      <c r="M91" s="37">
        <f t="shared" si="26"/>
        <v>697</v>
      </c>
      <c r="N91" s="39">
        <f t="shared" si="26"/>
        <v>84.13</v>
      </c>
      <c r="O91" s="45" t="s">
        <v>96</v>
      </c>
      <c r="P91" s="45"/>
      <c r="Q91" s="45"/>
      <c r="R91" s="19"/>
    </row>
    <row r="92" spans="1:18">
      <c r="A92" s="26" t="s">
        <v>182</v>
      </c>
      <c r="B92" s="27">
        <f t="shared" ref="B92:B95" si="27">SUM(C92,E92,G92,I92,K92,M92)</f>
        <v>1844</v>
      </c>
      <c r="C92" s="52">
        <v>1644</v>
      </c>
      <c r="D92" s="53">
        <v>220.715</v>
      </c>
      <c r="E92" s="52">
        <v>140</v>
      </c>
      <c r="F92" s="53">
        <v>14.7</v>
      </c>
      <c r="G92" s="52">
        <v>10</v>
      </c>
      <c r="H92" s="53">
        <v>2</v>
      </c>
      <c r="I92" s="54" t="s">
        <v>104</v>
      </c>
      <c r="J92" s="53" t="s">
        <v>104</v>
      </c>
      <c r="K92" s="52">
        <v>3</v>
      </c>
      <c r="L92" s="53">
        <v>0.24</v>
      </c>
      <c r="M92" s="52">
        <v>47</v>
      </c>
      <c r="N92" s="55">
        <v>5.54</v>
      </c>
      <c r="O92" s="32" t="s">
        <v>97</v>
      </c>
      <c r="P92" s="33"/>
      <c r="Q92" s="19"/>
      <c r="R92" s="19"/>
    </row>
    <row r="93" spans="1:18" s="8" customFormat="1">
      <c r="A93" s="26" t="s">
        <v>183</v>
      </c>
      <c r="B93" s="27">
        <f t="shared" si="27"/>
        <v>1727</v>
      </c>
      <c r="C93" s="52">
        <v>471</v>
      </c>
      <c r="D93" s="53">
        <v>122.712</v>
      </c>
      <c r="E93" s="52">
        <v>718</v>
      </c>
      <c r="F93" s="53">
        <v>92.304000000000002</v>
      </c>
      <c r="G93" s="52">
        <v>11</v>
      </c>
      <c r="H93" s="53">
        <v>1.27</v>
      </c>
      <c r="I93" s="52">
        <v>22</v>
      </c>
      <c r="J93" s="53">
        <v>3.7749999999999999</v>
      </c>
      <c r="K93" s="54" t="s">
        <v>104</v>
      </c>
      <c r="L93" s="53" t="s">
        <v>104</v>
      </c>
      <c r="M93" s="52">
        <v>505</v>
      </c>
      <c r="N93" s="55">
        <v>50.79</v>
      </c>
      <c r="O93" s="32" t="s">
        <v>98</v>
      </c>
      <c r="P93" s="33"/>
      <c r="Q93" s="33"/>
      <c r="R93" s="33"/>
    </row>
    <row r="94" spans="1:18" s="8" customFormat="1">
      <c r="A94" s="26" t="s">
        <v>184</v>
      </c>
      <c r="B94" s="27">
        <f t="shared" si="27"/>
        <v>191</v>
      </c>
      <c r="C94" s="52">
        <v>170</v>
      </c>
      <c r="D94" s="53">
        <v>54.02</v>
      </c>
      <c r="E94" s="52">
        <v>16</v>
      </c>
      <c r="F94" s="53">
        <v>4</v>
      </c>
      <c r="G94" s="54" t="s">
        <v>104</v>
      </c>
      <c r="H94" s="53" t="s">
        <v>104</v>
      </c>
      <c r="I94" s="54" t="s">
        <v>104</v>
      </c>
      <c r="J94" s="53" t="s">
        <v>104</v>
      </c>
      <c r="K94" s="54" t="s">
        <v>104</v>
      </c>
      <c r="L94" s="53" t="s">
        <v>104</v>
      </c>
      <c r="M94" s="52">
        <v>5</v>
      </c>
      <c r="N94" s="55">
        <v>2.2999999999999998</v>
      </c>
      <c r="O94" s="32" t="s">
        <v>99</v>
      </c>
      <c r="P94" s="33"/>
      <c r="Q94" s="33"/>
      <c r="R94" s="33"/>
    </row>
    <row r="95" spans="1:18" s="8" customFormat="1" ht="15.65" thickBot="1">
      <c r="A95" s="56" t="s">
        <v>185</v>
      </c>
      <c r="B95" s="57">
        <f t="shared" si="27"/>
        <v>152</v>
      </c>
      <c r="C95" s="58">
        <v>12</v>
      </c>
      <c r="D95" s="59">
        <v>1.72</v>
      </c>
      <c r="E95" s="60" t="s">
        <v>104</v>
      </c>
      <c r="F95" s="59" t="s">
        <v>104</v>
      </c>
      <c r="G95" s="60" t="s">
        <v>104</v>
      </c>
      <c r="H95" s="59" t="s">
        <v>104</v>
      </c>
      <c r="I95" s="60" t="s">
        <v>104</v>
      </c>
      <c r="J95" s="59" t="s">
        <v>104</v>
      </c>
      <c r="K95" s="60" t="s">
        <v>104</v>
      </c>
      <c r="L95" s="59" t="s">
        <v>104</v>
      </c>
      <c r="M95" s="58">
        <v>140</v>
      </c>
      <c r="N95" s="61">
        <v>25.5</v>
      </c>
      <c r="O95" s="62" t="s">
        <v>100</v>
      </c>
      <c r="P95" s="33"/>
      <c r="Q95" s="33"/>
      <c r="R95" s="33"/>
    </row>
    <row r="96" spans="1:18">
      <c r="A96" s="63" t="s">
        <v>101</v>
      </c>
      <c r="L96" s="65"/>
      <c r="M96" s="66"/>
      <c r="O96" s="66" t="s">
        <v>102</v>
      </c>
    </row>
    <row r="97" spans="1:15">
      <c r="A97" s="67" t="s">
        <v>111</v>
      </c>
      <c r="O97" s="3" t="s">
        <v>103</v>
      </c>
    </row>
    <row r="114" spans="21:21">
      <c r="U114" s="3" t="s">
        <v>104</v>
      </c>
    </row>
  </sheetData>
  <mergeCells count="17">
    <mergeCell ref="A6:A7"/>
    <mergeCell ref="O6:O7"/>
    <mergeCell ref="P66:S66"/>
    <mergeCell ref="P67:S67"/>
    <mergeCell ref="B6:B7"/>
    <mergeCell ref="A2:O2"/>
    <mergeCell ref="A3:O3"/>
    <mergeCell ref="P63:S63"/>
    <mergeCell ref="P64:S64"/>
    <mergeCell ref="P65:S65"/>
    <mergeCell ref="M6:N6"/>
    <mergeCell ref="C6:D6"/>
    <mergeCell ref="E6:F6"/>
    <mergeCell ref="G6:H6"/>
    <mergeCell ref="I6:J6"/>
    <mergeCell ref="K6:L6"/>
    <mergeCell ref="M5:O5"/>
  </mergeCells>
  <pageMargins left="0.7" right="0.7" top="0.75" bottom="0.75" header="0.3" footer="0.3"/>
  <pageSetup paperSize="9" orientation="portrait" r:id="rId1"/>
  <headerFooter alignWithMargins="0"/>
  <ignoredErrors>
    <ignoredError sqref="B10 B18:B23 B12:B15" unlockedFormula="1"/>
    <ignoredError sqref="B16:N16 B24:N24 B17 B29:N29 B25:B28 B34:N34 B30:B33 B40:N40 B35:B39 B46:N46 B41:B45 B52:N52 B47:B51 B56:N56 B53:B55 B62:N62 B57:B61 B71:N71 B63:B70 B77:N77 B72:B76 B91:N91 B78:B90 B92:B95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s.spyroulis</cp:lastModifiedBy>
  <cp:lastPrinted>2015-10-01T10:19:44Z</cp:lastPrinted>
  <dcterms:created xsi:type="dcterms:W3CDTF">2017-01-19T08:40:03Z</dcterms:created>
  <dcterms:modified xsi:type="dcterms:W3CDTF">2018-10-12T11:34:07Z</dcterms:modified>
</cp:coreProperties>
</file>