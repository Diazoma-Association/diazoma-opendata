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40" yWindow="-200" windowWidth="14851" windowHeight="5760" firstSheet="1" activeTab="1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25725"/>
</workbook>
</file>

<file path=xl/calcChain.xml><?xml version="1.0" encoding="utf-8"?>
<calcChain xmlns="http://schemas.openxmlformats.org/spreadsheetml/2006/main">
  <c r="C14" i="1"/>
  <c r="B80"/>
  <c r="B79"/>
  <c r="B78"/>
  <c r="B77"/>
  <c r="B72"/>
  <c r="B19"/>
  <c r="C107"/>
  <c r="D107"/>
  <c r="E107"/>
  <c r="F107"/>
  <c r="G107"/>
  <c r="H107"/>
  <c r="I107"/>
  <c r="J107"/>
  <c r="K107"/>
  <c r="L107"/>
  <c r="M107"/>
  <c r="N107"/>
  <c r="O107"/>
  <c r="P107"/>
  <c r="Q107"/>
  <c r="R107"/>
  <c r="B24"/>
  <c r="C92"/>
  <c r="C85"/>
  <c r="B48"/>
  <c r="B47"/>
  <c r="B46"/>
  <c r="B45"/>
  <c r="B44"/>
  <c r="B95"/>
  <c r="B96"/>
  <c r="B97"/>
  <c r="B98"/>
  <c r="B99"/>
  <c r="B100"/>
  <c r="B101"/>
  <c r="B102"/>
  <c r="B103"/>
  <c r="B104"/>
  <c r="B105"/>
  <c r="B106"/>
  <c r="B94"/>
  <c r="B25"/>
  <c r="B26"/>
  <c r="B27"/>
  <c r="B28"/>
  <c r="B29"/>
  <c r="B30"/>
  <c r="B42" l="1"/>
  <c r="B22"/>
  <c r="B92"/>
  <c r="C31"/>
  <c r="R36"/>
  <c r="D31"/>
  <c r="E31"/>
  <c r="F31"/>
  <c r="G31"/>
  <c r="H31"/>
  <c r="I31"/>
  <c r="J31"/>
  <c r="K31"/>
  <c r="L31"/>
  <c r="M31"/>
  <c r="N31"/>
  <c r="O31"/>
  <c r="P31"/>
  <c r="Q31"/>
  <c r="R31"/>
  <c r="R22"/>
  <c r="D22"/>
  <c r="E22"/>
  <c r="F22"/>
  <c r="G22"/>
  <c r="H22"/>
  <c r="I22"/>
  <c r="J22"/>
  <c r="K22"/>
  <c r="L22"/>
  <c r="M22"/>
  <c r="N22"/>
  <c r="O22"/>
  <c r="P22"/>
  <c r="Q22"/>
  <c r="C22"/>
  <c r="B112"/>
  <c r="B111"/>
  <c r="B110"/>
  <c r="B109"/>
  <c r="B91"/>
  <c r="B90"/>
  <c r="B89"/>
  <c r="B88"/>
  <c r="B87"/>
  <c r="B84"/>
  <c r="B83"/>
  <c r="B82"/>
  <c r="B81"/>
  <c r="B74"/>
  <c r="B73"/>
  <c r="B71"/>
  <c r="B70"/>
  <c r="B67"/>
  <c r="B66"/>
  <c r="B65"/>
  <c r="B62"/>
  <c r="B61"/>
  <c r="B60"/>
  <c r="B59"/>
  <c r="B58"/>
  <c r="B55"/>
  <c r="B54"/>
  <c r="B53"/>
  <c r="B52"/>
  <c r="B51"/>
  <c r="B41"/>
  <c r="B40"/>
  <c r="B39"/>
  <c r="B38"/>
  <c r="B35"/>
  <c r="B34"/>
  <c r="B33"/>
  <c r="B32"/>
  <c r="B21"/>
  <c r="B20"/>
  <c r="B18"/>
  <c r="B17"/>
  <c r="B16"/>
  <c r="D14"/>
  <c r="E14"/>
  <c r="F14"/>
  <c r="G14"/>
  <c r="H14"/>
  <c r="I14"/>
  <c r="J14"/>
  <c r="K14"/>
  <c r="L14"/>
  <c r="M14"/>
  <c r="N14"/>
  <c r="O14"/>
  <c r="P14"/>
  <c r="Q14"/>
  <c r="R14"/>
  <c r="C36"/>
  <c r="D36"/>
  <c r="E36"/>
  <c r="F36"/>
  <c r="G36"/>
  <c r="H36"/>
  <c r="I36"/>
  <c r="J36"/>
  <c r="K36"/>
  <c r="L36"/>
  <c r="M36"/>
  <c r="N36"/>
  <c r="O36"/>
  <c r="P36"/>
  <c r="Q36"/>
  <c r="C42"/>
  <c r="D42"/>
  <c r="E42"/>
  <c r="F42"/>
  <c r="G42"/>
  <c r="H42"/>
  <c r="I42"/>
  <c r="J42"/>
  <c r="K42"/>
  <c r="L42"/>
  <c r="M42"/>
  <c r="N42"/>
  <c r="O42"/>
  <c r="P42"/>
  <c r="Q42"/>
  <c r="R42"/>
  <c r="C49"/>
  <c r="D49"/>
  <c r="E49"/>
  <c r="F49"/>
  <c r="G49"/>
  <c r="H49"/>
  <c r="I49"/>
  <c r="J49"/>
  <c r="K49"/>
  <c r="L49"/>
  <c r="M49"/>
  <c r="N49"/>
  <c r="O49"/>
  <c r="P49"/>
  <c r="Q49"/>
  <c r="R49"/>
  <c r="C56"/>
  <c r="D56"/>
  <c r="E56"/>
  <c r="F56"/>
  <c r="G56"/>
  <c r="H56"/>
  <c r="I56"/>
  <c r="J56"/>
  <c r="K56"/>
  <c r="L56"/>
  <c r="M56"/>
  <c r="N56"/>
  <c r="O56"/>
  <c r="P56"/>
  <c r="Q56"/>
  <c r="R56"/>
  <c r="C63"/>
  <c r="D63"/>
  <c r="E63"/>
  <c r="F63"/>
  <c r="G63"/>
  <c r="H63"/>
  <c r="I63"/>
  <c r="J63"/>
  <c r="K63"/>
  <c r="L63"/>
  <c r="M63"/>
  <c r="N63"/>
  <c r="O63"/>
  <c r="P63"/>
  <c r="Q63"/>
  <c r="R63"/>
  <c r="C68"/>
  <c r="D68"/>
  <c r="E68"/>
  <c r="F68"/>
  <c r="G68"/>
  <c r="H68"/>
  <c r="I68"/>
  <c r="J68"/>
  <c r="K68"/>
  <c r="L68"/>
  <c r="M68"/>
  <c r="N68"/>
  <c r="O68"/>
  <c r="P68"/>
  <c r="Q68"/>
  <c r="R68"/>
  <c r="C75"/>
  <c r="D75"/>
  <c r="E75"/>
  <c r="F75"/>
  <c r="G75"/>
  <c r="H75"/>
  <c r="I75"/>
  <c r="J75"/>
  <c r="K75"/>
  <c r="L75"/>
  <c r="M75"/>
  <c r="N75"/>
  <c r="O75"/>
  <c r="P75"/>
  <c r="Q75"/>
  <c r="R75"/>
  <c r="D85"/>
  <c r="E85"/>
  <c r="F85"/>
  <c r="G85"/>
  <c r="H85"/>
  <c r="I85"/>
  <c r="J85"/>
  <c r="K85"/>
  <c r="L85"/>
  <c r="M85"/>
  <c r="N85"/>
  <c r="O85"/>
  <c r="P85"/>
  <c r="Q85"/>
  <c r="R85"/>
  <c r="D92"/>
  <c r="E92"/>
  <c r="F92"/>
  <c r="G92"/>
  <c r="H92"/>
  <c r="I92"/>
  <c r="J92"/>
  <c r="K92"/>
  <c r="L92"/>
  <c r="M92"/>
  <c r="N92"/>
  <c r="O92"/>
  <c r="P92"/>
  <c r="Q92"/>
  <c r="R92"/>
  <c r="B75" l="1"/>
  <c r="B14"/>
  <c r="B85"/>
  <c r="B63"/>
  <c r="B56"/>
  <c r="B49"/>
  <c r="B36"/>
  <c r="B107"/>
  <c r="B68"/>
  <c r="B31"/>
  <c r="R12"/>
  <c r="P12"/>
  <c r="N12"/>
  <c r="L12"/>
  <c r="J12"/>
  <c r="H12"/>
  <c r="F12"/>
  <c r="D12"/>
  <c r="Q12"/>
  <c r="O12"/>
  <c r="M12"/>
  <c r="K12"/>
  <c r="E12"/>
  <c r="C12"/>
  <c r="I12"/>
  <c r="G12"/>
  <c r="B12" l="1"/>
</calcChain>
</file>

<file path=xl/sharedStrings.xml><?xml version="1.0" encoding="utf-8"?>
<sst xmlns="http://schemas.openxmlformats.org/spreadsheetml/2006/main" count="889" uniqueCount="369">
  <si>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</si>
  <si>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</si>
  <si>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</si>
  <si>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</si>
  <si>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</si>
  <si>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</si>
  <si>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</si>
  <si>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</si>
  <si>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</si>
  <si>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</si>
  <si>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</si>
  <si>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</si>
  <si>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</si>
  <si>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</si>
  <si>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</si>
  <si>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</si>
  <si>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</si>
  <si>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</si>
  <si>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</si>
  <si>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</si>
  <si>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</si>
  <si>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</si>
  <si>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</si>
  <si>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</si>
  <si>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</si>
  <si>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</si>
  <si>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</si>
  <si>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</si>
  <si>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</si>
  <si>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</si>
  <si>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</si>
  <si>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χωρίς συγκαλλιέργεια   grown alone</t>
  </si>
  <si>
    <t>Λαθούρι (Φάβα) Lathyrus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</si>
  <si>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</si>
  <si>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</si>
  <si>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</si>
  <si>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</si>
  <si>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</si>
  <si>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</si>
  <si>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</si>
  <si>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</si>
  <si>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</si>
  <si>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</si>
  <si>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</si>
  <si>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</si>
  <si>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</si>
  <si>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</si>
  <si>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</si>
  <si>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</si>
  <si>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</si>
  <si>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</si>
  <si>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</si>
  <si>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</si>
  <si>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</si>
  <si>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</si>
  <si>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</si>
  <si>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</si>
  <si>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</si>
  <si>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</si>
  <si>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</si>
  <si>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</si>
  <si>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</si>
  <si>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</si>
  <si>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</si>
  <si>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</si>
  <si>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</si>
  <si>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</si>
  <si>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</si>
  <si>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</si>
  <si>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</si>
  <si>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</si>
  <si>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</si>
  <si>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</si>
  <si>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</si>
  <si>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</si>
  <si>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</si>
  <si>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</si>
  <si>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</si>
  <si>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</si>
  <si>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</si>
  <si>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</si>
  <si>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</si>
  <si>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</si>
  <si>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</si>
  <si>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</si>
  <si>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</si>
  <si>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</si>
  <si>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</si>
  <si>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</si>
  <si>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</si>
  <si>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</si>
  <si>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</si>
  <si>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</si>
  <si>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</si>
  <si>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</si>
  <si>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</si>
  <si>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</si>
  <si>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</si>
  <si>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</si>
  <si>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</si>
  <si>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</si>
  <si>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</si>
  <si>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</si>
  <si>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</si>
  <si>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</si>
  <si>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</si>
  <si>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</si>
  <si>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</si>
  <si>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</si>
  <si>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</si>
  <si>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</si>
  <si>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</si>
  <si>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</si>
  <si>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</si>
  <si>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</si>
  <si>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</si>
  <si>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</si>
  <si>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</si>
  <si>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</si>
  <si>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</si>
  <si>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</si>
  <si>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</si>
  <si>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</si>
  <si>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</si>
  <si>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</si>
  <si>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</si>
  <si>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</si>
  <si>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</si>
  <si>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</si>
  <si>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</si>
  <si>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</si>
  <si>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</si>
  <si>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</si>
  <si>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</si>
  <si>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</si>
  <si>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</si>
  <si>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</si>
  <si>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</si>
  <si>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</si>
  <si>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</si>
  <si>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</si>
  <si>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</si>
  <si>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</si>
  <si>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</si>
  <si>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</si>
  <si>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</si>
  <si>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</si>
  <si>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</si>
  <si>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</si>
  <si>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</si>
  <si>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</si>
  <si>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</si>
  <si>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</si>
  <si>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</si>
  <si>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</si>
  <si>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</si>
  <si>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</si>
  <si>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</si>
  <si>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</si>
  <si>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</si>
  <si>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</si>
  <si>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</si>
  <si>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</si>
  <si>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</si>
  <si>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</si>
  <si>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</si>
  <si>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</si>
  <si>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</si>
  <si>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</si>
  <si>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</si>
  <si>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</si>
  <si>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</si>
  <si>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</si>
  <si>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</si>
  <si>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</si>
  <si>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</si>
  <si>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</si>
  <si>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</si>
  <si>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</si>
  <si>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</si>
  <si>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</si>
  <si>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</si>
  <si>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</si>
  <si>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</si>
  <si>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</si>
  <si>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</si>
  <si>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</si>
  <si>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</si>
  <si>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</si>
  <si>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</si>
  <si>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</si>
  <si>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</si>
  <si>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</si>
  <si>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</si>
  <si>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</si>
  <si>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</si>
  <si>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</si>
  <si>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</si>
  <si>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</si>
  <si>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</si>
  <si>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</si>
  <si>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</si>
  <si>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</si>
  <si>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</si>
  <si>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</si>
  <si>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</si>
  <si>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</si>
  <si>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</si>
  <si>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</si>
  <si>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</si>
  <si>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</si>
  <si>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</si>
  <si>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Φασόλια
Beans</t>
  </si>
  <si>
    <t>Κουκιά
Broad beans</t>
  </si>
  <si>
    <t>Φακή
Lentil</t>
  </si>
  <si>
    <t>Ρεβύθια
Chick-peas</t>
  </si>
  <si>
    <t>Μπιζέλια
Peas</t>
  </si>
  <si>
    <t>Λοιπά βρώσιμα όσπρια
Other edible pulse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</si>
  <si>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</si>
  <si>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</si>
  <si>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</si>
  <si>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</si>
  <si>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</si>
  <si>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</si>
  <si>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</si>
  <si>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</si>
  <si>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</si>
  <si>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</si>
  <si>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</si>
  <si>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</si>
  <si>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</si>
  <si>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</si>
  <si>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</si>
  <si>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</si>
  <si>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</si>
  <si>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</si>
  <si>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</si>
  <si>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</si>
  <si>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</si>
  <si>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</si>
  <si>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</si>
  <si>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</si>
  <si>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</si>
  <si>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</si>
  <si>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</si>
  <si>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</si>
  <si>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</si>
  <si>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</si>
  <si>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</si>
  <si>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</si>
  <si>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</si>
  <si>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</si>
  <si>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</si>
  <si>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</si>
  <si>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</si>
  <si>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</si>
  <si>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</si>
  <si>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</si>
  <si>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</si>
  <si>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</si>
  <si>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</si>
  <si>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</si>
  <si>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</si>
  <si>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</si>
  <si>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</si>
  <si>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</si>
  <si>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</si>
  <si>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</si>
  <si>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</si>
  <si>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</si>
  <si>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</si>
  <si>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</si>
  <si>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</si>
  <si>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</si>
  <si>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</si>
  <si>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</si>
  <si>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</si>
  <si>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</si>
  <si>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</si>
  <si>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</si>
  <si>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</si>
  <si>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</si>
  <si>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</si>
  <si>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</si>
  <si>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</si>
  <si>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</si>
  <si>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</si>
  <si>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</si>
  <si>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</si>
  <si>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</si>
  <si>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</si>
  <si>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</si>
  <si>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</si>
  <si>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</si>
  <si>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</si>
  <si>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</si>
  <si>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</si>
  <si>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</si>
  <si>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</si>
  <si>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</si>
  <si>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</si>
  <si>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</si>
  <si>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</si>
  <si>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</si>
  <si>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</si>
  <si>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</si>
  <si>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</si>
  <si>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</si>
  <si>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</si>
  <si>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</si>
  <si>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</si>
  <si>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</si>
  <si>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</si>
  <si>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</si>
  <si>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</si>
  <si>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</si>
  <si>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</si>
  <si>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</si>
  <si>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</si>
  <si>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</si>
  <si>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</si>
  <si>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</si>
  <si>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</si>
  <si>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</si>
  <si>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</si>
  <si>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</si>
  <si>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</si>
  <si>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</si>
  <si>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</si>
  <si>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</si>
  <si>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</si>
  <si>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</si>
  <si>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</si>
  <si>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</si>
  <si>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</si>
  <si>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</si>
  <si>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</si>
  <si>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</si>
  <si>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</si>
  <si>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</si>
  <si>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</si>
  <si>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</si>
  <si>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</si>
  <si>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</si>
  <si>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</si>
  <si>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</si>
  <si>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</si>
  <si>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</si>
  <si>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</si>
  <si>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</si>
  <si>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</si>
  <si>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Karpathos</t>
  </si>
  <si>
    <t>Kythnos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</si>
  <si>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</si>
  <si>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</si>
  <si>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</si>
  <si>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</si>
  <si>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</si>
  <si>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</si>
  <si>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</si>
  <si>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</si>
  <si>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</si>
  <si>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</si>
  <si>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</si>
  <si>
    <r>
      <t>συγκαλλιεργούμενα</t>
    </r>
    <r>
      <rPr>
        <vertAlign val="superscript"/>
        <sz val="11"/>
        <rFont val="Calibri"/>
        <family val="2"/>
        <charset val="161"/>
        <scheme val="minor"/>
      </rPr>
      <t xml:space="preserve">(1)  </t>
    </r>
    <r>
      <rPr>
        <sz val="11"/>
        <rFont val="Calibri"/>
        <family val="2"/>
        <charset val="161"/>
        <scheme val="minor"/>
      </rPr>
      <t>grown with other crops</t>
    </r>
    <r>
      <rPr>
        <vertAlign val="superscript"/>
        <sz val="11"/>
        <rFont val="Calibri"/>
        <family val="2"/>
        <charset val="161"/>
        <scheme val="minor"/>
      </rPr>
      <t>(1)</t>
    </r>
  </si>
  <si>
    <t>Περιφέρειες και Περιφερειακές Ενότητες</t>
  </si>
  <si>
    <t>Areas in stremmas (1 stremma = 0.1 ha), production in tons</t>
  </si>
  <si>
    <t>Πίνακας 2β. Βρώσιμα όσπρια. Εκτάσεις και παραγωγή κατά Περιφέρεια και Περιφερειακή Ενότητα, 2017</t>
  </si>
  <si>
    <t>Table 2b. Edible pulse. Areas and production, by Region and Regional Unities, 2017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</si>
</sst>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0" fillId="0" borderId="0" xfId="0" applyBorder="1"/>
    <xf numFmtId="0" fontId="2" fillId="0" borderId="0" xfId="0" applyNumberFormat="1" applyFont="1" applyFill="1" applyBorder="1" applyAlignment="1" applyProtection="1"/>
    <xf numFmtId="0" fontId="3" fillId="0" borderId="0" xfId="0" applyFont="1" applyBorder="1" applyAlignment="1">
      <alignment horizontal="center"/>
    </xf>
    <xf numFmtId="49" fontId="13" fillId="0" borderId="0" xfId="0" applyNumberFormat="1" applyFont="1" applyBorder="1" applyAlignment="1">
      <alignment horizontal="left" wrapText="1" indent="1"/>
    </xf>
    <xf numFmtId="0" fontId="13" fillId="0" borderId="0" xfId="0" applyFont="1" applyBorder="1"/>
    <xf numFmtId="49" fontId="13" fillId="0" borderId="0" xfId="0" applyNumberFormat="1" applyFont="1" applyBorder="1" applyAlignment="1">
      <alignment horizontal="left" indent="1"/>
    </xf>
    <xf numFmtId="49" fontId="13" fillId="0" borderId="0" xfId="0" applyNumberFormat="1" applyFont="1" applyBorder="1" applyAlignment="1">
      <alignment wrapText="1"/>
    </xf>
    <xf numFmtId="49" fontId="5" fillId="2" borderId="4" xfId="0" applyNumberFormat="1" applyFont="1" applyFill="1" applyBorder="1"/>
    <xf numFmtId="49" fontId="5" fillId="2" borderId="5" xfId="0" applyNumberFormat="1" applyFont="1" applyFill="1" applyBorder="1" applyAlignment="1">
      <alignment horizontal="left"/>
    </xf>
    <xf numFmtId="0" fontId="6" fillId="2" borderId="5" xfId="0" applyNumberFormat="1" applyFont="1" applyFill="1" applyBorder="1" applyAlignment="1" applyProtection="1"/>
    <xf numFmtId="49" fontId="7" fillId="2" borderId="0" xfId="0" applyNumberFormat="1" applyFont="1" applyFill="1" applyBorder="1" applyAlignment="1">
      <alignment horizontal="centerContinuous" vertical="center" wrapText="1"/>
    </xf>
    <xf numFmtId="49" fontId="7" fillId="2" borderId="5" xfId="0" applyNumberFormat="1" applyFont="1" applyFill="1" applyBorder="1" applyAlignment="1">
      <alignment vertical="center" textRotation="90"/>
    </xf>
    <xf numFmtId="0" fontId="6" fillId="2" borderId="6" xfId="0" applyNumberFormat="1" applyFont="1" applyFill="1" applyBorder="1" applyAlignment="1" applyProtection="1"/>
    <xf numFmtId="49" fontId="5" fillId="2" borderId="7" xfId="0" applyNumberFormat="1" applyFont="1" applyFill="1" applyBorder="1"/>
    <xf numFmtId="49" fontId="5" fillId="2" borderId="0" xfId="0" applyNumberFormat="1" applyFont="1" applyFill="1" applyBorder="1" applyAlignment="1">
      <alignment horizontal="left"/>
    </xf>
    <xf numFmtId="0" fontId="6" fillId="2" borderId="0" xfId="0" applyNumberFormat="1" applyFont="1" applyFill="1" applyBorder="1" applyAlignment="1" applyProtection="1"/>
    <xf numFmtId="49" fontId="7" fillId="2" borderId="0" xfId="0" applyNumberFormat="1" applyFont="1" applyFill="1" applyBorder="1" applyAlignment="1">
      <alignment vertical="center" textRotation="90"/>
    </xf>
    <xf numFmtId="0" fontId="6" fillId="2" borderId="8" xfId="0" applyNumberFormat="1" applyFont="1" applyFill="1" applyBorder="1" applyAlignment="1" applyProtection="1"/>
    <xf numFmtId="0" fontId="9" fillId="2" borderId="0" xfId="0" applyNumberFormat="1" applyFont="1" applyFill="1" applyBorder="1" applyAlignment="1" applyProtection="1"/>
    <xf numFmtId="49" fontId="5" fillId="8" borderId="7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0" fontId="6" fillId="8" borderId="0" xfId="0" applyNumberFormat="1" applyFont="1" applyFill="1" applyBorder="1" applyAlignment="1" applyProtection="1"/>
    <xf numFmtId="49" fontId="7" fillId="8" borderId="0" xfId="0" applyNumberFormat="1" applyFont="1" applyFill="1" applyBorder="1"/>
    <xf numFmtId="49" fontId="7" fillId="8" borderId="0" xfId="0" applyNumberFormat="1" applyFont="1" applyFill="1" applyBorder="1" applyAlignment="1">
      <alignment vertical="center" textRotation="90"/>
    </xf>
    <xf numFmtId="0" fontId="6" fillId="8" borderId="8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7" fillId="8" borderId="0" xfId="0" applyNumberFormat="1" applyFont="1" applyFill="1" applyBorder="1" applyAlignment="1">
      <alignment horizontal="left"/>
    </xf>
    <xf numFmtId="49" fontId="8" fillId="8" borderId="0" xfId="0" applyNumberFormat="1" applyFont="1" applyFill="1" applyBorder="1"/>
    <xf numFmtId="49" fontId="5" fillId="4" borderId="7" xfId="0" applyNumberFormat="1" applyFont="1" applyFill="1" applyBorder="1"/>
    <xf numFmtId="49" fontId="5" fillId="4" borderId="0" xfId="0" applyNumberFormat="1" applyFont="1" applyFill="1" applyBorder="1"/>
    <xf numFmtId="0" fontId="6" fillId="4" borderId="0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7" fillId="9" borderId="0" xfId="0" applyNumberFormat="1" applyFont="1" applyFill="1" applyBorder="1" applyAlignment="1">
      <alignment vertical="center" textRotation="90"/>
    </xf>
    <xf numFmtId="0" fontId="6" fillId="4" borderId="8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5" fillId="4" borderId="9" xfId="0" applyNumberFormat="1" applyFont="1" applyFill="1" applyBorder="1"/>
    <xf numFmtId="49" fontId="5" fillId="4" borderId="1" xfId="0" applyNumberFormat="1" applyFont="1" applyFill="1" applyBorder="1"/>
    <xf numFmtId="0" fontId="6" fillId="4" borderId="1" xfId="0" applyNumberFormat="1" applyFont="1" applyFill="1" applyBorder="1" applyAlignment="1" applyProtection="1"/>
    <xf numFmtId="49" fontId="7" fillId="9" borderId="1" xfId="0" applyNumberFormat="1" applyFont="1" applyFill="1" applyBorder="1" applyAlignment="1">
      <alignment vertical="center" textRotation="90"/>
    </xf>
    <xf numFmtId="0" fontId="6" fillId="4" borderId="10" xfId="0" applyNumberFormat="1" applyFont="1" applyFill="1" applyBorder="1" applyAlignment="1" applyProtection="1"/>
    <xf numFmtId="49" fontId="5" fillId="10" borderId="4" xfId="0" applyNumberFormat="1" applyFont="1" applyFill="1" applyBorder="1"/>
    <xf numFmtId="49" fontId="5" fillId="10" borderId="5" xfId="0" applyNumberFormat="1" applyFont="1" applyFill="1" applyBorder="1"/>
    <xf numFmtId="0" fontId="6" fillId="10" borderId="5" xfId="0" applyNumberFormat="1" applyFont="1" applyFill="1" applyBorder="1" applyAlignment="1" applyProtection="1"/>
    <xf numFmtId="49" fontId="7" fillId="10" borderId="5" xfId="0" applyNumberFormat="1" applyFont="1" applyFill="1" applyBorder="1"/>
    <xf numFmtId="49" fontId="7" fillId="10" borderId="5" xfId="0" applyNumberFormat="1" applyFont="1" applyFill="1" applyBorder="1" applyAlignment="1">
      <alignment vertical="center" textRotation="90"/>
    </xf>
    <xf numFmtId="0" fontId="6" fillId="10" borderId="6" xfId="0" applyNumberFormat="1" applyFont="1" applyFill="1" applyBorder="1" applyAlignment="1" applyProtection="1"/>
    <xf numFmtId="49" fontId="5" fillId="10" borderId="7" xfId="0" applyNumberFormat="1" applyFont="1" applyFill="1" applyBorder="1"/>
    <xf numFmtId="49" fontId="5" fillId="10" borderId="0" xfId="0" applyNumberFormat="1" applyFont="1" applyFill="1" applyBorder="1"/>
    <xf numFmtId="0" fontId="6" fillId="10" borderId="0" xfId="0" applyNumberFormat="1" applyFont="1" applyFill="1" applyBorder="1" applyAlignment="1" applyProtection="1"/>
    <xf numFmtId="49" fontId="7" fillId="10" borderId="0" xfId="0" applyNumberFormat="1" applyFont="1" applyFill="1" applyBorder="1" applyAlignment="1">
      <alignment vertical="center" textRotation="90"/>
    </xf>
    <xf numFmtId="0" fontId="6" fillId="10" borderId="8" xfId="0" applyNumberFormat="1" applyFont="1" applyFill="1" applyBorder="1" applyAlignment="1" applyProtection="1"/>
    <xf numFmtId="49" fontId="8" fillId="10" borderId="0" xfId="0" applyNumberFormat="1" applyFont="1" applyFill="1" applyBorder="1"/>
    <xf numFmtId="49" fontId="5" fillId="5" borderId="7" xfId="0" applyNumberFormat="1" applyFont="1" applyFill="1" applyBorder="1"/>
    <xf numFmtId="49" fontId="5" fillId="5" borderId="0" xfId="0" applyNumberFormat="1" applyFont="1" applyFill="1" applyBorder="1"/>
    <xf numFmtId="0" fontId="6" fillId="5" borderId="0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7" fillId="5" borderId="0" xfId="0" applyNumberFormat="1" applyFont="1" applyFill="1" applyBorder="1" applyAlignment="1">
      <alignment vertical="center" textRotation="90"/>
    </xf>
    <xf numFmtId="0" fontId="6" fillId="5" borderId="8" xfId="0" applyNumberFormat="1" applyFont="1" applyFill="1" applyBorder="1" applyAlignment="1" applyProtection="1"/>
    <xf numFmtId="49" fontId="8" fillId="5" borderId="0" xfId="0" applyNumberFormat="1" applyFont="1" applyFill="1" applyBorder="1"/>
    <xf numFmtId="49" fontId="5" fillId="5" borderId="9" xfId="0" applyNumberFormat="1" applyFont="1" applyFill="1" applyBorder="1"/>
    <xf numFmtId="49" fontId="5" fillId="5" borderId="1" xfId="0" applyNumberFormat="1" applyFont="1" applyFill="1" applyBorder="1"/>
    <xf numFmtId="0" fontId="6" fillId="5" borderId="1" xfId="0" applyNumberFormat="1" applyFont="1" applyFill="1" applyBorder="1" applyAlignment="1" applyProtection="1"/>
    <xf numFmtId="49" fontId="7" fillId="5" borderId="1" xfId="0" applyNumberFormat="1" applyFont="1" applyFill="1" applyBorder="1" applyAlignment="1">
      <alignment vertical="center" textRotation="90"/>
    </xf>
    <xf numFmtId="0" fontId="6" fillId="5" borderId="10" xfId="0" applyNumberFormat="1" applyFont="1" applyFill="1" applyBorder="1" applyAlignment="1" applyProtection="1"/>
    <xf numFmtId="49" fontId="5" fillId="6" borderId="4" xfId="0" applyNumberFormat="1" applyFont="1" applyFill="1" applyBorder="1"/>
    <xf numFmtId="49" fontId="5" fillId="6" borderId="5" xfId="0" applyNumberFormat="1" applyFont="1" applyFill="1" applyBorder="1"/>
    <xf numFmtId="0" fontId="6" fillId="6" borderId="5" xfId="0" applyNumberFormat="1" applyFont="1" applyFill="1" applyBorder="1" applyAlignment="1" applyProtection="1"/>
    <xf numFmtId="49" fontId="7" fillId="6" borderId="5" xfId="0" applyNumberFormat="1" applyFont="1" applyFill="1" applyBorder="1"/>
    <xf numFmtId="0" fontId="9" fillId="6" borderId="5" xfId="0" applyNumberFormat="1" applyFont="1" applyFill="1" applyBorder="1" applyAlignment="1" applyProtection="1"/>
    <xf numFmtId="49" fontId="7" fillId="6" borderId="5" xfId="0" applyNumberFormat="1" applyFont="1" applyFill="1" applyBorder="1" applyAlignment="1">
      <alignment vertical="center" textRotation="90"/>
    </xf>
    <xf numFmtId="0" fontId="9" fillId="6" borderId="6" xfId="0" applyNumberFormat="1" applyFont="1" applyFill="1" applyBorder="1" applyAlignment="1" applyProtection="1"/>
    <xf numFmtId="49" fontId="5" fillId="6" borderId="7" xfId="0" applyNumberFormat="1" applyFont="1" applyFill="1" applyBorder="1"/>
    <xf numFmtId="49" fontId="5" fillId="6" borderId="0" xfId="0" applyNumberFormat="1" applyFont="1" applyFill="1" applyBorder="1"/>
    <xf numFmtId="0" fontId="6" fillId="6" borderId="0" xfId="0" applyNumberFormat="1" applyFont="1" applyFill="1" applyBorder="1" applyAlignment="1" applyProtection="1"/>
    <xf numFmtId="49" fontId="7" fillId="6" borderId="0" xfId="0" applyNumberFormat="1" applyFont="1" applyFill="1" applyBorder="1" applyAlignment="1">
      <alignment vertical="center" textRotation="90"/>
    </xf>
    <xf numFmtId="0" fontId="6" fillId="6" borderId="8" xfId="0" applyNumberFormat="1" applyFont="1" applyFill="1" applyBorder="1" applyAlignment="1" applyProtection="1"/>
    <xf numFmtId="49" fontId="8" fillId="6" borderId="0" xfId="0" applyNumberFormat="1" applyFont="1" applyFill="1" applyBorder="1"/>
    <xf numFmtId="49" fontId="5" fillId="11" borderId="7" xfId="0" applyNumberFormat="1" applyFont="1" applyFill="1" applyBorder="1"/>
    <xf numFmtId="49" fontId="5" fillId="11" borderId="0" xfId="0" applyNumberFormat="1" applyFont="1" applyFill="1" applyBorder="1"/>
    <xf numFmtId="0" fontId="6" fillId="11" borderId="0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7" fillId="11" borderId="0" xfId="0" applyNumberFormat="1" applyFont="1" applyFill="1" applyBorder="1" applyAlignment="1">
      <alignment vertical="center" textRotation="90"/>
    </xf>
    <xf numFmtId="0" fontId="6" fillId="11" borderId="8" xfId="0" applyNumberFormat="1" applyFont="1" applyFill="1" applyBorder="1" applyAlignment="1" applyProtection="1"/>
    <xf numFmtId="49" fontId="8" fillId="11" borderId="0" xfId="0" applyNumberFormat="1" applyFont="1" applyFill="1" applyBorder="1"/>
    <xf numFmtId="49" fontId="5" fillId="12" borderId="7" xfId="0" applyNumberFormat="1" applyFont="1" applyFill="1" applyBorder="1"/>
    <xf numFmtId="49" fontId="5" fillId="12" borderId="0" xfId="0" applyNumberFormat="1" applyFont="1" applyFill="1" applyBorder="1"/>
    <xf numFmtId="0" fontId="6" fillId="12" borderId="0" xfId="0" applyNumberFormat="1" applyFont="1" applyFill="1" applyBorder="1" applyAlignment="1" applyProtection="1"/>
    <xf numFmtId="49" fontId="7" fillId="12" borderId="0" xfId="0" applyNumberFormat="1" applyFont="1" applyFill="1" applyBorder="1"/>
    <xf numFmtId="0" fontId="9" fillId="12" borderId="0" xfId="0" applyNumberFormat="1" applyFont="1" applyFill="1" applyBorder="1" applyAlignment="1" applyProtection="1"/>
    <xf numFmtId="49" fontId="7" fillId="12" borderId="0" xfId="0" applyNumberFormat="1" applyFont="1" applyFill="1" applyBorder="1" applyAlignment="1">
      <alignment vertical="center" textRotation="90"/>
    </xf>
    <xf numFmtId="0" fontId="6" fillId="12" borderId="8" xfId="0" applyNumberFormat="1" applyFont="1" applyFill="1" applyBorder="1" applyAlignment="1" applyProtection="1"/>
    <xf numFmtId="49" fontId="5" fillId="12" borderId="9" xfId="0" applyNumberFormat="1" applyFont="1" applyFill="1" applyBorder="1"/>
    <xf numFmtId="49" fontId="5" fillId="12" borderId="1" xfId="0" applyNumberFormat="1" applyFont="1" applyFill="1" applyBorder="1"/>
    <xf numFmtId="0" fontId="6" fillId="12" borderId="1" xfId="0" applyNumberFormat="1" applyFont="1" applyFill="1" applyBorder="1" applyAlignment="1" applyProtection="1"/>
    <xf numFmtId="49" fontId="7" fillId="12" borderId="1" xfId="0" applyNumberFormat="1" applyFont="1" applyFill="1" applyBorder="1" applyAlignment="1">
      <alignment vertical="center" textRotation="90"/>
    </xf>
    <xf numFmtId="0" fontId="6" fillId="12" borderId="10" xfId="0" applyNumberFormat="1" applyFont="1" applyFill="1" applyBorder="1" applyAlignment="1" applyProtection="1"/>
    <xf numFmtId="0" fontId="10" fillId="6" borderId="5" xfId="0" applyNumberFormat="1" applyFont="1" applyFill="1" applyBorder="1" applyAlignment="1" applyProtection="1"/>
    <xf numFmtId="0" fontId="6" fillId="6" borderId="6" xfId="0" applyNumberFormat="1" applyFont="1" applyFill="1" applyBorder="1" applyAlignment="1" applyProtection="1"/>
    <xf numFmtId="0" fontId="9" fillId="6" borderId="0" xfId="0" applyNumberFormat="1" applyFont="1" applyFill="1" applyBorder="1" applyAlignment="1" applyProtection="1"/>
    <xf numFmtId="49" fontId="5" fillId="6" borderId="9" xfId="0" applyNumberFormat="1" applyFont="1" applyFill="1" applyBorder="1"/>
    <xf numFmtId="49" fontId="5" fillId="6" borderId="1" xfId="0" applyNumberFormat="1" applyFont="1" applyFill="1" applyBorder="1"/>
    <xf numFmtId="0" fontId="6" fillId="6" borderId="1" xfId="0" applyNumberFormat="1" applyFont="1" applyFill="1" applyBorder="1" applyAlignment="1" applyProtection="1"/>
    <xf numFmtId="0" fontId="6" fillId="6" borderId="10" xfId="0" applyNumberFormat="1" applyFont="1" applyFill="1" applyBorder="1" applyAlignment="1" applyProtection="1"/>
    <xf numFmtId="49" fontId="5" fillId="2" borderId="5" xfId="0" applyNumberFormat="1" applyFont="1" applyFill="1" applyBorder="1"/>
    <xf numFmtId="49" fontId="7" fillId="2" borderId="5" xfId="0" applyNumberFormat="1" applyFont="1" applyFill="1" applyBorder="1"/>
    <xf numFmtId="49" fontId="5" fillId="2" borderId="0" xfId="0" applyNumberFormat="1" applyFont="1" applyFill="1" applyBorder="1"/>
    <xf numFmtId="49" fontId="8" fillId="2" borderId="0" xfId="0" applyNumberFormat="1" applyFont="1" applyFill="1" applyBorder="1"/>
    <xf numFmtId="49" fontId="5" fillId="8" borderId="4" xfId="0" applyNumberFormat="1" applyFont="1" applyFill="1" applyBorder="1"/>
    <xf numFmtId="49" fontId="11" fillId="8" borderId="0" xfId="0" applyNumberFormat="1" applyFont="1" applyFill="1" applyBorder="1"/>
    <xf numFmtId="0" fontId="6" fillId="8" borderId="5" xfId="0" applyNumberFormat="1" applyFont="1" applyFill="1" applyBorder="1" applyAlignment="1" applyProtection="1"/>
    <xf numFmtId="49" fontId="7" fillId="8" borderId="5" xfId="0" applyNumberFormat="1" applyFont="1" applyFill="1" applyBorder="1"/>
    <xf numFmtId="49" fontId="5" fillId="8" borderId="5" xfId="0" applyNumberFormat="1" applyFont="1" applyFill="1" applyBorder="1"/>
    <xf numFmtId="0" fontId="6" fillId="8" borderId="6" xfId="0" applyNumberFormat="1" applyFont="1" applyFill="1" applyBorder="1" applyAlignment="1" applyProtection="1"/>
    <xf numFmtId="49" fontId="8" fillId="13" borderId="0" xfId="0" applyNumberFormat="1" applyFont="1" applyFill="1" applyBorder="1" applyAlignment="1">
      <alignment horizontal="left"/>
    </xf>
    <xf numFmtId="0" fontId="6" fillId="13" borderId="0" xfId="0" applyNumberFormat="1" applyFont="1" applyFill="1" applyBorder="1" applyAlignment="1" applyProtection="1">
      <alignment horizontal="left"/>
    </xf>
    <xf numFmtId="49" fontId="12" fillId="13" borderId="0" xfId="0" applyNumberFormat="1" applyFont="1" applyFill="1" applyBorder="1" applyAlignment="1">
      <alignment horizontal="left"/>
    </xf>
    <xf numFmtId="49" fontId="5" fillId="8" borderId="9" xfId="0" applyNumberFormat="1" applyFont="1" applyFill="1" applyBorder="1"/>
    <xf numFmtId="0" fontId="6" fillId="8" borderId="1" xfId="0" applyNumberFormat="1" applyFont="1" applyFill="1" applyBorder="1" applyAlignment="1" applyProtection="1"/>
    <xf numFmtId="49" fontId="5" fillId="8" borderId="1" xfId="0" applyNumberFormat="1" applyFont="1" applyFill="1" applyBorder="1"/>
    <xf numFmtId="0" fontId="6" fillId="8" borderId="10" xfId="0" applyNumberFormat="1" applyFont="1" applyFill="1" applyBorder="1" applyAlignment="1" applyProtection="1"/>
    <xf numFmtId="49" fontId="5" fillId="2" borderId="11" xfId="0" applyNumberFormat="1" applyFont="1" applyFill="1" applyBorder="1"/>
    <xf numFmtId="49" fontId="11" fillId="14" borderId="12" xfId="0" applyNumberFormat="1" applyFont="1" applyFill="1" applyBorder="1"/>
    <xf numFmtId="0" fontId="6" fillId="2" borderId="13" xfId="0" applyNumberFormat="1" applyFont="1" applyFill="1" applyBorder="1" applyAlignment="1" applyProtection="1"/>
    <xf numFmtId="49" fontId="8" fillId="2" borderId="13" xfId="0" applyNumberFormat="1" applyFont="1" applyFill="1" applyBorder="1"/>
    <xf numFmtId="49" fontId="5" fillId="2" borderId="13" xfId="0" applyNumberFormat="1" applyFont="1" applyFill="1" applyBorder="1"/>
    <xf numFmtId="0" fontId="6" fillId="2" borderId="14" xfId="0" applyNumberFormat="1" applyFont="1" applyFill="1" applyBorder="1" applyAlignment="1" applyProtection="1"/>
    <xf numFmtId="0" fontId="15" fillId="0" borderId="0" xfId="0" applyFont="1" applyProtection="1">
      <protection locked="0"/>
    </xf>
    <xf numFmtId="0" fontId="16" fillId="0" borderId="0" xfId="0" applyNumberFormat="1" applyFont="1" applyFill="1" applyBorder="1" applyAlignment="1" applyProtection="1">
      <alignment wrapText="1"/>
      <protection locked="0"/>
    </xf>
    <xf numFmtId="0" fontId="16" fillId="0" borderId="0" xfId="0" applyNumberFormat="1" applyFont="1" applyFill="1" applyBorder="1" applyAlignment="1" applyProtection="1">
      <alignment vertical="top" wrapText="1"/>
      <protection locked="0"/>
    </xf>
    <xf numFmtId="0" fontId="16" fillId="0" borderId="0" xfId="0" applyNumberFormat="1" applyFont="1" applyFill="1" applyBorder="1" applyAlignment="1" applyProtection="1">
      <alignment horizontal="center" vertical="top" wrapText="1"/>
      <protection locked="0"/>
    </xf>
    <xf numFmtId="0" fontId="15" fillId="0" borderId="0" xfId="0" applyFont="1" applyFill="1" applyProtection="1">
      <protection locked="0"/>
    </xf>
    <xf numFmtId="0" fontId="21" fillId="0" borderId="1" xfId="0" applyNumberFormat="1" applyFont="1" applyFill="1" applyBorder="1" applyAlignment="1" applyProtection="1">
      <protection locked="0"/>
    </xf>
    <xf numFmtId="0" fontId="1" fillId="0" borderId="0" xfId="0" applyFont="1" applyProtection="1"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Fill="1" applyBorder="1" applyAlignment="1" applyProtection="1">
      <alignment horizontal="center"/>
      <protection locked="0"/>
    </xf>
    <xf numFmtId="0" fontId="23" fillId="0" borderId="3" xfId="0" applyFont="1" applyBorder="1" applyAlignment="1" applyProtection="1">
      <alignment horizontal="center"/>
      <protection locked="0"/>
    </xf>
    <xf numFmtId="0" fontId="23" fillId="0" borderId="33" xfId="0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protection locked="0"/>
    </xf>
    <xf numFmtId="0" fontId="18" fillId="0" borderId="0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horizontal="left" wrapText="1" indent="1"/>
      <protection locked="0"/>
    </xf>
    <xf numFmtId="3" fontId="21" fillId="0" borderId="7" xfId="0" applyNumberFormat="1" applyFont="1" applyBorder="1" applyAlignment="1" applyProtection="1">
      <alignment horizontal="right" vertical="center"/>
      <protection locked="0"/>
    </xf>
    <xf numFmtId="0" fontId="1" fillId="0" borderId="0" xfId="0" applyFont="1" applyBorder="1" applyAlignment="1" applyProtection="1">
      <alignment horizontal="left" indent="1"/>
      <protection locked="0"/>
    </xf>
    <xf numFmtId="0" fontId="1" fillId="0" borderId="0" xfId="0" applyFont="1" applyAlignment="1" applyProtection="1">
      <alignment horizontal="left" indent="1"/>
      <protection locked="0"/>
    </xf>
    <xf numFmtId="49" fontId="17" fillId="0" borderId="0" xfId="0" applyNumberFormat="1" applyFont="1" applyAlignment="1" applyProtection="1">
      <alignment horizontal="left" vertical="center" wrapText="1"/>
      <protection locked="0"/>
    </xf>
    <xf numFmtId="3" fontId="17" fillId="0" borderId="31" xfId="0" applyNumberFormat="1" applyFont="1" applyBorder="1" applyAlignment="1">
      <alignment vertical="center" wrapText="1"/>
    </xf>
    <xf numFmtId="3" fontId="17" fillId="0" borderId="15" xfId="0" applyNumberFormat="1" applyFont="1" applyBorder="1" applyAlignment="1">
      <alignment vertical="center" wrapText="1"/>
    </xf>
    <xf numFmtId="3" fontId="17" fillId="0" borderId="0" xfId="0" applyNumberFormat="1" applyFont="1" applyFill="1" applyBorder="1" applyAlignment="1">
      <alignment vertical="center" wrapText="1"/>
    </xf>
    <xf numFmtId="3" fontId="17" fillId="0" borderId="8" xfId="0" applyNumberFormat="1" applyFont="1" applyFill="1" applyBorder="1" applyAlignment="1">
      <alignment vertical="center" wrapText="1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protection locked="0"/>
    </xf>
    <xf numFmtId="49" fontId="1" fillId="0" borderId="0" xfId="0" applyNumberFormat="1" applyFont="1" applyAlignment="1" applyProtection="1">
      <alignment horizontal="left" indent="1"/>
      <protection locked="0"/>
    </xf>
    <xf numFmtId="0" fontId="1" fillId="0" borderId="0" xfId="0" applyFont="1" applyBorder="1" applyAlignment="1" applyProtection="1">
      <protection locked="0"/>
    </xf>
    <xf numFmtId="49" fontId="1" fillId="0" borderId="1" xfId="0" applyNumberFormat="1" applyFont="1" applyBorder="1" applyAlignment="1" applyProtection="1">
      <alignment horizontal="left" wrapText="1" indent="1"/>
      <protection locked="0"/>
    </xf>
    <xf numFmtId="3" fontId="21" fillId="0" borderId="19" xfId="0" applyNumberFormat="1" applyFont="1" applyBorder="1" applyAlignment="1" applyProtection="1">
      <alignment horizontal="right" vertical="center"/>
      <protection locked="0"/>
    </xf>
    <xf numFmtId="0" fontId="1" fillId="0" borderId="1" xfId="0" applyFont="1" applyBorder="1" applyAlignment="1" applyProtection="1">
      <alignment horizontal="left" indent="1"/>
      <protection locked="0"/>
    </xf>
    <xf numFmtId="0" fontId="1" fillId="0" borderId="1" xfId="0" applyFont="1" applyBorder="1" applyAlignment="1" applyProtection="1">
      <protection locked="0"/>
    </xf>
    <xf numFmtId="49" fontId="1" fillId="0" borderId="0" xfId="0" applyNumberFormat="1" applyFont="1" applyAlignment="1" applyProtection="1">
      <alignment wrapText="1"/>
      <protection locked="0"/>
    </xf>
    <xf numFmtId="0" fontId="1" fillId="0" borderId="0" xfId="0" applyFont="1" applyFill="1" applyProtection="1">
      <protection locked="0"/>
    </xf>
    <xf numFmtId="49" fontId="1" fillId="0" borderId="0" xfId="0" applyNumberFormat="1" applyFont="1" applyProtection="1">
      <protection locked="0"/>
    </xf>
    <xf numFmtId="0" fontId="20" fillId="0" borderId="1" xfId="0" applyNumberFormat="1" applyFont="1" applyFill="1" applyBorder="1" applyAlignment="1" applyProtection="1">
      <alignment horizontal="right"/>
      <protection locked="0"/>
    </xf>
    <xf numFmtId="0" fontId="20" fillId="0" borderId="1" xfId="0" applyNumberFormat="1" applyFont="1" applyFill="1" applyBorder="1" applyAlignment="1" applyProtection="1">
      <protection locked="0"/>
    </xf>
    <xf numFmtId="49" fontId="7" fillId="15" borderId="5" xfId="0" applyNumberFormat="1" applyFont="1" applyFill="1" applyBorder="1" applyAlignment="1">
      <alignment horizontal="center" vertical="center" textRotation="90"/>
    </xf>
    <xf numFmtId="49" fontId="7" fillId="15" borderId="0" xfId="0" applyNumberFormat="1" applyFont="1" applyFill="1" applyBorder="1" applyAlignment="1">
      <alignment horizontal="center" vertical="center" textRotation="90"/>
    </xf>
    <xf numFmtId="49" fontId="7" fillId="15" borderId="1" xfId="0" applyNumberFormat="1" applyFont="1" applyFill="1" applyBorder="1" applyAlignment="1">
      <alignment horizontal="center" vertical="center" textRotation="90"/>
    </xf>
    <xf numFmtId="49" fontId="7" fillId="3" borderId="5" xfId="0" applyNumberFormat="1" applyFont="1" applyFill="1" applyBorder="1" applyAlignment="1">
      <alignment horizontal="center" vertical="center" textRotation="90" wrapText="1"/>
    </xf>
    <xf numFmtId="49" fontId="7" fillId="3" borderId="0" xfId="0" applyNumberFormat="1" applyFont="1" applyFill="1" applyBorder="1" applyAlignment="1">
      <alignment horizontal="center" vertical="center" textRotation="90" wrapText="1"/>
    </xf>
    <xf numFmtId="49" fontId="7" fillId="3" borderId="1" xfId="0" applyNumberFormat="1" applyFont="1" applyFill="1" applyBorder="1" applyAlignment="1">
      <alignment horizontal="center" vertical="center" textRotation="90" wrapText="1"/>
    </xf>
    <xf numFmtId="49" fontId="8" fillId="2" borderId="0" xfId="0" applyNumberFormat="1" applyFont="1" applyFill="1" applyBorder="1" applyAlignment="1">
      <alignment horizontal="left" vertical="center" wrapText="1"/>
    </xf>
    <xf numFmtId="49" fontId="7" fillId="2" borderId="5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center" vertical="center" textRotation="90" wrapText="1"/>
    </xf>
    <xf numFmtId="49" fontId="7" fillId="2" borderId="1" xfId="0" applyNumberFormat="1" applyFont="1" applyFill="1" applyBorder="1" applyAlignment="1">
      <alignment horizontal="center" vertical="center" textRotation="90" wrapText="1"/>
    </xf>
    <xf numFmtId="49" fontId="7" fillId="7" borderId="5" xfId="0" applyNumberFormat="1" applyFont="1" applyFill="1" applyBorder="1" applyAlignment="1">
      <alignment horizontal="center" vertical="center" textRotation="90" wrapText="1"/>
    </xf>
    <xf numFmtId="49" fontId="7" fillId="7" borderId="0" xfId="0" applyNumberFormat="1" applyFont="1" applyFill="1" applyBorder="1" applyAlignment="1">
      <alignment horizontal="center" vertical="center" textRotation="90" wrapText="1"/>
    </xf>
    <xf numFmtId="49" fontId="7" fillId="7" borderId="1" xfId="0" applyNumberFormat="1" applyFont="1" applyFill="1" applyBorder="1" applyAlignment="1">
      <alignment horizontal="center" vertical="center" textRotation="90" wrapText="1"/>
    </xf>
    <xf numFmtId="0" fontId="19" fillId="0" borderId="0" xfId="0" applyNumberFormat="1" applyFont="1" applyFill="1" applyBorder="1" applyAlignment="1" applyProtection="1">
      <alignment horizontal="center"/>
      <protection locked="0"/>
    </xf>
    <xf numFmtId="0" fontId="19" fillId="0" borderId="0" xfId="0" applyNumberFormat="1" applyFont="1" applyFill="1" applyBorder="1" applyAlignment="1" applyProtection="1">
      <alignment horizontal="center" vertical="top" wrapText="1"/>
      <protection locked="0"/>
    </xf>
    <xf numFmtId="0" fontId="19" fillId="0" borderId="0" xfId="0" applyNumberFormat="1" applyFont="1" applyFill="1" applyBorder="1" applyAlignment="1" applyProtection="1">
      <alignment horizontal="center" wrapText="1"/>
      <protection locked="0"/>
    </xf>
    <xf numFmtId="0" fontId="1" fillId="0" borderId="0" xfId="0" applyFont="1" applyBorder="1" applyAlignment="1" applyProtection="1">
      <alignment horizontal="left" wrapText="1" indent="1"/>
      <protection locked="0"/>
    </xf>
    <xf numFmtId="49" fontId="17" fillId="0" borderId="0" xfId="0" applyNumberFormat="1" applyFont="1" applyBorder="1" applyAlignment="1" applyProtection="1">
      <alignment horizontal="left" vertical="center" wrapText="1"/>
      <protection locked="0"/>
    </xf>
    <xf numFmtId="0" fontId="18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7" fillId="0" borderId="0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wrapText="1" indent="1"/>
      <protection locked="0"/>
    </xf>
    <xf numFmtId="3" fontId="17" fillId="0" borderId="0" xfId="0" applyNumberFormat="1" applyFont="1" applyFill="1" applyBorder="1" applyAlignment="1" applyProtection="1">
      <alignment horizontal="right" vertical="center"/>
    </xf>
    <xf numFmtId="3" fontId="17" fillId="0" borderId="15" xfId="0" applyNumberFormat="1" applyFont="1" applyBorder="1" applyAlignment="1" applyProtection="1">
      <alignment horizontal="right" vertical="center"/>
    </xf>
    <xf numFmtId="3" fontId="17" fillId="0" borderId="8" xfId="0" applyNumberFormat="1" applyFont="1" applyFill="1" applyBorder="1" applyAlignment="1" applyProtection="1">
      <alignment horizontal="right" vertical="center"/>
    </xf>
    <xf numFmtId="0" fontId="17" fillId="0" borderId="0" xfId="0" applyFont="1" applyBorder="1" applyAlignment="1" applyProtection="1">
      <alignment vertical="center"/>
      <protection locked="0"/>
    </xf>
    <xf numFmtId="0" fontId="21" fillId="0" borderId="0" xfId="0" applyFont="1" applyBorder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right"/>
      <protection locked="0"/>
    </xf>
    <xf numFmtId="0" fontId="17" fillId="0" borderId="0" xfId="0" applyFont="1" applyBorder="1" applyAlignment="1" applyProtection="1">
      <alignment vertical="center" wrapText="1"/>
      <protection locked="0"/>
    </xf>
    <xf numFmtId="0" fontId="18" fillId="0" borderId="26" xfId="0" applyNumberFormat="1" applyFont="1" applyFill="1" applyBorder="1" applyAlignment="1" applyProtection="1">
      <alignment vertical="center" wrapText="1"/>
      <protection locked="0"/>
    </xf>
    <xf numFmtId="0" fontId="18" fillId="0" borderId="0" xfId="0" applyNumberFormat="1" applyFont="1" applyFill="1" applyBorder="1" applyAlignment="1" applyProtection="1">
      <alignment vertical="center" wrapText="1"/>
      <protection locked="0"/>
    </xf>
    <xf numFmtId="3" fontId="17" fillId="0" borderId="35" xfId="0" applyNumberFormat="1" applyFont="1" applyFill="1" applyBorder="1" applyAlignment="1" applyProtection="1">
      <alignment horizontal="right" vertical="center"/>
    </xf>
    <xf numFmtId="49" fontId="17" fillId="0" borderId="0" xfId="0" applyNumberFormat="1" applyFont="1" applyAlignment="1" applyProtection="1">
      <alignment horizontal="left" vertical="center" wrapText="1"/>
      <protection locked="0"/>
    </xf>
    <xf numFmtId="3" fontId="17" fillId="0" borderId="31" xfId="0" applyNumberFormat="1" applyFont="1" applyBorder="1" applyAlignment="1" applyProtection="1">
      <alignment horizontal="right" vertical="center"/>
    </xf>
    <xf numFmtId="0" fontId="20" fillId="0" borderId="1" xfId="0" applyNumberFormat="1" applyFont="1" applyFill="1" applyBorder="1" applyAlignment="1" applyProtection="1">
      <alignment horizontal="left"/>
      <protection locked="0"/>
    </xf>
    <xf numFmtId="3" fontId="17" fillId="0" borderId="24" xfId="0" applyNumberFormat="1" applyFont="1" applyBorder="1" applyAlignment="1" applyProtection="1">
      <alignment horizontal="right" vertical="center"/>
    </xf>
    <xf numFmtId="3" fontId="17" fillId="0" borderId="7" xfId="0" applyNumberFormat="1" applyFont="1" applyBorder="1" applyAlignment="1" applyProtection="1">
      <alignment horizontal="right" vertical="center"/>
    </xf>
    <xf numFmtId="3" fontId="17" fillId="0" borderId="26" xfId="0" applyNumberFormat="1" applyFont="1" applyFill="1" applyBorder="1" applyAlignment="1" applyProtection="1">
      <alignment horizontal="right" vertical="center"/>
    </xf>
    <xf numFmtId="49" fontId="17" fillId="0" borderId="26" xfId="0" applyNumberFormat="1" applyFont="1" applyBorder="1" applyAlignment="1" applyProtection="1">
      <alignment horizontal="left" vertical="center"/>
      <protection locked="0"/>
    </xf>
    <xf numFmtId="49" fontId="17" fillId="0" borderId="0" xfId="0" applyNumberFormat="1" applyFont="1" applyBorder="1" applyAlignment="1" applyProtection="1">
      <alignment horizontal="left" vertical="center"/>
      <protection locked="0"/>
    </xf>
    <xf numFmtId="3" fontId="17" fillId="0" borderId="25" xfId="0" applyNumberFormat="1" applyFont="1" applyBorder="1" applyAlignment="1" applyProtection="1">
      <alignment horizontal="right" vertical="center"/>
    </xf>
    <xf numFmtId="0" fontId="21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1" xfId="0" applyFont="1" applyBorder="1"/>
    <xf numFmtId="0" fontId="1" fillId="0" borderId="17" xfId="0" applyFont="1" applyBorder="1"/>
    <xf numFmtId="0" fontId="1" fillId="0" borderId="16" xfId="0" applyFont="1" applyBorder="1"/>
    <xf numFmtId="0" fontId="1" fillId="0" borderId="22" xfId="0" applyFont="1" applyBorder="1"/>
    <xf numFmtId="0" fontId="1" fillId="0" borderId="23" xfId="0" applyFont="1" applyBorder="1"/>
    <xf numFmtId="0" fontId="21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/>
    <xf numFmtId="0" fontId="18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left"/>
      <protection locked="0"/>
    </xf>
    <xf numFmtId="0" fontId="21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3" xfId="0" applyNumberFormat="1" applyFont="1" applyFill="1" applyBorder="1" applyAlignment="1" applyProtection="1">
      <alignment horizontal="center" vertical="center" wrapText="1"/>
      <protection locked="0"/>
    </xf>
    <xf numFmtId="3" fontId="17" fillId="0" borderId="34" xfId="0" applyNumberFormat="1" applyFont="1" applyFill="1" applyBorder="1" applyAlignment="1" applyProtection="1">
      <alignment horizontal="right" vertical="center"/>
    </xf>
    <xf numFmtId="0" fontId="18" fillId="0" borderId="5" xfId="0" applyNumberFormat="1" applyFont="1" applyFill="1" applyBorder="1" applyAlignment="1" applyProtection="1">
      <alignment horizontal="left" vertical="center" wrapText="1"/>
      <protection locked="0"/>
    </xf>
    <xf numFmtId="0" fontId="18" fillId="0" borderId="27" xfId="0" applyNumberFormat="1" applyFont="1" applyFill="1" applyBorder="1" applyAlignment="1" applyProtection="1">
      <alignment horizontal="left" vertical="center" wrapText="1"/>
      <protection locked="0"/>
    </xf>
    <xf numFmtId="0" fontId="21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Border="1"/>
    <xf numFmtId="0" fontId="1" fillId="0" borderId="27" xfId="0" applyFont="1" applyBorder="1"/>
    <xf numFmtId="0" fontId="2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49" fontId="14" fillId="0" borderId="0" xfId="0" applyNumberFormat="1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/>
    </xf>
    <xf numFmtId="49" fontId="14" fillId="0" borderId="0" xfId="0" applyNumberFormat="1" applyFont="1" applyBorder="1" applyAlignment="1">
      <alignment horizontal="left" vertical="center"/>
    </xf>
    <xf numFmtId="49" fontId="14" fillId="0" borderId="0" xfId="0" applyNumberFormat="1" applyFont="1" applyBorder="1" applyAlignment="1">
      <alignment horizontal="center" vertical="center" wrapText="1"/>
    </xf>
    <xf numFmtId="3" fontId="24" fillId="0" borderId="15" xfId="0" applyNumberFormat="1" applyFont="1" applyBorder="1" applyAlignment="1">
      <alignment horizontal="right" vertical="top"/>
    </xf>
    <xf numFmtId="3" fontId="24" fillId="0" borderId="0" xfId="0" applyNumberFormat="1" applyFont="1" applyBorder="1" applyAlignment="1">
      <alignment horizontal="right" vertical="top"/>
    </xf>
    <xf numFmtId="0" fontId="24" fillId="0" borderId="15" xfId="0" applyFont="1" applyBorder="1" applyAlignment="1">
      <alignment horizontal="right" vertical="top"/>
    </xf>
    <xf numFmtId="0" fontId="24" fillId="0" borderId="0" xfId="0" applyFont="1" applyBorder="1" applyAlignment="1">
      <alignment horizontal="right" vertical="top"/>
    </xf>
    <xf numFmtId="3" fontId="24" fillId="0" borderId="35" xfId="0" applyNumberFormat="1" applyFont="1" applyBorder="1" applyAlignment="1">
      <alignment horizontal="right" vertical="top"/>
    </xf>
    <xf numFmtId="3" fontId="24" fillId="0" borderId="18" xfId="0" applyNumberFormat="1" applyFont="1" applyBorder="1" applyAlignment="1">
      <alignment horizontal="right" vertical="top"/>
    </xf>
    <xf numFmtId="3" fontId="24" fillId="0" borderId="1" xfId="0" applyNumberFormat="1" applyFont="1" applyBorder="1" applyAlignment="1">
      <alignment horizontal="right" vertical="top"/>
    </xf>
    <xf numFmtId="0" fontId="24" fillId="0" borderId="1" xfId="0" applyFont="1" applyBorder="1" applyAlignment="1">
      <alignment horizontal="right" vertical="top"/>
    </xf>
    <xf numFmtId="3" fontId="24" fillId="0" borderId="36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55" workbookViewId="0">
      <selection activeCell="A55" sqref="A1:IV65536"/>
    </sheetView>
  </sheetViews>
  <sheetFormatPr defaultRowHeight="15.05"/>
  <cols>
    <col min="2" max="2" width="20.109375" bestFit="1" customWidth="1"/>
  </cols>
  <sheetData>
    <row r="1" spans="1:13">
      <c r="A1" s="8" t="s">
        <v>111</v>
      </c>
      <c r="B1" s="9" t="s">
        <v>34</v>
      </c>
      <c r="C1" s="10"/>
      <c r="D1" s="11"/>
      <c r="E1" s="11"/>
      <c r="F1" s="11"/>
      <c r="G1" s="11"/>
      <c r="H1" s="165" t="s">
        <v>112</v>
      </c>
      <c r="I1" s="12"/>
      <c r="J1" s="10"/>
      <c r="K1" s="10"/>
      <c r="L1" s="10"/>
      <c r="M1" s="13"/>
    </row>
    <row r="2" spans="1:13">
      <c r="A2" s="14" t="s">
        <v>113</v>
      </c>
      <c r="B2" s="15" t="s">
        <v>35</v>
      </c>
      <c r="C2" s="16"/>
      <c r="D2" s="16"/>
      <c r="E2" s="16"/>
      <c r="F2" s="16"/>
      <c r="G2" s="16"/>
      <c r="H2" s="166"/>
      <c r="I2" s="17"/>
      <c r="J2" s="16"/>
      <c r="K2" s="16"/>
      <c r="L2" s="16"/>
      <c r="M2" s="18"/>
    </row>
    <row r="3" spans="1:13">
      <c r="A3" s="14" t="s">
        <v>114</v>
      </c>
      <c r="B3" s="15" t="s">
        <v>36</v>
      </c>
      <c r="C3" s="16"/>
      <c r="D3" s="168" t="s">
        <v>115</v>
      </c>
      <c r="E3" s="168"/>
      <c r="F3" s="168"/>
      <c r="G3" s="168"/>
      <c r="H3" s="166"/>
      <c r="I3" s="17"/>
      <c r="J3" s="16"/>
      <c r="K3" s="16"/>
      <c r="L3" s="16"/>
      <c r="M3" s="18"/>
    </row>
    <row r="4" spans="1:13">
      <c r="A4" s="14" t="s">
        <v>116</v>
      </c>
      <c r="B4" s="15" t="s">
        <v>37</v>
      </c>
      <c r="C4" s="16"/>
      <c r="D4" s="19" t="s">
        <v>117</v>
      </c>
      <c r="E4" s="16"/>
      <c r="F4" s="16"/>
      <c r="G4" s="16"/>
      <c r="H4" s="166"/>
      <c r="I4" s="17"/>
      <c r="J4" s="16"/>
      <c r="K4" s="16"/>
      <c r="L4" s="16"/>
      <c r="M4" s="18"/>
    </row>
    <row r="5" spans="1:13">
      <c r="A5" s="14" t="s">
        <v>118</v>
      </c>
      <c r="B5" s="15" t="s">
        <v>38</v>
      </c>
      <c r="C5" s="16"/>
      <c r="D5" s="16"/>
      <c r="E5" s="16"/>
      <c r="F5" s="16"/>
      <c r="G5" s="16"/>
      <c r="H5" s="166"/>
      <c r="I5" s="17"/>
      <c r="J5" s="16"/>
      <c r="K5" s="16"/>
      <c r="L5" s="16"/>
      <c r="M5" s="18"/>
    </row>
    <row r="6" spans="1:13">
      <c r="A6" s="14" t="s">
        <v>119</v>
      </c>
      <c r="B6" s="15" t="s">
        <v>39</v>
      </c>
      <c r="C6" s="16"/>
      <c r="D6" s="16"/>
      <c r="E6" s="16"/>
      <c r="F6" s="16"/>
      <c r="G6" s="16"/>
      <c r="H6" s="166"/>
      <c r="I6" s="17"/>
      <c r="J6" s="16"/>
      <c r="K6" s="16"/>
      <c r="L6" s="16"/>
      <c r="M6" s="18"/>
    </row>
    <row r="7" spans="1:13">
      <c r="A7" s="20" t="s">
        <v>120</v>
      </c>
      <c r="B7" s="21" t="s">
        <v>40</v>
      </c>
      <c r="C7" s="22"/>
      <c r="D7" s="23"/>
      <c r="E7" s="22"/>
      <c r="F7" s="22"/>
      <c r="G7" s="22"/>
      <c r="H7" s="166"/>
      <c r="I7" s="24"/>
      <c r="J7" s="22"/>
      <c r="K7" s="22"/>
      <c r="L7" s="22"/>
      <c r="M7" s="25"/>
    </row>
    <row r="8" spans="1:13">
      <c r="A8" s="20" t="s">
        <v>121</v>
      </c>
      <c r="B8" s="26" t="s">
        <v>41</v>
      </c>
      <c r="C8" s="22"/>
      <c r="D8" s="22"/>
      <c r="E8" s="22"/>
      <c r="F8" s="22"/>
      <c r="G8" s="22"/>
      <c r="H8" s="166"/>
      <c r="I8" s="24"/>
      <c r="J8" s="26"/>
      <c r="K8" s="27"/>
      <c r="L8" s="22"/>
      <c r="M8" s="25"/>
    </row>
    <row r="9" spans="1:13">
      <c r="A9" s="20" t="s">
        <v>122</v>
      </c>
      <c r="B9" s="26" t="s">
        <v>42</v>
      </c>
      <c r="C9" s="22"/>
      <c r="D9" s="22"/>
      <c r="E9" s="22"/>
      <c r="F9" s="22"/>
      <c r="G9" s="22"/>
      <c r="H9" s="166"/>
      <c r="I9" s="24"/>
      <c r="J9" s="22"/>
      <c r="K9" s="22"/>
      <c r="L9" s="22"/>
      <c r="M9" s="25"/>
    </row>
    <row r="10" spans="1:13">
      <c r="A10" s="20" t="s">
        <v>123</v>
      </c>
      <c r="B10" s="26" t="s">
        <v>43</v>
      </c>
      <c r="C10" s="22"/>
      <c r="D10" s="22"/>
      <c r="E10" s="22"/>
      <c r="F10" s="22"/>
      <c r="G10" s="22"/>
      <c r="H10" s="166"/>
      <c r="I10" s="24"/>
      <c r="J10" s="22"/>
      <c r="K10" s="22"/>
      <c r="L10" s="22"/>
      <c r="M10" s="25"/>
    </row>
    <row r="11" spans="1:13">
      <c r="A11" s="20" t="s">
        <v>124</v>
      </c>
      <c r="B11" s="26" t="s">
        <v>44</v>
      </c>
      <c r="C11" s="22"/>
      <c r="D11" s="28" t="s">
        <v>125</v>
      </c>
      <c r="E11" s="22"/>
      <c r="F11" s="22"/>
      <c r="G11" s="22"/>
      <c r="H11" s="166"/>
      <c r="I11" s="24"/>
      <c r="J11" s="22"/>
      <c r="K11" s="22"/>
      <c r="L11" s="22"/>
      <c r="M11" s="25"/>
    </row>
    <row r="12" spans="1:13">
      <c r="A12" s="20" t="s">
        <v>126</v>
      </c>
      <c r="B12" s="26" t="s">
        <v>45</v>
      </c>
      <c r="C12" s="22"/>
      <c r="D12" s="22"/>
      <c r="E12" s="22"/>
      <c r="F12" s="22"/>
      <c r="G12" s="22"/>
      <c r="H12" s="166"/>
      <c r="I12" s="24"/>
      <c r="J12" s="22"/>
      <c r="K12" s="22"/>
      <c r="L12" s="22"/>
      <c r="M12" s="25"/>
    </row>
    <row r="13" spans="1:13">
      <c r="A13" s="20" t="s">
        <v>127</v>
      </c>
      <c r="B13" s="26" t="s">
        <v>46</v>
      </c>
      <c r="C13" s="22"/>
      <c r="D13" s="22"/>
      <c r="E13" s="22"/>
      <c r="F13" s="22"/>
      <c r="G13" s="22"/>
      <c r="H13" s="166"/>
      <c r="I13" s="24"/>
      <c r="J13" s="22"/>
      <c r="K13" s="22"/>
      <c r="L13" s="22"/>
      <c r="M13" s="25"/>
    </row>
    <row r="14" spans="1:13">
      <c r="A14" s="20" t="s">
        <v>128</v>
      </c>
      <c r="B14" s="26" t="s">
        <v>47</v>
      </c>
      <c r="C14" s="22"/>
      <c r="D14" s="22"/>
      <c r="E14" s="22"/>
      <c r="F14" s="22"/>
      <c r="G14" s="22"/>
      <c r="H14" s="166"/>
      <c r="I14" s="24"/>
      <c r="J14" s="22"/>
      <c r="K14" s="22"/>
      <c r="L14" s="22"/>
      <c r="M14" s="25"/>
    </row>
    <row r="15" spans="1:13">
      <c r="A15" s="20" t="s">
        <v>129</v>
      </c>
      <c r="B15" s="26" t="s">
        <v>48</v>
      </c>
      <c r="C15" s="22"/>
      <c r="D15" s="22"/>
      <c r="E15" s="22"/>
      <c r="F15" s="22"/>
      <c r="G15" s="22"/>
      <c r="H15" s="166"/>
      <c r="I15" s="24"/>
      <c r="J15" s="22"/>
      <c r="K15" s="22"/>
      <c r="L15" s="22"/>
      <c r="M15" s="25"/>
    </row>
    <row r="16" spans="1:13">
      <c r="A16" s="20" t="s">
        <v>130</v>
      </c>
      <c r="B16" s="26" t="s">
        <v>49</v>
      </c>
      <c r="C16" s="22"/>
      <c r="D16" s="22"/>
      <c r="E16" s="22"/>
      <c r="F16" s="22"/>
      <c r="G16" s="22"/>
      <c r="H16" s="166"/>
      <c r="I16" s="24"/>
      <c r="J16" s="22"/>
      <c r="K16" s="22"/>
      <c r="L16" s="22"/>
      <c r="M16" s="25"/>
    </row>
    <row r="17" spans="1:13">
      <c r="A17" s="20" t="s">
        <v>131</v>
      </c>
      <c r="B17" s="26" t="s">
        <v>50</v>
      </c>
      <c r="C17" s="22"/>
      <c r="D17" s="22"/>
      <c r="E17" s="22"/>
      <c r="F17" s="22"/>
      <c r="G17" s="22"/>
      <c r="H17" s="166"/>
      <c r="I17" s="24"/>
      <c r="J17" s="22"/>
      <c r="K17" s="22"/>
      <c r="L17" s="22"/>
      <c r="M17" s="25"/>
    </row>
    <row r="18" spans="1:13">
      <c r="A18" s="29" t="s">
        <v>132</v>
      </c>
      <c r="B18" s="30" t="s">
        <v>51</v>
      </c>
      <c r="C18" s="31"/>
      <c r="D18" s="32"/>
      <c r="E18" s="31"/>
      <c r="F18" s="31"/>
      <c r="G18" s="31"/>
      <c r="H18" s="166"/>
      <c r="I18" s="33"/>
      <c r="J18" s="30"/>
      <c r="K18" s="30"/>
      <c r="L18" s="31"/>
      <c r="M18" s="34"/>
    </row>
    <row r="19" spans="1:13">
      <c r="A19" s="29" t="s">
        <v>133</v>
      </c>
      <c r="B19" s="30" t="s">
        <v>52</v>
      </c>
      <c r="C19" s="31"/>
      <c r="D19" s="31"/>
      <c r="E19" s="31"/>
      <c r="F19" s="31"/>
      <c r="G19" s="31"/>
      <c r="H19" s="166"/>
      <c r="I19" s="33"/>
      <c r="J19" s="30"/>
      <c r="K19" s="30"/>
      <c r="L19" s="31"/>
      <c r="M19" s="34"/>
    </row>
    <row r="20" spans="1:13">
      <c r="A20" s="29" t="s">
        <v>134</v>
      </c>
      <c r="B20" s="30" t="s">
        <v>53</v>
      </c>
      <c r="C20" s="31"/>
      <c r="D20" s="35" t="s">
        <v>135</v>
      </c>
      <c r="E20" s="31"/>
      <c r="F20" s="31"/>
      <c r="G20" s="31"/>
      <c r="H20" s="166"/>
      <c r="I20" s="33"/>
      <c r="J20" s="30"/>
      <c r="K20" s="30"/>
      <c r="L20" s="31"/>
      <c r="M20" s="34"/>
    </row>
    <row r="21" spans="1:13" ht="15.65" thickBot="1">
      <c r="A21" s="36" t="s">
        <v>136</v>
      </c>
      <c r="B21" s="37" t="s">
        <v>54</v>
      </c>
      <c r="C21" s="38"/>
      <c r="D21" s="38"/>
      <c r="E21" s="38"/>
      <c r="F21" s="38"/>
      <c r="G21" s="38"/>
      <c r="H21" s="167"/>
      <c r="I21" s="39"/>
      <c r="J21" s="37"/>
      <c r="K21" s="37"/>
      <c r="L21" s="38"/>
      <c r="M21" s="40"/>
    </row>
    <row r="22" spans="1:13">
      <c r="A22" s="41" t="s">
        <v>137</v>
      </c>
      <c r="B22" s="42" t="s">
        <v>55</v>
      </c>
      <c r="C22" s="43"/>
      <c r="D22" s="44"/>
      <c r="E22" s="43"/>
      <c r="F22" s="43"/>
      <c r="G22" s="45"/>
      <c r="H22" s="169" t="s">
        <v>138</v>
      </c>
      <c r="I22" s="43"/>
      <c r="J22" s="42"/>
      <c r="K22" s="42"/>
      <c r="L22" s="43"/>
      <c r="M22" s="46"/>
    </row>
    <row r="23" spans="1:13">
      <c r="A23" s="47" t="s">
        <v>139</v>
      </c>
      <c r="B23" s="48" t="s">
        <v>56</v>
      </c>
      <c r="C23" s="49"/>
      <c r="D23" s="49"/>
      <c r="E23" s="49"/>
      <c r="F23" s="49"/>
      <c r="G23" s="50"/>
      <c r="H23" s="170"/>
      <c r="I23" s="49"/>
      <c r="J23" s="48"/>
      <c r="K23" s="48"/>
      <c r="L23" s="49"/>
      <c r="M23" s="51"/>
    </row>
    <row r="24" spans="1:13">
      <c r="A24" s="47" t="s">
        <v>140</v>
      </c>
      <c r="B24" s="48" t="s">
        <v>57</v>
      </c>
      <c r="C24" s="49"/>
      <c r="D24" s="52" t="s">
        <v>141</v>
      </c>
      <c r="E24" s="49"/>
      <c r="F24" s="49"/>
      <c r="G24" s="50"/>
      <c r="H24" s="170"/>
      <c r="I24" s="49"/>
      <c r="J24" s="48"/>
      <c r="K24" s="48"/>
      <c r="L24" s="49"/>
      <c r="M24" s="51"/>
    </row>
    <row r="25" spans="1:13">
      <c r="A25" s="47" t="s">
        <v>142</v>
      </c>
      <c r="B25" s="48" t="s">
        <v>58</v>
      </c>
      <c r="C25" s="49"/>
      <c r="D25" s="49"/>
      <c r="E25" s="49"/>
      <c r="F25" s="49"/>
      <c r="G25" s="50"/>
      <c r="H25" s="170"/>
      <c r="I25" s="49"/>
      <c r="J25" s="48"/>
      <c r="K25" s="48"/>
      <c r="L25" s="49"/>
      <c r="M25" s="51"/>
    </row>
    <row r="26" spans="1:13">
      <c r="A26" s="47" t="s">
        <v>143</v>
      </c>
      <c r="B26" s="48" t="s">
        <v>59</v>
      </c>
      <c r="C26" s="49"/>
      <c r="D26" s="49"/>
      <c r="E26" s="49"/>
      <c r="F26" s="49"/>
      <c r="G26" s="50"/>
      <c r="H26" s="170"/>
      <c r="I26" s="49"/>
      <c r="J26" s="48"/>
      <c r="K26" s="48"/>
      <c r="L26" s="49"/>
      <c r="M26" s="51"/>
    </row>
    <row r="27" spans="1:13">
      <c r="A27" s="53" t="s">
        <v>144</v>
      </c>
      <c r="B27" s="54" t="s">
        <v>60</v>
      </c>
      <c r="C27" s="55"/>
      <c r="D27" s="56"/>
      <c r="E27" s="55"/>
      <c r="F27" s="55"/>
      <c r="G27" s="57"/>
      <c r="H27" s="170"/>
      <c r="I27" s="55"/>
      <c r="J27" s="54"/>
      <c r="K27" s="54"/>
      <c r="L27" s="55"/>
      <c r="M27" s="58"/>
    </row>
    <row r="28" spans="1:13">
      <c r="A28" s="53" t="s">
        <v>145</v>
      </c>
      <c r="B28" s="54" t="s">
        <v>61</v>
      </c>
      <c r="C28" s="55"/>
      <c r="D28" s="55"/>
      <c r="E28" s="55"/>
      <c r="F28" s="55"/>
      <c r="G28" s="57"/>
      <c r="H28" s="170"/>
      <c r="I28" s="55"/>
      <c r="J28" s="54"/>
      <c r="K28" s="54"/>
      <c r="L28" s="55"/>
      <c r="M28" s="58"/>
    </row>
    <row r="29" spans="1:13">
      <c r="A29" s="53" t="s">
        <v>146</v>
      </c>
      <c r="B29" s="54" t="s">
        <v>62</v>
      </c>
      <c r="C29" s="55"/>
      <c r="D29" s="59" t="s">
        <v>147</v>
      </c>
      <c r="E29" s="55"/>
      <c r="F29" s="55"/>
      <c r="G29" s="57"/>
      <c r="H29" s="170"/>
      <c r="I29" s="55"/>
      <c r="J29" s="54"/>
      <c r="K29" s="54"/>
      <c r="L29" s="55"/>
      <c r="M29" s="58"/>
    </row>
    <row r="30" spans="1:13">
      <c r="A30" s="53" t="s">
        <v>148</v>
      </c>
      <c r="B30" s="54" t="s">
        <v>63</v>
      </c>
      <c r="C30" s="55"/>
      <c r="D30" s="55"/>
      <c r="E30" s="55"/>
      <c r="F30" s="55"/>
      <c r="G30" s="57"/>
      <c r="H30" s="170"/>
      <c r="I30" s="55"/>
      <c r="J30" s="54"/>
      <c r="K30" s="54"/>
      <c r="L30" s="55"/>
      <c r="M30" s="58"/>
    </row>
    <row r="31" spans="1:13" ht="15.65" thickBot="1">
      <c r="A31" s="60" t="s">
        <v>149</v>
      </c>
      <c r="B31" s="61" t="s">
        <v>64</v>
      </c>
      <c r="C31" s="62"/>
      <c r="D31" s="62"/>
      <c r="E31" s="62"/>
      <c r="F31" s="62"/>
      <c r="G31" s="63"/>
      <c r="H31" s="171"/>
      <c r="I31" s="62"/>
      <c r="J31" s="61"/>
      <c r="K31" s="61"/>
      <c r="L31" s="62"/>
      <c r="M31" s="64"/>
    </row>
    <row r="32" spans="1:13">
      <c r="A32" s="65" t="s">
        <v>150</v>
      </c>
      <c r="B32" s="66" t="s">
        <v>65</v>
      </c>
      <c r="C32" s="67"/>
      <c r="D32" s="68"/>
      <c r="E32" s="69"/>
      <c r="F32" s="69"/>
      <c r="G32" s="70"/>
      <c r="H32" s="172" t="s">
        <v>151</v>
      </c>
      <c r="I32" s="69"/>
      <c r="J32" s="68"/>
      <c r="K32" s="68"/>
      <c r="L32" s="69"/>
      <c r="M32" s="71"/>
    </row>
    <row r="33" spans="1:13">
      <c r="A33" s="72" t="s">
        <v>152</v>
      </c>
      <c r="B33" s="73" t="s">
        <v>66</v>
      </c>
      <c r="C33" s="74"/>
      <c r="D33" s="74"/>
      <c r="E33" s="74"/>
      <c r="F33" s="74"/>
      <c r="G33" s="75"/>
      <c r="H33" s="173"/>
      <c r="I33" s="74"/>
      <c r="J33" s="73"/>
      <c r="K33" s="73"/>
      <c r="L33" s="74"/>
      <c r="M33" s="76"/>
    </row>
    <row r="34" spans="1:13">
      <c r="A34" s="72" t="s">
        <v>153</v>
      </c>
      <c r="B34" s="73" t="s">
        <v>67</v>
      </c>
      <c r="C34" s="74"/>
      <c r="D34" s="77" t="s">
        <v>154</v>
      </c>
      <c r="E34" s="74"/>
      <c r="F34" s="74"/>
      <c r="G34" s="75"/>
      <c r="H34" s="173"/>
      <c r="I34" s="74"/>
      <c r="J34" s="73"/>
      <c r="K34" s="73"/>
      <c r="L34" s="74"/>
      <c r="M34" s="76"/>
    </row>
    <row r="35" spans="1:13">
      <c r="A35" s="72" t="s">
        <v>155</v>
      </c>
      <c r="B35" s="73" t="s">
        <v>68</v>
      </c>
      <c r="C35" s="74"/>
      <c r="D35" s="74"/>
      <c r="E35" s="74"/>
      <c r="F35" s="74"/>
      <c r="G35" s="75"/>
      <c r="H35" s="173"/>
      <c r="I35" s="74"/>
      <c r="J35" s="73"/>
      <c r="K35" s="73"/>
      <c r="L35" s="74"/>
      <c r="M35" s="76"/>
    </row>
    <row r="36" spans="1:13">
      <c r="A36" s="72" t="s">
        <v>156</v>
      </c>
      <c r="B36" s="73" t="s">
        <v>69</v>
      </c>
      <c r="C36" s="74"/>
      <c r="D36" s="74"/>
      <c r="E36" s="74"/>
      <c r="F36" s="74"/>
      <c r="G36" s="75"/>
      <c r="H36" s="173"/>
      <c r="I36" s="74"/>
      <c r="J36" s="73"/>
      <c r="K36" s="73"/>
      <c r="L36" s="74"/>
      <c r="M36" s="76"/>
    </row>
    <row r="37" spans="1:13">
      <c r="A37" s="78" t="s">
        <v>157</v>
      </c>
      <c r="B37" s="79" t="s">
        <v>70</v>
      </c>
      <c r="C37" s="80"/>
      <c r="D37" s="81"/>
      <c r="E37" s="80"/>
      <c r="F37" s="80"/>
      <c r="G37" s="82"/>
      <c r="H37" s="173"/>
      <c r="I37" s="80"/>
      <c r="J37" s="79"/>
      <c r="K37" s="79"/>
      <c r="L37" s="80"/>
      <c r="M37" s="83"/>
    </row>
    <row r="38" spans="1:13">
      <c r="A38" s="78" t="s">
        <v>158</v>
      </c>
      <c r="B38" s="79" t="s">
        <v>71</v>
      </c>
      <c r="C38" s="80"/>
      <c r="D38" s="84" t="s">
        <v>159</v>
      </c>
      <c r="E38" s="80"/>
      <c r="F38" s="80"/>
      <c r="G38" s="82"/>
      <c r="H38" s="173"/>
      <c r="I38" s="80"/>
      <c r="J38" s="79"/>
      <c r="K38" s="79"/>
      <c r="L38" s="80"/>
      <c r="M38" s="83"/>
    </row>
    <row r="39" spans="1:13">
      <c r="A39" s="78" t="s">
        <v>160</v>
      </c>
      <c r="B39" s="79" t="s">
        <v>72</v>
      </c>
      <c r="C39" s="80"/>
      <c r="D39" s="80"/>
      <c r="E39" s="80"/>
      <c r="F39" s="80"/>
      <c r="G39" s="82"/>
      <c r="H39" s="173"/>
      <c r="I39" s="80"/>
      <c r="J39" s="79"/>
      <c r="K39" s="79"/>
      <c r="L39" s="80"/>
      <c r="M39" s="83"/>
    </row>
    <row r="40" spans="1:13">
      <c r="A40" s="85" t="s">
        <v>161</v>
      </c>
      <c r="B40" s="86" t="s">
        <v>73</v>
      </c>
      <c r="C40" s="87"/>
      <c r="D40" s="88"/>
      <c r="E40" s="89"/>
      <c r="F40" s="89"/>
      <c r="G40" s="90"/>
      <c r="H40" s="173"/>
      <c r="I40" s="87"/>
      <c r="J40" s="86"/>
      <c r="K40" s="86"/>
      <c r="L40" s="87"/>
      <c r="M40" s="91"/>
    </row>
    <row r="41" spans="1:13">
      <c r="A41" s="85" t="s">
        <v>162</v>
      </c>
      <c r="B41" s="86" t="s">
        <v>74</v>
      </c>
      <c r="C41" s="87"/>
      <c r="D41" s="87"/>
      <c r="E41" s="87"/>
      <c r="F41" s="87"/>
      <c r="G41" s="90"/>
      <c r="H41" s="173"/>
      <c r="I41" s="87"/>
      <c r="J41" s="86"/>
      <c r="K41" s="86"/>
      <c r="L41" s="87"/>
      <c r="M41" s="91"/>
    </row>
    <row r="42" spans="1:13">
      <c r="A42" s="85" t="s">
        <v>163</v>
      </c>
      <c r="B42" s="86" t="s">
        <v>75</v>
      </c>
      <c r="C42" s="87"/>
      <c r="D42" s="88" t="s">
        <v>164</v>
      </c>
      <c r="E42" s="87"/>
      <c r="F42" s="87"/>
      <c r="G42" s="90"/>
      <c r="H42" s="173"/>
      <c r="I42" s="87"/>
      <c r="J42" s="86"/>
      <c r="K42" s="86"/>
      <c r="L42" s="87"/>
      <c r="M42" s="91"/>
    </row>
    <row r="43" spans="1:13">
      <c r="A43" s="85" t="s">
        <v>165</v>
      </c>
      <c r="B43" s="86" t="s">
        <v>76</v>
      </c>
      <c r="C43" s="87"/>
      <c r="D43" s="87"/>
      <c r="E43" s="87"/>
      <c r="F43" s="87"/>
      <c r="G43" s="90"/>
      <c r="H43" s="173"/>
      <c r="I43" s="87"/>
      <c r="J43" s="86"/>
      <c r="K43" s="86"/>
      <c r="L43" s="87"/>
      <c r="M43" s="91"/>
    </row>
    <row r="44" spans="1:13" ht="15.65" thickBot="1">
      <c r="A44" s="92" t="s">
        <v>166</v>
      </c>
      <c r="B44" s="93" t="s">
        <v>77</v>
      </c>
      <c r="C44" s="94"/>
      <c r="D44" s="94"/>
      <c r="E44" s="94"/>
      <c r="F44" s="94"/>
      <c r="G44" s="95"/>
      <c r="H44" s="174"/>
      <c r="I44" s="94"/>
      <c r="J44" s="93"/>
      <c r="K44" s="93"/>
      <c r="L44" s="94"/>
      <c r="M44" s="96"/>
    </row>
    <row r="45" spans="1:13">
      <c r="A45" s="65" t="s">
        <v>167</v>
      </c>
      <c r="B45" s="66" t="s">
        <v>78</v>
      </c>
      <c r="C45" s="67"/>
      <c r="D45" s="67"/>
      <c r="E45" s="97"/>
      <c r="F45" s="67"/>
      <c r="G45" s="67"/>
      <c r="H45" s="165" t="s">
        <v>168</v>
      </c>
      <c r="I45" s="67"/>
      <c r="J45" s="66"/>
      <c r="K45" s="66"/>
      <c r="L45" s="67"/>
      <c r="M45" s="98"/>
    </row>
    <row r="46" spans="1:13">
      <c r="A46" s="72" t="s">
        <v>169</v>
      </c>
      <c r="B46" s="73" t="s">
        <v>79</v>
      </c>
      <c r="C46" s="74"/>
      <c r="D46" s="74"/>
      <c r="E46" s="74"/>
      <c r="F46" s="74"/>
      <c r="G46" s="74"/>
      <c r="H46" s="166"/>
      <c r="I46" s="74"/>
      <c r="J46" s="73"/>
      <c r="K46" s="73"/>
      <c r="L46" s="74"/>
      <c r="M46" s="76"/>
    </row>
    <row r="47" spans="1:13">
      <c r="A47" s="72" t="s">
        <v>170</v>
      </c>
      <c r="B47" s="73" t="s">
        <v>80</v>
      </c>
      <c r="C47" s="74"/>
      <c r="D47" s="74"/>
      <c r="E47" s="74"/>
      <c r="F47" s="74"/>
      <c r="G47" s="74"/>
      <c r="H47" s="166"/>
      <c r="I47" s="74"/>
      <c r="J47" s="73"/>
      <c r="K47" s="73"/>
      <c r="L47" s="74"/>
      <c r="M47" s="76"/>
    </row>
    <row r="48" spans="1:13">
      <c r="A48" s="72" t="s">
        <v>171</v>
      </c>
      <c r="B48" s="73" t="s">
        <v>81</v>
      </c>
      <c r="C48" s="74"/>
      <c r="D48" s="74"/>
      <c r="E48" s="74"/>
      <c r="F48" s="74"/>
      <c r="G48" s="74"/>
      <c r="H48" s="166"/>
      <c r="I48" s="74"/>
      <c r="J48" s="73"/>
      <c r="K48" s="73"/>
      <c r="L48" s="74"/>
      <c r="M48" s="76"/>
    </row>
    <row r="49" spans="1:13">
      <c r="A49" s="72" t="s">
        <v>172</v>
      </c>
      <c r="B49" s="73" t="s">
        <v>82</v>
      </c>
      <c r="C49" s="74"/>
      <c r="D49" s="74"/>
      <c r="E49" s="99" t="s">
        <v>173</v>
      </c>
      <c r="F49" s="74"/>
      <c r="G49" s="74"/>
      <c r="H49" s="166"/>
      <c r="I49" s="74"/>
      <c r="J49" s="73"/>
      <c r="K49" s="73"/>
      <c r="L49" s="74"/>
      <c r="M49" s="76"/>
    </row>
    <row r="50" spans="1:13">
      <c r="A50" s="72" t="s">
        <v>174</v>
      </c>
      <c r="B50" s="73" t="s">
        <v>83</v>
      </c>
      <c r="C50" s="74"/>
      <c r="D50" s="74"/>
      <c r="E50" s="74"/>
      <c r="F50" s="74"/>
      <c r="G50" s="74"/>
      <c r="H50" s="166"/>
      <c r="I50" s="74"/>
      <c r="J50" s="73"/>
      <c r="K50" s="73"/>
      <c r="L50" s="74"/>
      <c r="M50" s="76"/>
    </row>
    <row r="51" spans="1:13">
      <c r="A51" s="72" t="s">
        <v>175</v>
      </c>
      <c r="B51" s="73" t="s">
        <v>84</v>
      </c>
      <c r="C51" s="74"/>
      <c r="D51" s="74"/>
      <c r="E51" s="74"/>
      <c r="F51" s="74"/>
      <c r="G51" s="74"/>
      <c r="H51" s="166"/>
      <c r="I51" s="74"/>
      <c r="J51" s="73"/>
      <c r="K51" s="73"/>
      <c r="L51" s="74"/>
      <c r="M51" s="76"/>
    </row>
    <row r="52" spans="1:13" ht="15.65" thickBot="1">
      <c r="A52" s="100" t="s">
        <v>176</v>
      </c>
      <c r="B52" s="101" t="s">
        <v>85</v>
      </c>
      <c r="C52" s="102"/>
      <c r="D52" s="102"/>
      <c r="E52" s="102"/>
      <c r="F52" s="102"/>
      <c r="G52" s="102"/>
      <c r="H52" s="167"/>
      <c r="I52" s="102"/>
      <c r="J52" s="101"/>
      <c r="K52" s="101"/>
      <c r="L52" s="102"/>
      <c r="M52" s="103"/>
    </row>
    <row r="53" spans="1:13">
      <c r="A53" s="8" t="s">
        <v>177</v>
      </c>
      <c r="B53" s="104" t="s">
        <v>86</v>
      </c>
      <c r="C53" s="10"/>
      <c r="D53" s="105"/>
      <c r="E53" s="10"/>
      <c r="F53" s="10"/>
      <c r="G53" s="10"/>
      <c r="H53" s="162" t="s">
        <v>178</v>
      </c>
      <c r="I53" s="10"/>
      <c r="J53" s="104"/>
      <c r="K53" s="104"/>
      <c r="L53" s="10"/>
      <c r="M53" s="13"/>
    </row>
    <row r="54" spans="1:13">
      <c r="A54" s="14" t="s">
        <v>179</v>
      </c>
      <c r="B54" s="106" t="s">
        <v>87</v>
      </c>
      <c r="C54" s="16"/>
      <c r="D54" s="16"/>
      <c r="E54" s="16"/>
      <c r="F54" s="16"/>
      <c r="G54" s="16"/>
      <c r="H54" s="163"/>
      <c r="I54" s="16"/>
      <c r="J54" s="106"/>
      <c r="K54" s="106"/>
      <c r="L54" s="16"/>
      <c r="M54" s="18"/>
    </row>
    <row r="55" spans="1:13">
      <c r="A55" s="14" t="s">
        <v>180</v>
      </c>
      <c r="B55" s="106" t="s">
        <v>88</v>
      </c>
      <c r="C55" s="16"/>
      <c r="D55" s="107" t="s">
        <v>181</v>
      </c>
      <c r="E55" s="16"/>
      <c r="F55" s="16"/>
      <c r="G55" s="16"/>
      <c r="H55" s="163"/>
      <c r="I55" s="16"/>
      <c r="J55" s="106"/>
      <c r="K55" s="106"/>
      <c r="L55" s="16"/>
      <c r="M55" s="18"/>
    </row>
    <row r="56" spans="1:13">
      <c r="A56" s="14" t="s">
        <v>182</v>
      </c>
      <c r="B56" s="106" t="s">
        <v>89</v>
      </c>
      <c r="C56" s="16"/>
      <c r="D56" s="16"/>
      <c r="E56" s="16"/>
      <c r="F56" s="16"/>
      <c r="G56" s="16"/>
      <c r="H56" s="163"/>
      <c r="I56" s="16"/>
      <c r="J56" s="106"/>
      <c r="K56" s="106"/>
      <c r="L56" s="16"/>
      <c r="M56" s="18"/>
    </row>
    <row r="57" spans="1:13">
      <c r="A57" s="14" t="s">
        <v>183</v>
      </c>
      <c r="B57" s="106" t="s">
        <v>90</v>
      </c>
      <c r="C57" s="16"/>
      <c r="D57" s="16"/>
      <c r="E57" s="16"/>
      <c r="F57" s="16"/>
      <c r="G57" s="16"/>
      <c r="H57" s="163"/>
      <c r="I57" s="16"/>
      <c r="J57" s="106"/>
      <c r="K57" s="106"/>
      <c r="L57" s="16"/>
      <c r="M57" s="18"/>
    </row>
    <row r="58" spans="1:13">
      <c r="A58" s="53" t="s">
        <v>184</v>
      </c>
      <c r="B58" s="54" t="s">
        <v>91</v>
      </c>
      <c r="C58" s="55"/>
      <c r="D58" s="56"/>
      <c r="E58" s="55"/>
      <c r="F58" s="55"/>
      <c r="G58" s="55"/>
      <c r="H58" s="163"/>
      <c r="I58" s="55"/>
      <c r="J58" s="54"/>
      <c r="K58" s="54"/>
      <c r="L58" s="55"/>
      <c r="M58" s="58"/>
    </row>
    <row r="59" spans="1:13">
      <c r="A59" s="53" t="s">
        <v>185</v>
      </c>
      <c r="B59" s="54" t="s">
        <v>92</v>
      </c>
      <c r="C59" s="55"/>
      <c r="D59" s="55"/>
      <c r="E59" s="55"/>
      <c r="F59" s="55"/>
      <c r="G59" s="55"/>
      <c r="H59" s="163"/>
      <c r="I59" s="55"/>
      <c r="J59" s="54"/>
      <c r="K59" s="54"/>
      <c r="L59" s="55"/>
      <c r="M59" s="58"/>
    </row>
    <row r="60" spans="1:13">
      <c r="A60" s="53" t="s">
        <v>186</v>
      </c>
      <c r="B60" s="54" t="s">
        <v>93</v>
      </c>
      <c r="C60" s="55"/>
      <c r="D60" s="55"/>
      <c r="E60" s="55"/>
      <c r="F60" s="55"/>
      <c r="G60" s="55"/>
      <c r="H60" s="163"/>
      <c r="I60" s="55"/>
      <c r="J60" s="54"/>
      <c r="K60" s="54"/>
      <c r="L60" s="55"/>
      <c r="M60" s="58"/>
    </row>
    <row r="61" spans="1:13">
      <c r="A61" s="53" t="s">
        <v>187</v>
      </c>
      <c r="B61" s="54" t="s">
        <v>94</v>
      </c>
      <c r="C61" s="55"/>
      <c r="D61" s="55"/>
      <c r="E61" s="55"/>
      <c r="F61" s="55"/>
      <c r="G61" s="55"/>
      <c r="H61" s="163"/>
      <c r="I61" s="55"/>
      <c r="J61" s="54"/>
      <c r="K61" s="54"/>
      <c r="L61" s="55"/>
      <c r="M61" s="58"/>
    </row>
    <row r="62" spans="1:13">
      <c r="A62" s="53" t="s">
        <v>188</v>
      </c>
      <c r="B62" s="54" t="s">
        <v>95</v>
      </c>
      <c r="C62" s="55"/>
      <c r="D62" s="55"/>
      <c r="E62" s="55"/>
      <c r="F62" s="55"/>
      <c r="G62" s="55"/>
      <c r="H62" s="163"/>
      <c r="I62" s="55"/>
      <c r="J62" s="54"/>
      <c r="K62" s="54"/>
      <c r="L62" s="55"/>
      <c r="M62" s="58"/>
    </row>
    <row r="63" spans="1:13">
      <c r="A63" s="53" t="s">
        <v>189</v>
      </c>
      <c r="B63" s="54" t="s">
        <v>96</v>
      </c>
      <c r="C63" s="55"/>
      <c r="D63" s="59" t="s">
        <v>190</v>
      </c>
      <c r="E63" s="55"/>
      <c r="F63" s="55"/>
      <c r="G63" s="55"/>
      <c r="H63" s="163"/>
      <c r="I63" s="55"/>
      <c r="J63" s="54"/>
      <c r="K63" s="54"/>
      <c r="L63" s="55"/>
      <c r="M63" s="58"/>
    </row>
    <row r="64" spans="1:13">
      <c r="A64" s="53" t="s">
        <v>191</v>
      </c>
      <c r="B64" s="54" t="s">
        <v>97</v>
      </c>
      <c r="C64" s="55"/>
      <c r="D64" s="55"/>
      <c r="E64" s="55"/>
      <c r="F64" s="55"/>
      <c r="G64" s="55"/>
      <c r="H64" s="163"/>
      <c r="I64" s="55"/>
      <c r="J64" s="54"/>
      <c r="K64" s="54"/>
      <c r="L64" s="55"/>
      <c r="M64" s="58"/>
    </row>
    <row r="65" spans="1:13">
      <c r="A65" s="53" t="s">
        <v>192</v>
      </c>
      <c r="B65" s="54" t="s">
        <v>98</v>
      </c>
      <c r="C65" s="55"/>
      <c r="D65" s="55"/>
      <c r="E65" s="55"/>
      <c r="F65" s="55"/>
      <c r="G65" s="55"/>
      <c r="H65" s="163"/>
      <c r="I65" s="55"/>
      <c r="J65" s="54"/>
      <c r="K65" s="54"/>
      <c r="L65" s="55"/>
      <c r="M65" s="58"/>
    </row>
    <row r="66" spans="1:13">
      <c r="A66" s="53" t="s">
        <v>193</v>
      </c>
      <c r="B66" s="54" t="s">
        <v>99</v>
      </c>
      <c r="C66" s="55"/>
      <c r="D66" s="55"/>
      <c r="E66" s="55"/>
      <c r="F66" s="55"/>
      <c r="G66" s="55"/>
      <c r="H66" s="163"/>
      <c r="I66" s="55"/>
      <c r="J66" s="54"/>
      <c r="K66" s="54"/>
      <c r="L66" s="55"/>
      <c r="M66" s="58"/>
    </row>
    <row r="67" spans="1:13">
      <c r="A67" s="53" t="s">
        <v>194</v>
      </c>
      <c r="B67" s="54" t="s">
        <v>100</v>
      </c>
      <c r="C67" s="55"/>
      <c r="D67" s="55"/>
      <c r="E67" s="55"/>
      <c r="F67" s="55"/>
      <c r="G67" s="55"/>
      <c r="H67" s="163"/>
      <c r="I67" s="55"/>
      <c r="J67" s="54"/>
      <c r="K67" s="54"/>
      <c r="L67" s="55"/>
      <c r="M67" s="58"/>
    </row>
    <row r="68" spans="1:13">
      <c r="A68" s="53" t="s">
        <v>195</v>
      </c>
      <c r="B68" s="54" t="s">
        <v>101</v>
      </c>
      <c r="C68" s="55"/>
      <c r="D68" s="55"/>
      <c r="E68" s="55"/>
      <c r="F68" s="55"/>
      <c r="G68" s="55"/>
      <c r="H68" s="163"/>
      <c r="I68" s="55"/>
      <c r="J68" s="54"/>
      <c r="K68" s="54"/>
      <c r="L68" s="55"/>
      <c r="M68" s="58"/>
    </row>
    <row r="69" spans="1:13">
      <c r="A69" s="53" t="s">
        <v>196</v>
      </c>
      <c r="B69" s="54" t="s">
        <v>102</v>
      </c>
      <c r="C69" s="55"/>
      <c r="D69" s="55"/>
      <c r="E69" s="55"/>
      <c r="F69" s="55"/>
      <c r="G69" s="55"/>
      <c r="H69" s="163"/>
      <c r="I69" s="55"/>
      <c r="J69" s="54"/>
      <c r="K69" s="54"/>
      <c r="L69" s="55"/>
      <c r="M69" s="58"/>
    </row>
    <row r="70" spans="1:13" ht="15.65" thickBot="1">
      <c r="A70" s="60" t="s">
        <v>197</v>
      </c>
      <c r="B70" s="61" t="s">
        <v>103</v>
      </c>
      <c r="C70" s="62"/>
      <c r="D70" s="62"/>
      <c r="E70" s="62"/>
      <c r="F70" s="62"/>
      <c r="G70" s="62"/>
      <c r="H70" s="164"/>
      <c r="I70" s="62"/>
      <c r="J70" s="61"/>
      <c r="K70" s="61"/>
      <c r="L70" s="62"/>
      <c r="M70" s="64"/>
    </row>
    <row r="71" spans="1:13">
      <c r="A71" s="108" t="s">
        <v>198</v>
      </c>
      <c r="B71" s="109" t="s">
        <v>104</v>
      </c>
      <c r="C71" s="110"/>
      <c r="D71" s="111"/>
      <c r="E71" s="110"/>
      <c r="F71" s="110"/>
      <c r="G71" s="22"/>
      <c r="H71" s="110"/>
      <c r="I71" s="110"/>
      <c r="J71" s="112"/>
      <c r="K71" s="112"/>
      <c r="L71" s="110"/>
      <c r="M71" s="113"/>
    </row>
    <row r="72" spans="1:13">
      <c r="A72" s="20" t="s">
        <v>199</v>
      </c>
      <c r="B72" s="109" t="s">
        <v>105</v>
      </c>
      <c r="C72" s="22"/>
      <c r="D72" s="22"/>
      <c r="E72" s="22"/>
      <c r="F72" s="22"/>
      <c r="G72" s="22"/>
      <c r="H72" s="114" t="s">
        <v>200</v>
      </c>
      <c r="I72" s="115"/>
      <c r="J72" s="116"/>
      <c r="K72" s="116"/>
      <c r="L72" s="22"/>
      <c r="M72" s="25"/>
    </row>
    <row r="73" spans="1:13">
      <c r="A73" s="20" t="s">
        <v>201</v>
      </c>
      <c r="B73" s="109" t="s">
        <v>106</v>
      </c>
      <c r="C73" s="22"/>
      <c r="D73" s="28" t="s">
        <v>202</v>
      </c>
      <c r="E73" s="22"/>
      <c r="F73" s="27"/>
      <c r="G73" s="22"/>
      <c r="H73" s="22"/>
      <c r="I73" s="22"/>
      <c r="J73" s="26"/>
      <c r="K73" s="26"/>
      <c r="L73" s="22"/>
      <c r="M73" s="25"/>
    </row>
    <row r="74" spans="1:13" ht="15.65" thickBot="1">
      <c r="A74" s="117" t="s">
        <v>203</v>
      </c>
      <c r="B74" s="109" t="s">
        <v>107</v>
      </c>
      <c r="C74" s="118"/>
      <c r="D74" s="118"/>
      <c r="E74" s="118"/>
      <c r="F74" s="118"/>
      <c r="G74" s="118"/>
      <c r="H74" s="118"/>
      <c r="I74" s="118"/>
      <c r="J74" s="119"/>
      <c r="K74" s="119"/>
      <c r="L74" s="118"/>
      <c r="M74" s="120"/>
    </row>
    <row r="75" spans="1:13" ht="15.65" thickBot="1">
      <c r="A75" s="121" t="s">
        <v>204</v>
      </c>
      <c r="B75" s="122" t="s">
        <v>205</v>
      </c>
      <c r="C75" s="123"/>
      <c r="D75" s="124" t="s">
        <v>206</v>
      </c>
      <c r="E75" s="123"/>
      <c r="F75" s="123"/>
      <c r="G75" s="123"/>
      <c r="H75" s="123"/>
      <c r="I75" s="123"/>
      <c r="J75" s="125"/>
      <c r="K75" s="125"/>
      <c r="L75" s="123"/>
      <c r="M75" s="126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V121"/>
  <sheetViews>
    <sheetView showGridLines="0" tabSelected="1" zoomScaleNormal="100" workbookViewId="0">
      <selection activeCell="I118" sqref="I118"/>
    </sheetView>
  </sheetViews>
  <sheetFormatPr defaultRowHeight="13.15"/>
  <cols>
    <col min="1" max="1" width="43.109375" style="127" customWidth="1"/>
    <col min="2" max="2" width="10.77734375" style="127" customWidth="1"/>
    <col min="3" max="3" width="7.33203125" style="127" customWidth="1"/>
    <col min="4" max="4" width="9.109375" style="131" customWidth="1"/>
    <col min="5" max="5" width="9.77734375" style="127" customWidth="1"/>
    <col min="6" max="6" width="11.77734375" style="131" customWidth="1"/>
    <col min="7" max="7" width="7.88671875" style="127" customWidth="1"/>
    <col min="8" max="8" width="7.44140625" style="131" customWidth="1"/>
    <col min="9" max="9" width="7.44140625" style="127" customWidth="1"/>
    <col min="10" max="10" width="7.33203125" style="131" customWidth="1"/>
    <col min="11" max="11" width="6.44140625" style="127" customWidth="1"/>
    <col min="12" max="12" width="7.88671875" style="131" customWidth="1"/>
    <col min="13" max="13" width="6.44140625" style="127" customWidth="1"/>
    <col min="14" max="14" width="7.6640625" style="131" customWidth="1"/>
    <col min="15" max="15" width="6.44140625" style="127" customWidth="1"/>
    <col min="16" max="16" width="6.44140625" style="131" customWidth="1"/>
    <col min="17" max="17" width="9" style="127" customWidth="1"/>
    <col min="18" max="18" width="8.77734375" style="131" customWidth="1"/>
    <col min="19" max="19" width="9.6640625" style="127" customWidth="1"/>
    <col min="20" max="20" width="15.109375" style="127" customWidth="1"/>
    <col min="21" max="21" width="13" style="127" customWidth="1"/>
    <col min="22" max="22" width="6.44140625" style="127" customWidth="1"/>
    <col min="23" max="16384" width="8.88671875" style="127"/>
  </cols>
  <sheetData>
    <row r="2" spans="1:22" ht="18.2">
      <c r="B2" s="175" t="s">
        <v>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28"/>
      <c r="T2" s="128"/>
      <c r="U2" s="128"/>
    </row>
    <row r="3" spans="1:22" ht="18.2">
      <c r="B3" s="176" t="s">
        <v>367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29"/>
      <c r="T3" s="129"/>
      <c r="U3" s="129"/>
    </row>
    <row r="4" spans="1:22" ht="18.2">
      <c r="A4" s="130"/>
      <c r="B4" s="177" t="s">
        <v>1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30"/>
      <c r="T4" s="130"/>
      <c r="U4" s="130"/>
    </row>
    <row r="5" spans="1:22" ht="18.2">
      <c r="A5" s="130"/>
      <c r="B5" s="176" t="s">
        <v>368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30"/>
      <c r="T5" s="130"/>
      <c r="U5" s="130"/>
    </row>
    <row r="6" spans="1:22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</row>
    <row r="7" spans="1:22" s="133" customFormat="1" ht="15.65" thickBot="1">
      <c r="A7" s="195" t="s">
        <v>2</v>
      </c>
      <c r="B7" s="195"/>
      <c r="C7" s="195"/>
      <c r="D7" s="195"/>
      <c r="E7" s="195"/>
      <c r="F7" s="195"/>
      <c r="G7" s="132"/>
      <c r="H7" s="132"/>
      <c r="I7" s="132"/>
      <c r="J7" s="132"/>
      <c r="K7" s="132"/>
      <c r="L7" s="132"/>
      <c r="M7" s="216"/>
      <c r="N7" s="216"/>
      <c r="O7" s="216"/>
      <c r="P7" s="216"/>
      <c r="Q7" s="161"/>
      <c r="R7" s="161"/>
      <c r="S7" s="161"/>
      <c r="T7" s="161"/>
      <c r="U7" s="160" t="s">
        <v>366</v>
      </c>
    </row>
    <row r="8" spans="1:22" s="133" customFormat="1" ht="15.05">
      <c r="A8" s="210" t="s">
        <v>365</v>
      </c>
      <c r="B8" s="213" t="s">
        <v>33</v>
      </c>
      <c r="C8" s="202" t="s">
        <v>212</v>
      </c>
      <c r="D8" s="228"/>
      <c r="E8" s="228"/>
      <c r="F8" s="203"/>
      <c r="G8" s="202" t="s">
        <v>213</v>
      </c>
      <c r="H8" s="203"/>
      <c r="I8" s="202" t="s">
        <v>214</v>
      </c>
      <c r="J8" s="217"/>
      <c r="K8" s="202" t="s">
        <v>215</v>
      </c>
      <c r="L8" s="225"/>
      <c r="M8" s="202" t="s">
        <v>32</v>
      </c>
      <c r="N8" s="217"/>
      <c r="O8" s="202" t="s">
        <v>216</v>
      </c>
      <c r="P8" s="217"/>
      <c r="Q8" s="202" t="s">
        <v>217</v>
      </c>
      <c r="R8" s="230"/>
      <c r="S8" s="223" t="s">
        <v>3</v>
      </c>
      <c r="T8" s="223"/>
      <c r="U8" s="223"/>
    </row>
    <row r="9" spans="1:22" s="133" customFormat="1" ht="15.05">
      <c r="A9" s="211"/>
      <c r="B9" s="214"/>
      <c r="C9" s="206"/>
      <c r="D9" s="229"/>
      <c r="E9" s="229"/>
      <c r="F9" s="207"/>
      <c r="G9" s="204"/>
      <c r="H9" s="205"/>
      <c r="I9" s="218"/>
      <c r="J9" s="219"/>
      <c r="K9" s="218"/>
      <c r="L9" s="226"/>
      <c r="M9" s="218"/>
      <c r="N9" s="219"/>
      <c r="O9" s="218"/>
      <c r="P9" s="219"/>
      <c r="Q9" s="218"/>
      <c r="R9" s="231"/>
      <c r="S9" s="180"/>
      <c r="T9" s="180"/>
      <c r="U9" s="180"/>
    </row>
    <row r="10" spans="1:22" s="133" customFormat="1" ht="15.05">
      <c r="A10" s="211"/>
      <c r="B10" s="214"/>
      <c r="C10" s="208" t="s">
        <v>31</v>
      </c>
      <c r="D10" s="209"/>
      <c r="E10" s="208" t="s">
        <v>364</v>
      </c>
      <c r="F10" s="209"/>
      <c r="G10" s="206"/>
      <c r="H10" s="207"/>
      <c r="I10" s="220"/>
      <c r="J10" s="221"/>
      <c r="K10" s="220"/>
      <c r="L10" s="227"/>
      <c r="M10" s="220"/>
      <c r="N10" s="221"/>
      <c r="O10" s="220"/>
      <c r="P10" s="221"/>
      <c r="Q10" s="220"/>
      <c r="R10" s="232"/>
      <c r="S10" s="180"/>
      <c r="T10" s="180"/>
      <c r="U10" s="180"/>
    </row>
    <row r="11" spans="1:22" s="133" customFormat="1" ht="15.05">
      <c r="A11" s="212"/>
      <c r="B11" s="215"/>
      <c r="C11" s="134">
        <v>1</v>
      </c>
      <c r="D11" s="135">
        <v>2</v>
      </c>
      <c r="E11" s="134">
        <v>1</v>
      </c>
      <c r="F11" s="135">
        <v>2</v>
      </c>
      <c r="G11" s="134">
        <v>1</v>
      </c>
      <c r="H11" s="135">
        <v>2</v>
      </c>
      <c r="I11" s="134">
        <v>1</v>
      </c>
      <c r="J11" s="135">
        <v>2</v>
      </c>
      <c r="K11" s="134">
        <v>1</v>
      </c>
      <c r="L11" s="135">
        <v>2</v>
      </c>
      <c r="M11" s="136">
        <v>1</v>
      </c>
      <c r="N11" s="135">
        <v>2</v>
      </c>
      <c r="O11" s="134">
        <v>1</v>
      </c>
      <c r="P11" s="135">
        <v>2</v>
      </c>
      <c r="Q11" s="136">
        <v>1</v>
      </c>
      <c r="R11" s="137">
        <v>2</v>
      </c>
      <c r="S11" s="224"/>
      <c r="T11" s="224"/>
      <c r="U11" s="224"/>
    </row>
    <row r="12" spans="1:22" s="133" customFormat="1" ht="15.05">
      <c r="A12" s="199" t="s">
        <v>4</v>
      </c>
      <c r="B12" s="196">
        <f>SUM(B14,B22,B31,B36,B42,B49,B56,B63,B68,B75,B85,B92,B107)</f>
        <v>339586</v>
      </c>
      <c r="C12" s="201">
        <f>SUM(C14,C22,C31,C36,C42,C49,C56,C63,C68,C75,C85,C92,C107)</f>
        <v>79249</v>
      </c>
      <c r="D12" s="198">
        <f>SUM(D14,D22,D31,D36,D42,D49,D56,D63,D68,D75,D85,D92,D107)</f>
        <v>17840.276000000002</v>
      </c>
      <c r="E12" s="201">
        <f t="shared" ref="E12:R12" si="0">SUM(E14,E22,E31,E36,E42,E49,E56,E63,E68,E75,E85,E92,E107)</f>
        <v>1051</v>
      </c>
      <c r="F12" s="198">
        <f t="shared" si="0"/>
        <v>172.95600000000002</v>
      </c>
      <c r="G12" s="201">
        <f t="shared" si="0"/>
        <v>8300</v>
      </c>
      <c r="H12" s="198">
        <f t="shared" si="0"/>
        <v>1685.0550000000001</v>
      </c>
      <c r="I12" s="201">
        <f t="shared" si="0"/>
        <v>122725</v>
      </c>
      <c r="J12" s="198">
        <f>SUM(J14,J22,J31,J36,J42,J49,J56,J63,J68,J75,J85,J92,J107)</f>
        <v>13798.708000000002</v>
      </c>
      <c r="K12" s="201">
        <f t="shared" si="0"/>
        <v>110263</v>
      </c>
      <c r="L12" s="198">
        <f t="shared" si="0"/>
        <v>17124.900999999998</v>
      </c>
      <c r="M12" s="201">
        <f t="shared" si="0"/>
        <v>15624</v>
      </c>
      <c r="N12" s="198">
        <f t="shared" si="0"/>
        <v>2276.4150000000004</v>
      </c>
      <c r="O12" s="201">
        <f t="shared" si="0"/>
        <v>1092</v>
      </c>
      <c r="P12" s="198">
        <f t="shared" si="0"/>
        <v>259.45999999999998</v>
      </c>
      <c r="Q12" s="201">
        <f t="shared" si="0"/>
        <v>1282</v>
      </c>
      <c r="R12" s="222">
        <f t="shared" si="0"/>
        <v>278.62</v>
      </c>
      <c r="S12" s="190" t="s">
        <v>30</v>
      </c>
      <c r="T12" s="190"/>
      <c r="U12" s="190"/>
      <c r="V12" s="138"/>
    </row>
    <row r="13" spans="1:22" s="133" customFormat="1" ht="15.05">
      <c r="A13" s="200"/>
      <c r="B13" s="197"/>
      <c r="C13" s="184"/>
      <c r="D13" s="183"/>
      <c r="E13" s="184"/>
      <c r="F13" s="183"/>
      <c r="G13" s="184"/>
      <c r="H13" s="183"/>
      <c r="I13" s="184"/>
      <c r="J13" s="183"/>
      <c r="K13" s="184"/>
      <c r="L13" s="183"/>
      <c r="M13" s="184"/>
      <c r="N13" s="183"/>
      <c r="O13" s="184"/>
      <c r="P13" s="183"/>
      <c r="Q13" s="184"/>
      <c r="R13" s="185"/>
      <c r="S13" s="191"/>
      <c r="T13" s="191"/>
      <c r="U13" s="191"/>
      <c r="V13" s="138"/>
    </row>
    <row r="14" spans="1:22" s="133" customFormat="1" ht="15.05">
      <c r="A14" s="179" t="s">
        <v>5</v>
      </c>
      <c r="B14" s="194">
        <f>SUM(B16:B21)</f>
        <v>28131</v>
      </c>
      <c r="C14" s="184">
        <f>SUM(C16:C21)</f>
        <v>13745</v>
      </c>
      <c r="D14" s="183">
        <f t="shared" ref="D14:R14" si="1">SUM(D16:D21)</f>
        <v>3155.3179999999998</v>
      </c>
      <c r="E14" s="184">
        <f t="shared" si="1"/>
        <v>13</v>
      </c>
      <c r="F14" s="183">
        <f t="shared" si="1"/>
        <v>3.38</v>
      </c>
      <c r="G14" s="184">
        <f t="shared" si="1"/>
        <v>32</v>
      </c>
      <c r="H14" s="183">
        <f t="shared" si="1"/>
        <v>8.8000000000000007</v>
      </c>
      <c r="I14" s="184">
        <f t="shared" si="1"/>
        <v>4041</v>
      </c>
      <c r="J14" s="183">
        <f t="shared" si="1"/>
        <v>436.47999999999996</v>
      </c>
      <c r="K14" s="184">
        <f t="shared" si="1"/>
        <v>10008</v>
      </c>
      <c r="L14" s="183">
        <f t="shared" si="1"/>
        <v>1440.4</v>
      </c>
      <c r="M14" s="184">
        <f t="shared" si="1"/>
        <v>72</v>
      </c>
      <c r="N14" s="183">
        <f t="shared" si="1"/>
        <v>8.9400000000000013</v>
      </c>
      <c r="O14" s="184">
        <f t="shared" si="1"/>
        <v>0</v>
      </c>
      <c r="P14" s="183">
        <f t="shared" si="1"/>
        <v>0</v>
      </c>
      <c r="Q14" s="184">
        <f t="shared" si="1"/>
        <v>220</v>
      </c>
      <c r="R14" s="185">
        <f t="shared" si="1"/>
        <v>30.8</v>
      </c>
      <c r="S14" s="180" t="s">
        <v>6</v>
      </c>
      <c r="T14" s="180"/>
      <c r="U14" s="180"/>
      <c r="V14" s="139"/>
    </row>
    <row r="15" spans="1:22" s="133" customFormat="1" ht="15.05">
      <c r="A15" s="179"/>
      <c r="B15" s="194"/>
      <c r="C15" s="184"/>
      <c r="D15" s="183"/>
      <c r="E15" s="184"/>
      <c r="F15" s="183"/>
      <c r="G15" s="184"/>
      <c r="H15" s="183"/>
      <c r="I15" s="184"/>
      <c r="J15" s="183"/>
      <c r="K15" s="184"/>
      <c r="L15" s="183"/>
      <c r="M15" s="184"/>
      <c r="N15" s="183"/>
      <c r="O15" s="184"/>
      <c r="P15" s="183"/>
      <c r="Q15" s="184"/>
      <c r="R15" s="185"/>
      <c r="S15" s="180"/>
      <c r="T15" s="180"/>
      <c r="U15" s="180"/>
      <c r="V15" s="139"/>
    </row>
    <row r="16" spans="1:22" s="133" customFormat="1" ht="15.05">
      <c r="A16" s="140" t="s">
        <v>246</v>
      </c>
      <c r="B16" s="141">
        <f t="shared" ref="B16:B21" si="2">SUM(C16,E16,G16,I16,K16,M16,O16,Q16)</f>
        <v>2698</v>
      </c>
      <c r="C16" s="242">
        <v>1241</v>
      </c>
      <c r="D16" s="243">
        <v>222.09</v>
      </c>
      <c r="E16" s="244" t="s">
        <v>207</v>
      </c>
      <c r="F16" s="243" t="s">
        <v>207</v>
      </c>
      <c r="G16" s="244" t="s">
        <v>207</v>
      </c>
      <c r="H16" s="243" t="s">
        <v>207</v>
      </c>
      <c r="I16" s="242">
        <v>163</v>
      </c>
      <c r="J16" s="242">
        <v>21.63</v>
      </c>
      <c r="K16" s="243">
        <v>1294</v>
      </c>
      <c r="L16" s="242">
        <v>205.85499999999999</v>
      </c>
      <c r="M16" s="245" t="s">
        <v>207</v>
      </c>
      <c r="N16" s="242" t="s">
        <v>207</v>
      </c>
      <c r="O16" s="245" t="s">
        <v>207</v>
      </c>
      <c r="P16" s="242" t="s">
        <v>207</v>
      </c>
      <c r="Q16" s="245" t="s">
        <v>207</v>
      </c>
      <c r="R16" s="246" t="s">
        <v>207</v>
      </c>
      <c r="S16" s="142" t="s">
        <v>290</v>
      </c>
      <c r="T16" s="138"/>
      <c r="U16" s="138"/>
      <c r="V16" s="138"/>
    </row>
    <row r="17" spans="1:22" s="133" customFormat="1" ht="15.05">
      <c r="A17" s="140" t="s">
        <v>247</v>
      </c>
      <c r="B17" s="141">
        <f t="shared" si="2"/>
        <v>5702</v>
      </c>
      <c r="C17" s="242">
        <v>4597</v>
      </c>
      <c r="D17" s="243">
        <v>1221.31</v>
      </c>
      <c r="E17" s="242">
        <v>13</v>
      </c>
      <c r="F17" s="243">
        <v>3.38</v>
      </c>
      <c r="G17" s="244" t="s">
        <v>207</v>
      </c>
      <c r="H17" s="243" t="s">
        <v>207</v>
      </c>
      <c r="I17" s="242">
        <v>243</v>
      </c>
      <c r="J17" s="242">
        <v>39.15</v>
      </c>
      <c r="K17" s="243">
        <v>849</v>
      </c>
      <c r="L17" s="242">
        <v>146.26</v>
      </c>
      <c r="M17" s="245" t="s">
        <v>207</v>
      </c>
      <c r="N17" s="242" t="s">
        <v>207</v>
      </c>
      <c r="O17" s="245" t="s">
        <v>207</v>
      </c>
      <c r="P17" s="242" t="s">
        <v>207</v>
      </c>
      <c r="Q17" s="245" t="s">
        <v>207</v>
      </c>
      <c r="R17" s="246" t="s">
        <v>207</v>
      </c>
      <c r="S17" s="142" t="s">
        <v>291</v>
      </c>
      <c r="T17" s="138"/>
      <c r="U17" s="138"/>
      <c r="V17" s="138"/>
    </row>
    <row r="18" spans="1:22" s="133" customFormat="1" ht="15.05">
      <c r="A18" s="140" t="s">
        <v>248</v>
      </c>
      <c r="B18" s="141">
        <f t="shared" si="2"/>
        <v>12845</v>
      </c>
      <c r="C18" s="242">
        <v>2481</v>
      </c>
      <c r="D18" s="243">
        <v>467.63900000000001</v>
      </c>
      <c r="E18" s="244" t="s">
        <v>207</v>
      </c>
      <c r="F18" s="243" t="s">
        <v>207</v>
      </c>
      <c r="G18" s="242">
        <v>14</v>
      </c>
      <c r="H18" s="243">
        <v>2.1</v>
      </c>
      <c r="I18" s="242">
        <v>3409</v>
      </c>
      <c r="J18" s="242">
        <v>347.77</v>
      </c>
      <c r="K18" s="243">
        <v>6931</v>
      </c>
      <c r="L18" s="242">
        <v>956.64</v>
      </c>
      <c r="M18" s="243">
        <v>10</v>
      </c>
      <c r="N18" s="242">
        <v>1.5</v>
      </c>
      <c r="O18" s="245" t="s">
        <v>207</v>
      </c>
      <c r="P18" s="242" t="s">
        <v>207</v>
      </c>
      <c r="Q18" s="245" t="s">
        <v>207</v>
      </c>
      <c r="R18" s="246" t="s">
        <v>207</v>
      </c>
      <c r="S18" s="142" t="s">
        <v>292</v>
      </c>
      <c r="T18" s="138"/>
      <c r="U18" s="138"/>
      <c r="V18" s="138"/>
    </row>
    <row r="19" spans="1:22" s="133" customFormat="1" ht="15.05">
      <c r="A19" s="140" t="s">
        <v>249</v>
      </c>
      <c r="B19" s="141">
        <f>SUM(C19,E19,G19,I19,K19,M19,O19,Q19)</f>
        <v>2</v>
      </c>
      <c r="C19" s="242">
        <v>2</v>
      </c>
      <c r="D19" s="243">
        <v>0.4</v>
      </c>
      <c r="E19" s="244" t="s">
        <v>207</v>
      </c>
      <c r="F19" s="243" t="s">
        <v>207</v>
      </c>
      <c r="G19" s="244" t="s">
        <v>207</v>
      </c>
      <c r="H19" s="243" t="s">
        <v>207</v>
      </c>
      <c r="I19" s="244" t="s">
        <v>207</v>
      </c>
      <c r="J19" s="242" t="s">
        <v>207</v>
      </c>
      <c r="K19" s="245" t="s">
        <v>207</v>
      </c>
      <c r="L19" s="242" t="s">
        <v>207</v>
      </c>
      <c r="M19" s="245" t="s">
        <v>207</v>
      </c>
      <c r="N19" s="242" t="s">
        <v>207</v>
      </c>
      <c r="O19" s="245" t="s">
        <v>207</v>
      </c>
      <c r="P19" s="242" t="s">
        <v>207</v>
      </c>
      <c r="Q19" s="245" t="s">
        <v>207</v>
      </c>
      <c r="R19" s="246" t="s">
        <v>207</v>
      </c>
      <c r="S19" s="142" t="s">
        <v>293</v>
      </c>
      <c r="T19" s="138"/>
      <c r="U19" s="138"/>
      <c r="V19" s="138"/>
    </row>
    <row r="20" spans="1:22" s="133" customFormat="1" ht="15.05">
      <c r="A20" s="140" t="s">
        <v>250</v>
      </c>
      <c r="B20" s="141">
        <f t="shared" si="2"/>
        <v>5743</v>
      </c>
      <c r="C20" s="242">
        <v>4889</v>
      </c>
      <c r="D20" s="243">
        <v>1125.335</v>
      </c>
      <c r="E20" s="244" t="s">
        <v>207</v>
      </c>
      <c r="F20" s="243" t="s">
        <v>207</v>
      </c>
      <c r="G20" s="242">
        <v>18</v>
      </c>
      <c r="H20" s="243">
        <v>6.7</v>
      </c>
      <c r="I20" s="242">
        <v>191</v>
      </c>
      <c r="J20" s="242">
        <v>23.87</v>
      </c>
      <c r="K20" s="243">
        <v>363</v>
      </c>
      <c r="L20" s="242">
        <v>60.27</v>
      </c>
      <c r="M20" s="243">
        <v>62</v>
      </c>
      <c r="N20" s="242">
        <v>7.44</v>
      </c>
      <c r="O20" s="245" t="s">
        <v>207</v>
      </c>
      <c r="P20" s="242" t="s">
        <v>207</v>
      </c>
      <c r="Q20" s="243">
        <v>220</v>
      </c>
      <c r="R20" s="246">
        <v>30.8</v>
      </c>
      <c r="S20" s="142" t="s">
        <v>294</v>
      </c>
      <c r="T20" s="138"/>
      <c r="U20" s="138"/>
      <c r="V20" s="138"/>
    </row>
    <row r="21" spans="1:22" s="133" customFormat="1" ht="15.05">
      <c r="A21" s="140" t="s">
        <v>251</v>
      </c>
      <c r="B21" s="141">
        <f t="shared" si="2"/>
        <v>1141</v>
      </c>
      <c r="C21" s="242">
        <v>535</v>
      </c>
      <c r="D21" s="243">
        <v>118.544</v>
      </c>
      <c r="E21" s="244" t="s">
        <v>207</v>
      </c>
      <c r="F21" s="243" t="s">
        <v>207</v>
      </c>
      <c r="G21" s="244" t="s">
        <v>207</v>
      </c>
      <c r="H21" s="243" t="s">
        <v>207</v>
      </c>
      <c r="I21" s="242">
        <v>35</v>
      </c>
      <c r="J21" s="242">
        <v>4.0599999999999996</v>
      </c>
      <c r="K21" s="243">
        <v>571</v>
      </c>
      <c r="L21" s="242">
        <v>71.375</v>
      </c>
      <c r="M21" s="245" t="s">
        <v>207</v>
      </c>
      <c r="N21" s="242" t="s">
        <v>207</v>
      </c>
      <c r="O21" s="245" t="s">
        <v>207</v>
      </c>
      <c r="P21" s="242" t="s">
        <v>207</v>
      </c>
      <c r="Q21" s="245" t="s">
        <v>207</v>
      </c>
      <c r="R21" s="246" t="s">
        <v>207</v>
      </c>
      <c r="S21" s="142" t="s">
        <v>295</v>
      </c>
      <c r="T21" s="138"/>
      <c r="U21" s="138"/>
      <c r="V21" s="138"/>
    </row>
    <row r="22" spans="1:22" s="133" customFormat="1" ht="15.05">
      <c r="A22" s="193" t="s">
        <v>7</v>
      </c>
      <c r="B22" s="194">
        <f>SUM(B24:B30)</f>
        <v>36235</v>
      </c>
      <c r="C22" s="184">
        <f>SUM(C24:C30)</f>
        <v>9066</v>
      </c>
      <c r="D22" s="183">
        <f t="shared" ref="D22:Q22" si="3">SUM(D24:D30)</f>
        <v>1951.2550000000001</v>
      </c>
      <c r="E22" s="184">
        <f t="shared" si="3"/>
        <v>0</v>
      </c>
      <c r="F22" s="183">
        <f t="shared" si="3"/>
        <v>0</v>
      </c>
      <c r="G22" s="184">
        <f t="shared" si="3"/>
        <v>932</v>
      </c>
      <c r="H22" s="183">
        <f t="shared" si="3"/>
        <v>162.55000000000001</v>
      </c>
      <c r="I22" s="184">
        <f t="shared" si="3"/>
        <v>8554</v>
      </c>
      <c r="J22" s="183">
        <f t="shared" si="3"/>
        <v>1035.7</v>
      </c>
      <c r="K22" s="184">
        <f t="shared" si="3"/>
        <v>17557</v>
      </c>
      <c r="L22" s="183">
        <f t="shared" si="3"/>
        <v>2737.7150000000001</v>
      </c>
      <c r="M22" s="184">
        <f t="shared" si="3"/>
        <v>77</v>
      </c>
      <c r="N22" s="183">
        <f t="shared" si="3"/>
        <v>12.03</v>
      </c>
      <c r="O22" s="184">
        <f t="shared" si="3"/>
        <v>49</v>
      </c>
      <c r="P22" s="183">
        <f t="shared" si="3"/>
        <v>9.3399999999999981</v>
      </c>
      <c r="Q22" s="184">
        <f t="shared" si="3"/>
        <v>0</v>
      </c>
      <c r="R22" s="185">
        <f>SUM(R24:R30)</f>
        <v>0</v>
      </c>
      <c r="S22" s="189" t="s">
        <v>8</v>
      </c>
      <c r="T22" s="189"/>
      <c r="U22" s="189"/>
      <c r="V22" s="138"/>
    </row>
    <row r="23" spans="1:22" s="133" customFormat="1" ht="15.05">
      <c r="A23" s="193"/>
      <c r="B23" s="194"/>
      <c r="C23" s="184"/>
      <c r="D23" s="183"/>
      <c r="E23" s="184"/>
      <c r="F23" s="183"/>
      <c r="G23" s="184"/>
      <c r="H23" s="183"/>
      <c r="I23" s="184"/>
      <c r="J23" s="183"/>
      <c r="K23" s="184"/>
      <c r="L23" s="183"/>
      <c r="M23" s="184"/>
      <c r="N23" s="183"/>
      <c r="O23" s="184"/>
      <c r="P23" s="183"/>
      <c r="Q23" s="184"/>
      <c r="R23" s="185"/>
      <c r="S23" s="189"/>
      <c r="T23" s="189"/>
      <c r="U23" s="189"/>
      <c r="V23" s="138"/>
    </row>
    <row r="24" spans="1:22" s="133" customFormat="1" ht="15.05">
      <c r="A24" s="140" t="s">
        <v>252</v>
      </c>
      <c r="B24" s="141">
        <f>SUM(C24,E24,G24,I24,K24,M24,O24,Q24)</f>
        <v>13057</v>
      </c>
      <c r="C24" s="242">
        <v>1816</v>
      </c>
      <c r="D24" s="243">
        <v>297.38499999999999</v>
      </c>
      <c r="E24" s="244" t="s">
        <v>207</v>
      </c>
      <c r="F24" s="243" t="s">
        <v>207</v>
      </c>
      <c r="G24" s="242">
        <v>31</v>
      </c>
      <c r="H24" s="243">
        <v>3.71</v>
      </c>
      <c r="I24" s="242">
        <v>3761</v>
      </c>
      <c r="J24" s="242">
        <v>365.92</v>
      </c>
      <c r="K24" s="243">
        <v>7417</v>
      </c>
      <c r="L24" s="242">
        <v>813.27300000000002</v>
      </c>
      <c r="M24" s="243">
        <v>31</v>
      </c>
      <c r="N24" s="242">
        <v>2.92</v>
      </c>
      <c r="O24" s="243">
        <v>1</v>
      </c>
      <c r="P24" s="242">
        <v>0.14000000000000001</v>
      </c>
      <c r="Q24" s="245" t="s">
        <v>207</v>
      </c>
      <c r="R24" s="246" t="s">
        <v>207</v>
      </c>
      <c r="S24" s="143" t="s">
        <v>296</v>
      </c>
      <c r="T24" s="138"/>
      <c r="U24" s="138"/>
      <c r="V24" s="138"/>
    </row>
    <row r="25" spans="1:22" s="133" customFormat="1" ht="15.05">
      <c r="A25" s="140" t="s">
        <v>253</v>
      </c>
      <c r="B25" s="141">
        <f t="shared" ref="B25:B30" si="4">SUM(C25,E25,G25,I25,K25,M25,O25,Q25)</f>
        <v>926</v>
      </c>
      <c r="C25" s="242">
        <v>328</v>
      </c>
      <c r="D25" s="243">
        <v>67.73</v>
      </c>
      <c r="E25" s="244" t="s">
        <v>207</v>
      </c>
      <c r="F25" s="243" t="s">
        <v>207</v>
      </c>
      <c r="G25" s="242">
        <v>3</v>
      </c>
      <c r="H25" s="243">
        <v>0.51</v>
      </c>
      <c r="I25" s="242">
        <v>60</v>
      </c>
      <c r="J25" s="242">
        <v>7.92</v>
      </c>
      <c r="K25" s="243">
        <v>495</v>
      </c>
      <c r="L25" s="242">
        <v>88.1</v>
      </c>
      <c r="M25" s="243">
        <v>1</v>
      </c>
      <c r="N25" s="242">
        <v>0.11</v>
      </c>
      <c r="O25" s="243">
        <v>39</v>
      </c>
      <c r="P25" s="242">
        <v>7.8</v>
      </c>
      <c r="Q25" s="245" t="s">
        <v>207</v>
      </c>
      <c r="R25" s="246" t="s">
        <v>207</v>
      </c>
      <c r="S25" s="143" t="s">
        <v>297</v>
      </c>
      <c r="T25" s="138"/>
      <c r="U25" s="138"/>
      <c r="V25" s="138"/>
    </row>
    <row r="26" spans="1:22" s="133" customFormat="1" ht="15.05">
      <c r="A26" s="140" t="s">
        <v>254</v>
      </c>
      <c r="B26" s="141">
        <f t="shared" si="4"/>
        <v>6048</v>
      </c>
      <c r="C26" s="242">
        <v>2057</v>
      </c>
      <c r="D26" s="243">
        <v>537.91</v>
      </c>
      <c r="E26" s="244" t="s">
        <v>207</v>
      </c>
      <c r="F26" s="243" t="s">
        <v>207</v>
      </c>
      <c r="G26" s="242">
        <v>276</v>
      </c>
      <c r="H26" s="243">
        <v>30.81</v>
      </c>
      <c r="I26" s="242">
        <v>2021</v>
      </c>
      <c r="J26" s="242">
        <v>258.94</v>
      </c>
      <c r="K26" s="243">
        <v>1694</v>
      </c>
      <c r="L26" s="242">
        <v>254.97499999999999</v>
      </c>
      <c r="M26" s="245" t="s">
        <v>207</v>
      </c>
      <c r="N26" s="242" t="s">
        <v>207</v>
      </c>
      <c r="O26" s="245" t="s">
        <v>207</v>
      </c>
      <c r="P26" s="242" t="s">
        <v>207</v>
      </c>
      <c r="Q26" s="245" t="s">
        <v>207</v>
      </c>
      <c r="R26" s="246" t="s">
        <v>207</v>
      </c>
      <c r="S26" s="143" t="s">
        <v>298</v>
      </c>
      <c r="T26" s="138"/>
      <c r="U26" s="138"/>
      <c r="V26" s="138"/>
    </row>
    <row r="27" spans="1:22" s="133" customFormat="1" ht="15.05">
      <c r="A27" s="140" t="s">
        <v>255</v>
      </c>
      <c r="B27" s="141">
        <f t="shared" si="4"/>
        <v>3059</v>
      </c>
      <c r="C27" s="242">
        <v>848</v>
      </c>
      <c r="D27" s="243">
        <v>194.10400000000001</v>
      </c>
      <c r="E27" s="244" t="s">
        <v>207</v>
      </c>
      <c r="F27" s="243" t="s">
        <v>207</v>
      </c>
      <c r="G27" s="242">
        <v>184</v>
      </c>
      <c r="H27" s="243">
        <v>39.57</v>
      </c>
      <c r="I27" s="242">
        <v>572</v>
      </c>
      <c r="J27" s="242">
        <v>87.8</v>
      </c>
      <c r="K27" s="243">
        <v>1454</v>
      </c>
      <c r="L27" s="242">
        <v>425.16</v>
      </c>
      <c r="M27" s="245" t="s">
        <v>207</v>
      </c>
      <c r="N27" s="242" t="s">
        <v>207</v>
      </c>
      <c r="O27" s="243">
        <v>1</v>
      </c>
      <c r="P27" s="242">
        <v>0.2</v>
      </c>
      <c r="Q27" s="245" t="s">
        <v>207</v>
      </c>
      <c r="R27" s="246" t="s">
        <v>207</v>
      </c>
      <c r="S27" s="143" t="s">
        <v>299</v>
      </c>
      <c r="T27" s="138"/>
      <c r="U27" s="138"/>
      <c r="V27" s="138"/>
    </row>
    <row r="28" spans="1:22" s="133" customFormat="1" ht="15.05">
      <c r="A28" s="140" t="s">
        <v>256</v>
      </c>
      <c r="B28" s="141">
        <f t="shared" si="4"/>
        <v>1992</v>
      </c>
      <c r="C28" s="242">
        <v>660</v>
      </c>
      <c r="D28" s="243">
        <v>101.881</v>
      </c>
      <c r="E28" s="244" t="s">
        <v>207</v>
      </c>
      <c r="F28" s="243" t="s">
        <v>207</v>
      </c>
      <c r="G28" s="242">
        <v>28</v>
      </c>
      <c r="H28" s="243">
        <v>3.76</v>
      </c>
      <c r="I28" s="242">
        <v>320</v>
      </c>
      <c r="J28" s="242">
        <v>29.695</v>
      </c>
      <c r="K28" s="243">
        <v>984</v>
      </c>
      <c r="L28" s="242">
        <v>122.44</v>
      </c>
      <c r="M28" s="245" t="s">
        <v>207</v>
      </c>
      <c r="N28" s="242" t="s">
        <v>207</v>
      </c>
      <c r="O28" s="245" t="s">
        <v>207</v>
      </c>
      <c r="P28" s="242" t="s">
        <v>207</v>
      </c>
      <c r="Q28" s="245" t="s">
        <v>207</v>
      </c>
      <c r="R28" s="246" t="s">
        <v>207</v>
      </c>
      <c r="S28" s="143" t="s">
        <v>300</v>
      </c>
      <c r="T28" s="138"/>
      <c r="U28" s="138"/>
      <c r="V28" s="138"/>
    </row>
    <row r="29" spans="1:22" s="133" customFormat="1" ht="15.05">
      <c r="A29" s="140" t="s">
        <v>257</v>
      </c>
      <c r="B29" s="141">
        <f t="shared" si="4"/>
        <v>6985</v>
      </c>
      <c r="C29" s="242">
        <v>3096</v>
      </c>
      <c r="D29" s="243">
        <v>706.35500000000002</v>
      </c>
      <c r="E29" s="244" t="s">
        <v>207</v>
      </c>
      <c r="F29" s="243" t="s">
        <v>207</v>
      </c>
      <c r="G29" s="242">
        <v>274</v>
      </c>
      <c r="H29" s="243">
        <v>55.8</v>
      </c>
      <c r="I29" s="242">
        <v>1083</v>
      </c>
      <c r="J29" s="242">
        <v>178.97499999999999</v>
      </c>
      <c r="K29" s="243">
        <v>2497</v>
      </c>
      <c r="L29" s="242">
        <v>500.97199999999998</v>
      </c>
      <c r="M29" s="243">
        <v>35</v>
      </c>
      <c r="N29" s="242">
        <v>7</v>
      </c>
      <c r="O29" s="245" t="s">
        <v>207</v>
      </c>
      <c r="P29" s="242" t="s">
        <v>207</v>
      </c>
      <c r="Q29" s="245" t="s">
        <v>207</v>
      </c>
      <c r="R29" s="246" t="s">
        <v>207</v>
      </c>
      <c r="S29" s="143" t="s">
        <v>301</v>
      </c>
      <c r="T29" s="138"/>
      <c r="U29" s="138"/>
      <c r="V29" s="138"/>
    </row>
    <row r="30" spans="1:22" s="133" customFormat="1" ht="15.05">
      <c r="A30" s="140" t="s">
        <v>258</v>
      </c>
      <c r="B30" s="141">
        <f t="shared" si="4"/>
        <v>4168</v>
      </c>
      <c r="C30" s="242">
        <v>261</v>
      </c>
      <c r="D30" s="243">
        <v>45.89</v>
      </c>
      <c r="E30" s="244" t="s">
        <v>207</v>
      </c>
      <c r="F30" s="243" t="s">
        <v>207</v>
      </c>
      <c r="G30" s="242">
        <v>136</v>
      </c>
      <c r="H30" s="243">
        <v>28.39</v>
      </c>
      <c r="I30" s="242">
        <v>737</v>
      </c>
      <c r="J30" s="242">
        <v>106.45</v>
      </c>
      <c r="K30" s="243">
        <v>3016</v>
      </c>
      <c r="L30" s="242">
        <v>532.79499999999996</v>
      </c>
      <c r="M30" s="243">
        <v>10</v>
      </c>
      <c r="N30" s="242">
        <v>2</v>
      </c>
      <c r="O30" s="243">
        <v>8</v>
      </c>
      <c r="P30" s="242">
        <v>1.2</v>
      </c>
      <c r="Q30" s="245" t="s">
        <v>207</v>
      </c>
      <c r="R30" s="246" t="s">
        <v>207</v>
      </c>
      <c r="S30" s="143" t="s">
        <v>302</v>
      </c>
      <c r="T30" s="138"/>
      <c r="U30" s="138"/>
      <c r="V30" s="138"/>
    </row>
    <row r="31" spans="1:22" s="133" customFormat="1" ht="15.05">
      <c r="A31" s="144" t="s">
        <v>210</v>
      </c>
      <c r="B31" s="145">
        <f>SUM(B32:B35)</f>
        <v>95959</v>
      </c>
      <c r="C31" s="146">
        <f>SUM(C32:C35)</f>
        <v>26367</v>
      </c>
      <c r="D31" s="147">
        <f>SUM(D32:D35)</f>
        <v>6450.6980000000003</v>
      </c>
      <c r="E31" s="146">
        <f t="shared" ref="E31:R31" si="5">SUM(E32:E35)</f>
        <v>50</v>
      </c>
      <c r="F31" s="147">
        <f t="shared" si="5"/>
        <v>14.055999999999999</v>
      </c>
      <c r="G31" s="146">
        <f t="shared" si="5"/>
        <v>1061</v>
      </c>
      <c r="H31" s="147">
        <f t="shared" si="5"/>
        <v>356.85199999999998</v>
      </c>
      <c r="I31" s="146">
        <f t="shared" si="5"/>
        <v>41295</v>
      </c>
      <c r="J31" s="147">
        <f t="shared" si="5"/>
        <v>4751.1540000000005</v>
      </c>
      <c r="K31" s="146">
        <f t="shared" si="5"/>
        <v>25459</v>
      </c>
      <c r="L31" s="147">
        <f t="shared" si="5"/>
        <v>3614.8290000000002</v>
      </c>
      <c r="M31" s="146">
        <f t="shared" si="5"/>
        <v>1155</v>
      </c>
      <c r="N31" s="147">
        <f t="shared" si="5"/>
        <v>139.304</v>
      </c>
      <c r="O31" s="146">
        <f t="shared" si="5"/>
        <v>272</v>
      </c>
      <c r="P31" s="147">
        <f t="shared" si="5"/>
        <v>43.174999999999997</v>
      </c>
      <c r="Q31" s="146">
        <f t="shared" si="5"/>
        <v>300</v>
      </c>
      <c r="R31" s="148">
        <f t="shared" si="5"/>
        <v>59.98</v>
      </c>
      <c r="S31" s="149" t="s">
        <v>211</v>
      </c>
      <c r="T31" s="150"/>
      <c r="U31" s="138"/>
      <c r="V31" s="138"/>
    </row>
    <row r="32" spans="1:22" s="133" customFormat="1" ht="15.05">
      <c r="A32" s="140" t="s">
        <v>259</v>
      </c>
      <c r="B32" s="141">
        <f t="shared" ref="B32:B35" si="6">SUM(C32,E32,G32,I32,K32,M32,O32,Q32)</f>
        <v>25227</v>
      </c>
      <c r="C32" s="242">
        <v>832</v>
      </c>
      <c r="D32" s="243">
        <v>104.574</v>
      </c>
      <c r="E32" s="244" t="s">
        <v>207</v>
      </c>
      <c r="F32" s="243" t="s">
        <v>207</v>
      </c>
      <c r="G32" s="242">
        <v>917</v>
      </c>
      <c r="H32" s="243">
        <v>316.55200000000002</v>
      </c>
      <c r="I32" s="242">
        <v>18539</v>
      </c>
      <c r="J32" s="242">
        <v>1775.5809999999999</v>
      </c>
      <c r="K32" s="243">
        <v>4704</v>
      </c>
      <c r="L32" s="242">
        <v>508.78100000000001</v>
      </c>
      <c r="M32" s="243">
        <v>12</v>
      </c>
      <c r="N32" s="242">
        <v>2.2999999999999998</v>
      </c>
      <c r="O32" s="243">
        <v>201</v>
      </c>
      <c r="P32" s="242">
        <v>32.875</v>
      </c>
      <c r="Q32" s="243">
        <v>22</v>
      </c>
      <c r="R32" s="246">
        <v>4.3</v>
      </c>
      <c r="S32" s="143" t="s">
        <v>303</v>
      </c>
      <c r="T32" s="138"/>
      <c r="U32" s="138"/>
      <c r="V32" s="138"/>
    </row>
    <row r="33" spans="1:22" s="133" customFormat="1" ht="15.05">
      <c r="A33" s="140" t="s">
        <v>260</v>
      </c>
      <c r="B33" s="141">
        <f t="shared" si="6"/>
        <v>36839</v>
      </c>
      <c r="C33" s="242">
        <v>1899</v>
      </c>
      <c r="D33" s="243">
        <v>374.47399999999999</v>
      </c>
      <c r="E33" s="244" t="s">
        <v>207</v>
      </c>
      <c r="F33" s="243" t="s">
        <v>207</v>
      </c>
      <c r="G33" s="242">
        <v>41</v>
      </c>
      <c r="H33" s="243">
        <v>8.1999999999999993</v>
      </c>
      <c r="I33" s="242">
        <v>15808</v>
      </c>
      <c r="J33" s="242">
        <v>2096.9679999999998</v>
      </c>
      <c r="K33" s="243">
        <v>17709</v>
      </c>
      <c r="L33" s="242">
        <v>2741.2640000000001</v>
      </c>
      <c r="M33" s="243">
        <v>1106</v>
      </c>
      <c r="N33" s="242">
        <v>131.88</v>
      </c>
      <c r="O33" s="245" t="s">
        <v>207</v>
      </c>
      <c r="P33" s="242" t="s">
        <v>207</v>
      </c>
      <c r="Q33" s="243">
        <v>276</v>
      </c>
      <c r="R33" s="246">
        <v>55.2</v>
      </c>
      <c r="S33" s="143" t="s">
        <v>304</v>
      </c>
      <c r="T33" s="138"/>
      <c r="U33" s="138"/>
      <c r="V33" s="138"/>
    </row>
    <row r="34" spans="1:22" s="133" customFormat="1" ht="15.05">
      <c r="A34" s="140" t="s">
        <v>261</v>
      </c>
      <c r="B34" s="141">
        <f t="shared" si="6"/>
        <v>20636</v>
      </c>
      <c r="C34" s="242">
        <v>11986</v>
      </c>
      <c r="D34" s="243">
        <v>3161.7139999999999</v>
      </c>
      <c r="E34" s="242">
        <v>50</v>
      </c>
      <c r="F34" s="243">
        <v>14.055999999999999</v>
      </c>
      <c r="G34" s="242">
        <v>19</v>
      </c>
      <c r="H34" s="243">
        <v>2.9</v>
      </c>
      <c r="I34" s="242">
        <v>6140</v>
      </c>
      <c r="J34" s="242">
        <v>768.31</v>
      </c>
      <c r="K34" s="243">
        <v>2333</v>
      </c>
      <c r="L34" s="242">
        <v>262.89400000000001</v>
      </c>
      <c r="M34" s="243">
        <v>37</v>
      </c>
      <c r="N34" s="242">
        <v>5.1239999999999997</v>
      </c>
      <c r="O34" s="243">
        <v>71</v>
      </c>
      <c r="P34" s="242">
        <v>10.3</v>
      </c>
      <c r="Q34" s="245" t="s">
        <v>207</v>
      </c>
      <c r="R34" s="246" t="s">
        <v>207</v>
      </c>
      <c r="S34" s="143" t="s">
        <v>305</v>
      </c>
      <c r="T34" s="138"/>
      <c r="U34" s="138"/>
      <c r="V34" s="138"/>
    </row>
    <row r="35" spans="1:22" s="133" customFormat="1" ht="15.05">
      <c r="A35" s="140" t="s">
        <v>262</v>
      </c>
      <c r="B35" s="141">
        <f t="shared" si="6"/>
        <v>13257</v>
      </c>
      <c r="C35" s="242">
        <v>11650</v>
      </c>
      <c r="D35" s="243">
        <v>2809.9360000000001</v>
      </c>
      <c r="E35" s="244" t="s">
        <v>207</v>
      </c>
      <c r="F35" s="243" t="s">
        <v>207</v>
      </c>
      <c r="G35" s="242">
        <v>84</v>
      </c>
      <c r="H35" s="243">
        <v>29.2</v>
      </c>
      <c r="I35" s="242">
        <v>808</v>
      </c>
      <c r="J35" s="242">
        <v>110.295</v>
      </c>
      <c r="K35" s="243">
        <v>713</v>
      </c>
      <c r="L35" s="242">
        <v>101.89</v>
      </c>
      <c r="M35" s="245" t="s">
        <v>207</v>
      </c>
      <c r="N35" s="242" t="s">
        <v>207</v>
      </c>
      <c r="O35" s="245" t="s">
        <v>207</v>
      </c>
      <c r="P35" s="242" t="s">
        <v>207</v>
      </c>
      <c r="Q35" s="243">
        <v>2</v>
      </c>
      <c r="R35" s="246">
        <v>0.48</v>
      </c>
      <c r="S35" s="143" t="s">
        <v>306</v>
      </c>
      <c r="T35" s="138"/>
      <c r="U35" s="138"/>
      <c r="V35" s="138"/>
    </row>
    <row r="36" spans="1:22" s="133" customFormat="1" ht="15.05">
      <c r="A36" s="193" t="s">
        <v>9</v>
      </c>
      <c r="B36" s="194">
        <f>SUM(B38:B41)</f>
        <v>3165</v>
      </c>
      <c r="C36" s="184">
        <f>SUM(C38:C41)</f>
        <v>2620</v>
      </c>
      <c r="D36" s="183">
        <f t="shared" ref="D36:R36" si="7">SUM(D38:D41)</f>
        <v>808.61500000000001</v>
      </c>
      <c r="E36" s="184">
        <f t="shared" si="7"/>
        <v>0</v>
      </c>
      <c r="F36" s="183">
        <f t="shared" si="7"/>
        <v>0</v>
      </c>
      <c r="G36" s="184">
        <f t="shared" si="7"/>
        <v>33</v>
      </c>
      <c r="H36" s="183">
        <f t="shared" si="7"/>
        <v>14.5</v>
      </c>
      <c r="I36" s="184">
        <f t="shared" si="7"/>
        <v>226</v>
      </c>
      <c r="J36" s="183">
        <f t="shared" si="7"/>
        <v>27.08</v>
      </c>
      <c r="K36" s="184">
        <f t="shared" si="7"/>
        <v>97</v>
      </c>
      <c r="L36" s="183">
        <f t="shared" si="7"/>
        <v>18.670000000000002</v>
      </c>
      <c r="M36" s="184">
        <f t="shared" si="7"/>
        <v>188</v>
      </c>
      <c r="N36" s="183">
        <f t="shared" si="7"/>
        <v>25.65</v>
      </c>
      <c r="O36" s="184">
        <f t="shared" si="7"/>
        <v>1</v>
      </c>
      <c r="P36" s="183">
        <f t="shared" si="7"/>
        <v>0.1</v>
      </c>
      <c r="Q36" s="184">
        <f t="shared" si="7"/>
        <v>0</v>
      </c>
      <c r="R36" s="192">
        <f t="shared" si="7"/>
        <v>0</v>
      </c>
      <c r="S36" s="186" t="s">
        <v>10</v>
      </c>
      <c r="T36" s="186"/>
      <c r="U36" s="186"/>
      <c r="V36" s="138"/>
    </row>
    <row r="37" spans="1:22" s="133" customFormat="1" ht="15.05">
      <c r="A37" s="193"/>
      <c r="B37" s="194"/>
      <c r="C37" s="184"/>
      <c r="D37" s="183"/>
      <c r="E37" s="184"/>
      <c r="F37" s="183"/>
      <c r="G37" s="184"/>
      <c r="H37" s="183"/>
      <c r="I37" s="184"/>
      <c r="J37" s="183"/>
      <c r="K37" s="184"/>
      <c r="L37" s="183"/>
      <c r="M37" s="184"/>
      <c r="N37" s="183"/>
      <c r="O37" s="184"/>
      <c r="P37" s="183"/>
      <c r="Q37" s="184"/>
      <c r="R37" s="192"/>
      <c r="S37" s="186"/>
      <c r="T37" s="186"/>
      <c r="U37" s="186"/>
      <c r="V37" s="138"/>
    </row>
    <row r="38" spans="1:22" s="133" customFormat="1" ht="15.05">
      <c r="A38" s="140" t="s">
        <v>263</v>
      </c>
      <c r="B38" s="141">
        <f>SUM(C38,E38,G38,I38,K38,M38,O38,Q38)</f>
        <v>463</v>
      </c>
      <c r="C38" s="242">
        <v>387</v>
      </c>
      <c r="D38" s="243">
        <v>93.984999999999999</v>
      </c>
      <c r="E38" s="244" t="s">
        <v>207</v>
      </c>
      <c r="F38" s="243" t="s">
        <v>207</v>
      </c>
      <c r="G38" s="244" t="s">
        <v>207</v>
      </c>
      <c r="H38" s="243" t="s">
        <v>207</v>
      </c>
      <c r="I38" s="242">
        <v>74</v>
      </c>
      <c r="J38" s="242">
        <v>9.33</v>
      </c>
      <c r="K38" s="243">
        <v>1</v>
      </c>
      <c r="L38" s="242">
        <v>0.11</v>
      </c>
      <c r="M38" s="245" t="s">
        <v>207</v>
      </c>
      <c r="N38" s="242" t="s">
        <v>207</v>
      </c>
      <c r="O38" s="243">
        <v>1</v>
      </c>
      <c r="P38" s="242">
        <v>0.1</v>
      </c>
      <c r="Q38" s="245" t="s">
        <v>207</v>
      </c>
      <c r="R38" s="246" t="s">
        <v>207</v>
      </c>
      <c r="S38" s="143" t="s">
        <v>307</v>
      </c>
      <c r="T38" s="138"/>
      <c r="U38" s="138"/>
      <c r="V38" s="138"/>
    </row>
    <row r="39" spans="1:22" s="133" customFormat="1" ht="15.05">
      <c r="A39" s="140" t="s">
        <v>264</v>
      </c>
      <c r="B39" s="141">
        <f>SUM(C39,E39,G39,I39,K39,M39,O39,Q39)</f>
        <v>198</v>
      </c>
      <c r="C39" s="242">
        <v>167</v>
      </c>
      <c r="D39" s="243">
        <v>97.78</v>
      </c>
      <c r="E39" s="244" t="s">
        <v>207</v>
      </c>
      <c r="F39" s="243" t="s">
        <v>207</v>
      </c>
      <c r="G39" s="242">
        <v>20</v>
      </c>
      <c r="H39" s="243">
        <v>9</v>
      </c>
      <c r="I39" s="242">
        <v>5</v>
      </c>
      <c r="J39" s="242">
        <v>1.35</v>
      </c>
      <c r="K39" s="243">
        <v>6</v>
      </c>
      <c r="L39" s="242">
        <v>2.16</v>
      </c>
      <c r="M39" s="245" t="s">
        <v>207</v>
      </c>
      <c r="N39" s="242" t="s">
        <v>207</v>
      </c>
      <c r="O39" s="245" t="s">
        <v>207</v>
      </c>
      <c r="P39" s="242" t="s">
        <v>207</v>
      </c>
      <c r="Q39" s="245" t="s">
        <v>207</v>
      </c>
      <c r="R39" s="246" t="s">
        <v>207</v>
      </c>
      <c r="S39" s="143" t="s">
        <v>308</v>
      </c>
      <c r="T39" s="138"/>
      <c r="U39" s="138"/>
      <c r="V39" s="138"/>
    </row>
    <row r="40" spans="1:22" s="133" customFormat="1" ht="15.05">
      <c r="A40" s="140" t="s">
        <v>265</v>
      </c>
      <c r="B40" s="141">
        <f>SUM(C40,E40,G40,I40,K40,M40,O40,Q40)</f>
        <v>8</v>
      </c>
      <c r="C40" s="242">
        <v>6</v>
      </c>
      <c r="D40" s="243">
        <v>1.45</v>
      </c>
      <c r="E40" s="244" t="s">
        <v>207</v>
      </c>
      <c r="F40" s="243" t="s">
        <v>207</v>
      </c>
      <c r="G40" s="244" t="s">
        <v>207</v>
      </c>
      <c r="H40" s="243" t="s">
        <v>207</v>
      </c>
      <c r="I40" s="244" t="s">
        <v>207</v>
      </c>
      <c r="J40" s="242" t="s">
        <v>207</v>
      </c>
      <c r="K40" s="243">
        <v>2</v>
      </c>
      <c r="L40" s="242">
        <v>0.4</v>
      </c>
      <c r="M40" s="245" t="s">
        <v>207</v>
      </c>
      <c r="N40" s="242" t="s">
        <v>207</v>
      </c>
      <c r="O40" s="245" t="s">
        <v>207</v>
      </c>
      <c r="P40" s="242" t="s">
        <v>207</v>
      </c>
      <c r="Q40" s="245" t="s">
        <v>207</v>
      </c>
      <c r="R40" s="246" t="s">
        <v>207</v>
      </c>
      <c r="S40" s="143" t="s">
        <v>309</v>
      </c>
      <c r="T40" s="138"/>
      <c r="U40" s="138"/>
      <c r="V40" s="138"/>
    </row>
    <row r="41" spans="1:22" s="133" customFormat="1" ht="15.05">
      <c r="A41" s="140" t="s">
        <v>266</v>
      </c>
      <c r="B41" s="141">
        <f>SUM(C41,E41,G41,I41,K41,M41,O41,Q41)</f>
        <v>2496</v>
      </c>
      <c r="C41" s="242">
        <v>2060</v>
      </c>
      <c r="D41" s="243">
        <v>615.4</v>
      </c>
      <c r="E41" s="244" t="s">
        <v>207</v>
      </c>
      <c r="F41" s="243" t="s">
        <v>207</v>
      </c>
      <c r="G41" s="242">
        <v>13</v>
      </c>
      <c r="H41" s="243">
        <v>5.5</v>
      </c>
      <c r="I41" s="242">
        <v>147</v>
      </c>
      <c r="J41" s="242">
        <v>16.399999999999999</v>
      </c>
      <c r="K41" s="243">
        <v>88</v>
      </c>
      <c r="L41" s="242">
        <v>16</v>
      </c>
      <c r="M41" s="243">
        <v>188</v>
      </c>
      <c r="N41" s="242">
        <v>25.65</v>
      </c>
      <c r="O41" s="245" t="s">
        <v>207</v>
      </c>
      <c r="P41" s="242" t="s">
        <v>207</v>
      </c>
      <c r="Q41" s="245" t="s">
        <v>207</v>
      </c>
      <c r="R41" s="246" t="s">
        <v>207</v>
      </c>
      <c r="S41" s="143" t="s">
        <v>310</v>
      </c>
      <c r="T41" s="138"/>
      <c r="U41" s="138"/>
      <c r="V41" s="138"/>
    </row>
    <row r="42" spans="1:22" s="133" customFormat="1" ht="15.05">
      <c r="A42" s="193" t="s">
        <v>11</v>
      </c>
      <c r="B42" s="194">
        <f>SUM(B44:B48)</f>
        <v>105790</v>
      </c>
      <c r="C42" s="184">
        <f>SUM(C44:C48)</f>
        <v>8343</v>
      </c>
      <c r="D42" s="183">
        <f>SUM(D44:D48)</f>
        <v>1640.9740000000002</v>
      </c>
      <c r="E42" s="184">
        <f>SUM(E44:E48)</f>
        <v>170</v>
      </c>
      <c r="F42" s="183">
        <f t="shared" ref="F42:R42" si="8">SUM(F44:F48)</f>
        <v>32.03</v>
      </c>
      <c r="G42" s="184">
        <f t="shared" si="8"/>
        <v>609</v>
      </c>
      <c r="H42" s="183">
        <f t="shared" si="8"/>
        <v>134.68</v>
      </c>
      <c r="I42" s="184">
        <f t="shared" si="8"/>
        <v>51631</v>
      </c>
      <c r="J42" s="183">
        <f t="shared" si="8"/>
        <v>5540.076</v>
      </c>
      <c r="K42" s="184">
        <f t="shared" si="8"/>
        <v>38484</v>
      </c>
      <c r="L42" s="183">
        <f t="shared" si="8"/>
        <v>6540.4780000000001</v>
      </c>
      <c r="M42" s="184">
        <f t="shared" si="8"/>
        <v>5702</v>
      </c>
      <c r="N42" s="183">
        <f t="shared" si="8"/>
        <v>919.32</v>
      </c>
      <c r="O42" s="184">
        <f t="shared" si="8"/>
        <v>319</v>
      </c>
      <c r="P42" s="183">
        <f t="shared" si="8"/>
        <v>118</v>
      </c>
      <c r="Q42" s="184">
        <f t="shared" si="8"/>
        <v>532</v>
      </c>
      <c r="R42" s="185">
        <f t="shared" si="8"/>
        <v>159.6</v>
      </c>
      <c r="S42" s="186" t="s">
        <v>12</v>
      </c>
      <c r="T42" s="186"/>
      <c r="U42" s="186"/>
      <c r="V42" s="138"/>
    </row>
    <row r="43" spans="1:22" s="133" customFormat="1" ht="15.05">
      <c r="A43" s="193"/>
      <c r="B43" s="194"/>
      <c r="C43" s="184"/>
      <c r="D43" s="183"/>
      <c r="E43" s="184"/>
      <c r="F43" s="183"/>
      <c r="G43" s="184"/>
      <c r="H43" s="183"/>
      <c r="I43" s="184"/>
      <c r="J43" s="183"/>
      <c r="K43" s="184"/>
      <c r="L43" s="183"/>
      <c r="M43" s="184"/>
      <c r="N43" s="183"/>
      <c r="O43" s="184"/>
      <c r="P43" s="183"/>
      <c r="Q43" s="184"/>
      <c r="R43" s="185"/>
      <c r="S43" s="186"/>
      <c r="T43" s="186"/>
      <c r="U43" s="186"/>
      <c r="V43" s="138"/>
    </row>
    <row r="44" spans="1:22" s="133" customFormat="1" ht="15.05">
      <c r="A44" s="140" t="s">
        <v>267</v>
      </c>
      <c r="B44" s="141">
        <f>SUM(C44,E44,G44,I44,K44,M44,O44,Q44)</f>
        <v>89456</v>
      </c>
      <c r="C44" s="242">
        <v>4372</v>
      </c>
      <c r="D44" s="243">
        <v>882.33900000000006</v>
      </c>
      <c r="E44" s="242">
        <v>6</v>
      </c>
      <c r="F44" s="243">
        <v>1.5</v>
      </c>
      <c r="G44" s="242">
        <v>368</v>
      </c>
      <c r="H44" s="243">
        <v>68.36</v>
      </c>
      <c r="I44" s="242">
        <v>47934</v>
      </c>
      <c r="J44" s="242">
        <v>5151.915</v>
      </c>
      <c r="K44" s="243">
        <v>30665</v>
      </c>
      <c r="L44" s="242">
        <v>5477.41</v>
      </c>
      <c r="M44" s="243">
        <v>5365</v>
      </c>
      <c r="N44" s="242">
        <v>869.82</v>
      </c>
      <c r="O44" s="243">
        <v>214</v>
      </c>
      <c r="P44" s="242">
        <v>79.599999999999994</v>
      </c>
      <c r="Q44" s="243">
        <v>532</v>
      </c>
      <c r="R44" s="246">
        <v>159.6</v>
      </c>
      <c r="S44" s="143" t="s">
        <v>311</v>
      </c>
      <c r="T44" s="138"/>
      <c r="U44" s="138"/>
      <c r="V44" s="138"/>
    </row>
    <row r="45" spans="1:22" s="133" customFormat="1" ht="15.05">
      <c r="A45" s="140" t="s">
        <v>268</v>
      </c>
      <c r="B45" s="141">
        <f>SUM(C45,E45,G45,I45,K45,M45,O45,Q45)</f>
        <v>4530</v>
      </c>
      <c r="C45" s="242">
        <v>1451</v>
      </c>
      <c r="D45" s="243">
        <v>280.12</v>
      </c>
      <c r="E45" s="242">
        <v>115</v>
      </c>
      <c r="F45" s="243">
        <v>18.64</v>
      </c>
      <c r="G45" s="242">
        <v>234</v>
      </c>
      <c r="H45" s="243">
        <v>64.569999999999993</v>
      </c>
      <c r="I45" s="242">
        <v>1363</v>
      </c>
      <c r="J45" s="242">
        <v>170.33099999999999</v>
      </c>
      <c r="K45" s="243">
        <v>945</v>
      </c>
      <c r="L45" s="242">
        <v>130.56299999999999</v>
      </c>
      <c r="M45" s="243">
        <v>317</v>
      </c>
      <c r="N45" s="242">
        <v>47.5</v>
      </c>
      <c r="O45" s="243">
        <v>105</v>
      </c>
      <c r="P45" s="242">
        <v>38.4</v>
      </c>
      <c r="Q45" s="245" t="s">
        <v>207</v>
      </c>
      <c r="R45" s="246" t="s">
        <v>207</v>
      </c>
      <c r="S45" s="143" t="s">
        <v>312</v>
      </c>
      <c r="T45" s="138"/>
      <c r="U45" s="138"/>
      <c r="V45" s="138"/>
    </row>
    <row r="46" spans="1:22" s="133" customFormat="1" ht="15.05">
      <c r="A46" s="140" t="s">
        <v>269</v>
      </c>
      <c r="B46" s="141">
        <f>SUM(C46,E46,G46,I46,K46,M46,O46,Q46)</f>
        <v>4608</v>
      </c>
      <c r="C46" s="242">
        <v>1293</v>
      </c>
      <c r="D46" s="243">
        <v>277.5</v>
      </c>
      <c r="E46" s="242">
        <v>44</v>
      </c>
      <c r="F46" s="243">
        <v>11.25</v>
      </c>
      <c r="G46" s="242">
        <v>7</v>
      </c>
      <c r="H46" s="243">
        <v>1.75</v>
      </c>
      <c r="I46" s="242">
        <v>1375</v>
      </c>
      <c r="J46" s="242">
        <v>99.8</v>
      </c>
      <c r="K46" s="243">
        <v>1889</v>
      </c>
      <c r="L46" s="242">
        <v>297.5</v>
      </c>
      <c r="M46" s="245" t="s">
        <v>207</v>
      </c>
      <c r="N46" s="242" t="s">
        <v>207</v>
      </c>
      <c r="O46" s="245" t="s">
        <v>207</v>
      </c>
      <c r="P46" s="242" t="s">
        <v>207</v>
      </c>
      <c r="Q46" s="245" t="s">
        <v>207</v>
      </c>
      <c r="R46" s="246" t="s">
        <v>207</v>
      </c>
      <c r="S46" s="143" t="s">
        <v>313</v>
      </c>
      <c r="T46" s="138"/>
      <c r="U46" s="138"/>
      <c r="V46" s="138"/>
    </row>
    <row r="47" spans="1:22" s="133" customFormat="1" ht="15.05">
      <c r="A47" s="140" t="s">
        <v>270</v>
      </c>
      <c r="B47" s="141">
        <f>SUM(C47,E47,G47,I47,K47,M47,O47,Q47)</f>
        <v>0</v>
      </c>
      <c r="C47" s="242" t="s">
        <v>207</v>
      </c>
      <c r="D47" s="243" t="s">
        <v>207</v>
      </c>
      <c r="E47" s="242" t="s">
        <v>207</v>
      </c>
      <c r="F47" s="243" t="s">
        <v>207</v>
      </c>
      <c r="G47" s="242" t="s">
        <v>207</v>
      </c>
      <c r="H47" s="243" t="s">
        <v>207</v>
      </c>
      <c r="I47" s="242" t="s">
        <v>207</v>
      </c>
      <c r="J47" s="242" t="s">
        <v>207</v>
      </c>
      <c r="K47" s="243" t="s">
        <v>207</v>
      </c>
      <c r="L47" s="242" t="s">
        <v>207</v>
      </c>
      <c r="M47" s="245" t="s">
        <v>207</v>
      </c>
      <c r="N47" s="242" t="s">
        <v>207</v>
      </c>
      <c r="O47" s="245" t="s">
        <v>207</v>
      </c>
      <c r="P47" s="242" t="s">
        <v>207</v>
      </c>
      <c r="Q47" s="245" t="s">
        <v>207</v>
      </c>
      <c r="R47" s="246" t="s">
        <v>207</v>
      </c>
      <c r="S47" s="178" t="s">
        <v>314</v>
      </c>
      <c r="T47" s="182"/>
      <c r="U47" s="182"/>
      <c r="V47" s="138"/>
    </row>
    <row r="48" spans="1:22" s="133" customFormat="1" ht="15.05">
      <c r="A48" s="140" t="s">
        <v>271</v>
      </c>
      <c r="B48" s="141">
        <f>SUM(C48,E48,G48,I48,K48,M48,O48,Q48)</f>
        <v>7196</v>
      </c>
      <c r="C48" s="242">
        <v>1227</v>
      </c>
      <c r="D48" s="243">
        <v>201.01499999999999</v>
      </c>
      <c r="E48" s="242">
        <v>5</v>
      </c>
      <c r="F48" s="243">
        <v>0.64</v>
      </c>
      <c r="G48" s="244" t="s">
        <v>207</v>
      </c>
      <c r="H48" s="243" t="s">
        <v>207</v>
      </c>
      <c r="I48" s="242">
        <v>959</v>
      </c>
      <c r="J48" s="242">
        <v>118.03</v>
      </c>
      <c r="K48" s="243">
        <v>4985</v>
      </c>
      <c r="L48" s="242">
        <v>635.005</v>
      </c>
      <c r="M48" s="243">
        <v>20</v>
      </c>
      <c r="N48" s="242">
        <v>2</v>
      </c>
      <c r="O48" s="245" t="s">
        <v>207</v>
      </c>
      <c r="P48" s="242" t="s">
        <v>207</v>
      </c>
      <c r="Q48" s="245" t="s">
        <v>207</v>
      </c>
      <c r="R48" s="246" t="s">
        <v>207</v>
      </c>
      <c r="S48" s="143" t="s">
        <v>315</v>
      </c>
      <c r="T48" s="138"/>
      <c r="U48" s="138"/>
      <c r="V48" s="138"/>
    </row>
    <row r="49" spans="1:22" s="133" customFormat="1" ht="15.05">
      <c r="A49" s="179" t="s">
        <v>13</v>
      </c>
      <c r="B49" s="194">
        <f>SUM(B51:B55)</f>
        <v>37744</v>
      </c>
      <c r="C49" s="184">
        <f>SUM(C51:C55)</f>
        <v>4528</v>
      </c>
      <c r="D49" s="183">
        <f t="shared" ref="D49:R49" si="9">SUM(D51:D55)</f>
        <v>1000.1699999999998</v>
      </c>
      <c r="E49" s="184">
        <f t="shared" si="9"/>
        <v>200</v>
      </c>
      <c r="F49" s="183">
        <f t="shared" si="9"/>
        <v>27.8</v>
      </c>
      <c r="G49" s="184">
        <f t="shared" si="9"/>
        <v>792</v>
      </c>
      <c r="H49" s="183">
        <f t="shared" si="9"/>
        <v>167.19599999999997</v>
      </c>
      <c r="I49" s="184">
        <f t="shared" si="9"/>
        <v>13192</v>
      </c>
      <c r="J49" s="183">
        <f t="shared" si="9"/>
        <v>1453.5629999999999</v>
      </c>
      <c r="K49" s="184">
        <f t="shared" si="9"/>
        <v>16203</v>
      </c>
      <c r="L49" s="183">
        <f t="shared" si="9"/>
        <v>2358.5449999999996</v>
      </c>
      <c r="M49" s="184">
        <f t="shared" si="9"/>
        <v>2743</v>
      </c>
      <c r="N49" s="183">
        <f t="shared" si="9"/>
        <v>403.33600000000001</v>
      </c>
      <c r="O49" s="184">
        <f t="shared" si="9"/>
        <v>28</v>
      </c>
      <c r="P49" s="183">
        <f t="shared" si="9"/>
        <v>5.75</v>
      </c>
      <c r="Q49" s="184">
        <f t="shared" si="9"/>
        <v>58</v>
      </c>
      <c r="R49" s="185">
        <f t="shared" si="9"/>
        <v>5.7</v>
      </c>
      <c r="S49" s="181" t="s">
        <v>14</v>
      </c>
      <c r="T49" s="181"/>
      <c r="U49" s="181"/>
      <c r="V49" s="138"/>
    </row>
    <row r="50" spans="1:22" s="133" customFormat="1" ht="15.05">
      <c r="A50" s="179"/>
      <c r="B50" s="194"/>
      <c r="C50" s="184"/>
      <c r="D50" s="183"/>
      <c r="E50" s="184"/>
      <c r="F50" s="183"/>
      <c r="G50" s="184"/>
      <c r="H50" s="183"/>
      <c r="I50" s="184"/>
      <c r="J50" s="183"/>
      <c r="K50" s="184"/>
      <c r="L50" s="183"/>
      <c r="M50" s="184"/>
      <c r="N50" s="183"/>
      <c r="O50" s="184"/>
      <c r="P50" s="183"/>
      <c r="Q50" s="184"/>
      <c r="R50" s="185"/>
      <c r="S50" s="181"/>
      <c r="T50" s="181"/>
      <c r="U50" s="181"/>
      <c r="V50" s="138"/>
    </row>
    <row r="51" spans="1:22" s="133" customFormat="1" ht="15.05">
      <c r="A51" s="140" t="s">
        <v>272</v>
      </c>
      <c r="B51" s="141">
        <f t="shared" ref="B51:B55" si="10">SUM(C51,E51,G51,I51,K51,M51,O51,Q51)</f>
        <v>21128</v>
      </c>
      <c r="C51" s="242">
        <v>2476</v>
      </c>
      <c r="D51" s="243">
        <v>550.15</v>
      </c>
      <c r="E51" s="242">
        <v>62</v>
      </c>
      <c r="F51" s="243">
        <v>5.9</v>
      </c>
      <c r="G51" s="242">
        <v>101</v>
      </c>
      <c r="H51" s="243">
        <v>17.53</v>
      </c>
      <c r="I51" s="242">
        <v>7938</v>
      </c>
      <c r="J51" s="242">
        <v>794.60199999999998</v>
      </c>
      <c r="K51" s="243">
        <v>8986</v>
      </c>
      <c r="L51" s="242">
        <v>1217.2</v>
      </c>
      <c r="M51" s="243">
        <v>1512</v>
      </c>
      <c r="N51" s="242">
        <v>166.23</v>
      </c>
      <c r="O51" s="245" t="s">
        <v>207</v>
      </c>
      <c r="P51" s="242" t="s">
        <v>207</v>
      </c>
      <c r="Q51" s="243">
        <v>53</v>
      </c>
      <c r="R51" s="246">
        <v>4.2</v>
      </c>
      <c r="S51" s="143" t="s">
        <v>316</v>
      </c>
      <c r="T51" s="138"/>
      <c r="U51" s="138"/>
      <c r="V51" s="138"/>
    </row>
    <row r="52" spans="1:22" s="133" customFormat="1" ht="15.05">
      <c r="A52" s="140" t="s">
        <v>273</v>
      </c>
      <c r="B52" s="141">
        <f t="shared" si="10"/>
        <v>11815</v>
      </c>
      <c r="C52" s="242">
        <v>999</v>
      </c>
      <c r="D52" s="243">
        <v>256.95</v>
      </c>
      <c r="E52" s="242">
        <v>80</v>
      </c>
      <c r="F52" s="243">
        <v>14.37</v>
      </c>
      <c r="G52" s="242">
        <v>178</v>
      </c>
      <c r="H52" s="243">
        <v>45.36</v>
      </c>
      <c r="I52" s="242">
        <v>4951</v>
      </c>
      <c r="J52" s="242">
        <v>623.21</v>
      </c>
      <c r="K52" s="243">
        <v>4706</v>
      </c>
      <c r="L52" s="242">
        <v>786.81</v>
      </c>
      <c r="M52" s="243">
        <v>896</v>
      </c>
      <c r="N52" s="242">
        <v>199.13</v>
      </c>
      <c r="O52" s="245" t="s">
        <v>207</v>
      </c>
      <c r="P52" s="242" t="s">
        <v>207</v>
      </c>
      <c r="Q52" s="243">
        <v>5</v>
      </c>
      <c r="R52" s="246">
        <v>1.5</v>
      </c>
      <c r="S52" s="143" t="s">
        <v>317</v>
      </c>
      <c r="T52" s="138"/>
      <c r="U52" s="138"/>
      <c r="V52" s="138"/>
    </row>
    <row r="53" spans="1:22" s="133" customFormat="1" ht="15.05">
      <c r="A53" s="140" t="s">
        <v>274</v>
      </c>
      <c r="B53" s="141">
        <f t="shared" si="10"/>
        <v>4228</v>
      </c>
      <c r="C53" s="242">
        <v>818</v>
      </c>
      <c r="D53" s="243">
        <v>147.30000000000001</v>
      </c>
      <c r="E53" s="242">
        <v>14</v>
      </c>
      <c r="F53" s="243">
        <v>1.55</v>
      </c>
      <c r="G53" s="242">
        <v>424</v>
      </c>
      <c r="H53" s="243">
        <v>74.406000000000006</v>
      </c>
      <c r="I53" s="242">
        <v>229</v>
      </c>
      <c r="J53" s="242">
        <v>27.245000000000001</v>
      </c>
      <c r="K53" s="243">
        <v>2404</v>
      </c>
      <c r="L53" s="242">
        <v>342.73500000000001</v>
      </c>
      <c r="M53" s="243">
        <v>319</v>
      </c>
      <c r="N53" s="242">
        <v>36.076000000000001</v>
      </c>
      <c r="O53" s="243">
        <v>20</v>
      </c>
      <c r="P53" s="242">
        <v>3.6</v>
      </c>
      <c r="Q53" s="245" t="s">
        <v>207</v>
      </c>
      <c r="R53" s="246" t="s">
        <v>207</v>
      </c>
      <c r="S53" s="143" t="s">
        <v>318</v>
      </c>
      <c r="T53" s="138"/>
      <c r="U53" s="138"/>
      <c r="V53" s="138"/>
    </row>
    <row r="54" spans="1:22" s="133" customFormat="1" ht="15.05">
      <c r="A54" s="140" t="s">
        <v>275</v>
      </c>
      <c r="B54" s="141">
        <f t="shared" si="10"/>
        <v>203</v>
      </c>
      <c r="C54" s="242">
        <v>153</v>
      </c>
      <c r="D54" s="243">
        <v>36.229999999999997</v>
      </c>
      <c r="E54" s="242">
        <v>41</v>
      </c>
      <c r="F54" s="243">
        <v>5.28</v>
      </c>
      <c r="G54" s="242">
        <v>2</v>
      </c>
      <c r="H54" s="243">
        <v>0.45</v>
      </c>
      <c r="I54" s="242">
        <v>1</v>
      </c>
      <c r="J54" s="242">
        <v>0.16</v>
      </c>
      <c r="K54" s="243">
        <v>2</v>
      </c>
      <c r="L54" s="242">
        <v>0.6</v>
      </c>
      <c r="M54" s="245" t="s">
        <v>207</v>
      </c>
      <c r="N54" s="242" t="s">
        <v>207</v>
      </c>
      <c r="O54" s="243">
        <v>4</v>
      </c>
      <c r="P54" s="242">
        <v>0.95</v>
      </c>
      <c r="Q54" s="245" t="s">
        <v>207</v>
      </c>
      <c r="R54" s="246" t="s">
        <v>207</v>
      </c>
      <c r="S54" s="143" t="s">
        <v>319</v>
      </c>
      <c r="T54" s="138"/>
      <c r="U54" s="138"/>
      <c r="V54" s="138"/>
    </row>
    <row r="55" spans="1:22" s="133" customFormat="1" ht="15.05">
      <c r="A55" s="140" t="s">
        <v>276</v>
      </c>
      <c r="B55" s="141">
        <f t="shared" si="10"/>
        <v>370</v>
      </c>
      <c r="C55" s="242">
        <v>82</v>
      </c>
      <c r="D55" s="243">
        <v>9.5399999999999991</v>
      </c>
      <c r="E55" s="242">
        <v>3</v>
      </c>
      <c r="F55" s="243">
        <v>0.7</v>
      </c>
      <c r="G55" s="242">
        <v>87</v>
      </c>
      <c r="H55" s="243">
        <v>29.45</v>
      </c>
      <c r="I55" s="242">
        <v>73</v>
      </c>
      <c r="J55" s="242">
        <v>8.3460000000000001</v>
      </c>
      <c r="K55" s="243">
        <v>105</v>
      </c>
      <c r="L55" s="242">
        <v>11.2</v>
      </c>
      <c r="M55" s="243">
        <v>16</v>
      </c>
      <c r="N55" s="242">
        <v>1.9</v>
      </c>
      <c r="O55" s="243">
        <v>4</v>
      </c>
      <c r="P55" s="242">
        <v>1.2</v>
      </c>
      <c r="Q55" s="245" t="s">
        <v>207</v>
      </c>
      <c r="R55" s="246" t="s">
        <v>207</v>
      </c>
      <c r="S55" s="143" t="s">
        <v>320</v>
      </c>
      <c r="T55" s="138"/>
      <c r="U55" s="138"/>
      <c r="V55" s="138"/>
    </row>
    <row r="56" spans="1:22" s="133" customFormat="1" ht="15.05">
      <c r="A56" s="193" t="s">
        <v>15</v>
      </c>
      <c r="B56" s="194">
        <f>SUM(B58:B62)</f>
        <v>2171</v>
      </c>
      <c r="C56" s="184">
        <f>SUM(C58:C62)</f>
        <v>473</v>
      </c>
      <c r="D56" s="183">
        <f t="shared" ref="D56:R56" si="11">SUM(D58:D62)</f>
        <v>54.314999999999998</v>
      </c>
      <c r="E56" s="184">
        <f t="shared" si="11"/>
        <v>405</v>
      </c>
      <c r="F56" s="183">
        <f t="shared" si="11"/>
        <v>45</v>
      </c>
      <c r="G56" s="184">
        <f t="shared" si="11"/>
        <v>133</v>
      </c>
      <c r="H56" s="183">
        <f t="shared" si="11"/>
        <v>17.103999999999999</v>
      </c>
      <c r="I56" s="184">
        <f t="shared" si="11"/>
        <v>803</v>
      </c>
      <c r="J56" s="183">
        <f t="shared" si="11"/>
        <v>54.09</v>
      </c>
      <c r="K56" s="184">
        <f t="shared" si="11"/>
        <v>145</v>
      </c>
      <c r="L56" s="183">
        <f t="shared" si="11"/>
        <v>19.79</v>
      </c>
      <c r="M56" s="184">
        <f t="shared" si="11"/>
        <v>82</v>
      </c>
      <c r="N56" s="183">
        <f t="shared" si="11"/>
        <v>6.81</v>
      </c>
      <c r="O56" s="184">
        <f t="shared" si="11"/>
        <v>96</v>
      </c>
      <c r="P56" s="183">
        <f t="shared" si="11"/>
        <v>11.64</v>
      </c>
      <c r="Q56" s="184">
        <f t="shared" si="11"/>
        <v>34</v>
      </c>
      <c r="R56" s="185">
        <f t="shared" si="11"/>
        <v>3.5</v>
      </c>
      <c r="S56" s="186" t="s">
        <v>16</v>
      </c>
      <c r="T56" s="186"/>
      <c r="U56" s="186"/>
      <c r="V56" s="138"/>
    </row>
    <row r="57" spans="1:22" s="133" customFormat="1" ht="15.05">
      <c r="A57" s="193"/>
      <c r="B57" s="194"/>
      <c r="C57" s="184"/>
      <c r="D57" s="183"/>
      <c r="E57" s="184"/>
      <c r="F57" s="183"/>
      <c r="G57" s="184"/>
      <c r="H57" s="183"/>
      <c r="I57" s="184"/>
      <c r="J57" s="183"/>
      <c r="K57" s="184"/>
      <c r="L57" s="183"/>
      <c r="M57" s="184"/>
      <c r="N57" s="183"/>
      <c r="O57" s="184"/>
      <c r="P57" s="183"/>
      <c r="Q57" s="184"/>
      <c r="R57" s="185"/>
      <c r="S57" s="186"/>
      <c r="T57" s="186"/>
      <c r="U57" s="186"/>
      <c r="V57" s="138"/>
    </row>
    <row r="58" spans="1:22" s="133" customFormat="1" ht="15.05">
      <c r="A58" s="140" t="s">
        <v>277</v>
      </c>
      <c r="B58" s="141">
        <f t="shared" ref="B58:B62" si="12">SUM(C58,E58,G58,I58,K58,M58,O58,Q58)</f>
        <v>1264</v>
      </c>
      <c r="C58" s="242">
        <v>473</v>
      </c>
      <c r="D58" s="243">
        <v>54.314999999999998</v>
      </c>
      <c r="E58" s="242">
        <v>405</v>
      </c>
      <c r="F58" s="243">
        <v>45</v>
      </c>
      <c r="G58" s="242">
        <v>116</v>
      </c>
      <c r="H58" s="243">
        <v>13.564</v>
      </c>
      <c r="I58" s="242">
        <v>9</v>
      </c>
      <c r="J58" s="242">
        <v>2.7</v>
      </c>
      <c r="K58" s="243">
        <v>103</v>
      </c>
      <c r="L58" s="242">
        <v>14.06</v>
      </c>
      <c r="M58" s="243">
        <v>28</v>
      </c>
      <c r="N58" s="242">
        <v>4.13</v>
      </c>
      <c r="O58" s="243">
        <v>96</v>
      </c>
      <c r="P58" s="242">
        <v>11.64</v>
      </c>
      <c r="Q58" s="243">
        <v>34</v>
      </c>
      <c r="R58" s="246">
        <v>3.5</v>
      </c>
      <c r="S58" s="143" t="s">
        <v>321</v>
      </c>
      <c r="T58" s="138"/>
      <c r="U58" s="138"/>
      <c r="V58" s="138"/>
    </row>
    <row r="59" spans="1:22" s="133" customFormat="1" ht="15.05">
      <c r="A59" s="140" t="s">
        <v>278</v>
      </c>
      <c r="B59" s="141">
        <f t="shared" si="12"/>
        <v>10</v>
      </c>
      <c r="C59" s="244" t="s">
        <v>207</v>
      </c>
      <c r="D59" s="243" t="s">
        <v>207</v>
      </c>
      <c r="E59" s="244" t="s">
        <v>207</v>
      </c>
      <c r="F59" s="243" t="s">
        <v>207</v>
      </c>
      <c r="G59" s="244" t="s">
        <v>207</v>
      </c>
      <c r="H59" s="243" t="s">
        <v>207</v>
      </c>
      <c r="I59" s="242">
        <v>2</v>
      </c>
      <c r="J59" s="242">
        <v>0.24</v>
      </c>
      <c r="K59" s="245" t="s">
        <v>207</v>
      </c>
      <c r="L59" s="242" t="s">
        <v>207</v>
      </c>
      <c r="M59" s="243">
        <v>8</v>
      </c>
      <c r="N59" s="242">
        <v>1.54</v>
      </c>
      <c r="O59" s="245" t="s">
        <v>207</v>
      </c>
      <c r="P59" s="242" t="s">
        <v>207</v>
      </c>
      <c r="Q59" s="245" t="s">
        <v>207</v>
      </c>
      <c r="R59" s="246" t="s">
        <v>207</v>
      </c>
      <c r="S59" s="143" t="s">
        <v>322</v>
      </c>
      <c r="T59" s="138"/>
      <c r="U59" s="138"/>
      <c r="V59" s="138"/>
    </row>
    <row r="60" spans="1:22" s="133" customFormat="1" ht="15.05">
      <c r="A60" s="140" t="s">
        <v>279</v>
      </c>
      <c r="B60" s="141">
        <f t="shared" si="12"/>
        <v>7</v>
      </c>
      <c r="C60" s="244" t="s">
        <v>207</v>
      </c>
      <c r="D60" s="243" t="s">
        <v>207</v>
      </c>
      <c r="E60" s="244" t="s">
        <v>207</v>
      </c>
      <c r="F60" s="243" t="s">
        <v>207</v>
      </c>
      <c r="G60" s="242">
        <v>5</v>
      </c>
      <c r="H60" s="243">
        <v>0.5</v>
      </c>
      <c r="I60" s="242">
        <v>1</v>
      </c>
      <c r="J60" s="242">
        <v>0.08</v>
      </c>
      <c r="K60" s="243">
        <v>1</v>
      </c>
      <c r="L60" s="242">
        <v>0.12</v>
      </c>
      <c r="M60" s="245" t="s">
        <v>207</v>
      </c>
      <c r="N60" s="242" t="s">
        <v>207</v>
      </c>
      <c r="O60" s="245" t="s">
        <v>207</v>
      </c>
      <c r="P60" s="242" t="s">
        <v>207</v>
      </c>
      <c r="Q60" s="245" t="s">
        <v>207</v>
      </c>
      <c r="R60" s="246" t="s">
        <v>207</v>
      </c>
      <c r="S60" s="143" t="s">
        <v>323</v>
      </c>
      <c r="T60" s="138"/>
      <c r="U60" s="138"/>
      <c r="V60" s="138"/>
    </row>
    <row r="61" spans="1:22" s="133" customFormat="1" ht="15.05">
      <c r="A61" s="140" t="s">
        <v>280</v>
      </c>
      <c r="B61" s="141">
        <f t="shared" si="12"/>
        <v>102</v>
      </c>
      <c r="C61" s="244" t="s">
        <v>207</v>
      </c>
      <c r="D61" s="243" t="s">
        <v>207</v>
      </c>
      <c r="E61" s="244" t="s">
        <v>207</v>
      </c>
      <c r="F61" s="243" t="s">
        <v>207</v>
      </c>
      <c r="G61" s="242">
        <v>12</v>
      </c>
      <c r="H61" s="243">
        <v>3.04</v>
      </c>
      <c r="I61" s="242">
        <v>73</v>
      </c>
      <c r="J61" s="242">
        <v>8.51</v>
      </c>
      <c r="K61" s="243">
        <v>17</v>
      </c>
      <c r="L61" s="242">
        <v>3.91</v>
      </c>
      <c r="M61" s="245" t="s">
        <v>207</v>
      </c>
      <c r="N61" s="242" t="s">
        <v>207</v>
      </c>
      <c r="O61" s="245" t="s">
        <v>207</v>
      </c>
      <c r="P61" s="242" t="s">
        <v>207</v>
      </c>
      <c r="Q61" s="245" t="s">
        <v>207</v>
      </c>
      <c r="R61" s="246" t="s">
        <v>207</v>
      </c>
      <c r="S61" s="143" t="s">
        <v>324</v>
      </c>
      <c r="T61" s="138"/>
      <c r="U61" s="138"/>
      <c r="V61" s="138"/>
    </row>
    <row r="62" spans="1:22" s="133" customFormat="1" ht="15.05">
      <c r="A62" s="140" t="s">
        <v>281</v>
      </c>
      <c r="B62" s="141">
        <f t="shared" si="12"/>
        <v>788</v>
      </c>
      <c r="C62" s="244" t="s">
        <v>207</v>
      </c>
      <c r="D62" s="243" t="s">
        <v>207</v>
      </c>
      <c r="E62" s="244" t="s">
        <v>207</v>
      </c>
      <c r="F62" s="243" t="s">
        <v>207</v>
      </c>
      <c r="G62" s="244" t="s">
        <v>207</v>
      </c>
      <c r="H62" s="243" t="s">
        <v>207</v>
      </c>
      <c r="I62" s="242">
        <v>718</v>
      </c>
      <c r="J62" s="242">
        <v>42.56</v>
      </c>
      <c r="K62" s="243">
        <v>24</v>
      </c>
      <c r="L62" s="242">
        <v>1.7</v>
      </c>
      <c r="M62" s="243">
        <v>46</v>
      </c>
      <c r="N62" s="242">
        <v>1.1399999999999999</v>
      </c>
      <c r="O62" s="245" t="s">
        <v>207</v>
      </c>
      <c r="P62" s="242" t="s">
        <v>207</v>
      </c>
      <c r="Q62" s="245" t="s">
        <v>207</v>
      </c>
      <c r="R62" s="246" t="s">
        <v>207</v>
      </c>
      <c r="S62" s="143" t="s">
        <v>325</v>
      </c>
      <c r="T62" s="138"/>
      <c r="U62" s="138"/>
      <c r="V62" s="138"/>
    </row>
    <row r="63" spans="1:22" s="133" customFormat="1" ht="15.05">
      <c r="A63" s="179" t="s">
        <v>17</v>
      </c>
      <c r="B63" s="194">
        <f>SUM(B65:B67)</f>
        <v>2976</v>
      </c>
      <c r="C63" s="184">
        <f>SUM(C65:C67)</f>
        <v>1701</v>
      </c>
      <c r="D63" s="183">
        <f t="shared" ref="D63:R63" si="13">SUM(D65:D67)</f>
        <v>545.20500000000004</v>
      </c>
      <c r="E63" s="184">
        <f t="shared" si="13"/>
        <v>133</v>
      </c>
      <c r="F63" s="183">
        <f t="shared" si="13"/>
        <v>36.450000000000003</v>
      </c>
      <c r="G63" s="184">
        <f t="shared" si="13"/>
        <v>230</v>
      </c>
      <c r="H63" s="183">
        <f t="shared" si="13"/>
        <v>51.325000000000003</v>
      </c>
      <c r="I63" s="184">
        <f t="shared" si="13"/>
        <v>415</v>
      </c>
      <c r="J63" s="183">
        <f t="shared" si="13"/>
        <v>81.27</v>
      </c>
      <c r="K63" s="184">
        <f t="shared" si="13"/>
        <v>342</v>
      </c>
      <c r="L63" s="183">
        <f t="shared" si="13"/>
        <v>68.540000000000006</v>
      </c>
      <c r="M63" s="184">
        <f t="shared" si="13"/>
        <v>11</v>
      </c>
      <c r="N63" s="183">
        <f t="shared" si="13"/>
        <v>2.2000000000000002</v>
      </c>
      <c r="O63" s="184">
        <f t="shared" si="13"/>
        <v>73</v>
      </c>
      <c r="P63" s="183">
        <f t="shared" si="13"/>
        <v>18.355</v>
      </c>
      <c r="Q63" s="184">
        <f t="shared" si="13"/>
        <v>71</v>
      </c>
      <c r="R63" s="185">
        <f t="shared" si="13"/>
        <v>10.44</v>
      </c>
      <c r="S63" s="181" t="s">
        <v>18</v>
      </c>
      <c r="T63" s="181"/>
      <c r="U63" s="181"/>
      <c r="V63" s="138"/>
    </row>
    <row r="64" spans="1:22" s="133" customFormat="1" ht="15.05">
      <c r="A64" s="179"/>
      <c r="B64" s="194"/>
      <c r="C64" s="184"/>
      <c r="D64" s="183"/>
      <c r="E64" s="184"/>
      <c r="F64" s="183"/>
      <c r="G64" s="184"/>
      <c r="H64" s="183"/>
      <c r="I64" s="184"/>
      <c r="J64" s="183"/>
      <c r="K64" s="184"/>
      <c r="L64" s="183"/>
      <c r="M64" s="184"/>
      <c r="N64" s="183"/>
      <c r="O64" s="184"/>
      <c r="P64" s="183"/>
      <c r="Q64" s="184"/>
      <c r="R64" s="185"/>
      <c r="S64" s="181"/>
      <c r="T64" s="181"/>
      <c r="U64" s="181"/>
      <c r="V64" s="138"/>
    </row>
    <row r="65" spans="1:22" s="133" customFormat="1" ht="15.05">
      <c r="A65" s="140" t="s">
        <v>282</v>
      </c>
      <c r="B65" s="141">
        <f>SUM(C65,E65,G65,I65,K65,M65,O65,Q65)</f>
        <v>501</v>
      </c>
      <c r="C65" s="242">
        <v>300</v>
      </c>
      <c r="D65" s="243">
        <v>95.11</v>
      </c>
      <c r="E65" s="242">
        <v>48</v>
      </c>
      <c r="F65" s="243">
        <v>9.0500000000000007</v>
      </c>
      <c r="G65" s="242">
        <v>32</v>
      </c>
      <c r="H65" s="243">
        <v>3.8250000000000002</v>
      </c>
      <c r="I65" s="242">
        <v>52</v>
      </c>
      <c r="J65" s="242">
        <v>7.54</v>
      </c>
      <c r="K65" s="243">
        <v>35</v>
      </c>
      <c r="L65" s="242">
        <v>5.65</v>
      </c>
      <c r="M65" s="245" t="s">
        <v>207</v>
      </c>
      <c r="N65" s="242" t="s">
        <v>207</v>
      </c>
      <c r="O65" s="243">
        <v>16</v>
      </c>
      <c r="P65" s="242">
        <v>2.7250000000000001</v>
      </c>
      <c r="Q65" s="243">
        <v>18</v>
      </c>
      <c r="R65" s="246">
        <v>2.84</v>
      </c>
      <c r="S65" s="143" t="s">
        <v>326</v>
      </c>
      <c r="T65" s="138"/>
      <c r="U65" s="138"/>
      <c r="V65" s="138"/>
    </row>
    <row r="66" spans="1:22" s="133" customFormat="1" ht="15.05">
      <c r="A66" s="140" t="s">
        <v>283</v>
      </c>
      <c r="B66" s="141">
        <f>SUM(C66,E66,G66,I66,K66,M66,O66,Q66)</f>
        <v>2117</v>
      </c>
      <c r="C66" s="242">
        <v>1169</v>
      </c>
      <c r="D66" s="243">
        <v>388.39499999999998</v>
      </c>
      <c r="E66" s="242">
        <v>85</v>
      </c>
      <c r="F66" s="243">
        <v>27.4</v>
      </c>
      <c r="G66" s="242">
        <v>158</v>
      </c>
      <c r="H66" s="243">
        <v>32.5</v>
      </c>
      <c r="I66" s="242">
        <v>340</v>
      </c>
      <c r="J66" s="242">
        <v>71.63</v>
      </c>
      <c r="K66" s="243">
        <v>292</v>
      </c>
      <c r="L66" s="242">
        <v>61.39</v>
      </c>
      <c r="M66" s="243">
        <v>11</v>
      </c>
      <c r="N66" s="242">
        <v>2.2000000000000002</v>
      </c>
      <c r="O66" s="243">
        <v>42</v>
      </c>
      <c r="P66" s="242">
        <v>8.1300000000000008</v>
      </c>
      <c r="Q66" s="243">
        <v>20</v>
      </c>
      <c r="R66" s="246">
        <v>3.6</v>
      </c>
      <c r="S66" s="178" t="s">
        <v>327</v>
      </c>
      <c r="T66" s="182"/>
      <c r="U66" s="182"/>
      <c r="V66" s="138"/>
    </row>
    <row r="67" spans="1:22" s="133" customFormat="1" ht="15.05">
      <c r="A67" s="140" t="s">
        <v>284</v>
      </c>
      <c r="B67" s="141">
        <f>SUM(C67,E67,G67,I67,K67,M67,O67,Q67)</f>
        <v>358</v>
      </c>
      <c r="C67" s="242">
        <v>232</v>
      </c>
      <c r="D67" s="243">
        <v>61.7</v>
      </c>
      <c r="E67" s="244" t="s">
        <v>207</v>
      </c>
      <c r="F67" s="243" t="s">
        <v>207</v>
      </c>
      <c r="G67" s="242">
        <v>40</v>
      </c>
      <c r="H67" s="243">
        <v>15</v>
      </c>
      <c r="I67" s="242">
        <v>23</v>
      </c>
      <c r="J67" s="242">
        <v>2.1</v>
      </c>
      <c r="K67" s="243">
        <v>15</v>
      </c>
      <c r="L67" s="242">
        <v>1.5</v>
      </c>
      <c r="M67" s="245" t="s">
        <v>207</v>
      </c>
      <c r="N67" s="242" t="s">
        <v>207</v>
      </c>
      <c r="O67" s="243">
        <v>15</v>
      </c>
      <c r="P67" s="242">
        <v>7.5</v>
      </c>
      <c r="Q67" s="243">
        <v>33</v>
      </c>
      <c r="R67" s="246">
        <v>4</v>
      </c>
      <c r="S67" s="143" t="s">
        <v>328</v>
      </c>
      <c r="T67" s="138"/>
      <c r="U67" s="138"/>
      <c r="V67" s="138"/>
    </row>
    <row r="68" spans="1:22" s="133" customFormat="1" ht="15.05">
      <c r="A68" s="179" t="s">
        <v>19</v>
      </c>
      <c r="B68" s="194">
        <f>SUM(B70:B74)</f>
        <v>8339</v>
      </c>
      <c r="C68" s="184">
        <f>SUM(C70:C74)</f>
        <v>3991</v>
      </c>
      <c r="D68" s="183">
        <f t="shared" ref="D68:R68" si="14">SUM(D70:D74)</f>
        <v>1112.605</v>
      </c>
      <c r="E68" s="184">
        <f t="shared" si="14"/>
        <v>6</v>
      </c>
      <c r="F68" s="183">
        <f t="shared" si="14"/>
        <v>1.5</v>
      </c>
      <c r="G68" s="184">
        <f t="shared" si="14"/>
        <v>358</v>
      </c>
      <c r="H68" s="183">
        <f t="shared" si="14"/>
        <v>75.694999999999993</v>
      </c>
      <c r="I68" s="184">
        <f t="shared" si="14"/>
        <v>1667</v>
      </c>
      <c r="J68" s="183">
        <f t="shared" si="14"/>
        <v>293.2</v>
      </c>
      <c r="K68" s="184">
        <f t="shared" si="14"/>
        <v>288</v>
      </c>
      <c r="L68" s="183">
        <f t="shared" si="14"/>
        <v>69.460000000000008</v>
      </c>
      <c r="M68" s="184">
        <f t="shared" si="14"/>
        <v>1987</v>
      </c>
      <c r="N68" s="183">
        <f t="shared" si="14"/>
        <v>457</v>
      </c>
      <c r="O68" s="184">
        <f t="shared" si="14"/>
        <v>42</v>
      </c>
      <c r="P68" s="183">
        <f t="shared" si="14"/>
        <v>7.4999999999999991</v>
      </c>
      <c r="Q68" s="184">
        <f t="shared" si="14"/>
        <v>0</v>
      </c>
      <c r="R68" s="185">
        <f t="shared" si="14"/>
        <v>0</v>
      </c>
      <c r="S68" s="181" t="s">
        <v>20</v>
      </c>
      <c r="T68" s="181"/>
      <c r="U68" s="181"/>
      <c r="V68" s="138"/>
    </row>
    <row r="69" spans="1:22" s="133" customFormat="1" ht="15.05">
      <c r="A69" s="179"/>
      <c r="B69" s="194"/>
      <c r="C69" s="184"/>
      <c r="D69" s="183"/>
      <c r="E69" s="184"/>
      <c r="F69" s="183"/>
      <c r="G69" s="184"/>
      <c r="H69" s="183"/>
      <c r="I69" s="184"/>
      <c r="J69" s="183"/>
      <c r="K69" s="184"/>
      <c r="L69" s="183"/>
      <c r="M69" s="184"/>
      <c r="N69" s="183"/>
      <c r="O69" s="184"/>
      <c r="P69" s="183"/>
      <c r="Q69" s="184"/>
      <c r="R69" s="185"/>
      <c r="S69" s="181"/>
      <c r="T69" s="181"/>
      <c r="U69" s="181"/>
      <c r="V69" s="138"/>
    </row>
    <row r="70" spans="1:22" s="133" customFormat="1" ht="15.05">
      <c r="A70" s="140" t="s">
        <v>285</v>
      </c>
      <c r="B70" s="141">
        <f t="shared" ref="B70:B74" si="15">SUM(C70,E70,G70,I70,K70,M70,O70,Q70)</f>
        <v>1192</v>
      </c>
      <c r="C70" s="242">
        <v>735</v>
      </c>
      <c r="D70" s="243">
        <v>336.73500000000001</v>
      </c>
      <c r="E70" s="244" t="s">
        <v>207</v>
      </c>
      <c r="F70" s="243" t="s">
        <v>207</v>
      </c>
      <c r="G70" s="242">
        <v>276</v>
      </c>
      <c r="H70" s="243">
        <v>51.295000000000002</v>
      </c>
      <c r="I70" s="242">
        <v>49</v>
      </c>
      <c r="J70" s="242">
        <v>13.95</v>
      </c>
      <c r="K70" s="243">
        <v>83</v>
      </c>
      <c r="L70" s="242">
        <v>16.760000000000002</v>
      </c>
      <c r="M70" s="243">
        <v>42</v>
      </c>
      <c r="N70" s="242">
        <v>9</v>
      </c>
      <c r="O70" s="243">
        <v>7</v>
      </c>
      <c r="P70" s="242">
        <v>1.5</v>
      </c>
      <c r="Q70" s="245" t="s">
        <v>207</v>
      </c>
      <c r="R70" s="246" t="s">
        <v>207</v>
      </c>
      <c r="S70" s="143" t="s">
        <v>329</v>
      </c>
      <c r="T70" s="138"/>
      <c r="U70" s="138"/>
      <c r="V70" s="138"/>
    </row>
    <row r="71" spans="1:22" s="133" customFormat="1" ht="15.05">
      <c r="A71" s="140" t="s">
        <v>286</v>
      </c>
      <c r="B71" s="141">
        <f t="shared" si="15"/>
        <v>563</v>
      </c>
      <c r="C71" s="242">
        <v>538</v>
      </c>
      <c r="D71" s="243">
        <v>174.2</v>
      </c>
      <c r="E71" s="244" t="s">
        <v>207</v>
      </c>
      <c r="F71" s="243" t="s">
        <v>207</v>
      </c>
      <c r="G71" s="242">
        <v>25</v>
      </c>
      <c r="H71" s="243">
        <v>9.15</v>
      </c>
      <c r="I71" s="244" t="s">
        <v>207</v>
      </c>
      <c r="J71" s="242" t="s">
        <v>207</v>
      </c>
      <c r="K71" s="245" t="s">
        <v>207</v>
      </c>
      <c r="L71" s="242" t="s">
        <v>207</v>
      </c>
      <c r="M71" s="245" t="s">
        <v>207</v>
      </c>
      <c r="N71" s="242" t="s">
        <v>207</v>
      </c>
      <c r="O71" s="245" t="s">
        <v>207</v>
      </c>
      <c r="P71" s="242" t="s">
        <v>207</v>
      </c>
      <c r="Q71" s="245" t="s">
        <v>207</v>
      </c>
      <c r="R71" s="246" t="s">
        <v>207</v>
      </c>
      <c r="S71" s="143" t="s">
        <v>330</v>
      </c>
      <c r="T71" s="138"/>
      <c r="U71" s="138"/>
      <c r="V71" s="138"/>
    </row>
    <row r="72" spans="1:22" s="133" customFormat="1" ht="15.05">
      <c r="A72" s="140" t="s">
        <v>287</v>
      </c>
      <c r="B72" s="141">
        <f>SUM(C72,E72,G72,I72,K72,M72,O72,Q72)</f>
        <v>6501</v>
      </c>
      <c r="C72" s="242">
        <v>2664</v>
      </c>
      <c r="D72" s="243">
        <v>583.11</v>
      </c>
      <c r="E72" s="244" t="s">
        <v>207</v>
      </c>
      <c r="F72" s="243" t="s">
        <v>207</v>
      </c>
      <c r="G72" s="242">
        <v>43</v>
      </c>
      <c r="H72" s="243">
        <v>10.5</v>
      </c>
      <c r="I72" s="242">
        <v>1618</v>
      </c>
      <c r="J72" s="242">
        <v>279.25</v>
      </c>
      <c r="K72" s="243">
        <v>201</v>
      </c>
      <c r="L72" s="242">
        <v>51.5</v>
      </c>
      <c r="M72" s="243">
        <v>1945</v>
      </c>
      <c r="N72" s="242">
        <v>448</v>
      </c>
      <c r="O72" s="243">
        <v>30</v>
      </c>
      <c r="P72" s="242">
        <v>4.8</v>
      </c>
      <c r="Q72" s="245" t="s">
        <v>207</v>
      </c>
      <c r="R72" s="246" t="s">
        <v>207</v>
      </c>
      <c r="S72" s="143" t="s">
        <v>331</v>
      </c>
      <c r="T72" s="138"/>
      <c r="U72" s="138"/>
      <c r="V72" s="138"/>
    </row>
    <row r="73" spans="1:22" s="133" customFormat="1" ht="15.05">
      <c r="A73" s="140" t="s">
        <v>288</v>
      </c>
      <c r="B73" s="141">
        <f t="shared" si="15"/>
        <v>53</v>
      </c>
      <c r="C73" s="242">
        <v>30</v>
      </c>
      <c r="D73" s="243">
        <v>8.9600000000000009</v>
      </c>
      <c r="E73" s="242">
        <v>6</v>
      </c>
      <c r="F73" s="243">
        <v>1.5</v>
      </c>
      <c r="G73" s="242">
        <v>14</v>
      </c>
      <c r="H73" s="243">
        <v>4.75</v>
      </c>
      <c r="I73" s="244" t="s">
        <v>207</v>
      </c>
      <c r="J73" s="242" t="s">
        <v>207</v>
      </c>
      <c r="K73" s="245" t="s">
        <v>207</v>
      </c>
      <c r="L73" s="242" t="s">
        <v>207</v>
      </c>
      <c r="M73" s="245" t="s">
        <v>207</v>
      </c>
      <c r="N73" s="242" t="s">
        <v>207</v>
      </c>
      <c r="O73" s="243">
        <v>3</v>
      </c>
      <c r="P73" s="242">
        <v>0.6</v>
      </c>
      <c r="Q73" s="245" t="s">
        <v>207</v>
      </c>
      <c r="R73" s="246" t="s">
        <v>207</v>
      </c>
      <c r="S73" s="143" t="s">
        <v>332</v>
      </c>
      <c r="T73" s="138"/>
      <c r="U73" s="138"/>
      <c r="V73" s="138"/>
    </row>
    <row r="74" spans="1:22" s="133" customFormat="1" ht="15.05">
      <c r="A74" s="140" t="s">
        <v>289</v>
      </c>
      <c r="B74" s="141">
        <f t="shared" si="15"/>
        <v>30</v>
      </c>
      <c r="C74" s="242">
        <v>24</v>
      </c>
      <c r="D74" s="243">
        <v>9.6</v>
      </c>
      <c r="E74" s="244" t="s">
        <v>207</v>
      </c>
      <c r="F74" s="243" t="s">
        <v>207</v>
      </c>
      <c r="G74" s="244" t="s">
        <v>207</v>
      </c>
      <c r="H74" s="243" t="s">
        <v>207</v>
      </c>
      <c r="I74" s="244" t="s">
        <v>207</v>
      </c>
      <c r="J74" s="242" t="s">
        <v>207</v>
      </c>
      <c r="K74" s="243">
        <v>4</v>
      </c>
      <c r="L74" s="242">
        <v>1.2</v>
      </c>
      <c r="M74" s="245" t="s">
        <v>207</v>
      </c>
      <c r="N74" s="242" t="s">
        <v>207</v>
      </c>
      <c r="O74" s="243">
        <v>2</v>
      </c>
      <c r="P74" s="242">
        <v>0.6</v>
      </c>
      <c r="Q74" s="245" t="s">
        <v>207</v>
      </c>
      <c r="R74" s="246" t="s">
        <v>207</v>
      </c>
      <c r="S74" s="143" t="s">
        <v>333</v>
      </c>
      <c r="T74" s="138"/>
      <c r="U74" s="138"/>
      <c r="V74" s="138"/>
    </row>
    <row r="75" spans="1:22" s="133" customFormat="1" ht="15.05">
      <c r="A75" s="193" t="s">
        <v>21</v>
      </c>
      <c r="B75" s="194">
        <f>SUM(B77:B84)</f>
        <v>2161</v>
      </c>
      <c r="C75" s="184">
        <f>SUM(C77:C84)</f>
        <v>353</v>
      </c>
      <c r="D75" s="183">
        <f t="shared" ref="D75:R75" si="16">SUM(D77:D84)</f>
        <v>116.12</v>
      </c>
      <c r="E75" s="184">
        <f t="shared" si="16"/>
        <v>2</v>
      </c>
      <c r="F75" s="183">
        <f t="shared" si="16"/>
        <v>0.5</v>
      </c>
      <c r="G75" s="184">
        <f t="shared" si="16"/>
        <v>138</v>
      </c>
      <c r="H75" s="183">
        <f t="shared" si="16"/>
        <v>52.72</v>
      </c>
      <c r="I75" s="184">
        <f t="shared" si="16"/>
        <v>593</v>
      </c>
      <c r="J75" s="183">
        <f t="shared" si="16"/>
        <v>95.24199999999999</v>
      </c>
      <c r="K75" s="184">
        <f t="shared" si="16"/>
        <v>485</v>
      </c>
      <c r="L75" s="183">
        <f t="shared" si="16"/>
        <v>82.655000000000001</v>
      </c>
      <c r="M75" s="184">
        <f t="shared" si="16"/>
        <v>478</v>
      </c>
      <c r="N75" s="183">
        <f t="shared" si="16"/>
        <v>72.650000000000006</v>
      </c>
      <c r="O75" s="184">
        <f t="shared" si="16"/>
        <v>112</v>
      </c>
      <c r="P75" s="183">
        <f t="shared" si="16"/>
        <v>32.6</v>
      </c>
      <c r="Q75" s="184">
        <f t="shared" si="16"/>
        <v>0</v>
      </c>
      <c r="R75" s="185">
        <f t="shared" si="16"/>
        <v>0</v>
      </c>
      <c r="S75" s="186" t="s">
        <v>22</v>
      </c>
      <c r="T75" s="186"/>
      <c r="U75" s="186"/>
      <c r="V75" s="138"/>
    </row>
    <row r="76" spans="1:22" s="133" customFormat="1" ht="15.05">
      <c r="A76" s="193"/>
      <c r="B76" s="194"/>
      <c r="C76" s="184"/>
      <c r="D76" s="183"/>
      <c r="E76" s="184"/>
      <c r="F76" s="183"/>
      <c r="G76" s="184"/>
      <c r="H76" s="183"/>
      <c r="I76" s="184"/>
      <c r="J76" s="183"/>
      <c r="K76" s="184"/>
      <c r="L76" s="183"/>
      <c r="M76" s="184"/>
      <c r="N76" s="183"/>
      <c r="O76" s="184"/>
      <c r="P76" s="183"/>
      <c r="Q76" s="184"/>
      <c r="R76" s="185"/>
      <c r="S76" s="186"/>
      <c r="T76" s="186"/>
      <c r="U76" s="186"/>
      <c r="V76" s="138"/>
    </row>
    <row r="77" spans="1:22" s="133" customFormat="1" ht="15.05">
      <c r="A77" s="151" t="s">
        <v>109</v>
      </c>
      <c r="B77" s="141">
        <f t="shared" ref="B77:B80" si="17">SUM(C77,E77,G77,I77,K77,M77,O77,Q77)</f>
        <v>0</v>
      </c>
      <c r="C77" s="242" t="s">
        <v>207</v>
      </c>
      <c r="D77" s="243" t="s">
        <v>207</v>
      </c>
      <c r="E77" s="244" t="s">
        <v>207</v>
      </c>
      <c r="F77" s="243" t="s">
        <v>207</v>
      </c>
      <c r="G77" s="244" t="s">
        <v>207</v>
      </c>
      <c r="H77" s="243" t="s">
        <v>207</v>
      </c>
      <c r="I77" s="244" t="s">
        <v>207</v>
      </c>
      <c r="J77" s="242" t="s">
        <v>207</v>
      </c>
      <c r="K77" s="243" t="s">
        <v>207</v>
      </c>
      <c r="L77" s="242" t="s">
        <v>207</v>
      </c>
      <c r="M77" s="245" t="s">
        <v>207</v>
      </c>
      <c r="N77" s="242" t="s">
        <v>207</v>
      </c>
      <c r="O77" s="243" t="s">
        <v>207</v>
      </c>
      <c r="P77" s="242" t="s">
        <v>207</v>
      </c>
      <c r="Q77" s="245" t="s">
        <v>207</v>
      </c>
      <c r="R77" s="246" t="s">
        <v>207</v>
      </c>
      <c r="S77" s="178" t="s">
        <v>334</v>
      </c>
      <c r="T77" s="178"/>
      <c r="U77" s="178"/>
      <c r="V77" s="178"/>
    </row>
    <row r="78" spans="1:22" s="133" customFormat="1" ht="15.05">
      <c r="A78" s="140" t="s">
        <v>110</v>
      </c>
      <c r="B78" s="141">
        <f t="shared" si="17"/>
        <v>0</v>
      </c>
      <c r="C78" s="242" t="s">
        <v>207</v>
      </c>
      <c r="D78" s="243" t="s">
        <v>207</v>
      </c>
      <c r="E78" s="244" t="s">
        <v>207</v>
      </c>
      <c r="F78" s="243" t="s">
        <v>207</v>
      </c>
      <c r="G78" s="244" t="s">
        <v>207</v>
      </c>
      <c r="H78" s="243" t="s">
        <v>207</v>
      </c>
      <c r="I78" s="244" t="s">
        <v>207</v>
      </c>
      <c r="J78" s="242" t="s">
        <v>207</v>
      </c>
      <c r="K78" s="243" t="s">
        <v>207</v>
      </c>
      <c r="L78" s="242" t="s">
        <v>207</v>
      </c>
      <c r="M78" s="245" t="s">
        <v>207</v>
      </c>
      <c r="N78" s="242" t="s">
        <v>207</v>
      </c>
      <c r="O78" s="243" t="s">
        <v>207</v>
      </c>
      <c r="P78" s="242" t="s">
        <v>207</v>
      </c>
      <c r="Q78" s="245" t="s">
        <v>207</v>
      </c>
      <c r="R78" s="246" t="s">
        <v>207</v>
      </c>
      <c r="S78" s="178" t="s">
        <v>335</v>
      </c>
      <c r="T78" s="178"/>
      <c r="U78" s="178"/>
      <c r="V78" s="178"/>
    </row>
    <row r="79" spans="1:22" s="133" customFormat="1" ht="15.05">
      <c r="A79" s="140" t="s">
        <v>218</v>
      </c>
      <c r="B79" s="141">
        <f t="shared" si="17"/>
        <v>0</v>
      </c>
      <c r="C79" s="242" t="s">
        <v>207</v>
      </c>
      <c r="D79" s="243" t="s">
        <v>207</v>
      </c>
      <c r="E79" s="244" t="s">
        <v>207</v>
      </c>
      <c r="F79" s="243" t="s">
        <v>207</v>
      </c>
      <c r="G79" s="244" t="s">
        <v>207</v>
      </c>
      <c r="H79" s="243" t="s">
        <v>207</v>
      </c>
      <c r="I79" s="244" t="s">
        <v>207</v>
      </c>
      <c r="J79" s="242" t="s">
        <v>207</v>
      </c>
      <c r="K79" s="243" t="s">
        <v>207</v>
      </c>
      <c r="L79" s="242" t="s">
        <v>207</v>
      </c>
      <c r="M79" s="245" t="s">
        <v>207</v>
      </c>
      <c r="N79" s="242" t="s">
        <v>207</v>
      </c>
      <c r="O79" s="243" t="s">
        <v>207</v>
      </c>
      <c r="P79" s="242" t="s">
        <v>207</v>
      </c>
      <c r="Q79" s="245" t="s">
        <v>207</v>
      </c>
      <c r="R79" s="246" t="s">
        <v>207</v>
      </c>
      <c r="S79" s="178" t="s">
        <v>336</v>
      </c>
      <c r="T79" s="178"/>
      <c r="U79" s="178"/>
      <c r="V79" s="178"/>
    </row>
    <row r="80" spans="1:22" s="133" customFormat="1" ht="15.05">
      <c r="A80" s="140" t="s">
        <v>219</v>
      </c>
      <c r="B80" s="141">
        <f t="shared" si="17"/>
        <v>0</v>
      </c>
      <c r="C80" s="242" t="s">
        <v>207</v>
      </c>
      <c r="D80" s="243" t="s">
        <v>207</v>
      </c>
      <c r="E80" s="244" t="s">
        <v>207</v>
      </c>
      <c r="F80" s="243" t="s">
        <v>207</v>
      </c>
      <c r="G80" s="244" t="s">
        <v>207</v>
      </c>
      <c r="H80" s="243" t="s">
        <v>207</v>
      </c>
      <c r="I80" s="244" t="s">
        <v>207</v>
      </c>
      <c r="J80" s="242" t="s">
        <v>207</v>
      </c>
      <c r="K80" s="243" t="s">
        <v>207</v>
      </c>
      <c r="L80" s="242" t="s">
        <v>207</v>
      </c>
      <c r="M80" s="245" t="s">
        <v>207</v>
      </c>
      <c r="N80" s="242" t="s">
        <v>207</v>
      </c>
      <c r="O80" s="243" t="s">
        <v>207</v>
      </c>
      <c r="P80" s="242" t="s">
        <v>207</v>
      </c>
      <c r="Q80" s="245" t="s">
        <v>207</v>
      </c>
      <c r="R80" s="246" t="s">
        <v>207</v>
      </c>
      <c r="S80" s="178" t="s">
        <v>337</v>
      </c>
      <c r="T80" s="178"/>
      <c r="U80" s="178"/>
      <c r="V80" s="178"/>
    </row>
    <row r="81" spans="1:22" s="133" customFormat="1" ht="15.05">
      <c r="A81" s="140" t="s">
        <v>220</v>
      </c>
      <c r="B81" s="141">
        <f>SUM(C81,E81,G81,I81,K81,M81,O81,Q81)</f>
        <v>261</v>
      </c>
      <c r="C81" s="242">
        <v>47</v>
      </c>
      <c r="D81" s="243">
        <v>20.92</v>
      </c>
      <c r="E81" s="242">
        <v>2</v>
      </c>
      <c r="F81" s="243">
        <v>0.5</v>
      </c>
      <c r="G81" s="242">
        <v>38</v>
      </c>
      <c r="H81" s="243">
        <v>12.72</v>
      </c>
      <c r="I81" s="242">
        <v>42</v>
      </c>
      <c r="J81" s="242">
        <v>9.4420000000000002</v>
      </c>
      <c r="K81" s="243">
        <v>96</v>
      </c>
      <c r="L81" s="242">
        <v>19.655000000000001</v>
      </c>
      <c r="M81" s="243">
        <v>4</v>
      </c>
      <c r="N81" s="242">
        <v>1.1499999999999999</v>
      </c>
      <c r="O81" s="243">
        <v>32</v>
      </c>
      <c r="P81" s="242">
        <v>8.6</v>
      </c>
      <c r="Q81" s="245" t="s">
        <v>207</v>
      </c>
      <c r="R81" s="246" t="s">
        <v>207</v>
      </c>
      <c r="S81" s="178" t="s">
        <v>338</v>
      </c>
      <c r="T81" s="178"/>
      <c r="U81" s="178"/>
      <c r="V81" s="178"/>
    </row>
    <row r="82" spans="1:22" s="133" customFormat="1" ht="15.05">
      <c r="A82" s="140" t="s">
        <v>221</v>
      </c>
      <c r="B82" s="141">
        <f>SUM(C82,E82,G82,I82,K82,M82,O82,Q82)</f>
        <v>1900</v>
      </c>
      <c r="C82" s="242">
        <v>306</v>
      </c>
      <c r="D82" s="243">
        <v>95.2</v>
      </c>
      <c r="E82" s="244" t="s">
        <v>207</v>
      </c>
      <c r="F82" s="243" t="s">
        <v>207</v>
      </c>
      <c r="G82" s="242">
        <v>100</v>
      </c>
      <c r="H82" s="243">
        <v>40</v>
      </c>
      <c r="I82" s="242">
        <v>551</v>
      </c>
      <c r="J82" s="242">
        <v>85.8</v>
      </c>
      <c r="K82" s="243">
        <v>389</v>
      </c>
      <c r="L82" s="242">
        <v>63</v>
      </c>
      <c r="M82" s="243">
        <v>474</v>
      </c>
      <c r="N82" s="242">
        <v>71.5</v>
      </c>
      <c r="O82" s="243">
        <v>80</v>
      </c>
      <c r="P82" s="242">
        <v>24</v>
      </c>
      <c r="Q82" s="245" t="s">
        <v>207</v>
      </c>
      <c r="R82" s="246" t="s">
        <v>207</v>
      </c>
      <c r="S82" s="178" t="s">
        <v>339</v>
      </c>
      <c r="T82" s="178"/>
      <c r="U82" s="178"/>
      <c r="V82" s="178"/>
    </row>
    <row r="83" spans="1:22" s="133" customFormat="1" ht="15.05">
      <c r="A83" s="140" t="s">
        <v>222</v>
      </c>
      <c r="B83" s="141">
        <f>SUM(C83,E83,G83,I83,K83,M83,O83,Q83)</f>
        <v>0</v>
      </c>
      <c r="C83" s="242" t="s">
        <v>207</v>
      </c>
      <c r="D83" s="243" t="s">
        <v>207</v>
      </c>
      <c r="E83" s="244" t="s">
        <v>207</v>
      </c>
      <c r="F83" s="243" t="s">
        <v>207</v>
      </c>
      <c r="G83" s="242" t="s">
        <v>207</v>
      </c>
      <c r="H83" s="243" t="s">
        <v>207</v>
      </c>
      <c r="I83" s="242" t="s">
        <v>207</v>
      </c>
      <c r="J83" s="242" t="s">
        <v>207</v>
      </c>
      <c r="K83" s="243" t="s">
        <v>207</v>
      </c>
      <c r="L83" s="242" t="s">
        <v>207</v>
      </c>
      <c r="M83" s="243" t="s">
        <v>207</v>
      </c>
      <c r="N83" s="242" t="s">
        <v>207</v>
      </c>
      <c r="O83" s="243" t="s">
        <v>207</v>
      </c>
      <c r="P83" s="242" t="s">
        <v>207</v>
      </c>
      <c r="Q83" s="245" t="s">
        <v>207</v>
      </c>
      <c r="R83" s="246" t="s">
        <v>207</v>
      </c>
      <c r="S83" s="178" t="s">
        <v>340</v>
      </c>
      <c r="T83" s="178"/>
      <c r="U83" s="178"/>
      <c r="V83" s="178"/>
    </row>
    <row r="84" spans="1:22" s="133" customFormat="1" ht="15.05">
      <c r="A84" s="140" t="s">
        <v>223</v>
      </c>
      <c r="B84" s="141">
        <f>SUM(C84,E84,G84,I84,K84,M84,O84,Q84)</f>
        <v>0</v>
      </c>
      <c r="C84" s="242" t="s">
        <v>207</v>
      </c>
      <c r="D84" s="243" t="s">
        <v>207</v>
      </c>
      <c r="E84" s="244" t="s">
        <v>207</v>
      </c>
      <c r="F84" s="243" t="s">
        <v>207</v>
      </c>
      <c r="G84" s="242" t="s">
        <v>207</v>
      </c>
      <c r="H84" s="243" t="s">
        <v>207</v>
      </c>
      <c r="I84" s="242" t="s">
        <v>207</v>
      </c>
      <c r="J84" s="242" t="s">
        <v>207</v>
      </c>
      <c r="K84" s="243" t="s">
        <v>207</v>
      </c>
      <c r="L84" s="242" t="s">
        <v>207</v>
      </c>
      <c r="M84" s="243" t="s">
        <v>207</v>
      </c>
      <c r="N84" s="242" t="s">
        <v>207</v>
      </c>
      <c r="O84" s="243" t="s">
        <v>207</v>
      </c>
      <c r="P84" s="242" t="s">
        <v>207</v>
      </c>
      <c r="Q84" s="245" t="s">
        <v>207</v>
      </c>
      <c r="R84" s="246" t="s">
        <v>207</v>
      </c>
      <c r="S84" s="178" t="s">
        <v>341</v>
      </c>
      <c r="T84" s="178"/>
      <c r="U84" s="178"/>
      <c r="V84" s="178"/>
    </row>
    <row r="85" spans="1:22" s="133" customFormat="1" ht="15.05">
      <c r="A85" s="193" t="s">
        <v>23</v>
      </c>
      <c r="B85" s="194">
        <f>SUM(B87:B91)</f>
        <v>9572</v>
      </c>
      <c r="C85" s="184">
        <f>SUM(C87:C91)</f>
        <v>6609</v>
      </c>
      <c r="D85" s="183">
        <f t="shared" ref="D85:R85" si="18">SUM(D87:D91)</f>
        <v>727.53399999999999</v>
      </c>
      <c r="E85" s="184">
        <f t="shared" si="18"/>
        <v>36</v>
      </c>
      <c r="F85" s="183">
        <f t="shared" si="18"/>
        <v>4.84</v>
      </c>
      <c r="G85" s="184">
        <f t="shared" si="18"/>
        <v>1698</v>
      </c>
      <c r="H85" s="183">
        <f t="shared" si="18"/>
        <v>216.185</v>
      </c>
      <c r="I85" s="184">
        <f t="shared" si="18"/>
        <v>202</v>
      </c>
      <c r="J85" s="183">
        <f t="shared" si="18"/>
        <v>14.5</v>
      </c>
      <c r="K85" s="184">
        <f t="shared" si="18"/>
        <v>645</v>
      </c>
      <c r="L85" s="183">
        <f t="shared" si="18"/>
        <v>79.210000000000008</v>
      </c>
      <c r="M85" s="184">
        <f t="shared" si="18"/>
        <v>352</v>
      </c>
      <c r="N85" s="183">
        <f t="shared" si="18"/>
        <v>44.65</v>
      </c>
      <c r="O85" s="184">
        <f t="shared" si="18"/>
        <v>30</v>
      </c>
      <c r="P85" s="183">
        <f t="shared" si="18"/>
        <v>2.74</v>
      </c>
      <c r="Q85" s="184">
        <f t="shared" si="18"/>
        <v>0</v>
      </c>
      <c r="R85" s="185">
        <f t="shared" si="18"/>
        <v>0</v>
      </c>
      <c r="S85" s="181" t="s">
        <v>24</v>
      </c>
      <c r="T85" s="181"/>
      <c r="U85" s="181"/>
      <c r="V85" s="138"/>
    </row>
    <row r="86" spans="1:22" s="133" customFormat="1" ht="15.05">
      <c r="A86" s="193"/>
      <c r="B86" s="194"/>
      <c r="C86" s="184"/>
      <c r="D86" s="183"/>
      <c r="E86" s="184"/>
      <c r="F86" s="183"/>
      <c r="G86" s="184"/>
      <c r="H86" s="183"/>
      <c r="I86" s="184"/>
      <c r="J86" s="183"/>
      <c r="K86" s="184"/>
      <c r="L86" s="183"/>
      <c r="M86" s="184"/>
      <c r="N86" s="183"/>
      <c r="O86" s="184"/>
      <c r="P86" s="183"/>
      <c r="Q86" s="184"/>
      <c r="R86" s="185"/>
      <c r="S86" s="181"/>
      <c r="T86" s="181"/>
      <c r="U86" s="181"/>
      <c r="V86" s="138"/>
    </row>
    <row r="87" spans="1:22" s="133" customFormat="1" ht="15.05">
      <c r="A87" s="140" t="s">
        <v>224</v>
      </c>
      <c r="B87" s="141">
        <f t="shared" ref="B87:B91" si="19">SUM(C87,E87,G87,I87,K87,M87,O87,Q87)</f>
        <v>1442</v>
      </c>
      <c r="C87" s="242">
        <v>398</v>
      </c>
      <c r="D87" s="243">
        <v>90.59</v>
      </c>
      <c r="E87" s="242">
        <v>30</v>
      </c>
      <c r="F87" s="243">
        <v>4.29</v>
      </c>
      <c r="G87" s="242">
        <v>667</v>
      </c>
      <c r="H87" s="243">
        <v>120.73</v>
      </c>
      <c r="I87" s="242">
        <v>10</v>
      </c>
      <c r="J87" s="242">
        <v>1.3</v>
      </c>
      <c r="K87" s="243">
        <v>315</v>
      </c>
      <c r="L87" s="242">
        <v>47.22</v>
      </c>
      <c r="M87" s="243">
        <v>15</v>
      </c>
      <c r="N87" s="242">
        <v>1.95</v>
      </c>
      <c r="O87" s="243">
        <v>7</v>
      </c>
      <c r="P87" s="242">
        <v>1.1200000000000001</v>
      </c>
      <c r="Q87" s="245" t="s">
        <v>207</v>
      </c>
      <c r="R87" s="246" t="s">
        <v>207</v>
      </c>
      <c r="S87" s="143" t="s">
        <v>342</v>
      </c>
      <c r="T87" s="138"/>
      <c r="U87" s="138"/>
      <c r="V87" s="138"/>
    </row>
    <row r="88" spans="1:22" s="133" customFormat="1" ht="15.05">
      <c r="A88" s="140" t="s">
        <v>225</v>
      </c>
      <c r="B88" s="141">
        <f t="shared" si="19"/>
        <v>22</v>
      </c>
      <c r="C88" s="244" t="s">
        <v>207</v>
      </c>
      <c r="D88" s="243" t="s">
        <v>207</v>
      </c>
      <c r="E88" s="244" t="s">
        <v>207</v>
      </c>
      <c r="F88" s="243" t="s">
        <v>207</v>
      </c>
      <c r="G88" s="242">
        <v>19</v>
      </c>
      <c r="H88" s="243">
        <v>2</v>
      </c>
      <c r="I88" s="242">
        <v>1</v>
      </c>
      <c r="J88" s="242">
        <v>0.08</v>
      </c>
      <c r="K88" s="243">
        <v>1</v>
      </c>
      <c r="L88" s="242">
        <v>0.09</v>
      </c>
      <c r="M88" s="243">
        <v>1</v>
      </c>
      <c r="N88" s="242">
        <v>0.1</v>
      </c>
      <c r="O88" s="245" t="s">
        <v>207</v>
      </c>
      <c r="P88" s="242" t="s">
        <v>207</v>
      </c>
      <c r="Q88" s="245" t="s">
        <v>207</v>
      </c>
      <c r="R88" s="246" t="s">
        <v>207</v>
      </c>
      <c r="S88" s="143" t="s">
        <v>343</v>
      </c>
      <c r="T88" s="138"/>
      <c r="U88" s="138"/>
      <c r="V88" s="138"/>
    </row>
    <row r="89" spans="1:22" s="133" customFormat="1" ht="15.05">
      <c r="A89" s="140" t="s">
        <v>226</v>
      </c>
      <c r="B89" s="141">
        <f t="shared" si="19"/>
        <v>6389</v>
      </c>
      <c r="C89" s="242">
        <v>6148</v>
      </c>
      <c r="D89" s="243">
        <v>630.26400000000001</v>
      </c>
      <c r="E89" s="244" t="s">
        <v>207</v>
      </c>
      <c r="F89" s="243" t="s">
        <v>207</v>
      </c>
      <c r="G89" s="244" t="s">
        <v>207</v>
      </c>
      <c r="H89" s="243" t="s">
        <v>207</v>
      </c>
      <c r="I89" s="242">
        <v>3</v>
      </c>
      <c r="J89" s="242">
        <v>0.4</v>
      </c>
      <c r="K89" s="243">
        <v>28</v>
      </c>
      <c r="L89" s="242">
        <v>5.15</v>
      </c>
      <c r="M89" s="243">
        <v>210</v>
      </c>
      <c r="N89" s="242">
        <v>18.3</v>
      </c>
      <c r="O89" s="245" t="s">
        <v>207</v>
      </c>
      <c r="P89" s="242" t="s">
        <v>207</v>
      </c>
      <c r="Q89" s="245" t="s">
        <v>207</v>
      </c>
      <c r="R89" s="246" t="s">
        <v>207</v>
      </c>
      <c r="S89" s="143" t="s">
        <v>344</v>
      </c>
      <c r="T89" s="138"/>
      <c r="U89" s="138"/>
      <c r="V89" s="138"/>
    </row>
    <row r="90" spans="1:22" s="133" customFormat="1" ht="15.05">
      <c r="A90" s="140" t="s">
        <v>227</v>
      </c>
      <c r="B90" s="141">
        <f t="shared" si="19"/>
        <v>159</v>
      </c>
      <c r="C90" s="242">
        <v>18</v>
      </c>
      <c r="D90" s="243">
        <v>3.5</v>
      </c>
      <c r="E90" s="244" t="s">
        <v>207</v>
      </c>
      <c r="F90" s="243" t="s">
        <v>207</v>
      </c>
      <c r="G90" s="242">
        <v>8</v>
      </c>
      <c r="H90" s="243">
        <v>1.48</v>
      </c>
      <c r="I90" s="244" t="s">
        <v>207</v>
      </c>
      <c r="J90" s="242" t="s">
        <v>207</v>
      </c>
      <c r="K90" s="243">
        <v>13</v>
      </c>
      <c r="L90" s="242">
        <v>2.6</v>
      </c>
      <c r="M90" s="243">
        <v>120</v>
      </c>
      <c r="N90" s="242">
        <v>24</v>
      </c>
      <c r="O90" s="245" t="s">
        <v>207</v>
      </c>
      <c r="P90" s="242" t="s">
        <v>207</v>
      </c>
      <c r="Q90" s="245" t="s">
        <v>207</v>
      </c>
      <c r="R90" s="246" t="s">
        <v>207</v>
      </c>
      <c r="S90" s="143" t="s">
        <v>345</v>
      </c>
      <c r="T90" s="138"/>
      <c r="U90" s="138"/>
      <c r="V90" s="138"/>
    </row>
    <row r="91" spans="1:22" s="133" customFormat="1" ht="15.05">
      <c r="A91" s="140" t="s">
        <v>228</v>
      </c>
      <c r="B91" s="141">
        <f t="shared" si="19"/>
        <v>1560</v>
      </c>
      <c r="C91" s="242">
        <v>45</v>
      </c>
      <c r="D91" s="243">
        <v>3.18</v>
      </c>
      <c r="E91" s="242">
        <v>6</v>
      </c>
      <c r="F91" s="243">
        <v>0.55000000000000004</v>
      </c>
      <c r="G91" s="242">
        <v>1004</v>
      </c>
      <c r="H91" s="243">
        <v>91.974999999999994</v>
      </c>
      <c r="I91" s="242">
        <v>188</v>
      </c>
      <c r="J91" s="242">
        <v>12.72</v>
      </c>
      <c r="K91" s="243">
        <v>288</v>
      </c>
      <c r="L91" s="242">
        <v>24.15</v>
      </c>
      <c r="M91" s="243">
        <v>6</v>
      </c>
      <c r="N91" s="242">
        <v>0.3</v>
      </c>
      <c r="O91" s="243">
        <v>23</v>
      </c>
      <c r="P91" s="242">
        <v>1.62</v>
      </c>
      <c r="Q91" s="245" t="s">
        <v>207</v>
      </c>
      <c r="R91" s="246" t="s">
        <v>207</v>
      </c>
      <c r="S91" s="143" t="s">
        <v>346</v>
      </c>
      <c r="T91" s="138"/>
      <c r="U91" s="138"/>
      <c r="V91" s="138"/>
    </row>
    <row r="92" spans="1:22" s="133" customFormat="1" ht="15.05">
      <c r="A92" s="193" t="s">
        <v>25</v>
      </c>
      <c r="B92" s="194">
        <f>SUM(B94:B106)</f>
        <v>3899</v>
      </c>
      <c r="C92" s="184">
        <f>SUM(C94:C106)</f>
        <v>809</v>
      </c>
      <c r="D92" s="183">
        <f>SUM(D94:D106)</f>
        <v>125.607</v>
      </c>
      <c r="E92" s="184">
        <f t="shared" ref="E92:R92" si="20">SUM(E94:E106)</f>
        <v>18</v>
      </c>
      <c r="F92" s="183">
        <f t="shared" si="20"/>
        <v>3.9</v>
      </c>
      <c r="G92" s="184">
        <f t="shared" si="20"/>
        <v>148</v>
      </c>
      <c r="H92" s="183">
        <f t="shared" si="20"/>
        <v>32.478000000000002</v>
      </c>
      <c r="I92" s="184">
        <f t="shared" si="20"/>
        <v>43</v>
      </c>
      <c r="J92" s="183">
        <f t="shared" si="20"/>
        <v>6.5070000000000006</v>
      </c>
      <c r="K92" s="184">
        <f t="shared" si="20"/>
        <v>150</v>
      </c>
      <c r="L92" s="183">
        <f t="shared" si="20"/>
        <v>21.539000000000001</v>
      </c>
      <c r="M92" s="184">
        <f t="shared" si="20"/>
        <v>2713</v>
      </c>
      <c r="N92" s="183">
        <f t="shared" si="20"/>
        <v>175.37</v>
      </c>
      <c r="O92" s="184">
        <f t="shared" si="20"/>
        <v>9</v>
      </c>
      <c r="P92" s="183">
        <f t="shared" si="20"/>
        <v>1.8099999999999998</v>
      </c>
      <c r="Q92" s="184">
        <f t="shared" si="20"/>
        <v>9</v>
      </c>
      <c r="R92" s="185">
        <f t="shared" si="20"/>
        <v>1.3</v>
      </c>
      <c r="S92" s="189" t="s">
        <v>26</v>
      </c>
      <c r="T92" s="189"/>
      <c r="U92" s="189"/>
      <c r="V92" s="138"/>
    </row>
    <row r="93" spans="1:22" s="133" customFormat="1" ht="15.05">
      <c r="A93" s="193"/>
      <c r="B93" s="194"/>
      <c r="C93" s="184"/>
      <c r="D93" s="183"/>
      <c r="E93" s="184"/>
      <c r="F93" s="183"/>
      <c r="G93" s="184"/>
      <c r="H93" s="183"/>
      <c r="I93" s="184"/>
      <c r="J93" s="183"/>
      <c r="K93" s="184"/>
      <c r="L93" s="183"/>
      <c r="M93" s="184"/>
      <c r="N93" s="183"/>
      <c r="O93" s="184"/>
      <c r="P93" s="183"/>
      <c r="Q93" s="184"/>
      <c r="R93" s="185"/>
      <c r="S93" s="189"/>
      <c r="T93" s="189"/>
      <c r="U93" s="189"/>
      <c r="V93" s="138"/>
    </row>
    <row r="94" spans="1:22" s="133" customFormat="1" ht="15.05">
      <c r="A94" s="140" t="s">
        <v>229</v>
      </c>
      <c r="B94" s="141">
        <f>SUM(C94,E94,G94,I94,K94,M94,O94,Q94)</f>
        <v>9</v>
      </c>
      <c r="C94" s="244" t="s">
        <v>207</v>
      </c>
      <c r="D94" s="243" t="s">
        <v>207</v>
      </c>
      <c r="E94" s="244" t="s">
        <v>207</v>
      </c>
      <c r="F94" s="243" t="s">
        <v>207</v>
      </c>
      <c r="G94" s="242">
        <v>5</v>
      </c>
      <c r="H94" s="243">
        <v>0.8</v>
      </c>
      <c r="I94" s="244" t="s">
        <v>207</v>
      </c>
      <c r="J94" s="242" t="s">
        <v>207</v>
      </c>
      <c r="K94" s="243">
        <v>4</v>
      </c>
      <c r="L94" s="242">
        <v>0.25</v>
      </c>
      <c r="M94" s="245" t="s">
        <v>207</v>
      </c>
      <c r="N94" s="242" t="s">
        <v>207</v>
      </c>
      <c r="O94" s="245" t="s">
        <v>207</v>
      </c>
      <c r="P94" s="242" t="s">
        <v>207</v>
      </c>
      <c r="Q94" s="245" t="s">
        <v>207</v>
      </c>
      <c r="R94" s="246" t="s">
        <v>207</v>
      </c>
      <c r="S94" s="143" t="s">
        <v>347</v>
      </c>
      <c r="T94" s="138"/>
      <c r="U94" s="138"/>
      <c r="V94" s="138"/>
    </row>
    <row r="95" spans="1:22" s="133" customFormat="1" ht="15.05">
      <c r="A95" s="140" t="s">
        <v>230</v>
      </c>
      <c r="B95" s="141">
        <f t="shared" ref="B95:B106" si="21">SUM(C95,E95,G95,I95,K95,M95,O95,Q95)</f>
        <v>142</v>
      </c>
      <c r="C95" s="242">
        <v>80</v>
      </c>
      <c r="D95" s="243">
        <v>20.56</v>
      </c>
      <c r="E95" s="242">
        <v>12</v>
      </c>
      <c r="F95" s="243">
        <v>2.4</v>
      </c>
      <c r="G95" s="242">
        <v>49</v>
      </c>
      <c r="H95" s="243">
        <v>11.53</v>
      </c>
      <c r="I95" s="244" t="s">
        <v>207</v>
      </c>
      <c r="J95" s="242" t="s">
        <v>207</v>
      </c>
      <c r="K95" s="243">
        <v>1</v>
      </c>
      <c r="L95" s="242">
        <v>0.35</v>
      </c>
      <c r="M95" s="245" t="s">
        <v>207</v>
      </c>
      <c r="N95" s="242" t="s">
        <v>207</v>
      </c>
      <c r="O95" s="245" t="s">
        <v>207</v>
      </c>
      <c r="P95" s="242" t="s">
        <v>207</v>
      </c>
      <c r="Q95" s="245" t="s">
        <v>207</v>
      </c>
      <c r="R95" s="246" t="s">
        <v>207</v>
      </c>
      <c r="S95" s="143" t="s">
        <v>348</v>
      </c>
      <c r="T95" s="138"/>
      <c r="U95" s="138"/>
      <c r="V95" s="138"/>
    </row>
    <row r="96" spans="1:22" s="133" customFormat="1" ht="15.05">
      <c r="A96" s="140" t="s">
        <v>231</v>
      </c>
      <c r="B96" s="141">
        <f t="shared" si="21"/>
        <v>2194</v>
      </c>
      <c r="C96" s="242">
        <v>10</v>
      </c>
      <c r="D96" s="243">
        <v>2.5</v>
      </c>
      <c r="E96" s="242">
        <v>6</v>
      </c>
      <c r="F96" s="243">
        <v>1.5</v>
      </c>
      <c r="G96" s="242">
        <v>6</v>
      </c>
      <c r="H96" s="243">
        <v>2.5</v>
      </c>
      <c r="I96" s="242">
        <v>15</v>
      </c>
      <c r="J96" s="242">
        <v>1.65</v>
      </c>
      <c r="K96" s="243">
        <v>2</v>
      </c>
      <c r="L96" s="242">
        <v>0.3</v>
      </c>
      <c r="M96" s="243">
        <v>2146</v>
      </c>
      <c r="N96" s="242">
        <v>138.19999999999999</v>
      </c>
      <c r="O96" s="243">
        <v>7</v>
      </c>
      <c r="P96" s="242">
        <v>1.65</v>
      </c>
      <c r="Q96" s="243">
        <v>2</v>
      </c>
      <c r="R96" s="246">
        <v>0.4</v>
      </c>
      <c r="S96" s="143" t="s">
        <v>349</v>
      </c>
      <c r="T96" s="138"/>
      <c r="U96" s="138"/>
      <c r="V96" s="138"/>
    </row>
    <row r="97" spans="1:22" s="133" customFormat="1" ht="15.05">
      <c r="A97" s="140" t="s">
        <v>232</v>
      </c>
      <c r="B97" s="141">
        <f t="shared" si="21"/>
        <v>31</v>
      </c>
      <c r="C97" s="242">
        <v>1</v>
      </c>
      <c r="D97" s="243">
        <v>0.12</v>
      </c>
      <c r="E97" s="244" t="s">
        <v>207</v>
      </c>
      <c r="F97" s="243" t="s">
        <v>207</v>
      </c>
      <c r="G97" s="244" t="s">
        <v>207</v>
      </c>
      <c r="H97" s="243" t="s">
        <v>207</v>
      </c>
      <c r="I97" s="244" t="s">
        <v>207</v>
      </c>
      <c r="J97" s="242" t="s">
        <v>207</v>
      </c>
      <c r="K97" s="245" t="s">
        <v>207</v>
      </c>
      <c r="L97" s="242" t="s">
        <v>207</v>
      </c>
      <c r="M97" s="243">
        <v>30</v>
      </c>
      <c r="N97" s="242">
        <v>2</v>
      </c>
      <c r="O97" s="245" t="s">
        <v>207</v>
      </c>
      <c r="P97" s="242" t="s">
        <v>207</v>
      </c>
      <c r="Q97" s="245" t="s">
        <v>207</v>
      </c>
      <c r="R97" s="246" t="s">
        <v>207</v>
      </c>
      <c r="S97" s="143" t="s">
        <v>350</v>
      </c>
      <c r="T97" s="138"/>
      <c r="U97" s="138"/>
      <c r="V97" s="138"/>
    </row>
    <row r="98" spans="1:22" s="133" customFormat="1" ht="15.05">
      <c r="A98" s="140" t="s">
        <v>233</v>
      </c>
      <c r="B98" s="141">
        <f t="shared" si="21"/>
        <v>16</v>
      </c>
      <c r="C98" s="242">
        <v>4</v>
      </c>
      <c r="D98" s="243">
        <v>0.44</v>
      </c>
      <c r="E98" s="244" t="s">
        <v>207</v>
      </c>
      <c r="F98" s="243" t="s">
        <v>207</v>
      </c>
      <c r="G98" s="242">
        <v>2</v>
      </c>
      <c r="H98" s="243">
        <v>0.49</v>
      </c>
      <c r="I98" s="242">
        <v>2</v>
      </c>
      <c r="J98" s="242">
        <v>0.187</v>
      </c>
      <c r="K98" s="243">
        <v>4</v>
      </c>
      <c r="L98" s="242">
        <v>0.78900000000000003</v>
      </c>
      <c r="M98" s="243">
        <v>4</v>
      </c>
      <c r="N98" s="242">
        <v>1.08</v>
      </c>
      <c r="O98" s="245" t="s">
        <v>207</v>
      </c>
      <c r="P98" s="242" t="s">
        <v>207</v>
      </c>
      <c r="Q98" s="245" t="s">
        <v>207</v>
      </c>
      <c r="R98" s="246" t="s">
        <v>207</v>
      </c>
      <c r="S98" s="143" t="s">
        <v>351</v>
      </c>
      <c r="T98" s="138"/>
      <c r="U98" s="138"/>
      <c r="V98" s="138"/>
    </row>
    <row r="99" spans="1:22" s="133" customFormat="1" ht="15.05">
      <c r="A99" s="140" t="s">
        <v>234</v>
      </c>
      <c r="B99" s="141">
        <f t="shared" si="21"/>
        <v>0</v>
      </c>
      <c r="C99" s="242" t="s">
        <v>207</v>
      </c>
      <c r="D99" s="243" t="s">
        <v>207</v>
      </c>
      <c r="E99" s="244" t="s">
        <v>207</v>
      </c>
      <c r="F99" s="243" t="s">
        <v>207</v>
      </c>
      <c r="G99" s="242" t="s">
        <v>207</v>
      </c>
      <c r="H99" s="243" t="s">
        <v>207</v>
      </c>
      <c r="I99" s="242" t="s">
        <v>207</v>
      </c>
      <c r="J99" s="242" t="s">
        <v>207</v>
      </c>
      <c r="K99" s="243" t="s">
        <v>207</v>
      </c>
      <c r="L99" s="242" t="s">
        <v>207</v>
      </c>
      <c r="M99" s="243" t="s">
        <v>207</v>
      </c>
      <c r="N99" s="242" t="s">
        <v>207</v>
      </c>
      <c r="O99" s="245" t="s">
        <v>207</v>
      </c>
      <c r="P99" s="242" t="s">
        <v>207</v>
      </c>
      <c r="Q99" s="245" t="s">
        <v>207</v>
      </c>
      <c r="R99" s="246" t="s">
        <v>207</v>
      </c>
      <c r="S99" s="143" t="s">
        <v>352</v>
      </c>
      <c r="T99" s="138"/>
      <c r="U99" s="138"/>
      <c r="V99" s="138"/>
    </row>
    <row r="100" spans="1:22" s="133" customFormat="1" ht="15.05">
      <c r="A100" s="140" t="s">
        <v>235</v>
      </c>
      <c r="B100" s="141">
        <f t="shared" si="21"/>
        <v>241</v>
      </c>
      <c r="C100" s="242">
        <v>135</v>
      </c>
      <c r="D100" s="243">
        <v>19.53</v>
      </c>
      <c r="E100" s="244" t="s">
        <v>207</v>
      </c>
      <c r="F100" s="243" t="s">
        <v>207</v>
      </c>
      <c r="G100" s="242">
        <v>5</v>
      </c>
      <c r="H100" s="243">
        <v>0.9</v>
      </c>
      <c r="I100" s="242">
        <v>7</v>
      </c>
      <c r="J100" s="242">
        <v>2.0299999999999998</v>
      </c>
      <c r="K100" s="243">
        <v>35</v>
      </c>
      <c r="L100" s="242">
        <v>5.25</v>
      </c>
      <c r="M100" s="243">
        <v>59</v>
      </c>
      <c r="N100" s="242">
        <v>14.48</v>
      </c>
      <c r="O100" s="245" t="s">
        <v>207</v>
      </c>
      <c r="P100" s="242" t="s">
        <v>207</v>
      </c>
      <c r="Q100" s="245" t="s">
        <v>207</v>
      </c>
      <c r="R100" s="246" t="s">
        <v>207</v>
      </c>
      <c r="S100" s="143" t="s">
        <v>353</v>
      </c>
      <c r="T100" s="138"/>
      <c r="U100" s="138"/>
      <c r="V100" s="138"/>
    </row>
    <row r="101" spans="1:22" s="133" customFormat="1" ht="15.05">
      <c r="A101" s="140" t="s">
        <v>236</v>
      </c>
      <c r="B101" s="141">
        <f t="shared" si="21"/>
        <v>85</v>
      </c>
      <c r="C101" s="242">
        <v>28</v>
      </c>
      <c r="D101" s="243">
        <v>3.75</v>
      </c>
      <c r="E101" s="244" t="s">
        <v>207</v>
      </c>
      <c r="F101" s="243" t="s">
        <v>207</v>
      </c>
      <c r="G101" s="242">
        <v>8</v>
      </c>
      <c r="H101" s="243">
        <v>1.53</v>
      </c>
      <c r="I101" s="242">
        <v>5</v>
      </c>
      <c r="J101" s="242">
        <v>0.69</v>
      </c>
      <c r="K101" s="243">
        <v>23</v>
      </c>
      <c r="L101" s="242">
        <v>3.5</v>
      </c>
      <c r="M101" s="243">
        <v>14</v>
      </c>
      <c r="N101" s="242">
        <v>1.86</v>
      </c>
      <c r="O101" s="245" t="s">
        <v>207</v>
      </c>
      <c r="P101" s="242" t="s">
        <v>207</v>
      </c>
      <c r="Q101" s="243">
        <v>7</v>
      </c>
      <c r="R101" s="246">
        <v>0.9</v>
      </c>
      <c r="S101" s="143" t="s">
        <v>354</v>
      </c>
      <c r="T101" s="138"/>
      <c r="U101" s="138"/>
      <c r="V101" s="138"/>
    </row>
    <row r="102" spans="1:22" s="133" customFormat="1" ht="15.05">
      <c r="A102" s="140" t="s">
        <v>237</v>
      </c>
      <c r="B102" s="141">
        <f t="shared" si="21"/>
        <v>7</v>
      </c>
      <c r="C102" s="242">
        <v>7</v>
      </c>
      <c r="D102" s="243">
        <v>1</v>
      </c>
      <c r="E102" s="244" t="s">
        <v>207</v>
      </c>
      <c r="F102" s="243" t="s">
        <v>207</v>
      </c>
      <c r="G102" s="244" t="s">
        <v>207</v>
      </c>
      <c r="H102" s="243" t="s">
        <v>207</v>
      </c>
      <c r="I102" s="244" t="s">
        <v>207</v>
      </c>
      <c r="J102" s="242" t="s">
        <v>207</v>
      </c>
      <c r="K102" s="245" t="s">
        <v>207</v>
      </c>
      <c r="L102" s="242" t="s">
        <v>207</v>
      </c>
      <c r="M102" s="245" t="s">
        <v>207</v>
      </c>
      <c r="N102" s="242" t="s">
        <v>207</v>
      </c>
      <c r="O102" s="245" t="s">
        <v>207</v>
      </c>
      <c r="P102" s="242" t="s">
        <v>207</v>
      </c>
      <c r="Q102" s="245" t="s">
        <v>207</v>
      </c>
      <c r="R102" s="246" t="s">
        <v>207</v>
      </c>
      <c r="S102" s="143" t="s">
        <v>355</v>
      </c>
      <c r="T102" s="138"/>
      <c r="U102" s="138"/>
      <c r="V102" s="138"/>
    </row>
    <row r="103" spans="1:22" s="133" customFormat="1" ht="15.05">
      <c r="A103" s="140" t="s">
        <v>238</v>
      </c>
      <c r="B103" s="141">
        <f t="shared" si="21"/>
        <v>633</v>
      </c>
      <c r="C103" s="242">
        <v>123</v>
      </c>
      <c r="D103" s="243">
        <v>11.4</v>
      </c>
      <c r="E103" s="244" t="s">
        <v>207</v>
      </c>
      <c r="F103" s="243" t="s">
        <v>207</v>
      </c>
      <c r="G103" s="242">
        <v>26</v>
      </c>
      <c r="H103" s="243">
        <v>3.92</v>
      </c>
      <c r="I103" s="242">
        <v>11</v>
      </c>
      <c r="J103" s="242">
        <v>1.59</v>
      </c>
      <c r="K103" s="243">
        <v>11</v>
      </c>
      <c r="L103" s="242">
        <v>1</v>
      </c>
      <c r="M103" s="243">
        <v>460</v>
      </c>
      <c r="N103" s="242">
        <v>17.75</v>
      </c>
      <c r="O103" s="243">
        <v>2</v>
      </c>
      <c r="P103" s="242">
        <v>0.16</v>
      </c>
      <c r="Q103" s="245" t="s">
        <v>207</v>
      </c>
      <c r="R103" s="246" t="s">
        <v>207</v>
      </c>
      <c r="S103" s="143" t="s">
        <v>356</v>
      </c>
      <c r="T103" s="138"/>
      <c r="U103" s="138"/>
      <c r="V103" s="138"/>
    </row>
    <row r="104" spans="1:22" s="133" customFormat="1" ht="15.05">
      <c r="A104" s="140" t="s">
        <v>239</v>
      </c>
      <c r="B104" s="141">
        <f t="shared" si="21"/>
        <v>20</v>
      </c>
      <c r="C104" s="242">
        <v>5</v>
      </c>
      <c r="D104" s="243">
        <v>1</v>
      </c>
      <c r="E104" s="244" t="s">
        <v>207</v>
      </c>
      <c r="F104" s="243" t="s">
        <v>207</v>
      </c>
      <c r="G104" s="242">
        <v>15</v>
      </c>
      <c r="H104" s="243">
        <v>4.5</v>
      </c>
      <c r="I104" s="244" t="s">
        <v>207</v>
      </c>
      <c r="J104" s="242" t="s">
        <v>207</v>
      </c>
      <c r="K104" s="245" t="s">
        <v>207</v>
      </c>
      <c r="L104" s="242" t="s">
        <v>207</v>
      </c>
      <c r="M104" s="245" t="s">
        <v>207</v>
      </c>
      <c r="N104" s="242" t="s">
        <v>207</v>
      </c>
      <c r="O104" s="245" t="s">
        <v>207</v>
      </c>
      <c r="P104" s="242" t="s">
        <v>207</v>
      </c>
      <c r="Q104" s="245" t="s">
        <v>207</v>
      </c>
      <c r="R104" s="246" t="s">
        <v>207</v>
      </c>
      <c r="S104" s="143" t="s">
        <v>357</v>
      </c>
      <c r="T104" s="138"/>
      <c r="U104" s="138"/>
      <c r="V104" s="138"/>
    </row>
    <row r="105" spans="1:22" s="133" customFormat="1" ht="15.05">
      <c r="A105" s="140" t="s">
        <v>240</v>
      </c>
      <c r="B105" s="141">
        <f t="shared" si="21"/>
        <v>453</v>
      </c>
      <c r="C105" s="242">
        <v>383</v>
      </c>
      <c r="D105" s="243">
        <v>57.957000000000001</v>
      </c>
      <c r="E105" s="244" t="s">
        <v>207</v>
      </c>
      <c r="F105" s="243" t="s">
        <v>207</v>
      </c>
      <c r="G105" s="242">
        <v>4</v>
      </c>
      <c r="H105" s="243">
        <v>0.64800000000000002</v>
      </c>
      <c r="I105" s="242">
        <v>3</v>
      </c>
      <c r="J105" s="242">
        <v>0.36</v>
      </c>
      <c r="K105" s="243">
        <v>63</v>
      </c>
      <c r="L105" s="242">
        <v>8</v>
      </c>
      <c r="M105" s="245" t="s">
        <v>207</v>
      </c>
      <c r="N105" s="242" t="s">
        <v>207</v>
      </c>
      <c r="O105" s="245" t="s">
        <v>207</v>
      </c>
      <c r="P105" s="242" t="s">
        <v>207</v>
      </c>
      <c r="Q105" s="245" t="s">
        <v>207</v>
      </c>
      <c r="R105" s="246" t="s">
        <v>207</v>
      </c>
      <c r="S105" s="143" t="s">
        <v>358</v>
      </c>
      <c r="T105" s="138"/>
      <c r="U105" s="138"/>
      <c r="V105" s="138"/>
    </row>
    <row r="106" spans="1:22" s="133" customFormat="1" ht="15.05">
      <c r="A106" s="140" t="s">
        <v>241</v>
      </c>
      <c r="B106" s="141">
        <f t="shared" si="21"/>
        <v>68</v>
      </c>
      <c r="C106" s="242">
        <v>33</v>
      </c>
      <c r="D106" s="243">
        <v>7.35</v>
      </c>
      <c r="E106" s="244" t="s">
        <v>207</v>
      </c>
      <c r="F106" s="243" t="s">
        <v>207</v>
      </c>
      <c r="G106" s="242">
        <v>28</v>
      </c>
      <c r="H106" s="243">
        <v>5.66</v>
      </c>
      <c r="I106" s="244" t="s">
        <v>207</v>
      </c>
      <c r="J106" s="242" t="s">
        <v>207</v>
      </c>
      <c r="K106" s="243">
        <v>7</v>
      </c>
      <c r="L106" s="242">
        <v>2.1</v>
      </c>
      <c r="M106" s="245" t="s">
        <v>207</v>
      </c>
      <c r="N106" s="242" t="s">
        <v>207</v>
      </c>
      <c r="O106" s="245" t="s">
        <v>207</v>
      </c>
      <c r="P106" s="242" t="s">
        <v>207</v>
      </c>
      <c r="Q106" s="245" t="s">
        <v>207</v>
      </c>
      <c r="R106" s="246" t="s">
        <v>207</v>
      </c>
      <c r="S106" s="143" t="s">
        <v>359</v>
      </c>
      <c r="T106" s="138"/>
      <c r="U106" s="138"/>
      <c r="V106" s="138"/>
    </row>
    <row r="107" spans="1:22" s="133" customFormat="1" ht="15.05">
      <c r="A107" s="193" t="s">
        <v>27</v>
      </c>
      <c r="B107" s="194">
        <f>SUM(B109:B112)</f>
        <v>3444</v>
      </c>
      <c r="C107" s="184">
        <f>SUM(C109:C112)</f>
        <v>644</v>
      </c>
      <c r="D107" s="183">
        <f t="shared" ref="D107:R107" si="22">SUM(D109:D112)</f>
        <v>151.86000000000001</v>
      </c>
      <c r="E107" s="184">
        <f t="shared" si="22"/>
        <v>18</v>
      </c>
      <c r="F107" s="183">
        <f t="shared" si="22"/>
        <v>3.5</v>
      </c>
      <c r="G107" s="184">
        <f t="shared" si="22"/>
        <v>2136</v>
      </c>
      <c r="H107" s="183">
        <f t="shared" si="22"/>
        <v>394.96999999999997</v>
      </c>
      <c r="I107" s="184">
        <f t="shared" si="22"/>
        <v>63</v>
      </c>
      <c r="J107" s="183">
        <f t="shared" si="22"/>
        <v>9.8460000000000001</v>
      </c>
      <c r="K107" s="184">
        <f t="shared" si="22"/>
        <v>400</v>
      </c>
      <c r="L107" s="183">
        <f t="shared" si="22"/>
        <v>73.069999999999993</v>
      </c>
      <c r="M107" s="184">
        <f t="shared" si="22"/>
        <v>64</v>
      </c>
      <c r="N107" s="183">
        <f t="shared" si="22"/>
        <v>9.1550000000000011</v>
      </c>
      <c r="O107" s="184">
        <f t="shared" si="22"/>
        <v>61</v>
      </c>
      <c r="P107" s="183">
        <f t="shared" si="22"/>
        <v>8.4499999999999993</v>
      </c>
      <c r="Q107" s="184">
        <f t="shared" si="22"/>
        <v>58</v>
      </c>
      <c r="R107" s="185">
        <f t="shared" si="22"/>
        <v>7.3000000000000007</v>
      </c>
      <c r="S107" s="186" t="s">
        <v>28</v>
      </c>
      <c r="T107" s="186"/>
      <c r="U107" s="186"/>
      <c r="V107" s="138"/>
    </row>
    <row r="108" spans="1:22" s="133" customFormat="1" ht="15.05">
      <c r="A108" s="193"/>
      <c r="B108" s="194"/>
      <c r="C108" s="184"/>
      <c r="D108" s="183"/>
      <c r="E108" s="184"/>
      <c r="F108" s="183"/>
      <c r="G108" s="184"/>
      <c r="H108" s="183"/>
      <c r="I108" s="184"/>
      <c r="J108" s="183"/>
      <c r="K108" s="184"/>
      <c r="L108" s="183"/>
      <c r="M108" s="184"/>
      <c r="N108" s="183"/>
      <c r="O108" s="184"/>
      <c r="P108" s="183"/>
      <c r="Q108" s="184"/>
      <c r="R108" s="185"/>
      <c r="S108" s="186"/>
      <c r="T108" s="186"/>
      <c r="U108" s="186"/>
      <c r="V108" s="138"/>
    </row>
    <row r="109" spans="1:22" s="133" customFormat="1" ht="15.05">
      <c r="A109" s="140" t="s">
        <v>242</v>
      </c>
      <c r="B109" s="141">
        <f>SUM(C109,E109,G109,I109,K109,M109,O109,Q109)</f>
        <v>1545</v>
      </c>
      <c r="C109" s="242">
        <v>173</v>
      </c>
      <c r="D109" s="243">
        <v>21.815000000000001</v>
      </c>
      <c r="E109" s="244" t="s">
        <v>207</v>
      </c>
      <c r="F109" s="243" t="s">
        <v>207</v>
      </c>
      <c r="G109" s="242">
        <v>1191</v>
      </c>
      <c r="H109" s="243">
        <v>171.91499999999999</v>
      </c>
      <c r="I109" s="242">
        <v>14</v>
      </c>
      <c r="J109" s="242">
        <v>1.25</v>
      </c>
      <c r="K109" s="243">
        <v>55</v>
      </c>
      <c r="L109" s="242">
        <v>6.87</v>
      </c>
      <c r="M109" s="243">
        <v>24</v>
      </c>
      <c r="N109" s="242">
        <v>2.72</v>
      </c>
      <c r="O109" s="243">
        <v>43</v>
      </c>
      <c r="P109" s="242">
        <v>3.55</v>
      </c>
      <c r="Q109" s="243">
        <v>45</v>
      </c>
      <c r="R109" s="246">
        <v>5.12</v>
      </c>
      <c r="S109" s="143" t="s">
        <v>360</v>
      </c>
      <c r="T109" s="138"/>
      <c r="U109" s="138"/>
      <c r="V109" s="138"/>
    </row>
    <row r="110" spans="1:22" s="133" customFormat="1" ht="15.05">
      <c r="A110" s="140" t="s">
        <v>243</v>
      </c>
      <c r="B110" s="141">
        <f>SUM(C110,E110,G110,I110,K110,M110,O110,Q110)</f>
        <v>941</v>
      </c>
      <c r="C110" s="242">
        <v>246</v>
      </c>
      <c r="D110" s="243">
        <v>69.319999999999993</v>
      </c>
      <c r="E110" s="242">
        <v>7</v>
      </c>
      <c r="F110" s="243">
        <v>1.3</v>
      </c>
      <c r="G110" s="242">
        <v>323</v>
      </c>
      <c r="H110" s="243">
        <v>58.69</v>
      </c>
      <c r="I110" s="242">
        <v>20</v>
      </c>
      <c r="J110" s="242">
        <v>2.7610000000000001</v>
      </c>
      <c r="K110" s="243">
        <v>317</v>
      </c>
      <c r="L110" s="242">
        <v>60.54</v>
      </c>
      <c r="M110" s="243">
        <v>13</v>
      </c>
      <c r="N110" s="242">
        <v>2.5</v>
      </c>
      <c r="O110" s="243">
        <v>2</v>
      </c>
      <c r="P110" s="242">
        <v>0.3</v>
      </c>
      <c r="Q110" s="243">
        <v>13</v>
      </c>
      <c r="R110" s="246">
        <v>2.1800000000000002</v>
      </c>
      <c r="S110" s="143" t="s">
        <v>361</v>
      </c>
      <c r="T110" s="138"/>
      <c r="U110" s="138"/>
      <c r="V110" s="138"/>
    </row>
    <row r="111" spans="1:22" s="133" customFormat="1" ht="15.05">
      <c r="A111" s="140" t="s">
        <v>244</v>
      </c>
      <c r="B111" s="141">
        <f>SUM(C111,E111,G111,I111,K111,M111,O111,Q111)</f>
        <v>326</v>
      </c>
      <c r="C111" s="242">
        <v>65</v>
      </c>
      <c r="D111" s="243">
        <v>22.805</v>
      </c>
      <c r="E111" s="244" t="s">
        <v>207</v>
      </c>
      <c r="F111" s="243" t="s">
        <v>207</v>
      </c>
      <c r="G111" s="242">
        <v>187</v>
      </c>
      <c r="H111" s="243">
        <v>60.29</v>
      </c>
      <c r="I111" s="242">
        <v>18</v>
      </c>
      <c r="J111" s="242">
        <v>4.4349999999999996</v>
      </c>
      <c r="K111" s="243">
        <v>26</v>
      </c>
      <c r="L111" s="242">
        <v>5.16</v>
      </c>
      <c r="M111" s="243">
        <v>14</v>
      </c>
      <c r="N111" s="242">
        <v>2.16</v>
      </c>
      <c r="O111" s="243">
        <v>16</v>
      </c>
      <c r="P111" s="242">
        <v>4.5999999999999996</v>
      </c>
      <c r="Q111" s="245" t="s">
        <v>207</v>
      </c>
      <c r="R111" s="246" t="s">
        <v>207</v>
      </c>
      <c r="S111" s="143" t="s">
        <v>362</v>
      </c>
      <c r="T111" s="152"/>
      <c r="U111" s="152"/>
      <c r="V111" s="138"/>
    </row>
    <row r="112" spans="1:22" s="133" customFormat="1" ht="15.65" thickBot="1">
      <c r="A112" s="153" t="s">
        <v>245</v>
      </c>
      <c r="B112" s="154">
        <f>SUM(C112,E112,G112,I112,K112,M112,O112,Q112)</f>
        <v>632</v>
      </c>
      <c r="C112" s="247">
        <v>160</v>
      </c>
      <c r="D112" s="248">
        <v>37.92</v>
      </c>
      <c r="E112" s="247">
        <v>11</v>
      </c>
      <c r="F112" s="248">
        <v>2.2000000000000002</v>
      </c>
      <c r="G112" s="247">
        <v>435</v>
      </c>
      <c r="H112" s="248">
        <v>104.075</v>
      </c>
      <c r="I112" s="247">
        <v>11</v>
      </c>
      <c r="J112" s="247">
        <v>1.4</v>
      </c>
      <c r="K112" s="248">
        <v>2</v>
      </c>
      <c r="L112" s="247">
        <v>0.5</v>
      </c>
      <c r="M112" s="248">
        <v>13</v>
      </c>
      <c r="N112" s="247">
        <v>1.7749999999999999</v>
      </c>
      <c r="O112" s="249" t="s">
        <v>207</v>
      </c>
      <c r="P112" s="247" t="s">
        <v>207</v>
      </c>
      <c r="Q112" s="249" t="s">
        <v>207</v>
      </c>
      <c r="R112" s="250" t="s">
        <v>207</v>
      </c>
      <c r="S112" s="155" t="s">
        <v>363</v>
      </c>
      <c r="T112" s="156"/>
      <c r="U112" s="156"/>
      <c r="V112" s="138"/>
    </row>
    <row r="113" spans="1:21" s="133" customFormat="1" ht="15.05">
      <c r="A113" s="157" t="s">
        <v>29</v>
      </c>
      <c r="D113" s="158"/>
      <c r="F113" s="158"/>
      <c r="H113" s="158"/>
      <c r="J113" s="158"/>
      <c r="L113" s="158"/>
      <c r="N113" s="158"/>
      <c r="P113" s="187" t="s">
        <v>108</v>
      </c>
      <c r="Q113" s="187"/>
      <c r="R113" s="187"/>
      <c r="S113" s="188"/>
      <c r="T113" s="188"/>
      <c r="U113" s="188"/>
    </row>
    <row r="114" spans="1:21" s="133" customFormat="1" ht="15.05">
      <c r="A114" s="159" t="s">
        <v>209</v>
      </c>
      <c r="D114" s="158"/>
      <c r="F114" s="158"/>
      <c r="H114" s="158"/>
      <c r="J114" s="158"/>
      <c r="L114" s="158"/>
      <c r="N114" s="158"/>
      <c r="P114" s="158" t="s">
        <v>208</v>
      </c>
      <c r="R114" s="158"/>
    </row>
    <row r="115" spans="1:21" s="133" customFormat="1" ht="15.05">
      <c r="D115" s="158"/>
      <c r="F115" s="158"/>
      <c r="H115" s="158"/>
      <c r="J115" s="158"/>
      <c r="L115" s="158"/>
      <c r="N115" s="158"/>
      <c r="P115" s="158"/>
      <c r="R115" s="158"/>
    </row>
    <row r="116" spans="1:21" s="133" customFormat="1" ht="15.05">
      <c r="D116" s="158"/>
      <c r="F116" s="158"/>
      <c r="H116" s="158"/>
      <c r="J116" s="158"/>
      <c r="L116" s="158"/>
      <c r="N116" s="158"/>
      <c r="P116" s="158"/>
      <c r="R116" s="158"/>
    </row>
    <row r="117" spans="1:21" s="133" customFormat="1" ht="15.05">
      <c r="D117" s="158"/>
      <c r="F117" s="158"/>
      <c r="H117" s="158"/>
      <c r="J117" s="158"/>
      <c r="L117" s="158"/>
      <c r="N117" s="158"/>
      <c r="P117" s="158"/>
      <c r="R117" s="158"/>
    </row>
    <row r="118" spans="1:21" s="133" customFormat="1" ht="15.05">
      <c r="D118" s="158"/>
      <c r="F118" s="158"/>
      <c r="H118" s="158"/>
      <c r="J118" s="158"/>
      <c r="L118" s="158"/>
      <c r="N118" s="158"/>
      <c r="P118" s="158"/>
      <c r="R118" s="158"/>
    </row>
    <row r="121" spans="1:21">
      <c r="N121" s="131" t="s">
        <v>207</v>
      </c>
    </row>
  </sheetData>
  <sheetProtection selectLockedCells="1" selectUnlockedCells="1"/>
  <mergeCells count="277">
    <mergeCell ref="E75:E76"/>
    <mergeCell ref="D75:D76"/>
    <mergeCell ref="E107:E108"/>
    <mergeCell ref="D107:D108"/>
    <mergeCell ref="E85:E86"/>
    <mergeCell ref="B22:B23"/>
    <mergeCell ref="E36:E37"/>
    <mergeCell ref="F68:F69"/>
    <mergeCell ref="E68:E69"/>
    <mergeCell ref="D68:D69"/>
    <mergeCell ref="E56:E57"/>
    <mergeCell ref="B49:B50"/>
    <mergeCell ref="D85:D86"/>
    <mergeCell ref="B75:B76"/>
    <mergeCell ref="F63:F64"/>
    <mergeCell ref="D49:D50"/>
    <mergeCell ref="D63:D64"/>
    <mergeCell ref="C63:C64"/>
    <mergeCell ref="B63:B64"/>
    <mergeCell ref="D56:D57"/>
    <mergeCell ref="C56:C57"/>
    <mergeCell ref="B56:B57"/>
    <mergeCell ref="F75:F76"/>
    <mergeCell ref="F22:F23"/>
    <mergeCell ref="C68:C69"/>
    <mergeCell ref="B68:B69"/>
    <mergeCell ref="R92:R93"/>
    <mergeCell ref="Q92:Q93"/>
    <mergeCell ref="P92:P93"/>
    <mergeCell ref="G107:G108"/>
    <mergeCell ref="F107:F108"/>
    <mergeCell ref="N92:N93"/>
    <mergeCell ref="M92:M93"/>
    <mergeCell ref="R85:R86"/>
    <mergeCell ref="Q85:Q86"/>
    <mergeCell ref="P85:P86"/>
    <mergeCell ref="I75:I76"/>
    <mergeCell ref="M75:M76"/>
    <mergeCell ref="L75:L76"/>
    <mergeCell ref="K75:K76"/>
    <mergeCell ref="J75:J76"/>
    <mergeCell ref="R75:R76"/>
    <mergeCell ref="Q75:Q76"/>
    <mergeCell ref="P75:P76"/>
    <mergeCell ref="O75:O76"/>
    <mergeCell ref="N75:N76"/>
    <mergeCell ref="R68:R69"/>
    <mergeCell ref="Q68:Q69"/>
    <mergeCell ref="E22:E23"/>
    <mergeCell ref="D22:D23"/>
    <mergeCell ref="E63:E64"/>
    <mergeCell ref="D42:D43"/>
    <mergeCell ref="O107:O108"/>
    <mergeCell ref="N107:N108"/>
    <mergeCell ref="O92:O93"/>
    <mergeCell ref="M107:M108"/>
    <mergeCell ref="L107:L108"/>
    <mergeCell ref="K107:K108"/>
    <mergeCell ref="J107:J108"/>
    <mergeCell ref="I107:I108"/>
    <mergeCell ref="H107:H108"/>
    <mergeCell ref="I92:I93"/>
    <mergeCell ref="I68:I69"/>
    <mergeCell ref="H68:H69"/>
    <mergeCell ref="G68:G69"/>
    <mergeCell ref="O85:O86"/>
    <mergeCell ref="N85:N86"/>
    <mergeCell ref="G85:G86"/>
    <mergeCell ref="I85:I86"/>
    <mergeCell ref="H85:H86"/>
    <mergeCell ref="H75:H76"/>
    <mergeCell ref="G75:G76"/>
    <mergeCell ref="P68:P69"/>
    <mergeCell ref="O68:O69"/>
    <mergeCell ref="N68:N69"/>
    <mergeCell ref="L63:L64"/>
    <mergeCell ref="K63:K64"/>
    <mergeCell ref="J63:J64"/>
    <mergeCell ref="K68:K69"/>
    <mergeCell ref="J68:J69"/>
    <mergeCell ref="L68:L69"/>
    <mergeCell ref="M68:M69"/>
    <mergeCell ref="I63:I64"/>
    <mergeCell ref="H63:H64"/>
    <mergeCell ref="G63:G64"/>
    <mergeCell ref="R63:R64"/>
    <mergeCell ref="Q63:Q64"/>
    <mergeCell ref="P63:P64"/>
    <mergeCell ref="O63:O64"/>
    <mergeCell ref="N63:N64"/>
    <mergeCell ref="M63:M64"/>
    <mergeCell ref="H56:H57"/>
    <mergeCell ref="G56:G57"/>
    <mergeCell ref="J56:J57"/>
    <mergeCell ref="R49:R50"/>
    <mergeCell ref="Q49:Q50"/>
    <mergeCell ref="P49:P50"/>
    <mergeCell ref="O49:O50"/>
    <mergeCell ref="N49:N50"/>
    <mergeCell ref="R56:R57"/>
    <mergeCell ref="Q56:Q57"/>
    <mergeCell ref="O56:O57"/>
    <mergeCell ref="N56:N57"/>
    <mergeCell ref="M56:M57"/>
    <mergeCell ref="L56:L57"/>
    <mergeCell ref="K56:K57"/>
    <mergeCell ref="M49:M50"/>
    <mergeCell ref="S8:U11"/>
    <mergeCell ref="K8:L10"/>
    <mergeCell ref="E10:F10"/>
    <mergeCell ref="O12:O13"/>
    <mergeCell ref="M14:M15"/>
    <mergeCell ref="R14:R15"/>
    <mergeCell ref="Q14:Q15"/>
    <mergeCell ref="N12:N13"/>
    <mergeCell ref="M12:M13"/>
    <mergeCell ref="C8:F9"/>
    <mergeCell ref="I8:J10"/>
    <mergeCell ref="M8:N10"/>
    <mergeCell ref="Q8:R10"/>
    <mergeCell ref="I14:I15"/>
    <mergeCell ref="H14:H15"/>
    <mergeCell ref="J12:J13"/>
    <mergeCell ref="L12:L13"/>
    <mergeCell ref="G12:G13"/>
    <mergeCell ref="B14:B15"/>
    <mergeCell ref="G8:H10"/>
    <mergeCell ref="D14:D15"/>
    <mergeCell ref="C14:C15"/>
    <mergeCell ref="C10:D10"/>
    <mergeCell ref="A8:A11"/>
    <mergeCell ref="B8:B11"/>
    <mergeCell ref="M7:P7"/>
    <mergeCell ref="K12:K13"/>
    <mergeCell ref="G14:G15"/>
    <mergeCell ref="I12:I13"/>
    <mergeCell ref="H12:H13"/>
    <mergeCell ref="O8:P10"/>
    <mergeCell ref="E14:E15"/>
    <mergeCell ref="F12:F13"/>
    <mergeCell ref="E12:E13"/>
    <mergeCell ref="P12:P13"/>
    <mergeCell ref="A68:A69"/>
    <mergeCell ref="A7:F7"/>
    <mergeCell ref="B12:B13"/>
    <mergeCell ref="D12:D13"/>
    <mergeCell ref="F49:F50"/>
    <mergeCell ref="E49:E50"/>
    <mergeCell ref="A56:A57"/>
    <mergeCell ref="A42:A43"/>
    <mergeCell ref="A36:A37"/>
    <mergeCell ref="A22:A23"/>
    <mergeCell ref="A12:A13"/>
    <mergeCell ref="C12:C13"/>
    <mergeCell ref="C22:C23"/>
    <mergeCell ref="C36:C37"/>
    <mergeCell ref="B36:B37"/>
    <mergeCell ref="F14:F15"/>
    <mergeCell ref="F42:F43"/>
    <mergeCell ref="E42:E43"/>
    <mergeCell ref="F36:F37"/>
    <mergeCell ref="D36:D37"/>
    <mergeCell ref="F56:F57"/>
    <mergeCell ref="C49:C50"/>
    <mergeCell ref="C42:C43"/>
    <mergeCell ref="B42:B43"/>
    <mergeCell ref="A107:A108"/>
    <mergeCell ref="A92:A93"/>
    <mergeCell ref="A85:A86"/>
    <mergeCell ref="A75:A76"/>
    <mergeCell ref="F85:F86"/>
    <mergeCell ref="L92:L93"/>
    <mergeCell ref="K92:K93"/>
    <mergeCell ref="J92:J93"/>
    <mergeCell ref="M85:M86"/>
    <mergeCell ref="L85:L86"/>
    <mergeCell ref="K85:K86"/>
    <mergeCell ref="J85:J86"/>
    <mergeCell ref="H92:H93"/>
    <mergeCell ref="G92:G93"/>
    <mergeCell ref="F92:F93"/>
    <mergeCell ref="E92:E93"/>
    <mergeCell ref="B107:B108"/>
    <mergeCell ref="C107:C108"/>
    <mergeCell ref="C75:C76"/>
    <mergeCell ref="B92:B93"/>
    <mergeCell ref="C85:C86"/>
    <mergeCell ref="B85:B86"/>
    <mergeCell ref="D92:D93"/>
    <mergeCell ref="C92:C93"/>
    <mergeCell ref="S12:U13"/>
    <mergeCell ref="S22:U23"/>
    <mergeCell ref="S36:U37"/>
    <mergeCell ref="S42:U43"/>
    <mergeCell ref="P14:P15"/>
    <mergeCell ref="O14:O15"/>
    <mergeCell ref="R22:R23"/>
    <mergeCell ref="R36:R37"/>
    <mergeCell ref="Q36:Q37"/>
    <mergeCell ref="P36:P37"/>
    <mergeCell ref="O36:O37"/>
    <mergeCell ref="Q22:Q23"/>
    <mergeCell ref="O42:O43"/>
    <mergeCell ref="R12:R13"/>
    <mergeCell ref="Q12:Q13"/>
    <mergeCell ref="P113:R113"/>
    <mergeCell ref="S113:U113"/>
    <mergeCell ref="S92:U93"/>
    <mergeCell ref="S107:U108"/>
    <mergeCell ref="S79:V79"/>
    <mergeCell ref="N36:N37"/>
    <mergeCell ref="H36:H37"/>
    <mergeCell ref="M36:M37"/>
    <mergeCell ref="L36:L37"/>
    <mergeCell ref="K36:K37"/>
    <mergeCell ref="J36:J37"/>
    <mergeCell ref="S77:V77"/>
    <mergeCell ref="S84:V84"/>
    <mergeCell ref="S83:V83"/>
    <mergeCell ref="S82:V82"/>
    <mergeCell ref="S81:V81"/>
    <mergeCell ref="R107:R108"/>
    <mergeCell ref="Q107:Q108"/>
    <mergeCell ref="P107:P108"/>
    <mergeCell ref="K42:K43"/>
    <mergeCell ref="J42:J43"/>
    <mergeCell ref="I49:I50"/>
    <mergeCell ref="H49:H50"/>
    <mergeCell ref="J49:J50"/>
    <mergeCell ref="N22:N23"/>
    <mergeCell ref="K22:K23"/>
    <mergeCell ref="J22:J23"/>
    <mergeCell ref="H22:H23"/>
    <mergeCell ref="M22:M23"/>
    <mergeCell ref="L22:L23"/>
    <mergeCell ref="G22:G23"/>
    <mergeCell ref="S75:U76"/>
    <mergeCell ref="S85:U86"/>
    <mergeCell ref="S56:U57"/>
    <mergeCell ref="S68:U69"/>
    <mergeCell ref="S80:V80"/>
    <mergeCell ref="G36:G37"/>
    <mergeCell ref="L42:L43"/>
    <mergeCell ref="H42:H43"/>
    <mergeCell ref="G42:G43"/>
    <mergeCell ref="G49:G50"/>
    <mergeCell ref="L49:L50"/>
    <mergeCell ref="K49:K50"/>
    <mergeCell ref="N42:N43"/>
    <mergeCell ref="M42:M43"/>
    <mergeCell ref="I42:I43"/>
    <mergeCell ref="P56:P57"/>
    <mergeCell ref="I56:I57"/>
    <mergeCell ref="B2:R2"/>
    <mergeCell ref="B3:R3"/>
    <mergeCell ref="B4:R4"/>
    <mergeCell ref="B5:R5"/>
    <mergeCell ref="S78:V78"/>
    <mergeCell ref="A14:A15"/>
    <mergeCell ref="S14:U15"/>
    <mergeCell ref="A49:A50"/>
    <mergeCell ref="S49:U50"/>
    <mergeCell ref="A63:A64"/>
    <mergeCell ref="S63:U64"/>
    <mergeCell ref="S47:U47"/>
    <mergeCell ref="S66:U66"/>
    <mergeCell ref="N14:N15"/>
    <mergeCell ref="L14:L15"/>
    <mergeCell ref="K14:K15"/>
    <mergeCell ref="J14:J15"/>
    <mergeCell ref="I36:I37"/>
    <mergeCell ref="I22:I23"/>
    <mergeCell ref="P22:P23"/>
    <mergeCell ref="O22:O23"/>
    <mergeCell ref="R42:R43"/>
    <mergeCell ref="Q42:Q43"/>
    <mergeCell ref="P42:P43"/>
  </mergeCells>
  <pageMargins left="0.7" right="0.7" top="0.75" bottom="0.75" header="0.3" footer="0.3"/>
  <pageSetup paperSize="9" orientation="portrait" horizontalDpi="200" verticalDpi="200" r:id="rId1"/>
  <ignoredErrors>
    <ignoredError sqref="B16:B18 B41 B67 B70:B71 B81:B84 B87:B91 B109:B112 B32:B35 B38:B40 C36:Q37 B65:B66 B58:B62 B51:B55 C49:R50 C56:R57 C63:R64 D31:Q31 B24:B30 B44:B48 B94:B106 B20:B21 B73:B74" unlockedFormula="1"/>
    <ignoredError sqref="B31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0"/>
  <sheetViews>
    <sheetView showGridLines="0" zoomScale="80" zoomScaleNormal="80" workbookViewId="0">
      <selection activeCell="A11" sqref="A11:A12"/>
    </sheetView>
  </sheetViews>
  <sheetFormatPr defaultRowHeight="15.05"/>
  <cols>
    <col min="1" max="1" width="37.21875" style="1" bestFit="1" customWidth="1"/>
    <col min="2" max="16384" width="8.88671875" style="1"/>
  </cols>
  <sheetData>
    <row r="1" spans="1:8">
      <c r="A1" s="233"/>
      <c r="B1" s="233"/>
      <c r="C1" s="233"/>
      <c r="D1" s="233"/>
      <c r="E1" s="233"/>
      <c r="F1" s="233"/>
      <c r="G1" s="233"/>
      <c r="H1" s="233"/>
    </row>
    <row r="2" spans="1:8">
      <c r="A2" s="234"/>
      <c r="B2" s="234"/>
      <c r="C2" s="234"/>
      <c r="D2" s="234"/>
      <c r="E2" s="234"/>
      <c r="F2" s="234"/>
      <c r="G2" s="234"/>
      <c r="H2" s="234"/>
    </row>
    <row r="3" spans="1:8">
      <c r="A3" s="234"/>
      <c r="B3" s="234"/>
      <c r="C3" s="234"/>
      <c r="D3" s="234"/>
      <c r="E3" s="234"/>
      <c r="F3" s="234"/>
      <c r="G3" s="234"/>
      <c r="H3" s="234"/>
    </row>
    <row r="4" spans="1:8">
      <c r="A4" s="235"/>
      <c r="B4" s="235"/>
      <c r="C4" s="235"/>
      <c r="D4" s="235"/>
      <c r="E4" s="235"/>
      <c r="F4" s="235"/>
      <c r="G4" s="2"/>
      <c r="H4" s="2"/>
    </row>
    <row r="5" spans="1:8">
      <c r="A5" s="236"/>
      <c r="B5" s="236"/>
      <c r="C5" s="236"/>
      <c r="D5" s="237"/>
      <c r="E5" s="237"/>
      <c r="F5" s="237"/>
      <c r="G5" s="236"/>
      <c r="H5" s="236"/>
    </row>
    <row r="6" spans="1:8">
      <c r="A6" s="236"/>
      <c r="B6" s="236"/>
      <c r="C6" s="237"/>
      <c r="D6" s="237"/>
      <c r="E6" s="237"/>
      <c r="F6" s="237"/>
      <c r="G6" s="236"/>
      <c r="H6" s="236"/>
    </row>
    <row r="7" spans="1:8">
      <c r="A7" s="236"/>
      <c r="B7" s="236"/>
      <c r="C7" s="236"/>
      <c r="D7" s="236"/>
      <c r="E7" s="236"/>
      <c r="F7" s="236"/>
      <c r="G7" s="236"/>
      <c r="H7" s="236"/>
    </row>
    <row r="8" spans="1:8">
      <c r="A8" s="236"/>
      <c r="B8" s="236"/>
      <c r="C8" s="3"/>
      <c r="D8" s="3"/>
      <c r="E8" s="3"/>
      <c r="F8" s="3"/>
      <c r="G8" s="3"/>
      <c r="H8" s="3"/>
    </row>
    <row r="9" spans="1:8">
      <c r="A9" s="240"/>
      <c r="B9" s="239"/>
      <c r="C9" s="239"/>
      <c r="D9" s="239"/>
      <c r="E9" s="239"/>
      <c r="F9" s="239"/>
      <c r="G9" s="239"/>
      <c r="H9" s="239"/>
    </row>
    <row r="10" spans="1:8">
      <c r="A10" s="240"/>
      <c r="B10" s="239"/>
      <c r="C10" s="239"/>
      <c r="D10" s="239"/>
      <c r="E10" s="239"/>
      <c r="F10" s="239"/>
      <c r="G10" s="239"/>
      <c r="H10" s="239"/>
    </row>
    <row r="11" spans="1:8">
      <c r="A11" s="238"/>
      <c r="B11" s="239"/>
      <c r="C11" s="239"/>
      <c r="D11" s="239"/>
      <c r="E11" s="239"/>
      <c r="F11" s="239"/>
      <c r="G11" s="239"/>
      <c r="H11" s="239"/>
    </row>
    <row r="12" spans="1:8">
      <c r="A12" s="238"/>
      <c r="B12" s="239"/>
      <c r="C12" s="239"/>
      <c r="D12" s="239"/>
      <c r="E12" s="239"/>
      <c r="F12" s="239"/>
      <c r="G12" s="239"/>
      <c r="H12" s="239"/>
    </row>
    <row r="13" spans="1:8">
      <c r="A13" s="4"/>
      <c r="B13" s="5"/>
      <c r="C13" s="5"/>
      <c r="D13" s="5"/>
      <c r="E13" s="5"/>
      <c r="F13" s="5"/>
      <c r="G13" s="5"/>
      <c r="H13" s="5"/>
    </row>
    <row r="14" spans="1:8">
      <c r="A14" s="4"/>
      <c r="B14" s="5"/>
      <c r="C14" s="5"/>
      <c r="D14" s="5"/>
      <c r="E14" s="5"/>
      <c r="F14" s="5"/>
      <c r="G14" s="5"/>
      <c r="H14" s="5"/>
    </row>
    <row r="15" spans="1:8">
      <c r="A15" s="4"/>
      <c r="B15" s="5"/>
      <c r="C15" s="5"/>
      <c r="D15" s="5"/>
      <c r="E15" s="5"/>
      <c r="F15" s="5"/>
      <c r="G15" s="5"/>
      <c r="H15" s="5"/>
    </row>
    <row r="16" spans="1:8">
      <c r="A16" s="4"/>
      <c r="B16" s="5"/>
      <c r="C16" s="5"/>
      <c r="D16" s="5"/>
      <c r="E16" s="5"/>
      <c r="F16" s="5"/>
      <c r="G16" s="5"/>
      <c r="H16" s="5"/>
    </row>
    <row r="17" spans="1:8">
      <c r="A17" s="4"/>
      <c r="B17" s="5"/>
      <c r="C17" s="5"/>
      <c r="D17" s="5"/>
      <c r="E17" s="5"/>
      <c r="F17" s="5"/>
      <c r="G17" s="5"/>
      <c r="H17" s="5"/>
    </row>
    <row r="18" spans="1:8">
      <c r="A18" s="4"/>
      <c r="B18" s="5"/>
      <c r="C18" s="5"/>
      <c r="D18" s="5"/>
      <c r="E18" s="5"/>
      <c r="F18" s="5"/>
      <c r="G18" s="5"/>
      <c r="H18" s="5"/>
    </row>
    <row r="19" spans="1:8">
      <c r="A19" s="238"/>
      <c r="B19" s="5"/>
      <c r="C19" s="5"/>
      <c r="D19" s="5"/>
      <c r="E19" s="5"/>
      <c r="F19" s="5"/>
      <c r="G19" s="5"/>
      <c r="H19" s="5"/>
    </row>
    <row r="20" spans="1:8">
      <c r="A20" s="238"/>
      <c r="B20" s="5"/>
      <c r="C20" s="5"/>
      <c r="D20" s="5"/>
      <c r="E20" s="5"/>
      <c r="F20" s="5"/>
      <c r="G20" s="5"/>
      <c r="H20" s="5"/>
    </row>
    <row r="21" spans="1:8">
      <c r="A21" s="4"/>
      <c r="B21" s="5"/>
      <c r="C21" s="5"/>
      <c r="D21" s="5"/>
      <c r="E21" s="5"/>
      <c r="F21" s="5"/>
      <c r="G21" s="5"/>
      <c r="H21" s="5"/>
    </row>
    <row r="22" spans="1:8">
      <c r="A22" s="4"/>
      <c r="B22" s="5"/>
      <c r="C22" s="5"/>
      <c r="D22" s="5"/>
      <c r="E22" s="5"/>
      <c r="F22" s="5"/>
      <c r="G22" s="5"/>
      <c r="H22" s="5"/>
    </row>
    <row r="23" spans="1:8">
      <c r="A23" s="4"/>
      <c r="B23" s="5"/>
      <c r="C23" s="5"/>
      <c r="D23" s="5"/>
      <c r="E23" s="5"/>
      <c r="F23" s="5"/>
      <c r="G23" s="5"/>
      <c r="H23" s="5"/>
    </row>
    <row r="24" spans="1:8">
      <c r="A24" s="4"/>
      <c r="B24" s="5"/>
      <c r="C24" s="5"/>
      <c r="D24" s="5"/>
      <c r="E24" s="5"/>
      <c r="F24" s="5"/>
      <c r="G24" s="5"/>
      <c r="H24" s="5"/>
    </row>
    <row r="25" spans="1:8">
      <c r="A25" s="4"/>
      <c r="B25" s="5"/>
      <c r="C25" s="5"/>
      <c r="D25" s="5"/>
      <c r="E25" s="5"/>
      <c r="F25" s="5"/>
      <c r="G25" s="5"/>
      <c r="H25" s="5"/>
    </row>
    <row r="26" spans="1:8">
      <c r="A26" s="4"/>
      <c r="B26" s="5"/>
      <c r="C26" s="5"/>
      <c r="D26" s="5"/>
      <c r="E26" s="5"/>
      <c r="F26" s="5"/>
      <c r="G26" s="5"/>
      <c r="H26" s="5"/>
    </row>
    <row r="27" spans="1:8">
      <c r="A27" s="4"/>
      <c r="B27" s="5"/>
      <c r="C27" s="5"/>
      <c r="D27" s="5"/>
      <c r="E27" s="5"/>
      <c r="F27" s="5"/>
      <c r="G27" s="5"/>
      <c r="H27" s="5"/>
    </row>
    <row r="28" spans="1:8">
      <c r="A28" s="4"/>
      <c r="B28" s="5"/>
      <c r="C28" s="5"/>
      <c r="D28" s="5"/>
      <c r="E28" s="5"/>
      <c r="F28" s="5"/>
      <c r="G28" s="5"/>
      <c r="H28" s="5"/>
    </row>
    <row r="29" spans="1:8">
      <c r="A29" s="4"/>
      <c r="B29" s="5"/>
      <c r="C29" s="5"/>
      <c r="D29" s="5"/>
      <c r="E29" s="5"/>
      <c r="F29" s="5"/>
      <c r="G29" s="5"/>
      <c r="H29" s="5"/>
    </row>
    <row r="30" spans="1:8">
      <c r="A30" s="4"/>
      <c r="B30" s="5"/>
      <c r="C30" s="5"/>
      <c r="D30" s="5"/>
      <c r="E30" s="5"/>
      <c r="F30" s="5"/>
      <c r="G30" s="5"/>
      <c r="H30" s="5"/>
    </row>
    <row r="31" spans="1:8">
      <c r="A31" s="4"/>
      <c r="B31" s="5"/>
      <c r="C31" s="5"/>
      <c r="D31" s="5"/>
      <c r="E31" s="5"/>
      <c r="F31" s="5"/>
      <c r="G31" s="5"/>
      <c r="H31" s="5"/>
    </row>
    <row r="32" spans="1:8">
      <c r="A32" s="238"/>
      <c r="B32" s="239"/>
      <c r="C32" s="239"/>
      <c r="D32" s="239"/>
      <c r="E32" s="239"/>
      <c r="F32" s="239"/>
      <c r="G32" s="239"/>
      <c r="H32" s="239"/>
    </row>
    <row r="33" spans="1:8">
      <c r="A33" s="238"/>
      <c r="B33" s="239"/>
      <c r="C33" s="239"/>
      <c r="D33" s="239"/>
      <c r="E33" s="239"/>
      <c r="F33" s="239"/>
      <c r="G33" s="239"/>
      <c r="H33" s="239"/>
    </row>
    <row r="34" spans="1:8">
      <c r="A34" s="4"/>
      <c r="B34" s="5"/>
      <c r="C34" s="5"/>
      <c r="D34" s="5"/>
      <c r="E34" s="5"/>
      <c r="F34" s="5"/>
      <c r="G34" s="5"/>
      <c r="H34" s="5"/>
    </row>
    <row r="35" spans="1:8">
      <c r="A35" s="4"/>
      <c r="B35" s="5"/>
      <c r="C35" s="5"/>
      <c r="D35" s="5"/>
      <c r="E35" s="5"/>
      <c r="F35" s="5"/>
      <c r="G35" s="5"/>
      <c r="H35" s="5"/>
    </row>
    <row r="36" spans="1:8">
      <c r="A36" s="4"/>
      <c r="B36" s="5"/>
      <c r="C36" s="5"/>
      <c r="D36" s="5"/>
      <c r="E36" s="5"/>
      <c r="F36" s="5"/>
      <c r="G36" s="5"/>
      <c r="H36" s="5"/>
    </row>
    <row r="37" spans="1:8">
      <c r="A37" s="4"/>
      <c r="B37" s="5"/>
      <c r="C37" s="5"/>
      <c r="D37" s="5"/>
      <c r="E37" s="5"/>
      <c r="F37" s="5"/>
      <c r="G37" s="5"/>
      <c r="H37" s="5"/>
    </row>
    <row r="38" spans="1:8">
      <c r="A38" s="238"/>
      <c r="B38" s="239"/>
      <c r="C38" s="239"/>
      <c r="D38" s="239"/>
      <c r="E38" s="239"/>
      <c r="F38" s="239"/>
      <c r="G38" s="239"/>
      <c r="H38" s="239"/>
    </row>
    <row r="39" spans="1:8">
      <c r="A39" s="238"/>
      <c r="B39" s="239"/>
      <c r="C39" s="239"/>
      <c r="D39" s="239"/>
      <c r="E39" s="239"/>
      <c r="F39" s="239"/>
      <c r="G39" s="239"/>
      <c r="H39" s="239"/>
    </row>
    <row r="40" spans="1:8">
      <c r="A40" s="4"/>
      <c r="B40" s="5"/>
      <c r="C40" s="5"/>
      <c r="D40" s="5"/>
      <c r="E40" s="5"/>
      <c r="F40" s="5"/>
      <c r="G40" s="5"/>
      <c r="H40" s="5"/>
    </row>
    <row r="41" spans="1:8">
      <c r="A41" s="4"/>
      <c r="B41" s="5"/>
      <c r="C41" s="5"/>
      <c r="D41" s="5"/>
      <c r="E41" s="5"/>
      <c r="F41" s="5"/>
      <c r="G41" s="5"/>
      <c r="H41" s="5"/>
    </row>
    <row r="42" spans="1:8">
      <c r="A42" s="4"/>
      <c r="B42" s="5"/>
      <c r="C42" s="5"/>
      <c r="D42" s="5"/>
      <c r="E42" s="5"/>
      <c r="F42" s="5"/>
      <c r="G42" s="5"/>
      <c r="H42" s="5"/>
    </row>
    <row r="43" spans="1:8">
      <c r="A43" s="4"/>
      <c r="B43" s="5"/>
      <c r="C43" s="5"/>
      <c r="D43" s="5"/>
      <c r="E43" s="5"/>
      <c r="F43" s="5"/>
      <c r="G43" s="5"/>
      <c r="H43" s="5"/>
    </row>
    <row r="44" spans="1:8">
      <c r="A44" s="4"/>
      <c r="B44" s="5"/>
      <c r="C44" s="5"/>
      <c r="D44" s="5"/>
      <c r="E44" s="5"/>
      <c r="F44" s="5"/>
      <c r="G44" s="5"/>
      <c r="H44" s="5"/>
    </row>
    <row r="45" spans="1:8">
      <c r="A45" s="238"/>
      <c r="B45" s="239"/>
      <c r="C45" s="239"/>
      <c r="D45" s="239"/>
      <c r="E45" s="239"/>
      <c r="F45" s="239"/>
      <c r="G45" s="239"/>
      <c r="H45" s="239"/>
    </row>
    <row r="46" spans="1:8">
      <c r="A46" s="238"/>
      <c r="B46" s="239"/>
      <c r="C46" s="239"/>
      <c r="D46" s="239"/>
      <c r="E46" s="239"/>
      <c r="F46" s="239"/>
      <c r="G46" s="239"/>
      <c r="H46" s="239"/>
    </row>
    <row r="47" spans="1:8">
      <c r="A47" s="4"/>
      <c r="B47" s="5"/>
      <c r="C47" s="5"/>
      <c r="D47" s="5"/>
      <c r="E47" s="5"/>
      <c r="F47" s="5"/>
      <c r="G47" s="5"/>
      <c r="H47" s="5"/>
    </row>
    <row r="48" spans="1:8">
      <c r="A48" s="4"/>
      <c r="B48" s="5"/>
      <c r="C48" s="5"/>
      <c r="D48" s="5"/>
      <c r="E48" s="5"/>
      <c r="F48" s="5"/>
      <c r="G48" s="5"/>
      <c r="H48" s="5"/>
    </row>
    <row r="49" spans="1:8">
      <c r="A49" s="4"/>
      <c r="B49" s="5"/>
      <c r="C49" s="5"/>
      <c r="D49" s="5"/>
      <c r="E49" s="5"/>
      <c r="F49" s="5"/>
      <c r="G49" s="5"/>
      <c r="H49" s="5"/>
    </row>
    <row r="50" spans="1:8">
      <c r="A50" s="4"/>
      <c r="B50" s="5"/>
      <c r="C50" s="5"/>
      <c r="D50" s="5"/>
      <c r="E50" s="5"/>
      <c r="F50" s="5"/>
      <c r="G50" s="5"/>
      <c r="H50" s="5"/>
    </row>
    <row r="51" spans="1:8">
      <c r="A51" s="4"/>
      <c r="B51" s="5"/>
      <c r="C51" s="5"/>
      <c r="D51" s="5"/>
      <c r="E51" s="5"/>
      <c r="F51" s="5"/>
      <c r="G51" s="5"/>
      <c r="H51" s="5"/>
    </row>
    <row r="52" spans="1:8">
      <c r="A52" s="238"/>
      <c r="B52" s="239"/>
      <c r="C52" s="239"/>
      <c r="D52" s="239"/>
      <c r="E52" s="239"/>
      <c r="F52" s="239"/>
      <c r="G52" s="239"/>
      <c r="H52" s="239"/>
    </row>
    <row r="53" spans="1:8">
      <c r="A53" s="238"/>
      <c r="B53" s="239"/>
      <c r="C53" s="239"/>
      <c r="D53" s="239"/>
      <c r="E53" s="239"/>
      <c r="F53" s="239"/>
      <c r="G53" s="239"/>
      <c r="H53" s="239"/>
    </row>
    <row r="54" spans="1:8">
      <c r="A54" s="4"/>
      <c r="B54" s="5"/>
      <c r="C54" s="5"/>
      <c r="D54" s="5"/>
      <c r="E54" s="5"/>
      <c r="F54" s="5"/>
      <c r="G54" s="5"/>
      <c r="H54" s="5"/>
    </row>
    <row r="55" spans="1:8">
      <c r="A55" s="4"/>
      <c r="B55" s="5"/>
      <c r="C55" s="5"/>
      <c r="D55" s="5"/>
      <c r="E55" s="5"/>
      <c r="F55" s="5"/>
      <c r="G55" s="5"/>
      <c r="H55" s="5"/>
    </row>
    <row r="56" spans="1:8">
      <c r="A56" s="4"/>
      <c r="B56" s="5"/>
      <c r="C56" s="5"/>
      <c r="D56" s="5"/>
      <c r="E56" s="5"/>
      <c r="F56" s="5"/>
      <c r="G56" s="5"/>
      <c r="H56" s="5"/>
    </row>
    <row r="57" spans="1:8">
      <c r="A57" s="4"/>
      <c r="B57" s="5"/>
      <c r="C57" s="5"/>
      <c r="D57" s="5"/>
      <c r="E57" s="5"/>
      <c r="F57" s="5"/>
      <c r="G57" s="5"/>
      <c r="H57" s="5"/>
    </row>
    <row r="58" spans="1:8">
      <c r="A58" s="4"/>
      <c r="B58" s="5"/>
      <c r="C58" s="5"/>
      <c r="D58" s="5"/>
      <c r="E58" s="5"/>
      <c r="F58" s="5"/>
      <c r="G58" s="5"/>
      <c r="H58" s="5"/>
    </row>
    <row r="59" spans="1:8">
      <c r="A59" s="241"/>
      <c r="B59" s="239"/>
      <c r="C59" s="239"/>
      <c r="D59" s="239"/>
      <c r="E59" s="239"/>
      <c r="F59" s="239"/>
      <c r="G59" s="239"/>
      <c r="H59" s="239"/>
    </row>
    <row r="60" spans="1:8">
      <c r="A60" s="241"/>
      <c r="B60" s="239"/>
      <c r="C60" s="239"/>
      <c r="D60" s="239"/>
      <c r="E60" s="239"/>
      <c r="F60" s="239"/>
      <c r="G60" s="239"/>
      <c r="H60" s="239"/>
    </row>
    <row r="61" spans="1:8">
      <c r="A61" s="4"/>
      <c r="B61" s="5"/>
      <c r="C61" s="5"/>
      <c r="D61" s="5"/>
      <c r="E61" s="5"/>
      <c r="F61" s="5"/>
      <c r="G61" s="5"/>
      <c r="H61" s="5"/>
    </row>
    <row r="62" spans="1:8">
      <c r="A62" s="4"/>
      <c r="B62" s="5"/>
      <c r="C62" s="5"/>
      <c r="D62" s="5"/>
      <c r="E62" s="5"/>
      <c r="F62" s="5"/>
      <c r="G62" s="5"/>
      <c r="H62" s="5"/>
    </row>
    <row r="63" spans="1:8">
      <c r="A63" s="4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238"/>
      <c r="B65" s="239"/>
      <c r="C65" s="239"/>
      <c r="D65" s="239"/>
      <c r="E65" s="239"/>
      <c r="F65" s="239"/>
      <c r="G65" s="239"/>
      <c r="H65" s="239"/>
    </row>
    <row r="66" spans="1:8">
      <c r="A66" s="238"/>
      <c r="B66" s="239"/>
      <c r="C66" s="239"/>
      <c r="D66" s="239"/>
      <c r="E66" s="239"/>
      <c r="F66" s="239"/>
      <c r="G66" s="239"/>
      <c r="H66" s="239"/>
    </row>
    <row r="67" spans="1:8">
      <c r="A67" s="4"/>
      <c r="B67" s="5"/>
      <c r="C67" s="5"/>
      <c r="D67" s="5"/>
      <c r="E67" s="5"/>
      <c r="F67" s="5"/>
      <c r="G67" s="5"/>
      <c r="H67" s="5"/>
    </row>
    <row r="68" spans="1:8">
      <c r="A68" s="4"/>
      <c r="B68" s="5"/>
      <c r="C68" s="5"/>
      <c r="D68" s="5"/>
      <c r="E68" s="5"/>
      <c r="F68" s="5"/>
      <c r="G68" s="5"/>
      <c r="H68" s="5"/>
    </row>
    <row r="69" spans="1:8">
      <c r="A69" s="4"/>
      <c r="B69" s="5"/>
      <c r="C69" s="5"/>
      <c r="D69" s="5"/>
      <c r="E69" s="5"/>
      <c r="F69" s="5"/>
      <c r="G69" s="5"/>
      <c r="H69" s="5"/>
    </row>
    <row r="70" spans="1:8">
      <c r="A70" s="4"/>
      <c r="B70" s="5"/>
      <c r="C70" s="5"/>
      <c r="D70" s="5"/>
      <c r="E70" s="5"/>
      <c r="F70" s="5"/>
      <c r="G70" s="5"/>
      <c r="H70" s="5"/>
    </row>
    <row r="71" spans="1:8">
      <c r="A71" s="4"/>
      <c r="B71" s="5"/>
      <c r="C71" s="5"/>
      <c r="D71" s="5"/>
      <c r="E71" s="5"/>
      <c r="F71" s="5"/>
      <c r="G71" s="5"/>
      <c r="H71" s="5"/>
    </row>
    <row r="72" spans="1:8">
      <c r="A72" s="238"/>
      <c r="B72" s="239"/>
      <c r="C72" s="239"/>
      <c r="D72" s="239"/>
      <c r="E72" s="239"/>
      <c r="F72" s="239"/>
      <c r="G72" s="239"/>
      <c r="H72" s="239"/>
    </row>
    <row r="73" spans="1:8">
      <c r="A73" s="238"/>
      <c r="B73" s="239"/>
      <c r="C73" s="239"/>
      <c r="D73" s="239"/>
      <c r="E73" s="239"/>
      <c r="F73" s="239"/>
      <c r="G73" s="239"/>
      <c r="H73" s="239"/>
    </row>
    <row r="74" spans="1:8">
      <c r="A74" s="6"/>
      <c r="B74" s="5"/>
      <c r="C74" s="5"/>
      <c r="D74" s="5"/>
      <c r="E74" s="5"/>
      <c r="F74" s="5"/>
      <c r="G74" s="5"/>
      <c r="H74" s="5"/>
    </row>
    <row r="75" spans="1:8">
      <c r="A75" s="4"/>
      <c r="B75" s="5"/>
      <c r="C75" s="5"/>
      <c r="D75" s="5"/>
      <c r="E75" s="5"/>
      <c r="F75" s="5"/>
      <c r="G75" s="5"/>
      <c r="H75" s="5"/>
    </row>
    <row r="76" spans="1:8">
      <c r="A76" s="4"/>
      <c r="B76" s="5"/>
      <c r="C76" s="5"/>
      <c r="D76" s="5"/>
      <c r="E76" s="5"/>
      <c r="F76" s="5"/>
      <c r="G76" s="5"/>
      <c r="H76" s="5"/>
    </row>
    <row r="77" spans="1:8">
      <c r="A77" s="4"/>
      <c r="B77" s="5"/>
      <c r="C77" s="5"/>
      <c r="D77" s="5"/>
      <c r="E77" s="5"/>
      <c r="F77" s="5"/>
      <c r="G77" s="5"/>
      <c r="H77" s="5"/>
    </row>
    <row r="78" spans="1:8">
      <c r="A78" s="4"/>
      <c r="B78" s="5"/>
      <c r="C78" s="5"/>
      <c r="D78" s="5"/>
      <c r="E78" s="5"/>
      <c r="F78" s="5"/>
      <c r="G78" s="5"/>
      <c r="H78" s="5"/>
    </row>
    <row r="79" spans="1:8">
      <c r="A79" s="4"/>
      <c r="B79" s="5"/>
      <c r="C79" s="5"/>
      <c r="D79" s="5"/>
      <c r="E79" s="5"/>
      <c r="F79" s="5"/>
      <c r="G79" s="5"/>
      <c r="H79" s="5"/>
    </row>
    <row r="80" spans="1:8">
      <c r="A80" s="4"/>
      <c r="B80" s="5"/>
      <c r="C80" s="5"/>
      <c r="D80" s="5"/>
      <c r="E80" s="5"/>
      <c r="F80" s="5"/>
      <c r="G80" s="5"/>
      <c r="H80" s="5"/>
    </row>
    <row r="81" spans="1:8">
      <c r="A81" s="4"/>
      <c r="B81" s="5"/>
      <c r="C81" s="5"/>
      <c r="D81" s="5"/>
      <c r="E81" s="5"/>
      <c r="F81" s="5"/>
      <c r="G81" s="5"/>
      <c r="H81" s="5"/>
    </row>
    <row r="82" spans="1:8">
      <c r="A82" s="238"/>
      <c r="B82" s="239"/>
      <c r="C82" s="239"/>
      <c r="D82" s="239"/>
      <c r="E82" s="239"/>
      <c r="F82" s="239"/>
      <c r="G82" s="239"/>
      <c r="H82" s="239"/>
    </row>
    <row r="83" spans="1:8">
      <c r="A83" s="238"/>
      <c r="B83" s="239"/>
      <c r="C83" s="239"/>
      <c r="D83" s="239"/>
      <c r="E83" s="239"/>
      <c r="F83" s="239"/>
      <c r="G83" s="239"/>
      <c r="H83" s="239"/>
    </row>
    <row r="84" spans="1:8">
      <c r="A84" s="4"/>
      <c r="B84" s="5"/>
      <c r="C84" s="5"/>
      <c r="D84" s="5"/>
      <c r="E84" s="5"/>
      <c r="F84" s="5"/>
      <c r="G84" s="5"/>
      <c r="H84" s="5"/>
    </row>
    <row r="85" spans="1:8">
      <c r="A85" s="4"/>
      <c r="B85" s="5"/>
      <c r="C85" s="5"/>
      <c r="D85" s="5"/>
      <c r="E85" s="5"/>
      <c r="F85" s="5"/>
      <c r="G85" s="5"/>
      <c r="H85" s="5"/>
    </row>
    <row r="86" spans="1:8">
      <c r="A86" s="4"/>
      <c r="B86" s="5"/>
      <c r="C86" s="5"/>
      <c r="D86" s="5"/>
      <c r="E86" s="5"/>
      <c r="F86" s="5"/>
      <c r="G86" s="5"/>
      <c r="H86" s="5"/>
    </row>
    <row r="87" spans="1:8">
      <c r="A87" s="4"/>
      <c r="B87" s="5"/>
      <c r="C87" s="5"/>
      <c r="D87" s="5"/>
      <c r="E87" s="5"/>
      <c r="F87" s="5"/>
      <c r="G87" s="5"/>
      <c r="H87" s="5"/>
    </row>
    <row r="88" spans="1:8">
      <c r="A88" s="4"/>
      <c r="B88" s="5"/>
      <c r="C88" s="5"/>
      <c r="D88" s="5"/>
      <c r="E88" s="5"/>
      <c r="F88" s="5"/>
      <c r="G88" s="5"/>
      <c r="H88" s="5"/>
    </row>
    <row r="89" spans="1:8">
      <c r="A89" s="238"/>
      <c r="B89" s="239"/>
      <c r="C89" s="239"/>
      <c r="D89" s="239"/>
      <c r="E89" s="239"/>
      <c r="F89" s="239"/>
      <c r="G89" s="239"/>
      <c r="H89" s="239"/>
    </row>
    <row r="90" spans="1:8">
      <c r="A90" s="238"/>
      <c r="B90" s="239"/>
      <c r="C90" s="239"/>
      <c r="D90" s="239"/>
      <c r="E90" s="239"/>
      <c r="F90" s="239"/>
      <c r="G90" s="239"/>
      <c r="H90" s="239"/>
    </row>
    <row r="91" spans="1:8">
      <c r="A91" s="4"/>
      <c r="B91" s="5"/>
      <c r="C91" s="5"/>
      <c r="D91" s="5"/>
      <c r="E91" s="5"/>
      <c r="F91" s="5"/>
      <c r="G91" s="5"/>
      <c r="H91" s="5"/>
    </row>
    <row r="92" spans="1:8">
      <c r="A92" s="4"/>
      <c r="B92" s="5"/>
      <c r="C92" s="5"/>
      <c r="D92" s="5"/>
      <c r="E92" s="5"/>
      <c r="F92" s="5"/>
      <c r="G92" s="5"/>
      <c r="H92" s="5"/>
    </row>
    <row r="93" spans="1:8">
      <c r="A93" s="4"/>
      <c r="B93" s="5"/>
      <c r="C93" s="5"/>
      <c r="D93" s="5"/>
      <c r="E93" s="5"/>
      <c r="F93" s="5"/>
      <c r="G93" s="5"/>
      <c r="H93" s="5"/>
    </row>
    <row r="94" spans="1:8">
      <c r="A94" s="4"/>
      <c r="B94" s="5"/>
      <c r="C94" s="5"/>
      <c r="D94" s="5"/>
      <c r="E94" s="5"/>
      <c r="F94" s="5"/>
      <c r="G94" s="5"/>
      <c r="H94" s="5"/>
    </row>
    <row r="95" spans="1:8">
      <c r="A95" s="4"/>
      <c r="B95" s="5"/>
      <c r="C95" s="5"/>
      <c r="D95" s="5"/>
      <c r="E95" s="5"/>
      <c r="F95" s="5"/>
      <c r="G95" s="5"/>
      <c r="H95" s="5"/>
    </row>
    <row r="96" spans="1:8">
      <c r="A96" s="4"/>
      <c r="B96" s="5"/>
      <c r="C96" s="5"/>
      <c r="D96" s="5"/>
      <c r="E96" s="5"/>
      <c r="F96" s="5"/>
      <c r="G96" s="5"/>
      <c r="H96" s="5"/>
    </row>
    <row r="97" spans="1:8">
      <c r="A97" s="4"/>
      <c r="B97" s="5"/>
      <c r="C97" s="5"/>
      <c r="D97" s="5"/>
      <c r="E97" s="5"/>
      <c r="F97" s="5"/>
      <c r="G97" s="5"/>
      <c r="H97" s="5"/>
    </row>
    <row r="98" spans="1:8">
      <c r="A98" s="4"/>
      <c r="B98" s="5"/>
      <c r="C98" s="5"/>
      <c r="D98" s="5"/>
      <c r="E98" s="5"/>
      <c r="F98" s="5"/>
      <c r="G98" s="5"/>
      <c r="H98" s="5"/>
    </row>
    <row r="99" spans="1:8">
      <c r="A99" s="4"/>
      <c r="B99" s="5"/>
      <c r="C99" s="5"/>
      <c r="D99" s="5"/>
      <c r="E99" s="5"/>
      <c r="F99" s="5"/>
      <c r="G99" s="5"/>
      <c r="H99" s="5"/>
    </row>
    <row r="100" spans="1:8">
      <c r="A100" s="4"/>
      <c r="B100" s="5"/>
      <c r="C100" s="5"/>
      <c r="D100" s="5"/>
      <c r="E100" s="5"/>
      <c r="F100" s="5"/>
      <c r="G100" s="5"/>
      <c r="H100" s="5"/>
    </row>
    <row r="101" spans="1:8">
      <c r="A101" s="4"/>
      <c r="B101" s="5"/>
      <c r="C101" s="5"/>
      <c r="D101" s="5"/>
      <c r="E101" s="5"/>
      <c r="F101" s="5"/>
      <c r="G101" s="5"/>
      <c r="H101" s="5"/>
    </row>
    <row r="102" spans="1:8">
      <c r="A102" s="4"/>
      <c r="B102" s="5"/>
      <c r="C102" s="5"/>
      <c r="D102" s="5"/>
      <c r="E102" s="5"/>
      <c r="F102" s="5"/>
      <c r="G102" s="5"/>
      <c r="H102" s="5"/>
    </row>
    <row r="103" spans="1:8">
      <c r="A103" s="4"/>
      <c r="B103" s="5"/>
      <c r="C103" s="5"/>
      <c r="D103" s="5"/>
      <c r="E103" s="5"/>
      <c r="F103" s="5"/>
      <c r="G103" s="5"/>
      <c r="H103" s="5"/>
    </row>
    <row r="104" spans="1:8">
      <c r="A104" s="238"/>
      <c r="B104" s="239"/>
      <c r="C104" s="239"/>
      <c r="D104" s="239"/>
      <c r="E104" s="239"/>
      <c r="F104" s="239"/>
      <c r="G104" s="239"/>
      <c r="H104" s="239"/>
    </row>
    <row r="105" spans="1:8">
      <c r="A105" s="238"/>
      <c r="B105" s="239"/>
      <c r="C105" s="239"/>
      <c r="D105" s="239"/>
      <c r="E105" s="239"/>
      <c r="F105" s="239"/>
      <c r="G105" s="239"/>
      <c r="H105" s="239"/>
    </row>
    <row r="106" spans="1:8">
      <c r="A106" s="4"/>
      <c r="B106" s="5"/>
      <c r="C106" s="5"/>
      <c r="D106" s="5"/>
      <c r="E106" s="5"/>
      <c r="F106" s="5"/>
      <c r="G106" s="5"/>
      <c r="H106" s="5"/>
    </row>
    <row r="107" spans="1:8">
      <c r="A107" s="4"/>
      <c r="B107" s="5"/>
      <c r="C107" s="5"/>
      <c r="D107" s="5"/>
      <c r="E107" s="5"/>
      <c r="F107" s="5"/>
      <c r="G107" s="5"/>
      <c r="H107" s="5"/>
    </row>
    <row r="108" spans="1:8">
      <c r="A108" s="4"/>
      <c r="B108" s="5"/>
      <c r="C108" s="5"/>
      <c r="D108" s="5"/>
      <c r="E108" s="5"/>
      <c r="F108" s="5"/>
      <c r="G108" s="5"/>
      <c r="H108" s="5"/>
    </row>
    <row r="109" spans="1:8">
      <c r="A109" s="4"/>
      <c r="B109" s="5"/>
      <c r="C109" s="5"/>
      <c r="D109" s="5"/>
      <c r="E109" s="5"/>
      <c r="F109" s="5"/>
      <c r="G109" s="5"/>
      <c r="H109" s="5"/>
    </row>
    <row r="110" spans="1:8">
      <c r="A110" s="7"/>
      <c r="B110" s="5"/>
      <c r="C110" s="5"/>
      <c r="D110" s="5"/>
      <c r="E110" s="5"/>
      <c r="F110" s="5"/>
      <c r="G110" s="5"/>
      <c r="H110" s="5"/>
    </row>
  </sheetData>
  <mergeCells count="106"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A1:H1"/>
    <mergeCell ref="A2:H3"/>
    <mergeCell ref="A4:F4"/>
    <mergeCell ref="A5:A8"/>
    <mergeCell ref="B5:B8"/>
    <mergeCell ref="C5:F6"/>
    <mergeCell ref="G5:H7"/>
    <mergeCell ref="C7:D7"/>
    <mergeCell ref="E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2015-04-30T09:20:35Z</cp:lastPrinted>
  <dcterms:created xsi:type="dcterms:W3CDTF">2015-04-28T10:32:32Z</dcterms:created>
  <dcterms:modified xsi:type="dcterms:W3CDTF">2019-06-21T10:51:06Z</dcterms:modified>
</cp:coreProperties>
</file>