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 firstSheet="1" activeTab="1"/>
  </bookViews>
  <sheets>
    <sheet name="ListOfValues" sheetId="1" state="hidden" r:id="rId1"/>
    <sheet name="Sheet2" sheetId="2" r:id="rId2"/>
  </sheets>
  <calcPr calcId="125725"/>
</workbook>
</file>

<file path=xl/calcChain.xml><?xml version="1.0" encoding="utf-8"?>
<calcChain xmlns="http://schemas.openxmlformats.org/spreadsheetml/2006/main">
  <c r="B14" i="2"/>
  <c r="D20" l="1"/>
  <c r="C12"/>
  <c r="D12"/>
  <c r="D29"/>
  <c r="E29"/>
  <c r="F29"/>
  <c r="G29"/>
  <c r="H29"/>
  <c r="I29"/>
  <c r="J29"/>
  <c r="K29"/>
  <c r="L29"/>
  <c r="M29"/>
  <c r="N29"/>
  <c r="O29"/>
  <c r="P29"/>
  <c r="C29"/>
  <c r="G20"/>
  <c r="F20"/>
  <c r="E20"/>
  <c r="H20"/>
  <c r="I20"/>
  <c r="J20"/>
  <c r="K20"/>
  <c r="L20"/>
  <c r="M20"/>
  <c r="N20"/>
  <c r="O20"/>
  <c r="P20"/>
  <c r="C20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82"/>
  <c r="B81"/>
  <c r="B80"/>
  <c r="B79"/>
  <c r="B78"/>
  <c r="B77"/>
  <c r="B76"/>
  <c r="B75"/>
  <c r="B72"/>
  <c r="B71"/>
  <c r="B70"/>
  <c r="B69"/>
  <c r="B68"/>
  <c r="B65"/>
  <c r="B64"/>
  <c r="B63"/>
  <c r="B60"/>
  <c r="B59"/>
  <c r="B58"/>
  <c r="B57"/>
  <c r="B56"/>
  <c r="B53"/>
  <c r="B52"/>
  <c r="B51"/>
  <c r="B50"/>
  <c r="B49"/>
  <c r="B46"/>
  <c r="B45"/>
  <c r="B44"/>
  <c r="B43"/>
  <c r="B42"/>
  <c r="B39"/>
  <c r="B38"/>
  <c r="B37"/>
  <c r="B36"/>
  <c r="B33"/>
  <c r="B32"/>
  <c r="B31"/>
  <c r="B30"/>
  <c r="B28"/>
  <c r="B27"/>
  <c r="B26"/>
  <c r="B25"/>
  <c r="B24"/>
  <c r="B23"/>
  <c r="B22"/>
  <c r="B19"/>
  <c r="B18"/>
  <c r="B17"/>
  <c r="B16"/>
  <c r="B15"/>
  <c r="P105"/>
  <c r="O105"/>
  <c r="N105"/>
  <c r="M105"/>
  <c r="L105"/>
  <c r="K105"/>
  <c r="J105"/>
  <c r="I105"/>
  <c r="H105"/>
  <c r="G105"/>
  <c r="F105"/>
  <c r="E105"/>
  <c r="D105"/>
  <c r="C105"/>
  <c r="P90"/>
  <c r="O90"/>
  <c r="N90"/>
  <c r="M90"/>
  <c r="L90"/>
  <c r="K90"/>
  <c r="J90"/>
  <c r="I90"/>
  <c r="H90"/>
  <c r="G90"/>
  <c r="F90"/>
  <c r="E90"/>
  <c r="D90"/>
  <c r="C90"/>
  <c r="P83"/>
  <c r="O83"/>
  <c r="N83"/>
  <c r="M83"/>
  <c r="L83"/>
  <c r="K83"/>
  <c r="J83"/>
  <c r="I83"/>
  <c r="H83"/>
  <c r="G83"/>
  <c r="F83"/>
  <c r="E83"/>
  <c r="D83"/>
  <c r="C83"/>
  <c r="P73"/>
  <c r="O73"/>
  <c r="N73"/>
  <c r="M73"/>
  <c r="L73"/>
  <c r="K73"/>
  <c r="J73"/>
  <c r="I73"/>
  <c r="H73"/>
  <c r="G73"/>
  <c r="F73"/>
  <c r="E73"/>
  <c r="D73"/>
  <c r="C73"/>
  <c r="P66"/>
  <c r="O66"/>
  <c r="N66"/>
  <c r="M66"/>
  <c r="L66"/>
  <c r="K66"/>
  <c r="J66"/>
  <c r="I66"/>
  <c r="H66"/>
  <c r="G66"/>
  <c r="F66"/>
  <c r="E66"/>
  <c r="D66"/>
  <c r="C66"/>
  <c r="P61"/>
  <c r="O61"/>
  <c r="N61"/>
  <c r="M61"/>
  <c r="L61"/>
  <c r="K61"/>
  <c r="J61"/>
  <c r="I61"/>
  <c r="H61"/>
  <c r="G61"/>
  <c r="F61"/>
  <c r="E61"/>
  <c r="D61"/>
  <c r="C61"/>
  <c r="P54"/>
  <c r="O54"/>
  <c r="N54"/>
  <c r="M54"/>
  <c r="L54"/>
  <c r="K54"/>
  <c r="J54"/>
  <c r="I54"/>
  <c r="H54"/>
  <c r="G54"/>
  <c r="F54"/>
  <c r="E54"/>
  <c r="D54"/>
  <c r="C54"/>
  <c r="P47"/>
  <c r="O47"/>
  <c r="N47"/>
  <c r="M47"/>
  <c r="L47"/>
  <c r="K47"/>
  <c r="J47"/>
  <c r="I47"/>
  <c r="H47"/>
  <c r="G47"/>
  <c r="F47"/>
  <c r="E47"/>
  <c r="D47"/>
  <c r="C47"/>
  <c r="P40"/>
  <c r="O40"/>
  <c r="N40"/>
  <c r="M40"/>
  <c r="L40"/>
  <c r="K40"/>
  <c r="J40"/>
  <c r="I40"/>
  <c r="H40"/>
  <c r="G40"/>
  <c r="F40"/>
  <c r="E40"/>
  <c r="D40"/>
  <c r="C40"/>
  <c r="P34"/>
  <c r="O34"/>
  <c r="N34"/>
  <c r="M34"/>
  <c r="L34"/>
  <c r="K34"/>
  <c r="J34"/>
  <c r="I34"/>
  <c r="H34"/>
  <c r="G34"/>
  <c r="F34"/>
  <c r="E34"/>
  <c r="D34"/>
  <c r="C34"/>
  <c r="P12"/>
  <c r="O12"/>
  <c r="N12"/>
  <c r="M12"/>
  <c r="L12"/>
  <c r="K12"/>
  <c r="J12"/>
  <c r="I12"/>
  <c r="H12"/>
  <c r="G12"/>
  <c r="F12"/>
  <c r="E12"/>
  <c r="B73" l="1"/>
  <c r="B34"/>
  <c r="B47"/>
  <c r="B90"/>
  <c r="E10"/>
  <c r="G10"/>
  <c r="B29"/>
  <c r="B105"/>
  <c r="B66"/>
  <c r="B54"/>
  <c r="B40"/>
  <c r="B20"/>
  <c r="B12"/>
  <c r="B83"/>
  <c r="B61"/>
  <c r="I10"/>
  <c r="K10"/>
  <c r="M10"/>
  <c r="O10"/>
  <c r="C10"/>
  <c r="F10"/>
  <c r="H10"/>
  <c r="J10"/>
  <c r="L10"/>
  <c r="N10"/>
  <c r="P10"/>
  <c r="D10"/>
  <c r="B10" l="1"/>
</calcChain>
</file>

<file path=xl/sharedStrings.xml><?xml version="1.0" encoding="utf-8"?>
<sst xmlns="http://schemas.openxmlformats.org/spreadsheetml/2006/main" count="539" uniqueCount="296">
  <si>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</si>
  <si>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</si>
  <si>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</si>
  <si>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</si>
  <si>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</si>
  <si>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</si>
  <si>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</si>
  <si>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</si>
  <si>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</si>
  <si>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</si>
  <si>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</si>
  <si>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</si>
  <si>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</si>
  <si>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</si>
  <si>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</si>
  <si>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</si>
  <si>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</si>
  <si>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</si>
  <si>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</si>
  <si>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</si>
  <si>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</si>
  <si>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</si>
  <si>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</si>
  <si>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</si>
  <si>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</si>
  <si>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</si>
  <si>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</si>
  <si>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</si>
  <si>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</si>
  <si>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</si>
  <si>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</si>
  <si>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</si>
  <si>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</si>
  <si>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</si>
  <si>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</si>
  <si>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</si>
  <si>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</si>
  <si>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</si>
  <si>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</si>
  <si>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</si>
  <si>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</si>
  <si>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</si>
  <si>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</si>
  <si>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</si>
  <si>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</si>
  <si>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</si>
  <si>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</si>
  <si>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</si>
  <si>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</si>
  <si>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</si>
  <si>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</si>
  <si>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</si>
  <si>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</si>
  <si>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</si>
  <si>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</si>
  <si>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</si>
  <si>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</si>
  <si>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</si>
  <si>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</si>
  <si>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</si>
  <si>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</si>
  <si>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</si>
  <si>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</si>
  <si>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</si>
  <si>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</si>
  <si>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</si>
  <si>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</si>
  <si>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</si>
  <si>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</si>
  <si>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</si>
  <si>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</si>
  <si>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</si>
  <si>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</si>
  <si>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</si>
  <si>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</si>
  <si>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</si>
  <si>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</si>
  <si>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</si>
  <si>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</si>
  <si>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</si>
  <si>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</si>
  <si>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</si>
  <si>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</si>
  <si>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</si>
  <si>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</si>
  <si>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</si>
  <si>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</si>
  <si>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</si>
  <si>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</si>
  <si>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</si>
  <si>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</si>
  <si>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</si>
  <si>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</si>
  <si>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</si>
  <si>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</si>
  <si>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</si>
  <si>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</si>
  <si>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</si>
  <si>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</si>
  <si>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</si>
  <si>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</si>
  <si>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</si>
  <si>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</si>
  <si>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</si>
  <si>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</si>
  <si>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</si>
  <si>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</si>
  <si>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</si>
  <si>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</si>
  <si>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</si>
  <si>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</si>
  <si>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</si>
  <si>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</si>
  <si>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</si>
  <si>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</si>
  <si>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</si>
  <si>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</si>
  <si>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</si>
  <si>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</si>
  <si>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</si>
  <si>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</si>
  <si>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</si>
  <si>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</si>
  <si>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</si>
  <si>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</si>
  <si>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</si>
  <si>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</si>
  <si>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</si>
  <si>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</si>
  <si>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</si>
  <si>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</si>
  <si>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</si>
  <si>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</si>
  <si>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</si>
  <si>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</si>
  <si>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</si>
  <si>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</si>
  <si>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</si>
  <si>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</si>
  <si>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</si>
  <si>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</si>
  <si>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</si>
  <si>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</si>
  <si>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</si>
  <si>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</si>
  <si>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</si>
  <si>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</si>
  <si>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</si>
  <si>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</si>
  <si>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</si>
  <si>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</si>
  <si>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</si>
  <si>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</si>
  <si>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</si>
  <si>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</si>
  <si>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</si>
  <si>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</si>
  <si>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</si>
  <si>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</si>
  <si>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</si>
  <si>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</si>
  <si>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</si>
  <si>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</si>
  <si>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</si>
  <si>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</si>
  <si>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</si>
  <si>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</si>
  <si>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</si>
  <si>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</si>
  <si>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</si>
  <si>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</si>
  <si>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</si>
  <si>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</si>
  <si>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</si>
  <si>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</si>
  <si>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</si>
  <si>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</si>
  <si>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</si>
  <si>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</si>
  <si>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</si>
  <si>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</si>
  <si>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</si>
  <si>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</si>
  <si>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</si>
  <si>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</si>
  <si>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</si>
  <si>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</si>
  <si>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</si>
  <si>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</si>
  <si>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</si>
  <si>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</si>
  <si>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</si>
  <si>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</si>
  <si>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</si>
  <si>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</si>
  <si>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</si>
  <si>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</si>
  <si>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</si>
  <si>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</si>
  <si>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</si>
  <si>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</si>
  <si>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</si>
  <si>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</si>
  <si>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</si>
  <si>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</si>
  <si>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</si>
  <si>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</si>
  <si>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</si>
  <si>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</si>
  <si>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</si>
  <si>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</si>
  <si>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</si>
  <si>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</si>
  <si>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</si>
  <si>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</si>
  <si>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</si>
  <si>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</si>
  <si>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</si>
  <si>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</si>
  <si>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</si>
  <si>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</si>
  <si>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</si>
  <si>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</si>
  <si>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</si>
  <si>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</si>
  <si>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</si>
  <si>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</si>
  <si>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</si>
  <si>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</si>
  <si>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</si>
  <si>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</si>
  <si>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</si>
  <si>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</si>
  <si>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</si>
  <si>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</si>
  <si>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</si>
  <si>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</si>
  <si>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</si>
  <si>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</si>
  <si>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</si>
  <si>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</si>
  <si>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</si>
  <si>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</si>
  <si>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</si>
  <si>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</si>
  <si>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</si>
  <si>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</si>
  <si>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</si>
  <si>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</si>
  <si>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</si>
  <si>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</si>
  <si>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</si>
  <si>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</si>
  <si>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</si>
  <si>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</si>
  <si>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</si>
  <si>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</si>
  <si>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</si>
  <si>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</si>
  <si>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</si>
  <si>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</si>
  <si>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</si>
  <si>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</si>
  <si>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</si>
  <si>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</si>
  <si>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</si>
  <si>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</si>
  <si>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</si>
  <si>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</si>
  <si>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</si>
  <si>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</si>
  <si>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</si>
  <si>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</si>
  <si>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</si>
  <si>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</si>
  <si>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</si>
  <si>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</si>
  <si>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(1) Production refers to hey from self-grown grass or grass from fallow land</t>
  </si>
  <si>
    <t>(2) Bitter veltch, veltching, peas, lentil, etc.</t>
  </si>
  <si>
    <t>(2) Ρόβη, λαθούρι, μπιζέλια, φακή κλπ.</t>
  </si>
  <si>
    <t>Περιφέρειες και Περιφερειακές Ενότητες</t>
  </si>
  <si>
    <t>(1) Η παραγωγή αναφέρεται σε σανό αυτοφυούς χόρτου (κοφτολίβαδων και χόρτου αγραναπαύσεων</t>
  </si>
  <si>
    <t>Περιφέρεια Δυτικής Μακεδονίας</t>
  </si>
  <si>
    <t>Region of Western Macedonia</t>
  </si>
  <si>
    <t xml:space="preserve"> Κριθάρι
Barley</t>
  </si>
  <si>
    <t>Βρώμη
Oats</t>
  </si>
  <si>
    <t>Βίκος
Veltch</t>
  </si>
  <si>
    <t>Ετήσια
Annual</t>
  </si>
  <si>
    <t>Σύνολο
Εκτάσεων
Total
Area</t>
  </si>
  <si>
    <t>―</t>
  </si>
  <si>
    <t>Πολυετή 
(μηδική, κλπ.) 
Multiannual
(alfalfa, etc)</t>
  </si>
  <si>
    <r>
      <t>Κοφτολίβαδα (Σανός)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Grass cut for hey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</si>
  <si>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 xml:space="preserve">(2)
 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</si>
  <si>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Areas in stremmas (1 stremma = 0.1 ha), production in tons</t>
  </si>
  <si>
    <t>Πίνακας 2ε. Κτηνοτροφικά φυτά για σανό. Εκτάσεις και παραγωγή, κατά Περιφέρεια και Περιφερειακή Ενότητα, 2017</t>
  </si>
  <si>
    <t>Table 2e. Fodder plants for hey. Areas and production, by Region and Regional Unities, 2017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</si>
</sst>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0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14" fillId="0" borderId="7" xfId="0" applyNumberFormat="1" applyFont="1" applyFill="1" applyBorder="1" applyAlignment="1" applyProtection="1">
      <protection locked="0"/>
    </xf>
    <xf numFmtId="0" fontId="0" fillId="0" borderId="0" xfId="0" applyFont="1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4" fillId="0" borderId="18" xfId="0" applyNumberFormat="1" applyFont="1" applyBorder="1" applyAlignment="1" applyProtection="1">
      <alignment horizontal="right" vertical="center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5" borderId="18" xfId="0" applyNumberFormat="1" applyFont="1" applyFill="1" applyBorder="1" applyAlignment="1">
      <alignment horizontal="right" vertical="center" wrapText="1"/>
    </xf>
    <xf numFmtId="3" fontId="15" fillId="15" borderId="15" xfId="0" applyNumberFormat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Font="1" applyAlignment="1" applyProtection="1">
      <alignment horizontal="left" indent="2"/>
      <protection locked="0"/>
    </xf>
    <xf numFmtId="49" fontId="0" fillId="0" borderId="0" xfId="0" applyNumberFormat="1" applyFont="1" applyAlignment="1" applyProtection="1">
      <alignment horizontal="left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7" xfId="0" applyNumberFormat="1" applyFont="1" applyBorder="1" applyAlignment="1" applyProtection="1">
      <alignment horizontal="left" wrapText="1" indent="1"/>
      <protection locked="0"/>
    </xf>
    <xf numFmtId="3" fontId="14" fillId="0" borderId="32" xfId="0" applyNumberFormat="1" applyFont="1" applyBorder="1" applyAlignment="1" applyProtection="1">
      <alignment horizontal="right" vertical="center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3" fillId="0" borderId="7" xfId="0" applyNumberFormat="1" applyFont="1" applyFill="1" applyBorder="1" applyAlignment="1" applyProtection="1"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3" fontId="15" fillId="0" borderId="25" xfId="0" applyNumberFormat="1" applyFont="1" applyBorder="1" applyAlignment="1" applyProtection="1">
      <alignment horizontal="right" vertical="center"/>
    </xf>
    <xf numFmtId="3" fontId="15" fillId="0" borderId="15" xfId="0" applyNumberFormat="1" applyFont="1" applyBorder="1" applyAlignment="1" applyProtection="1">
      <alignment horizontal="right" vertical="center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0" borderId="18" xfId="0" applyNumberFormat="1" applyFont="1" applyBorder="1" applyAlignment="1" applyProtection="1">
      <alignment horizontal="right" vertical="center"/>
    </xf>
    <xf numFmtId="0" fontId="14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8" xfId="0" applyFont="1" applyBorder="1"/>
    <xf numFmtId="0" fontId="0" fillId="0" borderId="21" xfId="0" applyFont="1" applyBorder="1"/>
    <xf numFmtId="0" fontId="0" fillId="0" borderId="16" xfId="0" applyFont="1" applyBorder="1"/>
    <xf numFmtId="0" fontId="0" fillId="0" borderId="24" xfId="0" applyFont="1" applyBorder="1"/>
    <xf numFmtId="0" fontId="0" fillId="0" borderId="17" xfId="0" applyFont="1" applyBorder="1"/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49" fontId="11" fillId="0" borderId="0" xfId="0" applyNumberFormat="1" applyFont="1" applyBorder="1" applyAlignment="1" applyProtection="1">
      <alignment horizontal="left" vertical="center" wrapText="1"/>
      <protection locked="0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horizontal="left" vertical="center"/>
      <protection locked="0"/>
    </xf>
    <xf numFmtId="3" fontId="15" fillId="0" borderId="31" xfId="0" applyNumberFormat="1" applyFont="1" applyBorder="1" applyAlignment="1" applyProtection="1">
      <alignment horizontal="right" vertical="center"/>
    </xf>
    <xf numFmtId="3" fontId="15" fillId="0" borderId="4" xfId="0" applyNumberFormat="1" applyFont="1" applyBorder="1" applyAlignment="1" applyProtection="1">
      <alignment horizontal="right" vertical="center"/>
    </xf>
    <xf numFmtId="3" fontId="15" fillId="0" borderId="16" xfId="0" applyNumberFormat="1" applyFont="1" applyBorder="1" applyAlignment="1" applyProtection="1">
      <alignment horizontal="right" vertical="center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5" fillId="0" borderId="26" xfId="0" applyNumberFormat="1" applyFont="1" applyFill="1" applyBorder="1" applyAlignment="1" applyProtection="1">
      <alignment vertical="center" wrapText="1"/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vertical="center" wrapText="1"/>
      <protection locked="0"/>
    </xf>
    <xf numFmtId="3" fontId="15" fillId="0" borderId="0" xfId="0" applyNumberFormat="1" applyFont="1" applyBorder="1" applyAlignment="1" applyProtection="1">
      <alignment horizontal="right" vertical="center"/>
    </xf>
    <xf numFmtId="3" fontId="15" fillId="0" borderId="21" xfId="0" applyNumberFormat="1" applyFont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3" fontId="15" fillId="0" borderId="34" xfId="0" applyNumberFormat="1" applyFont="1" applyBorder="1" applyAlignment="1" applyProtection="1">
      <alignment horizontal="right" vertical="center"/>
    </xf>
    <xf numFmtId="3" fontId="15" fillId="15" borderId="21" xfId="0" applyNumberFormat="1" applyFont="1" applyFill="1" applyBorder="1" applyAlignment="1">
      <alignment horizontal="right" vertical="center" wrapText="1"/>
    </xf>
    <xf numFmtId="0" fontId="13" fillId="0" borderId="0" xfId="0" applyNumberFormat="1" applyFont="1" applyFill="1" applyBorder="1" applyAlignment="1" applyProtection="1">
      <protection locked="0"/>
    </xf>
    <xf numFmtId="0" fontId="13" fillId="0" borderId="0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Border="1" applyAlignment="1" applyProtection="1">
      <alignment horizontal="right"/>
      <protection locked="0"/>
    </xf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1" xfId="0" applyNumberFormat="1" applyFont="1" applyFill="1" applyBorder="1" applyAlignment="1" applyProtection="1">
      <alignment vertical="center" wrapText="1"/>
      <protection locked="0"/>
    </xf>
    <xf numFmtId="0" fontId="15" fillId="0" borderId="4" xfId="0" applyNumberFormat="1" applyFont="1" applyFill="1" applyBorder="1" applyAlignment="1" applyProtection="1">
      <alignment vertical="center" wrapText="1"/>
      <protection locked="0"/>
    </xf>
    <xf numFmtId="0" fontId="15" fillId="0" borderId="4" xfId="0" applyNumberFormat="1" applyFont="1" applyFill="1" applyBorder="1" applyAlignment="1" applyProtection="1">
      <alignment horizontal="left" vertical="center" wrapText="1"/>
      <protection locked="0"/>
    </xf>
    <xf numFmtId="0" fontId="0" fillId="0" borderId="4" xfId="0" applyFont="1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0" fillId="0" borderId="4" xfId="0" applyFont="1" applyBorder="1" applyAlignment="1" applyProtection="1">
      <alignment horizontal="left" wrapText="1" inden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0" fillId="0" borderId="6" xfId="0" applyFont="1" applyBorder="1" applyAlignment="1" applyProtection="1">
      <alignment horizontal="left" indent="1"/>
      <protection locked="0"/>
    </xf>
    <xf numFmtId="0" fontId="0" fillId="0" borderId="2" xfId="0" applyFont="1" applyBorder="1" applyProtection="1">
      <protection locked="0"/>
    </xf>
    <xf numFmtId="0" fontId="0" fillId="0" borderId="0" xfId="0" applyFont="1" applyBorder="1" applyProtection="1"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zoomScale="80" zoomScaleNormal="80" workbookViewId="0">
      <selection activeCell="I23" sqref="I23"/>
    </sheetView>
  </sheetViews>
  <sheetFormatPr defaultRowHeight="15.05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54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55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57" t="s">
        <v>7</v>
      </c>
      <c r="E3" s="157"/>
      <c r="F3" s="157"/>
      <c r="G3" s="157"/>
      <c r="H3" s="155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55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55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55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55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55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55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55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55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55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55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55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55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55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55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55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55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55"/>
      <c r="I20" s="26"/>
      <c r="J20" s="23"/>
      <c r="K20" s="23"/>
      <c r="L20" s="24"/>
      <c r="M20" s="27"/>
    </row>
    <row r="21" spans="1:13" ht="15.6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56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58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59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59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59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59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59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59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59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59"/>
      <c r="I30" s="48"/>
      <c r="J30" s="47"/>
      <c r="K30" s="47"/>
      <c r="L30" s="48"/>
      <c r="M30" s="51"/>
    </row>
    <row r="31" spans="1:13" ht="15.6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60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61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62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2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62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62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62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2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62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62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62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2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62"/>
      <c r="I43" s="80"/>
      <c r="J43" s="79"/>
      <c r="K43" s="79"/>
      <c r="L43" s="80"/>
      <c r="M43" s="84"/>
    </row>
    <row r="44" spans="1:13" ht="15.6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63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54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55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55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55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55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55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55"/>
      <c r="I51" s="67"/>
      <c r="J51" s="66"/>
      <c r="K51" s="66"/>
      <c r="L51" s="67"/>
      <c r="M51" s="69"/>
    </row>
    <row r="52" spans="1:13" ht="15.6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56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51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52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2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52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52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52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52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52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52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52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2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52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52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52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52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52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52"/>
      <c r="I69" s="48"/>
      <c r="J69" s="47"/>
      <c r="K69" s="47"/>
      <c r="L69" s="48"/>
      <c r="M69" s="51"/>
    </row>
    <row r="70" spans="1:13" ht="15.6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53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38"/>
  <sheetViews>
    <sheetView showGridLines="0" tabSelected="1" zoomScaleNormal="100" workbookViewId="0">
      <selection activeCell="M6" sqref="M6:N8"/>
    </sheetView>
  </sheetViews>
  <sheetFormatPr defaultRowHeight="13.15"/>
  <cols>
    <col min="1" max="1" width="43.21875" style="120" customWidth="1"/>
    <col min="2" max="2" width="10.21875" style="120" customWidth="1"/>
    <col min="3" max="3" width="7.5546875" style="120" bestFit="1" customWidth="1"/>
    <col min="4" max="4" width="6.5546875" style="120" bestFit="1" customWidth="1"/>
    <col min="5" max="7" width="7.5546875" style="120" bestFit="1" customWidth="1"/>
    <col min="8" max="8" width="6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5" width="7.5546875" style="120" bestFit="1" customWidth="1"/>
    <col min="16" max="16" width="6.5546875" style="120" bestFit="1" customWidth="1"/>
    <col min="17" max="17" width="11" style="120" customWidth="1"/>
    <col min="18" max="18" width="12.77734375" style="120" customWidth="1"/>
    <col min="19" max="19" width="11.77734375" style="120" customWidth="1"/>
    <col min="20" max="20" width="6.44140625" style="120" customWidth="1"/>
    <col min="21" max="16384" width="8.88671875" style="120"/>
  </cols>
  <sheetData>
    <row r="1" spans="1:22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22" ht="18.2">
      <c r="A2" s="164" t="s">
        <v>294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</row>
    <row r="3" spans="1:22" ht="18.2">
      <c r="A3" s="164" t="s">
        <v>295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</row>
    <row r="4" spans="1:22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</row>
    <row r="5" spans="1:22" s="124" customFormat="1" ht="15.65" thickBot="1">
      <c r="A5" s="148" t="s">
        <v>170</v>
      </c>
      <c r="B5" s="148"/>
      <c r="C5" s="148"/>
      <c r="D5" s="148"/>
      <c r="E5" s="148"/>
      <c r="F5" s="148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216"/>
      <c r="R5" s="216"/>
      <c r="S5" s="217" t="s">
        <v>293</v>
      </c>
    </row>
    <row r="6" spans="1:22" s="124" customFormat="1" ht="14.4" customHeight="1">
      <c r="A6" s="183" t="s">
        <v>280</v>
      </c>
      <c r="B6" s="186" t="s">
        <v>288</v>
      </c>
      <c r="C6" s="169" t="s">
        <v>284</v>
      </c>
      <c r="D6" s="182"/>
      <c r="E6" s="192" t="s">
        <v>285</v>
      </c>
      <c r="F6" s="193"/>
      <c r="G6" s="169" t="s">
        <v>286</v>
      </c>
      <c r="H6" s="172"/>
      <c r="I6" s="169" t="s">
        <v>276</v>
      </c>
      <c r="J6" s="190"/>
      <c r="K6" s="190"/>
      <c r="L6" s="182"/>
      <c r="M6" s="169" t="s">
        <v>291</v>
      </c>
      <c r="N6" s="182"/>
      <c r="O6" s="169" t="s">
        <v>292</v>
      </c>
      <c r="P6" s="190"/>
      <c r="Q6" s="219" t="s">
        <v>171</v>
      </c>
      <c r="R6" s="177"/>
      <c r="S6" s="177"/>
      <c r="T6" s="231"/>
      <c r="U6" s="232"/>
      <c r="V6" s="232"/>
    </row>
    <row r="7" spans="1:22" s="124" customFormat="1" ht="10.199999999999999" customHeight="1">
      <c r="A7" s="184"/>
      <c r="B7" s="187"/>
      <c r="C7" s="170"/>
      <c r="D7" s="181"/>
      <c r="E7" s="194"/>
      <c r="F7" s="195"/>
      <c r="G7" s="173"/>
      <c r="H7" s="174"/>
      <c r="I7" s="171"/>
      <c r="J7" s="191"/>
      <c r="K7" s="191"/>
      <c r="L7" s="180"/>
      <c r="M7" s="170"/>
      <c r="N7" s="181"/>
      <c r="O7" s="170"/>
      <c r="P7" s="213"/>
      <c r="Q7" s="188"/>
      <c r="R7" s="178"/>
      <c r="S7" s="178"/>
      <c r="T7" s="232"/>
      <c r="U7" s="232"/>
      <c r="V7" s="232"/>
    </row>
    <row r="8" spans="1:22" s="124" customFormat="1" ht="67.650000000000006" customHeight="1">
      <c r="A8" s="184"/>
      <c r="B8" s="188"/>
      <c r="C8" s="171"/>
      <c r="D8" s="180"/>
      <c r="E8" s="196"/>
      <c r="F8" s="197"/>
      <c r="G8" s="175"/>
      <c r="H8" s="176"/>
      <c r="I8" s="171" t="s">
        <v>290</v>
      </c>
      <c r="J8" s="180"/>
      <c r="K8" s="171" t="s">
        <v>287</v>
      </c>
      <c r="L8" s="181"/>
      <c r="M8" s="171"/>
      <c r="N8" s="180"/>
      <c r="O8" s="171"/>
      <c r="P8" s="191"/>
      <c r="Q8" s="188"/>
      <c r="R8" s="178"/>
      <c r="S8" s="178"/>
      <c r="T8" s="232"/>
      <c r="U8" s="232"/>
      <c r="V8" s="232"/>
    </row>
    <row r="9" spans="1:22" s="124" customFormat="1" ht="15.05">
      <c r="A9" s="185"/>
      <c r="B9" s="189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7">
        <v>1</v>
      </c>
      <c r="L9" s="126">
        <v>2</v>
      </c>
      <c r="M9" s="128">
        <v>1</v>
      </c>
      <c r="N9" s="126">
        <v>2</v>
      </c>
      <c r="O9" s="126">
        <v>1</v>
      </c>
      <c r="P9" s="127">
        <v>2</v>
      </c>
      <c r="Q9" s="220"/>
      <c r="R9" s="179"/>
      <c r="S9" s="179"/>
      <c r="T9" s="232"/>
      <c r="U9" s="232"/>
      <c r="V9" s="232"/>
    </row>
    <row r="10" spans="1:22" s="124" customFormat="1" ht="15.05">
      <c r="A10" s="199" t="s">
        <v>172</v>
      </c>
      <c r="B10" s="201">
        <f>SUM(B12,B20,B29,B34,B40,B47,B54,B61,B66,B73,B83,B90,B105)</f>
        <v>3058028</v>
      </c>
      <c r="C10" s="165">
        <f>SUM(C12,C20,C29,C34,C40,C47,C54,C61,C66,C73,C83,C90,C105)</f>
        <v>232732</v>
      </c>
      <c r="D10" s="165">
        <f>SUM(D12,D20,D29,D34,D40,D47,D54,D61,D66,D73,D83,D90,D105)</f>
        <v>84769.588999999993</v>
      </c>
      <c r="E10" s="165">
        <f>SUM(E12,E20,E29,E34,E40,E47,E54,E61,E66,E73,E83,E90,E105)</f>
        <v>283620</v>
      </c>
      <c r="F10" s="165">
        <f t="shared" ref="F10:P10" si="0">SUM(F12,F20,F29,F34,F40,F47,F54,F61,F66,F73,F83,F90,F105)</f>
        <v>108333.508</v>
      </c>
      <c r="G10" s="165">
        <f>SUM(G12,G20,G29,G34,G40,G47,G54,G61,G66,G73,G83,G90,G105)</f>
        <v>223930</v>
      </c>
      <c r="H10" s="165">
        <f t="shared" si="0"/>
        <v>92094.618000000002</v>
      </c>
      <c r="I10" s="165">
        <f t="shared" si="0"/>
        <v>1446047</v>
      </c>
      <c r="J10" s="165">
        <f t="shared" si="0"/>
        <v>1663889.2799999998</v>
      </c>
      <c r="K10" s="165">
        <f t="shared" si="0"/>
        <v>366142</v>
      </c>
      <c r="L10" s="165">
        <f t="shared" si="0"/>
        <v>370837.24599999998</v>
      </c>
      <c r="M10" s="165">
        <f t="shared" si="0"/>
        <v>380735</v>
      </c>
      <c r="N10" s="165">
        <f t="shared" si="0"/>
        <v>141844.01100000003</v>
      </c>
      <c r="O10" s="165">
        <f t="shared" si="0"/>
        <v>124822</v>
      </c>
      <c r="P10" s="214">
        <f t="shared" si="0"/>
        <v>52255.078000000009</v>
      </c>
      <c r="Q10" s="221" t="s">
        <v>173</v>
      </c>
      <c r="R10" s="207"/>
      <c r="S10" s="207"/>
      <c r="T10" s="140"/>
      <c r="U10" s="232"/>
      <c r="V10" s="232"/>
    </row>
    <row r="11" spans="1:22" s="124" customFormat="1" ht="10.050000000000001" customHeight="1">
      <c r="A11" s="200"/>
      <c r="B11" s="202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212"/>
      <c r="Q11" s="222"/>
      <c r="R11" s="208"/>
      <c r="S11" s="208"/>
      <c r="T11" s="140"/>
      <c r="U11" s="232"/>
      <c r="V11" s="232"/>
    </row>
    <row r="12" spans="1:22" s="124" customFormat="1" ht="15.05">
      <c r="A12" s="198" t="s">
        <v>174</v>
      </c>
      <c r="B12" s="202">
        <f>SUM(B14:B19)</f>
        <v>429212</v>
      </c>
      <c r="C12" s="166">
        <f>SUM(C14:C19)</f>
        <v>16810</v>
      </c>
      <c r="D12" s="211">
        <f>SUM(D14:D19)</f>
        <v>6137.6289999999999</v>
      </c>
      <c r="E12" s="166">
        <f t="shared" ref="E12:P12" si="1">SUM(E14:E19)</f>
        <v>7451</v>
      </c>
      <c r="F12" s="211">
        <f t="shared" si="1"/>
        <v>2957.09</v>
      </c>
      <c r="G12" s="166">
        <f t="shared" si="1"/>
        <v>15940</v>
      </c>
      <c r="H12" s="211">
        <f t="shared" si="1"/>
        <v>6215.5050000000001</v>
      </c>
      <c r="I12" s="166">
        <f t="shared" si="1"/>
        <v>236743</v>
      </c>
      <c r="J12" s="211">
        <f t="shared" si="1"/>
        <v>278210.78899999999</v>
      </c>
      <c r="K12" s="166">
        <f t="shared" si="1"/>
        <v>65083</v>
      </c>
      <c r="L12" s="211">
        <f t="shared" si="1"/>
        <v>56270.396000000001</v>
      </c>
      <c r="M12" s="166">
        <f t="shared" si="1"/>
        <v>81888</v>
      </c>
      <c r="N12" s="211">
        <f t="shared" si="1"/>
        <v>35671.067999999999</v>
      </c>
      <c r="O12" s="166">
        <f t="shared" si="1"/>
        <v>5297</v>
      </c>
      <c r="P12" s="211">
        <f t="shared" si="1"/>
        <v>1828.54</v>
      </c>
      <c r="Q12" s="223" t="s">
        <v>175</v>
      </c>
      <c r="R12" s="209"/>
      <c r="S12" s="209"/>
      <c r="T12" s="150"/>
      <c r="U12" s="232"/>
      <c r="V12" s="232"/>
    </row>
    <row r="13" spans="1:22" s="124" customFormat="1" ht="15.05">
      <c r="A13" s="198"/>
      <c r="B13" s="202"/>
      <c r="C13" s="166"/>
      <c r="D13" s="211"/>
      <c r="E13" s="166"/>
      <c r="F13" s="211"/>
      <c r="G13" s="166"/>
      <c r="H13" s="211"/>
      <c r="I13" s="166"/>
      <c r="J13" s="211"/>
      <c r="K13" s="166"/>
      <c r="L13" s="211"/>
      <c r="M13" s="166"/>
      <c r="N13" s="211"/>
      <c r="O13" s="166"/>
      <c r="P13" s="211"/>
      <c r="Q13" s="223"/>
      <c r="R13" s="209"/>
      <c r="S13" s="209"/>
      <c r="T13" s="150"/>
      <c r="U13" s="232"/>
      <c r="V13" s="232"/>
    </row>
    <row r="14" spans="1:22" s="124" customFormat="1" ht="15.05">
      <c r="A14" s="129" t="s">
        <v>1</v>
      </c>
      <c r="B14" s="130">
        <f>SUM(C14,E14,G14,I14,K14,M14,O14)</f>
        <v>84770</v>
      </c>
      <c r="C14" s="131">
        <v>2455</v>
      </c>
      <c r="D14" s="132">
        <v>1098.2660000000001</v>
      </c>
      <c r="E14" s="131">
        <v>1342</v>
      </c>
      <c r="F14" s="132">
        <v>524.78</v>
      </c>
      <c r="G14" s="131">
        <v>3083</v>
      </c>
      <c r="H14" s="132">
        <v>1222.1500000000001</v>
      </c>
      <c r="I14" s="131">
        <v>18794</v>
      </c>
      <c r="J14" s="132">
        <v>15723.486000000001</v>
      </c>
      <c r="K14" s="131">
        <v>27031</v>
      </c>
      <c r="L14" s="132">
        <v>17980.224999999999</v>
      </c>
      <c r="M14" s="131">
        <v>31534</v>
      </c>
      <c r="N14" s="132">
        <v>14845.998</v>
      </c>
      <c r="O14" s="131">
        <v>531</v>
      </c>
      <c r="P14" s="132">
        <v>157.80000000000001</v>
      </c>
      <c r="Q14" s="224" t="s">
        <v>176</v>
      </c>
      <c r="R14" s="140"/>
      <c r="S14" s="140"/>
      <c r="T14" s="140"/>
      <c r="U14" s="232"/>
      <c r="V14" s="232"/>
    </row>
    <row r="15" spans="1:22" s="124" customFormat="1" ht="15.05">
      <c r="A15" s="129" t="s">
        <v>4</v>
      </c>
      <c r="B15" s="130">
        <f t="shared" ref="B15:B19" si="2">SUM(C15,E15,G15,I15,K15,M15,O15)</f>
        <v>63145</v>
      </c>
      <c r="C15" s="131">
        <v>3556</v>
      </c>
      <c r="D15" s="132">
        <v>1777.28</v>
      </c>
      <c r="E15" s="131">
        <v>3251</v>
      </c>
      <c r="F15" s="132">
        <v>1232.2560000000001</v>
      </c>
      <c r="G15" s="131">
        <v>2936</v>
      </c>
      <c r="H15" s="132">
        <v>1375.71</v>
      </c>
      <c r="I15" s="131">
        <v>29222</v>
      </c>
      <c r="J15" s="132">
        <v>28784.46</v>
      </c>
      <c r="K15" s="131">
        <v>10046</v>
      </c>
      <c r="L15" s="132">
        <v>10761.4</v>
      </c>
      <c r="M15" s="131">
        <v>13942</v>
      </c>
      <c r="N15" s="132">
        <v>4316.47</v>
      </c>
      <c r="O15" s="131">
        <v>192</v>
      </c>
      <c r="P15" s="132">
        <v>60.7</v>
      </c>
      <c r="Q15" s="224" t="s">
        <v>177</v>
      </c>
      <c r="R15" s="140"/>
      <c r="S15" s="140"/>
      <c r="T15" s="140"/>
      <c r="U15" s="232"/>
      <c r="V15" s="232"/>
    </row>
    <row r="16" spans="1:22" s="124" customFormat="1" ht="15.05">
      <c r="A16" s="129" t="s">
        <v>6</v>
      </c>
      <c r="B16" s="130">
        <f t="shared" si="2"/>
        <v>196786</v>
      </c>
      <c r="C16" s="131">
        <v>5307</v>
      </c>
      <c r="D16" s="132">
        <v>1519.73</v>
      </c>
      <c r="E16" s="131">
        <v>213</v>
      </c>
      <c r="F16" s="132">
        <v>56.73</v>
      </c>
      <c r="G16" s="131">
        <v>5595</v>
      </c>
      <c r="H16" s="132">
        <v>1933.74</v>
      </c>
      <c r="I16" s="131">
        <v>150328</v>
      </c>
      <c r="J16" s="132">
        <v>192213.24</v>
      </c>
      <c r="K16" s="131">
        <v>3489</v>
      </c>
      <c r="L16" s="132">
        <v>3607.39</v>
      </c>
      <c r="M16" s="131">
        <v>29711</v>
      </c>
      <c r="N16" s="132">
        <v>14061.3</v>
      </c>
      <c r="O16" s="131">
        <v>2143</v>
      </c>
      <c r="P16" s="132">
        <v>523.37800000000004</v>
      </c>
      <c r="Q16" s="224" t="s">
        <v>178</v>
      </c>
      <c r="R16" s="140"/>
      <c r="S16" s="140"/>
      <c r="T16" s="140"/>
      <c r="U16" s="232"/>
      <c r="V16" s="232"/>
    </row>
    <row r="17" spans="1:22" s="124" customFormat="1" ht="15.05">
      <c r="A17" s="129" t="s">
        <v>9</v>
      </c>
      <c r="B17" s="130">
        <f t="shared" si="2"/>
        <v>743</v>
      </c>
      <c r="C17" s="131">
        <v>60</v>
      </c>
      <c r="D17" s="132">
        <v>18</v>
      </c>
      <c r="E17" s="131">
        <v>10</v>
      </c>
      <c r="F17" s="132">
        <v>4</v>
      </c>
      <c r="G17" s="131">
        <v>6</v>
      </c>
      <c r="H17" s="132">
        <v>3</v>
      </c>
      <c r="I17" s="131">
        <v>86</v>
      </c>
      <c r="J17" s="132">
        <v>94.3</v>
      </c>
      <c r="K17" s="131">
        <v>1</v>
      </c>
      <c r="L17" s="132">
        <v>1</v>
      </c>
      <c r="M17" s="131">
        <v>572</v>
      </c>
      <c r="N17" s="132">
        <v>231.2</v>
      </c>
      <c r="O17" s="131">
        <v>8</v>
      </c>
      <c r="P17" s="132">
        <v>4</v>
      </c>
      <c r="Q17" s="224" t="s">
        <v>179</v>
      </c>
      <c r="R17" s="140"/>
      <c r="S17" s="140"/>
      <c r="T17" s="140"/>
      <c r="U17" s="232"/>
      <c r="V17" s="232"/>
    </row>
    <row r="18" spans="1:22" s="124" customFormat="1" ht="15.05">
      <c r="A18" s="129" t="s">
        <v>12</v>
      </c>
      <c r="B18" s="130">
        <f t="shared" si="2"/>
        <v>19098</v>
      </c>
      <c r="C18" s="131">
        <v>556</v>
      </c>
      <c r="D18" s="132">
        <v>137.58000000000001</v>
      </c>
      <c r="E18" s="131">
        <v>213</v>
      </c>
      <c r="F18" s="132">
        <v>181.38</v>
      </c>
      <c r="G18" s="131">
        <v>367</v>
      </c>
      <c r="H18" s="132">
        <v>207.5</v>
      </c>
      <c r="I18" s="131">
        <v>4531</v>
      </c>
      <c r="J18" s="132">
        <v>5735.2</v>
      </c>
      <c r="K18" s="131">
        <v>9532</v>
      </c>
      <c r="L18" s="132">
        <v>11074.69</v>
      </c>
      <c r="M18" s="131">
        <v>2679</v>
      </c>
      <c r="N18" s="132">
        <v>1120.3</v>
      </c>
      <c r="O18" s="131">
        <v>1220</v>
      </c>
      <c r="P18" s="132">
        <v>807.7</v>
      </c>
      <c r="Q18" s="224" t="s">
        <v>180</v>
      </c>
      <c r="R18" s="140"/>
      <c r="S18" s="140"/>
      <c r="T18" s="140"/>
      <c r="U18" s="232"/>
      <c r="V18" s="232"/>
    </row>
    <row r="19" spans="1:22" s="124" customFormat="1" ht="15.05">
      <c r="A19" s="129" t="s">
        <v>14</v>
      </c>
      <c r="B19" s="130">
        <f t="shared" si="2"/>
        <v>64670</v>
      </c>
      <c r="C19" s="131">
        <v>4876</v>
      </c>
      <c r="D19" s="132">
        <v>1586.7729999999999</v>
      </c>
      <c r="E19" s="131">
        <v>2422</v>
      </c>
      <c r="F19" s="132">
        <v>957.94399999999996</v>
      </c>
      <c r="G19" s="131">
        <v>3953</v>
      </c>
      <c r="H19" s="132">
        <v>1473.405</v>
      </c>
      <c r="I19" s="131">
        <v>33782</v>
      </c>
      <c r="J19" s="132">
        <v>35660.103000000003</v>
      </c>
      <c r="K19" s="131">
        <v>14984</v>
      </c>
      <c r="L19" s="132">
        <v>12845.691000000001</v>
      </c>
      <c r="M19" s="131">
        <v>3450</v>
      </c>
      <c r="N19" s="132">
        <v>1095.8</v>
      </c>
      <c r="O19" s="131">
        <v>1203</v>
      </c>
      <c r="P19" s="132">
        <v>274.96199999999999</v>
      </c>
      <c r="Q19" s="224" t="s">
        <v>181</v>
      </c>
      <c r="R19" s="140"/>
      <c r="S19" s="140"/>
      <c r="T19" s="140"/>
      <c r="U19" s="232"/>
      <c r="V19" s="232"/>
    </row>
    <row r="20" spans="1:22" s="124" customFormat="1" ht="15.05">
      <c r="A20" s="167" t="s">
        <v>182</v>
      </c>
      <c r="B20" s="168">
        <f t="shared" ref="B20:G20" si="3">SUM(B22:B28)</f>
        <v>531193</v>
      </c>
      <c r="C20" s="166">
        <f t="shared" si="3"/>
        <v>31376</v>
      </c>
      <c r="D20" s="166">
        <f>SUM(D22:D28)</f>
        <v>10134.418</v>
      </c>
      <c r="E20" s="166">
        <f t="shared" si="3"/>
        <v>18724</v>
      </c>
      <c r="F20" s="166">
        <f t="shared" si="3"/>
        <v>5947.7960000000003</v>
      </c>
      <c r="G20" s="166">
        <f t="shared" si="3"/>
        <v>75677</v>
      </c>
      <c r="H20" s="166">
        <f t="shared" ref="H20:P20" si="4">SUM(H22:H28)</f>
        <v>27756.716</v>
      </c>
      <c r="I20" s="166">
        <f t="shared" si="4"/>
        <v>290009</v>
      </c>
      <c r="J20" s="166">
        <f t="shared" si="4"/>
        <v>324326.12199999997</v>
      </c>
      <c r="K20" s="166">
        <f t="shared" si="4"/>
        <v>76631</v>
      </c>
      <c r="L20" s="166">
        <f t="shared" si="4"/>
        <v>79039.073000000004</v>
      </c>
      <c r="M20" s="166">
        <f t="shared" si="4"/>
        <v>5984</v>
      </c>
      <c r="N20" s="166">
        <f t="shared" si="4"/>
        <v>2465.31</v>
      </c>
      <c r="O20" s="166">
        <f t="shared" si="4"/>
        <v>32792</v>
      </c>
      <c r="P20" s="212">
        <f t="shared" si="4"/>
        <v>12017.829000000002</v>
      </c>
      <c r="Q20" s="225" t="s">
        <v>183</v>
      </c>
      <c r="R20" s="210"/>
      <c r="S20" s="210"/>
      <c r="T20" s="140"/>
      <c r="U20" s="232"/>
      <c r="V20" s="232"/>
    </row>
    <row r="21" spans="1:22" s="124" customFormat="1" ht="15.05">
      <c r="A21" s="167"/>
      <c r="B21" s="168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212"/>
      <c r="Q21" s="225"/>
      <c r="R21" s="210"/>
      <c r="S21" s="210"/>
      <c r="T21" s="140"/>
      <c r="U21" s="232"/>
      <c r="V21" s="232"/>
    </row>
    <row r="22" spans="1:22" s="124" customFormat="1" ht="15.05">
      <c r="A22" s="129" t="s">
        <v>16</v>
      </c>
      <c r="B22" s="130">
        <f t="shared" ref="B22:B33" si="5">SUM(C22,E22,G22,I22,K22,M22,O22)</f>
        <v>127588</v>
      </c>
      <c r="C22" s="131">
        <v>9232</v>
      </c>
      <c r="D22" s="132">
        <v>2536.34</v>
      </c>
      <c r="E22" s="131">
        <v>6276</v>
      </c>
      <c r="F22" s="132">
        <v>1813.0319999999999</v>
      </c>
      <c r="G22" s="131">
        <v>33196</v>
      </c>
      <c r="H22" s="132">
        <v>10073.921</v>
      </c>
      <c r="I22" s="131">
        <v>56174</v>
      </c>
      <c r="J22" s="132">
        <v>53154.612000000001</v>
      </c>
      <c r="K22" s="131">
        <v>13160</v>
      </c>
      <c r="L22" s="132">
        <v>8483.0229999999992</v>
      </c>
      <c r="M22" s="131">
        <v>790</v>
      </c>
      <c r="N22" s="132">
        <v>157.36000000000001</v>
      </c>
      <c r="O22" s="131">
        <v>8760</v>
      </c>
      <c r="P22" s="132">
        <v>2262.5239999999999</v>
      </c>
      <c r="Q22" s="224" t="s">
        <v>184</v>
      </c>
      <c r="R22" s="140"/>
      <c r="S22" s="140"/>
      <c r="T22" s="140"/>
      <c r="U22" s="232"/>
      <c r="V22" s="232"/>
    </row>
    <row r="23" spans="1:22" s="124" customFormat="1" ht="15.05">
      <c r="A23" s="129" t="s">
        <v>18</v>
      </c>
      <c r="B23" s="130">
        <f t="shared" si="5"/>
        <v>16423</v>
      </c>
      <c r="C23" s="131">
        <v>984</v>
      </c>
      <c r="D23" s="132">
        <v>333.6</v>
      </c>
      <c r="E23" s="131">
        <v>126</v>
      </c>
      <c r="F23" s="132">
        <v>37.799999999999997</v>
      </c>
      <c r="G23" s="131">
        <v>517</v>
      </c>
      <c r="H23" s="132">
        <v>188.75</v>
      </c>
      <c r="I23" s="131">
        <v>4373</v>
      </c>
      <c r="J23" s="132">
        <v>3783.95</v>
      </c>
      <c r="K23" s="131">
        <v>8573</v>
      </c>
      <c r="L23" s="132">
        <v>8094.26</v>
      </c>
      <c r="M23" s="131">
        <v>1589</v>
      </c>
      <c r="N23" s="132">
        <v>494.3</v>
      </c>
      <c r="O23" s="131">
        <v>261</v>
      </c>
      <c r="P23" s="132">
        <v>89.8</v>
      </c>
      <c r="Q23" s="224" t="s">
        <v>185</v>
      </c>
      <c r="R23" s="140"/>
      <c r="S23" s="140"/>
      <c r="T23" s="140"/>
      <c r="U23" s="232"/>
      <c r="V23" s="232"/>
    </row>
    <row r="24" spans="1:22" s="124" customFormat="1" ht="15.05">
      <c r="A24" s="129" t="s">
        <v>20</v>
      </c>
      <c r="B24" s="130">
        <f t="shared" si="5"/>
        <v>88175</v>
      </c>
      <c r="C24" s="131">
        <v>5248</v>
      </c>
      <c r="D24" s="132">
        <v>1661.71</v>
      </c>
      <c r="E24" s="131">
        <v>2808</v>
      </c>
      <c r="F24" s="132">
        <v>878.92</v>
      </c>
      <c r="G24" s="131">
        <v>9380</v>
      </c>
      <c r="H24" s="132">
        <v>2938.7</v>
      </c>
      <c r="I24" s="131">
        <v>52814</v>
      </c>
      <c r="J24" s="132">
        <v>53601.8</v>
      </c>
      <c r="K24" s="131">
        <v>8863</v>
      </c>
      <c r="L24" s="132">
        <v>8541.36</v>
      </c>
      <c r="M24" s="131">
        <v>556</v>
      </c>
      <c r="N24" s="132">
        <v>214.32</v>
      </c>
      <c r="O24" s="131">
        <v>8506</v>
      </c>
      <c r="P24" s="132">
        <v>3256.67</v>
      </c>
      <c r="Q24" s="224" t="s">
        <v>186</v>
      </c>
      <c r="R24" s="140"/>
      <c r="S24" s="140"/>
      <c r="T24" s="140"/>
      <c r="U24" s="232"/>
      <c r="V24" s="232"/>
    </row>
    <row r="25" spans="1:22" s="124" customFormat="1" ht="15.05">
      <c r="A25" s="129" t="s">
        <v>22</v>
      </c>
      <c r="B25" s="130">
        <f t="shared" si="5"/>
        <v>53817</v>
      </c>
      <c r="C25" s="131">
        <v>2351</v>
      </c>
      <c r="D25" s="132">
        <v>961.26499999999999</v>
      </c>
      <c r="E25" s="131">
        <v>1133</v>
      </c>
      <c r="F25" s="132">
        <v>467.57</v>
      </c>
      <c r="G25" s="131">
        <v>3175</v>
      </c>
      <c r="H25" s="132">
        <v>1386.4849999999999</v>
      </c>
      <c r="I25" s="131">
        <v>20518</v>
      </c>
      <c r="J25" s="132">
        <v>27124.668000000001</v>
      </c>
      <c r="K25" s="131">
        <v>25120</v>
      </c>
      <c r="L25" s="132">
        <v>30468.95</v>
      </c>
      <c r="M25" s="131">
        <v>782</v>
      </c>
      <c r="N25" s="132">
        <v>711.25</v>
      </c>
      <c r="O25" s="131">
        <v>738</v>
      </c>
      <c r="P25" s="132">
        <v>320.36</v>
      </c>
      <c r="Q25" s="224" t="s">
        <v>187</v>
      </c>
      <c r="R25" s="140"/>
      <c r="S25" s="140"/>
      <c r="T25" s="140"/>
      <c r="U25" s="232"/>
      <c r="V25" s="232"/>
    </row>
    <row r="26" spans="1:22" s="124" customFormat="1" ht="15.05">
      <c r="A26" s="129" t="s">
        <v>24</v>
      </c>
      <c r="B26" s="130">
        <f t="shared" si="5"/>
        <v>51602</v>
      </c>
      <c r="C26" s="131">
        <v>5707</v>
      </c>
      <c r="D26" s="132">
        <v>2225.4299999999998</v>
      </c>
      <c r="E26" s="131">
        <v>3126</v>
      </c>
      <c r="F26" s="132">
        <v>1374.85</v>
      </c>
      <c r="G26" s="131">
        <v>7754</v>
      </c>
      <c r="H26" s="132">
        <v>3399.07</v>
      </c>
      <c r="I26" s="131">
        <v>31136</v>
      </c>
      <c r="J26" s="132">
        <v>34212.031999999999</v>
      </c>
      <c r="K26" s="131">
        <v>307</v>
      </c>
      <c r="L26" s="132">
        <v>307</v>
      </c>
      <c r="M26" s="131">
        <v>527</v>
      </c>
      <c r="N26" s="132">
        <v>236.3</v>
      </c>
      <c r="O26" s="131">
        <v>3045</v>
      </c>
      <c r="P26" s="132">
        <v>1122.06</v>
      </c>
      <c r="Q26" s="224" t="s">
        <v>188</v>
      </c>
      <c r="R26" s="140"/>
      <c r="S26" s="140"/>
      <c r="T26" s="140"/>
      <c r="U26" s="232"/>
      <c r="V26" s="232"/>
    </row>
    <row r="27" spans="1:22" s="124" customFormat="1" ht="15.05">
      <c r="A27" s="129" t="s">
        <v>27</v>
      </c>
      <c r="B27" s="130">
        <f t="shared" si="5"/>
        <v>149947</v>
      </c>
      <c r="C27" s="131">
        <v>2726</v>
      </c>
      <c r="D27" s="132">
        <v>845.9</v>
      </c>
      <c r="E27" s="131">
        <v>325</v>
      </c>
      <c r="F27" s="132">
        <v>122.84</v>
      </c>
      <c r="G27" s="131">
        <v>6046</v>
      </c>
      <c r="H27" s="132">
        <v>3815.4</v>
      </c>
      <c r="I27" s="131">
        <v>117795</v>
      </c>
      <c r="J27" s="132">
        <v>147966.9</v>
      </c>
      <c r="K27" s="131">
        <v>16300</v>
      </c>
      <c r="L27" s="132">
        <v>19734.669999999998</v>
      </c>
      <c r="M27" s="131">
        <v>1706</v>
      </c>
      <c r="N27" s="132">
        <v>637.78</v>
      </c>
      <c r="O27" s="131">
        <v>5049</v>
      </c>
      <c r="P27" s="132">
        <v>3007.28</v>
      </c>
      <c r="Q27" s="224" t="s">
        <v>189</v>
      </c>
      <c r="R27" s="140"/>
      <c r="S27" s="140"/>
      <c r="T27" s="140"/>
      <c r="U27" s="232"/>
      <c r="V27" s="232"/>
    </row>
    <row r="28" spans="1:22" s="124" customFormat="1" ht="15.05">
      <c r="A28" s="129" t="s">
        <v>29</v>
      </c>
      <c r="B28" s="130">
        <f t="shared" si="5"/>
        <v>43641</v>
      </c>
      <c r="C28" s="131">
        <v>5128</v>
      </c>
      <c r="D28" s="132">
        <v>1570.173</v>
      </c>
      <c r="E28" s="131">
        <v>4930</v>
      </c>
      <c r="F28" s="132">
        <v>1252.7840000000001</v>
      </c>
      <c r="G28" s="131">
        <v>15609</v>
      </c>
      <c r="H28" s="132">
        <v>5954.39</v>
      </c>
      <c r="I28" s="131">
        <v>7199</v>
      </c>
      <c r="J28" s="132">
        <v>4482.16</v>
      </c>
      <c r="K28" s="131">
        <v>4308</v>
      </c>
      <c r="L28" s="132">
        <v>3409.81</v>
      </c>
      <c r="M28" s="131">
        <v>34</v>
      </c>
      <c r="N28" s="132">
        <v>14</v>
      </c>
      <c r="O28" s="131">
        <v>6433</v>
      </c>
      <c r="P28" s="132">
        <v>1959.135</v>
      </c>
      <c r="Q28" s="224" t="s">
        <v>190</v>
      </c>
      <c r="R28" s="140"/>
      <c r="S28" s="140"/>
      <c r="T28" s="140"/>
      <c r="U28" s="232"/>
      <c r="V28" s="232"/>
    </row>
    <row r="29" spans="1:22" s="136" customFormat="1" ht="19.899999999999999" customHeight="1">
      <c r="A29" s="133" t="s">
        <v>282</v>
      </c>
      <c r="B29" s="134">
        <f>SUM(B30:B33)</f>
        <v>347934</v>
      </c>
      <c r="C29" s="135">
        <f>SUM(C30:C33)</f>
        <v>17534</v>
      </c>
      <c r="D29" s="135">
        <f t="shared" ref="D29:P29" si="6">SUM(D30:D33)</f>
        <v>7766.8430000000008</v>
      </c>
      <c r="E29" s="135">
        <f t="shared" si="6"/>
        <v>3311</v>
      </c>
      <c r="F29" s="135">
        <f t="shared" si="6"/>
        <v>1290.0519999999999</v>
      </c>
      <c r="G29" s="135">
        <f t="shared" si="6"/>
        <v>11301</v>
      </c>
      <c r="H29" s="135">
        <f t="shared" si="6"/>
        <v>4451.2640000000001</v>
      </c>
      <c r="I29" s="135">
        <f t="shared" si="6"/>
        <v>164197</v>
      </c>
      <c r="J29" s="135">
        <f t="shared" si="6"/>
        <v>161310.402</v>
      </c>
      <c r="K29" s="135">
        <f t="shared" si="6"/>
        <v>31109</v>
      </c>
      <c r="L29" s="135">
        <f t="shared" si="6"/>
        <v>26053.322</v>
      </c>
      <c r="M29" s="135">
        <f t="shared" si="6"/>
        <v>110315</v>
      </c>
      <c r="N29" s="135">
        <f t="shared" si="6"/>
        <v>46643.130000000005</v>
      </c>
      <c r="O29" s="135">
        <f t="shared" si="6"/>
        <v>10167</v>
      </c>
      <c r="P29" s="215">
        <f t="shared" si="6"/>
        <v>4637.0119999999997</v>
      </c>
      <c r="Q29" s="226" t="s">
        <v>283</v>
      </c>
      <c r="R29" s="149"/>
      <c r="S29" s="149"/>
      <c r="T29" s="149"/>
      <c r="U29" s="149"/>
      <c r="V29" s="149"/>
    </row>
    <row r="30" spans="1:22" s="124" customFormat="1" ht="15.05">
      <c r="A30" s="129" t="s">
        <v>31</v>
      </c>
      <c r="B30" s="130">
        <f t="shared" si="5"/>
        <v>97779</v>
      </c>
      <c r="C30" s="131">
        <v>3443</v>
      </c>
      <c r="D30" s="132">
        <v>983.35900000000004</v>
      </c>
      <c r="E30" s="131">
        <v>1098</v>
      </c>
      <c r="F30" s="132">
        <v>241.482</v>
      </c>
      <c r="G30" s="131">
        <v>8726</v>
      </c>
      <c r="H30" s="132">
        <v>3275.9160000000002</v>
      </c>
      <c r="I30" s="131">
        <v>56300</v>
      </c>
      <c r="J30" s="132">
        <v>58880.546000000002</v>
      </c>
      <c r="K30" s="131">
        <v>11661</v>
      </c>
      <c r="L30" s="132">
        <v>11707.242</v>
      </c>
      <c r="M30" s="131">
        <v>14697</v>
      </c>
      <c r="N30" s="132">
        <v>5164.585</v>
      </c>
      <c r="O30" s="131">
        <v>1854</v>
      </c>
      <c r="P30" s="132">
        <v>720.88900000000001</v>
      </c>
      <c r="Q30" s="224" t="s">
        <v>191</v>
      </c>
      <c r="R30" s="140"/>
      <c r="S30" s="140"/>
      <c r="T30" s="140"/>
      <c r="U30" s="232"/>
      <c r="V30" s="232"/>
    </row>
    <row r="31" spans="1:22" s="124" customFormat="1" ht="15.05">
      <c r="A31" s="129" t="s">
        <v>33</v>
      </c>
      <c r="B31" s="130">
        <f t="shared" si="5"/>
        <v>69688</v>
      </c>
      <c r="C31" s="131">
        <v>1494</v>
      </c>
      <c r="D31" s="132">
        <v>850.97</v>
      </c>
      <c r="E31" s="131">
        <v>1971</v>
      </c>
      <c r="F31" s="132">
        <v>957</v>
      </c>
      <c r="G31" s="131">
        <v>1116</v>
      </c>
      <c r="H31" s="132">
        <v>437.58</v>
      </c>
      <c r="I31" s="131">
        <v>43755</v>
      </c>
      <c r="J31" s="132">
        <v>39571.732000000004</v>
      </c>
      <c r="K31" s="131">
        <v>2370</v>
      </c>
      <c r="L31" s="132">
        <v>803.3</v>
      </c>
      <c r="M31" s="131">
        <v>15295</v>
      </c>
      <c r="N31" s="132">
        <v>3354.15</v>
      </c>
      <c r="O31" s="131">
        <v>3687</v>
      </c>
      <c r="P31" s="132">
        <v>1676.482</v>
      </c>
      <c r="Q31" s="224" t="s">
        <v>192</v>
      </c>
      <c r="R31" s="140"/>
      <c r="S31" s="140"/>
      <c r="T31" s="140"/>
      <c r="U31" s="232"/>
      <c r="V31" s="232"/>
    </row>
    <row r="32" spans="1:22" s="124" customFormat="1" ht="15.05">
      <c r="A32" s="129" t="s">
        <v>35</v>
      </c>
      <c r="B32" s="130">
        <f t="shared" si="5"/>
        <v>63536</v>
      </c>
      <c r="C32" s="131">
        <v>675</v>
      </c>
      <c r="D32" s="132">
        <v>315.09399999999999</v>
      </c>
      <c r="E32" s="131">
        <v>232</v>
      </c>
      <c r="F32" s="132">
        <v>86.57</v>
      </c>
      <c r="G32" s="131">
        <v>192</v>
      </c>
      <c r="H32" s="132">
        <v>83.507999999999996</v>
      </c>
      <c r="I32" s="131">
        <v>13003</v>
      </c>
      <c r="J32" s="132">
        <v>10184.35</v>
      </c>
      <c r="K32" s="131">
        <v>13908</v>
      </c>
      <c r="L32" s="132">
        <v>10575.008</v>
      </c>
      <c r="M32" s="131">
        <v>31425</v>
      </c>
      <c r="N32" s="132">
        <v>12572.968000000001</v>
      </c>
      <c r="O32" s="131">
        <v>4101</v>
      </c>
      <c r="P32" s="132">
        <v>2029.5909999999999</v>
      </c>
      <c r="Q32" s="224" t="s">
        <v>193</v>
      </c>
      <c r="R32" s="140"/>
      <c r="S32" s="140"/>
      <c r="T32" s="140"/>
      <c r="U32" s="232"/>
      <c r="V32" s="232"/>
    </row>
    <row r="33" spans="1:22" s="124" customFormat="1" ht="15.05">
      <c r="A33" s="129" t="s">
        <v>37</v>
      </c>
      <c r="B33" s="130">
        <f t="shared" si="5"/>
        <v>116931</v>
      </c>
      <c r="C33" s="131">
        <v>11922</v>
      </c>
      <c r="D33" s="132">
        <v>5617.42</v>
      </c>
      <c r="E33" s="131">
        <v>10</v>
      </c>
      <c r="F33" s="132">
        <v>5</v>
      </c>
      <c r="G33" s="131">
        <v>1267</v>
      </c>
      <c r="H33" s="132">
        <v>654.26</v>
      </c>
      <c r="I33" s="131">
        <v>51139</v>
      </c>
      <c r="J33" s="132">
        <v>52673.773999999998</v>
      </c>
      <c r="K33" s="131">
        <v>3170</v>
      </c>
      <c r="L33" s="132">
        <v>2967.7719999999999</v>
      </c>
      <c r="M33" s="131">
        <v>48898</v>
      </c>
      <c r="N33" s="132">
        <v>25551.427</v>
      </c>
      <c r="O33" s="131">
        <v>525</v>
      </c>
      <c r="P33" s="132">
        <v>210.05</v>
      </c>
      <c r="Q33" s="224" t="s">
        <v>194</v>
      </c>
      <c r="R33" s="140"/>
      <c r="S33" s="140"/>
      <c r="T33" s="140"/>
      <c r="U33" s="232"/>
      <c r="V33" s="232"/>
    </row>
    <row r="34" spans="1:22" s="124" customFormat="1" ht="15.05">
      <c r="A34" s="167" t="s">
        <v>195</v>
      </c>
      <c r="B34" s="168">
        <f>SUM(B36:B39)</f>
        <v>195442</v>
      </c>
      <c r="C34" s="166">
        <f>SUM(C36:C39)</f>
        <v>451</v>
      </c>
      <c r="D34" s="166">
        <f t="shared" ref="D34:P34" si="7">SUM(D36:D39)</f>
        <v>174.36999999999998</v>
      </c>
      <c r="E34" s="166">
        <f t="shared" si="7"/>
        <v>4766</v>
      </c>
      <c r="F34" s="166">
        <f t="shared" si="7"/>
        <v>1941.65</v>
      </c>
      <c r="G34" s="203">
        <f t="shared" si="7"/>
        <v>788</v>
      </c>
      <c r="H34" s="166">
        <f t="shared" si="7"/>
        <v>479.17999999999995</v>
      </c>
      <c r="I34" s="166">
        <f t="shared" si="7"/>
        <v>75668</v>
      </c>
      <c r="J34" s="166">
        <f t="shared" si="7"/>
        <v>80423.388999999996</v>
      </c>
      <c r="K34" s="166">
        <f t="shared" si="7"/>
        <v>41641</v>
      </c>
      <c r="L34" s="166">
        <f t="shared" si="7"/>
        <v>42823.380000000005</v>
      </c>
      <c r="M34" s="166">
        <f t="shared" si="7"/>
        <v>69823</v>
      </c>
      <c r="N34" s="166">
        <f t="shared" si="7"/>
        <v>23014.183000000001</v>
      </c>
      <c r="O34" s="166">
        <f t="shared" si="7"/>
        <v>2305</v>
      </c>
      <c r="P34" s="212">
        <f t="shared" si="7"/>
        <v>677.73</v>
      </c>
      <c r="Q34" s="227" t="s">
        <v>196</v>
      </c>
      <c r="R34" s="205"/>
      <c r="S34" s="205"/>
      <c r="T34" s="140"/>
      <c r="U34" s="232"/>
      <c r="V34" s="232"/>
    </row>
    <row r="35" spans="1:22" s="124" customFormat="1" ht="15.05">
      <c r="A35" s="167"/>
      <c r="B35" s="168"/>
      <c r="C35" s="166"/>
      <c r="D35" s="166"/>
      <c r="E35" s="166"/>
      <c r="F35" s="166"/>
      <c r="G35" s="203"/>
      <c r="H35" s="166"/>
      <c r="I35" s="166"/>
      <c r="J35" s="166"/>
      <c r="K35" s="166"/>
      <c r="L35" s="166"/>
      <c r="M35" s="166"/>
      <c r="N35" s="166"/>
      <c r="O35" s="166"/>
      <c r="P35" s="212"/>
      <c r="Q35" s="227"/>
      <c r="R35" s="205"/>
      <c r="S35" s="205"/>
      <c r="T35" s="140"/>
      <c r="U35" s="232"/>
      <c r="V35" s="232"/>
    </row>
    <row r="36" spans="1:22" s="124" customFormat="1" ht="15.05">
      <c r="A36" s="129" t="s">
        <v>39</v>
      </c>
      <c r="B36" s="130">
        <f>SUM(C36,E36,G36,I36,K36,M36,O36)</f>
        <v>67197</v>
      </c>
      <c r="C36" s="131">
        <v>28</v>
      </c>
      <c r="D36" s="132">
        <v>11.1</v>
      </c>
      <c r="E36" s="131">
        <v>300</v>
      </c>
      <c r="F36" s="132">
        <v>120.7</v>
      </c>
      <c r="G36" s="131">
        <v>135</v>
      </c>
      <c r="H36" s="132">
        <v>60.94</v>
      </c>
      <c r="I36" s="131">
        <v>29800</v>
      </c>
      <c r="J36" s="132">
        <v>28891.429</v>
      </c>
      <c r="K36" s="131">
        <v>2756</v>
      </c>
      <c r="L36" s="132">
        <v>2138.0500000000002</v>
      </c>
      <c r="M36" s="131">
        <v>33553</v>
      </c>
      <c r="N36" s="132">
        <v>9332.6880000000001</v>
      </c>
      <c r="O36" s="131">
        <v>625</v>
      </c>
      <c r="P36" s="132">
        <v>209.75</v>
      </c>
      <c r="Q36" s="224" t="s">
        <v>197</v>
      </c>
      <c r="R36" s="140"/>
      <c r="S36" s="140"/>
      <c r="T36" s="140"/>
      <c r="U36" s="232"/>
      <c r="V36" s="232"/>
    </row>
    <row r="37" spans="1:22" s="124" customFormat="1" ht="15.05">
      <c r="A37" s="129" t="s">
        <v>41</v>
      </c>
      <c r="B37" s="130">
        <f>SUM(C37,E37,G37,I37,K37,M37,O37)</f>
        <v>31618</v>
      </c>
      <c r="C37" s="131">
        <v>138</v>
      </c>
      <c r="D37" s="132">
        <v>74.42</v>
      </c>
      <c r="E37" s="131">
        <v>498</v>
      </c>
      <c r="F37" s="132">
        <v>280.38</v>
      </c>
      <c r="G37" s="131">
        <v>123</v>
      </c>
      <c r="H37" s="132">
        <v>58.45</v>
      </c>
      <c r="I37" s="131">
        <v>15365</v>
      </c>
      <c r="J37" s="132">
        <v>14486.06</v>
      </c>
      <c r="K37" s="131">
        <v>10778</v>
      </c>
      <c r="L37" s="132">
        <v>10109.530000000001</v>
      </c>
      <c r="M37" s="131">
        <v>4683</v>
      </c>
      <c r="N37" s="132">
        <v>1418.7349999999999</v>
      </c>
      <c r="O37" s="131">
        <v>33</v>
      </c>
      <c r="P37" s="132">
        <v>17.77</v>
      </c>
      <c r="Q37" s="224" t="s">
        <v>198</v>
      </c>
      <c r="R37" s="140"/>
      <c r="S37" s="140"/>
      <c r="T37" s="140"/>
      <c r="U37" s="232"/>
      <c r="V37" s="232"/>
    </row>
    <row r="38" spans="1:22" s="124" customFormat="1" ht="15.05">
      <c r="A38" s="129" t="s">
        <v>43</v>
      </c>
      <c r="B38" s="130">
        <f>SUM(C38,E38,G38,I38,K38,M38,O38)</f>
        <v>43161</v>
      </c>
      <c r="C38" s="131">
        <v>223</v>
      </c>
      <c r="D38" s="132">
        <v>59</v>
      </c>
      <c r="E38" s="131">
        <v>1360</v>
      </c>
      <c r="F38" s="132">
        <v>624.9</v>
      </c>
      <c r="G38" s="131">
        <v>278</v>
      </c>
      <c r="H38" s="132">
        <v>204.2</v>
      </c>
      <c r="I38" s="131">
        <v>16478</v>
      </c>
      <c r="J38" s="132">
        <v>19513.099999999999</v>
      </c>
      <c r="K38" s="131">
        <v>5609</v>
      </c>
      <c r="L38" s="132">
        <v>5540.7</v>
      </c>
      <c r="M38" s="131">
        <v>17615</v>
      </c>
      <c r="N38" s="132">
        <v>5942.7</v>
      </c>
      <c r="O38" s="131">
        <v>1598</v>
      </c>
      <c r="P38" s="132">
        <v>425.71</v>
      </c>
      <c r="Q38" s="224" t="s">
        <v>199</v>
      </c>
      <c r="R38" s="140"/>
      <c r="S38" s="140"/>
      <c r="T38" s="140"/>
      <c r="U38" s="232"/>
      <c r="V38" s="232"/>
    </row>
    <row r="39" spans="1:22" s="124" customFormat="1" ht="15.05">
      <c r="A39" s="129" t="s">
        <v>46</v>
      </c>
      <c r="B39" s="130">
        <f>SUM(C39,E39,G39,I39,K39,M39,O39)</f>
        <v>53466</v>
      </c>
      <c r="C39" s="131">
        <v>62</v>
      </c>
      <c r="D39" s="132">
        <v>29.85</v>
      </c>
      <c r="E39" s="131">
        <v>2608</v>
      </c>
      <c r="F39" s="132">
        <v>915.67</v>
      </c>
      <c r="G39" s="131">
        <v>252</v>
      </c>
      <c r="H39" s="132">
        <v>155.59</v>
      </c>
      <c r="I39" s="131">
        <v>14025</v>
      </c>
      <c r="J39" s="132">
        <v>17532.8</v>
      </c>
      <c r="K39" s="131">
        <v>22498</v>
      </c>
      <c r="L39" s="132">
        <v>25035.1</v>
      </c>
      <c r="M39" s="131">
        <v>13972</v>
      </c>
      <c r="N39" s="132">
        <v>6320.06</v>
      </c>
      <c r="O39" s="131">
        <v>49</v>
      </c>
      <c r="P39" s="132">
        <v>24.5</v>
      </c>
      <c r="Q39" s="224" t="s">
        <v>200</v>
      </c>
      <c r="R39" s="140"/>
      <c r="S39" s="140"/>
      <c r="T39" s="140"/>
      <c r="U39" s="232"/>
      <c r="V39" s="232"/>
    </row>
    <row r="40" spans="1:22" s="124" customFormat="1" ht="15.05">
      <c r="A40" s="167" t="s">
        <v>201</v>
      </c>
      <c r="B40" s="168">
        <f>SUM(B42:B46)</f>
        <v>488676</v>
      </c>
      <c r="C40" s="166">
        <f>SUM(C42:C46)</f>
        <v>27285</v>
      </c>
      <c r="D40" s="166">
        <f t="shared" ref="D40:P40" si="8">SUM(D42:D46)</f>
        <v>14904.526999999998</v>
      </c>
      <c r="E40" s="166">
        <f t="shared" si="8"/>
        <v>22912</v>
      </c>
      <c r="F40" s="166">
        <f t="shared" si="8"/>
        <v>11138.063</v>
      </c>
      <c r="G40" s="203">
        <f t="shared" si="8"/>
        <v>30481</v>
      </c>
      <c r="H40" s="166">
        <f t="shared" si="8"/>
        <v>16020.195</v>
      </c>
      <c r="I40" s="166">
        <f t="shared" si="8"/>
        <v>253211</v>
      </c>
      <c r="J40" s="166">
        <f t="shared" si="8"/>
        <v>315863.853</v>
      </c>
      <c r="K40" s="166">
        <f t="shared" si="8"/>
        <v>44800</v>
      </c>
      <c r="L40" s="166">
        <f t="shared" si="8"/>
        <v>45454.567999999999</v>
      </c>
      <c r="M40" s="166">
        <f t="shared" si="8"/>
        <v>68630</v>
      </c>
      <c r="N40" s="166">
        <f t="shared" si="8"/>
        <v>20696.576000000001</v>
      </c>
      <c r="O40" s="166">
        <f t="shared" si="8"/>
        <v>41357</v>
      </c>
      <c r="P40" s="212">
        <f t="shared" si="8"/>
        <v>18193.329000000002</v>
      </c>
      <c r="Q40" s="227" t="s">
        <v>202</v>
      </c>
      <c r="R40" s="205"/>
      <c r="S40" s="205"/>
      <c r="T40" s="140"/>
      <c r="U40" s="232"/>
      <c r="V40" s="232"/>
    </row>
    <row r="41" spans="1:22" s="124" customFormat="1" ht="15.05">
      <c r="A41" s="167"/>
      <c r="B41" s="168"/>
      <c r="C41" s="166"/>
      <c r="D41" s="166"/>
      <c r="E41" s="166"/>
      <c r="F41" s="166"/>
      <c r="G41" s="203"/>
      <c r="H41" s="166"/>
      <c r="I41" s="166"/>
      <c r="J41" s="166"/>
      <c r="K41" s="166"/>
      <c r="L41" s="166"/>
      <c r="M41" s="166"/>
      <c r="N41" s="166"/>
      <c r="O41" s="166"/>
      <c r="P41" s="212"/>
      <c r="Q41" s="227"/>
      <c r="R41" s="205"/>
      <c r="S41" s="205"/>
      <c r="T41" s="140"/>
      <c r="U41" s="232"/>
      <c r="V41" s="232"/>
    </row>
    <row r="42" spans="1:22" s="124" customFormat="1" ht="15.05">
      <c r="A42" s="129" t="s">
        <v>48</v>
      </c>
      <c r="B42" s="130">
        <f>SUM(C42,E42,G42,I42,K42,M42,O42)</f>
        <v>168890</v>
      </c>
      <c r="C42" s="131">
        <v>18163</v>
      </c>
      <c r="D42" s="132">
        <v>11859.767</v>
      </c>
      <c r="E42" s="131">
        <v>8956</v>
      </c>
      <c r="F42" s="132">
        <v>5474.1379999999999</v>
      </c>
      <c r="G42" s="131">
        <v>3269</v>
      </c>
      <c r="H42" s="132">
        <v>1716.21</v>
      </c>
      <c r="I42" s="131">
        <v>76958</v>
      </c>
      <c r="J42" s="132">
        <v>103892.28599999999</v>
      </c>
      <c r="K42" s="131">
        <v>22699</v>
      </c>
      <c r="L42" s="132">
        <v>27108.268</v>
      </c>
      <c r="M42" s="131">
        <v>21456</v>
      </c>
      <c r="N42" s="132">
        <v>10213.441000000001</v>
      </c>
      <c r="O42" s="131">
        <v>17389</v>
      </c>
      <c r="P42" s="132">
        <v>9660.5390000000007</v>
      </c>
      <c r="Q42" s="224" t="s">
        <v>203</v>
      </c>
      <c r="R42" s="140"/>
      <c r="S42" s="140"/>
      <c r="T42" s="140"/>
      <c r="U42" s="232"/>
      <c r="V42" s="232"/>
    </row>
    <row r="43" spans="1:22" s="124" customFormat="1" ht="15.05">
      <c r="A43" s="129" t="s">
        <v>51</v>
      </c>
      <c r="B43" s="130">
        <f>SUM(C43,E43,G43,I43,K43,M43,O43)</f>
        <v>149737</v>
      </c>
      <c r="C43" s="131">
        <v>3038</v>
      </c>
      <c r="D43" s="132">
        <v>909.9</v>
      </c>
      <c r="E43" s="131">
        <v>3493</v>
      </c>
      <c r="F43" s="132">
        <v>1095.81</v>
      </c>
      <c r="G43" s="131">
        <v>5832</v>
      </c>
      <c r="H43" s="132">
        <v>2821.76</v>
      </c>
      <c r="I43" s="131">
        <v>91731</v>
      </c>
      <c r="J43" s="132">
        <v>98872.62</v>
      </c>
      <c r="K43" s="131">
        <v>5782</v>
      </c>
      <c r="L43" s="132">
        <v>2951.35</v>
      </c>
      <c r="M43" s="131">
        <v>37659</v>
      </c>
      <c r="N43" s="132">
        <v>5632.0050000000001</v>
      </c>
      <c r="O43" s="131">
        <v>2202</v>
      </c>
      <c r="P43" s="132">
        <v>1177.5999999999999</v>
      </c>
      <c r="Q43" s="224" t="s">
        <v>204</v>
      </c>
      <c r="R43" s="140"/>
      <c r="S43" s="140"/>
      <c r="T43" s="140"/>
      <c r="U43" s="232"/>
      <c r="V43" s="232"/>
    </row>
    <row r="44" spans="1:22" s="124" customFormat="1" ht="15.05">
      <c r="A44" s="129" t="s">
        <v>53</v>
      </c>
      <c r="B44" s="130">
        <f>SUM(C44,E44,G44,I44,K44,M44,O44)</f>
        <v>56378</v>
      </c>
      <c r="C44" s="131">
        <v>2807</v>
      </c>
      <c r="D44" s="132">
        <v>830.63</v>
      </c>
      <c r="E44" s="131">
        <v>3750</v>
      </c>
      <c r="F44" s="132">
        <v>1481.57</v>
      </c>
      <c r="G44" s="131">
        <v>12583</v>
      </c>
      <c r="H44" s="132">
        <v>7101.15</v>
      </c>
      <c r="I44" s="131">
        <v>14311</v>
      </c>
      <c r="J44" s="132">
        <v>24743.05</v>
      </c>
      <c r="K44" s="131">
        <v>3226</v>
      </c>
      <c r="L44" s="132">
        <v>3056.3</v>
      </c>
      <c r="M44" s="131">
        <v>140</v>
      </c>
      <c r="N44" s="132">
        <v>99.9</v>
      </c>
      <c r="O44" s="131">
        <v>19561</v>
      </c>
      <c r="P44" s="132">
        <v>6248.5</v>
      </c>
      <c r="Q44" s="224" t="s">
        <v>205</v>
      </c>
      <c r="R44" s="140"/>
      <c r="S44" s="140"/>
      <c r="T44" s="140"/>
      <c r="U44" s="232"/>
      <c r="V44" s="232"/>
    </row>
    <row r="45" spans="1:22" s="124" customFormat="1" ht="15.05">
      <c r="A45" s="129" t="s">
        <v>56</v>
      </c>
      <c r="B45" s="130">
        <f>SUM(C45,E45,G45,I45,K45,M45,O45)</f>
        <v>48</v>
      </c>
      <c r="C45" s="131">
        <v>17</v>
      </c>
      <c r="D45" s="132">
        <v>4.8</v>
      </c>
      <c r="E45" s="131">
        <v>10</v>
      </c>
      <c r="F45" s="132">
        <v>3.4</v>
      </c>
      <c r="G45" s="131">
        <v>7</v>
      </c>
      <c r="H45" s="132">
        <v>2.6</v>
      </c>
      <c r="I45" s="131">
        <v>14</v>
      </c>
      <c r="J45" s="132">
        <v>12</v>
      </c>
      <c r="K45" s="137" t="s">
        <v>289</v>
      </c>
      <c r="L45" s="132" t="s">
        <v>289</v>
      </c>
      <c r="M45" s="137" t="s">
        <v>289</v>
      </c>
      <c r="N45" s="132" t="s">
        <v>289</v>
      </c>
      <c r="O45" s="137" t="s">
        <v>289</v>
      </c>
      <c r="P45" s="132" t="s">
        <v>289</v>
      </c>
      <c r="Q45" s="228" t="s">
        <v>206</v>
      </c>
      <c r="R45" s="204"/>
      <c r="S45" s="204"/>
      <c r="T45" s="140"/>
      <c r="U45" s="232"/>
      <c r="V45" s="232"/>
    </row>
    <row r="46" spans="1:22" s="124" customFormat="1" ht="15.05">
      <c r="A46" s="129" t="s">
        <v>58</v>
      </c>
      <c r="B46" s="130">
        <f>SUM(C46,E46,G46,I46,K46,M46,O46)</f>
        <v>113623</v>
      </c>
      <c r="C46" s="131">
        <v>3260</v>
      </c>
      <c r="D46" s="132">
        <v>1299.43</v>
      </c>
      <c r="E46" s="131">
        <v>6703</v>
      </c>
      <c r="F46" s="132">
        <v>3083.145</v>
      </c>
      <c r="G46" s="131">
        <v>8790</v>
      </c>
      <c r="H46" s="132">
        <v>4378.4750000000004</v>
      </c>
      <c r="I46" s="131">
        <v>70197</v>
      </c>
      <c r="J46" s="132">
        <v>88343.896999999997</v>
      </c>
      <c r="K46" s="131">
        <v>13093</v>
      </c>
      <c r="L46" s="132">
        <v>12338.65</v>
      </c>
      <c r="M46" s="131">
        <v>9375</v>
      </c>
      <c r="N46" s="132">
        <v>4751.2299999999996</v>
      </c>
      <c r="O46" s="131">
        <v>2205</v>
      </c>
      <c r="P46" s="132">
        <v>1106.69</v>
      </c>
      <c r="Q46" s="224" t="s">
        <v>207</v>
      </c>
      <c r="R46" s="140"/>
      <c r="S46" s="140"/>
      <c r="T46" s="140"/>
      <c r="U46" s="232"/>
      <c r="V46" s="232"/>
    </row>
    <row r="47" spans="1:22" s="124" customFormat="1" ht="15.05">
      <c r="A47" s="198" t="s">
        <v>208</v>
      </c>
      <c r="B47" s="168">
        <f>SUM(B49:B53)</f>
        <v>296844</v>
      </c>
      <c r="C47" s="166">
        <f>SUM(C49:C53)</f>
        <v>27211</v>
      </c>
      <c r="D47" s="166">
        <f t="shared" ref="D47:P47" si="9">SUM(D49:D53)</f>
        <v>9068.5930000000008</v>
      </c>
      <c r="E47" s="166">
        <f t="shared" si="9"/>
        <v>16454</v>
      </c>
      <c r="F47" s="166">
        <f t="shared" si="9"/>
        <v>6343.1239999999998</v>
      </c>
      <c r="G47" s="203">
        <f t="shared" si="9"/>
        <v>24622</v>
      </c>
      <c r="H47" s="166">
        <f t="shared" si="9"/>
        <v>10508.195</v>
      </c>
      <c r="I47" s="166">
        <f t="shared" si="9"/>
        <v>173729</v>
      </c>
      <c r="J47" s="166">
        <f t="shared" si="9"/>
        <v>216112.99299999999</v>
      </c>
      <c r="K47" s="166">
        <f t="shared" si="9"/>
        <v>31746</v>
      </c>
      <c r="L47" s="166">
        <f t="shared" si="9"/>
        <v>31593.856</v>
      </c>
      <c r="M47" s="166">
        <f t="shared" si="9"/>
        <v>9437</v>
      </c>
      <c r="N47" s="166">
        <f t="shared" si="9"/>
        <v>3426.4740000000006</v>
      </c>
      <c r="O47" s="166">
        <f t="shared" si="9"/>
        <v>13645</v>
      </c>
      <c r="P47" s="212">
        <f t="shared" si="9"/>
        <v>4924.4750000000004</v>
      </c>
      <c r="Q47" s="229" t="s">
        <v>209</v>
      </c>
      <c r="R47" s="206"/>
      <c r="S47" s="206"/>
      <c r="T47" s="140"/>
      <c r="U47" s="232"/>
      <c r="V47" s="232"/>
    </row>
    <row r="48" spans="1:22" s="124" customFormat="1" ht="15.05">
      <c r="A48" s="198"/>
      <c r="B48" s="168"/>
      <c r="C48" s="166"/>
      <c r="D48" s="166"/>
      <c r="E48" s="166"/>
      <c r="F48" s="166"/>
      <c r="G48" s="203"/>
      <c r="H48" s="166"/>
      <c r="I48" s="166"/>
      <c r="J48" s="166"/>
      <c r="K48" s="166"/>
      <c r="L48" s="166"/>
      <c r="M48" s="166"/>
      <c r="N48" s="166"/>
      <c r="O48" s="166"/>
      <c r="P48" s="212"/>
      <c r="Q48" s="229"/>
      <c r="R48" s="206"/>
      <c r="S48" s="206"/>
      <c r="T48" s="140"/>
      <c r="U48" s="232"/>
      <c r="V48" s="232"/>
    </row>
    <row r="49" spans="1:22" s="124" customFormat="1" ht="15.05">
      <c r="A49" s="129" t="s">
        <v>60</v>
      </c>
      <c r="B49" s="130">
        <f>SUM(C49,E49,G49,I49,K49,M49,O49)</f>
        <v>143477</v>
      </c>
      <c r="C49" s="131">
        <v>16857</v>
      </c>
      <c r="D49" s="132">
        <v>5257.9219999999996</v>
      </c>
      <c r="E49" s="131">
        <v>4719</v>
      </c>
      <c r="F49" s="132">
        <v>1614.604</v>
      </c>
      <c r="G49" s="131">
        <v>15420</v>
      </c>
      <c r="H49" s="132">
        <v>5943.29</v>
      </c>
      <c r="I49" s="131">
        <v>67078</v>
      </c>
      <c r="J49" s="132">
        <v>71041.282999999996</v>
      </c>
      <c r="K49" s="131">
        <v>26931</v>
      </c>
      <c r="L49" s="132">
        <v>26749.306</v>
      </c>
      <c r="M49" s="131">
        <v>5292</v>
      </c>
      <c r="N49" s="132">
        <v>2149.8040000000001</v>
      </c>
      <c r="O49" s="131">
        <v>7180</v>
      </c>
      <c r="P49" s="132">
        <v>2119.41</v>
      </c>
      <c r="Q49" s="224" t="s">
        <v>210</v>
      </c>
      <c r="R49" s="140"/>
      <c r="S49" s="140"/>
      <c r="T49" s="140"/>
      <c r="U49" s="232"/>
      <c r="V49" s="232"/>
    </row>
    <row r="50" spans="1:22" s="124" customFormat="1" ht="15.05">
      <c r="A50" s="129" t="s">
        <v>62</v>
      </c>
      <c r="B50" s="130">
        <f>SUM(C50,E50,G50,I50,K50,M50,O50)</f>
        <v>109816</v>
      </c>
      <c r="C50" s="131">
        <v>3962</v>
      </c>
      <c r="D50" s="132">
        <v>1259.0940000000001</v>
      </c>
      <c r="E50" s="131">
        <v>4075</v>
      </c>
      <c r="F50" s="132">
        <v>1733.87</v>
      </c>
      <c r="G50" s="131">
        <v>2962</v>
      </c>
      <c r="H50" s="132">
        <v>1891.09</v>
      </c>
      <c r="I50" s="131">
        <v>93815</v>
      </c>
      <c r="J50" s="132">
        <v>127517.42</v>
      </c>
      <c r="K50" s="131">
        <v>2078</v>
      </c>
      <c r="L50" s="132">
        <v>3183.7</v>
      </c>
      <c r="M50" s="131">
        <v>636</v>
      </c>
      <c r="N50" s="132">
        <v>332.72</v>
      </c>
      <c r="O50" s="131">
        <v>2288</v>
      </c>
      <c r="P50" s="132">
        <v>1221.9000000000001</v>
      </c>
      <c r="Q50" s="224" t="s">
        <v>211</v>
      </c>
      <c r="R50" s="140"/>
      <c r="S50" s="140"/>
      <c r="T50" s="140"/>
      <c r="U50" s="232"/>
      <c r="V50" s="232"/>
    </row>
    <row r="51" spans="1:22" s="124" customFormat="1" ht="15.05">
      <c r="A51" s="129" t="s">
        <v>64</v>
      </c>
      <c r="B51" s="130">
        <f>SUM(C51,E51,G51,I51,K51,M51,O51)</f>
        <v>27579</v>
      </c>
      <c r="C51" s="131">
        <v>5764</v>
      </c>
      <c r="D51" s="132">
        <v>2353.8270000000002</v>
      </c>
      <c r="E51" s="131">
        <v>6206</v>
      </c>
      <c r="F51" s="132">
        <v>2557.0700000000002</v>
      </c>
      <c r="G51" s="131">
        <v>5487</v>
      </c>
      <c r="H51" s="132">
        <v>2380.0349999999999</v>
      </c>
      <c r="I51" s="131">
        <v>4454</v>
      </c>
      <c r="J51" s="132">
        <v>4166.24</v>
      </c>
      <c r="K51" s="131">
        <v>2087</v>
      </c>
      <c r="L51" s="132">
        <v>1097.55</v>
      </c>
      <c r="M51" s="131">
        <v>487</v>
      </c>
      <c r="N51" s="132">
        <v>156.15</v>
      </c>
      <c r="O51" s="131">
        <v>3094</v>
      </c>
      <c r="P51" s="132">
        <v>1360.115</v>
      </c>
      <c r="Q51" s="224" t="s">
        <v>212</v>
      </c>
      <c r="R51" s="140"/>
      <c r="S51" s="140"/>
      <c r="T51" s="140"/>
      <c r="U51" s="232"/>
      <c r="V51" s="232"/>
    </row>
    <row r="52" spans="1:22" s="124" customFormat="1" ht="15.05">
      <c r="A52" s="129" t="s">
        <v>67</v>
      </c>
      <c r="B52" s="130">
        <f>SUM(C52,E52,G52,I52,K52,M52,O52)</f>
        <v>2996</v>
      </c>
      <c r="C52" s="131">
        <v>227</v>
      </c>
      <c r="D52" s="132">
        <v>51.6</v>
      </c>
      <c r="E52" s="131">
        <v>554</v>
      </c>
      <c r="F52" s="132">
        <v>155.15</v>
      </c>
      <c r="G52" s="131">
        <v>100</v>
      </c>
      <c r="H52" s="132">
        <v>33.22</v>
      </c>
      <c r="I52" s="131">
        <v>644</v>
      </c>
      <c r="J52" s="132">
        <v>372.1</v>
      </c>
      <c r="K52" s="131">
        <v>135</v>
      </c>
      <c r="L52" s="132">
        <v>62.1</v>
      </c>
      <c r="M52" s="131">
        <v>1334</v>
      </c>
      <c r="N52" s="132">
        <v>278.3</v>
      </c>
      <c r="O52" s="131">
        <v>2</v>
      </c>
      <c r="P52" s="132">
        <v>0.85</v>
      </c>
      <c r="Q52" s="224" t="s">
        <v>213</v>
      </c>
      <c r="R52" s="140"/>
      <c r="S52" s="140"/>
      <c r="T52" s="140"/>
      <c r="U52" s="232"/>
      <c r="V52" s="232"/>
    </row>
    <row r="53" spans="1:22" s="124" customFormat="1" ht="15.05">
      <c r="A53" s="129" t="s">
        <v>69</v>
      </c>
      <c r="B53" s="130">
        <f>SUM(C53,E53,G53,I53,K53,M53,O53)</f>
        <v>12976</v>
      </c>
      <c r="C53" s="131">
        <v>401</v>
      </c>
      <c r="D53" s="132">
        <v>146.15</v>
      </c>
      <c r="E53" s="131">
        <v>900</v>
      </c>
      <c r="F53" s="132">
        <v>282.43</v>
      </c>
      <c r="G53" s="131">
        <v>653</v>
      </c>
      <c r="H53" s="132">
        <v>260.56</v>
      </c>
      <c r="I53" s="131">
        <v>7738</v>
      </c>
      <c r="J53" s="132">
        <v>13015.95</v>
      </c>
      <c r="K53" s="131">
        <v>515</v>
      </c>
      <c r="L53" s="132">
        <v>501.2</v>
      </c>
      <c r="M53" s="131">
        <v>1688</v>
      </c>
      <c r="N53" s="132">
        <v>509.5</v>
      </c>
      <c r="O53" s="131">
        <v>1081</v>
      </c>
      <c r="P53" s="132">
        <v>222.2</v>
      </c>
      <c r="Q53" s="224" t="s">
        <v>214</v>
      </c>
      <c r="R53" s="140"/>
      <c r="S53" s="140"/>
      <c r="T53" s="140"/>
      <c r="U53" s="232"/>
      <c r="V53" s="232"/>
    </row>
    <row r="54" spans="1:22" s="124" customFormat="1" ht="15.05">
      <c r="A54" s="167" t="s">
        <v>215</v>
      </c>
      <c r="B54" s="168">
        <f>SUM(B56:B60)</f>
        <v>12174</v>
      </c>
      <c r="C54" s="166">
        <f>SUM(C56:C60)</f>
        <v>1294</v>
      </c>
      <c r="D54" s="166">
        <f t="shared" ref="D54:P54" si="10">SUM(D56:D60)</f>
        <v>767.93</v>
      </c>
      <c r="E54" s="166">
        <f t="shared" si="10"/>
        <v>5568</v>
      </c>
      <c r="F54" s="166">
        <f t="shared" si="10"/>
        <v>3419.76</v>
      </c>
      <c r="G54" s="203">
        <f t="shared" si="10"/>
        <v>1269</v>
      </c>
      <c r="H54" s="166">
        <f t="shared" si="10"/>
        <v>819.35</v>
      </c>
      <c r="I54" s="166">
        <f t="shared" si="10"/>
        <v>978</v>
      </c>
      <c r="J54" s="166">
        <f t="shared" si="10"/>
        <v>957.69999999999993</v>
      </c>
      <c r="K54" s="166">
        <f t="shared" si="10"/>
        <v>1217</v>
      </c>
      <c r="L54" s="166">
        <f t="shared" si="10"/>
        <v>1136.5</v>
      </c>
      <c r="M54" s="166">
        <f t="shared" si="10"/>
        <v>651</v>
      </c>
      <c r="N54" s="166">
        <f t="shared" si="10"/>
        <v>297.7</v>
      </c>
      <c r="O54" s="166">
        <f t="shared" si="10"/>
        <v>1197</v>
      </c>
      <c r="P54" s="212">
        <f t="shared" si="10"/>
        <v>617.00000000000011</v>
      </c>
      <c r="Q54" s="227" t="s">
        <v>216</v>
      </c>
      <c r="R54" s="205"/>
      <c r="S54" s="205"/>
      <c r="T54" s="140"/>
      <c r="U54" s="232"/>
      <c r="V54" s="232"/>
    </row>
    <row r="55" spans="1:22" s="124" customFormat="1" ht="15.05">
      <c r="A55" s="167"/>
      <c r="B55" s="168"/>
      <c r="C55" s="166"/>
      <c r="D55" s="166"/>
      <c r="E55" s="166"/>
      <c r="F55" s="166"/>
      <c r="G55" s="203"/>
      <c r="H55" s="166"/>
      <c r="I55" s="166"/>
      <c r="J55" s="166"/>
      <c r="K55" s="166"/>
      <c r="L55" s="166"/>
      <c r="M55" s="166"/>
      <c r="N55" s="166"/>
      <c r="O55" s="166"/>
      <c r="P55" s="212"/>
      <c r="Q55" s="227"/>
      <c r="R55" s="205"/>
      <c r="S55" s="205"/>
      <c r="T55" s="140"/>
      <c r="U55" s="232"/>
      <c r="V55" s="232"/>
    </row>
    <row r="56" spans="1:22" s="124" customFormat="1" ht="15.05">
      <c r="A56" s="129" t="s">
        <v>71</v>
      </c>
      <c r="B56" s="130">
        <f>SUM(C56,E56,G56,I56,K56,M56,O56)</f>
        <v>1861</v>
      </c>
      <c r="C56" s="131">
        <v>2</v>
      </c>
      <c r="D56" s="132">
        <v>0.65</v>
      </c>
      <c r="E56" s="131">
        <v>90</v>
      </c>
      <c r="F56" s="132">
        <v>33.85</v>
      </c>
      <c r="G56" s="131">
        <v>138</v>
      </c>
      <c r="H56" s="132">
        <v>81.5</v>
      </c>
      <c r="I56" s="131">
        <v>632</v>
      </c>
      <c r="J56" s="132">
        <v>647.9</v>
      </c>
      <c r="K56" s="131">
        <v>566</v>
      </c>
      <c r="L56" s="132">
        <v>492.5</v>
      </c>
      <c r="M56" s="131">
        <v>230</v>
      </c>
      <c r="N56" s="132">
        <v>106</v>
      </c>
      <c r="O56" s="131">
        <v>203</v>
      </c>
      <c r="P56" s="132">
        <v>121.6</v>
      </c>
      <c r="Q56" s="224" t="s">
        <v>217</v>
      </c>
      <c r="R56" s="140"/>
      <c r="S56" s="140"/>
      <c r="T56" s="140"/>
      <c r="U56" s="232"/>
      <c r="V56" s="232"/>
    </row>
    <row r="57" spans="1:22" s="124" customFormat="1" ht="15.05">
      <c r="A57" s="129" t="s">
        <v>74</v>
      </c>
      <c r="B57" s="130">
        <f>SUM(C57,E57,G57,I57,K57,M57,O57)</f>
        <v>5725</v>
      </c>
      <c r="C57" s="131">
        <v>852</v>
      </c>
      <c r="D57" s="132">
        <v>352</v>
      </c>
      <c r="E57" s="131">
        <v>2947</v>
      </c>
      <c r="F57" s="132">
        <v>1193.7</v>
      </c>
      <c r="G57" s="131">
        <v>521</v>
      </c>
      <c r="H57" s="132">
        <v>216.6</v>
      </c>
      <c r="I57" s="131">
        <v>224</v>
      </c>
      <c r="J57" s="132">
        <v>220</v>
      </c>
      <c r="K57" s="131">
        <v>119</v>
      </c>
      <c r="L57" s="132">
        <v>71</v>
      </c>
      <c r="M57" s="131">
        <v>105</v>
      </c>
      <c r="N57" s="132">
        <v>39.200000000000003</v>
      </c>
      <c r="O57" s="131">
        <v>957</v>
      </c>
      <c r="P57" s="132">
        <v>459.1</v>
      </c>
      <c r="Q57" s="224" t="s">
        <v>218</v>
      </c>
      <c r="R57" s="140"/>
      <c r="S57" s="140"/>
      <c r="T57" s="140"/>
      <c r="U57" s="232"/>
      <c r="V57" s="232"/>
    </row>
    <row r="58" spans="1:22" s="124" customFormat="1" ht="15.05">
      <c r="A58" s="129" t="s">
        <v>76</v>
      </c>
      <c r="B58" s="130">
        <f>SUM(C58,E58,G58,I58,K58,M58,O58)</f>
        <v>55</v>
      </c>
      <c r="C58" s="131">
        <v>10</v>
      </c>
      <c r="D58" s="132">
        <v>1.5</v>
      </c>
      <c r="E58" s="131">
        <v>12</v>
      </c>
      <c r="F58" s="132">
        <v>2.7</v>
      </c>
      <c r="G58" s="131">
        <v>18</v>
      </c>
      <c r="H58" s="132">
        <v>6.3</v>
      </c>
      <c r="I58" s="137" t="s">
        <v>289</v>
      </c>
      <c r="J58" s="132" t="s">
        <v>289</v>
      </c>
      <c r="K58" s="137" t="s">
        <v>289</v>
      </c>
      <c r="L58" s="132" t="s">
        <v>289</v>
      </c>
      <c r="M58" s="131">
        <v>10</v>
      </c>
      <c r="N58" s="132">
        <v>1</v>
      </c>
      <c r="O58" s="131">
        <v>5</v>
      </c>
      <c r="P58" s="132">
        <v>0.6</v>
      </c>
      <c r="Q58" s="224" t="s">
        <v>219</v>
      </c>
      <c r="R58" s="140"/>
      <c r="S58" s="140"/>
      <c r="T58" s="140"/>
      <c r="U58" s="232"/>
      <c r="V58" s="232"/>
    </row>
    <row r="59" spans="1:22" s="124" customFormat="1" ht="15.05">
      <c r="A59" s="129" t="s">
        <v>79</v>
      </c>
      <c r="B59" s="130">
        <f>SUM(C59,E59,G59,I59,K59,M59,O59)</f>
        <v>3938</v>
      </c>
      <c r="C59" s="131">
        <v>430</v>
      </c>
      <c r="D59" s="132">
        <v>413.78</v>
      </c>
      <c r="E59" s="131">
        <v>2301</v>
      </c>
      <c r="F59" s="132">
        <v>2119.0100000000002</v>
      </c>
      <c r="G59" s="131">
        <v>590</v>
      </c>
      <c r="H59" s="132">
        <v>514.54999999999995</v>
      </c>
      <c r="I59" s="131">
        <v>63</v>
      </c>
      <c r="J59" s="132">
        <v>65.3</v>
      </c>
      <c r="K59" s="131">
        <v>522</v>
      </c>
      <c r="L59" s="132">
        <v>568</v>
      </c>
      <c r="M59" s="137" t="s">
        <v>289</v>
      </c>
      <c r="N59" s="132" t="s">
        <v>289</v>
      </c>
      <c r="O59" s="131">
        <v>32</v>
      </c>
      <c r="P59" s="132">
        <v>35.700000000000003</v>
      </c>
      <c r="Q59" s="224" t="s">
        <v>220</v>
      </c>
      <c r="R59" s="140"/>
      <c r="S59" s="140"/>
      <c r="T59" s="140"/>
      <c r="U59" s="232"/>
      <c r="V59" s="232"/>
    </row>
    <row r="60" spans="1:22" s="124" customFormat="1" ht="15.05">
      <c r="A60" s="129" t="s">
        <v>81</v>
      </c>
      <c r="B60" s="130">
        <f>SUM(C60,E60,G60,I60,K60,M60,O60)</f>
        <v>595</v>
      </c>
      <c r="C60" s="137" t="s">
        <v>289</v>
      </c>
      <c r="D60" s="132" t="s">
        <v>289</v>
      </c>
      <c r="E60" s="131">
        <v>218</v>
      </c>
      <c r="F60" s="132">
        <v>70.5</v>
      </c>
      <c r="G60" s="131">
        <v>2</v>
      </c>
      <c r="H60" s="132">
        <v>0.4</v>
      </c>
      <c r="I60" s="131">
        <v>59</v>
      </c>
      <c r="J60" s="132">
        <v>24.5</v>
      </c>
      <c r="K60" s="131">
        <v>10</v>
      </c>
      <c r="L60" s="132">
        <v>5</v>
      </c>
      <c r="M60" s="131">
        <v>306</v>
      </c>
      <c r="N60" s="132">
        <v>151.5</v>
      </c>
      <c r="O60" s="137" t="s">
        <v>289</v>
      </c>
      <c r="P60" s="132" t="s">
        <v>289</v>
      </c>
      <c r="Q60" s="224" t="s">
        <v>221</v>
      </c>
      <c r="R60" s="140"/>
      <c r="S60" s="140"/>
      <c r="T60" s="140"/>
      <c r="U60" s="232"/>
      <c r="V60" s="232"/>
    </row>
    <row r="61" spans="1:22" s="124" customFormat="1" ht="15.05">
      <c r="A61" s="198" t="s">
        <v>222</v>
      </c>
      <c r="B61" s="168">
        <f>SUM(B63:B65)</f>
        <v>486111</v>
      </c>
      <c r="C61" s="166">
        <f>SUM(C63:C65)</f>
        <v>24555</v>
      </c>
      <c r="D61" s="166">
        <f t="shared" ref="D61:P61" si="11">SUM(D63:D65)</f>
        <v>8690.9500000000007</v>
      </c>
      <c r="E61" s="166">
        <f t="shared" si="11"/>
        <v>126690</v>
      </c>
      <c r="F61" s="166">
        <f t="shared" si="11"/>
        <v>47266.05</v>
      </c>
      <c r="G61" s="203">
        <f t="shared" si="11"/>
        <v>22306</v>
      </c>
      <c r="H61" s="166">
        <f t="shared" si="11"/>
        <v>8768.1020000000008</v>
      </c>
      <c r="I61" s="166">
        <f t="shared" si="11"/>
        <v>235358</v>
      </c>
      <c r="J61" s="166">
        <f t="shared" si="11"/>
        <v>268595.32999999996</v>
      </c>
      <c r="K61" s="166">
        <f t="shared" si="11"/>
        <v>51088</v>
      </c>
      <c r="L61" s="166">
        <f t="shared" si="11"/>
        <v>66345.399999999994</v>
      </c>
      <c r="M61" s="166">
        <f t="shared" si="11"/>
        <v>18283</v>
      </c>
      <c r="N61" s="166">
        <f t="shared" si="11"/>
        <v>4985.16</v>
      </c>
      <c r="O61" s="166">
        <f t="shared" si="11"/>
        <v>7831</v>
      </c>
      <c r="P61" s="212">
        <f t="shared" si="11"/>
        <v>5449.51</v>
      </c>
      <c r="Q61" s="229" t="s">
        <v>223</v>
      </c>
      <c r="R61" s="206"/>
      <c r="S61" s="206"/>
      <c r="T61" s="140"/>
      <c r="U61" s="232"/>
      <c r="V61" s="232"/>
    </row>
    <row r="62" spans="1:22" s="124" customFormat="1" ht="15.05">
      <c r="A62" s="198"/>
      <c r="B62" s="168"/>
      <c r="C62" s="166"/>
      <c r="D62" s="166"/>
      <c r="E62" s="166"/>
      <c r="F62" s="166"/>
      <c r="G62" s="203"/>
      <c r="H62" s="166"/>
      <c r="I62" s="166"/>
      <c r="J62" s="166"/>
      <c r="K62" s="166"/>
      <c r="L62" s="166"/>
      <c r="M62" s="166"/>
      <c r="N62" s="166"/>
      <c r="O62" s="166"/>
      <c r="P62" s="212"/>
      <c r="Q62" s="229"/>
      <c r="R62" s="206"/>
      <c r="S62" s="206"/>
      <c r="T62" s="140"/>
      <c r="U62" s="232"/>
      <c r="V62" s="232"/>
    </row>
    <row r="63" spans="1:22" s="124" customFormat="1" ht="15.05">
      <c r="A63" s="129" t="s">
        <v>83</v>
      </c>
      <c r="B63" s="130">
        <f>SUM(C63,E63,G63,I63,K63,M63,O63)</f>
        <v>92980</v>
      </c>
      <c r="C63" s="131">
        <v>6269</v>
      </c>
      <c r="D63" s="132">
        <v>1836.15</v>
      </c>
      <c r="E63" s="131">
        <v>58144</v>
      </c>
      <c r="F63" s="132">
        <v>20331.349999999999</v>
      </c>
      <c r="G63" s="131">
        <v>6246</v>
      </c>
      <c r="H63" s="132">
        <v>2266.152</v>
      </c>
      <c r="I63" s="131">
        <v>8811</v>
      </c>
      <c r="J63" s="132">
        <v>8396.2199999999993</v>
      </c>
      <c r="K63" s="131">
        <v>3490</v>
      </c>
      <c r="L63" s="132">
        <v>2650.95</v>
      </c>
      <c r="M63" s="131">
        <v>8268</v>
      </c>
      <c r="N63" s="132">
        <v>1820.06</v>
      </c>
      <c r="O63" s="131">
        <v>1752</v>
      </c>
      <c r="P63" s="132">
        <v>547.46</v>
      </c>
      <c r="Q63" s="224" t="s">
        <v>224</v>
      </c>
      <c r="R63" s="140"/>
      <c r="S63" s="140"/>
      <c r="T63" s="140"/>
      <c r="U63" s="232"/>
      <c r="V63" s="232"/>
    </row>
    <row r="64" spans="1:22" s="124" customFormat="1" ht="15.05">
      <c r="A64" s="129" t="s">
        <v>85</v>
      </c>
      <c r="B64" s="130">
        <f>SUM(C64,E64,G64,I64,K64,M64,O64)</f>
        <v>260273</v>
      </c>
      <c r="C64" s="131">
        <v>2550</v>
      </c>
      <c r="D64" s="132">
        <v>921.4</v>
      </c>
      <c r="E64" s="131">
        <v>21689</v>
      </c>
      <c r="F64" s="132">
        <v>7611.55</v>
      </c>
      <c r="G64" s="131">
        <v>8613</v>
      </c>
      <c r="H64" s="132">
        <v>2915.55</v>
      </c>
      <c r="I64" s="131">
        <v>204635</v>
      </c>
      <c r="J64" s="132">
        <v>226864.86</v>
      </c>
      <c r="K64" s="131">
        <v>18179</v>
      </c>
      <c r="L64" s="132">
        <v>15647.75</v>
      </c>
      <c r="M64" s="131">
        <v>450</v>
      </c>
      <c r="N64" s="132">
        <v>139</v>
      </c>
      <c r="O64" s="131">
        <v>4157</v>
      </c>
      <c r="P64" s="132">
        <v>4097</v>
      </c>
      <c r="Q64" s="228" t="s">
        <v>225</v>
      </c>
      <c r="R64" s="204"/>
      <c r="S64" s="204"/>
      <c r="T64" s="140"/>
      <c r="U64" s="232"/>
      <c r="V64" s="232"/>
    </row>
    <row r="65" spans="1:22" s="124" customFormat="1" ht="15.05">
      <c r="A65" s="129" t="s">
        <v>88</v>
      </c>
      <c r="B65" s="130">
        <f>SUM(C65,E65,G65,I65,K65,M65,O65)</f>
        <v>132858</v>
      </c>
      <c r="C65" s="131">
        <v>15736</v>
      </c>
      <c r="D65" s="132">
        <v>5933.4</v>
      </c>
      <c r="E65" s="131">
        <v>46857</v>
      </c>
      <c r="F65" s="132">
        <v>19323.150000000001</v>
      </c>
      <c r="G65" s="131">
        <v>7447</v>
      </c>
      <c r="H65" s="132">
        <v>3586.4</v>
      </c>
      <c r="I65" s="131">
        <v>21912</v>
      </c>
      <c r="J65" s="132">
        <v>33334.25</v>
      </c>
      <c r="K65" s="131">
        <v>29419</v>
      </c>
      <c r="L65" s="132">
        <v>48046.7</v>
      </c>
      <c r="M65" s="131">
        <v>9565</v>
      </c>
      <c r="N65" s="132">
        <v>3026.1</v>
      </c>
      <c r="O65" s="131">
        <v>1922</v>
      </c>
      <c r="P65" s="132">
        <v>805.05</v>
      </c>
      <c r="Q65" s="224" t="s">
        <v>226</v>
      </c>
      <c r="R65" s="140"/>
      <c r="S65" s="140"/>
      <c r="T65" s="140"/>
      <c r="U65" s="232"/>
      <c r="V65" s="232"/>
    </row>
    <row r="66" spans="1:22" s="124" customFormat="1" ht="15.05">
      <c r="A66" s="198" t="s">
        <v>227</v>
      </c>
      <c r="B66" s="168">
        <f>SUM(B68:B72)</f>
        <v>92986</v>
      </c>
      <c r="C66" s="166">
        <f>SUM(C68:C72)</f>
        <v>18345</v>
      </c>
      <c r="D66" s="166">
        <f t="shared" ref="D66:P66" si="12">SUM(D68:D72)</f>
        <v>7296.8899999999994</v>
      </c>
      <c r="E66" s="166">
        <f t="shared" si="12"/>
        <v>25060</v>
      </c>
      <c r="F66" s="166">
        <f t="shared" si="12"/>
        <v>9732.4240000000009</v>
      </c>
      <c r="G66" s="203">
        <f t="shared" si="12"/>
        <v>13473</v>
      </c>
      <c r="H66" s="166">
        <f t="shared" si="12"/>
        <v>5861.33</v>
      </c>
      <c r="I66" s="166">
        <f t="shared" si="12"/>
        <v>5406</v>
      </c>
      <c r="J66" s="166">
        <f t="shared" si="12"/>
        <v>7925.5910000000003</v>
      </c>
      <c r="K66" s="166">
        <f t="shared" si="12"/>
        <v>14936</v>
      </c>
      <c r="L66" s="166">
        <f t="shared" si="12"/>
        <v>15816.310000000001</v>
      </c>
      <c r="M66" s="166">
        <f t="shared" si="12"/>
        <v>13827</v>
      </c>
      <c r="N66" s="166">
        <f t="shared" si="12"/>
        <v>4056.15</v>
      </c>
      <c r="O66" s="166">
        <f t="shared" si="12"/>
        <v>1939</v>
      </c>
      <c r="P66" s="212">
        <f t="shared" si="12"/>
        <v>638.58000000000004</v>
      </c>
      <c r="Q66" s="229" t="s">
        <v>228</v>
      </c>
      <c r="R66" s="206"/>
      <c r="S66" s="206"/>
      <c r="T66" s="140"/>
      <c r="U66" s="232"/>
      <c r="V66" s="232"/>
    </row>
    <row r="67" spans="1:22" s="124" customFormat="1" ht="15.05">
      <c r="A67" s="198"/>
      <c r="B67" s="168"/>
      <c r="C67" s="166"/>
      <c r="D67" s="166"/>
      <c r="E67" s="166"/>
      <c r="F67" s="166"/>
      <c r="G67" s="203"/>
      <c r="H67" s="166"/>
      <c r="I67" s="166"/>
      <c r="J67" s="166"/>
      <c r="K67" s="166"/>
      <c r="L67" s="166"/>
      <c r="M67" s="166"/>
      <c r="N67" s="166"/>
      <c r="O67" s="166"/>
      <c r="P67" s="212"/>
      <c r="Q67" s="229"/>
      <c r="R67" s="206"/>
      <c r="S67" s="206"/>
      <c r="T67" s="140"/>
      <c r="U67" s="232"/>
      <c r="V67" s="232"/>
    </row>
    <row r="68" spans="1:22" s="124" customFormat="1" ht="15.05">
      <c r="A68" s="129" t="s">
        <v>90</v>
      </c>
      <c r="B68" s="130">
        <f>SUM(C68,E68,G68,I68,K68,M68,O68)</f>
        <v>23270</v>
      </c>
      <c r="C68" s="131">
        <v>6648</v>
      </c>
      <c r="D68" s="132">
        <v>1917.74</v>
      </c>
      <c r="E68" s="131">
        <v>7334</v>
      </c>
      <c r="F68" s="132">
        <v>2187.17</v>
      </c>
      <c r="G68" s="131">
        <v>4426</v>
      </c>
      <c r="H68" s="132">
        <v>1627.05</v>
      </c>
      <c r="I68" s="131">
        <v>677</v>
      </c>
      <c r="J68" s="132">
        <v>814.66</v>
      </c>
      <c r="K68" s="131">
        <v>3136</v>
      </c>
      <c r="L68" s="132">
        <v>1816.47</v>
      </c>
      <c r="M68" s="131">
        <v>742</v>
      </c>
      <c r="N68" s="132">
        <v>161.69999999999999</v>
      </c>
      <c r="O68" s="131">
        <v>307</v>
      </c>
      <c r="P68" s="132">
        <v>84.85</v>
      </c>
      <c r="Q68" s="224" t="s">
        <v>229</v>
      </c>
      <c r="R68" s="140"/>
      <c r="S68" s="140"/>
      <c r="T68" s="140"/>
      <c r="U68" s="232"/>
      <c r="V68" s="232"/>
    </row>
    <row r="69" spans="1:22" s="124" customFormat="1" ht="15.05">
      <c r="A69" s="129" t="s">
        <v>92</v>
      </c>
      <c r="B69" s="130">
        <f>SUM(C69,E69,G69,I69,K69,M69,O69)</f>
        <v>25536</v>
      </c>
      <c r="C69" s="131">
        <v>8106</v>
      </c>
      <c r="D69" s="132">
        <v>4029.65</v>
      </c>
      <c r="E69" s="131">
        <v>9901</v>
      </c>
      <c r="F69" s="132">
        <v>4075.85</v>
      </c>
      <c r="G69" s="131">
        <v>5484</v>
      </c>
      <c r="H69" s="132">
        <v>2412.1999999999998</v>
      </c>
      <c r="I69" s="131">
        <v>865</v>
      </c>
      <c r="J69" s="132">
        <v>1294</v>
      </c>
      <c r="K69" s="131">
        <v>1000</v>
      </c>
      <c r="L69" s="132">
        <v>1847.9</v>
      </c>
      <c r="M69" s="131">
        <v>180</v>
      </c>
      <c r="N69" s="132">
        <v>184.5</v>
      </c>
      <c r="O69" s="137" t="s">
        <v>289</v>
      </c>
      <c r="P69" s="132" t="s">
        <v>289</v>
      </c>
      <c r="Q69" s="224" t="s">
        <v>230</v>
      </c>
      <c r="R69" s="140"/>
      <c r="S69" s="140"/>
      <c r="T69" s="140"/>
      <c r="U69" s="232"/>
      <c r="V69" s="232"/>
    </row>
    <row r="70" spans="1:22" s="124" customFormat="1" ht="15.05">
      <c r="A70" s="129" t="s">
        <v>94</v>
      </c>
      <c r="B70" s="130">
        <f>SUM(C70,E70,G70,I70,K70,M70,O70)</f>
        <v>11204</v>
      </c>
      <c r="C70" s="131">
        <v>900</v>
      </c>
      <c r="D70" s="132">
        <v>267.2</v>
      </c>
      <c r="E70" s="131">
        <v>853</v>
      </c>
      <c r="F70" s="132">
        <v>316.05399999999997</v>
      </c>
      <c r="G70" s="131">
        <v>1049</v>
      </c>
      <c r="H70" s="132">
        <v>430.33</v>
      </c>
      <c r="I70" s="131">
        <v>571</v>
      </c>
      <c r="J70" s="132">
        <v>541.68100000000004</v>
      </c>
      <c r="K70" s="131">
        <v>5559</v>
      </c>
      <c r="L70" s="132">
        <v>4563.6899999999996</v>
      </c>
      <c r="M70" s="131">
        <v>817</v>
      </c>
      <c r="N70" s="132">
        <v>602</v>
      </c>
      <c r="O70" s="131">
        <v>1455</v>
      </c>
      <c r="P70" s="132">
        <v>470.12</v>
      </c>
      <c r="Q70" s="224" t="s">
        <v>231</v>
      </c>
      <c r="R70" s="140"/>
      <c r="S70" s="140"/>
      <c r="T70" s="140"/>
      <c r="U70" s="232"/>
      <c r="V70" s="232"/>
    </row>
    <row r="71" spans="1:22" s="124" customFormat="1" ht="15.05">
      <c r="A71" s="129" t="s">
        <v>97</v>
      </c>
      <c r="B71" s="130">
        <f>SUM(C71,E71,G71,I71,K71,M71,O71)</f>
        <v>8657</v>
      </c>
      <c r="C71" s="131">
        <v>1826</v>
      </c>
      <c r="D71" s="132">
        <v>770.65</v>
      </c>
      <c r="E71" s="131">
        <v>2842</v>
      </c>
      <c r="F71" s="132">
        <v>1559.55</v>
      </c>
      <c r="G71" s="131">
        <v>1038</v>
      </c>
      <c r="H71" s="132">
        <v>729.15</v>
      </c>
      <c r="I71" s="131">
        <v>1158</v>
      </c>
      <c r="J71" s="132">
        <v>1574.85</v>
      </c>
      <c r="K71" s="131">
        <v>1330</v>
      </c>
      <c r="L71" s="132">
        <v>1629.95</v>
      </c>
      <c r="M71" s="131">
        <v>351</v>
      </c>
      <c r="N71" s="132">
        <v>231.2</v>
      </c>
      <c r="O71" s="131">
        <v>112</v>
      </c>
      <c r="P71" s="132">
        <v>63.91</v>
      </c>
      <c r="Q71" s="224" t="s">
        <v>232</v>
      </c>
      <c r="R71" s="140"/>
      <c r="S71" s="140"/>
      <c r="T71" s="140"/>
      <c r="U71" s="232"/>
      <c r="V71" s="232"/>
    </row>
    <row r="72" spans="1:22" s="124" customFormat="1" ht="15.05">
      <c r="A72" s="129" t="s">
        <v>99</v>
      </c>
      <c r="B72" s="130">
        <f>SUM(C72,E72,G72,I72,K72,M72,O72)</f>
        <v>24319</v>
      </c>
      <c r="C72" s="131">
        <v>865</v>
      </c>
      <c r="D72" s="132">
        <v>311.64999999999998</v>
      </c>
      <c r="E72" s="131">
        <v>4130</v>
      </c>
      <c r="F72" s="132">
        <v>1593.8</v>
      </c>
      <c r="G72" s="131">
        <v>1476</v>
      </c>
      <c r="H72" s="132">
        <v>662.6</v>
      </c>
      <c r="I72" s="131">
        <v>2135</v>
      </c>
      <c r="J72" s="132">
        <v>3700.4</v>
      </c>
      <c r="K72" s="131">
        <v>3911</v>
      </c>
      <c r="L72" s="132">
        <v>5958.3</v>
      </c>
      <c r="M72" s="131">
        <v>11737</v>
      </c>
      <c r="N72" s="132">
        <v>2876.75</v>
      </c>
      <c r="O72" s="131">
        <v>65</v>
      </c>
      <c r="P72" s="132">
        <v>19.7</v>
      </c>
      <c r="Q72" s="224" t="s">
        <v>233</v>
      </c>
      <c r="R72" s="140"/>
      <c r="S72" s="140"/>
      <c r="T72" s="140"/>
      <c r="U72" s="232"/>
      <c r="V72" s="232"/>
    </row>
    <row r="73" spans="1:22" s="124" customFormat="1" ht="15.05">
      <c r="A73" s="167" t="s">
        <v>234</v>
      </c>
      <c r="B73" s="168">
        <f>SUM(B75:B82)</f>
        <v>8728</v>
      </c>
      <c r="C73" s="166">
        <f>SUM(C75:C82)</f>
        <v>1855</v>
      </c>
      <c r="D73" s="166">
        <f t="shared" ref="D73:P73" si="13">SUM(D75:D82)</f>
        <v>526.45399999999995</v>
      </c>
      <c r="E73" s="166">
        <f t="shared" si="13"/>
        <v>3101</v>
      </c>
      <c r="F73" s="166">
        <f t="shared" si="13"/>
        <v>1258.2539999999999</v>
      </c>
      <c r="G73" s="203">
        <f t="shared" si="13"/>
        <v>3350</v>
      </c>
      <c r="H73" s="166">
        <f t="shared" si="13"/>
        <v>1966.8330000000001</v>
      </c>
      <c r="I73" s="166">
        <f t="shared" si="13"/>
        <v>101</v>
      </c>
      <c r="J73" s="166">
        <f t="shared" si="13"/>
        <v>168.82</v>
      </c>
      <c r="K73" s="166">
        <f t="shared" si="13"/>
        <v>282</v>
      </c>
      <c r="L73" s="166">
        <f t="shared" si="13"/>
        <v>266.49399999999997</v>
      </c>
      <c r="M73" s="166">
        <f t="shared" si="13"/>
        <v>26</v>
      </c>
      <c r="N73" s="166">
        <f t="shared" si="13"/>
        <v>9.8000000000000007</v>
      </c>
      <c r="O73" s="166">
        <f t="shared" si="13"/>
        <v>13</v>
      </c>
      <c r="P73" s="212">
        <f t="shared" si="13"/>
        <v>5.9</v>
      </c>
      <c r="Q73" s="227" t="s">
        <v>235</v>
      </c>
      <c r="R73" s="205"/>
      <c r="S73" s="205"/>
      <c r="T73" s="140"/>
      <c r="U73" s="232"/>
      <c r="V73" s="232"/>
    </row>
    <row r="74" spans="1:22" s="124" customFormat="1" ht="15.05">
      <c r="A74" s="167"/>
      <c r="B74" s="168"/>
      <c r="C74" s="166"/>
      <c r="D74" s="166"/>
      <c r="E74" s="166"/>
      <c r="F74" s="166"/>
      <c r="G74" s="203"/>
      <c r="H74" s="166"/>
      <c r="I74" s="166"/>
      <c r="J74" s="166"/>
      <c r="K74" s="166"/>
      <c r="L74" s="166"/>
      <c r="M74" s="166"/>
      <c r="N74" s="166"/>
      <c r="O74" s="166"/>
      <c r="P74" s="212"/>
      <c r="Q74" s="227"/>
      <c r="R74" s="205"/>
      <c r="S74" s="205"/>
      <c r="T74" s="140"/>
      <c r="U74" s="232"/>
      <c r="V74" s="232"/>
    </row>
    <row r="75" spans="1:22" s="124" customFormat="1" ht="15.05">
      <c r="A75" s="138" t="s">
        <v>273</v>
      </c>
      <c r="B75" s="130">
        <f t="shared" ref="B75:B82" si="14">SUM(C75,E75,G75,I75,K75,M75,O75)</f>
        <v>0</v>
      </c>
      <c r="C75" s="131" t="s">
        <v>289</v>
      </c>
      <c r="D75" s="132" t="s">
        <v>289</v>
      </c>
      <c r="E75" s="131" t="s">
        <v>289</v>
      </c>
      <c r="F75" s="132" t="s">
        <v>289</v>
      </c>
      <c r="G75" s="131" t="s">
        <v>289</v>
      </c>
      <c r="H75" s="132" t="s">
        <v>289</v>
      </c>
      <c r="I75" s="131" t="s">
        <v>289</v>
      </c>
      <c r="J75" s="132" t="s">
        <v>289</v>
      </c>
      <c r="K75" s="131" t="s">
        <v>289</v>
      </c>
      <c r="L75" s="132" t="s">
        <v>289</v>
      </c>
      <c r="M75" s="131" t="s">
        <v>289</v>
      </c>
      <c r="N75" s="132" t="s">
        <v>289</v>
      </c>
      <c r="O75" s="131" t="s">
        <v>289</v>
      </c>
      <c r="P75" s="132" t="s">
        <v>289</v>
      </c>
      <c r="Q75" s="228" t="s">
        <v>236</v>
      </c>
      <c r="R75" s="204"/>
      <c r="S75" s="204"/>
      <c r="T75" s="204"/>
      <c r="U75" s="232"/>
      <c r="V75" s="232"/>
    </row>
    <row r="76" spans="1:22" s="124" customFormat="1" ht="15.05">
      <c r="A76" s="139" t="s">
        <v>274</v>
      </c>
      <c r="B76" s="130">
        <f t="shared" si="14"/>
        <v>0</v>
      </c>
      <c r="C76" s="131" t="s">
        <v>289</v>
      </c>
      <c r="D76" s="132" t="s">
        <v>289</v>
      </c>
      <c r="E76" s="131" t="s">
        <v>289</v>
      </c>
      <c r="F76" s="132" t="s">
        <v>289</v>
      </c>
      <c r="G76" s="131" t="s">
        <v>289</v>
      </c>
      <c r="H76" s="132" t="s">
        <v>289</v>
      </c>
      <c r="I76" s="131" t="s">
        <v>289</v>
      </c>
      <c r="J76" s="132" t="s">
        <v>289</v>
      </c>
      <c r="K76" s="131" t="s">
        <v>289</v>
      </c>
      <c r="L76" s="132" t="s">
        <v>289</v>
      </c>
      <c r="M76" s="131" t="s">
        <v>289</v>
      </c>
      <c r="N76" s="132" t="s">
        <v>289</v>
      </c>
      <c r="O76" s="131" t="s">
        <v>289</v>
      </c>
      <c r="P76" s="132" t="s">
        <v>289</v>
      </c>
      <c r="Q76" s="228" t="s">
        <v>237</v>
      </c>
      <c r="R76" s="204"/>
      <c r="S76" s="204"/>
      <c r="T76" s="204"/>
      <c r="U76" s="232"/>
      <c r="V76" s="232"/>
    </row>
    <row r="77" spans="1:22" s="124" customFormat="1" ht="15.05">
      <c r="A77" s="129" t="s">
        <v>106</v>
      </c>
      <c r="B77" s="130">
        <f t="shared" si="14"/>
        <v>0</v>
      </c>
      <c r="C77" s="131" t="s">
        <v>289</v>
      </c>
      <c r="D77" s="132" t="s">
        <v>289</v>
      </c>
      <c r="E77" s="131" t="s">
        <v>289</v>
      </c>
      <c r="F77" s="132" t="s">
        <v>289</v>
      </c>
      <c r="G77" s="131" t="s">
        <v>289</v>
      </c>
      <c r="H77" s="132" t="s">
        <v>289</v>
      </c>
      <c r="I77" s="131" t="s">
        <v>289</v>
      </c>
      <c r="J77" s="132" t="s">
        <v>289</v>
      </c>
      <c r="K77" s="131" t="s">
        <v>289</v>
      </c>
      <c r="L77" s="132" t="s">
        <v>289</v>
      </c>
      <c r="M77" s="131" t="s">
        <v>289</v>
      </c>
      <c r="N77" s="132" t="s">
        <v>289</v>
      </c>
      <c r="O77" s="131" t="s">
        <v>289</v>
      </c>
      <c r="P77" s="132" t="s">
        <v>289</v>
      </c>
      <c r="Q77" s="228" t="s">
        <v>238</v>
      </c>
      <c r="R77" s="204"/>
      <c r="S77" s="204"/>
      <c r="T77" s="204"/>
      <c r="U77" s="232"/>
      <c r="V77" s="232"/>
    </row>
    <row r="78" spans="1:22" s="124" customFormat="1" ht="15.05">
      <c r="A78" s="129" t="s">
        <v>108</v>
      </c>
      <c r="B78" s="130">
        <f t="shared" si="14"/>
        <v>0</v>
      </c>
      <c r="C78" s="131" t="s">
        <v>289</v>
      </c>
      <c r="D78" s="132" t="s">
        <v>289</v>
      </c>
      <c r="E78" s="131" t="s">
        <v>289</v>
      </c>
      <c r="F78" s="132" t="s">
        <v>289</v>
      </c>
      <c r="G78" s="131" t="s">
        <v>289</v>
      </c>
      <c r="H78" s="132" t="s">
        <v>289</v>
      </c>
      <c r="I78" s="131" t="s">
        <v>289</v>
      </c>
      <c r="J78" s="132" t="s">
        <v>289</v>
      </c>
      <c r="K78" s="131" t="s">
        <v>289</v>
      </c>
      <c r="L78" s="132" t="s">
        <v>289</v>
      </c>
      <c r="M78" s="131" t="s">
        <v>289</v>
      </c>
      <c r="N78" s="132" t="s">
        <v>289</v>
      </c>
      <c r="O78" s="131" t="s">
        <v>289</v>
      </c>
      <c r="P78" s="132" t="s">
        <v>289</v>
      </c>
      <c r="Q78" s="228" t="s">
        <v>239</v>
      </c>
      <c r="R78" s="204"/>
      <c r="S78" s="204"/>
      <c r="T78" s="204"/>
      <c r="U78" s="232"/>
      <c r="V78" s="232"/>
    </row>
    <row r="79" spans="1:22" s="124" customFormat="1" ht="15.05">
      <c r="A79" s="129" t="s">
        <v>110</v>
      </c>
      <c r="B79" s="130">
        <f t="shared" si="14"/>
        <v>2864</v>
      </c>
      <c r="C79" s="131">
        <v>346</v>
      </c>
      <c r="D79" s="132">
        <v>102.694</v>
      </c>
      <c r="E79" s="131">
        <v>1026</v>
      </c>
      <c r="F79" s="132">
        <v>638.25400000000002</v>
      </c>
      <c r="G79" s="131">
        <v>1172</v>
      </c>
      <c r="H79" s="132">
        <v>640.60500000000002</v>
      </c>
      <c r="I79" s="131">
        <v>74</v>
      </c>
      <c r="J79" s="132">
        <v>123.82</v>
      </c>
      <c r="K79" s="131">
        <v>220</v>
      </c>
      <c r="L79" s="132">
        <v>206.59399999999999</v>
      </c>
      <c r="M79" s="131">
        <v>26</v>
      </c>
      <c r="N79" s="132">
        <v>9.8000000000000007</v>
      </c>
      <c r="O79" s="137" t="s">
        <v>289</v>
      </c>
      <c r="P79" s="132" t="s">
        <v>289</v>
      </c>
      <c r="Q79" s="228" t="s">
        <v>240</v>
      </c>
      <c r="R79" s="204"/>
      <c r="S79" s="204"/>
      <c r="T79" s="204"/>
      <c r="U79" s="232"/>
      <c r="V79" s="232"/>
    </row>
    <row r="80" spans="1:22" s="124" customFormat="1" ht="15.05">
      <c r="A80" s="129" t="s">
        <v>113</v>
      </c>
      <c r="B80" s="130">
        <f t="shared" si="14"/>
        <v>5188</v>
      </c>
      <c r="C80" s="131">
        <v>1485</v>
      </c>
      <c r="D80" s="132">
        <v>414.4</v>
      </c>
      <c r="E80" s="131">
        <v>1741</v>
      </c>
      <c r="F80" s="132">
        <v>469.5</v>
      </c>
      <c r="G80" s="131">
        <v>1887</v>
      </c>
      <c r="H80" s="132">
        <v>1210.9280000000001</v>
      </c>
      <c r="I80" s="137" t="s">
        <v>289</v>
      </c>
      <c r="J80" s="132" t="s">
        <v>289</v>
      </c>
      <c r="K80" s="131">
        <v>62</v>
      </c>
      <c r="L80" s="132">
        <v>59.9</v>
      </c>
      <c r="M80" s="137" t="s">
        <v>289</v>
      </c>
      <c r="N80" s="132" t="s">
        <v>289</v>
      </c>
      <c r="O80" s="131">
        <v>13</v>
      </c>
      <c r="P80" s="132">
        <v>5.9</v>
      </c>
      <c r="Q80" s="228" t="s">
        <v>241</v>
      </c>
      <c r="R80" s="204"/>
      <c r="S80" s="204"/>
      <c r="T80" s="204"/>
      <c r="U80" s="232"/>
      <c r="V80" s="232"/>
    </row>
    <row r="81" spans="1:22" s="124" customFormat="1" ht="15.05">
      <c r="A81" s="129" t="s">
        <v>115</v>
      </c>
      <c r="B81" s="130">
        <f t="shared" si="14"/>
        <v>0</v>
      </c>
      <c r="C81" s="131" t="s">
        <v>289</v>
      </c>
      <c r="D81" s="132" t="s">
        <v>289</v>
      </c>
      <c r="E81" s="131" t="s">
        <v>289</v>
      </c>
      <c r="F81" s="132" t="s">
        <v>289</v>
      </c>
      <c r="G81" s="131" t="s">
        <v>289</v>
      </c>
      <c r="H81" s="132" t="s">
        <v>289</v>
      </c>
      <c r="I81" s="137" t="s">
        <v>289</v>
      </c>
      <c r="J81" s="132" t="s">
        <v>289</v>
      </c>
      <c r="K81" s="131" t="s">
        <v>289</v>
      </c>
      <c r="L81" s="132" t="s">
        <v>289</v>
      </c>
      <c r="M81" s="137" t="s">
        <v>289</v>
      </c>
      <c r="N81" s="132" t="s">
        <v>289</v>
      </c>
      <c r="O81" s="131" t="s">
        <v>289</v>
      </c>
      <c r="P81" s="132" t="s">
        <v>289</v>
      </c>
      <c r="Q81" s="228" t="s">
        <v>242</v>
      </c>
      <c r="R81" s="204"/>
      <c r="S81" s="204"/>
      <c r="T81" s="204"/>
      <c r="U81" s="232"/>
      <c r="V81" s="232"/>
    </row>
    <row r="82" spans="1:22" s="124" customFormat="1" ht="15.05">
      <c r="A82" s="129" t="s">
        <v>117</v>
      </c>
      <c r="B82" s="130">
        <f t="shared" si="14"/>
        <v>676</v>
      </c>
      <c r="C82" s="131">
        <v>24</v>
      </c>
      <c r="D82" s="132">
        <v>9.36</v>
      </c>
      <c r="E82" s="131">
        <v>334</v>
      </c>
      <c r="F82" s="132">
        <v>150.5</v>
      </c>
      <c r="G82" s="131">
        <v>291</v>
      </c>
      <c r="H82" s="132">
        <v>115.3</v>
      </c>
      <c r="I82" s="131">
        <v>27</v>
      </c>
      <c r="J82" s="132">
        <v>45</v>
      </c>
      <c r="K82" s="137" t="s">
        <v>289</v>
      </c>
      <c r="L82" s="132" t="s">
        <v>289</v>
      </c>
      <c r="M82" s="137" t="s">
        <v>289</v>
      </c>
      <c r="N82" s="132" t="s">
        <v>289</v>
      </c>
      <c r="O82" s="137" t="s">
        <v>289</v>
      </c>
      <c r="P82" s="132" t="s">
        <v>289</v>
      </c>
      <c r="Q82" s="228" t="s">
        <v>243</v>
      </c>
      <c r="R82" s="204"/>
      <c r="S82" s="204"/>
      <c r="T82" s="204"/>
      <c r="U82" s="232"/>
      <c r="V82" s="232"/>
    </row>
    <row r="83" spans="1:22" s="124" customFormat="1" ht="15.05">
      <c r="A83" s="167" t="s">
        <v>244</v>
      </c>
      <c r="B83" s="168">
        <f>SUM(B85:B89)</f>
        <v>25973</v>
      </c>
      <c r="C83" s="166">
        <f>SUM(C85:C89)</f>
        <v>4262</v>
      </c>
      <c r="D83" s="166">
        <f t="shared" ref="D83:P83" si="15">SUM(D85:D89)</f>
        <v>1333.9689999999998</v>
      </c>
      <c r="E83" s="166">
        <f t="shared" si="15"/>
        <v>6336</v>
      </c>
      <c r="F83" s="166">
        <f t="shared" si="15"/>
        <v>2328.27</v>
      </c>
      <c r="G83" s="203">
        <f t="shared" si="15"/>
        <v>2962</v>
      </c>
      <c r="H83" s="166">
        <f t="shared" si="15"/>
        <v>1159.085</v>
      </c>
      <c r="I83" s="166">
        <f t="shared" si="15"/>
        <v>5424</v>
      </c>
      <c r="J83" s="166">
        <f t="shared" si="15"/>
        <v>5623.6399999999994</v>
      </c>
      <c r="K83" s="166">
        <f t="shared" si="15"/>
        <v>3692</v>
      </c>
      <c r="L83" s="166">
        <f t="shared" si="15"/>
        <v>2920.2449999999999</v>
      </c>
      <c r="M83" s="166">
        <f t="shared" si="15"/>
        <v>985</v>
      </c>
      <c r="N83" s="166">
        <f t="shared" si="15"/>
        <v>280.95</v>
      </c>
      <c r="O83" s="166">
        <f t="shared" si="15"/>
        <v>2312</v>
      </c>
      <c r="P83" s="212">
        <f t="shared" si="15"/>
        <v>1206.2450000000001</v>
      </c>
      <c r="Q83" s="229" t="s">
        <v>245</v>
      </c>
      <c r="R83" s="206"/>
      <c r="S83" s="206"/>
      <c r="T83" s="140"/>
      <c r="U83" s="232"/>
      <c r="V83" s="232"/>
    </row>
    <row r="84" spans="1:22" s="124" customFormat="1" ht="15.05">
      <c r="A84" s="167"/>
      <c r="B84" s="168"/>
      <c r="C84" s="166"/>
      <c r="D84" s="166"/>
      <c r="E84" s="166"/>
      <c r="F84" s="166"/>
      <c r="G84" s="203"/>
      <c r="H84" s="166"/>
      <c r="I84" s="166"/>
      <c r="J84" s="166"/>
      <c r="K84" s="166"/>
      <c r="L84" s="166"/>
      <c r="M84" s="166"/>
      <c r="N84" s="166"/>
      <c r="O84" s="166"/>
      <c r="P84" s="212"/>
      <c r="Q84" s="229"/>
      <c r="R84" s="206"/>
      <c r="S84" s="206"/>
      <c r="T84" s="140"/>
      <c r="U84" s="232"/>
      <c r="V84" s="232"/>
    </row>
    <row r="85" spans="1:22" s="124" customFormat="1" ht="15.05">
      <c r="A85" s="129" t="s">
        <v>119</v>
      </c>
      <c r="B85" s="130">
        <f>SUM(C85,E85,G85,I85,K85,M85,O85)</f>
        <v>15721</v>
      </c>
      <c r="C85" s="131">
        <v>2914</v>
      </c>
      <c r="D85" s="132">
        <v>1002.54</v>
      </c>
      <c r="E85" s="131">
        <v>3054</v>
      </c>
      <c r="F85" s="132">
        <v>1377.6</v>
      </c>
      <c r="G85" s="131">
        <v>993</v>
      </c>
      <c r="H85" s="132">
        <v>406.21</v>
      </c>
      <c r="I85" s="131">
        <v>4819</v>
      </c>
      <c r="J85" s="132">
        <v>5041.8</v>
      </c>
      <c r="K85" s="131">
        <v>3201</v>
      </c>
      <c r="L85" s="132">
        <v>2722.9</v>
      </c>
      <c r="M85" s="131">
        <v>740</v>
      </c>
      <c r="N85" s="132">
        <v>244.2</v>
      </c>
      <c r="O85" s="137" t="s">
        <v>289</v>
      </c>
      <c r="P85" s="132" t="s">
        <v>289</v>
      </c>
      <c r="Q85" s="224" t="s">
        <v>246</v>
      </c>
      <c r="R85" s="140"/>
      <c r="S85" s="140"/>
      <c r="T85" s="140"/>
      <c r="U85" s="232"/>
      <c r="V85" s="232"/>
    </row>
    <row r="86" spans="1:22" s="124" customFormat="1" ht="15.05">
      <c r="A86" s="129" t="s">
        <v>122</v>
      </c>
      <c r="B86" s="130">
        <f>SUM(C86,E86,G86,I86,K86,M86,O86)</f>
        <v>2550</v>
      </c>
      <c r="C86" s="131">
        <v>332</v>
      </c>
      <c r="D86" s="132">
        <v>92.75</v>
      </c>
      <c r="E86" s="131">
        <v>834</v>
      </c>
      <c r="F86" s="132">
        <v>305.2</v>
      </c>
      <c r="G86" s="131">
        <v>962</v>
      </c>
      <c r="H86" s="132">
        <v>468.3</v>
      </c>
      <c r="I86" s="131">
        <v>16</v>
      </c>
      <c r="J86" s="132">
        <v>12.4</v>
      </c>
      <c r="K86" s="131">
        <v>23</v>
      </c>
      <c r="L86" s="132">
        <v>22.5</v>
      </c>
      <c r="M86" s="131">
        <v>245</v>
      </c>
      <c r="N86" s="132">
        <v>36.75</v>
      </c>
      <c r="O86" s="131">
        <v>138</v>
      </c>
      <c r="P86" s="132">
        <v>73</v>
      </c>
      <c r="Q86" s="224" t="s">
        <v>247</v>
      </c>
      <c r="R86" s="140"/>
      <c r="S86" s="140"/>
      <c r="T86" s="140"/>
      <c r="U86" s="232"/>
      <c r="V86" s="232"/>
    </row>
    <row r="87" spans="1:22" s="124" customFormat="1" ht="15.05">
      <c r="A87" s="129" t="s">
        <v>124</v>
      </c>
      <c r="B87" s="130">
        <f>SUM(C87,E87,G87,I87,K87,M87,O87)</f>
        <v>6112</v>
      </c>
      <c r="C87" s="131">
        <v>578</v>
      </c>
      <c r="D87" s="132">
        <v>165.274</v>
      </c>
      <c r="E87" s="131">
        <v>2009</v>
      </c>
      <c r="F87" s="132">
        <v>567.16</v>
      </c>
      <c r="G87" s="131">
        <v>451</v>
      </c>
      <c r="H87" s="132">
        <v>169.125</v>
      </c>
      <c r="I87" s="131">
        <v>569</v>
      </c>
      <c r="J87" s="132">
        <v>566.25</v>
      </c>
      <c r="K87" s="131">
        <v>429</v>
      </c>
      <c r="L87" s="132">
        <v>160.875</v>
      </c>
      <c r="M87" s="137" t="s">
        <v>289</v>
      </c>
      <c r="N87" s="132" t="s">
        <v>289</v>
      </c>
      <c r="O87" s="131">
        <v>2076</v>
      </c>
      <c r="P87" s="132">
        <v>1113.3150000000001</v>
      </c>
      <c r="Q87" s="224" t="s">
        <v>248</v>
      </c>
      <c r="R87" s="140"/>
      <c r="S87" s="140"/>
      <c r="T87" s="140"/>
      <c r="U87" s="232"/>
      <c r="V87" s="232"/>
    </row>
    <row r="88" spans="1:22" s="124" customFormat="1" ht="15.05">
      <c r="A88" s="129" t="s">
        <v>127</v>
      </c>
      <c r="B88" s="130">
        <f>SUM(C88,E88,G88,I88,K88,M88,O88)</f>
        <v>123</v>
      </c>
      <c r="C88" s="131">
        <v>7</v>
      </c>
      <c r="D88" s="132">
        <v>0.89500000000000002</v>
      </c>
      <c r="E88" s="131">
        <v>39</v>
      </c>
      <c r="F88" s="132">
        <v>5.85</v>
      </c>
      <c r="G88" s="131">
        <v>53</v>
      </c>
      <c r="H88" s="132">
        <v>7.95</v>
      </c>
      <c r="I88" s="137" t="s">
        <v>289</v>
      </c>
      <c r="J88" s="132" t="s">
        <v>289</v>
      </c>
      <c r="K88" s="131">
        <v>20</v>
      </c>
      <c r="L88" s="132">
        <v>3</v>
      </c>
      <c r="M88" s="137" t="s">
        <v>289</v>
      </c>
      <c r="N88" s="132" t="s">
        <v>289</v>
      </c>
      <c r="O88" s="131">
        <v>4</v>
      </c>
      <c r="P88" s="132">
        <v>0.75</v>
      </c>
      <c r="Q88" s="224" t="s">
        <v>249</v>
      </c>
      <c r="R88" s="140"/>
      <c r="S88" s="140"/>
      <c r="T88" s="140"/>
      <c r="U88" s="232"/>
      <c r="V88" s="232"/>
    </row>
    <row r="89" spans="1:22" s="124" customFormat="1" ht="15.05">
      <c r="A89" s="129" t="s">
        <v>129</v>
      </c>
      <c r="B89" s="130">
        <f>SUM(C89,E89,G89,I89,K89,M89,O89)</f>
        <v>1467</v>
      </c>
      <c r="C89" s="131">
        <v>431</v>
      </c>
      <c r="D89" s="132">
        <v>72.510000000000005</v>
      </c>
      <c r="E89" s="131">
        <v>400</v>
      </c>
      <c r="F89" s="132">
        <v>72.459999999999994</v>
      </c>
      <c r="G89" s="131">
        <v>503</v>
      </c>
      <c r="H89" s="132">
        <v>107.5</v>
      </c>
      <c r="I89" s="131">
        <v>20</v>
      </c>
      <c r="J89" s="132">
        <v>3.19</v>
      </c>
      <c r="K89" s="131">
        <v>19</v>
      </c>
      <c r="L89" s="132">
        <v>10.97</v>
      </c>
      <c r="M89" s="137" t="s">
        <v>289</v>
      </c>
      <c r="N89" s="132" t="s">
        <v>289</v>
      </c>
      <c r="O89" s="131">
        <v>94</v>
      </c>
      <c r="P89" s="132">
        <v>19.18</v>
      </c>
      <c r="Q89" s="224" t="s">
        <v>250</v>
      </c>
      <c r="R89" s="140"/>
      <c r="S89" s="140"/>
      <c r="T89" s="140"/>
      <c r="U89" s="232"/>
      <c r="V89" s="232"/>
    </row>
    <row r="90" spans="1:22" s="124" customFormat="1" ht="15.05">
      <c r="A90" s="167" t="s">
        <v>251</v>
      </c>
      <c r="B90" s="168">
        <f>SUM(B92:B104)</f>
        <v>75128</v>
      </c>
      <c r="C90" s="166">
        <f>SUM(C92:C104)</f>
        <v>42189</v>
      </c>
      <c r="D90" s="166">
        <f t="shared" ref="D90:P90" si="16">SUM(D92:D104)</f>
        <v>9553.7510000000002</v>
      </c>
      <c r="E90" s="166">
        <f t="shared" si="16"/>
        <v>17653</v>
      </c>
      <c r="F90" s="166">
        <f t="shared" si="16"/>
        <v>4584.7760000000007</v>
      </c>
      <c r="G90" s="203">
        <f t="shared" si="16"/>
        <v>8546</v>
      </c>
      <c r="H90" s="166">
        <f t="shared" si="16"/>
        <v>2956.4679999999998</v>
      </c>
      <c r="I90" s="166">
        <f t="shared" si="16"/>
        <v>2379</v>
      </c>
      <c r="J90" s="166">
        <f t="shared" si="16"/>
        <v>1901.6960000000001</v>
      </c>
      <c r="K90" s="166">
        <f t="shared" si="16"/>
        <v>585</v>
      </c>
      <c r="L90" s="166">
        <f t="shared" si="16"/>
        <v>401.60199999999998</v>
      </c>
      <c r="M90" s="166">
        <f t="shared" si="16"/>
        <v>10</v>
      </c>
      <c r="N90" s="166">
        <f t="shared" si="16"/>
        <v>2</v>
      </c>
      <c r="O90" s="166">
        <f t="shared" si="16"/>
        <v>3766</v>
      </c>
      <c r="P90" s="212">
        <f t="shared" si="16"/>
        <v>1087.1379999999999</v>
      </c>
      <c r="Q90" s="225" t="s">
        <v>252</v>
      </c>
      <c r="R90" s="210"/>
      <c r="S90" s="210"/>
      <c r="T90" s="140"/>
      <c r="U90" s="232"/>
      <c r="V90" s="232"/>
    </row>
    <row r="91" spans="1:22" s="124" customFormat="1" ht="15.05">
      <c r="A91" s="167"/>
      <c r="B91" s="168"/>
      <c r="C91" s="166"/>
      <c r="D91" s="166"/>
      <c r="E91" s="166"/>
      <c r="F91" s="166"/>
      <c r="G91" s="203"/>
      <c r="H91" s="166"/>
      <c r="I91" s="166"/>
      <c r="J91" s="166"/>
      <c r="K91" s="166"/>
      <c r="L91" s="166"/>
      <c r="M91" s="166"/>
      <c r="N91" s="166"/>
      <c r="O91" s="166"/>
      <c r="P91" s="212"/>
      <c r="Q91" s="225"/>
      <c r="R91" s="210"/>
      <c r="S91" s="210"/>
      <c r="T91" s="140"/>
      <c r="U91" s="232"/>
      <c r="V91" s="232"/>
    </row>
    <row r="92" spans="1:22" s="124" customFormat="1" ht="15.05">
      <c r="A92" s="129" t="s">
        <v>131</v>
      </c>
      <c r="B92" s="130">
        <f t="shared" ref="B92:B104" si="17">SUM(C92,E92,G92,I92,K92,M92,O92)</f>
        <v>1697</v>
      </c>
      <c r="C92" s="131">
        <v>1646</v>
      </c>
      <c r="D92" s="132">
        <v>604.75</v>
      </c>
      <c r="E92" s="131">
        <v>50</v>
      </c>
      <c r="F92" s="132">
        <v>17.5</v>
      </c>
      <c r="G92" s="137" t="s">
        <v>289</v>
      </c>
      <c r="H92" s="132" t="s">
        <v>289</v>
      </c>
      <c r="I92" s="131">
        <v>1</v>
      </c>
      <c r="J92" s="132">
        <v>0.4</v>
      </c>
      <c r="K92" s="137" t="s">
        <v>289</v>
      </c>
      <c r="L92" s="132" t="s">
        <v>289</v>
      </c>
      <c r="M92" s="137" t="s">
        <v>289</v>
      </c>
      <c r="N92" s="132" t="s">
        <v>289</v>
      </c>
      <c r="O92" s="137" t="s">
        <v>289</v>
      </c>
      <c r="P92" s="132" t="s">
        <v>289</v>
      </c>
      <c r="Q92" s="224" t="s">
        <v>253</v>
      </c>
      <c r="R92" s="140"/>
      <c r="S92" s="140"/>
      <c r="T92" s="140"/>
      <c r="U92" s="232"/>
      <c r="V92" s="232"/>
    </row>
    <row r="93" spans="1:22" s="124" customFormat="1" ht="15.05">
      <c r="A93" s="129" t="s">
        <v>133</v>
      </c>
      <c r="B93" s="130">
        <f t="shared" si="17"/>
        <v>3464</v>
      </c>
      <c r="C93" s="131">
        <v>1005</v>
      </c>
      <c r="D93" s="132">
        <v>253</v>
      </c>
      <c r="E93" s="131">
        <v>565</v>
      </c>
      <c r="F93" s="132">
        <v>148.9</v>
      </c>
      <c r="G93" s="131">
        <v>265</v>
      </c>
      <c r="H93" s="132">
        <v>89.75</v>
      </c>
      <c r="I93" s="131">
        <v>316</v>
      </c>
      <c r="J93" s="132">
        <v>324.89999999999998</v>
      </c>
      <c r="K93" s="131">
        <v>125</v>
      </c>
      <c r="L93" s="132">
        <v>125</v>
      </c>
      <c r="M93" s="137" t="s">
        <v>289</v>
      </c>
      <c r="N93" s="132" t="s">
        <v>289</v>
      </c>
      <c r="O93" s="131">
        <v>1188</v>
      </c>
      <c r="P93" s="132">
        <v>356.4</v>
      </c>
      <c r="Q93" s="224" t="s">
        <v>254</v>
      </c>
      <c r="R93" s="140"/>
      <c r="S93" s="140"/>
      <c r="T93" s="140"/>
      <c r="U93" s="232"/>
      <c r="V93" s="232"/>
    </row>
    <row r="94" spans="1:22" s="124" customFormat="1" ht="15.05">
      <c r="A94" s="129" t="s">
        <v>135</v>
      </c>
      <c r="B94" s="130">
        <f t="shared" si="17"/>
        <v>1994</v>
      </c>
      <c r="C94" s="131">
        <v>1109</v>
      </c>
      <c r="D94" s="132">
        <v>223.4</v>
      </c>
      <c r="E94" s="131">
        <v>620</v>
      </c>
      <c r="F94" s="132">
        <v>155.94999999999999</v>
      </c>
      <c r="G94" s="131">
        <v>265</v>
      </c>
      <c r="H94" s="132">
        <v>116</v>
      </c>
      <c r="I94" s="137" t="s">
        <v>289</v>
      </c>
      <c r="J94" s="132" t="s">
        <v>289</v>
      </c>
      <c r="K94" s="137" t="s">
        <v>289</v>
      </c>
      <c r="L94" s="132" t="s">
        <v>289</v>
      </c>
      <c r="M94" s="137" t="s">
        <v>289</v>
      </c>
      <c r="N94" s="132" t="s">
        <v>289</v>
      </c>
      <c r="O94" s="137" t="s">
        <v>289</v>
      </c>
      <c r="P94" s="132" t="s">
        <v>289</v>
      </c>
      <c r="Q94" s="224" t="s">
        <v>255</v>
      </c>
      <c r="R94" s="140"/>
      <c r="S94" s="140"/>
      <c r="T94" s="140"/>
      <c r="U94" s="232"/>
      <c r="V94" s="232"/>
    </row>
    <row r="95" spans="1:22" s="124" customFormat="1" ht="15.05">
      <c r="A95" s="129" t="s">
        <v>137</v>
      </c>
      <c r="B95" s="130">
        <f t="shared" si="17"/>
        <v>3043</v>
      </c>
      <c r="C95" s="131">
        <v>1153</v>
      </c>
      <c r="D95" s="132">
        <v>244.5</v>
      </c>
      <c r="E95" s="131">
        <v>1585</v>
      </c>
      <c r="F95" s="132">
        <v>428.25</v>
      </c>
      <c r="G95" s="131">
        <v>250</v>
      </c>
      <c r="H95" s="132">
        <v>77.900000000000006</v>
      </c>
      <c r="I95" s="137" t="s">
        <v>289</v>
      </c>
      <c r="J95" s="132" t="s">
        <v>289</v>
      </c>
      <c r="K95" s="131">
        <v>25</v>
      </c>
      <c r="L95" s="132">
        <v>7.75</v>
      </c>
      <c r="M95" s="137" t="s">
        <v>289</v>
      </c>
      <c r="N95" s="132" t="s">
        <v>289</v>
      </c>
      <c r="O95" s="131">
        <v>30</v>
      </c>
      <c r="P95" s="132">
        <v>10.95</v>
      </c>
      <c r="Q95" s="224" t="s">
        <v>256</v>
      </c>
      <c r="R95" s="140"/>
      <c r="S95" s="140"/>
      <c r="T95" s="140"/>
      <c r="U95" s="232"/>
      <c r="V95" s="232"/>
    </row>
    <row r="96" spans="1:22" s="124" customFormat="1" ht="15.05">
      <c r="A96" s="129" t="s">
        <v>139</v>
      </c>
      <c r="B96" s="130">
        <f t="shared" si="17"/>
        <v>1762</v>
      </c>
      <c r="C96" s="131">
        <v>843</v>
      </c>
      <c r="D96" s="132">
        <v>231.17599999999999</v>
      </c>
      <c r="E96" s="131">
        <v>24</v>
      </c>
      <c r="F96" s="132">
        <v>4.8</v>
      </c>
      <c r="G96" s="131">
        <v>5</v>
      </c>
      <c r="H96" s="132">
        <v>2</v>
      </c>
      <c r="I96" s="131">
        <v>878</v>
      </c>
      <c r="J96" s="132">
        <v>658.46600000000001</v>
      </c>
      <c r="K96" s="131">
        <v>11</v>
      </c>
      <c r="L96" s="132">
        <v>6.9</v>
      </c>
      <c r="M96" s="137" t="s">
        <v>289</v>
      </c>
      <c r="N96" s="132" t="s">
        <v>289</v>
      </c>
      <c r="O96" s="131">
        <v>1</v>
      </c>
      <c r="P96" s="132">
        <v>0.23200000000000001</v>
      </c>
      <c r="Q96" s="224" t="s">
        <v>257</v>
      </c>
      <c r="R96" s="140"/>
      <c r="S96" s="140"/>
      <c r="T96" s="140"/>
      <c r="U96" s="232"/>
      <c r="V96" s="232"/>
    </row>
    <row r="97" spans="1:22" s="124" customFormat="1" ht="15.05">
      <c r="A97" s="129" t="s">
        <v>141</v>
      </c>
      <c r="B97" s="130">
        <f t="shared" si="17"/>
        <v>11437</v>
      </c>
      <c r="C97" s="131">
        <v>5654</v>
      </c>
      <c r="D97" s="132">
        <v>946.2</v>
      </c>
      <c r="E97" s="131">
        <v>4977</v>
      </c>
      <c r="F97" s="132">
        <v>1201.95</v>
      </c>
      <c r="G97" s="131">
        <v>469</v>
      </c>
      <c r="H97" s="132">
        <v>226</v>
      </c>
      <c r="I97" s="137" t="s">
        <v>289</v>
      </c>
      <c r="J97" s="132" t="s">
        <v>289</v>
      </c>
      <c r="K97" s="131">
        <v>178</v>
      </c>
      <c r="L97" s="132">
        <v>106.8</v>
      </c>
      <c r="M97" s="137" t="s">
        <v>289</v>
      </c>
      <c r="N97" s="132" t="s">
        <v>289</v>
      </c>
      <c r="O97" s="131">
        <v>159</v>
      </c>
      <c r="P97" s="132">
        <v>47.7</v>
      </c>
      <c r="Q97" s="224" t="s">
        <v>258</v>
      </c>
      <c r="R97" s="140"/>
      <c r="S97" s="140"/>
      <c r="T97" s="140"/>
      <c r="U97" s="232"/>
      <c r="V97" s="232"/>
    </row>
    <row r="98" spans="1:22" s="124" customFormat="1" ht="15.05">
      <c r="A98" s="129" t="s">
        <v>144</v>
      </c>
      <c r="B98" s="130">
        <f t="shared" si="17"/>
        <v>8982</v>
      </c>
      <c r="C98" s="131">
        <v>4000</v>
      </c>
      <c r="D98" s="132">
        <v>788.02499999999998</v>
      </c>
      <c r="E98" s="131">
        <v>4032</v>
      </c>
      <c r="F98" s="132">
        <v>1349.73</v>
      </c>
      <c r="G98" s="131">
        <v>550</v>
      </c>
      <c r="H98" s="132">
        <v>310.05</v>
      </c>
      <c r="I98" s="131">
        <v>355</v>
      </c>
      <c r="J98" s="132">
        <v>386</v>
      </c>
      <c r="K98" s="131">
        <v>45</v>
      </c>
      <c r="L98" s="132">
        <v>49.5</v>
      </c>
      <c r="M98" s="137" t="s">
        <v>289</v>
      </c>
      <c r="N98" s="132" t="s">
        <v>289</v>
      </c>
      <c r="O98" s="137" t="s">
        <v>289</v>
      </c>
      <c r="P98" s="132" t="s">
        <v>289</v>
      </c>
      <c r="Q98" s="224" t="s">
        <v>259</v>
      </c>
      <c r="R98" s="140"/>
      <c r="S98" s="140"/>
      <c r="T98" s="140"/>
      <c r="U98" s="232"/>
      <c r="V98" s="232"/>
    </row>
    <row r="99" spans="1:22" s="124" customFormat="1" ht="15.05">
      <c r="A99" s="129" t="s">
        <v>146</v>
      </c>
      <c r="B99" s="130">
        <f t="shared" si="17"/>
        <v>8578</v>
      </c>
      <c r="C99" s="131">
        <v>3865</v>
      </c>
      <c r="D99" s="132">
        <v>237.8</v>
      </c>
      <c r="E99" s="131">
        <v>2371</v>
      </c>
      <c r="F99" s="132">
        <v>178.9</v>
      </c>
      <c r="G99" s="131">
        <v>1589</v>
      </c>
      <c r="H99" s="132">
        <v>221.8</v>
      </c>
      <c r="I99" s="131">
        <v>3</v>
      </c>
      <c r="J99" s="132">
        <v>3</v>
      </c>
      <c r="K99" s="137" t="s">
        <v>289</v>
      </c>
      <c r="L99" s="132" t="s">
        <v>289</v>
      </c>
      <c r="M99" s="137" t="s">
        <v>289</v>
      </c>
      <c r="N99" s="132" t="s">
        <v>289</v>
      </c>
      <c r="O99" s="131">
        <v>750</v>
      </c>
      <c r="P99" s="132">
        <v>210</v>
      </c>
      <c r="Q99" s="224" t="s">
        <v>260</v>
      </c>
      <c r="R99" s="140"/>
      <c r="S99" s="140"/>
      <c r="T99" s="140"/>
      <c r="U99" s="232"/>
      <c r="V99" s="232"/>
    </row>
    <row r="100" spans="1:22" s="124" customFormat="1" ht="15.05">
      <c r="A100" s="129" t="s">
        <v>148</v>
      </c>
      <c r="B100" s="130">
        <f t="shared" si="17"/>
        <v>1670</v>
      </c>
      <c r="C100" s="131">
        <v>800</v>
      </c>
      <c r="D100" s="132">
        <v>190</v>
      </c>
      <c r="E100" s="131">
        <v>870</v>
      </c>
      <c r="F100" s="132">
        <v>278</v>
      </c>
      <c r="G100" s="137" t="s">
        <v>289</v>
      </c>
      <c r="H100" s="132" t="s">
        <v>289</v>
      </c>
      <c r="I100" s="137" t="s">
        <v>289</v>
      </c>
      <c r="J100" s="132" t="s">
        <v>289</v>
      </c>
      <c r="K100" s="137" t="s">
        <v>289</v>
      </c>
      <c r="L100" s="132" t="s">
        <v>289</v>
      </c>
      <c r="M100" s="137" t="s">
        <v>289</v>
      </c>
      <c r="N100" s="132" t="s">
        <v>289</v>
      </c>
      <c r="O100" s="137" t="s">
        <v>289</v>
      </c>
      <c r="P100" s="132" t="s">
        <v>289</v>
      </c>
      <c r="Q100" s="224" t="s">
        <v>261</v>
      </c>
      <c r="R100" s="140"/>
      <c r="S100" s="140"/>
      <c r="T100" s="140"/>
      <c r="U100" s="232"/>
      <c r="V100" s="232"/>
    </row>
    <row r="101" spans="1:22" s="124" customFormat="1" ht="15.05">
      <c r="A101" s="129" t="s">
        <v>150</v>
      </c>
      <c r="B101" s="130">
        <f t="shared" si="17"/>
        <v>10429</v>
      </c>
      <c r="C101" s="131">
        <v>8925</v>
      </c>
      <c r="D101" s="132">
        <v>2503.4499999999998</v>
      </c>
      <c r="E101" s="131">
        <v>844</v>
      </c>
      <c r="F101" s="132">
        <v>181.9</v>
      </c>
      <c r="G101" s="131">
        <v>407</v>
      </c>
      <c r="H101" s="132">
        <v>114.77</v>
      </c>
      <c r="I101" s="137" t="s">
        <v>289</v>
      </c>
      <c r="J101" s="132" t="s">
        <v>289</v>
      </c>
      <c r="K101" s="131">
        <v>163</v>
      </c>
      <c r="L101" s="132">
        <v>92.3</v>
      </c>
      <c r="M101" s="137" t="s">
        <v>289</v>
      </c>
      <c r="N101" s="132" t="s">
        <v>289</v>
      </c>
      <c r="O101" s="131">
        <v>90</v>
      </c>
      <c r="P101" s="132">
        <v>10.199999999999999</v>
      </c>
      <c r="Q101" s="224" t="s">
        <v>262</v>
      </c>
      <c r="R101" s="140"/>
      <c r="S101" s="140"/>
      <c r="T101" s="140"/>
      <c r="U101" s="232"/>
      <c r="V101" s="232"/>
    </row>
    <row r="102" spans="1:22" s="124" customFormat="1" ht="15.05">
      <c r="A102" s="129" t="s">
        <v>152</v>
      </c>
      <c r="B102" s="130">
        <f t="shared" si="17"/>
        <v>10455</v>
      </c>
      <c r="C102" s="131">
        <v>6550</v>
      </c>
      <c r="D102" s="132">
        <v>1752.5</v>
      </c>
      <c r="E102" s="131">
        <v>950</v>
      </c>
      <c r="F102" s="132">
        <v>400</v>
      </c>
      <c r="G102" s="131">
        <v>2950</v>
      </c>
      <c r="H102" s="132">
        <v>1180</v>
      </c>
      <c r="I102" s="137" t="s">
        <v>289</v>
      </c>
      <c r="J102" s="132" t="s">
        <v>289</v>
      </c>
      <c r="K102" s="131">
        <v>5</v>
      </c>
      <c r="L102" s="132">
        <v>3.2</v>
      </c>
      <c r="M102" s="137" t="s">
        <v>289</v>
      </c>
      <c r="N102" s="132" t="s">
        <v>289</v>
      </c>
      <c r="O102" s="137" t="s">
        <v>289</v>
      </c>
      <c r="P102" s="132" t="s">
        <v>289</v>
      </c>
      <c r="Q102" s="224" t="s">
        <v>263</v>
      </c>
      <c r="R102" s="140"/>
      <c r="S102" s="140"/>
      <c r="T102" s="140"/>
      <c r="U102" s="232"/>
      <c r="V102" s="232"/>
    </row>
    <row r="103" spans="1:22" s="124" customFormat="1" ht="15.05">
      <c r="A103" s="129" t="s">
        <v>154</v>
      </c>
      <c r="B103" s="130">
        <f t="shared" si="17"/>
        <v>10320</v>
      </c>
      <c r="C103" s="131">
        <v>5769</v>
      </c>
      <c r="D103" s="132">
        <v>1445.45</v>
      </c>
      <c r="E103" s="131">
        <v>524</v>
      </c>
      <c r="F103" s="132">
        <v>185.596</v>
      </c>
      <c r="G103" s="131">
        <v>1666</v>
      </c>
      <c r="H103" s="132">
        <v>584.19799999999998</v>
      </c>
      <c r="I103" s="131">
        <v>770</v>
      </c>
      <c r="J103" s="132">
        <v>430.43</v>
      </c>
      <c r="K103" s="131">
        <v>33</v>
      </c>
      <c r="L103" s="132">
        <v>10.151999999999999</v>
      </c>
      <c r="M103" s="131">
        <v>10</v>
      </c>
      <c r="N103" s="132">
        <v>2</v>
      </c>
      <c r="O103" s="131">
        <v>1548</v>
      </c>
      <c r="P103" s="132">
        <v>451.65600000000001</v>
      </c>
      <c r="Q103" s="224" t="s">
        <v>264</v>
      </c>
      <c r="R103" s="140"/>
      <c r="S103" s="140"/>
      <c r="T103" s="140"/>
      <c r="U103" s="232"/>
      <c r="V103" s="232"/>
    </row>
    <row r="104" spans="1:22" s="124" customFormat="1" ht="15.05">
      <c r="A104" s="129" t="s">
        <v>156</v>
      </c>
      <c r="B104" s="130">
        <f t="shared" si="17"/>
        <v>1297</v>
      </c>
      <c r="C104" s="131">
        <v>870</v>
      </c>
      <c r="D104" s="132">
        <v>133.5</v>
      </c>
      <c r="E104" s="131">
        <v>241</v>
      </c>
      <c r="F104" s="132">
        <v>53.3</v>
      </c>
      <c r="G104" s="131">
        <v>130</v>
      </c>
      <c r="H104" s="132">
        <v>34</v>
      </c>
      <c r="I104" s="131">
        <v>56</v>
      </c>
      <c r="J104" s="132">
        <v>98.5</v>
      </c>
      <c r="K104" s="137" t="s">
        <v>289</v>
      </c>
      <c r="L104" s="132" t="s">
        <v>289</v>
      </c>
      <c r="M104" s="137" t="s">
        <v>289</v>
      </c>
      <c r="N104" s="132" t="s">
        <v>289</v>
      </c>
      <c r="O104" s="137" t="s">
        <v>289</v>
      </c>
      <c r="P104" s="132" t="s">
        <v>289</v>
      </c>
      <c r="Q104" s="224" t="s">
        <v>265</v>
      </c>
      <c r="R104" s="140"/>
      <c r="S104" s="140"/>
      <c r="T104" s="140"/>
      <c r="U104" s="232"/>
      <c r="V104" s="232"/>
    </row>
    <row r="105" spans="1:22" s="124" customFormat="1" ht="15.05">
      <c r="A105" s="167" t="s">
        <v>266</v>
      </c>
      <c r="B105" s="168">
        <f>SUM(B107:B110)</f>
        <v>67627</v>
      </c>
      <c r="C105" s="166">
        <f>SUM(C107:C110)</f>
        <v>19565</v>
      </c>
      <c r="D105" s="166">
        <f t="shared" ref="D105:P105" si="18">SUM(D107:D110)</f>
        <v>8413.2649999999994</v>
      </c>
      <c r="E105" s="166">
        <f t="shared" si="18"/>
        <v>25594</v>
      </c>
      <c r="F105" s="166">
        <f t="shared" si="18"/>
        <v>10126.199000000001</v>
      </c>
      <c r="G105" s="203">
        <f t="shared" si="18"/>
        <v>13215</v>
      </c>
      <c r="H105" s="166">
        <f t="shared" si="18"/>
        <v>5132.3950000000004</v>
      </c>
      <c r="I105" s="166">
        <f t="shared" si="18"/>
        <v>2844</v>
      </c>
      <c r="J105" s="166">
        <f t="shared" si="18"/>
        <v>2468.9549999999999</v>
      </c>
      <c r="K105" s="166">
        <f t="shared" si="18"/>
        <v>3332</v>
      </c>
      <c r="L105" s="166">
        <f t="shared" si="18"/>
        <v>2716.1</v>
      </c>
      <c r="M105" s="166">
        <f t="shared" si="18"/>
        <v>876</v>
      </c>
      <c r="N105" s="166">
        <f t="shared" si="18"/>
        <v>295.51</v>
      </c>
      <c r="O105" s="166">
        <f t="shared" si="18"/>
        <v>2201</v>
      </c>
      <c r="P105" s="212">
        <f t="shared" si="18"/>
        <v>971.79</v>
      </c>
      <c r="Q105" s="227" t="s">
        <v>267</v>
      </c>
      <c r="R105" s="205"/>
      <c r="S105" s="205"/>
      <c r="T105" s="140"/>
      <c r="U105" s="232"/>
      <c r="V105" s="232"/>
    </row>
    <row r="106" spans="1:22" s="124" customFormat="1" ht="15.05">
      <c r="A106" s="167"/>
      <c r="B106" s="168"/>
      <c r="C106" s="166"/>
      <c r="D106" s="166"/>
      <c r="E106" s="166"/>
      <c r="F106" s="166"/>
      <c r="G106" s="203"/>
      <c r="H106" s="166"/>
      <c r="I106" s="166"/>
      <c r="J106" s="166"/>
      <c r="K106" s="166"/>
      <c r="L106" s="166"/>
      <c r="M106" s="166"/>
      <c r="N106" s="166"/>
      <c r="O106" s="166"/>
      <c r="P106" s="212"/>
      <c r="Q106" s="227"/>
      <c r="R106" s="205"/>
      <c r="S106" s="205"/>
      <c r="T106" s="140"/>
      <c r="U106" s="232"/>
      <c r="V106" s="232"/>
    </row>
    <row r="107" spans="1:22" s="124" customFormat="1" ht="15.05">
      <c r="A107" s="129" t="s">
        <v>158</v>
      </c>
      <c r="B107" s="130">
        <f>SUM(C107,E107,G107,I107,K107,M107,O107)</f>
        <v>29642</v>
      </c>
      <c r="C107" s="131">
        <v>12789</v>
      </c>
      <c r="D107" s="132">
        <v>6015.6580000000004</v>
      </c>
      <c r="E107" s="131">
        <v>7999</v>
      </c>
      <c r="F107" s="132">
        <v>3626.88</v>
      </c>
      <c r="G107" s="131">
        <v>5590</v>
      </c>
      <c r="H107" s="132">
        <v>2599.5749999999998</v>
      </c>
      <c r="I107" s="131">
        <v>799</v>
      </c>
      <c r="J107" s="132">
        <v>469.6</v>
      </c>
      <c r="K107" s="131">
        <v>1405</v>
      </c>
      <c r="L107" s="132">
        <v>897.28</v>
      </c>
      <c r="M107" s="131">
        <v>47</v>
      </c>
      <c r="N107" s="132">
        <v>22.5</v>
      </c>
      <c r="O107" s="131">
        <v>1013</v>
      </c>
      <c r="P107" s="132">
        <v>459.18</v>
      </c>
      <c r="Q107" s="224" t="s">
        <v>268</v>
      </c>
      <c r="R107" s="140"/>
      <c r="S107" s="140"/>
      <c r="T107" s="140"/>
      <c r="U107" s="232"/>
      <c r="V107" s="232"/>
    </row>
    <row r="108" spans="1:22" s="124" customFormat="1" ht="15.05">
      <c r="A108" s="129" t="s">
        <v>160</v>
      </c>
      <c r="B108" s="130">
        <f>SUM(C108,E108,G108,I108,K108,M108,O108)</f>
        <v>4987</v>
      </c>
      <c r="C108" s="131">
        <v>1505</v>
      </c>
      <c r="D108" s="132">
        <v>528.18200000000002</v>
      </c>
      <c r="E108" s="131">
        <v>1388</v>
      </c>
      <c r="F108" s="132">
        <v>723.11400000000003</v>
      </c>
      <c r="G108" s="131">
        <v>243</v>
      </c>
      <c r="H108" s="132">
        <v>71.400000000000006</v>
      </c>
      <c r="I108" s="131">
        <v>80</v>
      </c>
      <c r="J108" s="132">
        <v>80</v>
      </c>
      <c r="K108" s="131">
        <v>47</v>
      </c>
      <c r="L108" s="132">
        <v>44.9</v>
      </c>
      <c r="M108" s="131">
        <v>741</v>
      </c>
      <c r="N108" s="132">
        <v>222.7</v>
      </c>
      <c r="O108" s="131">
        <v>983</v>
      </c>
      <c r="P108" s="132">
        <v>407.41</v>
      </c>
      <c r="Q108" s="224" t="s">
        <v>269</v>
      </c>
      <c r="R108" s="140"/>
      <c r="S108" s="140"/>
      <c r="T108" s="140"/>
      <c r="U108" s="232"/>
      <c r="V108" s="232"/>
    </row>
    <row r="109" spans="1:22" s="124" customFormat="1" ht="15.05">
      <c r="A109" s="129" t="s">
        <v>163</v>
      </c>
      <c r="B109" s="130">
        <f>SUM(C109,E109,G109,I109,K109,M109,O109)</f>
        <v>19135</v>
      </c>
      <c r="C109" s="131">
        <v>3608</v>
      </c>
      <c r="D109" s="132">
        <v>1391.56</v>
      </c>
      <c r="E109" s="131">
        <v>11065</v>
      </c>
      <c r="F109" s="132">
        <v>4644.57</v>
      </c>
      <c r="G109" s="131">
        <v>3963</v>
      </c>
      <c r="H109" s="132">
        <v>1502.98</v>
      </c>
      <c r="I109" s="131">
        <v>185</v>
      </c>
      <c r="J109" s="132">
        <v>161.18</v>
      </c>
      <c r="K109" s="131">
        <v>267</v>
      </c>
      <c r="L109" s="132">
        <v>173</v>
      </c>
      <c r="M109" s="131">
        <v>5</v>
      </c>
      <c r="N109" s="132">
        <v>3.5</v>
      </c>
      <c r="O109" s="131">
        <v>42</v>
      </c>
      <c r="P109" s="132">
        <v>15.3</v>
      </c>
      <c r="Q109" s="224" t="s">
        <v>270</v>
      </c>
      <c r="R109" s="140"/>
      <c r="S109" s="140"/>
      <c r="T109" s="140"/>
      <c r="U109" s="232"/>
      <c r="V109" s="232"/>
    </row>
    <row r="110" spans="1:22" s="124" customFormat="1" ht="15.65" thickBot="1">
      <c r="A110" s="141" t="s">
        <v>166</v>
      </c>
      <c r="B110" s="142">
        <f>SUM(C110,E110,G110,I110,K110,M110,O110)</f>
        <v>13863</v>
      </c>
      <c r="C110" s="143">
        <v>1663</v>
      </c>
      <c r="D110" s="144">
        <v>477.86500000000001</v>
      </c>
      <c r="E110" s="143">
        <v>5142</v>
      </c>
      <c r="F110" s="144">
        <v>1131.635</v>
      </c>
      <c r="G110" s="143">
        <v>3419</v>
      </c>
      <c r="H110" s="144">
        <v>958.44</v>
      </c>
      <c r="I110" s="143">
        <v>1780</v>
      </c>
      <c r="J110" s="144">
        <v>1758.175</v>
      </c>
      <c r="K110" s="143">
        <v>1613</v>
      </c>
      <c r="L110" s="144">
        <v>1600.92</v>
      </c>
      <c r="M110" s="143">
        <v>83</v>
      </c>
      <c r="N110" s="144">
        <v>46.81</v>
      </c>
      <c r="O110" s="143">
        <v>163</v>
      </c>
      <c r="P110" s="144">
        <v>89.9</v>
      </c>
      <c r="Q110" s="230" t="s">
        <v>271</v>
      </c>
      <c r="R110" s="145"/>
      <c r="S110" s="145"/>
      <c r="T110" s="145"/>
      <c r="U110" s="232"/>
      <c r="V110" s="232"/>
    </row>
    <row r="111" spans="1:22" s="124" customFormat="1" ht="15.05">
      <c r="A111" s="146" t="s">
        <v>272</v>
      </c>
      <c r="L111" s="140" t="s">
        <v>275</v>
      </c>
      <c r="N111" s="140"/>
      <c r="O111" s="140"/>
      <c r="P111" s="140"/>
      <c r="Q111" s="218"/>
      <c r="R111" s="218"/>
      <c r="S111" s="218"/>
    </row>
    <row r="112" spans="1:22" s="124" customFormat="1" ht="15.05">
      <c r="A112" s="147" t="s">
        <v>281</v>
      </c>
      <c r="L112" s="124" t="s">
        <v>277</v>
      </c>
    </row>
    <row r="113" spans="1:12" s="124" customFormat="1" ht="15.05">
      <c r="A113" s="124" t="s">
        <v>279</v>
      </c>
      <c r="L113" s="124" t="s">
        <v>278</v>
      </c>
    </row>
    <row r="114" spans="1:12" s="124" customFormat="1" ht="15.05"/>
    <row r="115" spans="1:12" s="124" customFormat="1" ht="15.05"/>
    <row r="116" spans="1:12" s="124" customFormat="1" ht="15.05"/>
    <row r="117" spans="1:12" s="124" customFormat="1" ht="15.05"/>
    <row r="118" spans="1:12" s="124" customFormat="1" ht="15.05"/>
    <row r="119" spans="1:12" s="124" customFormat="1" ht="15.05"/>
    <row r="120" spans="1:12" s="124" customFormat="1" ht="15.05"/>
    <row r="121" spans="1:12" s="124" customFormat="1" ht="15.05"/>
    <row r="122" spans="1:12" s="124" customFormat="1" ht="15.05"/>
    <row r="123" spans="1:12" s="124" customFormat="1" ht="15.05"/>
    <row r="124" spans="1:12" s="124" customFormat="1" ht="15.05"/>
    <row r="125" spans="1:12" s="124" customFormat="1" ht="15.05"/>
    <row r="126" spans="1:12" s="124" customFormat="1" ht="15.05"/>
    <row r="127" spans="1:12" s="124" customFormat="1" ht="15.05"/>
    <row r="128" spans="1:12" s="124" customFormat="1" ht="15.05"/>
    <row r="129" s="124" customFormat="1" ht="15.05"/>
    <row r="130" s="124" customFormat="1" ht="15.05"/>
    <row r="131" s="124" customFormat="1" ht="15.05"/>
    <row r="132" s="124" customFormat="1" ht="15.05"/>
    <row r="133" s="124" customFormat="1" ht="15.05"/>
    <row r="134" s="124" customFormat="1" ht="15.05"/>
    <row r="135" s="124" customFormat="1" ht="15.05"/>
    <row r="136" s="124" customFormat="1" ht="15.05"/>
    <row r="137" s="124" customFormat="1" ht="15.05"/>
    <row r="138" s="124" customFormat="1" ht="15.05"/>
  </sheetData>
  <mergeCells count="245">
    <mergeCell ref="H73:H74"/>
    <mergeCell ref="H61:H62"/>
    <mergeCell ref="Q83:S84"/>
    <mergeCell ref="Q90:S91"/>
    <mergeCell ref="Q105:S106"/>
    <mergeCell ref="Q111:S111"/>
    <mergeCell ref="N20:N21"/>
    <mergeCell ref="O47:O48"/>
    <mergeCell ref="P47:P48"/>
    <mergeCell ref="O34:O35"/>
    <mergeCell ref="P34:P35"/>
    <mergeCell ref="Q76:T76"/>
    <mergeCell ref="Q77:T77"/>
    <mergeCell ref="N73:N74"/>
    <mergeCell ref="L73:L74"/>
    <mergeCell ref="M61:M62"/>
    <mergeCell ref="N61:N62"/>
    <mergeCell ref="L61:L62"/>
    <mergeCell ref="M47:M48"/>
    <mergeCell ref="N47:N48"/>
    <mergeCell ref="L47:L48"/>
    <mergeCell ref="N66:N67"/>
    <mergeCell ref="O66:O67"/>
    <mergeCell ref="P66:P67"/>
    <mergeCell ref="Q34:S35"/>
    <mergeCell ref="P20:P21"/>
    <mergeCell ref="P10:P11"/>
    <mergeCell ref="O73:O74"/>
    <mergeCell ref="P73:P74"/>
    <mergeCell ref="O61:O62"/>
    <mergeCell ref="P61:P62"/>
    <mergeCell ref="Q61:S62"/>
    <mergeCell ref="O12:O13"/>
    <mergeCell ref="P12:P13"/>
    <mergeCell ref="Q10:S11"/>
    <mergeCell ref="Q12:S13"/>
    <mergeCell ref="Q20:S21"/>
    <mergeCell ref="N54:N55"/>
    <mergeCell ref="O54:O55"/>
    <mergeCell ref="P54:P55"/>
    <mergeCell ref="N40:N41"/>
    <mergeCell ref="O40:O41"/>
    <mergeCell ref="Q82:T82"/>
    <mergeCell ref="Q78:T78"/>
    <mergeCell ref="Q40:S41"/>
    <mergeCell ref="Q45:S45"/>
    <mergeCell ref="Q47:S48"/>
    <mergeCell ref="Q54:S55"/>
    <mergeCell ref="Q79:T79"/>
    <mergeCell ref="Q75:T75"/>
    <mergeCell ref="Q73:S74"/>
    <mergeCell ref="Q80:T80"/>
    <mergeCell ref="P40:P41"/>
    <mergeCell ref="Q64:S64"/>
    <mergeCell ref="Q66:S67"/>
    <mergeCell ref="Q81:T81"/>
    <mergeCell ref="M105:M106"/>
    <mergeCell ref="N105:N106"/>
    <mergeCell ref="O105:O106"/>
    <mergeCell ref="P105:P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90:M91"/>
    <mergeCell ref="N90:N91"/>
    <mergeCell ref="E90:E91"/>
    <mergeCell ref="F90:F91"/>
    <mergeCell ref="G90:G91"/>
    <mergeCell ref="H90:H91"/>
    <mergeCell ref="O90:O91"/>
    <mergeCell ref="P90:P91"/>
    <mergeCell ref="L90:L91"/>
    <mergeCell ref="M83:M84"/>
    <mergeCell ref="N83:N84"/>
    <mergeCell ref="O83:O84"/>
    <mergeCell ref="P83:P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40:A41"/>
    <mergeCell ref="B40:B41"/>
    <mergeCell ref="I40:I41"/>
    <mergeCell ref="J40:J41"/>
    <mergeCell ref="K40:K41"/>
    <mergeCell ref="L40:L41"/>
    <mergeCell ref="C40:C41"/>
    <mergeCell ref="G40:G41"/>
    <mergeCell ref="A47:A48"/>
    <mergeCell ref="B47:B48"/>
    <mergeCell ref="I47:I48"/>
    <mergeCell ref="J47:J48"/>
    <mergeCell ref="K47:K48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M34:M35"/>
    <mergeCell ref="C34:C35"/>
    <mergeCell ref="D34:D35"/>
    <mergeCell ref="E34:E35"/>
    <mergeCell ref="F34:F35"/>
    <mergeCell ref="O20:O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O10:O11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A2:S2"/>
    <mergeCell ref="A3:S3"/>
    <mergeCell ref="L10:L11"/>
    <mergeCell ref="A34:A35"/>
    <mergeCell ref="B34:B35"/>
    <mergeCell ref="I34:I35"/>
    <mergeCell ref="J34:J35"/>
    <mergeCell ref="O6:P8"/>
    <mergeCell ref="G6:H8"/>
    <mergeCell ref="Q6:S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</mergeCells>
  <pageMargins left="0.7" right="0.7" top="0.75" bottom="0.75" header="0.3" footer="0.3"/>
  <pageSetup paperSize="9" orientation="portrait" horizontalDpi="200" verticalDpi="200" r:id="rId1"/>
  <ignoredErrors>
    <ignoredError sqref="B11 B22:B28 B15:B19 B30:B33 C90:C91 C83:C84 C73:C74 C66:C67 C61:C62 C54:C55 C47:C48 C40:C41 C34:C35 C21 C29:P29 D21:P21 D34:P35 D40:P41 D47:P48 D54:P55 D61:P62 D66:P67 D73:P74 D83:P84 C105:P106 D90:P91 C20 B36:B39 B42:B46 B49:B53 B56:B60 B63:B65 B68:B72 B75:B82 B85:B89 B92:B104 B107:B110 E20:P20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2019-06-21T13:43:34Z</dcterms:modified>
</cp:coreProperties>
</file>