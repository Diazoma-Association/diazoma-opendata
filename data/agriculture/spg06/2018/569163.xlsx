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BF6DCEAC-E4CC-43C8-BCCC-899E0CE52384}" xr6:coauthVersionLast="44" xr6:coauthVersionMax="44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ListOfValues" sheetId="2" state="hidden" r:id="rId1"/>
    <sheet name="ΠΙΝΑΚΑΣ 2(η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4" i="1" l="1"/>
  <c r="M14" i="1"/>
  <c r="B22" i="1"/>
  <c r="N56" i="1"/>
  <c r="B15" i="1"/>
  <c r="C12" i="1"/>
  <c r="M49" i="1"/>
  <c r="M50" i="1"/>
  <c r="M51" i="1"/>
  <c r="M52" i="1"/>
  <c r="M53" i="1"/>
  <c r="K29" i="1" l="1"/>
  <c r="D12" i="1"/>
  <c r="B14" i="1"/>
  <c r="M82" i="1"/>
  <c r="M81" i="1"/>
  <c r="M80" i="1"/>
  <c r="M79" i="1"/>
  <c r="M78" i="1"/>
  <c r="M77" i="1"/>
  <c r="M76" i="1"/>
  <c r="M75" i="1"/>
  <c r="N110" i="1"/>
  <c r="N109" i="1"/>
  <c r="N108" i="1"/>
  <c r="N107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89" i="1"/>
  <c r="N88" i="1"/>
  <c r="N87" i="1"/>
  <c r="N86" i="1"/>
  <c r="N85" i="1"/>
  <c r="N82" i="1"/>
  <c r="N81" i="1"/>
  <c r="N80" i="1"/>
  <c r="N79" i="1"/>
  <c r="N78" i="1"/>
  <c r="N77" i="1"/>
  <c r="N76" i="1"/>
  <c r="N75" i="1"/>
  <c r="N72" i="1"/>
  <c r="N71" i="1"/>
  <c r="N70" i="1"/>
  <c r="N69" i="1"/>
  <c r="N68" i="1"/>
  <c r="N65" i="1"/>
  <c r="N64" i="1"/>
  <c r="N63" i="1"/>
  <c r="N60" i="1"/>
  <c r="N59" i="1"/>
  <c r="N58" i="1"/>
  <c r="N57" i="1"/>
  <c r="N53" i="1"/>
  <c r="N52" i="1"/>
  <c r="N51" i="1"/>
  <c r="N50" i="1"/>
  <c r="N49" i="1"/>
  <c r="N46" i="1"/>
  <c r="N45" i="1"/>
  <c r="N44" i="1"/>
  <c r="N43" i="1"/>
  <c r="N42" i="1"/>
  <c r="N39" i="1"/>
  <c r="N38" i="1"/>
  <c r="N37" i="1"/>
  <c r="N36" i="1"/>
  <c r="N33" i="1"/>
  <c r="N32" i="1"/>
  <c r="N31" i="1"/>
  <c r="N30" i="1"/>
  <c r="N28" i="1"/>
  <c r="N27" i="1"/>
  <c r="N26" i="1"/>
  <c r="N25" i="1"/>
  <c r="N24" i="1"/>
  <c r="N23" i="1"/>
  <c r="N22" i="1"/>
  <c r="M110" i="1"/>
  <c r="M109" i="1"/>
  <c r="M108" i="1"/>
  <c r="M107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89" i="1"/>
  <c r="M88" i="1"/>
  <c r="M87" i="1"/>
  <c r="M86" i="1"/>
  <c r="M85" i="1"/>
  <c r="M72" i="1"/>
  <c r="M71" i="1"/>
  <c r="M70" i="1"/>
  <c r="M69" i="1"/>
  <c r="M68" i="1"/>
  <c r="M65" i="1"/>
  <c r="M64" i="1"/>
  <c r="M63" i="1"/>
  <c r="M60" i="1"/>
  <c r="M59" i="1"/>
  <c r="M58" i="1"/>
  <c r="M57" i="1"/>
  <c r="M56" i="1"/>
  <c r="M46" i="1"/>
  <c r="M45" i="1"/>
  <c r="M44" i="1"/>
  <c r="M43" i="1"/>
  <c r="M42" i="1"/>
  <c r="M39" i="1"/>
  <c r="M38" i="1"/>
  <c r="M37" i="1"/>
  <c r="M36" i="1"/>
  <c r="M33" i="1"/>
  <c r="M32" i="1"/>
  <c r="M31" i="1"/>
  <c r="M30" i="1"/>
  <c r="M28" i="1"/>
  <c r="M27" i="1"/>
  <c r="M26" i="1"/>
  <c r="M25" i="1"/>
  <c r="M24" i="1"/>
  <c r="M23" i="1"/>
  <c r="M22" i="1"/>
  <c r="N15" i="1"/>
  <c r="N16" i="1"/>
  <c r="N17" i="1"/>
  <c r="N18" i="1"/>
  <c r="N19" i="1"/>
  <c r="M15" i="1"/>
  <c r="M16" i="1"/>
  <c r="M17" i="1"/>
  <c r="M18" i="1"/>
  <c r="M19" i="1"/>
  <c r="B79" i="1"/>
  <c r="B80" i="1"/>
  <c r="B81" i="1"/>
  <c r="B82" i="1"/>
  <c r="B78" i="1"/>
  <c r="B77" i="1"/>
  <c r="B76" i="1"/>
  <c r="B75" i="1"/>
  <c r="B68" i="1"/>
  <c r="B73" i="1" l="1"/>
  <c r="C105" i="1"/>
  <c r="E83" i="1"/>
  <c r="F83" i="1"/>
  <c r="G83" i="1"/>
  <c r="H83" i="1"/>
  <c r="I83" i="1"/>
  <c r="J83" i="1"/>
  <c r="D83" i="1"/>
  <c r="L73" i="1"/>
  <c r="F73" i="1"/>
  <c r="I73" i="1"/>
  <c r="H73" i="1"/>
  <c r="L34" i="1"/>
  <c r="P29" i="1"/>
  <c r="O29" i="1"/>
  <c r="J29" i="1"/>
  <c r="L29" i="1"/>
  <c r="E29" i="1"/>
  <c r="F29" i="1"/>
  <c r="G29" i="1"/>
  <c r="H29" i="1"/>
  <c r="I29" i="1"/>
  <c r="C29" i="1"/>
  <c r="D29" i="1"/>
  <c r="P20" i="1"/>
  <c r="O20" i="1"/>
  <c r="L20" i="1"/>
  <c r="D20" i="1"/>
  <c r="E20" i="1"/>
  <c r="F20" i="1"/>
  <c r="G20" i="1"/>
  <c r="H20" i="1"/>
  <c r="I20" i="1"/>
  <c r="J20" i="1"/>
  <c r="K20" i="1"/>
  <c r="C20" i="1"/>
  <c r="B110" i="1"/>
  <c r="B109" i="1"/>
  <c r="B108" i="1"/>
  <c r="B107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89" i="1"/>
  <c r="B88" i="1"/>
  <c r="B87" i="1"/>
  <c r="B86" i="1"/>
  <c r="B85" i="1"/>
  <c r="B72" i="1"/>
  <c r="B71" i="1"/>
  <c r="B70" i="1"/>
  <c r="B69" i="1"/>
  <c r="B65" i="1"/>
  <c r="B64" i="1"/>
  <c r="B63" i="1"/>
  <c r="B60" i="1"/>
  <c r="B59" i="1"/>
  <c r="B58" i="1"/>
  <c r="B57" i="1"/>
  <c r="B56" i="1"/>
  <c r="B53" i="1"/>
  <c r="B52" i="1"/>
  <c r="B51" i="1"/>
  <c r="B50" i="1"/>
  <c r="B49" i="1"/>
  <c r="B46" i="1"/>
  <c r="B45" i="1"/>
  <c r="B44" i="1"/>
  <c r="B43" i="1"/>
  <c r="B42" i="1"/>
  <c r="B39" i="1"/>
  <c r="B38" i="1"/>
  <c r="B37" i="1"/>
  <c r="B36" i="1"/>
  <c r="B33" i="1"/>
  <c r="B32" i="1"/>
  <c r="B31" i="1"/>
  <c r="B30" i="1"/>
  <c r="B28" i="1"/>
  <c r="B27" i="1"/>
  <c r="B26" i="1"/>
  <c r="B25" i="1"/>
  <c r="B24" i="1"/>
  <c r="B23" i="1"/>
  <c r="B19" i="1"/>
  <c r="B18" i="1"/>
  <c r="B17" i="1"/>
  <c r="B16" i="1"/>
  <c r="P105" i="1"/>
  <c r="O105" i="1"/>
  <c r="L105" i="1"/>
  <c r="K105" i="1"/>
  <c r="J105" i="1"/>
  <c r="I105" i="1"/>
  <c r="H105" i="1"/>
  <c r="N105" i="1" s="1"/>
  <c r="G105" i="1"/>
  <c r="M105" i="1" s="1"/>
  <c r="F105" i="1"/>
  <c r="E105" i="1"/>
  <c r="D105" i="1"/>
  <c r="P90" i="1"/>
  <c r="O90" i="1"/>
  <c r="L90" i="1"/>
  <c r="K90" i="1"/>
  <c r="J90" i="1"/>
  <c r="I90" i="1"/>
  <c r="H90" i="1"/>
  <c r="G90" i="1"/>
  <c r="M90" i="1" s="1"/>
  <c r="F90" i="1"/>
  <c r="E90" i="1"/>
  <c r="D90" i="1"/>
  <c r="C90" i="1"/>
  <c r="P83" i="1"/>
  <c r="O83" i="1"/>
  <c r="L83" i="1"/>
  <c r="K83" i="1"/>
  <c r="C83" i="1"/>
  <c r="P73" i="1"/>
  <c r="O73" i="1"/>
  <c r="K73" i="1"/>
  <c r="J73" i="1"/>
  <c r="G73" i="1"/>
  <c r="E73" i="1"/>
  <c r="D73" i="1"/>
  <c r="C73" i="1"/>
  <c r="P66" i="1"/>
  <c r="O66" i="1"/>
  <c r="L66" i="1"/>
  <c r="K66" i="1"/>
  <c r="J66" i="1"/>
  <c r="I66" i="1"/>
  <c r="H66" i="1"/>
  <c r="G66" i="1"/>
  <c r="F66" i="1"/>
  <c r="E66" i="1"/>
  <c r="D66" i="1"/>
  <c r="C66" i="1"/>
  <c r="P61" i="1"/>
  <c r="O61" i="1"/>
  <c r="L61" i="1"/>
  <c r="K61" i="1"/>
  <c r="J61" i="1"/>
  <c r="I61" i="1"/>
  <c r="H61" i="1"/>
  <c r="N61" i="1" s="1"/>
  <c r="G61" i="1"/>
  <c r="F61" i="1"/>
  <c r="E61" i="1"/>
  <c r="D61" i="1"/>
  <c r="C61" i="1"/>
  <c r="P54" i="1"/>
  <c r="O54" i="1"/>
  <c r="L54" i="1"/>
  <c r="K54" i="1"/>
  <c r="J54" i="1"/>
  <c r="I54" i="1"/>
  <c r="H54" i="1"/>
  <c r="N54" i="1" s="1"/>
  <c r="G54" i="1"/>
  <c r="F54" i="1"/>
  <c r="E54" i="1"/>
  <c r="D54" i="1"/>
  <c r="C54" i="1"/>
  <c r="P47" i="1"/>
  <c r="O47" i="1"/>
  <c r="L47" i="1"/>
  <c r="K47" i="1"/>
  <c r="J47" i="1"/>
  <c r="I47" i="1"/>
  <c r="H47" i="1"/>
  <c r="G47" i="1"/>
  <c r="F47" i="1"/>
  <c r="E47" i="1"/>
  <c r="D47" i="1"/>
  <c r="C47" i="1"/>
  <c r="P40" i="1"/>
  <c r="O40" i="1"/>
  <c r="L40" i="1"/>
  <c r="K40" i="1"/>
  <c r="J40" i="1"/>
  <c r="I40" i="1"/>
  <c r="H40" i="1"/>
  <c r="N40" i="1" s="1"/>
  <c r="G40" i="1"/>
  <c r="F40" i="1"/>
  <c r="E40" i="1"/>
  <c r="D40" i="1"/>
  <c r="C40" i="1"/>
  <c r="P34" i="1"/>
  <c r="O34" i="1"/>
  <c r="K34" i="1"/>
  <c r="J34" i="1"/>
  <c r="I34" i="1"/>
  <c r="H34" i="1"/>
  <c r="G34" i="1"/>
  <c r="M34" i="1" s="1"/>
  <c r="F34" i="1"/>
  <c r="E34" i="1"/>
  <c r="D34" i="1"/>
  <c r="C34" i="1"/>
  <c r="P12" i="1"/>
  <c r="O12" i="1"/>
  <c r="L12" i="1"/>
  <c r="K12" i="1"/>
  <c r="J12" i="1"/>
  <c r="I12" i="1"/>
  <c r="H12" i="1"/>
  <c r="N12" i="1" s="1"/>
  <c r="G12" i="1"/>
  <c r="F12" i="1"/>
  <c r="E12" i="1"/>
  <c r="O10" i="1" l="1"/>
  <c r="P10" i="1"/>
  <c r="N73" i="1"/>
  <c r="B12" i="1"/>
  <c r="N90" i="1"/>
  <c r="B66" i="1"/>
  <c r="M61" i="1"/>
  <c r="M47" i="1"/>
  <c r="F10" i="1"/>
  <c r="B29" i="1"/>
  <c r="D10" i="1"/>
  <c r="N83" i="1"/>
  <c r="M73" i="1"/>
  <c r="M66" i="1"/>
  <c r="M54" i="1"/>
  <c r="M40" i="1"/>
  <c r="N34" i="1"/>
  <c r="C10" i="1"/>
  <c r="B105" i="1"/>
  <c r="B90" i="1"/>
  <c r="B83" i="1"/>
  <c r="B61" i="1"/>
  <c r="B54" i="1"/>
  <c r="B47" i="1"/>
  <c r="B40" i="1"/>
  <c r="B34" i="1"/>
  <c r="B20" i="1"/>
  <c r="E10" i="1"/>
  <c r="N66" i="1"/>
  <c r="N47" i="1"/>
  <c r="M12" i="1"/>
  <c r="M20" i="1"/>
  <c r="N20" i="1"/>
  <c r="J10" i="1"/>
  <c r="I10" i="1"/>
  <c r="G10" i="1"/>
  <c r="L10" i="1"/>
  <c r="K10" i="1"/>
  <c r="H10" i="1"/>
  <c r="M29" i="1"/>
  <c r="M83" i="1"/>
  <c r="N29" i="1"/>
  <c r="B10" i="1" l="1"/>
  <c r="M10" i="1"/>
  <c r="N10" i="1"/>
</calcChain>
</file>

<file path=xl/sharedStrings.xml><?xml version="1.0" encoding="utf-8"?>
<sst xmlns="http://schemas.openxmlformats.org/spreadsheetml/2006/main" count="512" uniqueCount="299">
  <si>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</si>
  <si>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</si>
  <si>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</si>
  <si>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</si>
  <si>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</si>
  <si>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</si>
  <si>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</si>
  <si>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</si>
  <si>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</si>
  <si>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</si>
  <si>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</si>
  <si>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</si>
  <si>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</si>
  <si>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</si>
  <si>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</si>
  <si>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</si>
  <si>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</si>
  <si>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</si>
  <si>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</si>
  <si>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</si>
  <si>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</si>
  <si>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</si>
  <si>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</si>
  <si>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</si>
  <si>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</si>
  <si>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</si>
  <si>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</si>
  <si>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</si>
  <si>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</si>
  <si>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</si>
  <si>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</si>
  <si>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</si>
  <si>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</si>
  <si>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</si>
  <si>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</si>
  <si>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</si>
  <si>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</si>
  <si>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</si>
  <si>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</si>
  <si>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</si>
  <si>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</si>
  <si>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</si>
  <si>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</si>
  <si>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</si>
  <si>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</si>
  <si>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</si>
  <si>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</si>
  <si>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</si>
  <si>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</si>
  <si>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</si>
  <si>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</si>
  <si>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</si>
  <si>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</si>
  <si>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</si>
  <si>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</si>
  <si>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</si>
  <si>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</si>
  <si>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</si>
  <si>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</si>
  <si>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</si>
  <si>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</si>
  <si>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</si>
  <si>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</si>
  <si>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</si>
  <si>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</si>
  <si>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</si>
  <si>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</si>
  <si>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</si>
  <si>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</si>
  <si>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</si>
  <si>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</si>
  <si>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</si>
  <si>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</si>
  <si>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</si>
  <si>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</si>
  <si>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</si>
  <si>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</si>
  <si>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</si>
  <si>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</si>
  <si>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</si>
  <si>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</si>
  <si>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</si>
  <si>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</si>
  <si>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</si>
  <si>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</si>
  <si>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</si>
  <si>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</si>
  <si>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</si>
  <si>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</si>
  <si>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</si>
  <si>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</si>
  <si>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</si>
  <si>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</si>
  <si>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</si>
  <si>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</si>
  <si>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</si>
  <si>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</si>
  <si>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</si>
  <si>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</si>
  <si>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</si>
  <si>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</si>
  <si>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</si>
  <si>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</si>
  <si>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</si>
  <si>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</si>
  <si>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</si>
  <si>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</si>
  <si>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</si>
  <si>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</si>
  <si>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</si>
  <si>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</si>
  <si>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</si>
  <si>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</si>
  <si>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</si>
  <si>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</si>
  <si>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</si>
  <si>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</si>
  <si>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</si>
  <si>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</si>
  <si>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</si>
  <si>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</si>
  <si>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</si>
  <si>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</si>
  <si>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</si>
  <si>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</si>
  <si>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</si>
  <si>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</si>
  <si>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</si>
  <si>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</si>
  <si>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</si>
  <si>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</si>
  <si>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</si>
  <si>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</si>
  <si>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</si>
  <si>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</si>
  <si>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</si>
  <si>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</si>
  <si>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</si>
  <si>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</si>
  <si>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</si>
  <si>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</si>
  <si>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</si>
  <si>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</si>
  <si>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</si>
  <si>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</si>
  <si>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</si>
  <si>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</si>
  <si>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</si>
  <si>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</si>
  <si>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</si>
  <si>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</si>
  <si>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</si>
  <si>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</si>
  <si>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</si>
  <si>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</si>
  <si>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</si>
  <si>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</si>
  <si>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</si>
  <si>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</si>
  <si>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</si>
  <si>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</si>
  <si>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</si>
  <si>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</si>
  <si>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</si>
  <si>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</si>
  <si>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</si>
  <si>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</si>
  <si>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</si>
  <si>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</si>
  <si>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</si>
  <si>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</si>
  <si>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</si>
  <si>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</si>
  <si>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</si>
  <si>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</si>
  <si>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</si>
  <si>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</si>
  <si>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</si>
  <si>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</si>
  <si>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</si>
  <si>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</si>
  <si>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</si>
  <si>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</si>
  <si>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</si>
  <si>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</si>
  <si>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</si>
  <si>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</si>
  <si>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</si>
  <si>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</si>
  <si>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</si>
  <si>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</si>
  <si>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</si>
  <si>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</si>
  <si>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</si>
  <si>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</si>
  <si>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</si>
  <si>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</si>
  <si>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</si>
  <si>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</si>
  <si>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</si>
  <si>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</si>
  <si>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</si>
  <si>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</si>
  <si>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</si>
  <si>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</si>
  <si>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</si>
  <si>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</si>
  <si>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</si>
  <si>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</si>
  <si>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</si>
  <si>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</si>
  <si>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</si>
  <si>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</si>
  <si>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</si>
  <si>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</si>
  <si>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</si>
  <si>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</si>
  <si>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</si>
  <si>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</si>
  <si>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</si>
  <si>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</si>
  <si>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</si>
  <si>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</si>
  <si>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</si>
  <si>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</si>
  <si>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</si>
  <si>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</si>
  <si>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</si>
  <si>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</si>
  <si>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</si>
  <si>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</si>
  <si>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</si>
  <si>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</si>
  <si>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</si>
  <si>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</si>
  <si>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</si>
  <si>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</si>
  <si>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</si>
  <si>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</si>
  <si>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</si>
  <si>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</si>
  <si>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</si>
  <si>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</si>
  <si>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</si>
  <si>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</si>
  <si>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</si>
  <si>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</si>
  <si>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</si>
  <si>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</si>
  <si>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</si>
  <si>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</si>
  <si>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</si>
  <si>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</si>
  <si>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</si>
  <si>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</si>
  <si>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</si>
  <si>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</si>
  <si>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</si>
  <si>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</si>
  <si>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</si>
  <si>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</si>
  <si>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</si>
  <si>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</si>
  <si>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</si>
  <si>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</si>
  <si>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</si>
  <si>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</si>
  <si>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</si>
  <si>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</si>
  <si>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</si>
  <si>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</si>
  <si>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</si>
  <si>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</si>
  <si>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</si>
  <si>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</si>
  <si>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</si>
  <si>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</si>
  <si>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</si>
  <si>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</si>
  <si>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</si>
  <si>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</si>
  <si>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</si>
  <si>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</si>
  <si>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Potatoes harvested</t>
  </si>
  <si>
    <t>Καρπούζια     Watermelons</t>
  </si>
  <si>
    <t>Πατάτες συγκομιζόμενες</t>
  </si>
  <si>
    <t>Περιφέρεια Δυτικής Μακεδονίας</t>
  </si>
  <si>
    <t>Region of Western Macedonia</t>
  </si>
  <si>
    <t>το καλοκαίρι
in summer</t>
  </si>
  <si>
    <t>Σύνολο
Total</t>
  </si>
  <si>
    <t xml:space="preserve"> Σύνολο 
Εκτάσεων
Total
Area</t>
  </si>
  <si>
    <t>Γλυκοπατάτες
Sweet potatoes</t>
  </si>
  <si>
    <t>το φθινόπωρο ή χειμώνα 
in autumn or winter</t>
  </si>
  <si>
    <t>―</t>
  </si>
  <si>
    <t>Areas in stremmas (1 stremma = 0.1 ha), production in tons</t>
  </si>
  <si>
    <t>Πεπόνια 
Melons</t>
  </si>
  <si>
    <t>την άνοιξη
in spring</t>
  </si>
  <si>
    <t>Πίνακας 2η. Πεπονοειδή και πατάτες. Εκτάσεις και παραγωγή, κατά Περιφέρεια και Περιφερειακή Ενότητα, 2018</t>
  </si>
  <si>
    <t>Table 2h. Melons, watermelons and potatoes. Areas and production,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</si>
</sst>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49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2" fillId="2" borderId="4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4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49" fontId="1" fillId="2" borderId="7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8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7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NumberFormat="1" applyFont="1" applyFill="1" applyBorder="1" applyAlignment="1" applyProtection="1"/>
    <xf numFmtId="49" fontId="1" fillId="10" borderId="5" xfId="0" applyNumberFormat="1" applyFont="1" applyFill="1" applyBorder="1"/>
    <xf numFmtId="49" fontId="1" fillId="10" borderId="4" xfId="0" applyNumberFormat="1" applyFont="1" applyFill="1" applyBorder="1"/>
    <xf numFmtId="0" fontId="2" fillId="10" borderId="4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4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1" fillId="10" borderId="7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8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NumberFormat="1" applyFont="1" applyFill="1" applyBorder="1" applyAlignment="1" applyProtection="1"/>
    <xf numFmtId="49" fontId="1" fillId="6" borderId="5" xfId="0" applyNumberFormat="1" applyFont="1" applyFill="1" applyBorder="1"/>
    <xf numFmtId="49" fontId="1" fillId="6" borderId="4" xfId="0" applyNumberFormat="1" applyFont="1" applyFill="1" applyBorder="1"/>
    <xf numFmtId="0" fontId="2" fillId="6" borderId="4" xfId="0" applyNumberFormat="1" applyFont="1" applyFill="1" applyBorder="1" applyAlignment="1" applyProtection="1"/>
    <xf numFmtId="49" fontId="3" fillId="6" borderId="4" xfId="0" applyNumberFormat="1" applyFont="1" applyFill="1" applyBorder="1"/>
    <xf numFmtId="0" fontId="5" fillId="6" borderId="4" xfId="0" applyNumberFormat="1" applyFont="1" applyFill="1" applyBorder="1" applyAlignment="1" applyProtection="1"/>
    <xf numFmtId="49" fontId="3" fillId="6" borderId="4" xfId="0" applyNumberFormat="1" applyFont="1" applyFill="1" applyBorder="1" applyAlignment="1">
      <alignment vertical="center" textRotation="90"/>
    </xf>
    <xf numFmtId="0" fontId="5" fillId="6" borderId="6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8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7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8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7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NumberFormat="1" applyFont="1" applyFill="1" applyBorder="1" applyAlignment="1" applyProtection="1"/>
    <xf numFmtId="0" fontId="6" fillId="6" borderId="4" xfId="0" applyNumberFormat="1" applyFont="1" applyFill="1" applyBorder="1" applyAlignment="1" applyProtection="1"/>
    <xf numFmtId="0" fontId="2" fillId="6" borderId="6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10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3" fillId="2" borderId="4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5" xfId="0" applyNumberFormat="1" applyFont="1" applyFill="1" applyBorder="1"/>
    <xf numFmtId="49" fontId="7" fillId="8" borderId="0" xfId="0" applyNumberFormat="1" applyFont="1" applyFill="1" applyBorder="1"/>
    <xf numFmtId="0" fontId="2" fillId="8" borderId="4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1" fillId="8" borderId="4" xfId="0" applyNumberFormat="1" applyFont="1" applyFill="1" applyBorder="1"/>
    <xf numFmtId="0" fontId="2" fillId="8" borderId="6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9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10" xfId="0" applyNumberFormat="1" applyFont="1" applyFill="1" applyBorder="1" applyAlignment="1" applyProtection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NumberFormat="1" applyFont="1" applyFill="1" applyBorder="1" applyAlignment="1" applyProtection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2" fillId="0" borderId="21" xfId="0" applyNumberFormat="1" applyFont="1" applyBorder="1" applyAlignment="1" applyProtection="1">
      <alignment horizontal="right" vertical="center"/>
    </xf>
    <xf numFmtId="3" fontId="14" fillId="0" borderId="18" xfId="0" applyNumberFormat="1" applyFont="1" applyBorder="1" applyAlignment="1">
      <alignment horizontal="right" vertical="top"/>
    </xf>
    <xf numFmtId="3" fontId="14" fillId="0" borderId="0" xfId="0" applyNumberFormat="1" applyFont="1" applyBorder="1" applyAlignment="1">
      <alignment horizontal="right" vertical="top"/>
    </xf>
    <xf numFmtId="3" fontId="12" fillId="0" borderId="18" xfId="0" applyNumberFormat="1" applyFont="1" applyFill="1" applyBorder="1" applyAlignment="1" applyProtection="1">
      <alignment horizontal="right"/>
    </xf>
    <xf numFmtId="3" fontId="12" fillId="0" borderId="17" xfId="0" applyNumberFormat="1" applyFont="1" applyFill="1" applyBorder="1" applyAlignment="1" applyProtection="1">
      <alignment horizontal="right"/>
    </xf>
    <xf numFmtId="3" fontId="14" fillId="0" borderId="8" xfId="0" applyNumberFormat="1" applyFont="1" applyBorder="1" applyAlignment="1">
      <alignment horizontal="right" vertical="top"/>
    </xf>
    <xf numFmtId="0" fontId="0" fillId="0" borderId="0" xfId="0" applyFont="1" applyBorder="1" applyAlignment="1" applyProtection="1">
      <alignment horizontal="left" indent="1"/>
      <protection locked="0"/>
    </xf>
    <xf numFmtId="0" fontId="14" fillId="0" borderId="18" xfId="0" applyFont="1" applyBorder="1" applyAlignment="1">
      <alignment horizontal="right" vertical="top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21" xfId="0" applyNumberFormat="1" applyFont="1" applyFill="1" applyBorder="1" applyAlignment="1">
      <alignment horizontal="right" vertical="center" wrapText="1"/>
    </xf>
    <xf numFmtId="3" fontId="10" fillId="15" borderId="18" xfId="0" applyNumberFormat="1" applyFont="1" applyFill="1" applyBorder="1" applyAlignment="1">
      <alignment horizontal="right" vertical="center" wrapText="1"/>
    </xf>
    <xf numFmtId="3" fontId="10" fillId="0" borderId="18" xfId="0" applyNumberFormat="1" applyFont="1" applyFill="1" applyBorder="1" applyAlignment="1" applyProtection="1">
      <alignment horizontal="right" vertical="center"/>
    </xf>
    <xf numFmtId="3" fontId="10" fillId="0" borderId="17" xfId="0" applyNumberFormat="1" applyFont="1" applyFill="1" applyBorder="1" applyAlignment="1" applyProtection="1">
      <alignment horizontal="right" vertical="center"/>
    </xf>
    <xf numFmtId="3" fontId="10" fillId="15" borderId="31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 applyProtection="1">
      <alignment vertical="center"/>
      <protection locked="0"/>
    </xf>
    <xf numFmtId="49" fontId="15" fillId="0" borderId="0" xfId="0" applyNumberFormat="1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12" fillId="0" borderId="32" xfId="0" applyNumberFormat="1" applyFont="1" applyBorder="1" applyAlignment="1" applyProtection="1">
      <alignment horizontal="right" vertical="center"/>
    </xf>
    <xf numFmtId="3" fontId="14" fillId="0" borderId="33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2" fillId="0" borderId="33" xfId="0" applyNumberFormat="1" applyFont="1" applyFill="1" applyBorder="1" applyAlignment="1" applyProtection="1">
      <alignment horizontal="right"/>
    </xf>
    <xf numFmtId="3" fontId="12" fillId="0" borderId="34" xfId="0" applyNumberFormat="1" applyFont="1" applyFill="1" applyBorder="1" applyAlignment="1" applyProtection="1">
      <alignment horizontal="right"/>
    </xf>
    <xf numFmtId="3" fontId="14" fillId="0" borderId="10" xfId="0" applyNumberFormat="1" applyFont="1" applyBorder="1" applyAlignment="1">
      <alignment horizontal="right" vertical="top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49" fontId="0" fillId="0" borderId="0" xfId="0" applyNumberFormat="1" applyFont="1" applyProtection="1">
      <protection locked="0"/>
    </xf>
    <xf numFmtId="0" fontId="11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3" fontId="14" fillId="0" borderId="17" xfId="0" applyNumberFormat="1" applyFont="1" applyBorder="1" applyAlignment="1">
      <alignment horizontal="right" vertical="top"/>
    </xf>
    <xf numFmtId="3" fontId="14" fillId="0" borderId="34" xfId="0" applyNumberFormat="1" applyFont="1" applyBorder="1" applyAlignment="1">
      <alignment horizontal="right" vertical="top"/>
    </xf>
    <xf numFmtId="49" fontId="3" fillId="16" borderId="4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4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4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3" fontId="10" fillId="0" borderId="7" xfId="0" applyNumberFormat="1" applyFont="1" applyBorder="1" applyAlignment="1" applyProtection="1">
      <alignment horizontal="right" vertical="center"/>
    </xf>
    <xf numFmtId="0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3" fontId="10" fillId="0" borderId="24" xfId="0" applyNumberFormat="1" applyFont="1" applyBorder="1" applyAlignment="1" applyProtection="1">
      <alignment horizontal="right" vertical="center"/>
    </xf>
    <xf numFmtId="3" fontId="10" fillId="0" borderId="18" xfId="0" applyNumberFormat="1" applyFont="1" applyBorder="1" applyAlignment="1" applyProtection="1">
      <alignment horizontal="right" vertical="center"/>
    </xf>
    <xf numFmtId="3" fontId="10" fillId="0" borderId="31" xfId="0" applyNumberFormat="1" applyFont="1" applyBorder="1" applyAlignment="1" applyProtection="1">
      <alignment horizontal="right" vertical="center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28" xfId="0" applyFont="1" applyBorder="1" applyAlignment="1" applyProtection="1">
      <alignment horizontal="center" vertical="center" wrapText="1"/>
      <protection locked="0"/>
    </xf>
    <xf numFmtId="0" fontId="0" fillId="0" borderId="24" xfId="0" applyFont="1" applyBorder="1" applyAlignment="1" applyProtection="1">
      <alignment horizontal="center" vertical="center" wrapText="1"/>
      <protection locked="0"/>
    </xf>
    <xf numFmtId="0" fontId="0" fillId="0" borderId="17" xfId="0" applyFont="1" applyBorder="1" applyAlignment="1" applyProtection="1">
      <alignment horizontal="center" vertical="center" wrapText="1"/>
      <protection locked="0"/>
    </xf>
    <xf numFmtId="0" fontId="0" fillId="0" borderId="25" xfId="0" applyFont="1" applyBorder="1" applyAlignment="1" applyProtection="1">
      <alignment horizontal="center" vertical="center" wrapText="1"/>
      <protection locked="0"/>
    </xf>
    <xf numFmtId="0" fontId="0" fillId="0" borderId="29" xfId="0" applyFont="1" applyBorder="1" applyAlignment="1" applyProtection="1">
      <alignment horizontal="center" vertical="center" wrapText="1"/>
      <protection locked="0"/>
    </xf>
    <xf numFmtId="0" fontId="1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Fill="1" applyBorder="1" applyAlignment="1" applyProtection="1">
      <alignment vertical="center" wrapText="1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16" xfId="0" applyFont="1" applyBorder="1" applyProtection="1"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0" borderId="21" xfId="0" applyNumberFormat="1" applyFont="1" applyBorder="1" applyAlignment="1" applyProtection="1">
      <alignment horizontal="right"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49" fontId="9" fillId="0" borderId="27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4" xfId="0" applyFont="1" applyBorder="1" applyAlignment="1" applyProtection="1">
      <alignment horizontal="right" vertical="center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4.4" x14ac:dyDescent="0.3"/>
  <sheetData>
    <row r="1" spans="1:13" x14ac:dyDescent="0.3">
      <c r="A1" s="1" t="s">
        <v>178</v>
      </c>
      <c r="B1" s="2" t="s">
        <v>6</v>
      </c>
      <c r="C1" s="3"/>
      <c r="D1" s="4"/>
      <c r="E1" s="4"/>
      <c r="F1" s="4"/>
      <c r="G1" s="4"/>
      <c r="H1" s="167" t="s">
        <v>179</v>
      </c>
      <c r="I1" s="5"/>
      <c r="J1" s="3"/>
      <c r="K1" s="3"/>
      <c r="L1" s="3"/>
      <c r="M1" s="6"/>
    </row>
    <row r="2" spans="1:13" x14ac:dyDescent="0.3">
      <c r="A2" s="7" t="s">
        <v>180</v>
      </c>
      <c r="B2" s="8" t="s">
        <v>8</v>
      </c>
      <c r="C2" s="9"/>
      <c r="D2" s="9"/>
      <c r="E2" s="9"/>
      <c r="F2" s="9"/>
      <c r="G2" s="9"/>
      <c r="H2" s="168"/>
      <c r="I2" s="10"/>
      <c r="J2" s="9"/>
      <c r="K2" s="9"/>
      <c r="L2" s="9"/>
      <c r="M2" s="11"/>
    </row>
    <row r="3" spans="1:13" x14ac:dyDescent="0.3">
      <c r="A3" s="7" t="s">
        <v>181</v>
      </c>
      <c r="B3" s="8" t="s">
        <v>10</v>
      </c>
      <c r="C3" s="9"/>
      <c r="D3" s="170" t="s">
        <v>182</v>
      </c>
      <c r="E3" s="170"/>
      <c r="F3" s="170"/>
      <c r="G3" s="170"/>
      <c r="H3" s="168"/>
      <c r="I3" s="10"/>
      <c r="J3" s="9"/>
      <c r="K3" s="9"/>
      <c r="L3" s="9"/>
      <c r="M3" s="11"/>
    </row>
    <row r="4" spans="1:13" x14ac:dyDescent="0.3">
      <c r="A4" s="7" t="s">
        <v>183</v>
      </c>
      <c r="B4" s="8" t="s">
        <v>12</v>
      </c>
      <c r="C4" s="9"/>
      <c r="D4" s="12" t="s">
        <v>184</v>
      </c>
      <c r="E4" s="9"/>
      <c r="F4" s="9"/>
      <c r="G4" s="9"/>
      <c r="H4" s="168"/>
      <c r="I4" s="10"/>
      <c r="J4" s="9"/>
      <c r="K4" s="9"/>
      <c r="L4" s="9"/>
      <c r="M4" s="11"/>
    </row>
    <row r="5" spans="1:13" x14ac:dyDescent="0.3">
      <c r="A5" s="7" t="s">
        <v>185</v>
      </c>
      <c r="B5" s="8" t="s">
        <v>14</v>
      </c>
      <c r="C5" s="9"/>
      <c r="D5" s="9"/>
      <c r="E5" s="9"/>
      <c r="F5" s="9"/>
      <c r="G5" s="9"/>
      <c r="H5" s="168"/>
      <c r="I5" s="10"/>
      <c r="J5" s="9"/>
      <c r="K5" s="9"/>
      <c r="L5" s="9"/>
      <c r="M5" s="11"/>
    </row>
    <row r="6" spans="1:13" x14ac:dyDescent="0.3">
      <c r="A6" s="7" t="s">
        <v>186</v>
      </c>
      <c r="B6" s="8" t="s">
        <v>16</v>
      </c>
      <c r="C6" s="9"/>
      <c r="D6" s="9"/>
      <c r="E6" s="9"/>
      <c r="F6" s="9"/>
      <c r="G6" s="9"/>
      <c r="H6" s="168"/>
      <c r="I6" s="10"/>
      <c r="J6" s="9"/>
      <c r="K6" s="9"/>
      <c r="L6" s="9"/>
      <c r="M6" s="11"/>
    </row>
    <row r="7" spans="1:13" x14ac:dyDescent="0.3">
      <c r="A7" s="13" t="s">
        <v>187</v>
      </c>
      <c r="B7" s="14" t="s">
        <v>20</v>
      </c>
      <c r="C7" s="15"/>
      <c r="D7" s="16"/>
      <c r="E7" s="15"/>
      <c r="F7" s="15"/>
      <c r="G7" s="15"/>
      <c r="H7" s="168"/>
      <c r="I7" s="17"/>
      <c r="J7" s="15"/>
      <c r="K7" s="15"/>
      <c r="L7" s="15"/>
      <c r="M7" s="18"/>
    </row>
    <row r="8" spans="1:13" x14ac:dyDescent="0.3">
      <c r="A8" s="13" t="s">
        <v>188</v>
      </c>
      <c r="B8" s="19" t="s">
        <v>22</v>
      </c>
      <c r="C8" s="15"/>
      <c r="D8" s="15"/>
      <c r="E8" s="15"/>
      <c r="F8" s="15"/>
      <c r="G8" s="15"/>
      <c r="H8" s="168"/>
      <c r="I8" s="17"/>
      <c r="J8" s="19"/>
      <c r="K8" s="20"/>
      <c r="L8" s="15"/>
      <c r="M8" s="18"/>
    </row>
    <row r="9" spans="1:13" x14ac:dyDescent="0.3">
      <c r="A9" s="13" t="s">
        <v>189</v>
      </c>
      <c r="B9" s="19" t="s">
        <v>24</v>
      </c>
      <c r="C9" s="15"/>
      <c r="D9" s="15"/>
      <c r="E9" s="15"/>
      <c r="F9" s="15"/>
      <c r="G9" s="15"/>
      <c r="H9" s="168"/>
      <c r="I9" s="17"/>
      <c r="J9" s="15"/>
      <c r="K9" s="15"/>
      <c r="L9" s="15"/>
      <c r="M9" s="18"/>
    </row>
    <row r="10" spans="1:13" x14ac:dyDescent="0.3">
      <c r="A10" s="13" t="s">
        <v>190</v>
      </c>
      <c r="B10" s="19" t="s">
        <v>26</v>
      </c>
      <c r="C10" s="15"/>
      <c r="D10" s="15"/>
      <c r="E10" s="15"/>
      <c r="F10" s="15"/>
      <c r="G10" s="15"/>
      <c r="H10" s="168"/>
      <c r="I10" s="17"/>
      <c r="J10" s="15"/>
      <c r="K10" s="15"/>
      <c r="L10" s="15"/>
      <c r="M10" s="18"/>
    </row>
    <row r="11" spans="1:13" x14ac:dyDescent="0.3">
      <c r="A11" s="13" t="s">
        <v>191</v>
      </c>
      <c r="B11" s="19" t="s">
        <v>28</v>
      </c>
      <c r="C11" s="15"/>
      <c r="D11" s="21" t="s">
        <v>192</v>
      </c>
      <c r="E11" s="15"/>
      <c r="F11" s="15"/>
      <c r="G11" s="15"/>
      <c r="H11" s="168"/>
      <c r="I11" s="17"/>
      <c r="J11" s="15"/>
      <c r="K11" s="15"/>
      <c r="L11" s="15"/>
      <c r="M11" s="18"/>
    </row>
    <row r="12" spans="1:13" x14ac:dyDescent="0.3">
      <c r="A12" s="13" t="s">
        <v>193</v>
      </c>
      <c r="B12" s="19" t="s">
        <v>30</v>
      </c>
      <c r="C12" s="15"/>
      <c r="D12" s="15"/>
      <c r="E12" s="15"/>
      <c r="F12" s="15"/>
      <c r="G12" s="15"/>
      <c r="H12" s="168"/>
      <c r="I12" s="17"/>
      <c r="J12" s="15"/>
      <c r="K12" s="15"/>
      <c r="L12" s="15"/>
      <c r="M12" s="18"/>
    </row>
    <row r="13" spans="1:13" x14ac:dyDescent="0.3">
      <c r="A13" s="13" t="s">
        <v>194</v>
      </c>
      <c r="B13" s="19" t="s">
        <v>32</v>
      </c>
      <c r="C13" s="15"/>
      <c r="D13" s="15"/>
      <c r="E13" s="15"/>
      <c r="F13" s="15"/>
      <c r="G13" s="15"/>
      <c r="H13" s="168"/>
      <c r="I13" s="17"/>
      <c r="J13" s="15"/>
      <c r="K13" s="15"/>
      <c r="L13" s="15"/>
      <c r="M13" s="18"/>
    </row>
    <row r="14" spans="1:13" x14ac:dyDescent="0.3">
      <c r="A14" s="13" t="s">
        <v>195</v>
      </c>
      <c r="B14" s="19" t="s">
        <v>34</v>
      </c>
      <c r="C14" s="15"/>
      <c r="D14" s="15"/>
      <c r="E14" s="15"/>
      <c r="F14" s="15"/>
      <c r="G14" s="15"/>
      <c r="H14" s="168"/>
      <c r="I14" s="17"/>
      <c r="J14" s="15"/>
      <c r="K14" s="15"/>
      <c r="L14" s="15"/>
      <c r="M14" s="18"/>
    </row>
    <row r="15" spans="1:13" x14ac:dyDescent="0.3">
      <c r="A15" s="13" t="s">
        <v>196</v>
      </c>
      <c r="B15" s="19" t="s">
        <v>36</v>
      </c>
      <c r="C15" s="15"/>
      <c r="D15" s="15"/>
      <c r="E15" s="15"/>
      <c r="F15" s="15"/>
      <c r="G15" s="15"/>
      <c r="H15" s="168"/>
      <c r="I15" s="17"/>
      <c r="J15" s="15"/>
      <c r="K15" s="15"/>
      <c r="L15" s="15"/>
      <c r="M15" s="18"/>
    </row>
    <row r="16" spans="1:13" x14ac:dyDescent="0.3">
      <c r="A16" s="13" t="s">
        <v>197</v>
      </c>
      <c r="B16" s="19" t="s">
        <v>38</v>
      </c>
      <c r="C16" s="15"/>
      <c r="D16" s="15"/>
      <c r="E16" s="15"/>
      <c r="F16" s="15"/>
      <c r="G16" s="15"/>
      <c r="H16" s="168"/>
      <c r="I16" s="17"/>
      <c r="J16" s="15"/>
      <c r="K16" s="15"/>
      <c r="L16" s="15"/>
      <c r="M16" s="18"/>
    </row>
    <row r="17" spans="1:13" x14ac:dyDescent="0.3">
      <c r="A17" s="13" t="s">
        <v>198</v>
      </c>
      <c r="B17" s="19" t="s">
        <v>40</v>
      </c>
      <c r="C17" s="15"/>
      <c r="D17" s="15"/>
      <c r="E17" s="15"/>
      <c r="F17" s="15"/>
      <c r="G17" s="15"/>
      <c r="H17" s="168"/>
      <c r="I17" s="17"/>
      <c r="J17" s="15"/>
      <c r="K17" s="15"/>
      <c r="L17" s="15"/>
      <c r="M17" s="18"/>
    </row>
    <row r="18" spans="1:13" x14ac:dyDescent="0.3">
      <c r="A18" s="22" t="s">
        <v>199</v>
      </c>
      <c r="B18" s="23" t="s">
        <v>44</v>
      </c>
      <c r="C18" s="24"/>
      <c r="D18" s="25"/>
      <c r="E18" s="24"/>
      <c r="F18" s="24"/>
      <c r="G18" s="24"/>
      <c r="H18" s="168"/>
      <c r="I18" s="26"/>
      <c r="J18" s="23"/>
      <c r="K18" s="23"/>
      <c r="L18" s="24"/>
      <c r="M18" s="27"/>
    </row>
    <row r="19" spans="1:13" x14ac:dyDescent="0.3">
      <c r="A19" s="22" t="s">
        <v>200</v>
      </c>
      <c r="B19" s="23" t="s">
        <v>46</v>
      </c>
      <c r="C19" s="24"/>
      <c r="D19" s="24"/>
      <c r="E19" s="24"/>
      <c r="F19" s="24"/>
      <c r="G19" s="24"/>
      <c r="H19" s="168"/>
      <c r="I19" s="26"/>
      <c r="J19" s="23"/>
      <c r="K19" s="23"/>
      <c r="L19" s="24"/>
      <c r="M19" s="27"/>
    </row>
    <row r="20" spans="1:13" x14ac:dyDescent="0.3">
      <c r="A20" s="22" t="s">
        <v>201</v>
      </c>
      <c r="B20" s="23" t="s">
        <v>48</v>
      </c>
      <c r="C20" s="24"/>
      <c r="D20" s="28" t="s">
        <v>202</v>
      </c>
      <c r="E20" s="24"/>
      <c r="F20" s="24"/>
      <c r="G20" s="24"/>
      <c r="H20" s="168"/>
      <c r="I20" s="26"/>
      <c r="J20" s="23"/>
      <c r="K20" s="23"/>
      <c r="L20" s="24"/>
      <c r="M20" s="27"/>
    </row>
    <row r="21" spans="1:13" ht="15" thickBot="1" x14ac:dyDescent="0.35">
      <c r="A21" s="29" t="s">
        <v>203</v>
      </c>
      <c r="B21" s="30" t="s">
        <v>50</v>
      </c>
      <c r="C21" s="31"/>
      <c r="D21" s="31"/>
      <c r="E21" s="31"/>
      <c r="F21" s="31"/>
      <c r="G21" s="31"/>
      <c r="H21" s="169"/>
      <c r="I21" s="32"/>
      <c r="J21" s="30"/>
      <c r="K21" s="30"/>
      <c r="L21" s="31"/>
      <c r="M21" s="33"/>
    </row>
    <row r="22" spans="1:13" x14ac:dyDescent="0.3">
      <c r="A22" s="34" t="s">
        <v>204</v>
      </c>
      <c r="B22" s="35" t="s">
        <v>54</v>
      </c>
      <c r="C22" s="36"/>
      <c r="D22" s="37"/>
      <c r="E22" s="36"/>
      <c r="F22" s="36"/>
      <c r="G22" s="38"/>
      <c r="H22" s="171" t="s">
        <v>205</v>
      </c>
      <c r="I22" s="36"/>
      <c r="J22" s="35"/>
      <c r="K22" s="35"/>
      <c r="L22" s="36"/>
      <c r="M22" s="39"/>
    </row>
    <row r="23" spans="1:13" x14ac:dyDescent="0.3">
      <c r="A23" s="40" t="s">
        <v>206</v>
      </c>
      <c r="B23" s="41" t="s">
        <v>56</v>
      </c>
      <c r="C23" s="42"/>
      <c r="D23" s="42"/>
      <c r="E23" s="42"/>
      <c r="F23" s="42"/>
      <c r="G23" s="43"/>
      <c r="H23" s="172"/>
      <c r="I23" s="42"/>
      <c r="J23" s="41"/>
      <c r="K23" s="41"/>
      <c r="L23" s="42"/>
      <c r="M23" s="44"/>
    </row>
    <row r="24" spans="1:13" x14ac:dyDescent="0.3">
      <c r="A24" s="40" t="s">
        <v>207</v>
      </c>
      <c r="B24" s="41" t="s">
        <v>58</v>
      </c>
      <c r="C24" s="42"/>
      <c r="D24" s="45" t="s">
        <v>208</v>
      </c>
      <c r="E24" s="42"/>
      <c r="F24" s="42"/>
      <c r="G24" s="43"/>
      <c r="H24" s="172"/>
      <c r="I24" s="42"/>
      <c r="J24" s="41"/>
      <c r="K24" s="41"/>
      <c r="L24" s="42"/>
      <c r="M24" s="44"/>
    </row>
    <row r="25" spans="1:13" x14ac:dyDescent="0.3">
      <c r="A25" s="40" t="s">
        <v>209</v>
      </c>
      <c r="B25" s="41" t="s">
        <v>60</v>
      </c>
      <c r="C25" s="42"/>
      <c r="D25" s="42"/>
      <c r="E25" s="42"/>
      <c r="F25" s="42"/>
      <c r="G25" s="43"/>
      <c r="H25" s="172"/>
      <c r="I25" s="42"/>
      <c r="J25" s="41"/>
      <c r="K25" s="41"/>
      <c r="L25" s="42"/>
      <c r="M25" s="44"/>
    </row>
    <row r="26" spans="1:13" x14ac:dyDescent="0.3">
      <c r="A26" s="40" t="s">
        <v>210</v>
      </c>
      <c r="B26" s="41" t="s">
        <v>62</v>
      </c>
      <c r="C26" s="42"/>
      <c r="D26" s="42"/>
      <c r="E26" s="42"/>
      <c r="F26" s="42"/>
      <c r="G26" s="43"/>
      <c r="H26" s="172"/>
      <c r="I26" s="42"/>
      <c r="J26" s="41"/>
      <c r="K26" s="41"/>
      <c r="L26" s="42"/>
      <c r="M26" s="44"/>
    </row>
    <row r="27" spans="1:13" x14ac:dyDescent="0.3">
      <c r="A27" s="46" t="s">
        <v>211</v>
      </c>
      <c r="B27" s="47" t="s">
        <v>66</v>
      </c>
      <c r="C27" s="48"/>
      <c r="D27" s="49"/>
      <c r="E27" s="48"/>
      <c r="F27" s="48"/>
      <c r="G27" s="50"/>
      <c r="H27" s="172"/>
      <c r="I27" s="48"/>
      <c r="J27" s="47"/>
      <c r="K27" s="47"/>
      <c r="L27" s="48"/>
      <c r="M27" s="51"/>
    </row>
    <row r="28" spans="1:13" x14ac:dyDescent="0.3">
      <c r="A28" s="46" t="s">
        <v>212</v>
      </c>
      <c r="B28" s="47" t="s">
        <v>68</v>
      </c>
      <c r="C28" s="48"/>
      <c r="D28" s="48"/>
      <c r="E28" s="48"/>
      <c r="F28" s="48"/>
      <c r="G28" s="50"/>
      <c r="H28" s="172"/>
      <c r="I28" s="48"/>
      <c r="J28" s="47"/>
      <c r="K28" s="47"/>
      <c r="L28" s="48"/>
      <c r="M28" s="51"/>
    </row>
    <row r="29" spans="1:13" x14ac:dyDescent="0.3">
      <c r="A29" s="46" t="s">
        <v>213</v>
      </c>
      <c r="B29" s="47" t="s">
        <v>70</v>
      </c>
      <c r="C29" s="48"/>
      <c r="D29" s="52" t="s">
        <v>214</v>
      </c>
      <c r="E29" s="48"/>
      <c r="F29" s="48"/>
      <c r="G29" s="50"/>
      <c r="H29" s="172"/>
      <c r="I29" s="48"/>
      <c r="J29" s="47"/>
      <c r="K29" s="47"/>
      <c r="L29" s="48"/>
      <c r="M29" s="51"/>
    </row>
    <row r="30" spans="1:13" x14ac:dyDescent="0.3">
      <c r="A30" s="46" t="s">
        <v>215</v>
      </c>
      <c r="B30" s="47" t="s">
        <v>72</v>
      </c>
      <c r="C30" s="48"/>
      <c r="D30" s="48"/>
      <c r="E30" s="48"/>
      <c r="F30" s="48"/>
      <c r="G30" s="50"/>
      <c r="H30" s="172"/>
      <c r="I30" s="48"/>
      <c r="J30" s="47"/>
      <c r="K30" s="47"/>
      <c r="L30" s="48"/>
      <c r="M30" s="51"/>
    </row>
    <row r="31" spans="1:13" ht="15" thickBot="1" x14ac:dyDescent="0.35">
      <c r="A31" s="53" t="s">
        <v>216</v>
      </c>
      <c r="B31" s="54" t="s">
        <v>74</v>
      </c>
      <c r="C31" s="55"/>
      <c r="D31" s="55"/>
      <c r="E31" s="55"/>
      <c r="F31" s="55"/>
      <c r="G31" s="56"/>
      <c r="H31" s="173"/>
      <c r="I31" s="55"/>
      <c r="J31" s="54"/>
      <c r="K31" s="54"/>
      <c r="L31" s="55"/>
      <c r="M31" s="57"/>
    </row>
    <row r="32" spans="1:13" x14ac:dyDescent="0.3">
      <c r="A32" s="58" t="s">
        <v>217</v>
      </c>
      <c r="B32" s="59" t="s">
        <v>78</v>
      </c>
      <c r="C32" s="60"/>
      <c r="D32" s="61"/>
      <c r="E32" s="62"/>
      <c r="F32" s="62"/>
      <c r="G32" s="63"/>
      <c r="H32" s="174" t="s">
        <v>218</v>
      </c>
      <c r="I32" s="62"/>
      <c r="J32" s="61"/>
      <c r="K32" s="61"/>
      <c r="L32" s="62"/>
      <c r="M32" s="64"/>
    </row>
    <row r="33" spans="1:13" x14ac:dyDescent="0.3">
      <c r="A33" s="65" t="s">
        <v>219</v>
      </c>
      <c r="B33" s="66" t="s">
        <v>80</v>
      </c>
      <c r="C33" s="67"/>
      <c r="D33" s="67"/>
      <c r="E33" s="67"/>
      <c r="F33" s="67"/>
      <c r="G33" s="68"/>
      <c r="H33" s="175"/>
      <c r="I33" s="67"/>
      <c r="J33" s="66"/>
      <c r="K33" s="66"/>
      <c r="L33" s="67"/>
      <c r="M33" s="69"/>
    </row>
    <row r="34" spans="1:13" x14ac:dyDescent="0.3">
      <c r="A34" s="65" t="s">
        <v>220</v>
      </c>
      <c r="B34" s="66" t="s">
        <v>82</v>
      </c>
      <c r="C34" s="67"/>
      <c r="D34" s="70" t="s">
        <v>221</v>
      </c>
      <c r="E34" s="67"/>
      <c r="F34" s="67"/>
      <c r="G34" s="68"/>
      <c r="H34" s="175"/>
      <c r="I34" s="67"/>
      <c r="J34" s="66"/>
      <c r="K34" s="66"/>
      <c r="L34" s="67"/>
      <c r="M34" s="69"/>
    </row>
    <row r="35" spans="1:13" x14ac:dyDescent="0.3">
      <c r="A35" s="65" t="s">
        <v>222</v>
      </c>
      <c r="B35" s="66" t="s">
        <v>84</v>
      </c>
      <c r="C35" s="67"/>
      <c r="D35" s="67"/>
      <c r="E35" s="67"/>
      <c r="F35" s="67"/>
      <c r="G35" s="68"/>
      <c r="H35" s="175"/>
      <c r="I35" s="67"/>
      <c r="J35" s="66"/>
      <c r="K35" s="66"/>
      <c r="L35" s="67"/>
      <c r="M35" s="69"/>
    </row>
    <row r="36" spans="1:13" x14ac:dyDescent="0.3">
      <c r="A36" s="65" t="s">
        <v>223</v>
      </c>
      <c r="B36" s="66" t="s">
        <v>86</v>
      </c>
      <c r="C36" s="67"/>
      <c r="D36" s="67"/>
      <c r="E36" s="67"/>
      <c r="F36" s="67"/>
      <c r="G36" s="68"/>
      <c r="H36" s="175"/>
      <c r="I36" s="67"/>
      <c r="J36" s="66"/>
      <c r="K36" s="66"/>
      <c r="L36" s="67"/>
      <c r="M36" s="69"/>
    </row>
    <row r="37" spans="1:13" x14ac:dyDescent="0.3">
      <c r="A37" s="71" t="s">
        <v>224</v>
      </c>
      <c r="B37" s="72" t="s">
        <v>90</v>
      </c>
      <c r="C37" s="73"/>
      <c r="D37" s="74"/>
      <c r="E37" s="73"/>
      <c r="F37" s="73"/>
      <c r="G37" s="75"/>
      <c r="H37" s="175"/>
      <c r="I37" s="73"/>
      <c r="J37" s="72"/>
      <c r="K37" s="72"/>
      <c r="L37" s="73"/>
      <c r="M37" s="76"/>
    </row>
    <row r="38" spans="1:13" x14ac:dyDescent="0.3">
      <c r="A38" s="71" t="s">
        <v>225</v>
      </c>
      <c r="B38" s="72" t="s">
        <v>92</v>
      </c>
      <c r="C38" s="73"/>
      <c r="D38" s="77" t="s">
        <v>226</v>
      </c>
      <c r="E38" s="73"/>
      <c r="F38" s="73"/>
      <c r="G38" s="75"/>
      <c r="H38" s="175"/>
      <c r="I38" s="73"/>
      <c r="J38" s="72"/>
      <c r="K38" s="72"/>
      <c r="L38" s="73"/>
      <c r="M38" s="76"/>
    </row>
    <row r="39" spans="1:13" x14ac:dyDescent="0.3">
      <c r="A39" s="71" t="s">
        <v>227</v>
      </c>
      <c r="B39" s="72" t="s">
        <v>94</v>
      </c>
      <c r="C39" s="73"/>
      <c r="D39" s="73"/>
      <c r="E39" s="73"/>
      <c r="F39" s="73"/>
      <c r="G39" s="75"/>
      <c r="H39" s="175"/>
      <c r="I39" s="73"/>
      <c r="J39" s="72"/>
      <c r="K39" s="72"/>
      <c r="L39" s="73"/>
      <c r="M39" s="76"/>
    </row>
    <row r="40" spans="1:13" x14ac:dyDescent="0.3">
      <c r="A40" s="78" t="s">
        <v>228</v>
      </c>
      <c r="B40" s="79" t="s">
        <v>98</v>
      </c>
      <c r="C40" s="80"/>
      <c r="D40" s="81"/>
      <c r="E40" s="82"/>
      <c r="F40" s="82"/>
      <c r="G40" s="83"/>
      <c r="H40" s="175"/>
      <c r="I40" s="80"/>
      <c r="J40" s="79"/>
      <c r="K40" s="79"/>
      <c r="L40" s="80"/>
      <c r="M40" s="84"/>
    </row>
    <row r="41" spans="1:13" x14ac:dyDescent="0.3">
      <c r="A41" s="78" t="s">
        <v>229</v>
      </c>
      <c r="B41" s="79" t="s">
        <v>100</v>
      </c>
      <c r="C41" s="80"/>
      <c r="D41" s="80"/>
      <c r="E41" s="80"/>
      <c r="F41" s="80"/>
      <c r="G41" s="83"/>
      <c r="H41" s="175"/>
      <c r="I41" s="80"/>
      <c r="J41" s="79"/>
      <c r="K41" s="79"/>
      <c r="L41" s="80"/>
      <c r="M41" s="84"/>
    </row>
    <row r="42" spans="1:13" x14ac:dyDescent="0.3">
      <c r="A42" s="78" t="s">
        <v>230</v>
      </c>
      <c r="B42" s="79" t="s">
        <v>102</v>
      </c>
      <c r="C42" s="80"/>
      <c r="D42" s="81" t="s">
        <v>231</v>
      </c>
      <c r="E42" s="80"/>
      <c r="F42" s="80"/>
      <c r="G42" s="83"/>
      <c r="H42" s="175"/>
      <c r="I42" s="80"/>
      <c r="J42" s="79"/>
      <c r="K42" s="79"/>
      <c r="L42" s="80"/>
      <c r="M42" s="84"/>
    </row>
    <row r="43" spans="1:13" x14ac:dyDescent="0.3">
      <c r="A43" s="78" t="s">
        <v>232</v>
      </c>
      <c r="B43" s="79" t="s">
        <v>104</v>
      </c>
      <c r="C43" s="80"/>
      <c r="D43" s="80"/>
      <c r="E43" s="80"/>
      <c r="F43" s="80"/>
      <c r="G43" s="83"/>
      <c r="H43" s="175"/>
      <c r="I43" s="80"/>
      <c r="J43" s="79"/>
      <c r="K43" s="79"/>
      <c r="L43" s="80"/>
      <c r="M43" s="84"/>
    </row>
    <row r="44" spans="1:13" ht="15" thickBot="1" x14ac:dyDescent="0.35">
      <c r="A44" s="85" t="s">
        <v>233</v>
      </c>
      <c r="B44" s="86" t="s">
        <v>106</v>
      </c>
      <c r="C44" s="87"/>
      <c r="D44" s="87"/>
      <c r="E44" s="87"/>
      <c r="F44" s="87"/>
      <c r="G44" s="88"/>
      <c r="H44" s="176"/>
      <c r="I44" s="87"/>
      <c r="J44" s="86"/>
      <c r="K44" s="86"/>
      <c r="L44" s="87"/>
      <c r="M44" s="89"/>
    </row>
    <row r="45" spans="1:13" x14ac:dyDescent="0.3">
      <c r="A45" s="58" t="s">
        <v>234</v>
      </c>
      <c r="B45" s="59" t="s">
        <v>235</v>
      </c>
      <c r="C45" s="60"/>
      <c r="D45" s="60"/>
      <c r="E45" s="90"/>
      <c r="F45" s="60"/>
      <c r="G45" s="60"/>
      <c r="H45" s="167" t="s">
        <v>236</v>
      </c>
      <c r="I45" s="60"/>
      <c r="J45" s="59"/>
      <c r="K45" s="59"/>
      <c r="L45" s="60"/>
      <c r="M45" s="91"/>
    </row>
    <row r="46" spans="1:13" x14ac:dyDescent="0.3">
      <c r="A46" s="65" t="s">
        <v>237</v>
      </c>
      <c r="B46" s="66" t="s">
        <v>238</v>
      </c>
      <c r="C46" s="67"/>
      <c r="D46" s="67"/>
      <c r="E46" s="67"/>
      <c r="F46" s="67"/>
      <c r="G46" s="67"/>
      <c r="H46" s="168"/>
      <c r="I46" s="67"/>
      <c r="J46" s="66"/>
      <c r="K46" s="66"/>
      <c r="L46" s="67"/>
      <c r="M46" s="69"/>
    </row>
    <row r="47" spans="1:13" x14ac:dyDescent="0.3">
      <c r="A47" s="65" t="s">
        <v>239</v>
      </c>
      <c r="B47" s="66" t="s">
        <v>114</v>
      </c>
      <c r="C47" s="67"/>
      <c r="D47" s="67"/>
      <c r="E47" s="67"/>
      <c r="F47" s="67"/>
      <c r="G47" s="67"/>
      <c r="H47" s="168"/>
      <c r="I47" s="67"/>
      <c r="J47" s="66"/>
      <c r="K47" s="66"/>
      <c r="L47" s="67"/>
      <c r="M47" s="69"/>
    </row>
    <row r="48" spans="1:13" x14ac:dyDescent="0.3">
      <c r="A48" s="65" t="s">
        <v>240</v>
      </c>
      <c r="B48" s="66" t="s">
        <v>116</v>
      </c>
      <c r="C48" s="67"/>
      <c r="D48" s="67"/>
      <c r="E48" s="67"/>
      <c r="F48" s="67"/>
      <c r="G48" s="67"/>
      <c r="H48" s="168"/>
      <c r="I48" s="67"/>
      <c r="J48" s="66"/>
      <c r="K48" s="66"/>
      <c r="L48" s="67"/>
      <c r="M48" s="69"/>
    </row>
    <row r="49" spans="1:13" x14ac:dyDescent="0.3">
      <c r="A49" s="65" t="s">
        <v>241</v>
      </c>
      <c r="B49" s="66" t="s">
        <v>118</v>
      </c>
      <c r="C49" s="67"/>
      <c r="D49" s="67"/>
      <c r="E49" s="92" t="s">
        <v>242</v>
      </c>
      <c r="F49" s="67"/>
      <c r="G49" s="67"/>
      <c r="H49" s="168"/>
      <c r="I49" s="67"/>
      <c r="J49" s="66"/>
      <c r="K49" s="66"/>
      <c r="L49" s="67"/>
      <c r="M49" s="69"/>
    </row>
    <row r="50" spans="1:13" x14ac:dyDescent="0.3">
      <c r="A50" s="65" t="s">
        <v>243</v>
      </c>
      <c r="B50" s="66" t="s">
        <v>120</v>
      </c>
      <c r="C50" s="67"/>
      <c r="D50" s="67"/>
      <c r="E50" s="67"/>
      <c r="F50" s="67"/>
      <c r="G50" s="67"/>
      <c r="H50" s="168"/>
      <c r="I50" s="67"/>
      <c r="J50" s="66"/>
      <c r="K50" s="66"/>
      <c r="L50" s="67"/>
      <c r="M50" s="69"/>
    </row>
    <row r="51" spans="1:13" x14ac:dyDescent="0.3">
      <c r="A51" s="65" t="s">
        <v>244</v>
      </c>
      <c r="B51" s="66" t="s">
        <v>122</v>
      </c>
      <c r="C51" s="67"/>
      <c r="D51" s="67"/>
      <c r="E51" s="67"/>
      <c r="F51" s="67"/>
      <c r="G51" s="67"/>
      <c r="H51" s="168"/>
      <c r="I51" s="67"/>
      <c r="J51" s="66"/>
      <c r="K51" s="66"/>
      <c r="L51" s="67"/>
      <c r="M51" s="69"/>
    </row>
    <row r="52" spans="1:13" ht="15" thickBot="1" x14ac:dyDescent="0.35">
      <c r="A52" s="93" t="s">
        <v>245</v>
      </c>
      <c r="B52" s="94" t="s">
        <v>124</v>
      </c>
      <c r="C52" s="95"/>
      <c r="D52" s="95"/>
      <c r="E52" s="95"/>
      <c r="F52" s="95"/>
      <c r="G52" s="95"/>
      <c r="H52" s="169"/>
      <c r="I52" s="95"/>
      <c r="J52" s="94"/>
      <c r="K52" s="94"/>
      <c r="L52" s="95"/>
      <c r="M52" s="96"/>
    </row>
    <row r="53" spans="1:13" x14ac:dyDescent="0.3">
      <c r="A53" s="1" t="s">
        <v>246</v>
      </c>
      <c r="B53" s="97" t="s">
        <v>128</v>
      </c>
      <c r="C53" s="3"/>
      <c r="D53" s="98"/>
      <c r="E53" s="3"/>
      <c r="F53" s="3"/>
      <c r="G53" s="3"/>
      <c r="H53" s="164" t="s">
        <v>247</v>
      </c>
      <c r="I53" s="3"/>
      <c r="J53" s="97"/>
      <c r="K53" s="97"/>
      <c r="L53" s="3"/>
      <c r="M53" s="6"/>
    </row>
    <row r="54" spans="1:13" x14ac:dyDescent="0.3">
      <c r="A54" s="7" t="s">
        <v>248</v>
      </c>
      <c r="B54" s="99" t="s">
        <v>130</v>
      </c>
      <c r="C54" s="9"/>
      <c r="D54" s="9"/>
      <c r="E54" s="9"/>
      <c r="F54" s="9"/>
      <c r="G54" s="9"/>
      <c r="H54" s="165"/>
      <c r="I54" s="9"/>
      <c r="J54" s="99"/>
      <c r="K54" s="99"/>
      <c r="L54" s="9"/>
      <c r="M54" s="11"/>
    </row>
    <row r="55" spans="1:13" x14ac:dyDescent="0.3">
      <c r="A55" s="7" t="s">
        <v>249</v>
      </c>
      <c r="B55" s="99" t="s">
        <v>132</v>
      </c>
      <c r="C55" s="9"/>
      <c r="D55" s="100" t="s">
        <v>250</v>
      </c>
      <c r="E55" s="9"/>
      <c r="F55" s="9"/>
      <c r="G55" s="9"/>
      <c r="H55" s="165"/>
      <c r="I55" s="9"/>
      <c r="J55" s="99"/>
      <c r="K55" s="99"/>
      <c r="L55" s="9"/>
      <c r="M55" s="11"/>
    </row>
    <row r="56" spans="1:13" x14ac:dyDescent="0.3">
      <c r="A56" s="7" t="s">
        <v>251</v>
      </c>
      <c r="B56" s="99" t="s">
        <v>134</v>
      </c>
      <c r="C56" s="9"/>
      <c r="D56" s="9"/>
      <c r="E56" s="9"/>
      <c r="F56" s="9"/>
      <c r="G56" s="9"/>
      <c r="H56" s="165"/>
      <c r="I56" s="9"/>
      <c r="J56" s="99"/>
      <c r="K56" s="99"/>
      <c r="L56" s="9"/>
      <c r="M56" s="11"/>
    </row>
    <row r="57" spans="1:13" x14ac:dyDescent="0.3">
      <c r="A57" s="7" t="s">
        <v>252</v>
      </c>
      <c r="B57" s="99" t="s">
        <v>136</v>
      </c>
      <c r="C57" s="9"/>
      <c r="D57" s="9"/>
      <c r="E57" s="9"/>
      <c r="F57" s="9"/>
      <c r="G57" s="9"/>
      <c r="H57" s="165"/>
      <c r="I57" s="9"/>
      <c r="J57" s="99"/>
      <c r="K57" s="99"/>
      <c r="L57" s="9"/>
      <c r="M57" s="11"/>
    </row>
    <row r="58" spans="1:13" x14ac:dyDescent="0.3">
      <c r="A58" s="46" t="s">
        <v>253</v>
      </c>
      <c r="B58" s="47" t="s">
        <v>140</v>
      </c>
      <c r="C58" s="48"/>
      <c r="D58" s="49"/>
      <c r="E58" s="48"/>
      <c r="F58" s="48"/>
      <c r="G58" s="48"/>
      <c r="H58" s="165"/>
      <c r="I58" s="48"/>
      <c r="J58" s="47"/>
      <c r="K58" s="47"/>
      <c r="L58" s="48"/>
      <c r="M58" s="51"/>
    </row>
    <row r="59" spans="1:13" x14ac:dyDescent="0.3">
      <c r="A59" s="46" t="s">
        <v>254</v>
      </c>
      <c r="B59" s="47" t="s">
        <v>142</v>
      </c>
      <c r="C59" s="48"/>
      <c r="D59" s="48"/>
      <c r="E59" s="48"/>
      <c r="F59" s="48"/>
      <c r="G59" s="48"/>
      <c r="H59" s="165"/>
      <c r="I59" s="48"/>
      <c r="J59" s="47"/>
      <c r="K59" s="47"/>
      <c r="L59" s="48"/>
      <c r="M59" s="51"/>
    </row>
    <row r="60" spans="1:13" x14ac:dyDescent="0.3">
      <c r="A60" s="46" t="s">
        <v>255</v>
      </c>
      <c r="B60" s="47" t="s">
        <v>144</v>
      </c>
      <c r="C60" s="48"/>
      <c r="D60" s="48"/>
      <c r="E60" s="48"/>
      <c r="F60" s="48"/>
      <c r="G60" s="48"/>
      <c r="H60" s="165"/>
      <c r="I60" s="48"/>
      <c r="J60" s="47"/>
      <c r="K60" s="47"/>
      <c r="L60" s="48"/>
      <c r="M60" s="51"/>
    </row>
    <row r="61" spans="1:13" x14ac:dyDescent="0.3">
      <c r="A61" s="46" t="s">
        <v>256</v>
      </c>
      <c r="B61" s="47" t="s">
        <v>146</v>
      </c>
      <c r="C61" s="48"/>
      <c r="D61" s="48"/>
      <c r="E61" s="48"/>
      <c r="F61" s="48"/>
      <c r="G61" s="48"/>
      <c r="H61" s="165"/>
      <c r="I61" s="48"/>
      <c r="J61" s="47"/>
      <c r="K61" s="47"/>
      <c r="L61" s="48"/>
      <c r="M61" s="51"/>
    </row>
    <row r="62" spans="1:13" x14ac:dyDescent="0.3">
      <c r="A62" s="46" t="s">
        <v>257</v>
      </c>
      <c r="B62" s="47" t="s">
        <v>148</v>
      </c>
      <c r="C62" s="48"/>
      <c r="D62" s="48"/>
      <c r="E62" s="48"/>
      <c r="F62" s="48"/>
      <c r="G62" s="48"/>
      <c r="H62" s="165"/>
      <c r="I62" s="48"/>
      <c r="J62" s="47"/>
      <c r="K62" s="47"/>
      <c r="L62" s="48"/>
      <c r="M62" s="51"/>
    </row>
    <row r="63" spans="1:13" x14ac:dyDescent="0.3">
      <c r="A63" s="46" t="s">
        <v>258</v>
      </c>
      <c r="B63" s="47" t="s">
        <v>150</v>
      </c>
      <c r="C63" s="48"/>
      <c r="D63" s="52" t="s">
        <v>259</v>
      </c>
      <c r="E63" s="48"/>
      <c r="F63" s="48"/>
      <c r="G63" s="48"/>
      <c r="H63" s="165"/>
      <c r="I63" s="48"/>
      <c r="J63" s="47"/>
      <c r="K63" s="47"/>
      <c r="L63" s="48"/>
      <c r="M63" s="51"/>
    </row>
    <row r="64" spans="1:13" x14ac:dyDescent="0.3">
      <c r="A64" s="46" t="s">
        <v>260</v>
      </c>
      <c r="B64" s="47" t="s">
        <v>152</v>
      </c>
      <c r="C64" s="48"/>
      <c r="D64" s="48"/>
      <c r="E64" s="48"/>
      <c r="F64" s="48"/>
      <c r="G64" s="48"/>
      <c r="H64" s="165"/>
      <c r="I64" s="48"/>
      <c r="J64" s="47"/>
      <c r="K64" s="47"/>
      <c r="L64" s="48"/>
      <c r="M64" s="51"/>
    </row>
    <row r="65" spans="1:13" x14ac:dyDescent="0.3">
      <c r="A65" s="46" t="s">
        <v>261</v>
      </c>
      <c r="B65" s="47" t="s">
        <v>154</v>
      </c>
      <c r="C65" s="48"/>
      <c r="D65" s="48"/>
      <c r="E65" s="48"/>
      <c r="F65" s="48"/>
      <c r="G65" s="48"/>
      <c r="H65" s="165"/>
      <c r="I65" s="48"/>
      <c r="J65" s="47"/>
      <c r="K65" s="47"/>
      <c r="L65" s="48"/>
      <c r="M65" s="51"/>
    </row>
    <row r="66" spans="1:13" x14ac:dyDescent="0.3">
      <c r="A66" s="46" t="s">
        <v>262</v>
      </c>
      <c r="B66" s="47" t="s">
        <v>156</v>
      </c>
      <c r="C66" s="48"/>
      <c r="D66" s="48"/>
      <c r="E66" s="48"/>
      <c r="F66" s="48"/>
      <c r="G66" s="48"/>
      <c r="H66" s="165"/>
      <c r="I66" s="48"/>
      <c r="J66" s="47"/>
      <c r="K66" s="47"/>
      <c r="L66" s="48"/>
      <c r="M66" s="51"/>
    </row>
    <row r="67" spans="1:13" x14ac:dyDescent="0.3">
      <c r="A67" s="46" t="s">
        <v>263</v>
      </c>
      <c r="B67" s="47" t="s">
        <v>158</v>
      </c>
      <c r="C67" s="48"/>
      <c r="D67" s="48"/>
      <c r="E67" s="48"/>
      <c r="F67" s="48"/>
      <c r="G67" s="48"/>
      <c r="H67" s="165"/>
      <c r="I67" s="48"/>
      <c r="J67" s="47"/>
      <c r="K67" s="47"/>
      <c r="L67" s="48"/>
      <c r="M67" s="51"/>
    </row>
    <row r="68" spans="1:13" x14ac:dyDescent="0.3">
      <c r="A68" s="46" t="s">
        <v>264</v>
      </c>
      <c r="B68" s="47" t="s">
        <v>160</v>
      </c>
      <c r="C68" s="48"/>
      <c r="D68" s="48"/>
      <c r="E68" s="48"/>
      <c r="F68" s="48"/>
      <c r="G68" s="48"/>
      <c r="H68" s="165"/>
      <c r="I68" s="48"/>
      <c r="J68" s="47"/>
      <c r="K68" s="47"/>
      <c r="L68" s="48"/>
      <c r="M68" s="51"/>
    </row>
    <row r="69" spans="1:13" x14ac:dyDescent="0.3">
      <c r="A69" s="46" t="s">
        <v>265</v>
      </c>
      <c r="B69" s="47" t="s">
        <v>162</v>
      </c>
      <c r="C69" s="48"/>
      <c r="D69" s="48"/>
      <c r="E69" s="48"/>
      <c r="F69" s="48"/>
      <c r="G69" s="48"/>
      <c r="H69" s="165"/>
      <c r="I69" s="48"/>
      <c r="J69" s="47"/>
      <c r="K69" s="47"/>
      <c r="L69" s="48"/>
      <c r="M69" s="51"/>
    </row>
    <row r="70" spans="1:13" ht="15" thickBot="1" x14ac:dyDescent="0.35">
      <c r="A70" s="53" t="s">
        <v>266</v>
      </c>
      <c r="B70" s="54" t="s">
        <v>164</v>
      </c>
      <c r="C70" s="55"/>
      <c r="D70" s="55"/>
      <c r="E70" s="55"/>
      <c r="F70" s="55"/>
      <c r="G70" s="55"/>
      <c r="H70" s="166"/>
      <c r="I70" s="55"/>
      <c r="J70" s="54"/>
      <c r="K70" s="54"/>
      <c r="L70" s="55"/>
      <c r="M70" s="57"/>
    </row>
    <row r="71" spans="1:13" x14ac:dyDescent="0.3">
      <c r="A71" s="101" t="s">
        <v>267</v>
      </c>
      <c r="B71" s="102" t="s">
        <v>168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268</v>
      </c>
      <c r="B72" s="102" t="s">
        <v>170</v>
      </c>
      <c r="C72" s="15"/>
      <c r="D72" s="15"/>
      <c r="E72" s="15"/>
      <c r="F72" s="15"/>
      <c r="G72" s="15"/>
      <c r="H72" s="107" t="s">
        <v>269</v>
      </c>
      <c r="I72" s="108"/>
      <c r="J72" s="109"/>
      <c r="K72" s="109"/>
      <c r="L72" s="15"/>
      <c r="M72" s="18"/>
    </row>
    <row r="73" spans="1:13" x14ac:dyDescent="0.3">
      <c r="A73" s="13" t="s">
        <v>270</v>
      </c>
      <c r="B73" s="102" t="s">
        <v>172</v>
      </c>
      <c r="C73" s="15"/>
      <c r="D73" s="21" t="s">
        <v>271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272</v>
      </c>
      <c r="B74" s="102" t="s">
        <v>174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273</v>
      </c>
      <c r="B75" s="115" t="s">
        <v>274</v>
      </c>
      <c r="C75" s="116"/>
      <c r="D75" s="117" t="s">
        <v>275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12"/>
  <sheetViews>
    <sheetView showGridLines="0" tabSelected="1" zoomScaleNormal="100" workbookViewId="0">
      <selection activeCell="T3" sqref="T3"/>
    </sheetView>
  </sheetViews>
  <sheetFormatPr defaultRowHeight="14.4" x14ac:dyDescent="0.3"/>
  <cols>
    <col min="1" max="1" width="43.33203125" style="122" customWidth="1"/>
    <col min="2" max="2" width="9.33203125" style="122" bestFit="1" customWidth="1"/>
    <col min="3" max="3" width="6.5546875" style="122" bestFit="1" customWidth="1"/>
    <col min="4" max="4" width="7.5546875" style="122" bestFit="1" customWidth="1"/>
    <col min="5" max="5" width="6.5546875" style="122" bestFit="1" customWidth="1"/>
    <col min="6" max="8" width="7.5546875" style="122" bestFit="1" customWidth="1"/>
    <col min="9" max="9" width="6.5546875" style="122" bestFit="1" customWidth="1"/>
    <col min="10" max="10" width="7.5546875" style="122" bestFit="1" customWidth="1"/>
    <col min="11" max="11" width="6.5546875" style="122" bestFit="1" customWidth="1"/>
    <col min="12" max="14" width="7.5546875" style="122" bestFit="1" customWidth="1"/>
    <col min="15" max="15" width="7.21875" style="122" customWidth="1"/>
    <col min="16" max="16" width="7" style="122" customWidth="1"/>
    <col min="17" max="17" width="24" style="122" bestFit="1" customWidth="1"/>
    <col min="18" max="18" width="11.6640625" style="122" customWidth="1"/>
    <col min="19" max="19" width="6.44140625" style="122" customWidth="1"/>
    <col min="20" max="16384" width="8.88671875" style="122"/>
  </cols>
  <sheetData>
    <row r="2" spans="1:21" ht="18" x14ac:dyDescent="0.3">
      <c r="A2" s="222" t="s">
        <v>297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120"/>
      <c r="S2" s="121"/>
      <c r="T2" s="121"/>
    </row>
    <row r="3" spans="1:21" ht="18" x14ac:dyDescent="0.3">
      <c r="A3" s="222" t="s">
        <v>298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120"/>
      <c r="S3" s="121"/>
      <c r="T3" s="121"/>
    </row>
    <row r="4" spans="1:21" x14ac:dyDescent="0.3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</row>
    <row r="5" spans="1:21" ht="15" thickBot="1" x14ac:dyDescent="0.35">
      <c r="A5" s="160" t="s">
        <v>0</v>
      </c>
      <c r="B5" s="160"/>
      <c r="C5" s="160"/>
      <c r="D5" s="160"/>
      <c r="E5" s="160"/>
      <c r="F5" s="160"/>
      <c r="G5" s="123"/>
      <c r="H5" s="123"/>
      <c r="I5" s="123"/>
      <c r="J5" s="123"/>
      <c r="K5" s="123"/>
      <c r="L5" s="123"/>
      <c r="M5" s="160"/>
      <c r="N5" s="160"/>
      <c r="O5" s="160"/>
      <c r="P5" s="160"/>
      <c r="Q5" s="160"/>
      <c r="R5" s="161" t="s">
        <v>294</v>
      </c>
      <c r="S5" s="124"/>
    </row>
    <row r="6" spans="1:21" x14ac:dyDescent="0.3">
      <c r="A6" s="180" t="s">
        <v>276</v>
      </c>
      <c r="B6" s="192" t="s">
        <v>290</v>
      </c>
      <c r="C6" s="183" t="s">
        <v>284</v>
      </c>
      <c r="D6" s="197"/>
      <c r="E6" s="200" t="s">
        <v>295</v>
      </c>
      <c r="F6" s="201"/>
      <c r="G6" s="183" t="s">
        <v>285</v>
      </c>
      <c r="H6" s="206"/>
      <c r="I6" s="206"/>
      <c r="J6" s="206"/>
      <c r="K6" s="206"/>
      <c r="L6" s="206"/>
      <c r="M6" s="206"/>
      <c r="N6" s="197"/>
      <c r="O6" s="183" t="s">
        <v>291</v>
      </c>
      <c r="P6" s="184"/>
      <c r="Q6" s="180" t="s">
        <v>1</v>
      </c>
      <c r="R6" s="180"/>
      <c r="S6" s="124"/>
      <c r="T6" s="124"/>
      <c r="U6" s="124"/>
    </row>
    <row r="7" spans="1:21" x14ac:dyDescent="0.3">
      <c r="A7" s="181"/>
      <c r="B7" s="193"/>
      <c r="C7" s="185"/>
      <c r="D7" s="198"/>
      <c r="E7" s="202"/>
      <c r="F7" s="203"/>
      <c r="G7" s="187" t="s">
        <v>283</v>
      </c>
      <c r="H7" s="207"/>
      <c r="I7" s="207"/>
      <c r="J7" s="207"/>
      <c r="K7" s="207"/>
      <c r="L7" s="207"/>
      <c r="M7" s="207"/>
      <c r="N7" s="199"/>
      <c r="O7" s="185"/>
      <c r="P7" s="186"/>
      <c r="Q7" s="208"/>
      <c r="R7" s="208"/>
      <c r="S7" s="124"/>
      <c r="T7" s="124"/>
      <c r="U7" s="124"/>
    </row>
    <row r="8" spans="1:21" ht="82.05" customHeight="1" x14ac:dyDescent="0.3">
      <c r="A8" s="181"/>
      <c r="B8" s="194"/>
      <c r="C8" s="187"/>
      <c r="D8" s="199"/>
      <c r="E8" s="204"/>
      <c r="F8" s="205"/>
      <c r="G8" s="178" t="s">
        <v>296</v>
      </c>
      <c r="H8" s="179"/>
      <c r="I8" s="178" t="s">
        <v>288</v>
      </c>
      <c r="J8" s="179"/>
      <c r="K8" s="178" t="s">
        <v>292</v>
      </c>
      <c r="L8" s="179"/>
      <c r="M8" s="178" t="s">
        <v>289</v>
      </c>
      <c r="N8" s="212"/>
      <c r="O8" s="187"/>
      <c r="P8" s="188"/>
      <c r="Q8" s="208"/>
      <c r="R8" s="208"/>
      <c r="S8" s="124"/>
      <c r="T8" s="124"/>
      <c r="U8" s="124"/>
    </row>
    <row r="9" spans="1:21" s="130" customFormat="1" x14ac:dyDescent="0.3">
      <c r="A9" s="182"/>
      <c r="B9" s="195"/>
      <c r="C9" s="125">
        <v>1</v>
      </c>
      <c r="D9" s="125">
        <v>2</v>
      </c>
      <c r="E9" s="125">
        <v>1</v>
      </c>
      <c r="F9" s="125">
        <v>2</v>
      </c>
      <c r="G9" s="126">
        <v>1</v>
      </c>
      <c r="H9" s="126">
        <v>2</v>
      </c>
      <c r="I9" s="125">
        <v>1</v>
      </c>
      <c r="J9" s="125">
        <v>2</v>
      </c>
      <c r="K9" s="125">
        <v>1</v>
      </c>
      <c r="L9" s="126">
        <v>2</v>
      </c>
      <c r="M9" s="127">
        <v>1</v>
      </c>
      <c r="N9" s="126">
        <v>2</v>
      </c>
      <c r="O9" s="126">
        <v>1</v>
      </c>
      <c r="P9" s="128">
        <v>2</v>
      </c>
      <c r="Q9" s="209"/>
      <c r="R9" s="209"/>
      <c r="S9" s="129"/>
      <c r="T9" s="129"/>
      <c r="U9" s="129"/>
    </row>
    <row r="10" spans="1:21" x14ac:dyDescent="0.3">
      <c r="A10" s="216" t="s">
        <v>2</v>
      </c>
      <c r="B10" s="177">
        <f>SUM(B12,B20,B29,B34,B40,B47,B54,B61,B66,B73,B83,B90,B105)</f>
        <v>313306</v>
      </c>
      <c r="C10" s="189">
        <f>SUM(C12,C20,C29,C34,C40,C47,C54,C61,C66,C73,C83,C90,C105)</f>
        <v>86324</v>
      </c>
      <c r="D10" s="189">
        <f>SUM(D12,D20,D29,D34,D40,D47,D54,D61,D66,D73,D83,D90,D105)</f>
        <v>365883.68799999997</v>
      </c>
      <c r="E10" s="189">
        <f>SUM(E12,E20,E29,E34,E40,E47,E54,E61,E66,E73,E83,E90,E105)</f>
        <v>41771</v>
      </c>
      <c r="F10" s="189">
        <f>SUM(F12,F20,F29,F34,F40,F47,F54,F61,F66,F73,F83,F90,F105)</f>
        <v>86389.081999999995</v>
      </c>
      <c r="G10" s="189">
        <f t="shared" ref="G10:L10" si="0">SUM(G12,G20,G29,G34,G40,G47,G54,G61,G66,G73,G83,G90,G105)</f>
        <v>96807</v>
      </c>
      <c r="H10" s="189">
        <f t="shared" si="0"/>
        <v>256959.03099999993</v>
      </c>
      <c r="I10" s="189">
        <f t="shared" si="0"/>
        <v>48029</v>
      </c>
      <c r="J10" s="189">
        <f t="shared" si="0"/>
        <v>113451.317</v>
      </c>
      <c r="K10" s="189">
        <f t="shared" si="0"/>
        <v>38934</v>
      </c>
      <c r="L10" s="189">
        <f t="shared" si="0"/>
        <v>89415.041000000012</v>
      </c>
      <c r="M10" s="189">
        <f>SUM(G10,I10,K10)</f>
        <v>183770</v>
      </c>
      <c r="N10" s="189">
        <f>SUM(H10,J10,L10)</f>
        <v>459825.38899999997</v>
      </c>
      <c r="O10" s="190">
        <f>SUM(O12,O20,O29,O34,O40,O47,O54,O61,O66,O73,O83,O90,O105)</f>
        <v>1441</v>
      </c>
      <c r="P10" s="191">
        <f>SUM(P12,P20,P29,P34,P40,P47,P54,P61,P66,P73,P83,P90,P105)</f>
        <v>3440.1039999999998</v>
      </c>
      <c r="Q10" s="210" t="s">
        <v>3</v>
      </c>
      <c r="R10" s="210"/>
      <c r="S10" s="131"/>
      <c r="T10" s="124"/>
      <c r="U10" s="124"/>
    </row>
    <row r="11" spans="1:21" x14ac:dyDescent="0.3">
      <c r="A11" s="217"/>
      <c r="B11" s="177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90"/>
      <c r="P11" s="191"/>
      <c r="Q11" s="211"/>
      <c r="R11" s="211"/>
      <c r="S11" s="131"/>
      <c r="T11" s="124"/>
      <c r="U11" s="124"/>
    </row>
    <row r="12" spans="1:21" x14ac:dyDescent="0.3">
      <c r="A12" s="215" t="s">
        <v>4</v>
      </c>
      <c r="B12" s="214">
        <f>SUM(B14:B19)</f>
        <v>36967</v>
      </c>
      <c r="C12" s="190">
        <f>SUM(C14:C19)</f>
        <v>4852</v>
      </c>
      <c r="D12" s="190">
        <f>SUM(D14:D19)</f>
        <v>13996.118999999999</v>
      </c>
      <c r="E12" s="190">
        <f t="shared" ref="E12:P12" si="1">SUM(E14:E19)</f>
        <v>4060</v>
      </c>
      <c r="F12" s="190">
        <f t="shared" si="1"/>
        <v>7286.9699999999993</v>
      </c>
      <c r="G12" s="190">
        <f t="shared" si="1"/>
        <v>24651</v>
      </c>
      <c r="H12" s="190">
        <f t="shared" si="1"/>
        <v>104684.24799999999</v>
      </c>
      <c r="I12" s="190">
        <f t="shared" si="1"/>
        <v>2703</v>
      </c>
      <c r="J12" s="190">
        <f t="shared" si="1"/>
        <v>5920.6689999999999</v>
      </c>
      <c r="K12" s="190">
        <f t="shared" si="1"/>
        <v>690</v>
      </c>
      <c r="L12" s="190">
        <f t="shared" si="1"/>
        <v>1514.27</v>
      </c>
      <c r="M12" s="190">
        <f>SUM(G12,I12,K12)</f>
        <v>28044</v>
      </c>
      <c r="N12" s="190">
        <f>SUM(H12,J12,L12)</f>
        <v>112119.18699999999</v>
      </c>
      <c r="O12" s="190">
        <f t="shared" si="1"/>
        <v>11</v>
      </c>
      <c r="P12" s="191">
        <f t="shared" si="1"/>
        <v>24.45</v>
      </c>
      <c r="Q12" s="196" t="s">
        <v>5</v>
      </c>
      <c r="R12" s="196"/>
      <c r="S12" s="121"/>
      <c r="T12" s="124"/>
      <c r="U12" s="124"/>
    </row>
    <row r="13" spans="1:21" x14ac:dyDescent="0.3">
      <c r="A13" s="215"/>
      <c r="B13" s="214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1"/>
      <c r="Q13" s="196"/>
      <c r="R13" s="196"/>
      <c r="S13" s="121"/>
      <c r="T13" s="124"/>
      <c r="U13" s="124"/>
    </row>
    <row r="14" spans="1:21" x14ac:dyDescent="0.3">
      <c r="A14" s="132" t="s">
        <v>6</v>
      </c>
      <c r="B14" s="133">
        <f>SUM(C14,E14,G14,I14,K14,O14)</f>
        <v>3628</v>
      </c>
      <c r="C14" s="134">
        <v>1637</v>
      </c>
      <c r="D14" s="135">
        <v>3065.33</v>
      </c>
      <c r="E14" s="134">
        <v>1010</v>
      </c>
      <c r="F14" s="162">
        <v>1339.29</v>
      </c>
      <c r="G14" s="134">
        <v>297</v>
      </c>
      <c r="H14" s="135">
        <v>600</v>
      </c>
      <c r="I14" s="134">
        <v>548</v>
      </c>
      <c r="J14" s="135">
        <v>1116.2</v>
      </c>
      <c r="K14" s="134">
        <v>130</v>
      </c>
      <c r="L14" s="135">
        <v>260.35000000000002</v>
      </c>
      <c r="M14" s="136">
        <f>SUM(G14,I14,K14)</f>
        <v>975</v>
      </c>
      <c r="N14" s="137">
        <f>SUM(H14,J14,L14)</f>
        <v>1976.5500000000002</v>
      </c>
      <c r="O14" s="134">
        <v>6</v>
      </c>
      <c r="P14" s="138">
        <v>11.5</v>
      </c>
      <c r="Q14" s="139" t="s">
        <v>7</v>
      </c>
      <c r="R14" s="131"/>
      <c r="S14" s="131"/>
      <c r="T14" s="124"/>
      <c r="U14" s="124"/>
    </row>
    <row r="15" spans="1:21" x14ac:dyDescent="0.3">
      <c r="A15" s="132" t="s">
        <v>8</v>
      </c>
      <c r="B15" s="133">
        <f>SUM(C15,E15,G15,I15,K15,O15)</f>
        <v>21830</v>
      </c>
      <c r="C15" s="134">
        <v>210</v>
      </c>
      <c r="D15" s="135">
        <v>1160.8499999999999</v>
      </c>
      <c r="E15" s="134">
        <v>110</v>
      </c>
      <c r="F15" s="162">
        <v>267.58</v>
      </c>
      <c r="G15" s="134">
        <v>21307</v>
      </c>
      <c r="H15" s="135">
        <v>97792.4</v>
      </c>
      <c r="I15" s="134">
        <v>136</v>
      </c>
      <c r="J15" s="135">
        <v>496.7</v>
      </c>
      <c r="K15" s="134">
        <v>66</v>
      </c>
      <c r="L15" s="135">
        <v>254.14</v>
      </c>
      <c r="M15" s="136">
        <f t="shared" ref="M15:M19" si="2">SUM(G15,I15,K15)</f>
        <v>21509</v>
      </c>
      <c r="N15" s="137">
        <f t="shared" ref="N15:N19" si="3">SUM(H15,J15,L15)</f>
        <v>98543.239999999991</v>
      </c>
      <c r="O15" s="140">
        <v>1</v>
      </c>
      <c r="P15" s="138">
        <v>2.8</v>
      </c>
      <c r="Q15" s="139" t="s">
        <v>9</v>
      </c>
      <c r="R15" s="131"/>
      <c r="S15" s="131"/>
      <c r="T15" s="124"/>
      <c r="U15" s="124"/>
    </row>
    <row r="16" spans="1:21" x14ac:dyDescent="0.3">
      <c r="A16" s="132" t="s">
        <v>10</v>
      </c>
      <c r="B16" s="133">
        <f t="shared" ref="B16:B19" si="4">SUM(C16,E16,G16,I16,K16,O16)</f>
        <v>4570</v>
      </c>
      <c r="C16" s="134">
        <v>1263</v>
      </c>
      <c r="D16" s="135">
        <v>3565.5079999999998</v>
      </c>
      <c r="E16" s="134">
        <v>2544</v>
      </c>
      <c r="F16" s="162">
        <v>4566.37</v>
      </c>
      <c r="G16" s="134">
        <v>162</v>
      </c>
      <c r="H16" s="135">
        <v>387.084</v>
      </c>
      <c r="I16" s="134">
        <v>329</v>
      </c>
      <c r="J16" s="135">
        <v>783</v>
      </c>
      <c r="K16" s="134">
        <v>269</v>
      </c>
      <c r="L16" s="135">
        <v>562.98</v>
      </c>
      <c r="M16" s="136">
        <f t="shared" si="2"/>
        <v>760</v>
      </c>
      <c r="N16" s="137">
        <f t="shared" si="3"/>
        <v>1733.0640000000001</v>
      </c>
      <c r="O16" s="134">
        <v>3</v>
      </c>
      <c r="P16" s="138">
        <v>8.35</v>
      </c>
      <c r="Q16" s="139" t="s">
        <v>11</v>
      </c>
      <c r="R16" s="131"/>
      <c r="S16" s="131"/>
      <c r="T16" s="124"/>
      <c r="U16" s="124"/>
    </row>
    <row r="17" spans="1:21" x14ac:dyDescent="0.3">
      <c r="A17" s="132" t="s">
        <v>12</v>
      </c>
      <c r="B17" s="133">
        <f t="shared" si="4"/>
        <v>24</v>
      </c>
      <c r="C17" s="134">
        <v>1</v>
      </c>
      <c r="D17" s="135">
        <v>4.2</v>
      </c>
      <c r="E17" s="134">
        <v>1</v>
      </c>
      <c r="F17" s="162">
        <v>3.4</v>
      </c>
      <c r="G17" s="134">
        <v>8</v>
      </c>
      <c r="H17" s="135">
        <v>14.1</v>
      </c>
      <c r="I17" s="134">
        <v>10</v>
      </c>
      <c r="J17" s="135">
        <v>17.899999999999999</v>
      </c>
      <c r="K17" s="140">
        <v>4</v>
      </c>
      <c r="L17" s="135">
        <v>7.2</v>
      </c>
      <c r="M17" s="136">
        <f t="shared" si="2"/>
        <v>22</v>
      </c>
      <c r="N17" s="137">
        <f t="shared" si="3"/>
        <v>39.200000000000003</v>
      </c>
      <c r="O17" s="140" t="s">
        <v>293</v>
      </c>
      <c r="P17" s="138" t="s">
        <v>293</v>
      </c>
      <c r="Q17" s="139" t="s">
        <v>13</v>
      </c>
      <c r="R17" s="131"/>
      <c r="S17" s="131"/>
      <c r="T17" s="124"/>
      <c r="U17" s="124"/>
    </row>
    <row r="18" spans="1:21" x14ac:dyDescent="0.3">
      <c r="A18" s="132" t="s">
        <v>14</v>
      </c>
      <c r="B18" s="133">
        <f t="shared" si="4"/>
        <v>2633</v>
      </c>
      <c r="C18" s="134">
        <v>1395</v>
      </c>
      <c r="D18" s="135">
        <v>4917.3040000000001</v>
      </c>
      <c r="E18" s="134">
        <v>365</v>
      </c>
      <c r="F18" s="162">
        <v>1043.4000000000001</v>
      </c>
      <c r="G18" s="134">
        <v>606</v>
      </c>
      <c r="H18" s="135">
        <v>1010.2</v>
      </c>
      <c r="I18" s="134">
        <v>178</v>
      </c>
      <c r="J18" s="135">
        <v>299.14999999999998</v>
      </c>
      <c r="K18" s="134">
        <v>88</v>
      </c>
      <c r="L18" s="135">
        <v>135.6</v>
      </c>
      <c r="M18" s="136">
        <f t="shared" si="2"/>
        <v>872</v>
      </c>
      <c r="N18" s="137">
        <f t="shared" si="3"/>
        <v>1444.9499999999998</v>
      </c>
      <c r="O18" s="140">
        <v>1</v>
      </c>
      <c r="P18" s="138">
        <v>1.8</v>
      </c>
      <c r="Q18" s="139" t="s">
        <v>15</v>
      </c>
      <c r="R18" s="131"/>
      <c r="S18" s="131"/>
      <c r="T18" s="124"/>
      <c r="U18" s="124"/>
    </row>
    <row r="19" spans="1:21" x14ac:dyDescent="0.3">
      <c r="A19" s="132" t="s">
        <v>16</v>
      </c>
      <c r="B19" s="133">
        <f t="shared" si="4"/>
        <v>4282</v>
      </c>
      <c r="C19" s="134">
        <v>346</v>
      </c>
      <c r="D19" s="135">
        <v>1282.9269999999999</v>
      </c>
      <c r="E19" s="134">
        <v>30</v>
      </c>
      <c r="F19" s="162">
        <v>66.930000000000007</v>
      </c>
      <c r="G19" s="134">
        <v>2271</v>
      </c>
      <c r="H19" s="135">
        <v>4880.4639999999999</v>
      </c>
      <c r="I19" s="134">
        <v>1502</v>
      </c>
      <c r="J19" s="135">
        <v>3207.7190000000001</v>
      </c>
      <c r="K19" s="134">
        <v>133</v>
      </c>
      <c r="L19" s="135">
        <v>294</v>
      </c>
      <c r="M19" s="136">
        <f t="shared" si="2"/>
        <v>3906</v>
      </c>
      <c r="N19" s="137">
        <f t="shared" si="3"/>
        <v>8382.1830000000009</v>
      </c>
      <c r="O19" s="134" t="s">
        <v>293</v>
      </c>
      <c r="P19" s="138" t="s">
        <v>293</v>
      </c>
      <c r="Q19" s="139" t="s">
        <v>17</v>
      </c>
      <c r="R19" s="131"/>
      <c r="S19" s="131"/>
      <c r="T19" s="124"/>
      <c r="U19" s="124"/>
    </row>
    <row r="20" spans="1:21" x14ac:dyDescent="0.3">
      <c r="A20" s="213" t="s">
        <v>18</v>
      </c>
      <c r="B20" s="214">
        <f>SUM(B22:B28)</f>
        <v>23218</v>
      </c>
      <c r="C20" s="190">
        <f>SUM(C22:C28)</f>
        <v>8838</v>
      </c>
      <c r="D20" s="190">
        <f t="shared" ref="D20:K20" si="5">SUM(D22:D28)</f>
        <v>36101.691999999995</v>
      </c>
      <c r="E20" s="190">
        <f t="shared" si="5"/>
        <v>5171</v>
      </c>
      <c r="F20" s="190">
        <f t="shared" si="5"/>
        <v>8934.6280000000006</v>
      </c>
      <c r="G20" s="190">
        <f t="shared" si="5"/>
        <v>2080</v>
      </c>
      <c r="H20" s="190">
        <f t="shared" si="5"/>
        <v>5020.1509999999998</v>
      </c>
      <c r="I20" s="190">
        <f t="shared" si="5"/>
        <v>3489</v>
      </c>
      <c r="J20" s="190">
        <f t="shared" si="5"/>
        <v>6956.6420000000007</v>
      </c>
      <c r="K20" s="190">
        <f t="shared" si="5"/>
        <v>3593</v>
      </c>
      <c r="L20" s="190">
        <f>SUM(L22:L28)</f>
        <v>7769.411000000001</v>
      </c>
      <c r="M20" s="190">
        <f>SUM(G20,I20,K20)</f>
        <v>9162</v>
      </c>
      <c r="N20" s="190">
        <f>SUM(H20,J20,L20)</f>
        <v>19746.204000000002</v>
      </c>
      <c r="O20" s="190">
        <f>SUM(O22:O28)</f>
        <v>47</v>
      </c>
      <c r="P20" s="191">
        <f>SUM(P22:P28)</f>
        <v>102.99999999999999</v>
      </c>
      <c r="Q20" s="218" t="s">
        <v>19</v>
      </c>
      <c r="R20" s="218"/>
      <c r="S20" s="131"/>
      <c r="T20" s="124"/>
      <c r="U20" s="124"/>
    </row>
    <row r="21" spans="1:21" x14ac:dyDescent="0.3">
      <c r="A21" s="213"/>
      <c r="B21" s="214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1"/>
      <c r="Q21" s="218"/>
      <c r="R21" s="218"/>
      <c r="S21" s="131"/>
      <c r="T21" s="124"/>
      <c r="U21" s="124"/>
    </row>
    <row r="22" spans="1:21" x14ac:dyDescent="0.3">
      <c r="A22" s="132" t="s">
        <v>20</v>
      </c>
      <c r="B22" s="133">
        <f>SUM(C22,E22,G22,I22,K22,O22)</f>
        <v>5763</v>
      </c>
      <c r="C22" s="134">
        <v>3326</v>
      </c>
      <c r="D22" s="135">
        <v>15281.36</v>
      </c>
      <c r="E22" s="134">
        <v>1628</v>
      </c>
      <c r="F22" s="162">
        <v>2966.902</v>
      </c>
      <c r="G22" s="134">
        <v>457</v>
      </c>
      <c r="H22" s="135">
        <v>996.18</v>
      </c>
      <c r="I22" s="134">
        <v>276</v>
      </c>
      <c r="J22" s="135">
        <v>662</v>
      </c>
      <c r="K22" s="134">
        <v>66</v>
      </c>
      <c r="L22" s="135">
        <v>152.6</v>
      </c>
      <c r="M22" s="136">
        <f t="shared" ref="M22:N28" si="6">SUM(G22,I22,K22)</f>
        <v>799</v>
      </c>
      <c r="N22" s="137">
        <f t="shared" si="6"/>
        <v>1810.7799999999997</v>
      </c>
      <c r="O22" s="134">
        <v>10</v>
      </c>
      <c r="P22" s="138">
        <v>25.5</v>
      </c>
      <c r="Q22" s="139" t="s">
        <v>21</v>
      </c>
      <c r="R22" s="131"/>
      <c r="S22" s="131"/>
      <c r="T22" s="124"/>
      <c r="U22" s="124"/>
    </row>
    <row r="23" spans="1:21" x14ac:dyDescent="0.3">
      <c r="A23" s="132" t="s">
        <v>22</v>
      </c>
      <c r="B23" s="133">
        <f t="shared" ref="B23:B33" si="7">SUM(C23,E23,G23,I23,K23,O23)</f>
        <v>530</v>
      </c>
      <c r="C23" s="134">
        <v>137</v>
      </c>
      <c r="D23" s="135">
        <v>690.4</v>
      </c>
      <c r="E23" s="134">
        <v>30</v>
      </c>
      <c r="F23" s="162">
        <v>97.5</v>
      </c>
      <c r="G23" s="134">
        <v>37</v>
      </c>
      <c r="H23" s="135">
        <v>94.5</v>
      </c>
      <c r="I23" s="134">
        <v>283</v>
      </c>
      <c r="J23" s="135">
        <v>611.5</v>
      </c>
      <c r="K23" s="134">
        <v>37</v>
      </c>
      <c r="L23" s="135">
        <v>70.7</v>
      </c>
      <c r="M23" s="136">
        <f t="shared" si="6"/>
        <v>357</v>
      </c>
      <c r="N23" s="137">
        <f t="shared" si="6"/>
        <v>776.7</v>
      </c>
      <c r="O23" s="134">
        <v>6</v>
      </c>
      <c r="P23" s="138">
        <v>11.2</v>
      </c>
      <c r="Q23" s="139" t="s">
        <v>23</v>
      </c>
      <c r="R23" s="131"/>
      <c r="S23" s="131"/>
      <c r="T23" s="124"/>
      <c r="U23" s="124"/>
    </row>
    <row r="24" spans="1:21" x14ac:dyDescent="0.3">
      <c r="A24" s="132" t="s">
        <v>24</v>
      </c>
      <c r="B24" s="133">
        <f t="shared" si="7"/>
        <v>2133</v>
      </c>
      <c r="C24" s="134">
        <v>1244</v>
      </c>
      <c r="D24" s="135">
        <v>3200.4250000000002</v>
      </c>
      <c r="E24" s="134">
        <v>256</v>
      </c>
      <c r="F24" s="162">
        <v>351</v>
      </c>
      <c r="G24" s="134">
        <v>228</v>
      </c>
      <c r="H24" s="135">
        <v>459.19600000000003</v>
      </c>
      <c r="I24" s="134">
        <v>138</v>
      </c>
      <c r="J24" s="135">
        <v>168.5</v>
      </c>
      <c r="K24" s="134">
        <v>263</v>
      </c>
      <c r="L24" s="135">
        <v>318</v>
      </c>
      <c r="M24" s="136">
        <f t="shared" si="6"/>
        <v>629</v>
      </c>
      <c r="N24" s="137">
        <f t="shared" si="6"/>
        <v>945.69600000000003</v>
      </c>
      <c r="O24" s="134">
        <v>4</v>
      </c>
      <c r="P24" s="138">
        <v>4.8</v>
      </c>
      <c r="Q24" s="139" t="s">
        <v>25</v>
      </c>
      <c r="R24" s="131"/>
      <c r="S24" s="131"/>
      <c r="T24" s="124"/>
      <c r="U24" s="124"/>
    </row>
    <row r="25" spans="1:21" x14ac:dyDescent="0.3">
      <c r="A25" s="132" t="s">
        <v>26</v>
      </c>
      <c r="B25" s="133">
        <f t="shared" si="7"/>
        <v>5210</v>
      </c>
      <c r="C25" s="134">
        <v>1017</v>
      </c>
      <c r="D25" s="135">
        <v>6344.6549999999997</v>
      </c>
      <c r="E25" s="134">
        <v>602</v>
      </c>
      <c r="F25" s="162">
        <v>1456.5</v>
      </c>
      <c r="G25" s="134">
        <v>852</v>
      </c>
      <c r="H25" s="135">
        <v>1952.2950000000001</v>
      </c>
      <c r="I25" s="134">
        <v>1751</v>
      </c>
      <c r="J25" s="135">
        <v>2337.1880000000001</v>
      </c>
      <c r="K25" s="134">
        <v>983</v>
      </c>
      <c r="L25" s="135">
        <v>1043.81</v>
      </c>
      <c r="M25" s="136">
        <f t="shared" si="6"/>
        <v>3586</v>
      </c>
      <c r="N25" s="137">
        <f t="shared" si="6"/>
        <v>5333.2929999999997</v>
      </c>
      <c r="O25" s="134">
        <v>5</v>
      </c>
      <c r="P25" s="138">
        <v>14.8</v>
      </c>
      <c r="Q25" s="139" t="s">
        <v>27</v>
      </c>
      <c r="R25" s="131"/>
      <c r="S25" s="131"/>
      <c r="T25" s="124"/>
      <c r="U25" s="124"/>
    </row>
    <row r="26" spans="1:21" x14ac:dyDescent="0.3">
      <c r="A26" s="132" t="s">
        <v>28</v>
      </c>
      <c r="B26" s="133">
        <f t="shared" si="7"/>
        <v>2235</v>
      </c>
      <c r="C26" s="134">
        <v>1186</v>
      </c>
      <c r="D26" s="135">
        <v>4517.4059999999999</v>
      </c>
      <c r="E26" s="134">
        <v>448</v>
      </c>
      <c r="F26" s="162">
        <v>773</v>
      </c>
      <c r="G26" s="134">
        <v>184</v>
      </c>
      <c r="H26" s="135">
        <v>526.9</v>
      </c>
      <c r="I26" s="134">
        <v>325</v>
      </c>
      <c r="J26" s="135">
        <v>886.1</v>
      </c>
      <c r="K26" s="134">
        <v>91</v>
      </c>
      <c r="L26" s="135">
        <v>205.9</v>
      </c>
      <c r="M26" s="136">
        <f t="shared" si="6"/>
        <v>600</v>
      </c>
      <c r="N26" s="137">
        <f t="shared" si="6"/>
        <v>1618.9</v>
      </c>
      <c r="O26" s="140">
        <v>1</v>
      </c>
      <c r="P26" s="138">
        <v>1.9</v>
      </c>
      <c r="Q26" s="139" t="s">
        <v>29</v>
      </c>
      <c r="R26" s="131"/>
      <c r="S26" s="131"/>
      <c r="T26" s="124"/>
      <c r="U26" s="124"/>
    </row>
    <row r="27" spans="1:21" x14ac:dyDescent="0.3">
      <c r="A27" s="132" t="s">
        <v>30</v>
      </c>
      <c r="B27" s="133">
        <f t="shared" si="7"/>
        <v>5626</v>
      </c>
      <c r="C27" s="134">
        <v>1331</v>
      </c>
      <c r="D27" s="135">
        <v>4960.4669999999996</v>
      </c>
      <c r="E27" s="134">
        <v>1408</v>
      </c>
      <c r="F27" s="162">
        <v>2342.1390000000001</v>
      </c>
      <c r="G27" s="134">
        <v>224</v>
      </c>
      <c r="H27" s="135">
        <v>818.34</v>
      </c>
      <c r="I27" s="134">
        <v>513</v>
      </c>
      <c r="J27" s="135">
        <v>2016.0050000000001</v>
      </c>
      <c r="K27" s="134">
        <v>2139</v>
      </c>
      <c r="L27" s="135">
        <v>5959.3010000000004</v>
      </c>
      <c r="M27" s="136">
        <f t="shared" si="6"/>
        <v>2876</v>
      </c>
      <c r="N27" s="137">
        <f t="shared" si="6"/>
        <v>8793.6460000000006</v>
      </c>
      <c r="O27" s="134">
        <v>11</v>
      </c>
      <c r="P27" s="138">
        <v>31</v>
      </c>
      <c r="Q27" s="139" t="s">
        <v>31</v>
      </c>
      <c r="R27" s="131"/>
      <c r="S27" s="131"/>
      <c r="T27" s="124"/>
      <c r="U27" s="124"/>
    </row>
    <row r="28" spans="1:21" x14ac:dyDescent="0.3">
      <c r="A28" s="132" t="s">
        <v>32</v>
      </c>
      <c r="B28" s="133">
        <f t="shared" si="7"/>
        <v>1721</v>
      </c>
      <c r="C28" s="134">
        <v>597</v>
      </c>
      <c r="D28" s="135">
        <v>1106.979</v>
      </c>
      <c r="E28" s="134">
        <v>799</v>
      </c>
      <c r="F28" s="162">
        <v>947.58699999999999</v>
      </c>
      <c r="G28" s="134">
        <v>98</v>
      </c>
      <c r="H28" s="135">
        <v>172.74</v>
      </c>
      <c r="I28" s="134">
        <v>203</v>
      </c>
      <c r="J28" s="135">
        <v>275.34899999999999</v>
      </c>
      <c r="K28" s="134">
        <v>14</v>
      </c>
      <c r="L28" s="135">
        <v>19.100000000000001</v>
      </c>
      <c r="M28" s="136">
        <f t="shared" si="6"/>
        <v>315</v>
      </c>
      <c r="N28" s="137">
        <f t="shared" si="6"/>
        <v>467.18900000000002</v>
      </c>
      <c r="O28" s="134">
        <v>10</v>
      </c>
      <c r="P28" s="138">
        <v>13.8</v>
      </c>
      <c r="Q28" s="139" t="s">
        <v>33</v>
      </c>
      <c r="R28" s="131"/>
      <c r="S28" s="131"/>
      <c r="T28" s="124"/>
      <c r="U28" s="124"/>
    </row>
    <row r="29" spans="1:21" x14ac:dyDescent="0.3">
      <c r="A29" s="141" t="s">
        <v>286</v>
      </c>
      <c r="B29" s="142">
        <f>SUM(B30:B33)</f>
        <v>12995</v>
      </c>
      <c r="C29" s="143">
        <f>SUM(C30:C33)</f>
        <v>463</v>
      </c>
      <c r="D29" s="143">
        <f>SUM(D30:D33)</f>
        <v>1361.848</v>
      </c>
      <c r="E29" s="143">
        <f t="shared" ref="E29:I29" si="8">SUM(E30:E33)</f>
        <v>746</v>
      </c>
      <c r="F29" s="143">
        <f t="shared" si="8"/>
        <v>1197.511</v>
      </c>
      <c r="G29" s="143">
        <f t="shared" si="8"/>
        <v>7617</v>
      </c>
      <c r="H29" s="143">
        <f t="shared" si="8"/>
        <v>22626.400000000001</v>
      </c>
      <c r="I29" s="143">
        <f t="shared" si="8"/>
        <v>2580</v>
      </c>
      <c r="J29" s="143">
        <f>SUM(J30:J33)</f>
        <v>6498.5210000000006</v>
      </c>
      <c r="K29" s="143">
        <f>SUM(K30:K33)</f>
        <v>1585</v>
      </c>
      <c r="L29" s="143">
        <f>SUM(L30:L33)</f>
        <v>4437.7749999999996</v>
      </c>
      <c r="M29" s="144">
        <f>SUM(G29,I29,K29)</f>
        <v>11782</v>
      </c>
      <c r="N29" s="145">
        <f>SUM(H29,J29,L29)</f>
        <v>33562.696000000004</v>
      </c>
      <c r="O29" s="143">
        <f t="shared" ref="O29:P29" si="9">SUM(O30:O33)</f>
        <v>4</v>
      </c>
      <c r="P29" s="146">
        <f t="shared" si="9"/>
        <v>7.65</v>
      </c>
      <c r="Q29" s="147" t="s">
        <v>287</v>
      </c>
      <c r="R29" s="129"/>
      <c r="S29" s="131"/>
      <c r="T29" s="124"/>
      <c r="U29" s="124"/>
    </row>
    <row r="30" spans="1:21" x14ac:dyDescent="0.3">
      <c r="A30" s="132" t="s">
        <v>34</v>
      </c>
      <c r="B30" s="133">
        <f t="shared" si="7"/>
        <v>7066</v>
      </c>
      <c r="C30" s="134">
        <v>144</v>
      </c>
      <c r="D30" s="135">
        <v>546.00400000000002</v>
      </c>
      <c r="E30" s="134">
        <v>253</v>
      </c>
      <c r="F30" s="162">
        <v>342.04399999999998</v>
      </c>
      <c r="G30" s="134">
        <v>3526</v>
      </c>
      <c r="H30" s="135">
        <v>10579.016</v>
      </c>
      <c r="I30" s="134">
        <v>1814</v>
      </c>
      <c r="J30" s="135">
        <v>4049.3589999999999</v>
      </c>
      <c r="K30" s="134">
        <v>1327</v>
      </c>
      <c r="L30" s="135">
        <v>3773.241</v>
      </c>
      <c r="M30" s="136">
        <f t="shared" ref="M30:N33" si="10">SUM(G30,I30,K30)</f>
        <v>6667</v>
      </c>
      <c r="N30" s="137">
        <f t="shared" si="10"/>
        <v>18401.616000000002</v>
      </c>
      <c r="O30" s="134">
        <v>2</v>
      </c>
      <c r="P30" s="138">
        <v>3.65</v>
      </c>
      <c r="Q30" s="139" t="s">
        <v>35</v>
      </c>
      <c r="R30" s="131"/>
      <c r="S30" s="131"/>
      <c r="T30" s="124"/>
      <c r="U30" s="124"/>
    </row>
    <row r="31" spans="1:21" x14ac:dyDescent="0.3">
      <c r="A31" s="132" t="s">
        <v>36</v>
      </c>
      <c r="B31" s="133">
        <f t="shared" si="7"/>
        <v>637</v>
      </c>
      <c r="C31" s="134">
        <v>59</v>
      </c>
      <c r="D31" s="135">
        <v>128.94</v>
      </c>
      <c r="E31" s="134">
        <v>179</v>
      </c>
      <c r="F31" s="162">
        <v>177.45</v>
      </c>
      <c r="G31" s="134">
        <v>292</v>
      </c>
      <c r="H31" s="135">
        <v>800.6</v>
      </c>
      <c r="I31" s="134">
        <v>22</v>
      </c>
      <c r="J31" s="135">
        <v>53</v>
      </c>
      <c r="K31" s="134">
        <v>85</v>
      </c>
      <c r="L31" s="135">
        <v>223</v>
      </c>
      <c r="M31" s="136">
        <f t="shared" si="10"/>
        <v>399</v>
      </c>
      <c r="N31" s="137">
        <f t="shared" si="10"/>
        <v>1076.5999999999999</v>
      </c>
      <c r="O31" s="134" t="s">
        <v>293</v>
      </c>
      <c r="P31" s="138" t="s">
        <v>293</v>
      </c>
      <c r="Q31" s="139" t="s">
        <v>37</v>
      </c>
      <c r="R31" s="131"/>
      <c r="S31" s="131"/>
      <c r="T31" s="124"/>
      <c r="U31" s="124"/>
    </row>
    <row r="32" spans="1:21" x14ac:dyDescent="0.3">
      <c r="A32" s="132" t="s">
        <v>38</v>
      </c>
      <c r="B32" s="133">
        <f t="shared" si="7"/>
        <v>1720</v>
      </c>
      <c r="C32" s="134">
        <v>93</v>
      </c>
      <c r="D32" s="135">
        <v>268.2</v>
      </c>
      <c r="E32" s="134">
        <v>176</v>
      </c>
      <c r="F32" s="162">
        <v>380</v>
      </c>
      <c r="G32" s="134">
        <v>1160</v>
      </c>
      <c r="H32" s="135">
        <v>2769.4</v>
      </c>
      <c r="I32" s="134">
        <v>256</v>
      </c>
      <c r="J32" s="135">
        <v>742.3</v>
      </c>
      <c r="K32" s="134">
        <v>35</v>
      </c>
      <c r="L32" s="135">
        <v>70</v>
      </c>
      <c r="M32" s="136">
        <f t="shared" si="10"/>
        <v>1451</v>
      </c>
      <c r="N32" s="137">
        <f t="shared" si="10"/>
        <v>3581.7</v>
      </c>
      <c r="O32" s="134" t="s">
        <v>293</v>
      </c>
      <c r="P32" s="138" t="s">
        <v>293</v>
      </c>
      <c r="Q32" s="139" t="s">
        <v>39</v>
      </c>
      <c r="R32" s="131"/>
      <c r="S32" s="131"/>
      <c r="T32" s="124"/>
      <c r="U32" s="124"/>
    </row>
    <row r="33" spans="1:21" x14ac:dyDescent="0.3">
      <c r="A33" s="132" t="s">
        <v>40</v>
      </c>
      <c r="B33" s="133">
        <f t="shared" si="7"/>
        <v>3572</v>
      </c>
      <c r="C33" s="134">
        <v>167</v>
      </c>
      <c r="D33" s="135">
        <v>418.70400000000001</v>
      </c>
      <c r="E33" s="134">
        <v>138</v>
      </c>
      <c r="F33" s="162">
        <v>298.017</v>
      </c>
      <c r="G33" s="134">
        <v>2639</v>
      </c>
      <c r="H33" s="135">
        <v>8477.384</v>
      </c>
      <c r="I33" s="134">
        <v>488</v>
      </c>
      <c r="J33" s="135">
        <v>1653.8620000000001</v>
      </c>
      <c r="K33" s="134">
        <v>138</v>
      </c>
      <c r="L33" s="135">
        <v>371.53399999999999</v>
      </c>
      <c r="M33" s="136">
        <f t="shared" si="10"/>
        <v>3265</v>
      </c>
      <c r="N33" s="137">
        <f t="shared" si="10"/>
        <v>10502.779999999999</v>
      </c>
      <c r="O33" s="134">
        <v>2</v>
      </c>
      <c r="P33" s="138">
        <v>4</v>
      </c>
      <c r="Q33" s="139" t="s">
        <v>41</v>
      </c>
      <c r="R33" s="131"/>
      <c r="S33" s="131"/>
      <c r="T33" s="124"/>
      <c r="U33" s="124"/>
    </row>
    <row r="34" spans="1:21" x14ac:dyDescent="0.3">
      <c r="A34" s="213" t="s">
        <v>42</v>
      </c>
      <c r="B34" s="214">
        <f>SUM(B36:B39)</f>
        <v>8077</v>
      </c>
      <c r="C34" s="190">
        <f>SUM(C36:C39)</f>
        <v>764</v>
      </c>
      <c r="D34" s="190">
        <f t="shared" ref="D34:P34" si="11">SUM(D36:D39)</f>
        <v>3192.509</v>
      </c>
      <c r="E34" s="190">
        <f t="shared" si="11"/>
        <v>367</v>
      </c>
      <c r="F34" s="190">
        <f t="shared" si="11"/>
        <v>877.45800000000008</v>
      </c>
      <c r="G34" s="190">
        <f t="shared" si="11"/>
        <v>3604</v>
      </c>
      <c r="H34" s="190">
        <f t="shared" si="11"/>
        <v>4891.1279999999997</v>
      </c>
      <c r="I34" s="190">
        <f t="shared" si="11"/>
        <v>3125</v>
      </c>
      <c r="J34" s="190">
        <f t="shared" si="11"/>
        <v>6231.357</v>
      </c>
      <c r="K34" s="190">
        <f t="shared" si="11"/>
        <v>214</v>
      </c>
      <c r="L34" s="190">
        <f>SUM(L36:L39)</f>
        <v>567.9</v>
      </c>
      <c r="M34" s="190">
        <f>SUM(G34,I34,K34)</f>
        <v>6943</v>
      </c>
      <c r="N34" s="190">
        <f>SUM(H34,J34,L34)</f>
        <v>11690.385</v>
      </c>
      <c r="O34" s="190">
        <f t="shared" si="11"/>
        <v>3</v>
      </c>
      <c r="P34" s="191">
        <f t="shared" si="11"/>
        <v>6.5</v>
      </c>
      <c r="Q34" s="219" t="s">
        <v>43</v>
      </c>
      <c r="R34" s="219"/>
      <c r="S34" s="131"/>
      <c r="T34" s="124"/>
      <c r="U34" s="124"/>
    </row>
    <row r="35" spans="1:21" x14ac:dyDescent="0.3">
      <c r="A35" s="213"/>
      <c r="B35" s="214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1"/>
      <c r="Q35" s="219"/>
      <c r="R35" s="219"/>
      <c r="S35" s="131"/>
      <c r="T35" s="124"/>
      <c r="U35" s="124"/>
    </row>
    <row r="36" spans="1:21" x14ac:dyDescent="0.3">
      <c r="A36" s="132" t="s">
        <v>44</v>
      </c>
      <c r="B36" s="133">
        <f>SUM(C36,E36,G36,I36,K36,O36)</f>
        <v>4827</v>
      </c>
      <c r="C36" s="134">
        <v>6</v>
      </c>
      <c r="D36" s="135">
        <v>19.298999999999999</v>
      </c>
      <c r="E36" s="134">
        <v>105</v>
      </c>
      <c r="F36" s="162">
        <v>222.00800000000001</v>
      </c>
      <c r="G36" s="134">
        <v>1724</v>
      </c>
      <c r="H36" s="135">
        <v>2518.7579999999998</v>
      </c>
      <c r="I36" s="134">
        <v>2921</v>
      </c>
      <c r="J36" s="135">
        <v>5591.0569999999998</v>
      </c>
      <c r="K36" s="134">
        <v>71</v>
      </c>
      <c r="L36" s="135">
        <v>100.8</v>
      </c>
      <c r="M36" s="136">
        <f t="shared" ref="M36:N39" si="12">SUM(G36,I36,K36)</f>
        <v>4716</v>
      </c>
      <c r="N36" s="137">
        <f t="shared" si="12"/>
        <v>8210.6149999999998</v>
      </c>
      <c r="O36" s="134" t="s">
        <v>293</v>
      </c>
      <c r="P36" s="138" t="s">
        <v>293</v>
      </c>
      <c r="Q36" s="139" t="s">
        <v>45</v>
      </c>
      <c r="R36" s="131"/>
      <c r="S36" s="131"/>
      <c r="T36" s="124"/>
      <c r="U36" s="124"/>
    </row>
    <row r="37" spans="1:21" x14ac:dyDescent="0.3">
      <c r="A37" s="132" t="s">
        <v>46</v>
      </c>
      <c r="B37" s="133">
        <f>SUM(C37,E37,G37,I37,K37,O37)</f>
        <v>1690</v>
      </c>
      <c r="C37" s="134">
        <v>34</v>
      </c>
      <c r="D37" s="135">
        <v>26.21</v>
      </c>
      <c r="E37" s="134">
        <v>18</v>
      </c>
      <c r="F37" s="162">
        <v>11.05</v>
      </c>
      <c r="G37" s="134">
        <v>1621</v>
      </c>
      <c r="H37" s="135">
        <v>1559.77</v>
      </c>
      <c r="I37" s="134">
        <v>17</v>
      </c>
      <c r="J37" s="135">
        <v>14.1</v>
      </c>
      <c r="K37" s="140" t="s">
        <v>293</v>
      </c>
      <c r="L37" s="135" t="s">
        <v>293</v>
      </c>
      <c r="M37" s="136">
        <f t="shared" si="12"/>
        <v>1638</v>
      </c>
      <c r="N37" s="137">
        <f t="shared" si="12"/>
        <v>1573.87</v>
      </c>
      <c r="O37" s="140" t="s">
        <v>293</v>
      </c>
      <c r="P37" s="138" t="s">
        <v>293</v>
      </c>
      <c r="Q37" s="139" t="s">
        <v>47</v>
      </c>
      <c r="R37" s="131"/>
      <c r="S37" s="131"/>
      <c r="T37" s="124"/>
      <c r="U37" s="124"/>
    </row>
    <row r="38" spans="1:21" x14ac:dyDescent="0.3">
      <c r="A38" s="132" t="s">
        <v>48</v>
      </c>
      <c r="B38" s="133">
        <f>SUM(C38,E38,G38,I38,K38,O38)</f>
        <v>672</v>
      </c>
      <c r="C38" s="134">
        <v>328</v>
      </c>
      <c r="D38" s="135">
        <v>1287.5</v>
      </c>
      <c r="E38" s="134">
        <v>89</v>
      </c>
      <c r="F38" s="162">
        <v>197.4</v>
      </c>
      <c r="G38" s="134">
        <v>91</v>
      </c>
      <c r="H38" s="135">
        <v>249.1</v>
      </c>
      <c r="I38" s="134">
        <v>153</v>
      </c>
      <c r="J38" s="135">
        <v>489.7</v>
      </c>
      <c r="K38" s="134">
        <v>8</v>
      </c>
      <c r="L38" s="135">
        <v>18.3</v>
      </c>
      <c r="M38" s="136">
        <f t="shared" si="12"/>
        <v>252</v>
      </c>
      <c r="N38" s="137">
        <f t="shared" si="12"/>
        <v>757.09999999999991</v>
      </c>
      <c r="O38" s="134">
        <v>3</v>
      </c>
      <c r="P38" s="138">
        <v>6.5</v>
      </c>
      <c r="Q38" s="139" t="s">
        <v>49</v>
      </c>
      <c r="R38" s="131"/>
      <c r="S38" s="131"/>
      <c r="T38" s="124"/>
      <c r="U38" s="124"/>
    </row>
    <row r="39" spans="1:21" x14ac:dyDescent="0.3">
      <c r="A39" s="132" t="s">
        <v>50</v>
      </c>
      <c r="B39" s="133">
        <f>SUM(C39,E39,G39,I39,K39,O39)</f>
        <v>888</v>
      </c>
      <c r="C39" s="134">
        <v>396</v>
      </c>
      <c r="D39" s="135">
        <v>1859.5</v>
      </c>
      <c r="E39" s="134">
        <v>155</v>
      </c>
      <c r="F39" s="162">
        <v>447</v>
      </c>
      <c r="G39" s="134">
        <v>168</v>
      </c>
      <c r="H39" s="135">
        <v>563.5</v>
      </c>
      <c r="I39" s="134">
        <v>34</v>
      </c>
      <c r="J39" s="135">
        <v>136.5</v>
      </c>
      <c r="K39" s="134">
        <v>135</v>
      </c>
      <c r="L39" s="135">
        <v>448.8</v>
      </c>
      <c r="M39" s="136">
        <f t="shared" si="12"/>
        <v>337</v>
      </c>
      <c r="N39" s="137">
        <f t="shared" si="12"/>
        <v>1148.8</v>
      </c>
      <c r="O39" s="140" t="s">
        <v>293</v>
      </c>
      <c r="P39" s="138" t="s">
        <v>293</v>
      </c>
      <c r="Q39" s="139" t="s">
        <v>51</v>
      </c>
      <c r="R39" s="131"/>
      <c r="S39" s="131"/>
      <c r="T39" s="124"/>
      <c r="U39" s="124"/>
    </row>
    <row r="40" spans="1:21" x14ac:dyDescent="0.3">
      <c r="A40" s="213" t="s">
        <v>52</v>
      </c>
      <c r="B40" s="214">
        <f>SUM(B42:B46)</f>
        <v>18214</v>
      </c>
      <c r="C40" s="190">
        <f>SUM(C42:C46)</f>
        <v>6877</v>
      </c>
      <c r="D40" s="190">
        <f t="shared" ref="D40:P40" si="13">SUM(D42:D46)</f>
        <v>40868.741000000002</v>
      </c>
      <c r="E40" s="190">
        <f t="shared" si="13"/>
        <v>5923</v>
      </c>
      <c r="F40" s="190">
        <f t="shared" si="13"/>
        <v>15561.13</v>
      </c>
      <c r="G40" s="190">
        <f t="shared" si="13"/>
        <v>1936</v>
      </c>
      <c r="H40" s="190">
        <f t="shared" si="13"/>
        <v>5168.7049999999999</v>
      </c>
      <c r="I40" s="190">
        <f t="shared" si="13"/>
        <v>2683</v>
      </c>
      <c r="J40" s="190">
        <f t="shared" si="13"/>
        <v>4237.0199999999995</v>
      </c>
      <c r="K40" s="190">
        <f t="shared" si="13"/>
        <v>765</v>
      </c>
      <c r="L40" s="190">
        <f t="shared" si="13"/>
        <v>1867.616</v>
      </c>
      <c r="M40" s="190">
        <f>SUM(G40,I40,K40)</f>
        <v>5384</v>
      </c>
      <c r="N40" s="190">
        <f>SUM(H40,J40,L40)</f>
        <v>11273.340999999999</v>
      </c>
      <c r="O40" s="190">
        <f t="shared" si="13"/>
        <v>30</v>
      </c>
      <c r="P40" s="191">
        <f t="shared" si="13"/>
        <v>58.78</v>
      </c>
      <c r="Q40" s="219" t="s">
        <v>53</v>
      </c>
      <c r="R40" s="219"/>
      <c r="S40" s="131"/>
      <c r="T40" s="124"/>
      <c r="U40" s="124"/>
    </row>
    <row r="41" spans="1:21" x14ac:dyDescent="0.3">
      <c r="A41" s="213"/>
      <c r="B41" s="214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1"/>
      <c r="Q41" s="219"/>
      <c r="R41" s="219"/>
      <c r="S41" s="131"/>
      <c r="T41" s="124"/>
      <c r="U41" s="124"/>
    </row>
    <row r="42" spans="1:21" x14ac:dyDescent="0.3">
      <c r="A42" s="132" t="s">
        <v>54</v>
      </c>
      <c r="B42" s="133">
        <f t="shared" ref="B42:B46" si="14">SUM(C42,E42,G42,I42,K42,O42)</f>
        <v>6367</v>
      </c>
      <c r="C42" s="134">
        <v>4123</v>
      </c>
      <c r="D42" s="135">
        <v>27134.048999999999</v>
      </c>
      <c r="E42" s="134">
        <v>604</v>
      </c>
      <c r="F42" s="162">
        <v>1731.08</v>
      </c>
      <c r="G42" s="134">
        <v>859</v>
      </c>
      <c r="H42" s="135">
        <v>3020.5450000000001</v>
      </c>
      <c r="I42" s="134">
        <v>413</v>
      </c>
      <c r="J42" s="135">
        <v>1363.48</v>
      </c>
      <c r="K42" s="134">
        <v>366</v>
      </c>
      <c r="L42" s="135">
        <v>1125.5060000000001</v>
      </c>
      <c r="M42" s="136">
        <f t="shared" ref="M42:N46" si="15">SUM(G42,I42,K42)</f>
        <v>1638</v>
      </c>
      <c r="N42" s="137">
        <f t="shared" si="15"/>
        <v>5509.5309999999999</v>
      </c>
      <c r="O42" s="134">
        <v>2</v>
      </c>
      <c r="P42" s="138">
        <v>4</v>
      </c>
      <c r="Q42" s="139" t="s">
        <v>55</v>
      </c>
      <c r="R42" s="131"/>
      <c r="S42" s="131"/>
      <c r="T42" s="124"/>
      <c r="U42" s="124"/>
    </row>
    <row r="43" spans="1:21" x14ac:dyDescent="0.3">
      <c r="A43" s="132" t="s">
        <v>56</v>
      </c>
      <c r="B43" s="133">
        <f t="shared" si="14"/>
        <v>4784</v>
      </c>
      <c r="C43" s="134">
        <v>668</v>
      </c>
      <c r="D43" s="135">
        <v>2873</v>
      </c>
      <c r="E43" s="134">
        <v>2054</v>
      </c>
      <c r="F43" s="162">
        <v>5802.02</v>
      </c>
      <c r="G43" s="134">
        <v>431</v>
      </c>
      <c r="H43" s="135">
        <v>847.16</v>
      </c>
      <c r="I43" s="134">
        <v>1388</v>
      </c>
      <c r="J43" s="135">
        <v>1567.3</v>
      </c>
      <c r="K43" s="134">
        <v>242</v>
      </c>
      <c r="L43" s="135">
        <v>443.26</v>
      </c>
      <c r="M43" s="136">
        <f t="shared" si="15"/>
        <v>2061</v>
      </c>
      <c r="N43" s="137">
        <f t="shared" si="15"/>
        <v>2857.7200000000003</v>
      </c>
      <c r="O43" s="140">
        <v>1</v>
      </c>
      <c r="P43" s="138">
        <v>2.5</v>
      </c>
      <c r="Q43" s="139" t="s">
        <v>57</v>
      </c>
      <c r="R43" s="131"/>
      <c r="S43" s="131"/>
      <c r="T43" s="124"/>
      <c r="U43" s="124"/>
    </row>
    <row r="44" spans="1:21" x14ac:dyDescent="0.3">
      <c r="A44" s="132" t="s">
        <v>58</v>
      </c>
      <c r="B44" s="133">
        <f t="shared" si="14"/>
        <v>941</v>
      </c>
      <c r="C44" s="134">
        <v>437</v>
      </c>
      <c r="D44" s="135">
        <v>1930.15</v>
      </c>
      <c r="E44" s="134">
        <v>356</v>
      </c>
      <c r="F44" s="162">
        <v>998.63</v>
      </c>
      <c r="G44" s="134">
        <v>60</v>
      </c>
      <c r="H44" s="135">
        <v>164.2</v>
      </c>
      <c r="I44" s="134">
        <v>53</v>
      </c>
      <c r="J44" s="135">
        <v>117.35</v>
      </c>
      <c r="K44" s="134">
        <v>34</v>
      </c>
      <c r="L44" s="135">
        <v>68</v>
      </c>
      <c r="M44" s="136">
        <f t="shared" si="15"/>
        <v>147</v>
      </c>
      <c r="N44" s="137">
        <f t="shared" si="15"/>
        <v>349.54999999999995</v>
      </c>
      <c r="O44" s="134">
        <v>1</v>
      </c>
      <c r="P44" s="138">
        <v>2</v>
      </c>
      <c r="Q44" s="139" t="s">
        <v>59</v>
      </c>
      <c r="R44" s="131"/>
      <c r="S44" s="131"/>
      <c r="T44" s="124"/>
      <c r="U44" s="124"/>
    </row>
    <row r="45" spans="1:21" x14ac:dyDescent="0.3">
      <c r="A45" s="132" t="s">
        <v>60</v>
      </c>
      <c r="B45" s="133">
        <f t="shared" si="14"/>
        <v>4</v>
      </c>
      <c r="C45" s="134">
        <v>2</v>
      </c>
      <c r="D45" s="135">
        <v>7</v>
      </c>
      <c r="E45" s="134">
        <v>2</v>
      </c>
      <c r="F45" s="162">
        <v>4</v>
      </c>
      <c r="G45" s="134" t="s">
        <v>293</v>
      </c>
      <c r="H45" s="135" t="s">
        <v>293</v>
      </c>
      <c r="I45" s="134" t="s">
        <v>293</v>
      </c>
      <c r="J45" s="135" t="s">
        <v>293</v>
      </c>
      <c r="K45" s="140" t="s">
        <v>293</v>
      </c>
      <c r="L45" s="135" t="s">
        <v>293</v>
      </c>
      <c r="M45" s="136">
        <f t="shared" si="15"/>
        <v>0</v>
      </c>
      <c r="N45" s="137">
        <f t="shared" si="15"/>
        <v>0</v>
      </c>
      <c r="O45" s="140" t="s">
        <v>293</v>
      </c>
      <c r="P45" s="138" t="s">
        <v>293</v>
      </c>
      <c r="Q45" s="220" t="s">
        <v>61</v>
      </c>
      <c r="R45" s="220"/>
      <c r="S45" s="131"/>
      <c r="T45" s="124"/>
      <c r="U45" s="124"/>
    </row>
    <row r="46" spans="1:21" x14ac:dyDescent="0.3">
      <c r="A46" s="132" t="s">
        <v>62</v>
      </c>
      <c r="B46" s="133">
        <f t="shared" si="14"/>
        <v>6118</v>
      </c>
      <c r="C46" s="134">
        <v>1647</v>
      </c>
      <c r="D46" s="135">
        <v>8924.5419999999995</v>
      </c>
      <c r="E46" s="134">
        <v>2907</v>
      </c>
      <c r="F46" s="162">
        <v>7025.4</v>
      </c>
      <c r="G46" s="134">
        <v>586</v>
      </c>
      <c r="H46" s="135">
        <v>1136.8</v>
      </c>
      <c r="I46" s="134">
        <v>829</v>
      </c>
      <c r="J46" s="135">
        <v>1188.8900000000001</v>
      </c>
      <c r="K46" s="134">
        <v>123</v>
      </c>
      <c r="L46" s="135">
        <v>230.85</v>
      </c>
      <c r="M46" s="136">
        <f t="shared" si="15"/>
        <v>1538</v>
      </c>
      <c r="N46" s="137">
        <f t="shared" si="15"/>
        <v>2556.54</v>
      </c>
      <c r="O46" s="134">
        <v>26</v>
      </c>
      <c r="P46" s="138">
        <v>50.28</v>
      </c>
      <c r="Q46" s="139" t="s">
        <v>63</v>
      </c>
      <c r="R46" s="131"/>
      <c r="S46" s="131"/>
      <c r="T46" s="124"/>
      <c r="U46" s="124"/>
    </row>
    <row r="47" spans="1:21" x14ac:dyDescent="0.3">
      <c r="A47" s="215" t="s">
        <v>64</v>
      </c>
      <c r="B47" s="214">
        <f>SUM(B49:B53)</f>
        <v>25236</v>
      </c>
      <c r="C47" s="190">
        <f>SUM(C49:C53)</f>
        <v>4137</v>
      </c>
      <c r="D47" s="190">
        <f t="shared" ref="D47:P47" si="16">SUM(D49:D53)</f>
        <v>19936.036</v>
      </c>
      <c r="E47" s="190">
        <f t="shared" si="16"/>
        <v>4810</v>
      </c>
      <c r="F47" s="190">
        <f t="shared" si="16"/>
        <v>14218.608</v>
      </c>
      <c r="G47" s="190">
        <f t="shared" si="16"/>
        <v>4227</v>
      </c>
      <c r="H47" s="190">
        <f t="shared" si="16"/>
        <v>10622.097999999998</v>
      </c>
      <c r="I47" s="190">
        <f t="shared" si="16"/>
        <v>6741</v>
      </c>
      <c r="J47" s="190">
        <f t="shared" si="16"/>
        <v>21383.53</v>
      </c>
      <c r="K47" s="190">
        <f t="shared" si="16"/>
        <v>5277</v>
      </c>
      <c r="L47" s="190">
        <f t="shared" si="16"/>
        <v>17848.471999999998</v>
      </c>
      <c r="M47" s="190">
        <f>SUM(G47,I47,K47)</f>
        <v>16245</v>
      </c>
      <c r="N47" s="190">
        <f>SUM(H47,J47,L47)</f>
        <v>49854.099999999991</v>
      </c>
      <c r="O47" s="190">
        <f t="shared" si="16"/>
        <v>44</v>
      </c>
      <c r="P47" s="191">
        <f t="shared" si="16"/>
        <v>61.064999999999998</v>
      </c>
      <c r="Q47" s="221" t="s">
        <v>65</v>
      </c>
      <c r="R47" s="221"/>
      <c r="S47" s="131"/>
      <c r="T47" s="124"/>
      <c r="U47" s="124"/>
    </row>
    <row r="48" spans="1:21" x14ac:dyDescent="0.3">
      <c r="A48" s="215"/>
      <c r="B48" s="214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1"/>
      <c r="Q48" s="221"/>
      <c r="R48" s="221"/>
      <c r="S48" s="131"/>
      <c r="T48" s="124"/>
      <c r="U48" s="124"/>
    </row>
    <row r="49" spans="1:21" x14ac:dyDescent="0.3">
      <c r="A49" s="132" t="s">
        <v>66</v>
      </c>
      <c r="B49" s="133">
        <f t="shared" ref="B49:B53" si="17">SUM(C49,E49,G49,I49,K49,O49)</f>
        <v>4428</v>
      </c>
      <c r="C49" s="134">
        <v>528</v>
      </c>
      <c r="D49" s="135">
        <v>1764.48</v>
      </c>
      <c r="E49" s="134">
        <v>511</v>
      </c>
      <c r="F49" s="162">
        <v>1111.482</v>
      </c>
      <c r="G49" s="134">
        <v>1255</v>
      </c>
      <c r="H49" s="135">
        <v>2927.0129999999999</v>
      </c>
      <c r="I49" s="134">
        <v>1517</v>
      </c>
      <c r="J49" s="135">
        <v>3053.33</v>
      </c>
      <c r="K49" s="134">
        <v>593</v>
      </c>
      <c r="L49" s="135">
        <v>903.09500000000003</v>
      </c>
      <c r="M49" s="136">
        <f t="shared" ref="M49:N53" si="18">SUM(G49,I49,K49)</f>
        <v>3365</v>
      </c>
      <c r="N49" s="137">
        <f t="shared" si="18"/>
        <v>6883.4380000000001</v>
      </c>
      <c r="O49" s="134">
        <v>24</v>
      </c>
      <c r="P49" s="138">
        <v>33.064999999999998</v>
      </c>
      <c r="Q49" s="139" t="s">
        <v>67</v>
      </c>
      <c r="R49" s="131"/>
      <c r="S49" s="131"/>
      <c r="T49" s="124"/>
      <c r="U49" s="124"/>
    </row>
    <row r="50" spans="1:21" x14ac:dyDescent="0.3">
      <c r="A50" s="132" t="s">
        <v>68</v>
      </c>
      <c r="B50" s="133">
        <f t="shared" si="17"/>
        <v>13695</v>
      </c>
      <c r="C50" s="134">
        <v>2463</v>
      </c>
      <c r="D50" s="135">
        <v>15439.8</v>
      </c>
      <c r="E50" s="134">
        <v>3246</v>
      </c>
      <c r="F50" s="162">
        <v>10965.915999999999</v>
      </c>
      <c r="G50" s="134">
        <v>858</v>
      </c>
      <c r="H50" s="135">
        <v>3182.9029999999998</v>
      </c>
      <c r="I50" s="134">
        <v>3417</v>
      </c>
      <c r="J50" s="135">
        <v>14634.1</v>
      </c>
      <c r="K50" s="134">
        <v>3696</v>
      </c>
      <c r="L50" s="135">
        <v>14786.927</v>
      </c>
      <c r="M50" s="136">
        <f t="shared" si="18"/>
        <v>7971</v>
      </c>
      <c r="N50" s="137">
        <f t="shared" si="18"/>
        <v>32603.93</v>
      </c>
      <c r="O50" s="140">
        <v>15</v>
      </c>
      <c r="P50" s="138">
        <v>22.5</v>
      </c>
      <c r="Q50" s="139" t="s">
        <v>69</v>
      </c>
      <c r="R50" s="131"/>
      <c r="S50" s="131"/>
      <c r="T50" s="124"/>
      <c r="U50" s="124"/>
    </row>
    <row r="51" spans="1:21" x14ac:dyDescent="0.3">
      <c r="A51" s="132" t="s">
        <v>70</v>
      </c>
      <c r="B51" s="133">
        <f t="shared" si="17"/>
        <v>6541</v>
      </c>
      <c r="C51" s="134">
        <v>1132</v>
      </c>
      <c r="D51" s="135">
        <v>2699.4259999999999</v>
      </c>
      <c r="E51" s="134">
        <v>1041</v>
      </c>
      <c r="F51" s="162">
        <v>2127.2600000000002</v>
      </c>
      <c r="G51" s="134">
        <v>2044</v>
      </c>
      <c r="H51" s="135">
        <v>4393.38</v>
      </c>
      <c r="I51" s="134">
        <v>1338</v>
      </c>
      <c r="J51" s="135">
        <v>3111.6</v>
      </c>
      <c r="K51" s="134">
        <v>981</v>
      </c>
      <c r="L51" s="135">
        <v>2152.85</v>
      </c>
      <c r="M51" s="136">
        <f t="shared" si="18"/>
        <v>4363</v>
      </c>
      <c r="N51" s="137">
        <f t="shared" si="18"/>
        <v>9657.83</v>
      </c>
      <c r="O51" s="134">
        <v>5</v>
      </c>
      <c r="P51" s="138">
        <v>5.5</v>
      </c>
      <c r="Q51" s="139" t="s">
        <v>71</v>
      </c>
      <c r="R51" s="131"/>
      <c r="S51" s="131"/>
      <c r="T51" s="124"/>
      <c r="U51" s="124"/>
    </row>
    <row r="52" spans="1:21" x14ac:dyDescent="0.3">
      <c r="A52" s="132" t="s">
        <v>72</v>
      </c>
      <c r="B52" s="133">
        <f t="shared" si="17"/>
        <v>311</v>
      </c>
      <c r="C52" s="134">
        <v>3</v>
      </c>
      <c r="D52" s="135">
        <v>0.83</v>
      </c>
      <c r="E52" s="134">
        <v>4</v>
      </c>
      <c r="F52" s="162">
        <v>0.75</v>
      </c>
      <c r="G52" s="140" t="s">
        <v>293</v>
      </c>
      <c r="H52" s="135" t="s">
        <v>293</v>
      </c>
      <c r="I52" s="134">
        <v>304</v>
      </c>
      <c r="J52" s="135">
        <v>300.60000000000002</v>
      </c>
      <c r="K52" s="140" t="s">
        <v>293</v>
      </c>
      <c r="L52" s="135" t="s">
        <v>293</v>
      </c>
      <c r="M52" s="136">
        <f t="shared" si="18"/>
        <v>304</v>
      </c>
      <c r="N52" s="137">
        <f t="shared" si="18"/>
        <v>300.60000000000002</v>
      </c>
      <c r="O52" s="140" t="s">
        <v>293</v>
      </c>
      <c r="P52" s="138" t="s">
        <v>293</v>
      </c>
      <c r="Q52" s="139" t="s">
        <v>73</v>
      </c>
      <c r="R52" s="131"/>
      <c r="S52" s="131"/>
      <c r="T52" s="124"/>
      <c r="U52" s="124"/>
    </row>
    <row r="53" spans="1:21" x14ac:dyDescent="0.3">
      <c r="A53" s="132" t="s">
        <v>74</v>
      </c>
      <c r="B53" s="133">
        <f t="shared" si="17"/>
        <v>261</v>
      </c>
      <c r="C53" s="134">
        <v>11</v>
      </c>
      <c r="D53" s="135">
        <v>31.5</v>
      </c>
      <c r="E53" s="134">
        <v>8</v>
      </c>
      <c r="F53" s="162">
        <v>13.2</v>
      </c>
      <c r="G53" s="134">
        <v>70</v>
      </c>
      <c r="H53" s="135">
        <v>118.80200000000001</v>
      </c>
      <c r="I53" s="134">
        <v>165</v>
      </c>
      <c r="J53" s="135">
        <v>283.89999999999998</v>
      </c>
      <c r="K53" s="134">
        <v>7</v>
      </c>
      <c r="L53" s="135">
        <v>5.6</v>
      </c>
      <c r="M53" s="136">
        <f t="shared" si="18"/>
        <v>242</v>
      </c>
      <c r="N53" s="137">
        <f t="shared" si="18"/>
        <v>408.30200000000002</v>
      </c>
      <c r="O53" s="140" t="s">
        <v>293</v>
      </c>
      <c r="P53" s="138" t="s">
        <v>293</v>
      </c>
      <c r="Q53" s="139" t="s">
        <v>75</v>
      </c>
      <c r="R53" s="131"/>
      <c r="S53" s="131"/>
      <c r="T53" s="124"/>
      <c r="U53" s="124"/>
    </row>
    <row r="54" spans="1:21" x14ac:dyDescent="0.3">
      <c r="A54" s="213" t="s">
        <v>76</v>
      </c>
      <c r="B54" s="214">
        <f>SUM(B56:B60)</f>
        <v>3725</v>
      </c>
      <c r="C54" s="190">
        <f>SUM(C56:C60)</f>
        <v>290</v>
      </c>
      <c r="D54" s="190">
        <f t="shared" ref="D54:P54" si="19">SUM(D56:D60)</f>
        <v>733.72</v>
      </c>
      <c r="E54" s="190">
        <f t="shared" si="19"/>
        <v>302</v>
      </c>
      <c r="F54" s="190">
        <f t="shared" si="19"/>
        <v>501.73</v>
      </c>
      <c r="G54" s="190">
        <f t="shared" si="19"/>
        <v>2202</v>
      </c>
      <c r="H54" s="190">
        <f t="shared" si="19"/>
        <v>2430.4899999999998</v>
      </c>
      <c r="I54" s="190">
        <f t="shared" si="19"/>
        <v>381</v>
      </c>
      <c r="J54" s="190">
        <f t="shared" si="19"/>
        <v>447.74</v>
      </c>
      <c r="K54" s="190">
        <f t="shared" si="19"/>
        <v>535</v>
      </c>
      <c r="L54" s="190">
        <f t="shared" si="19"/>
        <v>583.39</v>
      </c>
      <c r="M54" s="190">
        <f>SUM(G54,I54,K54)</f>
        <v>3118</v>
      </c>
      <c r="N54" s="190">
        <f>SUM(H54,J54,L54)</f>
        <v>3461.6199999999994</v>
      </c>
      <c r="O54" s="190">
        <f t="shared" si="19"/>
        <v>15</v>
      </c>
      <c r="P54" s="191">
        <f t="shared" si="19"/>
        <v>16.29</v>
      </c>
      <c r="Q54" s="219" t="s">
        <v>77</v>
      </c>
      <c r="R54" s="219"/>
      <c r="S54" s="131"/>
      <c r="T54" s="124"/>
      <c r="U54" s="124"/>
    </row>
    <row r="55" spans="1:21" x14ac:dyDescent="0.3">
      <c r="A55" s="213"/>
      <c r="B55" s="214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1"/>
      <c r="Q55" s="219"/>
      <c r="R55" s="219"/>
      <c r="S55" s="131"/>
      <c r="T55" s="124"/>
      <c r="U55" s="124"/>
    </row>
    <row r="56" spans="1:21" x14ac:dyDescent="0.3">
      <c r="A56" s="132" t="s">
        <v>78</v>
      </c>
      <c r="B56" s="133">
        <f t="shared" ref="B56:B60" si="20">SUM(C56,E56,G56,I56,K56,O56)</f>
        <v>2140</v>
      </c>
      <c r="C56" s="134">
        <v>54</v>
      </c>
      <c r="D56" s="135">
        <v>209.55</v>
      </c>
      <c r="E56" s="134">
        <v>46</v>
      </c>
      <c r="F56" s="162">
        <v>99.05</v>
      </c>
      <c r="G56" s="134">
        <v>1574</v>
      </c>
      <c r="H56" s="135">
        <v>1379.32</v>
      </c>
      <c r="I56" s="134">
        <v>244</v>
      </c>
      <c r="J56" s="135">
        <v>229.34</v>
      </c>
      <c r="K56" s="134">
        <v>214</v>
      </c>
      <c r="L56" s="135">
        <v>189.61</v>
      </c>
      <c r="M56" s="136">
        <f t="shared" ref="M56:N60" si="21">SUM(G56,I56,K56)</f>
        <v>2032</v>
      </c>
      <c r="N56" s="137">
        <f>SUM(H56,J56,L56)</f>
        <v>1798.27</v>
      </c>
      <c r="O56" s="134">
        <v>8</v>
      </c>
      <c r="P56" s="138">
        <v>7.09</v>
      </c>
      <c r="Q56" s="139" t="s">
        <v>79</v>
      </c>
      <c r="R56" s="131"/>
      <c r="S56" s="131"/>
      <c r="T56" s="124"/>
      <c r="U56" s="124"/>
    </row>
    <row r="57" spans="1:21" x14ac:dyDescent="0.3">
      <c r="A57" s="132" t="s">
        <v>80</v>
      </c>
      <c r="B57" s="133">
        <f t="shared" si="20"/>
        <v>441</v>
      </c>
      <c r="C57" s="134">
        <v>96</v>
      </c>
      <c r="D57" s="134">
        <v>173.7</v>
      </c>
      <c r="E57" s="134">
        <v>115</v>
      </c>
      <c r="F57" s="162">
        <v>149.4</v>
      </c>
      <c r="G57" s="134">
        <v>84</v>
      </c>
      <c r="H57" s="135">
        <v>113.8</v>
      </c>
      <c r="I57" s="134">
        <v>93</v>
      </c>
      <c r="J57" s="135">
        <v>119.9</v>
      </c>
      <c r="K57" s="134">
        <v>53</v>
      </c>
      <c r="L57" s="135">
        <v>68.400000000000006</v>
      </c>
      <c r="M57" s="136">
        <f t="shared" si="21"/>
        <v>230</v>
      </c>
      <c r="N57" s="137">
        <f t="shared" si="21"/>
        <v>302.10000000000002</v>
      </c>
      <c r="O57" s="140" t="s">
        <v>293</v>
      </c>
      <c r="P57" s="138" t="s">
        <v>293</v>
      </c>
      <c r="Q57" s="139" t="s">
        <v>81</v>
      </c>
      <c r="R57" s="131"/>
      <c r="S57" s="131"/>
      <c r="T57" s="124"/>
      <c r="U57" s="124"/>
    </row>
    <row r="58" spans="1:21" x14ac:dyDescent="0.3">
      <c r="A58" s="132" t="s">
        <v>82</v>
      </c>
      <c r="B58" s="133">
        <f t="shared" si="20"/>
        <v>15</v>
      </c>
      <c r="C58" s="134" t="s">
        <v>293</v>
      </c>
      <c r="D58" s="134" t="s">
        <v>293</v>
      </c>
      <c r="E58" s="134" t="s">
        <v>293</v>
      </c>
      <c r="F58" s="162" t="s">
        <v>293</v>
      </c>
      <c r="G58" s="134">
        <v>10</v>
      </c>
      <c r="H58" s="135">
        <v>8.9499999999999993</v>
      </c>
      <c r="I58" s="140" t="s">
        <v>293</v>
      </c>
      <c r="J58" s="135" t="s">
        <v>293</v>
      </c>
      <c r="K58" s="134">
        <v>5</v>
      </c>
      <c r="L58" s="135">
        <v>3.85</v>
      </c>
      <c r="M58" s="136">
        <f t="shared" si="21"/>
        <v>15</v>
      </c>
      <c r="N58" s="137">
        <f t="shared" si="21"/>
        <v>12.799999999999999</v>
      </c>
      <c r="O58" s="140" t="s">
        <v>293</v>
      </c>
      <c r="P58" s="138" t="s">
        <v>293</v>
      </c>
      <c r="Q58" s="139" t="s">
        <v>83</v>
      </c>
      <c r="R58" s="131"/>
      <c r="S58" s="131"/>
      <c r="T58" s="124"/>
      <c r="U58" s="124"/>
    </row>
    <row r="59" spans="1:21" x14ac:dyDescent="0.3">
      <c r="A59" s="132" t="s">
        <v>84</v>
      </c>
      <c r="B59" s="133">
        <f t="shared" si="20"/>
        <v>1029</v>
      </c>
      <c r="C59" s="134">
        <v>135</v>
      </c>
      <c r="D59" s="134">
        <v>345.27</v>
      </c>
      <c r="E59" s="134">
        <v>138</v>
      </c>
      <c r="F59" s="162">
        <v>250.28</v>
      </c>
      <c r="G59" s="134">
        <v>449</v>
      </c>
      <c r="H59" s="135">
        <v>854.42</v>
      </c>
      <c r="I59" s="134">
        <v>44</v>
      </c>
      <c r="J59" s="135">
        <v>98.5</v>
      </c>
      <c r="K59" s="134">
        <v>256</v>
      </c>
      <c r="L59" s="135">
        <v>314.52999999999997</v>
      </c>
      <c r="M59" s="136">
        <f t="shared" si="21"/>
        <v>749</v>
      </c>
      <c r="N59" s="137">
        <f t="shared" si="21"/>
        <v>1267.4499999999998</v>
      </c>
      <c r="O59" s="134">
        <v>7</v>
      </c>
      <c r="P59" s="138">
        <v>9.1999999999999993</v>
      </c>
      <c r="Q59" s="139" t="s">
        <v>85</v>
      </c>
      <c r="R59" s="131"/>
      <c r="S59" s="131"/>
      <c r="T59" s="124"/>
      <c r="U59" s="124"/>
    </row>
    <row r="60" spans="1:21" x14ac:dyDescent="0.3">
      <c r="A60" s="132" t="s">
        <v>86</v>
      </c>
      <c r="B60" s="133">
        <f t="shared" si="20"/>
        <v>100</v>
      </c>
      <c r="C60" s="134">
        <v>5</v>
      </c>
      <c r="D60" s="134">
        <v>5.2</v>
      </c>
      <c r="E60" s="134">
        <v>3</v>
      </c>
      <c r="F60" s="162">
        <v>3</v>
      </c>
      <c r="G60" s="134">
        <v>85</v>
      </c>
      <c r="H60" s="135">
        <v>74</v>
      </c>
      <c r="I60" s="140" t="s">
        <v>293</v>
      </c>
      <c r="J60" s="135" t="s">
        <v>293</v>
      </c>
      <c r="K60" s="134">
        <v>7</v>
      </c>
      <c r="L60" s="135">
        <v>7</v>
      </c>
      <c r="M60" s="136">
        <f t="shared" si="21"/>
        <v>92</v>
      </c>
      <c r="N60" s="137">
        <f t="shared" si="21"/>
        <v>81</v>
      </c>
      <c r="O60" s="140" t="s">
        <v>293</v>
      </c>
      <c r="P60" s="138" t="s">
        <v>293</v>
      </c>
      <c r="Q60" s="139" t="s">
        <v>87</v>
      </c>
      <c r="R60" s="131"/>
      <c r="S60" s="131"/>
      <c r="T60" s="124"/>
      <c r="U60" s="124"/>
    </row>
    <row r="61" spans="1:21" x14ac:dyDescent="0.3">
      <c r="A61" s="215" t="s">
        <v>88</v>
      </c>
      <c r="B61" s="214">
        <f>SUM(B63:B65)</f>
        <v>79700</v>
      </c>
      <c r="C61" s="190">
        <f>SUM(C63:C65)</f>
        <v>34354</v>
      </c>
      <c r="D61" s="190">
        <f t="shared" ref="D61:P61" si="22">SUM(D63:D65)</f>
        <v>168223</v>
      </c>
      <c r="E61" s="190">
        <f t="shared" si="22"/>
        <v>7160</v>
      </c>
      <c r="F61" s="190">
        <f t="shared" si="22"/>
        <v>15402.662</v>
      </c>
      <c r="G61" s="190">
        <f t="shared" si="22"/>
        <v>22079</v>
      </c>
      <c r="H61" s="190">
        <f t="shared" si="22"/>
        <v>50453.539999999994</v>
      </c>
      <c r="I61" s="190">
        <f t="shared" si="22"/>
        <v>1360</v>
      </c>
      <c r="J61" s="190">
        <f t="shared" si="22"/>
        <v>2546.34</v>
      </c>
      <c r="K61" s="190">
        <f t="shared" si="22"/>
        <v>13881</v>
      </c>
      <c r="L61" s="190">
        <f t="shared" si="22"/>
        <v>36330.380000000005</v>
      </c>
      <c r="M61" s="190">
        <f>SUM(G61,I61,K61)</f>
        <v>37320</v>
      </c>
      <c r="N61" s="190">
        <f>SUM(H61,J61,L61)</f>
        <v>89330.26</v>
      </c>
      <c r="O61" s="190">
        <f t="shared" si="22"/>
        <v>866</v>
      </c>
      <c r="P61" s="191">
        <f t="shared" si="22"/>
        <v>2323.6</v>
      </c>
      <c r="Q61" s="221" t="s">
        <v>89</v>
      </c>
      <c r="R61" s="221"/>
      <c r="S61" s="131"/>
      <c r="T61" s="124"/>
      <c r="U61" s="124"/>
    </row>
    <row r="62" spans="1:21" x14ac:dyDescent="0.3">
      <c r="A62" s="215"/>
      <c r="B62" s="214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1"/>
      <c r="Q62" s="221"/>
      <c r="R62" s="221"/>
      <c r="S62" s="131"/>
      <c r="T62" s="124"/>
      <c r="U62" s="124"/>
    </row>
    <row r="63" spans="1:21" x14ac:dyDescent="0.3">
      <c r="A63" s="132" t="s">
        <v>90</v>
      </c>
      <c r="B63" s="133">
        <f>SUM(C63,E63,G63,I63,K63,O63)</f>
        <v>15965</v>
      </c>
      <c r="C63" s="134">
        <v>4156</v>
      </c>
      <c r="D63" s="134">
        <v>17558.8</v>
      </c>
      <c r="E63" s="134">
        <v>854</v>
      </c>
      <c r="F63" s="162">
        <v>1690.1120000000001</v>
      </c>
      <c r="G63" s="134">
        <v>6014</v>
      </c>
      <c r="H63" s="135">
        <v>17677.371999999999</v>
      </c>
      <c r="I63" s="134">
        <v>693</v>
      </c>
      <c r="J63" s="135">
        <v>1527.84</v>
      </c>
      <c r="K63" s="134">
        <v>3693</v>
      </c>
      <c r="L63" s="135">
        <v>9410.2000000000007</v>
      </c>
      <c r="M63" s="136">
        <f t="shared" ref="M63:N65" si="23">SUM(G63,I63,K63)</f>
        <v>10400</v>
      </c>
      <c r="N63" s="137">
        <f t="shared" si="23"/>
        <v>28615.412</v>
      </c>
      <c r="O63" s="134">
        <v>555</v>
      </c>
      <c r="P63" s="138">
        <v>1392</v>
      </c>
      <c r="Q63" s="139" t="s">
        <v>91</v>
      </c>
      <c r="R63" s="131"/>
      <c r="S63" s="131"/>
      <c r="T63" s="124"/>
      <c r="U63" s="124"/>
    </row>
    <row r="64" spans="1:21" x14ac:dyDescent="0.3">
      <c r="A64" s="132" t="s">
        <v>92</v>
      </c>
      <c r="B64" s="133">
        <f>SUM(C64,E64,G64,I64,K64,O64)</f>
        <v>14236</v>
      </c>
      <c r="C64" s="134">
        <v>3432</v>
      </c>
      <c r="D64" s="134">
        <v>11034.6</v>
      </c>
      <c r="E64" s="134">
        <v>1280</v>
      </c>
      <c r="F64" s="162">
        <v>2180.35</v>
      </c>
      <c r="G64" s="134">
        <v>9169</v>
      </c>
      <c r="H64" s="135">
        <v>9501.89</v>
      </c>
      <c r="I64" s="134">
        <v>340</v>
      </c>
      <c r="J64" s="135">
        <v>226</v>
      </c>
      <c r="K64" s="134">
        <v>15</v>
      </c>
      <c r="L64" s="135">
        <v>16</v>
      </c>
      <c r="M64" s="136">
        <f t="shared" si="23"/>
        <v>9524</v>
      </c>
      <c r="N64" s="137">
        <f t="shared" si="23"/>
        <v>9743.89</v>
      </c>
      <c r="O64" s="140" t="s">
        <v>293</v>
      </c>
      <c r="P64" s="138" t="s">
        <v>293</v>
      </c>
      <c r="Q64" s="220" t="s">
        <v>93</v>
      </c>
      <c r="R64" s="220"/>
      <c r="S64" s="131"/>
      <c r="T64" s="124"/>
      <c r="U64" s="124"/>
    </row>
    <row r="65" spans="1:21" x14ac:dyDescent="0.3">
      <c r="A65" s="132" t="s">
        <v>94</v>
      </c>
      <c r="B65" s="133">
        <f>SUM(C65,E65,G65,I65,K65,O65)</f>
        <v>49499</v>
      </c>
      <c r="C65" s="134">
        <v>26766</v>
      </c>
      <c r="D65" s="134">
        <v>139629.6</v>
      </c>
      <c r="E65" s="134">
        <v>5026</v>
      </c>
      <c r="F65" s="162">
        <v>11532.2</v>
      </c>
      <c r="G65" s="134">
        <v>6896</v>
      </c>
      <c r="H65" s="135">
        <v>23274.277999999998</v>
      </c>
      <c r="I65" s="134">
        <v>327</v>
      </c>
      <c r="J65" s="135">
        <v>792.5</v>
      </c>
      <c r="K65" s="134">
        <v>10173</v>
      </c>
      <c r="L65" s="135">
        <v>26904.18</v>
      </c>
      <c r="M65" s="136">
        <f t="shared" si="23"/>
        <v>17396</v>
      </c>
      <c r="N65" s="137">
        <f t="shared" si="23"/>
        <v>50970.957999999999</v>
      </c>
      <c r="O65" s="134">
        <v>311</v>
      </c>
      <c r="P65" s="138">
        <v>931.6</v>
      </c>
      <c r="Q65" s="139" t="s">
        <v>95</v>
      </c>
      <c r="R65" s="131"/>
      <c r="S65" s="131"/>
      <c r="T65" s="124"/>
      <c r="U65" s="124"/>
    </row>
    <row r="66" spans="1:21" x14ac:dyDescent="0.3">
      <c r="A66" s="215" t="s">
        <v>96</v>
      </c>
      <c r="B66" s="214">
        <f>SUM(B68:B72)</f>
        <v>26637</v>
      </c>
      <c r="C66" s="190">
        <f>SUM(C68:C72)</f>
        <v>9022</v>
      </c>
      <c r="D66" s="190">
        <f t="shared" ref="D66:P66" si="24">SUM(D68:D72)</f>
        <v>44999.087</v>
      </c>
      <c r="E66" s="190">
        <f t="shared" si="24"/>
        <v>2042</v>
      </c>
      <c r="F66" s="190">
        <f t="shared" si="24"/>
        <v>4684.4520000000002</v>
      </c>
      <c r="G66" s="190">
        <f t="shared" si="24"/>
        <v>4685</v>
      </c>
      <c r="H66" s="190">
        <f t="shared" si="24"/>
        <v>11889.637999999999</v>
      </c>
      <c r="I66" s="190">
        <f t="shared" si="24"/>
        <v>8099</v>
      </c>
      <c r="J66" s="190">
        <f t="shared" si="24"/>
        <v>25793.036</v>
      </c>
      <c r="K66" s="190">
        <f t="shared" si="24"/>
        <v>2604</v>
      </c>
      <c r="L66" s="190">
        <f t="shared" si="24"/>
        <v>5662.3</v>
      </c>
      <c r="M66" s="190">
        <f>SUM(G66,I66,K66)</f>
        <v>15388</v>
      </c>
      <c r="N66" s="190">
        <f>SUM(H66,J66,L66)</f>
        <v>43344.974000000002</v>
      </c>
      <c r="O66" s="190">
        <f t="shared" si="24"/>
        <v>185</v>
      </c>
      <c r="P66" s="191">
        <f t="shared" si="24"/>
        <v>441.33500000000004</v>
      </c>
      <c r="Q66" s="221" t="s">
        <v>97</v>
      </c>
      <c r="R66" s="221"/>
      <c r="S66" s="131"/>
      <c r="T66" s="124"/>
      <c r="U66" s="124"/>
    </row>
    <row r="67" spans="1:21" x14ac:dyDescent="0.3">
      <c r="A67" s="215"/>
      <c r="B67" s="214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1"/>
      <c r="Q67" s="221"/>
      <c r="R67" s="221"/>
      <c r="S67" s="131"/>
      <c r="T67" s="124"/>
      <c r="U67" s="124"/>
    </row>
    <row r="68" spans="1:21" x14ac:dyDescent="0.3">
      <c r="A68" s="132" t="s">
        <v>98</v>
      </c>
      <c r="B68" s="133">
        <f>SUM(C68,E68,G68,I68,K68,O68)</f>
        <v>5864</v>
      </c>
      <c r="C68" s="134">
        <v>119</v>
      </c>
      <c r="D68" s="134">
        <v>253.78</v>
      </c>
      <c r="E68" s="134">
        <v>117</v>
      </c>
      <c r="F68" s="162">
        <v>203.3</v>
      </c>
      <c r="G68" s="134">
        <v>7</v>
      </c>
      <c r="H68" s="135">
        <v>21</v>
      </c>
      <c r="I68" s="134">
        <v>5606</v>
      </c>
      <c r="J68" s="135">
        <v>19105.849999999999</v>
      </c>
      <c r="K68" s="134">
        <v>14</v>
      </c>
      <c r="L68" s="135">
        <v>43</v>
      </c>
      <c r="M68" s="136">
        <f t="shared" ref="M68:N72" si="25">SUM(G68,I68,K68)</f>
        <v>5627</v>
      </c>
      <c r="N68" s="137">
        <f t="shared" si="25"/>
        <v>19169.849999999999</v>
      </c>
      <c r="O68" s="140">
        <v>1</v>
      </c>
      <c r="P68" s="138">
        <v>1.5</v>
      </c>
      <c r="Q68" s="139" t="s">
        <v>99</v>
      </c>
      <c r="R68" s="131"/>
      <c r="S68" s="131"/>
      <c r="T68" s="124"/>
      <c r="U68" s="124"/>
    </row>
    <row r="69" spans="1:21" x14ac:dyDescent="0.3">
      <c r="A69" s="132" t="s">
        <v>100</v>
      </c>
      <c r="B69" s="133">
        <f t="shared" ref="B69:B72" si="26">SUM(C69,E69,G69,I69,K69,O69)</f>
        <v>4000</v>
      </c>
      <c r="C69" s="134">
        <v>551</v>
      </c>
      <c r="D69" s="134">
        <v>1501.15</v>
      </c>
      <c r="E69" s="134">
        <v>637</v>
      </c>
      <c r="F69" s="162">
        <v>1190.1300000000001</v>
      </c>
      <c r="G69" s="134">
        <v>1111</v>
      </c>
      <c r="H69" s="135">
        <v>2567.6</v>
      </c>
      <c r="I69" s="134">
        <v>634</v>
      </c>
      <c r="J69" s="135">
        <v>1385.58</v>
      </c>
      <c r="K69" s="134">
        <v>1060</v>
      </c>
      <c r="L69" s="135">
        <v>2058.2040000000002</v>
      </c>
      <c r="M69" s="136">
        <f t="shared" si="25"/>
        <v>2805</v>
      </c>
      <c r="N69" s="137">
        <f t="shared" si="25"/>
        <v>6011.384</v>
      </c>
      <c r="O69" s="134">
        <v>7</v>
      </c>
      <c r="P69" s="138">
        <v>10.1</v>
      </c>
      <c r="Q69" s="139" t="s">
        <v>101</v>
      </c>
      <c r="R69" s="131"/>
      <c r="S69" s="131"/>
      <c r="T69" s="124"/>
      <c r="U69" s="124"/>
    </row>
    <row r="70" spans="1:21" x14ac:dyDescent="0.3">
      <c r="A70" s="132" t="s">
        <v>102</v>
      </c>
      <c r="B70" s="133">
        <f t="shared" si="26"/>
        <v>1115</v>
      </c>
      <c r="C70" s="134">
        <v>118</v>
      </c>
      <c r="D70" s="134">
        <v>304.75700000000001</v>
      </c>
      <c r="E70" s="134">
        <v>286</v>
      </c>
      <c r="F70" s="162">
        <v>711.52200000000005</v>
      </c>
      <c r="G70" s="134">
        <v>289</v>
      </c>
      <c r="H70" s="135">
        <v>863.58900000000006</v>
      </c>
      <c r="I70" s="134">
        <v>393</v>
      </c>
      <c r="J70" s="135">
        <v>1198.7560000000001</v>
      </c>
      <c r="K70" s="134">
        <v>29</v>
      </c>
      <c r="L70" s="135">
        <v>79.5</v>
      </c>
      <c r="M70" s="136">
        <f t="shared" si="25"/>
        <v>711</v>
      </c>
      <c r="N70" s="137">
        <f t="shared" si="25"/>
        <v>2141.8450000000003</v>
      </c>
      <c r="O70" s="140" t="s">
        <v>293</v>
      </c>
      <c r="P70" s="138" t="s">
        <v>293</v>
      </c>
      <c r="Q70" s="139" t="s">
        <v>103</v>
      </c>
      <c r="R70" s="131"/>
      <c r="S70" s="131"/>
      <c r="T70" s="124"/>
      <c r="U70" s="124"/>
    </row>
    <row r="71" spans="1:21" x14ac:dyDescent="0.3">
      <c r="A71" s="132" t="s">
        <v>104</v>
      </c>
      <c r="B71" s="133">
        <f t="shared" si="26"/>
        <v>4613</v>
      </c>
      <c r="C71" s="134">
        <v>1465</v>
      </c>
      <c r="D71" s="134">
        <v>4852.7</v>
      </c>
      <c r="E71" s="134">
        <v>599</v>
      </c>
      <c r="F71" s="162">
        <v>1404.82</v>
      </c>
      <c r="G71" s="134">
        <v>738</v>
      </c>
      <c r="H71" s="135">
        <v>1742.05</v>
      </c>
      <c r="I71" s="134">
        <v>1106</v>
      </c>
      <c r="J71" s="135">
        <v>3296.55</v>
      </c>
      <c r="K71" s="134">
        <v>693</v>
      </c>
      <c r="L71" s="135">
        <v>1460.95</v>
      </c>
      <c r="M71" s="136">
        <f t="shared" si="25"/>
        <v>2537</v>
      </c>
      <c r="N71" s="137">
        <f t="shared" si="25"/>
        <v>6499.55</v>
      </c>
      <c r="O71" s="134">
        <v>12</v>
      </c>
      <c r="P71" s="138">
        <v>24</v>
      </c>
      <c r="Q71" s="139" t="s">
        <v>105</v>
      </c>
      <c r="R71" s="131"/>
      <c r="S71" s="131"/>
      <c r="T71" s="124"/>
      <c r="U71" s="124"/>
    </row>
    <row r="72" spans="1:21" x14ac:dyDescent="0.3">
      <c r="A72" s="132" t="s">
        <v>106</v>
      </c>
      <c r="B72" s="133">
        <f t="shared" si="26"/>
        <v>11045</v>
      </c>
      <c r="C72" s="134">
        <v>6769</v>
      </c>
      <c r="D72" s="134">
        <v>38086.699999999997</v>
      </c>
      <c r="E72" s="134">
        <v>403</v>
      </c>
      <c r="F72" s="162">
        <v>1174.68</v>
      </c>
      <c r="G72" s="134">
        <v>2540</v>
      </c>
      <c r="H72" s="135">
        <v>6695.3990000000003</v>
      </c>
      <c r="I72" s="134">
        <v>360</v>
      </c>
      <c r="J72" s="135">
        <v>806.3</v>
      </c>
      <c r="K72" s="134">
        <v>808</v>
      </c>
      <c r="L72" s="135">
        <v>2020.646</v>
      </c>
      <c r="M72" s="136">
        <f t="shared" si="25"/>
        <v>3708</v>
      </c>
      <c r="N72" s="137">
        <f t="shared" si="25"/>
        <v>9522.3450000000012</v>
      </c>
      <c r="O72" s="134">
        <v>165</v>
      </c>
      <c r="P72" s="138">
        <v>405.73500000000001</v>
      </c>
      <c r="Q72" s="139" t="s">
        <v>107</v>
      </c>
      <c r="R72" s="131"/>
      <c r="S72" s="131"/>
      <c r="T72" s="124"/>
      <c r="U72" s="124"/>
    </row>
    <row r="73" spans="1:21" x14ac:dyDescent="0.3">
      <c r="A73" s="213" t="s">
        <v>108</v>
      </c>
      <c r="B73" s="214">
        <f>SUM(B75:B82)</f>
        <v>3686</v>
      </c>
      <c r="C73" s="190">
        <f>SUM(C75:C82)</f>
        <v>825</v>
      </c>
      <c r="D73" s="190">
        <f t="shared" ref="D73:P73" si="27">SUM(D75:D82)</f>
        <v>3196.768</v>
      </c>
      <c r="E73" s="190">
        <f t="shared" si="27"/>
        <v>1771</v>
      </c>
      <c r="F73" s="190">
        <f>SUM(F75:F82)</f>
        <v>4607.5590000000002</v>
      </c>
      <c r="G73" s="190">
        <f t="shared" si="27"/>
        <v>262</v>
      </c>
      <c r="H73" s="190">
        <f>SUM(H75:H82)</f>
        <v>638.9</v>
      </c>
      <c r="I73" s="190">
        <f>SUM(I75:I82)</f>
        <v>478</v>
      </c>
      <c r="J73" s="190">
        <f t="shared" si="27"/>
        <v>1084.93</v>
      </c>
      <c r="K73" s="190">
        <f>SUM(K75:K82)</f>
        <v>345</v>
      </c>
      <c r="L73" s="190">
        <f>SUM(L75:L82)</f>
        <v>478.74900000000002</v>
      </c>
      <c r="M73" s="190">
        <f>SUM(G73,I73,K73)</f>
        <v>1085</v>
      </c>
      <c r="N73" s="190">
        <f>SUM(H73,J73,L73)</f>
        <v>2202.5789999999997</v>
      </c>
      <c r="O73" s="190">
        <f t="shared" si="27"/>
        <v>5</v>
      </c>
      <c r="P73" s="191">
        <f t="shared" si="27"/>
        <v>14.5</v>
      </c>
      <c r="Q73" s="219" t="s">
        <v>109</v>
      </c>
      <c r="R73" s="219"/>
      <c r="S73" s="131"/>
      <c r="T73" s="124"/>
      <c r="U73" s="124"/>
    </row>
    <row r="74" spans="1:21" x14ac:dyDescent="0.3">
      <c r="A74" s="213"/>
      <c r="B74" s="214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1"/>
      <c r="Q74" s="219"/>
      <c r="R74" s="219"/>
      <c r="S74" s="131"/>
      <c r="T74" s="124"/>
      <c r="U74" s="124"/>
    </row>
    <row r="75" spans="1:21" x14ac:dyDescent="0.3">
      <c r="A75" s="148" t="s">
        <v>110</v>
      </c>
      <c r="B75" s="133">
        <f>SUM(C75,E75,G75,I75,K75,O75)</f>
        <v>0</v>
      </c>
      <c r="C75" s="134" t="s">
        <v>293</v>
      </c>
      <c r="D75" s="134" t="s">
        <v>293</v>
      </c>
      <c r="E75" s="134" t="s">
        <v>293</v>
      </c>
      <c r="F75" s="162" t="s">
        <v>293</v>
      </c>
      <c r="G75" s="134" t="s">
        <v>293</v>
      </c>
      <c r="H75" s="135" t="s">
        <v>293</v>
      </c>
      <c r="I75" s="134" t="s">
        <v>293</v>
      </c>
      <c r="J75" s="135" t="s">
        <v>293</v>
      </c>
      <c r="K75" s="134" t="s">
        <v>293</v>
      </c>
      <c r="L75" s="135" t="s">
        <v>293</v>
      </c>
      <c r="M75" s="136">
        <f t="shared" ref="M75:M82" si="28">SUM(G75,I75,K75)</f>
        <v>0</v>
      </c>
      <c r="N75" s="137">
        <f t="shared" ref="N75:N82" si="29">SUM(H75,J75,L75)</f>
        <v>0</v>
      </c>
      <c r="O75" s="134" t="s">
        <v>293</v>
      </c>
      <c r="P75" s="138" t="s">
        <v>293</v>
      </c>
      <c r="Q75" s="220" t="s">
        <v>111</v>
      </c>
      <c r="R75" s="220"/>
      <c r="S75" s="220"/>
      <c r="T75" s="124"/>
      <c r="U75" s="124"/>
    </row>
    <row r="76" spans="1:21" x14ac:dyDescent="0.3">
      <c r="A76" s="148" t="s">
        <v>112</v>
      </c>
      <c r="B76" s="133">
        <f>SUM(C76,E76,G76,I76,K76,O76)</f>
        <v>7</v>
      </c>
      <c r="C76" s="134">
        <v>4</v>
      </c>
      <c r="D76" s="134">
        <v>10.5</v>
      </c>
      <c r="E76" s="134">
        <v>3</v>
      </c>
      <c r="F76" s="162">
        <v>5.5</v>
      </c>
      <c r="G76" s="134" t="s">
        <v>293</v>
      </c>
      <c r="H76" s="135" t="s">
        <v>293</v>
      </c>
      <c r="I76" s="134" t="s">
        <v>293</v>
      </c>
      <c r="J76" s="135" t="s">
        <v>293</v>
      </c>
      <c r="K76" s="134" t="s">
        <v>293</v>
      </c>
      <c r="L76" s="135" t="s">
        <v>293</v>
      </c>
      <c r="M76" s="136">
        <f t="shared" si="28"/>
        <v>0</v>
      </c>
      <c r="N76" s="137">
        <f t="shared" si="29"/>
        <v>0</v>
      </c>
      <c r="O76" s="134" t="s">
        <v>293</v>
      </c>
      <c r="P76" s="138" t="s">
        <v>293</v>
      </c>
      <c r="Q76" s="220" t="s">
        <v>113</v>
      </c>
      <c r="R76" s="220"/>
      <c r="S76" s="220"/>
      <c r="T76" s="124"/>
      <c r="U76" s="124"/>
    </row>
    <row r="77" spans="1:21" x14ac:dyDescent="0.3">
      <c r="A77" s="148" t="s">
        <v>277</v>
      </c>
      <c r="B77" s="133">
        <f>SUM(C77,E77,G77,I77,K77,O77)</f>
        <v>0</v>
      </c>
      <c r="C77" s="134" t="s">
        <v>293</v>
      </c>
      <c r="D77" s="134" t="s">
        <v>293</v>
      </c>
      <c r="E77" s="134" t="s">
        <v>293</v>
      </c>
      <c r="F77" s="162" t="s">
        <v>293</v>
      </c>
      <c r="G77" s="134" t="s">
        <v>293</v>
      </c>
      <c r="H77" s="135" t="s">
        <v>293</v>
      </c>
      <c r="I77" s="134" t="s">
        <v>293</v>
      </c>
      <c r="J77" s="135" t="s">
        <v>293</v>
      </c>
      <c r="K77" s="134" t="s">
        <v>293</v>
      </c>
      <c r="L77" s="135" t="s">
        <v>293</v>
      </c>
      <c r="M77" s="136">
        <f t="shared" si="28"/>
        <v>0</v>
      </c>
      <c r="N77" s="137">
        <f t="shared" si="29"/>
        <v>0</v>
      </c>
      <c r="O77" s="134" t="s">
        <v>293</v>
      </c>
      <c r="P77" s="138" t="s">
        <v>293</v>
      </c>
      <c r="Q77" s="220" t="s">
        <v>115</v>
      </c>
      <c r="R77" s="220"/>
      <c r="S77" s="220"/>
      <c r="T77" s="124"/>
      <c r="U77" s="124"/>
    </row>
    <row r="78" spans="1:21" x14ac:dyDescent="0.3">
      <c r="A78" s="148" t="s">
        <v>278</v>
      </c>
      <c r="B78" s="133">
        <f>SUM(C78,E78,G78,I78,K78,O78)</f>
        <v>0</v>
      </c>
      <c r="C78" s="134" t="s">
        <v>293</v>
      </c>
      <c r="D78" s="134" t="s">
        <v>293</v>
      </c>
      <c r="E78" s="134" t="s">
        <v>293</v>
      </c>
      <c r="F78" s="162" t="s">
        <v>293</v>
      </c>
      <c r="G78" s="134" t="s">
        <v>293</v>
      </c>
      <c r="H78" s="135" t="s">
        <v>293</v>
      </c>
      <c r="I78" s="134" t="s">
        <v>293</v>
      </c>
      <c r="J78" s="135" t="s">
        <v>293</v>
      </c>
      <c r="K78" s="134" t="s">
        <v>293</v>
      </c>
      <c r="L78" s="135" t="s">
        <v>293</v>
      </c>
      <c r="M78" s="136">
        <f t="shared" si="28"/>
        <v>0</v>
      </c>
      <c r="N78" s="137">
        <f t="shared" si="29"/>
        <v>0</v>
      </c>
      <c r="O78" s="134" t="s">
        <v>293</v>
      </c>
      <c r="P78" s="138" t="s">
        <v>293</v>
      </c>
      <c r="Q78" s="220" t="s">
        <v>117</v>
      </c>
      <c r="R78" s="220"/>
      <c r="S78" s="220"/>
      <c r="T78" s="124"/>
      <c r="U78" s="124"/>
    </row>
    <row r="79" spans="1:21" x14ac:dyDescent="0.3">
      <c r="A79" s="148" t="s">
        <v>279</v>
      </c>
      <c r="B79" s="133">
        <f t="shared" ref="B79:B82" si="30">SUM(C79,E79,G79,I79,K79,O79)</f>
        <v>440</v>
      </c>
      <c r="C79" s="134">
        <v>143</v>
      </c>
      <c r="D79" s="134">
        <v>633.56799999999998</v>
      </c>
      <c r="E79" s="134">
        <v>85</v>
      </c>
      <c r="F79" s="162">
        <v>196.709</v>
      </c>
      <c r="G79" s="134">
        <v>33</v>
      </c>
      <c r="H79" s="135">
        <v>82.9</v>
      </c>
      <c r="I79" s="134">
        <v>101</v>
      </c>
      <c r="J79" s="135">
        <v>243.43</v>
      </c>
      <c r="K79" s="134">
        <v>75</v>
      </c>
      <c r="L79" s="135">
        <v>174.749</v>
      </c>
      <c r="M79" s="136">
        <f t="shared" si="28"/>
        <v>209</v>
      </c>
      <c r="N79" s="137">
        <f t="shared" si="29"/>
        <v>501.07900000000006</v>
      </c>
      <c r="O79" s="134">
        <v>3</v>
      </c>
      <c r="P79" s="138">
        <v>9</v>
      </c>
      <c r="Q79" s="220" t="s">
        <v>119</v>
      </c>
      <c r="R79" s="220"/>
      <c r="S79" s="220"/>
      <c r="T79" s="124"/>
      <c r="U79" s="124"/>
    </row>
    <row r="80" spans="1:21" x14ac:dyDescent="0.3">
      <c r="A80" s="148" t="s">
        <v>280</v>
      </c>
      <c r="B80" s="133">
        <f t="shared" si="30"/>
        <v>2420</v>
      </c>
      <c r="C80" s="134">
        <v>542</v>
      </c>
      <c r="D80" s="134">
        <v>2090.4</v>
      </c>
      <c r="E80" s="134">
        <v>1569</v>
      </c>
      <c r="F80" s="162">
        <v>4100.25</v>
      </c>
      <c r="G80" s="134">
        <v>22</v>
      </c>
      <c r="H80" s="135">
        <v>66</v>
      </c>
      <c r="I80" s="134">
        <v>15</v>
      </c>
      <c r="J80" s="135">
        <v>45.5</v>
      </c>
      <c r="K80" s="134">
        <v>270</v>
      </c>
      <c r="L80" s="135">
        <v>304</v>
      </c>
      <c r="M80" s="136">
        <f t="shared" si="28"/>
        <v>307</v>
      </c>
      <c r="N80" s="137">
        <f t="shared" si="29"/>
        <v>415.5</v>
      </c>
      <c r="O80" s="134">
        <v>2</v>
      </c>
      <c r="P80" s="138">
        <v>5.5</v>
      </c>
      <c r="Q80" s="220" t="s">
        <v>121</v>
      </c>
      <c r="R80" s="220"/>
      <c r="S80" s="220"/>
      <c r="T80" s="124"/>
      <c r="U80" s="124"/>
    </row>
    <row r="81" spans="1:21" x14ac:dyDescent="0.3">
      <c r="A81" s="148" t="s">
        <v>281</v>
      </c>
      <c r="B81" s="133">
        <f t="shared" si="30"/>
        <v>0</v>
      </c>
      <c r="C81" s="134" t="s">
        <v>293</v>
      </c>
      <c r="D81" s="134" t="s">
        <v>293</v>
      </c>
      <c r="E81" s="134" t="s">
        <v>293</v>
      </c>
      <c r="F81" s="162" t="s">
        <v>293</v>
      </c>
      <c r="G81" s="134" t="s">
        <v>293</v>
      </c>
      <c r="H81" s="135" t="s">
        <v>293</v>
      </c>
      <c r="I81" s="134" t="s">
        <v>293</v>
      </c>
      <c r="J81" s="135" t="s">
        <v>293</v>
      </c>
      <c r="K81" s="134" t="s">
        <v>293</v>
      </c>
      <c r="L81" s="135" t="s">
        <v>293</v>
      </c>
      <c r="M81" s="136">
        <f t="shared" si="28"/>
        <v>0</v>
      </c>
      <c r="N81" s="137">
        <f t="shared" si="29"/>
        <v>0</v>
      </c>
      <c r="O81" s="134" t="s">
        <v>293</v>
      </c>
      <c r="P81" s="138" t="s">
        <v>293</v>
      </c>
      <c r="Q81" s="220" t="s">
        <v>123</v>
      </c>
      <c r="R81" s="220"/>
      <c r="S81" s="220"/>
      <c r="T81" s="124"/>
      <c r="U81" s="124"/>
    </row>
    <row r="82" spans="1:21" x14ac:dyDescent="0.3">
      <c r="A82" s="148" t="s">
        <v>282</v>
      </c>
      <c r="B82" s="133">
        <f t="shared" si="30"/>
        <v>819</v>
      </c>
      <c r="C82" s="134">
        <v>136</v>
      </c>
      <c r="D82" s="134">
        <v>462.3</v>
      </c>
      <c r="E82" s="134">
        <v>114</v>
      </c>
      <c r="F82" s="162">
        <v>305.10000000000002</v>
      </c>
      <c r="G82" s="134">
        <v>207</v>
      </c>
      <c r="H82" s="135">
        <v>490</v>
      </c>
      <c r="I82" s="134">
        <v>362</v>
      </c>
      <c r="J82" s="135">
        <v>796</v>
      </c>
      <c r="K82" s="140" t="s">
        <v>293</v>
      </c>
      <c r="L82" s="135" t="s">
        <v>293</v>
      </c>
      <c r="M82" s="136">
        <f t="shared" si="28"/>
        <v>569</v>
      </c>
      <c r="N82" s="137">
        <f t="shared" si="29"/>
        <v>1286</v>
      </c>
      <c r="O82" s="140" t="s">
        <v>293</v>
      </c>
      <c r="P82" s="138" t="s">
        <v>293</v>
      </c>
      <c r="Q82" s="220" t="s">
        <v>125</v>
      </c>
      <c r="R82" s="220"/>
      <c r="S82" s="220"/>
      <c r="T82" s="124"/>
      <c r="U82" s="124"/>
    </row>
    <row r="83" spans="1:21" x14ac:dyDescent="0.3">
      <c r="A83" s="213" t="s">
        <v>126</v>
      </c>
      <c r="B83" s="214">
        <f>SUM(B85:B89)</f>
        <v>7729</v>
      </c>
      <c r="C83" s="190">
        <f>SUM(C85:C89)</f>
        <v>1613</v>
      </c>
      <c r="D83" s="190">
        <f>SUM(D85:D89)</f>
        <v>4495.5909999999994</v>
      </c>
      <c r="E83" s="190">
        <f t="shared" ref="E83:J83" si="31">SUM(E85:E89)</f>
        <v>1329</v>
      </c>
      <c r="F83" s="190">
        <f t="shared" si="31"/>
        <v>2170.5299999999997</v>
      </c>
      <c r="G83" s="190">
        <f t="shared" si="31"/>
        <v>2754</v>
      </c>
      <c r="H83" s="190">
        <f t="shared" si="31"/>
        <v>4578.37</v>
      </c>
      <c r="I83" s="190">
        <f t="shared" si="31"/>
        <v>1047</v>
      </c>
      <c r="J83" s="190">
        <f t="shared" si="31"/>
        <v>1694.81</v>
      </c>
      <c r="K83" s="190">
        <f t="shared" ref="K83:P83" si="32">SUM(K85:K89)</f>
        <v>979</v>
      </c>
      <c r="L83" s="190">
        <f t="shared" si="32"/>
        <v>1477.6599999999999</v>
      </c>
      <c r="M83" s="190">
        <f>SUM(G83,I83,K83)</f>
        <v>4780</v>
      </c>
      <c r="N83" s="190">
        <f>SUM(H83,J83,L83)</f>
        <v>7750.84</v>
      </c>
      <c r="O83" s="190">
        <f t="shared" si="32"/>
        <v>7</v>
      </c>
      <c r="P83" s="191">
        <f t="shared" si="32"/>
        <v>7.4</v>
      </c>
      <c r="Q83" s="221" t="s">
        <v>127</v>
      </c>
      <c r="R83" s="221"/>
      <c r="S83" s="131"/>
      <c r="T83" s="124"/>
      <c r="U83" s="124"/>
    </row>
    <row r="84" spans="1:21" x14ac:dyDescent="0.3">
      <c r="A84" s="213"/>
      <c r="B84" s="214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1"/>
      <c r="Q84" s="221"/>
      <c r="R84" s="221"/>
      <c r="S84" s="131"/>
      <c r="T84" s="124"/>
      <c r="U84" s="124"/>
    </row>
    <row r="85" spans="1:21" x14ac:dyDescent="0.3">
      <c r="A85" s="132" t="s">
        <v>128</v>
      </c>
      <c r="B85" s="133">
        <f t="shared" ref="B85:B89" si="33">SUM(C85,E85,G85,I85,K85,O85)</f>
        <v>3187</v>
      </c>
      <c r="C85" s="134">
        <v>897</v>
      </c>
      <c r="D85" s="134">
        <v>3134.6</v>
      </c>
      <c r="E85" s="134">
        <v>691</v>
      </c>
      <c r="F85" s="162">
        <v>1359.1</v>
      </c>
      <c r="G85" s="134">
        <v>867</v>
      </c>
      <c r="H85" s="135">
        <v>1750.03</v>
      </c>
      <c r="I85" s="134">
        <v>477</v>
      </c>
      <c r="J85" s="135">
        <v>929.3</v>
      </c>
      <c r="K85" s="134">
        <v>255</v>
      </c>
      <c r="L85" s="135">
        <v>527.96</v>
      </c>
      <c r="M85" s="136">
        <f t="shared" ref="M85:N89" si="34">SUM(G85,I85,K85)</f>
        <v>1599</v>
      </c>
      <c r="N85" s="137">
        <f t="shared" si="34"/>
        <v>3207.29</v>
      </c>
      <c r="O85" s="140" t="s">
        <v>293</v>
      </c>
      <c r="P85" s="138" t="s">
        <v>293</v>
      </c>
      <c r="Q85" s="139" t="s">
        <v>129</v>
      </c>
      <c r="R85" s="131"/>
      <c r="S85" s="131"/>
      <c r="T85" s="124"/>
      <c r="U85" s="124"/>
    </row>
    <row r="86" spans="1:21" x14ac:dyDescent="0.3">
      <c r="A86" s="132" t="s">
        <v>130</v>
      </c>
      <c r="B86" s="133">
        <f t="shared" si="33"/>
        <v>318</v>
      </c>
      <c r="C86" s="134">
        <v>25</v>
      </c>
      <c r="D86" s="134">
        <v>62.5</v>
      </c>
      <c r="E86" s="134">
        <v>25</v>
      </c>
      <c r="F86" s="162">
        <v>17.5</v>
      </c>
      <c r="G86" s="134">
        <v>165</v>
      </c>
      <c r="H86" s="135">
        <v>297</v>
      </c>
      <c r="I86" s="134">
        <v>94</v>
      </c>
      <c r="J86" s="135">
        <v>169.2</v>
      </c>
      <c r="K86" s="134">
        <v>8</v>
      </c>
      <c r="L86" s="135">
        <v>14.4</v>
      </c>
      <c r="M86" s="136">
        <f t="shared" si="34"/>
        <v>267</v>
      </c>
      <c r="N86" s="137">
        <f t="shared" si="34"/>
        <v>480.59999999999997</v>
      </c>
      <c r="O86" s="134">
        <v>1</v>
      </c>
      <c r="P86" s="138">
        <v>0.3</v>
      </c>
      <c r="Q86" s="139" t="s">
        <v>131</v>
      </c>
      <c r="R86" s="131"/>
      <c r="S86" s="131"/>
      <c r="T86" s="124"/>
      <c r="U86" s="124"/>
    </row>
    <row r="87" spans="1:21" x14ac:dyDescent="0.3">
      <c r="A87" s="132" t="s">
        <v>132</v>
      </c>
      <c r="B87" s="133">
        <f t="shared" si="33"/>
        <v>320</v>
      </c>
      <c r="C87" s="134">
        <v>78</v>
      </c>
      <c r="D87" s="134">
        <v>137.88999999999999</v>
      </c>
      <c r="E87" s="134">
        <v>127</v>
      </c>
      <c r="F87" s="162">
        <v>144.97999999999999</v>
      </c>
      <c r="G87" s="134">
        <v>64</v>
      </c>
      <c r="H87" s="135">
        <v>159.19</v>
      </c>
      <c r="I87" s="134">
        <v>41</v>
      </c>
      <c r="J87" s="135">
        <v>85.36</v>
      </c>
      <c r="K87" s="134">
        <v>10</v>
      </c>
      <c r="L87" s="135">
        <v>25.65</v>
      </c>
      <c r="M87" s="136">
        <f t="shared" si="34"/>
        <v>115</v>
      </c>
      <c r="N87" s="137">
        <f t="shared" si="34"/>
        <v>270.2</v>
      </c>
      <c r="O87" s="140" t="s">
        <v>293</v>
      </c>
      <c r="P87" s="138" t="s">
        <v>293</v>
      </c>
      <c r="Q87" s="139" t="s">
        <v>133</v>
      </c>
      <c r="R87" s="131"/>
      <c r="S87" s="131"/>
      <c r="T87" s="124"/>
      <c r="U87" s="124"/>
    </row>
    <row r="88" spans="1:21" x14ac:dyDescent="0.3">
      <c r="A88" s="132" t="s">
        <v>134</v>
      </c>
      <c r="B88" s="133">
        <f t="shared" si="33"/>
        <v>544</v>
      </c>
      <c r="C88" s="134">
        <v>93</v>
      </c>
      <c r="D88" s="134">
        <v>179.90100000000001</v>
      </c>
      <c r="E88" s="134">
        <v>46</v>
      </c>
      <c r="F88" s="162">
        <v>67.400000000000006</v>
      </c>
      <c r="G88" s="134">
        <v>234</v>
      </c>
      <c r="H88" s="135">
        <v>465</v>
      </c>
      <c r="I88" s="134">
        <v>4</v>
      </c>
      <c r="J88" s="135">
        <v>8</v>
      </c>
      <c r="K88" s="134">
        <v>164</v>
      </c>
      <c r="L88" s="135">
        <v>247.3</v>
      </c>
      <c r="M88" s="136">
        <f t="shared" si="34"/>
        <v>402</v>
      </c>
      <c r="N88" s="137">
        <f t="shared" si="34"/>
        <v>720.3</v>
      </c>
      <c r="O88" s="134">
        <v>3</v>
      </c>
      <c r="P88" s="138">
        <v>6</v>
      </c>
      <c r="Q88" s="139" t="s">
        <v>135</v>
      </c>
      <c r="R88" s="131"/>
      <c r="S88" s="131"/>
      <c r="T88" s="124"/>
      <c r="U88" s="124"/>
    </row>
    <row r="89" spans="1:21" x14ac:dyDescent="0.3">
      <c r="A89" s="132" t="s">
        <v>136</v>
      </c>
      <c r="B89" s="133">
        <f t="shared" si="33"/>
        <v>3360</v>
      </c>
      <c r="C89" s="134">
        <v>520</v>
      </c>
      <c r="D89" s="134">
        <v>980.7</v>
      </c>
      <c r="E89" s="134">
        <v>440</v>
      </c>
      <c r="F89" s="162">
        <v>581.54999999999995</v>
      </c>
      <c r="G89" s="134">
        <v>1424</v>
      </c>
      <c r="H89" s="135">
        <v>1907.15</v>
      </c>
      <c r="I89" s="134">
        <v>431</v>
      </c>
      <c r="J89" s="135">
        <v>502.95</v>
      </c>
      <c r="K89" s="134">
        <v>542</v>
      </c>
      <c r="L89" s="135">
        <v>662.35</v>
      </c>
      <c r="M89" s="136">
        <f t="shared" si="34"/>
        <v>2397</v>
      </c>
      <c r="N89" s="137">
        <f t="shared" si="34"/>
        <v>3072.45</v>
      </c>
      <c r="O89" s="134">
        <v>3</v>
      </c>
      <c r="P89" s="138">
        <v>1.1000000000000001</v>
      </c>
      <c r="Q89" s="139" t="s">
        <v>137</v>
      </c>
      <c r="R89" s="131"/>
      <c r="S89" s="131"/>
      <c r="T89" s="124"/>
      <c r="U89" s="124"/>
    </row>
    <row r="90" spans="1:21" x14ac:dyDescent="0.3">
      <c r="A90" s="213" t="s">
        <v>138</v>
      </c>
      <c r="B90" s="214">
        <f>SUM(B92:B104)</f>
        <v>24467</v>
      </c>
      <c r="C90" s="190">
        <f>SUM(C92:C104)</f>
        <v>7555</v>
      </c>
      <c r="D90" s="190">
        <f t="shared" ref="D90:P90" si="35">SUM(D92:D104)</f>
        <v>15532.080000000002</v>
      </c>
      <c r="E90" s="190">
        <f t="shared" si="35"/>
        <v>2924</v>
      </c>
      <c r="F90" s="190">
        <f t="shared" si="35"/>
        <v>2530.7299999999996</v>
      </c>
      <c r="G90" s="190">
        <f t="shared" si="35"/>
        <v>9910</v>
      </c>
      <c r="H90" s="190">
        <f t="shared" si="35"/>
        <v>18583.572</v>
      </c>
      <c r="I90" s="190">
        <f t="shared" si="35"/>
        <v>713</v>
      </c>
      <c r="J90" s="190">
        <f t="shared" si="35"/>
        <v>1063.55</v>
      </c>
      <c r="K90" s="190">
        <f t="shared" si="35"/>
        <v>3195</v>
      </c>
      <c r="L90" s="190">
        <f t="shared" si="35"/>
        <v>4700.1850000000004</v>
      </c>
      <c r="M90" s="190">
        <f>SUM(G90,I90,K90)</f>
        <v>13818</v>
      </c>
      <c r="N90" s="190">
        <f>SUM(H90,J90,L90)</f>
        <v>24347.307000000001</v>
      </c>
      <c r="O90" s="190">
        <f t="shared" si="35"/>
        <v>170</v>
      </c>
      <c r="P90" s="191">
        <f t="shared" si="35"/>
        <v>311.95</v>
      </c>
      <c r="Q90" s="218" t="s">
        <v>139</v>
      </c>
      <c r="R90" s="218"/>
      <c r="S90" s="131"/>
      <c r="T90" s="124"/>
      <c r="U90" s="124"/>
    </row>
    <row r="91" spans="1:21" x14ac:dyDescent="0.3">
      <c r="A91" s="213"/>
      <c r="B91" s="214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1"/>
      <c r="Q91" s="218"/>
      <c r="R91" s="218"/>
      <c r="S91" s="131"/>
      <c r="T91" s="124"/>
      <c r="U91" s="124"/>
    </row>
    <row r="92" spans="1:21" x14ac:dyDescent="0.3">
      <c r="A92" s="132" t="s">
        <v>140</v>
      </c>
      <c r="B92" s="133">
        <f t="shared" ref="B92:B104" si="36">SUM(C92,E92,G92,I92,K92,O92)</f>
        <v>684</v>
      </c>
      <c r="C92" s="134">
        <v>39</v>
      </c>
      <c r="D92" s="134">
        <v>37</v>
      </c>
      <c r="E92" s="134">
        <v>50</v>
      </c>
      <c r="F92" s="162">
        <v>39.5</v>
      </c>
      <c r="G92" s="134">
        <v>457</v>
      </c>
      <c r="H92" s="135">
        <v>915</v>
      </c>
      <c r="I92" s="140" t="s">
        <v>293</v>
      </c>
      <c r="J92" s="135" t="s">
        <v>293</v>
      </c>
      <c r="K92" s="134">
        <v>138</v>
      </c>
      <c r="L92" s="135">
        <v>125.5</v>
      </c>
      <c r="M92" s="136">
        <f t="shared" ref="M92:N104" si="37">SUM(G92,I92,K92)</f>
        <v>595</v>
      </c>
      <c r="N92" s="137">
        <f t="shared" si="37"/>
        <v>1040.5</v>
      </c>
      <c r="O92" s="140" t="s">
        <v>293</v>
      </c>
      <c r="P92" s="138" t="s">
        <v>293</v>
      </c>
      <c r="Q92" s="139" t="s">
        <v>141</v>
      </c>
      <c r="R92" s="131"/>
      <c r="S92" s="131"/>
      <c r="T92" s="124"/>
      <c r="U92" s="124"/>
    </row>
    <row r="93" spans="1:21" x14ac:dyDescent="0.3">
      <c r="A93" s="132" t="s">
        <v>142</v>
      </c>
      <c r="B93" s="133">
        <f t="shared" si="36"/>
        <v>1088</v>
      </c>
      <c r="C93" s="134">
        <v>57</v>
      </c>
      <c r="D93" s="134">
        <v>55.6</v>
      </c>
      <c r="E93" s="134">
        <v>55</v>
      </c>
      <c r="F93" s="162">
        <v>45.25</v>
      </c>
      <c r="G93" s="134">
        <v>594</v>
      </c>
      <c r="H93" s="135">
        <v>1238.26</v>
      </c>
      <c r="I93" s="134">
        <v>230</v>
      </c>
      <c r="J93" s="135">
        <v>341.3</v>
      </c>
      <c r="K93" s="134">
        <v>152</v>
      </c>
      <c r="L93" s="135">
        <v>156.69999999999999</v>
      </c>
      <c r="M93" s="136">
        <f t="shared" si="37"/>
        <v>976</v>
      </c>
      <c r="N93" s="137">
        <f t="shared" si="37"/>
        <v>1736.26</v>
      </c>
      <c r="O93" s="140" t="s">
        <v>293</v>
      </c>
      <c r="P93" s="138" t="s">
        <v>293</v>
      </c>
      <c r="Q93" s="139" t="s">
        <v>143</v>
      </c>
      <c r="R93" s="131"/>
      <c r="S93" s="131"/>
      <c r="T93" s="124"/>
      <c r="U93" s="124"/>
    </row>
    <row r="94" spans="1:21" x14ac:dyDescent="0.3">
      <c r="A94" s="132" t="s">
        <v>144</v>
      </c>
      <c r="B94" s="133">
        <f t="shared" si="36"/>
        <v>769</v>
      </c>
      <c r="C94" s="134">
        <v>67</v>
      </c>
      <c r="D94" s="134">
        <v>27.75</v>
      </c>
      <c r="E94" s="134">
        <v>127</v>
      </c>
      <c r="F94" s="162">
        <v>40.700000000000003</v>
      </c>
      <c r="G94" s="134">
        <v>468</v>
      </c>
      <c r="H94" s="135">
        <v>158.904</v>
      </c>
      <c r="I94" s="140" t="s">
        <v>293</v>
      </c>
      <c r="J94" s="135" t="s">
        <v>293</v>
      </c>
      <c r="K94" s="134">
        <v>107</v>
      </c>
      <c r="L94" s="135">
        <v>73.5</v>
      </c>
      <c r="M94" s="136">
        <f t="shared" si="37"/>
        <v>575</v>
      </c>
      <c r="N94" s="137">
        <f t="shared" si="37"/>
        <v>232.404</v>
      </c>
      <c r="O94" s="140" t="s">
        <v>293</v>
      </c>
      <c r="P94" s="138" t="s">
        <v>293</v>
      </c>
      <c r="Q94" s="139" t="s">
        <v>145</v>
      </c>
      <c r="R94" s="131"/>
      <c r="S94" s="131"/>
      <c r="T94" s="124"/>
      <c r="U94" s="124"/>
    </row>
    <row r="95" spans="1:21" x14ac:dyDescent="0.3">
      <c r="A95" s="132" t="s">
        <v>146</v>
      </c>
      <c r="B95" s="133">
        <f t="shared" si="36"/>
        <v>345</v>
      </c>
      <c r="C95" s="134">
        <v>44</v>
      </c>
      <c r="D95" s="134">
        <v>65</v>
      </c>
      <c r="E95" s="134">
        <v>83</v>
      </c>
      <c r="F95" s="162">
        <v>93</v>
      </c>
      <c r="G95" s="134">
        <v>130</v>
      </c>
      <c r="H95" s="135">
        <v>264.95</v>
      </c>
      <c r="I95" s="140" t="s">
        <v>293</v>
      </c>
      <c r="J95" s="135" t="s">
        <v>293</v>
      </c>
      <c r="K95" s="134">
        <v>73</v>
      </c>
      <c r="L95" s="135">
        <v>85.35</v>
      </c>
      <c r="M95" s="136">
        <f t="shared" si="37"/>
        <v>203</v>
      </c>
      <c r="N95" s="137">
        <f t="shared" si="37"/>
        <v>350.29999999999995</v>
      </c>
      <c r="O95" s="134">
        <v>15</v>
      </c>
      <c r="P95" s="138">
        <v>10.5</v>
      </c>
      <c r="Q95" s="139" t="s">
        <v>147</v>
      </c>
      <c r="R95" s="131"/>
      <c r="S95" s="131"/>
      <c r="T95" s="124"/>
      <c r="U95" s="124"/>
    </row>
    <row r="96" spans="1:21" x14ac:dyDescent="0.3">
      <c r="A96" s="132" t="s">
        <v>148</v>
      </c>
      <c r="B96" s="133">
        <f t="shared" si="36"/>
        <v>139</v>
      </c>
      <c r="C96" s="134">
        <v>11</v>
      </c>
      <c r="D96" s="134">
        <v>10.5</v>
      </c>
      <c r="E96" s="140">
        <v>14</v>
      </c>
      <c r="F96" s="162">
        <v>12</v>
      </c>
      <c r="G96" s="134">
        <v>73</v>
      </c>
      <c r="H96" s="135">
        <v>155.49700000000001</v>
      </c>
      <c r="I96" s="140" t="s">
        <v>293</v>
      </c>
      <c r="J96" s="135" t="s">
        <v>293</v>
      </c>
      <c r="K96" s="134">
        <v>36</v>
      </c>
      <c r="L96" s="135">
        <v>89.286000000000001</v>
      </c>
      <c r="M96" s="136">
        <f t="shared" si="37"/>
        <v>109</v>
      </c>
      <c r="N96" s="137">
        <f t="shared" si="37"/>
        <v>244.78300000000002</v>
      </c>
      <c r="O96" s="140">
        <v>5</v>
      </c>
      <c r="P96" s="138">
        <v>1</v>
      </c>
      <c r="Q96" s="139" t="s">
        <v>149</v>
      </c>
      <c r="R96" s="131"/>
      <c r="S96" s="131"/>
      <c r="T96" s="124"/>
      <c r="U96" s="124"/>
    </row>
    <row r="97" spans="1:21" x14ac:dyDescent="0.3">
      <c r="A97" s="132" t="s">
        <v>150</v>
      </c>
      <c r="B97" s="133">
        <f t="shared" si="36"/>
        <v>170</v>
      </c>
      <c r="C97" s="134">
        <v>44</v>
      </c>
      <c r="D97" s="134">
        <v>149</v>
      </c>
      <c r="E97" s="134">
        <v>41</v>
      </c>
      <c r="F97" s="162">
        <v>78</v>
      </c>
      <c r="G97" s="134">
        <v>26</v>
      </c>
      <c r="H97" s="135">
        <v>78</v>
      </c>
      <c r="I97" s="134">
        <v>20</v>
      </c>
      <c r="J97" s="135">
        <v>75</v>
      </c>
      <c r="K97" s="134">
        <v>39</v>
      </c>
      <c r="L97" s="135">
        <v>132</v>
      </c>
      <c r="M97" s="136">
        <f t="shared" si="37"/>
        <v>85</v>
      </c>
      <c r="N97" s="137">
        <f t="shared" si="37"/>
        <v>285</v>
      </c>
      <c r="O97" s="140" t="s">
        <v>293</v>
      </c>
      <c r="P97" s="138" t="s">
        <v>293</v>
      </c>
      <c r="Q97" s="139" t="s">
        <v>151</v>
      </c>
      <c r="R97" s="131"/>
      <c r="S97" s="131"/>
      <c r="T97" s="124"/>
      <c r="U97" s="124"/>
    </row>
    <row r="98" spans="1:21" x14ac:dyDescent="0.3">
      <c r="A98" s="132" t="s">
        <v>152</v>
      </c>
      <c r="B98" s="133">
        <f t="shared" si="36"/>
        <v>4585</v>
      </c>
      <c r="C98" s="134">
        <v>2405</v>
      </c>
      <c r="D98" s="134">
        <v>9073</v>
      </c>
      <c r="E98" s="134">
        <v>672</v>
      </c>
      <c r="F98" s="162">
        <v>927.1</v>
      </c>
      <c r="G98" s="134">
        <v>1049</v>
      </c>
      <c r="H98" s="135">
        <v>3002.011</v>
      </c>
      <c r="I98" s="134" t="s">
        <v>293</v>
      </c>
      <c r="J98" s="135" t="s">
        <v>293</v>
      </c>
      <c r="K98" s="134">
        <v>458</v>
      </c>
      <c r="L98" s="135">
        <v>766</v>
      </c>
      <c r="M98" s="136">
        <f t="shared" si="37"/>
        <v>1507</v>
      </c>
      <c r="N98" s="137">
        <f t="shared" si="37"/>
        <v>3768.011</v>
      </c>
      <c r="O98" s="134">
        <v>1</v>
      </c>
      <c r="P98" s="138">
        <v>0.5</v>
      </c>
      <c r="Q98" s="139" t="s">
        <v>153</v>
      </c>
      <c r="R98" s="131"/>
      <c r="S98" s="131"/>
      <c r="T98" s="124"/>
      <c r="U98" s="124"/>
    </row>
    <row r="99" spans="1:21" x14ac:dyDescent="0.3">
      <c r="A99" s="132" t="s">
        <v>154</v>
      </c>
      <c r="B99" s="133">
        <f t="shared" si="36"/>
        <v>3452</v>
      </c>
      <c r="C99" s="134">
        <v>1519</v>
      </c>
      <c r="D99" s="134">
        <v>691.5</v>
      </c>
      <c r="E99" s="134">
        <v>1167</v>
      </c>
      <c r="F99" s="162">
        <v>299.7</v>
      </c>
      <c r="G99" s="134">
        <v>420</v>
      </c>
      <c r="H99" s="135">
        <v>1052.0999999999999</v>
      </c>
      <c r="I99" s="134">
        <v>34</v>
      </c>
      <c r="J99" s="135">
        <v>36.799999999999997</v>
      </c>
      <c r="K99" s="134">
        <v>312</v>
      </c>
      <c r="L99" s="135">
        <v>382.8</v>
      </c>
      <c r="M99" s="136">
        <f t="shared" si="37"/>
        <v>766</v>
      </c>
      <c r="N99" s="137">
        <f t="shared" si="37"/>
        <v>1471.6999999999998</v>
      </c>
      <c r="O99" s="140" t="s">
        <v>293</v>
      </c>
      <c r="P99" s="138" t="s">
        <v>293</v>
      </c>
      <c r="Q99" s="139" t="s">
        <v>155</v>
      </c>
      <c r="R99" s="131"/>
      <c r="S99" s="131"/>
      <c r="T99" s="124"/>
      <c r="U99" s="124"/>
    </row>
    <row r="100" spans="1:21" x14ac:dyDescent="0.3">
      <c r="A100" s="132" t="s">
        <v>156</v>
      </c>
      <c r="B100" s="133">
        <f t="shared" si="36"/>
        <v>12</v>
      </c>
      <c r="C100" s="134" t="s">
        <v>293</v>
      </c>
      <c r="D100" s="134" t="s">
        <v>293</v>
      </c>
      <c r="E100" s="134" t="s">
        <v>293</v>
      </c>
      <c r="F100" s="162" t="s">
        <v>293</v>
      </c>
      <c r="G100" s="134">
        <v>5</v>
      </c>
      <c r="H100" s="135">
        <v>15</v>
      </c>
      <c r="I100" s="140" t="s">
        <v>293</v>
      </c>
      <c r="J100" s="135" t="s">
        <v>293</v>
      </c>
      <c r="K100" s="134">
        <v>7</v>
      </c>
      <c r="L100" s="135">
        <v>17.5</v>
      </c>
      <c r="M100" s="136">
        <f t="shared" si="37"/>
        <v>12</v>
      </c>
      <c r="N100" s="137">
        <f t="shared" si="37"/>
        <v>32.5</v>
      </c>
      <c r="O100" s="140" t="s">
        <v>293</v>
      </c>
      <c r="P100" s="138" t="s">
        <v>293</v>
      </c>
      <c r="Q100" s="139" t="s">
        <v>157</v>
      </c>
      <c r="R100" s="131"/>
      <c r="S100" s="131"/>
      <c r="T100" s="124"/>
      <c r="U100" s="124"/>
    </row>
    <row r="101" spans="1:21" x14ac:dyDescent="0.3">
      <c r="A101" s="132" t="s">
        <v>158</v>
      </c>
      <c r="B101" s="133">
        <f t="shared" si="36"/>
        <v>3298</v>
      </c>
      <c r="C101" s="134">
        <v>56</v>
      </c>
      <c r="D101" s="134">
        <v>67.45</v>
      </c>
      <c r="E101" s="134">
        <v>38</v>
      </c>
      <c r="F101" s="162">
        <v>31.48</v>
      </c>
      <c r="G101" s="134">
        <v>2254</v>
      </c>
      <c r="H101" s="135">
        <v>4552.1499999999996</v>
      </c>
      <c r="I101" s="134">
        <v>63</v>
      </c>
      <c r="J101" s="135">
        <v>87.75</v>
      </c>
      <c r="K101" s="134">
        <v>843</v>
      </c>
      <c r="L101" s="135">
        <v>1483.1</v>
      </c>
      <c r="M101" s="136">
        <f t="shared" si="37"/>
        <v>3160</v>
      </c>
      <c r="N101" s="137">
        <f t="shared" si="37"/>
        <v>6123</v>
      </c>
      <c r="O101" s="134">
        <v>44</v>
      </c>
      <c r="P101" s="138">
        <v>80.2</v>
      </c>
      <c r="Q101" s="139" t="s">
        <v>159</v>
      </c>
      <c r="R101" s="131"/>
      <c r="S101" s="131"/>
      <c r="T101" s="124"/>
      <c r="U101" s="124"/>
    </row>
    <row r="102" spans="1:21" x14ac:dyDescent="0.3">
      <c r="A102" s="132" t="s">
        <v>160</v>
      </c>
      <c r="B102" s="133">
        <f t="shared" si="36"/>
        <v>218</v>
      </c>
      <c r="C102" s="134">
        <v>24</v>
      </c>
      <c r="D102" s="134">
        <v>91</v>
      </c>
      <c r="E102" s="134">
        <v>22</v>
      </c>
      <c r="F102" s="162">
        <v>34.5</v>
      </c>
      <c r="G102" s="134">
        <v>107</v>
      </c>
      <c r="H102" s="135">
        <v>381</v>
      </c>
      <c r="I102" s="134">
        <v>7</v>
      </c>
      <c r="J102" s="135">
        <v>21</v>
      </c>
      <c r="K102" s="134">
        <v>58</v>
      </c>
      <c r="L102" s="135">
        <v>150</v>
      </c>
      <c r="M102" s="136">
        <f t="shared" si="37"/>
        <v>172</v>
      </c>
      <c r="N102" s="137">
        <f t="shared" si="37"/>
        <v>552</v>
      </c>
      <c r="O102" s="134" t="s">
        <v>293</v>
      </c>
      <c r="P102" s="138" t="s">
        <v>293</v>
      </c>
      <c r="Q102" s="139" t="s">
        <v>161</v>
      </c>
      <c r="R102" s="131"/>
      <c r="S102" s="131"/>
      <c r="T102" s="124"/>
      <c r="U102" s="124"/>
    </row>
    <row r="103" spans="1:21" x14ac:dyDescent="0.3">
      <c r="A103" s="132" t="s">
        <v>162</v>
      </c>
      <c r="B103" s="133">
        <f t="shared" si="36"/>
        <v>9146</v>
      </c>
      <c r="C103" s="134">
        <v>3247</v>
      </c>
      <c r="D103" s="134">
        <v>5198.28</v>
      </c>
      <c r="E103" s="134">
        <v>620</v>
      </c>
      <c r="F103" s="162">
        <v>900.8</v>
      </c>
      <c r="G103" s="134">
        <v>3985</v>
      </c>
      <c r="H103" s="135">
        <v>6270.1</v>
      </c>
      <c r="I103" s="134">
        <v>347</v>
      </c>
      <c r="J103" s="135">
        <v>477.7</v>
      </c>
      <c r="K103" s="134">
        <v>842</v>
      </c>
      <c r="L103" s="135">
        <v>1114.1489999999999</v>
      </c>
      <c r="M103" s="136">
        <f t="shared" si="37"/>
        <v>5174</v>
      </c>
      <c r="N103" s="137">
        <f t="shared" si="37"/>
        <v>7861.9490000000005</v>
      </c>
      <c r="O103" s="134">
        <v>105</v>
      </c>
      <c r="P103" s="138">
        <v>219.75</v>
      </c>
      <c r="Q103" s="139" t="s">
        <v>163</v>
      </c>
      <c r="R103" s="131"/>
      <c r="S103" s="131"/>
      <c r="T103" s="124"/>
      <c r="U103" s="124"/>
    </row>
    <row r="104" spans="1:21" x14ac:dyDescent="0.3">
      <c r="A104" s="132" t="s">
        <v>164</v>
      </c>
      <c r="B104" s="133">
        <f t="shared" si="36"/>
        <v>561</v>
      </c>
      <c r="C104" s="134">
        <v>42</v>
      </c>
      <c r="D104" s="134">
        <v>66</v>
      </c>
      <c r="E104" s="134">
        <v>35</v>
      </c>
      <c r="F104" s="162">
        <v>28.7</v>
      </c>
      <c r="G104" s="134">
        <v>342</v>
      </c>
      <c r="H104" s="135">
        <v>500.6</v>
      </c>
      <c r="I104" s="134">
        <v>12</v>
      </c>
      <c r="J104" s="135">
        <v>24</v>
      </c>
      <c r="K104" s="134">
        <v>130</v>
      </c>
      <c r="L104" s="135">
        <v>124.3</v>
      </c>
      <c r="M104" s="136">
        <f t="shared" si="37"/>
        <v>484</v>
      </c>
      <c r="N104" s="137">
        <f t="shared" si="37"/>
        <v>648.9</v>
      </c>
      <c r="O104" s="140" t="s">
        <v>293</v>
      </c>
      <c r="P104" s="138" t="s">
        <v>293</v>
      </c>
      <c r="Q104" s="139" t="s">
        <v>165</v>
      </c>
      <c r="R104" s="131"/>
      <c r="S104" s="131"/>
      <c r="T104" s="124"/>
      <c r="U104" s="124"/>
    </row>
    <row r="105" spans="1:21" x14ac:dyDescent="0.3">
      <c r="A105" s="213" t="s">
        <v>166</v>
      </c>
      <c r="B105" s="214">
        <f>SUM(B107:B110)</f>
        <v>42655</v>
      </c>
      <c r="C105" s="190">
        <f>SUM(C107:C110)</f>
        <v>6734</v>
      </c>
      <c r="D105" s="190">
        <f t="shared" ref="D105:P105" si="38">SUM(D107:D110)</f>
        <v>13246.496999999999</v>
      </c>
      <c r="E105" s="190">
        <f t="shared" si="38"/>
        <v>5166</v>
      </c>
      <c r="F105" s="190">
        <f t="shared" si="38"/>
        <v>8415.1139999999996</v>
      </c>
      <c r="G105" s="190">
        <f t="shared" si="38"/>
        <v>10800</v>
      </c>
      <c r="H105" s="190">
        <f t="shared" si="38"/>
        <v>15371.791000000001</v>
      </c>
      <c r="I105" s="190">
        <f t="shared" si="38"/>
        <v>14630</v>
      </c>
      <c r="J105" s="190">
        <f t="shared" si="38"/>
        <v>29593.171999999995</v>
      </c>
      <c r="K105" s="190">
        <f t="shared" si="38"/>
        <v>5271</v>
      </c>
      <c r="L105" s="190">
        <f t="shared" si="38"/>
        <v>6176.933</v>
      </c>
      <c r="M105" s="190">
        <f>SUM(G105,I105,K105)</f>
        <v>30701</v>
      </c>
      <c r="N105" s="190">
        <f>SUM(H105,J105,L105)</f>
        <v>51141.895999999993</v>
      </c>
      <c r="O105" s="190">
        <f t="shared" si="38"/>
        <v>54</v>
      </c>
      <c r="P105" s="191">
        <f t="shared" si="38"/>
        <v>63.583999999999996</v>
      </c>
      <c r="Q105" s="219" t="s">
        <v>167</v>
      </c>
      <c r="R105" s="219"/>
      <c r="S105" s="131"/>
      <c r="T105" s="124"/>
      <c r="U105" s="124"/>
    </row>
    <row r="106" spans="1:21" x14ac:dyDescent="0.3">
      <c r="A106" s="213"/>
      <c r="B106" s="214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1"/>
      <c r="Q106" s="219"/>
      <c r="R106" s="219"/>
      <c r="S106" s="131"/>
      <c r="T106" s="124"/>
      <c r="U106" s="124"/>
    </row>
    <row r="107" spans="1:21" x14ac:dyDescent="0.3">
      <c r="A107" s="132" t="s">
        <v>168</v>
      </c>
      <c r="B107" s="133">
        <f>SUM(C107,E107,G107,I107,K107,O107)</f>
        <v>22360</v>
      </c>
      <c r="C107" s="134">
        <v>3842</v>
      </c>
      <c r="D107" s="134">
        <v>6022.45</v>
      </c>
      <c r="E107" s="134">
        <v>3190</v>
      </c>
      <c r="F107" s="162">
        <v>4588.366</v>
      </c>
      <c r="G107" s="134">
        <v>5464</v>
      </c>
      <c r="H107" s="135">
        <v>7413.9</v>
      </c>
      <c r="I107" s="134">
        <v>6235</v>
      </c>
      <c r="J107" s="135">
        <v>8955.3109999999997</v>
      </c>
      <c r="K107" s="134">
        <v>3587</v>
      </c>
      <c r="L107" s="135">
        <v>4239.62</v>
      </c>
      <c r="M107" s="136">
        <f t="shared" ref="M107:N110" si="39">SUM(G107,I107,K107)</f>
        <v>15286</v>
      </c>
      <c r="N107" s="137">
        <f t="shared" si="39"/>
        <v>20608.830999999998</v>
      </c>
      <c r="O107" s="134">
        <v>42</v>
      </c>
      <c r="P107" s="138">
        <v>51.634</v>
      </c>
      <c r="Q107" s="139" t="s">
        <v>169</v>
      </c>
      <c r="R107" s="131"/>
      <c r="S107" s="131"/>
      <c r="T107" s="124"/>
      <c r="U107" s="124"/>
    </row>
    <row r="108" spans="1:21" x14ac:dyDescent="0.3">
      <c r="A108" s="132" t="s">
        <v>170</v>
      </c>
      <c r="B108" s="133">
        <f>SUM(C108,E108,G108,I108,K108,O108)</f>
        <v>7739</v>
      </c>
      <c r="C108" s="134">
        <v>213</v>
      </c>
      <c r="D108" s="134">
        <v>693.97199999999998</v>
      </c>
      <c r="E108" s="134">
        <v>156</v>
      </c>
      <c r="F108" s="162">
        <v>308.16800000000001</v>
      </c>
      <c r="G108" s="134">
        <v>886</v>
      </c>
      <c r="H108" s="135">
        <v>1955.396</v>
      </c>
      <c r="I108" s="134">
        <v>6096</v>
      </c>
      <c r="J108" s="135">
        <v>17847.405999999999</v>
      </c>
      <c r="K108" s="134">
        <v>384</v>
      </c>
      <c r="L108" s="135">
        <v>565.04399999999998</v>
      </c>
      <c r="M108" s="136">
        <f t="shared" si="39"/>
        <v>7366</v>
      </c>
      <c r="N108" s="137">
        <f t="shared" si="39"/>
        <v>20367.846000000001</v>
      </c>
      <c r="O108" s="134">
        <v>4</v>
      </c>
      <c r="P108" s="138">
        <v>3.8</v>
      </c>
      <c r="Q108" s="139" t="s">
        <v>171</v>
      </c>
      <c r="R108" s="131"/>
      <c r="S108" s="131"/>
      <c r="T108" s="124"/>
      <c r="U108" s="124"/>
    </row>
    <row r="109" spans="1:21" x14ac:dyDescent="0.3">
      <c r="A109" s="132" t="s">
        <v>172</v>
      </c>
      <c r="B109" s="133">
        <f>SUM(C109,E109,G109,I109,K109,O109)</f>
        <v>2311</v>
      </c>
      <c r="C109" s="134">
        <v>389</v>
      </c>
      <c r="D109" s="134">
        <v>980.9</v>
      </c>
      <c r="E109" s="134">
        <v>244</v>
      </c>
      <c r="F109" s="162">
        <v>499.85</v>
      </c>
      <c r="G109" s="134">
        <v>1012</v>
      </c>
      <c r="H109" s="135">
        <v>2102.46</v>
      </c>
      <c r="I109" s="134">
        <v>532</v>
      </c>
      <c r="J109" s="135">
        <v>851.01</v>
      </c>
      <c r="K109" s="134">
        <v>134</v>
      </c>
      <c r="L109" s="135">
        <v>180.26400000000001</v>
      </c>
      <c r="M109" s="136">
        <f t="shared" si="39"/>
        <v>1678</v>
      </c>
      <c r="N109" s="137">
        <f t="shared" si="39"/>
        <v>3133.7340000000004</v>
      </c>
      <c r="O109" s="140" t="s">
        <v>293</v>
      </c>
      <c r="P109" s="138" t="s">
        <v>293</v>
      </c>
      <c r="Q109" s="139" t="s">
        <v>173</v>
      </c>
      <c r="R109" s="131"/>
      <c r="S109" s="131"/>
      <c r="T109" s="124"/>
      <c r="U109" s="124"/>
    </row>
    <row r="110" spans="1:21" ht="15" thickBot="1" x14ac:dyDescent="0.35">
      <c r="A110" s="149" t="s">
        <v>174</v>
      </c>
      <c r="B110" s="150">
        <f>SUM(C110,E110,G110,I110,K110,O110)</f>
        <v>10245</v>
      </c>
      <c r="C110" s="151">
        <v>2290</v>
      </c>
      <c r="D110" s="151">
        <v>5549.1750000000002</v>
      </c>
      <c r="E110" s="151">
        <v>1576</v>
      </c>
      <c r="F110" s="163">
        <v>3018.73</v>
      </c>
      <c r="G110" s="151">
        <v>3438</v>
      </c>
      <c r="H110" s="152">
        <v>3900.0349999999999</v>
      </c>
      <c r="I110" s="151">
        <v>1767</v>
      </c>
      <c r="J110" s="152">
        <v>1939.4449999999999</v>
      </c>
      <c r="K110" s="151">
        <v>1166</v>
      </c>
      <c r="L110" s="152">
        <v>1192.0050000000001</v>
      </c>
      <c r="M110" s="153">
        <f t="shared" si="39"/>
        <v>6371</v>
      </c>
      <c r="N110" s="154">
        <f t="shared" si="39"/>
        <v>7031.4849999999997</v>
      </c>
      <c r="O110" s="151">
        <v>8</v>
      </c>
      <c r="P110" s="155">
        <v>8.15</v>
      </c>
      <c r="Q110" s="156" t="s">
        <v>175</v>
      </c>
      <c r="R110" s="157"/>
      <c r="S110" s="131"/>
      <c r="T110" s="124"/>
      <c r="U110" s="124"/>
    </row>
    <row r="111" spans="1:21" x14ac:dyDescent="0.3">
      <c r="A111" s="158" t="s">
        <v>176</v>
      </c>
      <c r="L111" s="131"/>
      <c r="N111" s="131"/>
      <c r="O111" s="131"/>
      <c r="P111" s="223" t="s">
        <v>177</v>
      </c>
      <c r="Q111" s="224"/>
      <c r="R111" s="224"/>
    </row>
    <row r="112" spans="1:21" x14ac:dyDescent="0.3">
      <c r="A112" s="159"/>
    </row>
  </sheetData>
  <mergeCells count="246">
    <mergeCell ref="A2:Q2"/>
    <mergeCell ref="A3:Q3"/>
    <mergeCell ref="P111:R111"/>
    <mergeCell ref="K8:L8"/>
    <mergeCell ref="Q105:R106"/>
    <mergeCell ref="M83:M84"/>
    <mergeCell ref="N83:N84"/>
    <mergeCell ref="O83:O84"/>
    <mergeCell ref="P73:P74"/>
    <mergeCell ref="Q73:R74"/>
    <mergeCell ref="K105:K106"/>
    <mergeCell ref="L105:L106"/>
    <mergeCell ref="Q90:R91"/>
    <mergeCell ref="P83:P84"/>
    <mergeCell ref="Q83:R84"/>
    <mergeCell ref="Q82:S82"/>
    <mergeCell ref="Q76:S76"/>
    <mergeCell ref="Q77:S77"/>
    <mergeCell ref="P105:P106"/>
    <mergeCell ref="P90:P91"/>
    <mergeCell ref="K83:K84"/>
    <mergeCell ref="L83:L84"/>
    <mergeCell ref="Q78:S78"/>
    <mergeCell ref="Q79:S79"/>
    <mergeCell ref="Q80:S80"/>
    <mergeCell ref="Q81:S81"/>
    <mergeCell ref="J105:J106"/>
    <mergeCell ref="M105:M106"/>
    <mergeCell ref="O90:O91"/>
    <mergeCell ref="K90:K91"/>
    <mergeCell ref="L90:L91"/>
    <mergeCell ref="M90:M91"/>
    <mergeCell ref="N90:N91"/>
    <mergeCell ref="J83:J84"/>
    <mergeCell ref="N105:N106"/>
    <mergeCell ref="O105:O106"/>
    <mergeCell ref="J90:J91"/>
    <mergeCell ref="H90:H91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A73:A74"/>
    <mergeCell ref="B73:B74"/>
    <mergeCell ref="C73:C74"/>
    <mergeCell ref="D73:D74"/>
    <mergeCell ref="E73:E74"/>
    <mergeCell ref="F73:F74"/>
    <mergeCell ref="A83:A84"/>
    <mergeCell ref="B83:B84"/>
    <mergeCell ref="C83:C84"/>
    <mergeCell ref="D83:D84"/>
    <mergeCell ref="E83:E84"/>
    <mergeCell ref="F83:F84"/>
    <mergeCell ref="I90:I91"/>
    <mergeCell ref="G83:G84"/>
    <mergeCell ref="H83:H84"/>
    <mergeCell ref="I83:I84"/>
    <mergeCell ref="A90:A91"/>
    <mergeCell ref="B90:B91"/>
    <mergeCell ref="C90:C91"/>
    <mergeCell ref="D90:D91"/>
    <mergeCell ref="E90:E91"/>
    <mergeCell ref="F90:F91"/>
    <mergeCell ref="G90:G91"/>
    <mergeCell ref="Q75:S75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H61:H62"/>
    <mergeCell ref="I61:I62"/>
    <mergeCell ref="Q64:R64"/>
    <mergeCell ref="A66:A67"/>
    <mergeCell ref="B66:B67"/>
    <mergeCell ref="C66:C67"/>
    <mergeCell ref="D66:D67"/>
    <mergeCell ref="E66:E67"/>
    <mergeCell ref="P66:P67"/>
    <mergeCell ref="Q66:R67"/>
    <mergeCell ref="F66:F67"/>
    <mergeCell ref="G66:G67"/>
    <mergeCell ref="M61:M62"/>
    <mergeCell ref="N66:N67"/>
    <mergeCell ref="O66:O67"/>
    <mergeCell ref="H66:H67"/>
    <mergeCell ref="I66:I67"/>
    <mergeCell ref="J66:J67"/>
    <mergeCell ref="K66:K67"/>
    <mergeCell ref="L66:L67"/>
    <mergeCell ref="M66:M67"/>
    <mergeCell ref="N61:N62"/>
    <mergeCell ref="O61:O62"/>
    <mergeCell ref="J54:J55"/>
    <mergeCell ref="J61:J62"/>
    <mergeCell ref="K61:K62"/>
    <mergeCell ref="L61:L62"/>
    <mergeCell ref="P61:P62"/>
    <mergeCell ref="Q61:R62"/>
    <mergeCell ref="A54:A55"/>
    <mergeCell ref="B54:B55"/>
    <mergeCell ref="C54:C55"/>
    <mergeCell ref="D54:D55"/>
    <mergeCell ref="E54:E55"/>
    <mergeCell ref="F54:F55"/>
    <mergeCell ref="A61:A62"/>
    <mergeCell ref="B61:B62"/>
    <mergeCell ref="C61:C62"/>
    <mergeCell ref="D61:D62"/>
    <mergeCell ref="E61:E62"/>
    <mergeCell ref="F61:F62"/>
    <mergeCell ref="G61:G62"/>
    <mergeCell ref="I54:I55"/>
    <mergeCell ref="G54:G55"/>
    <mergeCell ref="H54:H55"/>
    <mergeCell ref="O54:O55"/>
    <mergeCell ref="P54:P55"/>
    <mergeCell ref="I40:I41"/>
    <mergeCell ref="J40:J41"/>
    <mergeCell ref="K40:K41"/>
    <mergeCell ref="Q45:R45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P47:P48"/>
    <mergeCell ref="Q47:R48"/>
    <mergeCell ref="K47:K48"/>
    <mergeCell ref="L47:L48"/>
    <mergeCell ref="M47:M48"/>
    <mergeCell ref="N47:N48"/>
    <mergeCell ref="O47:O48"/>
    <mergeCell ref="J47:J48"/>
    <mergeCell ref="L40:L41"/>
    <mergeCell ref="M40:M41"/>
    <mergeCell ref="A40:A41"/>
    <mergeCell ref="Q54:R55"/>
    <mergeCell ref="K54:K55"/>
    <mergeCell ref="N40:N41"/>
    <mergeCell ref="O40:O41"/>
    <mergeCell ref="P40:P41"/>
    <mergeCell ref="Q40:R41"/>
    <mergeCell ref="L54:L55"/>
    <mergeCell ref="M54:M55"/>
    <mergeCell ref="N54:N55"/>
    <mergeCell ref="B40:B41"/>
    <mergeCell ref="C40:C41"/>
    <mergeCell ref="D40:D41"/>
    <mergeCell ref="E40:E41"/>
    <mergeCell ref="G34:G35"/>
    <mergeCell ref="H34:H35"/>
    <mergeCell ref="A34:A35"/>
    <mergeCell ref="B34:B35"/>
    <mergeCell ref="C34:C35"/>
    <mergeCell ref="D34:D35"/>
    <mergeCell ref="E34:E35"/>
    <mergeCell ref="F34:F35"/>
    <mergeCell ref="F40:F41"/>
    <mergeCell ref="G40:G41"/>
    <mergeCell ref="H40:H41"/>
    <mergeCell ref="M34:M35"/>
    <mergeCell ref="N34:N35"/>
    <mergeCell ref="I34:I35"/>
    <mergeCell ref="J34:J35"/>
    <mergeCell ref="K34:K35"/>
    <mergeCell ref="L34:L35"/>
    <mergeCell ref="O34:O35"/>
    <mergeCell ref="P34:P35"/>
    <mergeCell ref="Q34:R35"/>
    <mergeCell ref="L20:L21"/>
    <mergeCell ref="M20:M21"/>
    <mergeCell ref="N20:N21"/>
    <mergeCell ref="M12:M13"/>
    <mergeCell ref="N12:N13"/>
    <mergeCell ref="A10:A11"/>
    <mergeCell ref="O20:O21"/>
    <mergeCell ref="P20:P21"/>
    <mergeCell ref="Q20:R21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G12:G13"/>
    <mergeCell ref="F20:F21"/>
    <mergeCell ref="G20:G21"/>
    <mergeCell ref="A12:A13"/>
    <mergeCell ref="B12:B13"/>
    <mergeCell ref="C12:C13"/>
    <mergeCell ref="D12:D13"/>
    <mergeCell ref="E12:E13"/>
    <mergeCell ref="F12:F13"/>
    <mergeCell ref="O12:O13"/>
    <mergeCell ref="P12:P13"/>
    <mergeCell ref="Q12:R13"/>
    <mergeCell ref="H12:H13"/>
    <mergeCell ref="I12:I13"/>
    <mergeCell ref="K12:K13"/>
    <mergeCell ref="L12:L13"/>
    <mergeCell ref="J12:J13"/>
    <mergeCell ref="C6:D8"/>
    <mergeCell ref="E6:F8"/>
    <mergeCell ref="G6:N6"/>
    <mergeCell ref="G7:N7"/>
    <mergeCell ref="C10:C11"/>
    <mergeCell ref="D10:D11"/>
    <mergeCell ref="E10:E11"/>
    <mergeCell ref="Q6:R9"/>
    <mergeCell ref="Q10:R11"/>
    <mergeCell ref="G10:G11"/>
    <mergeCell ref="H10:H11"/>
    <mergeCell ref="I8:J8"/>
    <mergeCell ref="M8:N8"/>
    <mergeCell ref="B10:B11"/>
    <mergeCell ref="G8:H8"/>
    <mergeCell ref="A6:A9"/>
    <mergeCell ref="O6:P8"/>
    <mergeCell ref="L10:L11"/>
    <mergeCell ref="M10:M11"/>
    <mergeCell ref="N10:N11"/>
    <mergeCell ref="O10:O11"/>
    <mergeCell ref="P10:P11"/>
    <mergeCell ref="I10:I11"/>
    <mergeCell ref="J10:J11"/>
    <mergeCell ref="K10:K11"/>
    <mergeCell ref="B6:B9"/>
    <mergeCell ref="F10:F11"/>
  </mergeCells>
  <pageMargins left="0.7" right="0.7" top="0.75" bottom="0.75" header="0.3" footer="0.3"/>
  <pageSetup paperSize="9" orientation="portrait" horizontalDpi="200" verticalDpi="200" r:id="rId1"/>
  <ignoredErrors>
    <ignoredError sqref="B30:B33 B85:B89 B16:B19 B23:B28 B107:B110 B36:B39 B42:B46 B49:B53 B56:B60 B63:B65 B69:B72 B92:B104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2015-05-06T08:57:43Z</cp:lastPrinted>
  <dcterms:created xsi:type="dcterms:W3CDTF">2015-05-06T07:17:17Z</dcterms:created>
  <dcterms:modified xsi:type="dcterms:W3CDTF">2020-05-18T10:06:29Z</dcterms:modified>
</cp:coreProperties>
</file>