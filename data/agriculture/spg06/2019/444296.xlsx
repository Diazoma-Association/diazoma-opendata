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9. 2019 ΑΝΑΛΥΤΙΚΟΙ ΠΙΝΑΚΕΣ\"/>
    </mc:Choice>
  </mc:AlternateContent>
  <xr:revisionPtr revIDLastSave="0" documentId="13_ncr:1_{CBEFDDC1-5127-4876-94CE-5FCD6888956F}" xr6:coauthVersionLast="47" xr6:coauthVersionMax="47" xr10:uidLastSave="{00000000-0000-0000-0000-000000000000}"/>
  <bookViews>
    <workbookView xWindow="-113" yWindow="-113" windowWidth="24267" windowHeight="13311" firstSheet="1" activeTab="1" xr2:uid="{00000000-000D-0000-FFFF-FFFF00000000}"/>
  </bookViews>
  <sheets>
    <sheet name="ListOfValues" sheetId="4" state="hidden" r:id="rId1"/>
    <sheet name="ΠΙΝΑΚΑΣ 2(β)" sheetId="1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5" i="1" l="1"/>
  <c r="C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B16" i="1"/>
  <c r="C13" i="1"/>
  <c r="B79" i="1"/>
  <c r="B78" i="1"/>
  <c r="B77" i="1"/>
  <c r="B76" i="1"/>
  <c r="B71" i="1"/>
  <c r="B18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B23" i="1"/>
  <c r="C91" i="1"/>
  <c r="C84" i="1"/>
  <c r="B47" i="1"/>
  <c r="B46" i="1"/>
  <c r="B45" i="1"/>
  <c r="B44" i="1"/>
  <c r="B43" i="1"/>
  <c r="B94" i="1"/>
  <c r="B95" i="1"/>
  <c r="B96" i="1"/>
  <c r="B97" i="1"/>
  <c r="B98" i="1"/>
  <c r="B99" i="1"/>
  <c r="B100" i="1"/>
  <c r="B101" i="1"/>
  <c r="B102" i="1"/>
  <c r="B103" i="1"/>
  <c r="B104" i="1"/>
  <c r="B105" i="1"/>
  <c r="B93" i="1"/>
  <c r="B24" i="1"/>
  <c r="B25" i="1"/>
  <c r="B26" i="1"/>
  <c r="B27" i="1"/>
  <c r="B28" i="1"/>
  <c r="B29" i="1"/>
  <c r="B41" i="1" l="1"/>
  <c r="B21" i="1"/>
  <c r="B91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R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C21" i="1"/>
  <c r="B111" i="1"/>
  <c r="B110" i="1"/>
  <c r="B109" i="1"/>
  <c r="B108" i="1"/>
  <c r="B90" i="1"/>
  <c r="B89" i="1"/>
  <c r="B88" i="1"/>
  <c r="B87" i="1"/>
  <c r="B86" i="1"/>
  <c r="B83" i="1"/>
  <c r="B82" i="1"/>
  <c r="B81" i="1"/>
  <c r="B80" i="1"/>
  <c r="B73" i="1"/>
  <c r="B72" i="1"/>
  <c r="B70" i="1"/>
  <c r="B69" i="1"/>
  <c r="B66" i="1"/>
  <c r="B65" i="1"/>
  <c r="B64" i="1"/>
  <c r="B61" i="1"/>
  <c r="B60" i="1"/>
  <c r="B59" i="1"/>
  <c r="B58" i="1"/>
  <c r="B57" i="1"/>
  <c r="B54" i="1"/>
  <c r="B53" i="1"/>
  <c r="B52" i="1"/>
  <c r="B51" i="1"/>
  <c r="B50" i="1"/>
  <c r="B40" i="1"/>
  <c r="B39" i="1"/>
  <c r="B38" i="1"/>
  <c r="B37" i="1"/>
  <c r="B34" i="1"/>
  <c r="B33" i="1"/>
  <c r="B32" i="1"/>
  <c r="B31" i="1"/>
  <c r="B20" i="1"/>
  <c r="B19" i="1"/>
  <c r="B17" i="1"/>
  <c r="B15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B35" i="1" l="1"/>
  <c r="B74" i="1"/>
  <c r="B13" i="1"/>
  <c r="B84" i="1"/>
  <c r="B62" i="1"/>
  <c r="B55" i="1"/>
  <c r="B48" i="1"/>
  <c r="B106" i="1"/>
  <c r="B67" i="1"/>
  <c r="B30" i="1"/>
  <c r="R11" i="1"/>
  <c r="P11" i="1"/>
  <c r="N11" i="1"/>
  <c r="L11" i="1"/>
  <c r="J11" i="1"/>
  <c r="H11" i="1"/>
  <c r="F11" i="1"/>
  <c r="D11" i="1"/>
  <c r="Q11" i="1"/>
  <c r="O11" i="1"/>
  <c r="M11" i="1"/>
  <c r="K11" i="1"/>
  <c r="E11" i="1"/>
  <c r="C11" i="1"/>
  <c r="I11" i="1"/>
  <c r="G11" i="1"/>
  <c r="B11" i="1" l="1"/>
</calcChain>
</file>

<file path=xl/sharedStrings.xml><?xml version="1.0" encoding="utf-8"?>
<sst xmlns="http://schemas.openxmlformats.org/spreadsheetml/2006/main" count="897" uniqueCount="369">
  <si>
    <t xml:space="preserve">2. Αροτραίες καλλιέργειες </t>
  </si>
  <si>
    <t>2. Crops on arable land</t>
  </si>
  <si>
    <t>Εκτάσεις σε στρέμματα, παραγωγή σε τόνους</t>
  </si>
  <si>
    <t>Regions and Regional Unities (NUTS 2)</t>
  </si>
  <si>
    <t>Σύνολο Ελλάδας</t>
  </si>
  <si>
    <t>Περιφέρεια Ανατολικής Μακεδονίας και Θράκης</t>
  </si>
  <si>
    <t>Region of Eastern Macedonia and Thrace</t>
  </si>
  <si>
    <t>Περιφέρεια Κεντρικής Μακεδονίας</t>
  </si>
  <si>
    <t>Region of Central Macedonia</t>
  </si>
  <si>
    <t>Περιφέρεια Ηπείρου</t>
  </si>
  <si>
    <t>Region of Epirus</t>
  </si>
  <si>
    <t>Περιφέρεια Θεσσαλίας</t>
  </si>
  <si>
    <t>Region of Thessally</t>
  </si>
  <si>
    <t>Περιφέρεια Στερεάς Ελλάδας</t>
  </si>
  <si>
    <t>Region of Central Greece</t>
  </si>
  <si>
    <t>Περιφέρεια Ιονίων Νήσων</t>
  </si>
  <si>
    <t>Region of Ionian Islands</t>
  </si>
  <si>
    <t>Περιφέρεια Δυτικής Ελλάδας</t>
  </si>
  <si>
    <t>Region of Western Greece</t>
  </si>
  <si>
    <t>Περιφέρεια Πελοποννήσου</t>
  </si>
  <si>
    <t>Region of Peloponnese</t>
  </si>
  <si>
    <t>Περιφέρεια Αττικής</t>
  </si>
  <si>
    <t>Region of Attica</t>
  </si>
  <si>
    <t>Περιφέρεια Βορείου Αιγαίου</t>
  </si>
  <si>
    <t>Region of Northern Aegean</t>
  </si>
  <si>
    <t>Περιφέρεια Νοτίου Αιγαίου</t>
  </si>
  <si>
    <t>Region of Southern Aegean</t>
  </si>
  <si>
    <t>Περιφέρεια Κρήτης</t>
  </si>
  <si>
    <t>Region of Crete</t>
  </si>
  <si>
    <t>1=εκτάσεις,  2=παραγωγή</t>
  </si>
  <si>
    <t>Greece Total</t>
  </si>
  <si>
    <t>χωρίς συγκαλλιέργεια   grown alone</t>
  </si>
  <si>
    <t>Λαθούρι (Φάβα) Lathyrus</t>
  </si>
  <si>
    <t>Σύνολο Εκτάσεων Total Area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</si>
  <si>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</si>
  <si>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</si>
  <si>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</si>
  <si>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</si>
  <si>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</si>
  <si>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</si>
  <si>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</si>
  <si>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</si>
  <si>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</si>
  <si>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</si>
  <si>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</si>
  <si>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</si>
  <si>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</si>
  <si>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</si>
  <si>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</si>
  <si>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</si>
  <si>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</si>
  <si>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</si>
  <si>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</si>
  <si>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</si>
  <si>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</si>
  <si>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</si>
  <si>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</si>
  <si>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</si>
  <si>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</si>
  <si>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</si>
  <si>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</si>
  <si>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</si>
  <si>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</si>
  <si>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</si>
  <si>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</si>
  <si>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</si>
  <si>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</si>
  <si>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</si>
  <si>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</si>
  <si>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</si>
  <si>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</si>
  <si>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</si>
  <si>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</si>
  <si>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</si>
  <si>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</si>
  <si>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</si>
  <si>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</si>
  <si>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</si>
  <si>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Κεντρικού Τομέα Αθηνών</t>
  </si>
  <si>
    <t xml:space="preserve"> Βορείου Τομέα Αθηνών</t>
  </si>
  <si>
    <t xml:space="preserve">  Δυτικού Τομέα Αθηνών</t>
  </si>
  <si>
    <t xml:space="preserve">  Νοτίου Τομέα Αθηνών</t>
  </si>
  <si>
    <t xml:space="preserve">  Ανατολικής Αττικής</t>
  </si>
  <si>
    <t xml:space="preserve">  Δυτικής Αττικής</t>
  </si>
  <si>
    <t xml:space="preserve">  Πειραιώς</t>
  </si>
  <si>
    <t xml:space="preserve">  Νήσων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</si>
  <si>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</si>
  <si>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</si>
  <si>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</si>
  <si>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</si>
  <si>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</si>
  <si>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</si>
  <si>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</si>
  <si>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</si>
  <si>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</si>
  <si>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</si>
  <si>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</si>
  <si>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</si>
  <si>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</si>
  <si>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</si>
  <si>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</si>
  <si>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</si>
  <si>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</si>
  <si>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</si>
  <si>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</si>
  <si>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</si>
  <si>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</si>
  <si>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</si>
  <si>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1=areas  2=production</t>
  </si>
  <si>
    <t>Κεντρικού Τομέα Αθηνών</t>
  </si>
  <si>
    <t>Βορείου Τομέα Αθηνών</t>
  </si>
  <si>
    <t>01</t>
  </si>
  <si>
    <t>ΑΠΟΚΕΝΤΡΩΜΕΝΗ ΔΙΟΙΚΗΣΗ ΜΑΚΕΔΟΝΙΑΣ - ΘΡΑΚΗΣ</t>
  </si>
  <si>
    <t>02</t>
  </si>
  <si>
    <t>03</t>
  </si>
  <si>
    <t>ΠΕΡΙΦΕΡΕΙΑ ΑΝΑΤΟΛΙΚΗΣ ΜΑΚΕΔΟΝΙΑΣ</t>
  </si>
  <si>
    <t>04</t>
  </si>
  <si>
    <t>ΚΑΙ ΘΡΑΚΗΣ</t>
  </si>
  <si>
    <t>05</t>
  </si>
  <si>
    <t>06</t>
  </si>
  <si>
    <t>07</t>
  </si>
  <si>
    <t>08</t>
  </si>
  <si>
    <t>09</t>
  </si>
  <si>
    <t>10</t>
  </si>
  <si>
    <t>11</t>
  </si>
  <si>
    <t>ΠΕΡΙΦΕΡΕΙΑ ΚΕΝΤΡΙΚΗΣ ΜΑΚΕΔΟΝΙΑΣ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</si>
  <si>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</si>
  <si>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</si>
  <si>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</si>
  <si>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</si>
  <si>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</si>
  <si>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</si>
  <si>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</si>
  <si>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</si>
  <si>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</si>
  <si>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ΠΕΡΙΦΕΡΕΙΑ ΗΠΕΙΡΟΥ</t>
  </si>
  <si>
    <t>21</t>
  </si>
  <si>
    <t>22</t>
  </si>
  <si>
    <t>ΑΠΟΚΕΝΤΡΩΜΕΝΗ ΔΙΟΙΚΗΣΗ ΘΕΣΣΑΛΙΑΣ - ΣΤΕΡΕΑΣ ΕΛΛΑΔΑΣ</t>
  </si>
  <si>
    <t>23</t>
  </si>
  <si>
    <t>24</t>
  </si>
  <si>
    <t>ΠΕΡΙΦΕΡΕΙΑ ΘΕΣΣΑΛΙΑΣ</t>
  </si>
  <si>
    <t>25</t>
  </si>
  <si>
    <t>26</t>
  </si>
  <si>
    <t>27</t>
  </si>
  <si>
    <t>28</t>
  </si>
  <si>
    <t>29</t>
  </si>
  <si>
    <t>ΠΕΡΙΦΕΡΕΙΑ ΣΤΕΡΕΑΣ ΕΛΛΑΔΑΣ</t>
  </si>
  <si>
    <t>30</t>
  </si>
  <si>
    <t>31</t>
  </si>
  <si>
    <t>32</t>
  </si>
  <si>
    <t>ΑΠΟΚΕΝΤΡΩΜΕΝΗ ΔΙΟΙΚΗΣΗ ΠΕΛΟΠΟΝΝΗΣΟΥ, ΔΥΤΙΚΗΣ ΕΛΛΑΔΑΣ ΚΑΙ ΙΟΝΙΟΥ</t>
  </si>
  <si>
    <t>33</t>
  </si>
  <si>
    <t>34</t>
  </si>
  <si>
    <t>ΠΕΡΙΦΕΡΕΙΑ ΙΟΝΙΩΝ ΝΗΣΩΝ</t>
  </si>
  <si>
    <t>35</t>
  </si>
  <si>
    <t>36</t>
  </si>
  <si>
    <t>37</t>
  </si>
  <si>
    <t>38</t>
  </si>
  <si>
    <t>ΠΕΡΙΦΕΡΕΙΑ ΔΥΤΙΚΗΣ ΕΛΛΑΔΑΣ</t>
  </si>
  <si>
    <t>39</t>
  </si>
  <si>
    <t>40</t>
  </si>
  <si>
    <t>41</t>
  </si>
  <si>
    <t>42</t>
  </si>
  <si>
    <t>ΠΕΡΙΦΕΡΕΙΑ ΠΕΛΟΠΟΝΝΗΣΟΥ</t>
  </si>
  <si>
    <t>43</t>
  </si>
  <si>
    <t>44</t>
  </si>
  <si>
    <t>45</t>
  </si>
  <si>
    <t>ΑΠΟΚΕΝΤΡΩΜΕΝΗ ΔΙΟΙΚΗΣΗ ΑΤΤΙΚΗΣ</t>
  </si>
  <si>
    <t>46</t>
  </si>
  <si>
    <t>47</t>
  </si>
  <si>
    <t>48</t>
  </si>
  <si>
    <t>49</t>
  </si>
  <si>
    <t>ΠΕΡΙΦΕΡΕΙΑ ΑΤΤΙΚΗΣ</t>
  </si>
  <si>
    <t>50</t>
  </si>
  <si>
    <t>51</t>
  </si>
  <si>
    <t>52</t>
  </si>
  <si>
    <t>53</t>
  </si>
  <si>
    <t>ΑΠΟΚΕΝΤΡΩΜΕΝΗ ΔΙΟΙΚΗΣΗ ΑΙΓΑΙΟΥ</t>
  </si>
  <si>
    <t>54</t>
  </si>
  <si>
    <t>55</t>
  </si>
  <si>
    <t>ΠΕΡΙΦΕΡΕΙΑ ΒΟΡΕΙΟΥ ΑΙΓΑΙΟΥ</t>
  </si>
  <si>
    <t>56</t>
  </si>
  <si>
    <t>57</t>
  </si>
  <si>
    <t>58</t>
  </si>
  <si>
    <t>59</t>
  </si>
  <si>
    <t>60</t>
  </si>
  <si>
    <t>61</t>
  </si>
  <si>
    <t>62</t>
  </si>
  <si>
    <t>63</t>
  </si>
  <si>
    <t>ΠΕΡΙΦΕΡΕΙΑ ΝΟΤΙΟΥ ΑΙΓΑΙΟΥ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</si>
  <si>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</si>
  <si>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</si>
  <si>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</si>
  <si>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</si>
  <si>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</si>
  <si>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</si>
  <si>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</si>
  <si>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</si>
  <si>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</si>
  <si>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ΑΠΟΚΕΝΤΡΩΜΕΝΗ ΔΙΟΙΚΗΣΗ ΚΡΗΤΗΣ</t>
  </si>
  <si>
    <t>73</t>
  </si>
  <si>
    <t>ΠΕΡΙΦΕΡΕΙΑ ΚΡΗΤΗΣ</t>
  </si>
  <si>
    <t>74</t>
  </si>
  <si>
    <t>99</t>
  </si>
  <si>
    <t xml:space="preserve">  Αγίου Όρους</t>
  </si>
  <si>
    <t>ΑΓΙΟ ΟΡΟΣ (ΑΥΤΟΔΙΟΙΚΗΤΟ)</t>
  </si>
  <si>
    <t>―</t>
  </si>
  <si>
    <t>(1) Including beans grown with maize and other crops</t>
  </si>
  <si>
    <t>(1) Περιλαμβάνονται τα φασόλια που συγκαλιεργούνται με αραβόσιτο (καλαμπόκι) και άλλα είδη.</t>
  </si>
  <si>
    <t>Περιφέρεια Δυτικής Μακεδονίας</t>
  </si>
  <si>
    <t>Region of Western Macedonia</t>
  </si>
  <si>
    <t>Φασόλια
Beans</t>
  </si>
  <si>
    <t>Κουκιά
Broad beans</t>
  </si>
  <si>
    <t>Φακή
Lentil</t>
  </si>
  <si>
    <t>Ρεβύθια
Chick-peas</t>
  </si>
  <si>
    <t>Μπιζέλια
Peas</t>
  </si>
  <si>
    <t>Λοιπά βρώσιμα όσπρια
Other edible pulse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</si>
  <si>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</si>
  <si>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</si>
  <si>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</si>
  <si>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</si>
  <si>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</si>
  <si>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</si>
  <si>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Λέσβου</t>
  </si>
  <si>
    <t>Ικαρίας</t>
  </si>
  <si>
    <t>Λήμνου</t>
  </si>
  <si>
    <t>Σάμου</t>
  </si>
  <si>
    <t>Χίου</t>
  </si>
  <si>
    <t>Σύρου</t>
  </si>
  <si>
    <t>Άνδρου</t>
  </si>
  <si>
    <t>Θήρας</t>
  </si>
  <si>
    <t>Καλύμνου</t>
  </si>
  <si>
    <t>Κω</t>
  </si>
  <si>
    <t>Μήλου</t>
  </si>
  <si>
    <t>Μυκόνου</t>
  </si>
  <si>
    <t>Νάξου</t>
  </si>
  <si>
    <t>Πάρου</t>
  </si>
  <si>
    <t>Ρόδου</t>
  </si>
  <si>
    <t>Τήνου</t>
  </si>
  <si>
    <t>Ηρακλείου</t>
  </si>
  <si>
    <t>Λασιθίου</t>
  </si>
  <si>
    <t>Ρεθύμνης</t>
  </si>
  <si>
    <t>Χανίων</t>
  </si>
  <si>
    <t>Ροδόπης</t>
  </si>
  <si>
    <t>Δράμας</t>
  </si>
  <si>
    <t>Έβρου</t>
  </si>
  <si>
    <t>Θάσου</t>
  </si>
  <si>
    <t>Καβάλας</t>
  </si>
  <si>
    <t>Ξάνθης</t>
  </si>
  <si>
    <t>Θεσσαλονίκης</t>
  </si>
  <si>
    <t>Ημαθίας</t>
  </si>
  <si>
    <t>Κιλκίς</t>
  </si>
  <si>
    <t>Πέλλας</t>
  </si>
  <si>
    <t>Πιερίας</t>
  </si>
  <si>
    <t>Σερρών</t>
  </si>
  <si>
    <t>Χαλκιδικής</t>
  </si>
  <si>
    <t>Κοζάνης</t>
  </si>
  <si>
    <t>Γρεβενών</t>
  </si>
  <si>
    <t>Καστοριάς</t>
  </si>
  <si>
    <t>Φλώρινας</t>
  </si>
  <si>
    <t>Ιωαννίνων</t>
  </si>
  <si>
    <t>Άρτας</t>
  </si>
  <si>
    <t>Θεσπρωτίας</t>
  </si>
  <si>
    <t>Πρέβεζας</t>
  </si>
  <si>
    <t>Λάρισας</t>
  </si>
  <si>
    <t>Καρδίτσας</t>
  </si>
  <si>
    <t>Μαγνησίας</t>
  </si>
  <si>
    <t>Σποράδων</t>
  </si>
  <si>
    <t>Τρικάλων</t>
  </si>
  <si>
    <t>Φθιώτιδας</t>
  </si>
  <si>
    <t>Βοιωτίας</t>
  </si>
  <si>
    <t>Εύβοιας</t>
  </si>
  <si>
    <t>Ευρυτανίας</t>
  </si>
  <si>
    <t>Φωκίδας</t>
  </si>
  <si>
    <t>Κέρκυρας</t>
  </si>
  <si>
    <t>Ζακύνθου</t>
  </si>
  <si>
    <t>Ιθάκης</t>
  </si>
  <si>
    <t>Κεφαλληνίας</t>
  </si>
  <si>
    <t>Λευκάδας</t>
  </si>
  <si>
    <t>Αχαΐας</t>
  </si>
  <si>
    <t>Αιτωλ/νανίας</t>
  </si>
  <si>
    <t>Ηλείας</t>
  </si>
  <si>
    <t>Αρκαδίας</t>
  </si>
  <si>
    <t>Αργολίδας</t>
  </si>
  <si>
    <t>Κορινθίας</t>
  </si>
  <si>
    <t>Λακωνίας</t>
  </si>
  <si>
    <t>Μεσσηνίας</t>
  </si>
  <si>
    <t>Rodopi</t>
  </si>
  <si>
    <t>Drama</t>
  </si>
  <si>
    <t>Evros</t>
  </si>
  <si>
    <t>Thasos</t>
  </si>
  <si>
    <t>Kavala</t>
  </si>
  <si>
    <t>Xanthi</t>
  </si>
  <si>
    <t>Thessaloniki</t>
  </si>
  <si>
    <t>Imathia</t>
  </si>
  <si>
    <t>Kilkis</t>
  </si>
  <si>
    <t>Pella</t>
  </si>
  <si>
    <t>Pieria</t>
  </si>
  <si>
    <t>Serres</t>
  </si>
  <si>
    <t>Chalkidiki</t>
  </si>
  <si>
    <t>Kozani</t>
  </si>
  <si>
    <t>Grevena</t>
  </si>
  <si>
    <t>Kastoria</t>
  </si>
  <si>
    <t>Florina</t>
  </si>
  <si>
    <t>Ionnina</t>
  </si>
  <si>
    <t>Arta</t>
  </si>
  <si>
    <t>Thesprotia</t>
  </si>
  <si>
    <t>Preveza</t>
  </si>
  <si>
    <t>Larissa</t>
  </si>
  <si>
    <t>Karditsa</t>
  </si>
  <si>
    <t>Magnesia</t>
  </si>
  <si>
    <t>Sporades Islands</t>
  </si>
  <si>
    <t>Trikala</t>
  </si>
  <si>
    <t>Pthiotida</t>
  </si>
  <si>
    <t>Viotia</t>
  </si>
  <si>
    <t>Evia</t>
  </si>
  <si>
    <t>Evritania</t>
  </si>
  <si>
    <t>Fokida</t>
  </si>
  <si>
    <t>Corfu</t>
  </si>
  <si>
    <t>Zakynthos</t>
  </si>
  <si>
    <t>Ithaka</t>
  </si>
  <si>
    <t>Kefallonia</t>
  </si>
  <si>
    <t>Lefkada</t>
  </si>
  <si>
    <t>Achaia</t>
  </si>
  <si>
    <t>Etolia and Akarnania</t>
  </si>
  <si>
    <t>Ilia</t>
  </si>
  <si>
    <t>Arkadia</t>
  </si>
  <si>
    <t>Argolida</t>
  </si>
  <si>
    <t>Korinthia</t>
  </si>
  <si>
    <t>Lakonia</t>
  </si>
  <si>
    <t>Mesinia</t>
  </si>
  <si>
    <t>Athens Central Section</t>
  </si>
  <si>
    <t>Athens North Section</t>
  </si>
  <si>
    <t>Athens West Section</t>
  </si>
  <si>
    <t>Athens South Section</t>
  </si>
  <si>
    <t>Athens East Section</t>
  </si>
  <si>
    <t>West Attica</t>
  </si>
  <si>
    <t>Pireaus</t>
  </si>
  <si>
    <t>Attica Islands</t>
  </si>
  <si>
    <t>Lesbos</t>
  </si>
  <si>
    <t>Ikaria</t>
  </si>
  <si>
    <t>Limnos</t>
  </si>
  <si>
    <t>Samos</t>
  </si>
  <si>
    <t>Chios</t>
  </si>
  <si>
    <t>Syros</t>
  </si>
  <si>
    <t>Andros</t>
  </si>
  <si>
    <t>Thira</t>
  </si>
  <si>
    <t>Kalimnos</t>
  </si>
  <si>
    <t>Kos</t>
  </si>
  <si>
    <t>Milos</t>
  </si>
  <si>
    <t>Mykonos</t>
  </si>
  <si>
    <t>Naxos</t>
  </si>
  <si>
    <t>Paros</t>
  </si>
  <si>
    <t>Rhodes</t>
  </si>
  <si>
    <t>Tinos</t>
  </si>
  <si>
    <t>Heraklion</t>
  </si>
  <si>
    <t>Lasithi</t>
  </si>
  <si>
    <t>Rethymno</t>
  </si>
  <si>
    <t>Chania</t>
  </si>
  <si>
    <r>
      <t>συγκαλλιεργούμενα</t>
    </r>
    <r>
      <rPr>
        <vertAlign val="superscript"/>
        <sz val="11"/>
        <rFont val="Calibri"/>
        <family val="2"/>
        <charset val="161"/>
        <scheme val="minor"/>
      </rPr>
      <t xml:space="preserve">(1)  </t>
    </r>
    <r>
      <rPr>
        <sz val="11"/>
        <rFont val="Calibri"/>
        <family val="2"/>
        <charset val="161"/>
        <scheme val="minor"/>
      </rPr>
      <t>grown with other crops</t>
    </r>
    <r>
      <rPr>
        <vertAlign val="superscript"/>
        <sz val="11"/>
        <rFont val="Calibri"/>
        <family val="2"/>
        <charset val="161"/>
        <scheme val="minor"/>
      </rPr>
      <t>(1)</t>
    </r>
  </si>
  <si>
    <t>Περιφέρειες και Περιφερειακές Ενότητες</t>
  </si>
  <si>
    <t>Areas in stremmas (1 stremma = 0.1 ha), production in tons</t>
  </si>
  <si>
    <t xml:space="preserve">   Καρπάθου - Ηρωικής Νήσου Κάσου</t>
  </si>
  <si>
    <t>Karpathos - Heroic Island of Kasos</t>
  </si>
  <si>
    <t>Κέας - Κύθνου</t>
  </si>
  <si>
    <t>Kea - Kythnos</t>
  </si>
  <si>
    <t>Πίνακας 2β. Βρώσιμα όσπρια. Εκτάσεις και παραγωγή κατά Περιφέρεια και Περιφερειακή Ενότητα, 2019</t>
  </si>
  <si>
    <t>Table 2b. Edible pulse. Areas and production, by Region and Regional Unities,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</si>
</sst>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name val="Arial"/>
      <family val="2"/>
      <charset val="161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sz val="8"/>
      <color theme="1"/>
      <name val="Arial"/>
      <family val="2"/>
      <charset val="161"/>
    </font>
    <font>
      <b/>
      <sz val="8"/>
      <color theme="1"/>
      <name val="Arial"/>
      <family val="2"/>
      <charset val="161"/>
    </font>
    <font>
      <sz val="10"/>
      <color theme="1"/>
      <name val="Calibri"/>
      <family val="2"/>
      <charset val="161"/>
      <scheme val="minor"/>
    </font>
    <font>
      <b/>
      <sz val="10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1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6">
    <xf numFmtId="0" fontId="0" fillId="0" borderId="0" xfId="0"/>
    <xf numFmtId="0" fontId="0" fillId="0" borderId="0" xfId="0" applyBorder="1"/>
    <xf numFmtId="0" fontId="3" fillId="0" borderId="0" xfId="0" applyNumberFormat="1" applyFont="1" applyFill="1" applyBorder="1" applyAlignment="1" applyProtection="1"/>
    <xf numFmtId="0" fontId="4" fillId="0" borderId="0" xfId="0" applyFont="1" applyBorder="1" applyAlignment="1">
      <alignment horizontal="center"/>
    </xf>
    <xf numFmtId="49" fontId="14" fillId="0" borderId="0" xfId="0" applyNumberFormat="1" applyFont="1" applyBorder="1" applyAlignment="1">
      <alignment horizontal="left" wrapText="1" indent="1"/>
    </xf>
    <xf numFmtId="0" fontId="14" fillId="0" borderId="0" xfId="0" applyFont="1" applyBorder="1"/>
    <xf numFmtId="49" fontId="14" fillId="0" borderId="0" xfId="0" applyNumberFormat="1" applyFont="1" applyBorder="1" applyAlignment="1">
      <alignment horizontal="left" indent="1"/>
    </xf>
    <xf numFmtId="49" fontId="14" fillId="0" borderId="0" xfId="0" applyNumberFormat="1" applyFont="1" applyBorder="1" applyAlignment="1">
      <alignment wrapText="1"/>
    </xf>
    <xf numFmtId="49" fontId="6" fillId="2" borderId="4" xfId="0" applyNumberFormat="1" applyFont="1" applyFill="1" applyBorder="1"/>
    <xf numFmtId="49" fontId="6" fillId="2" borderId="5" xfId="0" applyNumberFormat="1" applyFont="1" applyFill="1" applyBorder="1" applyAlignment="1">
      <alignment horizontal="left"/>
    </xf>
    <xf numFmtId="0" fontId="7" fillId="2" borderId="5" xfId="0" applyNumberFormat="1" applyFont="1" applyFill="1" applyBorder="1" applyAlignment="1" applyProtection="1"/>
    <xf numFmtId="49" fontId="8" fillId="2" borderId="0" xfId="0" applyNumberFormat="1" applyFont="1" applyFill="1" applyBorder="1" applyAlignment="1">
      <alignment horizontal="centerContinuous" vertical="center" wrapText="1"/>
    </xf>
    <xf numFmtId="49" fontId="8" fillId="2" borderId="5" xfId="0" applyNumberFormat="1" applyFont="1" applyFill="1" applyBorder="1" applyAlignment="1">
      <alignment vertical="center" textRotation="90"/>
    </xf>
    <xf numFmtId="0" fontId="7" fillId="2" borderId="6" xfId="0" applyNumberFormat="1" applyFont="1" applyFill="1" applyBorder="1" applyAlignment="1" applyProtection="1"/>
    <xf numFmtId="49" fontId="6" fillId="2" borderId="7" xfId="0" applyNumberFormat="1" applyFont="1" applyFill="1" applyBorder="1"/>
    <xf numFmtId="49" fontId="6" fillId="2" borderId="0" xfId="0" applyNumberFormat="1" applyFont="1" applyFill="1" applyBorder="1" applyAlignment="1">
      <alignment horizontal="left"/>
    </xf>
    <xf numFmtId="0" fontId="7" fillId="2" borderId="0" xfId="0" applyNumberFormat="1" applyFont="1" applyFill="1" applyBorder="1" applyAlignment="1" applyProtection="1"/>
    <xf numFmtId="49" fontId="8" fillId="2" borderId="0" xfId="0" applyNumberFormat="1" applyFont="1" applyFill="1" applyBorder="1" applyAlignment="1">
      <alignment vertical="center" textRotation="90"/>
    </xf>
    <xf numFmtId="0" fontId="7" fillId="2" borderId="8" xfId="0" applyNumberFormat="1" applyFont="1" applyFill="1" applyBorder="1" applyAlignment="1" applyProtection="1"/>
    <xf numFmtId="0" fontId="10" fillId="2" borderId="0" xfId="0" applyNumberFormat="1" applyFont="1" applyFill="1" applyBorder="1" applyAlignment="1" applyProtection="1"/>
    <xf numFmtId="49" fontId="6" fillId="8" borderId="7" xfId="0" applyNumberFormat="1" applyFont="1" applyFill="1" applyBorder="1"/>
    <xf numFmtId="49" fontId="6" fillId="8" borderId="0" xfId="0" applyNumberFormat="1" applyFont="1" applyFill="1" applyBorder="1" applyAlignment="1">
      <alignment horizontal="left"/>
    </xf>
    <xf numFmtId="0" fontId="7" fillId="8" borderId="0" xfId="0" applyNumberFormat="1" applyFont="1" applyFill="1" applyBorder="1" applyAlignment="1" applyProtection="1"/>
    <xf numFmtId="49" fontId="8" fillId="8" borderId="0" xfId="0" applyNumberFormat="1" applyFont="1" applyFill="1" applyBorder="1"/>
    <xf numFmtId="49" fontId="8" fillId="8" borderId="0" xfId="0" applyNumberFormat="1" applyFont="1" applyFill="1" applyBorder="1" applyAlignment="1">
      <alignment vertical="center" textRotation="90"/>
    </xf>
    <xf numFmtId="0" fontId="7" fillId="8" borderId="8" xfId="0" applyNumberFormat="1" applyFont="1" applyFill="1" applyBorder="1" applyAlignment="1" applyProtection="1"/>
    <xf numFmtId="49" fontId="6" fillId="8" borderId="0" xfId="0" applyNumberFormat="1" applyFont="1" applyFill="1" applyBorder="1"/>
    <xf numFmtId="49" fontId="8" fillId="8" borderId="0" xfId="0" applyNumberFormat="1" applyFont="1" applyFill="1" applyBorder="1" applyAlignment="1">
      <alignment horizontal="left"/>
    </xf>
    <xf numFmtId="49" fontId="9" fillId="8" borderId="0" xfId="0" applyNumberFormat="1" applyFont="1" applyFill="1" applyBorder="1"/>
    <xf numFmtId="49" fontId="6" fillId="4" borderId="7" xfId="0" applyNumberFormat="1" applyFont="1" applyFill="1" applyBorder="1"/>
    <xf numFmtId="49" fontId="6" fillId="4" borderId="0" xfId="0" applyNumberFormat="1" applyFont="1" applyFill="1" applyBorder="1"/>
    <xf numFmtId="0" fontId="7" fillId="4" borderId="0" xfId="0" applyNumberFormat="1" applyFont="1" applyFill="1" applyBorder="1" applyAlignment="1" applyProtection="1"/>
    <xf numFmtId="49" fontId="8" fillId="4" borderId="0" xfId="0" applyNumberFormat="1" applyFont="1" applyFill="1" applyBorder="1"/>
    <xf numFmtId="49" fontId="8" fillId="9" borderId="0" xfId="0" applyNumberFormat="1" applyFont="1" applyFill="1" applyBorder="1" applyAlignment="1">
      <alignment vertical="center" textRotation="90"/>
    </xf>
    <xf numFmtId="0" fontId="7" fillId="4" borderId="8" xfId="0" applyNumberFormat="1" applyFont="1" applyFill="1" applyBorder="1" applyAlignment="1" applyProtection="1"/>
    <xf numFmtId="49" fontId="9" fillId="4" borderId="0" xfId="0" applyNumberFormat="1" applyFont="1" applyFill="1" applyBorder="1"/>
    <xf numFmtId="49" fontId="6" fillId="4" borderId="9" xfId="0" applyNumberFormat="1" applyFont="1" applyFill="1" applyBorder="1"/>
    <xf numFmtId="49" fontId="6" fillId="4" borderId="1" xfId="0" applyNumberFormat="1" applyFont="1" applyFill="1" applyBorder="1"/>
    <xf numFmtId="0" fontId="7" fillId="4" borderId="1" xfId="0" applyNumberFormat="1" applyFont="1" applyFill="1" applyBorder="1" applyAlignment="1" applyProtection="1"/>
    <xf numFmtId="49" fontId="8" fillId="9" borderId="1" xfId="0" applyNumberFormat="1" applyFont="1" applyFill="1" applyBorder="1" applyAlignment="1">
      <alignment vertical="center" textRotation="90"/>
    </xf>
    <xf numFmtId="0" fontId="7" fillId="4" borderId="10" xfId="0" applyNumberFormat="1" applyFont="1" applyFill="1" applyBorder="1" applyAlignment="1" applyProtection="1"/>
    <xf numFmtId="49" fontId="6" fillId="10" borderId="4" xfId="0" applyNumberFormat="1" applyFont="1" applyFill="1" applyBorder="1"/>
    <xf numFmtId="49" fontId="6" fillId="10" borderId="5" xfId="0" applyNumberFormat="1" applyFont="1" applyFill="1" applyBorder="1"/>
    <xf numFmtId="0" fontId="7" fillId="10" borderId="5" xfId="0" applyNumberFormat="1" applyFont="1" applyFill="1" applyBorder="1" applyAlignment="1" applyProtection="1"/>
    <xf numFmtId="49" fontId="8" fillId="10" borderId="5" xfId="0" applyNumberFormat="1" applyFont="1" applyFill="1" applyBorder="1"/>
    <xf numFmtId="49" fontId="8" fillId="10" borderId="5" xfId="0" applyNumberFormat="1" applyFont="1" applyFill="1" applyBorder="1" applyAlignment="1">
      <alignment vertical="center" textRotation="90"/>
    </xf>
    <xf numFmtId="0" fontId="7" fillId="10" borderId="6" xfId="0" applyNumberFormat="1" applyFont="1" applyFill="1" applyBorder="1" applyAlignment="1" applyProtection="1"/>
    <xf numFmtId="49" fontId="6" fillId="10" borderId="7" xfId="0" applyNumberFormat="1" applyFont="1" applyFill="1" applyBorder="1"/>
    <xf numFmtId="49" fontId="6" fillId="10" borderId="0" xfId="0" applyNumberFormat="1" applyFont="1" applyFill="1" applyBorder="1"/>
    <xf numFmtId="0" fontId="7" fillId="10" borderId="0" xfId="0" applyNumberFormat="1" applyFont="1" applyFill="1" applyBorder="1" applyAlignment="1" applyProtection="1"/>
    <xf numFmtId="49" fontId="8" fillId="10" borderId="0" xfId="0" applyNumberFormat="1" applyFont="1" applyFill="1" applyBorder="1" applyAlignment="1">
      <alignment vertical="center" textRotation="90"/>
    </xf>
    <xf numFmtId="0" fontId="7" fillId="10" borderId="8" xfId="0" applyNumberFormat="1" applyFont="1" applyFill="1" applyBorder="1" applyAlignment="1" applyProtection="1"/>
    <xf numFmtId="49" fontId="9" fillId="10" borderId="0" xfId="0" applyNumberFormat="1" applyFont="1" applyFill="1" applyBorder="1"/>
    <xf numFmtId="49" fontId="6" fillId="5" borderId="7" xfId="0" applyNumberFormat="1" applyFont="1" applyFill="1" applyBorder="1"/>
    <xf numFmtId="49" fontId="6" fillId="5" borderId="0" xfId="0" applyNumberFormat="1" applyFont="1" applyFill="1" applyBorder="1"/>
    <xf numFmtId="0" fontId="7" fillId="5" borderId="0" xfId="0" applyNumberFormat="1" applyFont="1" applyFill="1" applyBorder="1" applyAlignment="1" applyProtection="1"/>
    <xf numFmtId="49" fontId="8" fillId="5" borderId="0" xfId="0" applyNumberFormat="1" applyFont="1" applyFill="1" applyBorder="1"/>
    <xf numFmtId="49" fontId="8" fillId="5" borderId="0" xfId="0" applyNumberFormat="1" applyFont="1" applyFill="1" applyBorder="1" applyAlignment="1">
      <alignment vertical="center" textRotation="90"/>
    </xf>
    <xf numFmtId="0" fontId="7" fillId="5" borderId="8" xfId="0" applyNumberFormat="1" applyFont="1" applyFill="1" applyBorder="1" applyAlignment="1" applyProtection="1"/>
    <xf numFmtId="49" fontId="9" fillId="5" borderId="0" xfId="0" applyNumberFormat="1" applyFont="1" applyFill="1" applyBorder="1"/>
    <xf numFmtId="49" fontId="6" fillId="5" borderId="9" xfId="0" applyNumberFormat="1" applyFont="1" applyFill="1" applyBorder="1"/>
    <xf numFmtId="49" fontId="6" fillId="5" borderId="1" xfId="0" applyNumberFormat="1" applyFont="1" applyFill="1" applyBorder="1"/>
    <xf numFmtId="0" fontId="7" fillId="5" borderId="1" xfId="0" applyNumberFormat="1" applyFont="1" applyFill="1" applyBorder="1" applyAlignment="1" applyProtection="1"/>
    <xf numFmtId="49" fontId="8" fillId="5" borderId="1" xfId="0" applyNumberFormat="1" applyFont="1" applyFill="1" applyBorder="1" applyAlignment="1">
      <alignment vertical="center" textRotation="90"/>
    </xf>
    <xf numFmtId="0" fontId="7" fillId="5" borderId="10" xfId="0" applyNumberFormat="1" applyFont="1" applyFill="1" applyBorder="1" applyAlignment="1" applyProtection="1"/>
    <xf numFmtId="49" fontId="6" fillId="6" borderId="4" xfId="0" applyNumberFormat="1" applyFont="1" applyFill="1" applyBorder="1"/>
    <xf numFmtId="49" fontId="6" fillId="6" borderId="5" xfId="0" applyNumberFormat="1" applyFont="1" applyFill="1" applyBorder="1"/>
    <xf numFmtId="0" fontId="7" fillId="6" borderId="5" xfId="0" applyNumberFormat="1" applyFont="1" applyFill="1" applyBorder="1" applyAlignment="1" applyProtection="1"/>
    <xf numFmtId="49" fontId="8" fillId="6" borderId="5" xfId="0" applyNumberFormat="1" applyFont="1" applyFill="1" applyBorder="1"/>
    <xf numFmtId="0" fontId="10" fillId="6" borderId="5" xfId="0" applyNumberFormat="1" applyFont="1" applyFill="1" applyBorder="1" applyAlignment="1" applyProtection="1"/>
    <xf numFmtId="49" fontId="8" fillId="6" borderId="5" xfId="0" applyNumberFormat="1" applyFont="1" applyFill="1" applyBorder="1" applyAlignment="1">
      <alignment vertical="center" textRotation="90"/>
    </xf>
    <xf numFmtId="0" fontId="10" fillId="6" borderId="6" xfId="0" applyNumberFormat="1" applyFont="1" applyFill="1" applyBorder="1" applyAlignment="1" applyProtection="1"/>
    <xf numFmtId="49" fontId="6" fillId="6" borderId="7" xfId="0" applyNumberFormat="1" applyFont="1" applyFill="1" applyBorder="1"/>
    <xf numFmtId="49" fontId="6" fillId="6" borderId="0" xfId="0" applyNumberFormat="1" applyFont="1" applyFill="1" applyBorder="1"/>
    <xf numFmtId="0" fontId="7" fillId="6" borderId="0" xfId="0" applyNumberFormat="1" applyFont="1" applyFill="1" applyBorder="1" applyAlignment="1" applyProtection="1"/>
    <xf numFmtId="49" fontId="8" fillId="6" borderId="0" xfId="0" applyNumberFormat="1" applyFont="1" applyFill="1" applyBorder="1" applyAlignment="1">
      <alignment vertical="center" textRotation="90"/>
    </xf>
    <xf numFmtId="0" fontId="7" fillId="6" borderId="8" xfId="0" applyNumberFormat="1" applyFont="1" applyFill="1" applyBorder="1" applyAlignment="1" applyProtection="1"/>
    <xf numFmtId="49" fontId="9" fillId="6" borderId="0" xfId="0" applyNumberFormat="1" applyFont="1" applyFill="1" applyBorder="1"/>
    <xf numFmtId="49" fontId="6" fillId="11" borderId="7" xfId="0" applyNumberFormat="1" applyFont="1" applyFill="1" applyBorder="1"/>
    <xf numFmtId="49" fontId="6" fillId="11" borderId="0" xfId="0" applyNumberFormat="1" applyFont="1" applyFill="1" applyBorder="1"/>
    <xf numFmtId="0" fontId="7" fillId="11" borderId="0" xfId="0" applyNumberFormat="1" applyFont="1" applyFill="1" applyBorder="1" applyAlignment="1" applyProtection="1"/>
    <xf numFmtId="49" fontId="8" fillId="11" borderId="0" xfId="0" applyNumberFormat="1" applyFont="1" applyFill="1" applyBorder="1"/>
    <xf numFmtId="49" fontId="8" fillId="11" borderId="0" xfId="0" applyNumberFormat="1" applyFont="1" applyFill="1" applyBorder="1" applyAlignment="1">
      <alignment vertical="center" textRotation="90"/>
    </xf>
    <xf numFmtId="0" fontId="7" fillId="11" borderId="8" xfId="0" applyNumberFormat="1" applyFont="1" applyFill="1" applyBorder="1" applyAlignment="1" applyProtection="1"/>
    <xf numFmtId="49" fontId="9" fillId="11" borderId="0" xfId="0" applyNumberFormat="1" applyFont="1" applyFill="1" applyBorder="1"/>
    <xf numFmtId="49" fontId="6" fillId="12" borderId="7" xfId="0" applyNumberFormat="1" applyFont="1" applyFill="1" applyBorder="1"/>
    <xf numFmtId="49" fontId="6" fillId="12" borderId="0" xfId="0" applyNumberFormat="1" applyFont="1" applyFill="1" applyBorder="1"/>
    <xf numFmtId="0" fontId="7" fillId="12" borderId="0" xfId="0" applyNumberFormat="1" applyFont="1" applyFill="1" applyBorder="1" applyAlignment="1" applyProtection="1"/>
    <xf numFmtId="49" fontId="8" fillId="12" borderId="0" xfId="0" applyNumberFormat="1" applyFont="1" applyFill="1" applyBorder="1"/>
    <xf numFmtId="0" fontId="10" fillId="12" borderId="0" xfId="0" applyNumberFormat="1" applyFont="1" applyFill="1" applyBorder="1" applyAlignment="1" applyProtection="1"/>
    <xf numFmtId="49" fontId="8" fillId="12" borderId="0" xfId="0" applyNumberFormat="1" applyFont="1" applyFill="1" applyBorder="1" applyAlignment="1">
      <alignment vertical="center" textRotation="90"/>
    </xf>
    <xf numFmtId="0" fontId="7" fillId="12" borderId="8" xfId="0" applyNumberFormat="1" applyFont="1" applyFill="1" applyBorder="1" applyAlignment="1" applyProtection="1"/>
    <xf numFmtId="49" fontId="6" fillId="12" borderId="9" xfId="0" applyNumberFormat="1" applyFont="1" applyFill="1" applyBorder="1"/>
    <xf numFmtId="49" fontId="6" fillId="12" borderId="1" xfId="0" applyNumberFormat="1" applyFont="1" applyFill="1" applyBorder="1"/>
    <xf numFmtId="0" fontId="7" fillId="12" borderId="1" xfId="0" applyNumberFormat="1" applyFont="1" applyFill="1" applyBorder="1" applyAlignment="1" applyProtection="1"/>
    <xf numFmtId="49" fontId="8" fillId="12" borderId="1" xfId="0" applyNumberFormat="1" applyFont="1" applyFill="1" applyBorder="1" applyAlignment="1">
      <alignment vertical="center" textRotation="90"/>
    </xf>
    <xf numFmtId="0" fontId="7" fillId="12" borderId="10" xfId="0" applyNumberFormat="1" applyFont="1" applyFill="1" applyBorder="1" applyAlignment="1" applyProtection="1"/>
    <xf numFmtId="0" fontId="11" fillId="6" borderId="5" xfId="0" applyNumberFormat="1" applyFont="1" applyFill="1" applyBorder="1" applyAlignment="1" applyProtection="1"/>
    <xf numFmtId="0" fontId="7" fillId="6" borderId="6" xfId="0" applyNumberFormat="1" applyFont="1" applyFill="1" applyBorder="1" applyAlignment="1" applyProtection="1"/>
    <xf numFmtId="0" fontId="10" fillId="6" borderId="0" xfId="0" applyNumberFormat="1" applyFont="1" applyFill="1" applyBorder="1" applyAlignment="1" applyProtection="1"/>
    <xf numFmtId="49" fontId="6" fillId="6" borderId="9" xfId="0" applyNumberFormat="1" applyFont="1" applyFill="1" applyBorder="1"/>
    <xf numFmtId="49" fontId="6" fillId="6" borderId="1" xfId="0" applyNumberFormat="1" applyFont="1" applyFill="1" applyBorder="1"/>
    <xf numFmtId="0" fontId="7" fillId="6" borderId="1" xfId="0" applyNumberFormat="1" applyFont="1" applyFill="1" applyBorder="1" applyAlignment="1" applyProtection="1"/>
    <xf numFmtId="0" fontId="7" fillId="6" borderId="10" xfId="0" applyNumberFormat="1" applyFont="1" applyFill="1" applyBorder="1" applyAlignment="1" applyProtection="1"/>
    <xf numFmtId="49" fontId="6" fillId="2" borderId="5" xfId="0" applyNumberFormat="1" applyFont="1" applyFill="1" applyBorder="1"/>
    <xf numFmtId="49" fontId="8" fillId="2" borderId="5" xfId="0" applyNumberFormat="1" applyFont="1" applyFill="1" applyBorder="1"/>
    <xf numFmtId="49" fontId="6" fillId="2" borderId="0" xfId="0" applyNumberFormat="1" applyFont="1" applyFill="1" applyBorder="1"/>
    <xf numFmtId="49" fontId="9" fillId="2" borderId="0" xfId="0" applyNumberFormat="1" applyFont="1" applyFill="1" applyBorder="1"/>
    <xf numFmtId="49" fontId="6" fillId="8" borderId="4" xfId="0" applyNumberFormat="1" applyFont="1" applyFill="1" applyBorder="1"/>
    <xf numFmtId="49" fontId="12" fillId="8" borderId="0" xfId="0" applyNumberFormat="1" applyFont="1" applyFill="1" applyBorder="1"/>
    <xf numFmtId="0" fontId="7" fillId="8" borderId="5" xfId="0" applyNumberFormat="1" applyFont="1" applyFill="1" applyBorder="1" applyAlignment="1" applyProtection="1"/>
    <xf numFmtId="49" fontId="8" fillId="8" borderId="5" xfId="0" applyNumberFormat="1" applyFont="1" applyFill="1" applyBorder="1"/>
    <xf numFmtId="49" fontId="6" fillId="8" borderId="5" xfId="0" applyNumberFormat="1" applyFont="1" applyFill="1" applyBorder="1"/>
    <xf numFmtId="0" fontId="7" fillId="8" borderId="6" xfId="0" applyNumberFormat="1" applyFont="1" applyFill="1" applyBorder="1" applyAlignment="1" applyProtection="1"/>
    <xf numFmtId="49" fontId="9" fillId="13" borderId="0" xfId="0" applyNumberFormat="1" applyFont="1" applyFill="1" applyBorder="1" applyAlignment="1">
      <alignment horizontal="left"/>
    </xf>
    <xf numFmtId="0" fontId="7" fillId="13" borderId="0" xfId="0" applyNumberFormat="1" applyFont="1" applyFill="1" applyBorder="1" applyAlignment="1" applyProtection="1">
      <alignment horizontal="left"/>
    </xf>
    <xf numFmtId="49" fontId="13" fillId="13" borderId="0" xfId="0" applyNumberFormat="1" applyFont="1" applyFill="1" applyBorder="1" applyAlignment="1">
      <alignment horizontal="left"/>
    </xf>
    <xf numFmtId="49" fontId="6" fillId="8" borderId="9" xfId="0" applyNumberFormat="1" applyFont="1" applyFill="1" applyBorder="1"/>
    <xf numFmtId="0" fontId="7" fillId="8" borderId="1" xfId="0" applyNumberFormat="1" applyFont="1" applyFill="1" applyBorder="1" applyAlignment="1" applyProtection="1"/>
    <xf numFmtId="49" fontId="6" fillId="8" borderId="1" xfId="0" applyNumberFormat="1" applyFont="1" applyFill="1" applyBorder="1"/>
    <xf numFmtId="0" fontId="7" fillId="8" borderId="10" xfId="0" applyNumberFormat="1" applyFont="1" applyFill="1" applyBorder="1" applyAlignment="1" applyProtection="1"/>
    <xf numFmtId="49" fontId="6" fillId="2" borderId="11" xfId="0" applyNumberFormat="1" applyFont="1" applyFill="1" applyBorder="1"/>
    <xf numFmtId="49" fontId="12" fillId="14" borderId="12" xfId="0" applyNumberFormat="1" applyFont="1" applyFill="1" applyBorder="1"/>
    <xf numFmtId="0" fontId="7" fillId="2" borderId="13" xfId="0" applyNumberFormat="1" applyFont="1" applyFill="1" applyBorder="1" applyAlignment="1" applyProtection="1"/>
    <xf numFmtId="49" fontId="9" fillId="2" borderId="13" xfId="0" applyNumberFormat="1" applyFont="1" applyFill="1" applyBorder="1"/>
    <xf numFmtId="49" fontId="6" fillId="2" borderId="13" xfId="0" applyNumberFormat="1" applyFont="1" applyFill="1" applyBorder="1"/>
    <xf numFmtId="0" fontId="7" fillId="2" borderId="14" xfId="0" applyNumberFormat="1" applyFont="1" applyFill="1" applyBorder="1" applyAlignment="1" applyProtection="1"/>
    <xf numFmtId="0" fontId="16" fillId="0" borderId="0" xfId="0" applyFont="1" applyProtection="1">
      <protection locked="0"/>
    </xf>
    <xf numFmtId="0" fontId="17" fillId="0" borderId="0" xfId="0" applyNumberFormat="1" applyFont="1" applyFill="1" applyBorder="1" applyAlignment="1" applyProtection="1">
      <alignment wrapText="1"/>
      <protection locked="0"/>
    </xf>
    <xf numFmtId="0" fontId="17" fillId="0" borderId="0" xfId="0" applyNumberFormat="1" applyFont="1" applyFill="1" applyBorder="1" applyAlignment="1" applyProtection="1">
      <alignment vertical="top" wrapText="1"/>
      <protection locked="0"/>
    </xf>
    <xf numFmtId="0" fontId="17" fillId="0" borderId="0" xfId="0" applyNumberFormat="1" applyFont="1" applyFill="1" applyBorder="1" applyAlignment="1" applyProtection="1">
      <alignment horizontal="center" vertical="top" wrapText="1"/>
      <protection locked="0"/>
    </xf>
    <xf numFmtId="0" fontId="16" fillId="0" borderId="0" xfId="0" applyFont="1" applyFill="1" applyProtection="1">
      <protection locked="0"/>
    </xf>
    <xf numFmtId="0" fontId="22" fillId="0" borderId="1" xfId="0" applyNumberFormat="1" applyFont="1" applyFill="1" applyBorder="1" applyAlignment="1" applyProtection="1">
      <protection locked="0"/>
    </xf>
    <xf numFmtId="0" fontId="2" fillId="0" borderId="0" xfId="0" applyFont="1" applyProtection="1">
      <protection locked="0"/>
    </xf>
    <xf numFmtId="0" fontId="24" fillId="0" borderId="2" xfId="0" applyFont="1" applyBorder="1" applyAlignment="1" applyProtection="1">
      <alignment horizontal="center"/>
      <protection locked="0"/>
    </xf>
    <xf numFmtId="0" fontId="24" fillId="0" borderId="2" xfId="0" applyFont="1" applyFill="1" applyBorder="1" applyAlignment="1" applyProtection="1">
      <alignment horizontal="center"/>
      <protection locked="0"/>
    </xf>
    <xf numFmtId="0" fontId="24" fillId="0" borderId="3" xfId="0" applyFont="1" applyBorder="1" applyAlignment="1" applyProtection="1">
      <alignment horizontal="center"/>
      <protection locked="0"/>
    </xf>
    <xf numFmtId="0" fontId="24" fillId="0" borderId="33" xfId="0" applyFont="1" applyFill="1" applyBorder="1" applyAlignment="1" applyProtection="1">
      <alignment horizontal="center"/>
      <protection locked="0"/>
    </xf>
    <xf numFmtId="0" fontId="2" fillId="0" borderId="0" xfId="0" applyFont="1" applyAlignment="1" applyProtection="1">
      <protection locked="0"/>
    </xf>
    <xf numFmtId="0" fontId="19" fillId="0" borderId="0" xfId="0" applyNumberFormat="1" applyFont="1" applyFill="1" applyBorder="1" applyAlignment="1" applyProtection="1">
      <alignment vertical="center" wrapText="1"/>
      <protection locked="0"/>
    </xf>
    <xf numFmtId="49" fontId="2" fillId="0" borderId="0" xfId="0" applyNumberFormat="1" applyFont="1" applyAlignment="1" applyProtection="1">
      <alignment horizontal="left" wrapText="1" indent="1"/>
      <protection locked="0"/>
    </xf>
    <xf numFmtId="3" fontId="22" fillId="0" borderId="7" xfId="0" applyNumberFormat="1" applyFont="1" applyBorder="1" applyAlignment="1" applyProtection="1">
      <alignment horizontal="right" vertical="center"/>
      <protection locked="0"/>
    </xf>
    <xf numFmtId="0" fontId="2" fillId="0" borderId="0" xfId="0" applyFont="1" applyBorder="1" applyAlignment="1" applyProtection="1">
      <alignment horizontal="left" indent="1"/>
      <protection locked="0"/>
    </xf>
    <xf numFmtId="0" fontId="2" fillId="0" borderId="0" xfId="0" applyFont="1" applyAlignment="1" applyProtection="1">
      <alignment horizontal="left" indent="1"/>
      <protection locked="0"/>
    </xf>
    <xf numFmtId="49" fontId="18" fillId="0" borderId="0" xfId="0" applyNumberFormat="1" applyFont="1" applyAlignment="1" applyProtection="1">
      <alignment horizontal="left" vertical="center" wrapText="1"/>
      <protection locked="0"/>
    </xf>
    <xf numFmtId="3" fontId="18" fillId="0" borderId="31" xfId="0" applyNumberFormat="1" applyFont="1" applyBorder="1" applyAlignment="1">
      <alignment vertical="center" wrapText="1"/>
    </xf>
    <xf numFmtId="3" fontId="18" fillId="0" borderId="15" xfId="0" applyNumberFormat="1" applyFont="1" applyBorder="1" applyAlignment="1">
      <alignment vertical="center" wrapText="1"/>
    </xf>
    <xf numFmtId="3" fontId="18" fillId="0" borderId="0" xfId="0" applyNumberFormat="1" applyFont="1" applyFill="1" applyBorder="1" applyAlignment="1">
      <alignment vertical="center" wrapText="1"/>
    </xf>
    <xf numFmtId="3" fontId="18" fillId="0" borderId="8" xfId="0" applyNumberFormat="1" applyFont="1" applyFill="1" applyBorder="1" applyAlignment="1">
      <alignment vertical="center" wrapText="1"/>
    </xf>
    <xf numFmtId="0" fontId="18" fillId="0" borderId="0" xfId="0" applyFont="1" applyAlignment="1" applyProtection="1">
      <alignment vertical="center"/>
      <protection locked="0"/>
    </xf>
    <xf numFmtId="0" fontId="18" fillId="0" borderId="0" xfId="0" applyFont="1" applyAlignment="1" applyProtection="1">
      <protection locked="0"/>
    </xf>
    <xf numFmtId="49" fontId="2" fillId="0" borderId="0" xfId="0" applyNumberFormat="1" applyFont="1" applyAlignment="1" applyProtection="1">
      <alignment horizontal="left" indent="1"/>
      <protection locked="0"/>
    </xf>
    <xf numFmtId="0" fontId="2" fillId="0" borderId="0" xfId="0" applyFont="1" applyBorder="1" applyAlignment="1" applyProtection="1">
      <protection locked="0"/>
    </xf>
    <xf numFmtId="49" fontId="2" fillId="0" borderId="1" xfId="0" applyNumberFormat="1" applyFont="1" applyBorder="1" applyAlignment="1" applyProtection="1">
      <alignment horizontal="left" wrapText="1" indent="1"/>
      <protection locked="0"/>
    </xf>
    <xf numFmtId="3" fontId="22" fillId="0" borderId="19" xfId="0" applyNumberFormat="1" applyFont="1" applyBorder="1" applyAlignment="1" applyProtection="1">
      <alignment horizontal="right" vertical="center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protection locked="0"/>
    </xf>
    <xf numFmtId="49" fontId="2" fillId="0" borderId="0" xfId="0" applyNumberFormat="1" applyFont="1" applyAlignment="1" applyProtection="1">
      <alignment wrapText="1"/>
      <protection locked="0"/>
    </xf>
    <xf numFmtId="0" fontId="2" fillId="0" borderId="0" xfId="0" applyFont="1" applyFill="1" applyProtection="1">
      <protection locked="0"/>
    </xf>
    <xf numFmtId="49" fontId="2" fillId="0" borderId="0" xfId="0" applyNumberFormat="1" applyFont="1" applyProtection="1">
      <protection locked="0"/>
    </xf>
    <xf numFmtId="0" fontId="21" fillId="0" borderId="1" xfId="0" applyNumberFormat="1" applyFont="1" applyFill="1" applyBorder="1" applyAlignment="1" applyProtection="1">
      <alignment horizontal="right"/>
      <protection locked="0"/>
    </xf>
    <xf numFmtId="0" fontId="21" fillId="0" borderId="1" xfId="0" applyNumberFormat="1" applyFont="1" applyFill="1" applyBorder="1" applyAlignment="1" applyProtection="1">
      <protection locked="0"/>
    </xf>
    <xf numFmtId="3" fontId="25" fillId="0" borderId="15" xfId="0" applyNumberFormat="1" applyFont="1" applyBorder="1" applyAlignment="1">
      <alignment horizontal="right" vertical="top"/>
    </xf>
    <xf numFmtId="3" fontId="25" fillId="0" borderId="0" xfId="0" applyNumberFormat="1" applyFont="1" applyBorder="1" applyAlignment="1">
      <alignment horizontal="right" vertical="top"/>
    </xf>
    <xf numFmtId="0" fontId="25" fillId="0" borderId="15" xfId="0" applyFont="1" applyBorder="1" applyAlignment="1">
      <alignment horizontal="right" vertical="top"/>
    </xf>
    <xf numFmtId="0" fontId="25" fillId="0" borderId="0" xfId="0" applyFont="1" applyBorder="1" applyAlignment="1">
      <alignment horizontal="right" vertical="top"/>
    </xf>
    <xf numFmtId="3" fontId="25" fillId="0" borderId="35" xfId="0" applyNumberFormat="1" applyFont="1" applyBorder="1" applyAlignment="1">
      <alignment horizontal="right" vertical="top"/>
    </xf>
    <xf numFmtId="3" fontId="25" fillId="0" borderId="18" xfId="0" applyNumberFormat="1" applyFont="1" applyBorder="1" applyAlignment="1">
      <alignment horizontal="right" vertical="top"/>
    </xf>
    <xf numFmtId="3" fontId="25" fillId="0" borderId="1" xfId="0" applyNumberFormat="1" applyFont="1" applyBorder="1" applyAlignment="1">
      <alignment horizontal="right" vertical="top"/>
    </xf>
    <xf numFmtId="0" fontId="25" fillId="0" borderId="1" xfId="0" applyFont="1" applyBorder="1" applyAlignment="1">
      <alignment horizontal="right" vertical="top"/>
    </xf>
    <xf numFmtId="3" fontId="25" fillId="0" borderId="36" xfId="0" applyNumberFormat="1" applyFont="1" applyBorder="1" applyAlignment="1">
      <alignment horizontal="right" vertical="top"/>
    </xf>
    <xf numFmtId="49" fontId="1" fillId="0" borderId="0" xfId="0" applyNumberFormat="1" applyFont="1" applyAlignment="1" applyProtection="1">
      <alignment horizontal="left" wrapText="1"/>
      <protection locked="0"/>
    </xf>
    <xf numFmtId="0" fontId="22" fillId="0" borderId="0" xfId="0" applyFont="1" applyAlignment="1" applyProtection="1">
      <alignment horizontal="left" indent="1"/>
      <protection locked="0"/>
    </xf>
    <xf numFmtId="49" fontId="1" fillId="0" borderId="0" xfId="0" applyNumberFormat="1" applyFont="1" applyAlignment="1" applyProtection="1">
      <alignment horizontal="left" wrapText="1" indent="1"/>
      <protection locked="0"/>
    </xf>
    <xf numFmtId="0" fontId="1" fillId="0" borderId="0" xfId="0" applyFont="1" applyAlignment="1" applyProtection="1">
      <alignment horizontal="left" indent="1"/>
      <protection locked="0"/>
    </xf>
    <xf numFmtId="49" fontId="8" fillId="15" borderId="5" xfId="0" applyNumberFormat="1" applyFont="1" applyFill="1" applyBorder="1" applyAlignment="1">
      <alignment horizontal="center" vertical="center" textRotation="90"/>
    </xf>
    <xf numFmtId="49" fontId="8" fillId="15" borderId="0" xfId="0" applyNumberFormat="1" applyFont="1" applyFill="1" applyBorder="1" applyAlignment="1">
      <alignment horizontal="center" vertical="center" textRotation="90"/>
    </xf>
    <xf numFmtId="49" fontId="8" fillId="15" borderId="1" xfId="0" applyNumberFormat="1" applyFont="1" applyFill="1" applyBorder="1" applyAlignment="1">
      <alignment horizontal="center" vertical="center" textRotation="90"/>
    </xf>
    <xf numFmtId="49" fontId="8" fillId="3" borderId="5" xfId="0" applyNumberFormat="1" applyFont="1" applyFill="1" applyBorder="1" applyAlignment="1">
      <alignment horizontal="center" vertical="center" textRotation="90" wrapText="1"/>
    </xf>
    <xf numFmtId="49" fontId="8" fillId="3" borderId="0" xfId="0" applyNumberFormat="1" applyFont="1" applyFill="1" applyBorder="1" applyAlignment="1">
      <alignment horizontal="center" vertical="center" textRotation="90" wrapText="1"/>
    </xf>
    <xf numFmtId="49" fontId="8" fillId="3" borderId="1" xfId="0" applyNumberFormat="1" applyFont="1" applyFill="1" applyBorder="1" applyAlignment="1">
      <alignment horizontal="center" vertical="center" textRotation="90" wrapText="1"/>
    </xf>
    <xf numFmtId="49" fontId="9" fillId="2" borderId="0" xfId="0" applyNumberFormat="1" applyFont="1" applyFill="1" applyBorder="1" applyAlignment="1">
      <alignment horizontal="left" vertical="center" wrapText="1"/>
    </xf>
    <xf numFmtId="49" fontId="8" fillId="2" borderId="5" xfId="0" applyNumberFormat="1" applyFont="1" applyFill="1" applyBorder="1" applyAlignment="1">
      <alignment horizontal="center" vertical="center" textRotation="90" wrapText="1"/>
    </xf>
    <xf numFmtId="49" fontId="8" fillId="2" borderId="0" xfId="0" applyNumberFormat="1" applyFont="1" applyFill="1" applyBorder="1" applyAlignment="1">
      <alignment horizontal="center" vertical="center" textRotation="90" wrapText="1"/>
    </xf>
    <xf numFmtId="49" fontId="8" fillId="2" borderId="1" xfId="0" applyNumberFormat="1" applyFont="1" applyFill="1" applyBorder="1" applyAlignment="1">
      <alignment horizontal="center" vertical="center" textRotation="90" wrapText="1"/>
    </xf>
    <xf numFmtId="49" fontId="8" fillId="7" borderId="5" xfId="0" applyNumberFormat="1" applyFont="1" applyFill="1" applyBorder="1" applyAlignment="1">
      <alignment horizontal="center" vertical="center" textRotation="90" wrapText="1"/>
    </xf>
    <xf numFmtId="49" fontId="8" fillId="7" borderId="0" xfId="0" applyNumberFormat="1" applyFont="1" applyFill="1" applyBorder="1" applyAlignment="1">
      <alignment horizontal="center" vertical="center" textRotation="90" wrapText="1"/>
    </xf>
    <xf numFmtId="49" fontId="8" fillId="7" borderId="1" xfId="0" applyNumberFormat="1" applyFont="1" applyFill="1" applyBorder="1" applyAlignment="1">
      <alignment horizontal="center" vertical="center" textRotation="90" wrapText="1"/>
    </xf>
    <xf numFmtId="0" fontId="22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20" fillId="0" borderId="0" xfId="0" applyNumberFormat="1" applyFont="1" applyFill="1" applyBorder="1" applyAlignment="1" applyProtection="1">
      <alignment horizontal="center"/>
      <protection locked="0"/>
    </xf>
    <xf numFmtId="0" fontId="20" fillId="0" borderId="0" xfId="0" applyNumberFormat="1" applyFont="1" applyFill="1" applyBorder="1" applyAlignment="1" applyProtection="1">
      <alignment horizontal="center" vertical="top" wrapText="1"/>
      <protection locked="0"/>
    </xf>
    <xf numFmtId="0" fontId="20" fillId="0" borderId="0" xfId="0" applyNumberFormat="1" applyFont="1" applyFill="1" applyBorder="1" applyAlignment="1" applyProtection="1">
      <alignment horizontal="center" wrapText="1"/>
      <protection locked="0"/>
    </xf>
    <xf numFmtId="0" fontId="2" fillId="0" borderId="0" xfId="0" applyFont="1" applyBorder="1" applyAlignment="1" applyProtection="1">
      <alignment horizontal="left" wrapText="1" indent="1"/>
      <protection locked="0"/>
    </xf>
    <xf numFmtId="49" fontId="18" fillId="0" borderId="0" xfId="0" applyNumberFormat="1" applyFont="1" applyBorder="1" applyAlignment="1" applyProtection="1">
      <alignment horizontal="left" vertical="center" wrapText="1"/>
      <protection locked="0"/>
    </xf>
    <xf numFmtId="0" fontId="19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8" fillId="0" borderId="0" xfId="0" applyFont="1" applyBorder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 wrapText="1" indent="1"/>
      <protection locked="0"/>
    </xf>
    <xf numFmtId="3" fontId="18" fillId="0" borderId="0" xfId="0" applyNumberFormat="1" applyFont="1" applyFill="1" applyBorder="1" applyAlignment="1" applyProtection="1">
      <alignment horizontal="right" vertical="center"/>
    </xf>
    <xf numFmtId="3" fontId="18" fillId="0" borderId="15" xfId="0" applyNumberFormat="1" applyFont="1" applyBorder="1" applyAlignment="1" applyProtection="1">
      <alignment horizontal="right" vertical="center"/>
    </xf>
    <xf numFmtId="3" fontId="18" fillId="0" borderId="16" xfId="0" applyNumberFormat="1" applyFont="1" applyBorder="1" applyAlignment="1" applyProtection="1">
      <alignment horizontal="right" vertical="center"/>
    </xf>
    <xf numFmtId="3" fontId="18" fillId="0" borderId="8" xfId="0" applyNumberFormat="1" applyFont="1" applyFill="1" applyBorder="1" applyAlignment="1" applyProtection="1">
      <alignment horizontal="right" vertical="center"/>
    </xf>
    <xf numFmtId="0" fontId="18" fillId="0" borderId="0" xfId="0" applyFont="1" applyBorder="1" applyAlignment="1" applyProtection="1">
      <alignment vertical="center"/>
      <protection locked="0"/>
    </xf>
    <xf numFmtId="0" fontId="18" fillId="0" borderId="0" xfId="0" applyFont="1" applyBorder="1" applyAlignment="1" applyProtection="1">
      <alignment vertical="center" wrapText="1"/>
      <protection locked="0"/>
    </xf>
    <xf numFmtId="3" fontId="18" fillId="0" borderId="8" xfId="0" applyNumberFormat="1" applyFont="1" applyBorder="1" applyAlignment="1" applyProtection="1">
      <alignment horizontal="right" vertical="center"/>
    </xf>
    <xf numFmtId="0" fontId="22" fillId="0" borderId="0" xfId="0" applyFont="1" applyBorder="1" applyAlignment="1" applyProtection="1">
      <alignment horizontal="left"/>
      <protection locked="0"/>
    </xf>
    <xf numFmtId="0" fontId="2" fillId="0" borderId="5" xfId="0" applyFont="1" applyBorder="1" applyAlignment="1" applyProtection="1">
      <alignment horizontal="right"/>
      <protection locked="0"/>
    </xf>
    <xf numFmtId="49" fontId="18" fillId="0" borderId="0" xfId="0" applyNumberFormat="1" applyFont="1" applyAlignment="1" applyProtection="1">
      <alignment horizontal="left" vertical="center" wrapText="1"/>
      <protection locked="0"/>
    </xf>
    <xf numFmtId="3" fontId="18" fillId="0" borderId="31" xfId="0" applyNumberFormat="1" applyFont="1" applyBorder="1" applyAlignment="1" applyProtection="1">
      <alignment horizontal="right" vertical="center"/>
    </xf>
    <xf numFmtId="0" fontId="21" fillId="0" borderId="1" xfId="0" applyNumberFormat="1" applyFont="1" applyFill="1" applyBorder="1" applyAlignment="1" applyProtection="1">
      <alignment horizontal="left"/>
      <protection locked="0"/>
    </xf>
    <xf numFmtId="3" fontId="18" fillId="0" borderId="24" xfId="0" applyNumberFormat="1" applyFont="1" applyBorder="1" applyAlignment="1" applyProtection="1">
      <alignment horizontal="right" vertical="center"/>
    </xf>
    <xf numFmtId="3" fontId="18" fillId="0" borderId="7" xfId="0" applyNumberFormat="1" applyFont="1" applyBorder="1" applyAlignment="1" applyProtection="1">
      <alignment horizontal="right" vertical="center"/>
    </xf>
    <xf numFmtId="3" fontId="18" fillId="0" borderId="26" xfId="0" applyNumberFormat="1" applyFont="1" applyFill="1" applyBorder="1" applyAlignment="1" applyProtection="1">
      <alignment horizontal="right" vertical="center"/>
    </xf>
    <xf numFmtId="49" fontId="18" fillId="0" borderId="26" xfId="0" applyNumberFormat="1" applyFont="1" applyBorder="1" applyAlignment="1" applyProtection="1">
      <alignment horizontal="left" vertical="center"/>
      <protection locked="0"/>
    </xf>
    <xf numFmtId="49" fontId="18" fillId="0" borderId="0" xfId="0" applyNumberFormat="1" applyFont="1" applyBorder="1" applyAlignment="1" applyProtection="1">
      <alignment horizontal="left" vertical="center"/>
      <protection locked="0"/>
    </xf>
    <xf numFmtId="3" fontId="18" fillId="0" borderId="25" xfId="0" applyNumberFormat="1" applyFont="1" applyBorder="1" applyAlignment="1" applyProtection="1">
      <alignment horizontal="right" vertical="center"/>
    </xf>
    <xf numFmtId="0" fontId="22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1" xfId="0" applyFont="1" applyBorder="1"/>
    <xf numFmtId="0" fontId="2" fillId="0" borderId="17" xfId="0" applyFont="1" applyBorder="1"/>
    <xf numFmtId="0" fontId="2" fillId="0" borderId="16" xfId="0" applyFont="1" applyBorder="1"/>
    <xf numFmtId="0" fontId="2" fillId="0" borderId="22" xfId="0" applyFont="1" applyBorder="1"/>
    <xf numFmtId="0" fontId="2" fillId="0" borderId="23" xfId="0" applyFont="1" applyBorder="1"/>
    <xf numFmtId="0" fontId="22" fillId="0" borderId="28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3" xfId="0" applyFont="1" applyBorder="1"/>
    <xf numFmtId="0" fontId="19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19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19" fillId="0" borderId="29" xfId="0" applyNumberFormat="1" applyFont="1" applyFill="1" applyBorder="1" applyAlignment="1" applyProtection="1">
      <alignment horizontal="center" vertical="center" wrapText="1"/>
      <protection locked="0"/>
    </xf>
    <xf numFmtId="0" fontId="19" fillId="0" borderId="30" xfId="0" applyNumberFormat="1" applyFont="1" applyFill="1" applyBorder="1" applyAlignment="1" applyProtection="1">
      <alignment horizontal="center" vertical="center" wrapText="1"/>
      <protection locked="0"/>
    </xf>
    <xf numFmtId="0" fontId="19" fillId="0" borderId="31" xfId="0" applyNumberFormat="1" applyFont="1" applyFill="1" applyBorder="1" applyAlignment="1" applyProtection="1">
      <alignment horizontal="center" vertical="center" wrapText="1"/>
      <protection locked="0"/>
    </xf>
    <xf numFmtId="0" fontId="19" fillId="0" borderId="32" xfId="0" applyNumberFormat="1" applyFont="1" applyFill="1" applyBorder="1" applyAlignment="1" applyProtection="1">
      <alignment horizontal="center" vertical="center" wrapText="1"/>
      <protection locked="0"/>
    </xf>
    <xf numFmtId="0" fontId="22" fillId="0" borderId="1" xfId="0" applyFont="1" applyFill="1" applyBorder="1" applyAlignment="1" applyProtection="1">
      <alignment horizontal="left"/>
      <protection locked="0"/>
    </xf>
    <xf numFmtId="0" fontId="22" fillId="0" borderId="21" xfId="0" applyNumberFormat="1" applyFont="1" applyFill="1" applyBorder="1" applyAlignment="1" applyProtection="1">
      <alignment horizontal="center" vertical="center" wrapText="1"/>
      <protection locked="0"/>
    </xf>
    <xf numFmtId="0" fontId="22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22" fillId="0" borderId="16" xfId="0" applyNumberFormat="1" applyFont="1" applyFill="1" applyBorder="1" applyAlignment="1" applyProtection="1">
      <alignment horizontal="center" vertical="center" wrapText="1"/>
      <protection locked="0"/>
    </xf>
    <xf numFmtId="0" fontId="22" fillId="0" borderId="22" xfId="0" applyNumberFormat="1" applyFont="1" applyFill="1" applyBorder="1" applyAlignment="1" applyProtection="1">
      <alignment horizontal="center" vertical="center" wrapText="1"/>
      <protection locked="0"/>
    </xf>
    <xf numFmtId="0" fontId="22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9" fillId="0" borderId="5" xfId="0" applyNumberFormat="1" applyFont="1" applyFill="1" applyBorder="1" applyAlignment="1" applyProtection="1">
      <alignment horizontal="left" vertical="center" wrapText="1"/>
      <protection locked="0"/>
    </xf>
    <xf numFmtId="0" fontId="19" fillId="0" borderId="27" xfId="0" applyNumberFormat="1" applyFont="1" applyFill="1" applyBorder="1" applyAlignment="1" applyProtection="1">
      <alignment horizontal="left" vertical="center" wrapText="1"/>
      <protection locked="0"/>
    </xf>
    <xf numFmtId="0" fontId="2" fillId="0" borderId="5" xfId="0" applyFont="1" applyBorder="1"/>
    <xf numFmtId="0" fontId="2" fillId="0" borderId="27" xfId="0" applyFont="1" applyBorder="1"/>
    <xf numFmtId="0" fontId="22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22" fillId="0" borderId="27" xfId="0" applyNumberFormat="1" applyFont="1" applyFill="1" applyBorder="1" applyAlignment="1" applyProtection="1">
      <alignment horizontal="center" vertical="center" wrapText="1"/>
      <protection locked="0"/>
    </xf>
    <xf numFmtId="0" fontId="22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22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22" fillId="0" borderId="29" xfId="0" applyNumberFormat="1" applyFont="1" applyFill="1" applyBorder="1" applyAlignment="1" applyProtection="1">
      <alignment horizontal="center" vertical="center" wrapText="1"/>
      <protection locked="0"/>
    </xf>
    <xf numFmtId="0" fontId="19" fillId="0" borderId="26" xfId="0" applyNumberFormat="1" applyFont="1" applyFill="1" applyBorder="1" applyAlignment="1" applyProtection="1">
      <alignment vertical="center" wrapText="1"/>
      <protection locked="0"/>
    </xf>
    <xf numFmtId="0" fontId="19" fillId="0" borderId="0" xfId="0" applyNumberFormat="1" applyFont="1" applyFill="1" applyBorder="1" applyAlignment="1" applyProtection="1">
      <alignment vertical="center" wrapText="1"/>
      <protection locked="0"/>
    </xf>
    <xf numFmtId="3" fontId="18" fillId="0" borderId="34" xfId="0" applyNumberFormat="1" applyFont="1" applyFill="1" applyBorder="1" applyAlignment="1" applyProtection="1">
      <alignment horizontal="right" vertical="center"/>
    </xf>
    <xf numFmtId="0" fontId="5" fillId="0" borderId="0" xfId="0" applyNumberFormat="1" applyFont="1" applyFill="1" applyBorder="1" applyAlignment="1" applyProtection="1">
      <alignment horizontal="center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vertical="center" wrapText="1"/>
    </xf>
    <xf numFmtId="49" fontId="15" fillId="0" borderId="0" xfId="0" applyNumberFormat="1" applyFont="1" applyBorder="1" applyAlignment="1">
      <alignment horizontal="left" vertical="center" wrapText="1"/>
    </xf>
    <xf numFmtId="0" fontId="14" fillId="0" borderId="0" xfId="0" applyFont="1" applyBorder="1" applyAlignment="1">
      <alignment horizontal="center"/>
    </xf>
    <xf numFmtId="49" fontId="15" fillId="0" borderId="0" xfId="0" applyNumberFormat="1" applyFont="1" applyBorder="1" applyAlignment="1">
      <alignment horizontal="left" vertical="center"/>
    </xf>
    <xf numFmtId="49" fontId="15" fillId="0" borderId="0" xfId="0" applyNumberFormat="1" applyFont="1" applyBorder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topLeftCell="A55" workbookViewId="0">
      <selection activeCell="A55" sqref="A1:IV65536"/>
    </sheetView>
  </sheetViews>
  <sheetFormatPr defaultRowHeight="15.05" x14ac:dyDescent="0.3"/>
  <cols>
    <col min="2" max="2" width="20.109375" bestFit="1" customWidth="1"/>
  </cols>
  <sheetData>
    <row r="1" spans="1:13" x14ac:dyDescent="0.3">
      <c r="A1" s="8" t="s">
        <v>111</v>
      </c>
      <c r="B1" s="9" t="s">
        <v>34</v>
      </c>
      <c r="C1" s="10"/>
      <c r="D1" s="11"/>
      <c r="E1" s="11"/>
      <c r="F1" s="11"/>
      <c r="G1" s="11"/>
      <c r="H1" s="178" t="s">
        <v>112</v>
      </c>
      <c r="I1" s="12"/>
      <c r="J1" s="10"/>
      <c r="K1" s="10"/>
      <c r="L1" s="10"/>
      <c r="M1" s="13"/>
    </row>
    <row r="2" spans="1:13" x14ac:dyDescent="0.3">
      <c r="A2" s="14" t="s">
        <v>113</v>
      </c>
      <c r="B2" s="15" t="s">
        <v>35</v>
      </c>
      <c r="C2" s="16"/>
      <c r="D2" s="16"/>
      <c r="E2" s="16"/>
      <c r="F2" s="16"/>
      <c r="G2" s="16"/>
      <c r="H2" s="179"/>
      <c r="I2" s="17"/>
      <c r="J2" s="16"/>
      <c r="K2" s="16"/>
      <c r="L2" s="16"/>
      <c r="M2" s="18"/>
    </row>
    <row r="3" spans="1:13" x14ac:dyDescent="0.3">
      <c r="A3" s="14" t="s">
        <v>114</v>
      </c>
      <c r="B3" s="15" t="s">
        <v>36</v>
      </c>
      <c r="C3" s="16"/>
      <c r="D3" s="181" t="s">
        <v>115</v>
      </c>
      <c r="E3" s="181"/>
      <c r="F3" s="181"/>
      <c r="G3" s="181"/>
      <c r="H3" s="179"/>
      <c r="I3" s="17"/>
      <c r="J3" s="16"/>
      <c r="K3" s="16"/>
      <c r="L3" s="16"/>
      <c r="M3" s="18"/>
    </row>
    <row r="4" spans="1:13" x14ac:dyDescent="0.3">
      <c r="A4" s="14" t="s">
        <v>116</v>
      </c>
      <c r="B4" s="15" t="s">
        <v>37</v>
      </c>
      <c r="C4" s="16"/>
      <c r="D4" s="19" t="s">
        <v>117</v>
      </c>
      <c r="E4" s="16"/>
      <c r="F4" s="16"/>
      <c r="G4" s="16"/>
      <c r="H4" s="179"/>
      <c r="I4" s="17"/>
      <c r="J4" s="16"/>
      <c r="K4" s="16"/>
      <c r="L4" s="16"/>
      <c r="M4" s="18"/>
    </row>
    <row r="5" spans="1:13" x14ac:dyDescent="0.3">
      <c r="A5" s="14" t="s">
        <v>118</v>
      </c>
      <c r="B5" s="15" t="s">
        <v>38</v>
      </c>
      <c r="C5" s="16"/>
      <c r="D5" s="16"/>
      <c r="E5" s="16"/>
      <c r="F5" s="16"/>
      <c r="G5" s="16"/>
      <c r="H5" s="179"/>
      <c r="I5" s="17"/>
      <c r="J5" s="16"/>
      <c r="K5" s="16"/>
      <c r="L5" s="16"/>
      <c r="M5" s="18"/>
    </row>
    <row r="6" spans="1:13" x14ac:dyDescent="0.3">
      <c r="A6" s="14" t="s">
        <v>119</v>
      </c>
      <c r="B6" s="15" t="s">
        <v>39</v>
      </c>
      <c r="C6" s="16"/>
      <c r="D6" s="16"/>
      <c r="E6" s="16"/>
      <c r="F6" s="16"/>
      <c r="G6" s="16"/>
      <c r="H6" s="179"/>
      <c r="I6" s="17"/>
      <c r="J6" s="16"/>
      <c r="K6" s="16"/>
      <c r="L6" s="16"/>
      <c r="M6" s="18"/>
    </row>
    <row r="7" spans="1:13" x14ac:dyDescent="0.3">
      <c r="A7" s="20" t="s">
        <v>120</v>
      </c>
      <c r="B7" s="21" t="s">
        <v>40</v>
      </c>
      <c r="C7" s="22"/>
      <c r="D7" s="23"/>
      <c r="E7" s="22"/>
      <c r="F7" s="22"/>
      <c r="G7" s="22"/>
      <c r="H7" s="179"/>
      <c r="I7" s="24"/>
      <c r="J7" s="22"/>
      <c r="K7" s="22"/>
      <c r="L7" s="22"/>
      <c r="M7" s="25"/>
    </row>
    <row r="8" spans="1:13" x14ac:dyDescent="0.3">
      <c r="A8" s="20" t="s">
        <v>121</v>
      </c>
      <c r="B8" s="26" t="s">
        <v>41</v>
      </c>
      <c r="C8" s="22"/>
      <c r="D8" s="22"/>
      <c r="E8" s="22"/>
      <c r="F8" s="22"/>
      <c r="G8" s="22"/>
      <c r="H8" s="179"/>
      <c r="I8" s="24"/>
      <c r="J8" s="26"/>
      <c r="K8" s="27"/>
      <c r="L8" s="22"/>
      <c r="M8" s="25"/>
    </row>
    <row r="9" spans="1:13" x14ac:dyDescent="0.3">
      <c r="A9" s="20" t="s">
        <v>122</v>
      </c>
      <c r="B9" s="26" t="s">
        <v>42</v>
      </c>
      <c r="C9" s="22"/>
      <c r="D9" s="22"/>
      <c r="E9" s="22"/>
      <c r="F9" s="22"/>
      <c r="G9" s="22"/>
      <c r="H9" s="179"/>
      <c r="I9" s="24"/>
      <c r="J9" s="22"/>
      <c r="K9" s="22"/>
      <c r="L9" s="22"/>
      <c r="M9" s="25"/>
    </row>
    <row r="10" spans="1:13" x14ac:dyDescent="0.3">
      <c r="A10" s="20" t="s">
        <v>123</v>
      </c>
      <c r="B10" s="26" t="s">
        <v>43</v>
      </c>
      <c r="C10" s="22"/>
      <c r="D10" s="22"/>
      <c r="E10" s="22"/>
      <c r="F10" s="22"/>
      <c r="G10" s="22"/>
      <c r="H10" s="179"/>
      <c r="I10" s="24"/>
      <c r="J10" s="22"/>
      <c r="K10" s="22"/>
      <c r="L10" s="22"/>
      <c r="M10" s="25"/>
    </row>
    <row r="11" spans="1:13" x14ac:dyDescent="0.3">
      <c r="A11" s="20" t="s">
        <v>124</v>
      </c>
      <c r="B11" s="26" t="s">
        <v>44</v>
      </c>
      <c r="C11" s="22"/>
      <c r="D11" s="28" t="s">
        <v>125</v>
      </c>
      <c r="E11" s="22"/>
      <c r="F11" s="22"/>
      <c r="G11" s="22"/>
      <c r="H11" s="179"/>
      <c r="I11" s="24"/>
      <c r="J11" s="22"/>
      <c r="K11" s="22"/>
      <c r="L11" s="22"/>
      <c r="M11" s="25"/>
    </row>
    <row r="12" spans="1:13" x14ac:dyDescent="0.3">
      <c r="A12" s="20" t="s">
        <v>126</v>
      </c>
      <c r="B12" s="26" t="s">
        <v>45</v>
      </c>
      <c r="C12" s="22"/>
      <c r="D12" s="22"/>
      <c r="E12" s="22"/>
      <c r="F12" s="22"/>
      <c r="G12" s="22"/>
      <c r="H12" s="179"/>
      <c r="I12" s="24"/>
      <c r="J12" s="22"/>
      <c r="K12" s="22"/>
      <c r="L12" s="22"/>
      <c r="M12" s="25"/>
    </row>
    <row r="13" spans="1:13" x14ac:dyDescent="0.3">
      <c r="A13" s="20" t="s">
        <v>127</v>
      </c>
      <c r="B13" s="26" t="s">
        <v>46</v>
      </c>
      <c r="C13" s="22"/>
      <c r="D13" s="22"/>
      <c r="E13" s="22"/>
      <c r="F13" s="22"/>
      <c r="G13" s="22"/>
      <c r="H13" s="179"/>
      <c r="I13" s="24"/>
      <c r="J13" s="22"/>
      <c r="K13" s="22"/>
      <c r="L13" s="22"/>
      <c r="M13" s="25"/>
    </row>
    <row r="14" spans="1:13" x14ac:dyDescent="0.3">
      <c r="A14" s="20" t="s">
        <v>128</v>
      </c>
      <c r="B14" s="26" t="s">
        <v>47</v>
      </c>
      <c r="C14" s="22"/>
      <c r="D14" s="22"/>
      <c r="E14" s="22"/>
      <c r="F14" s="22"/>
      <c r="G14" s="22"/>
      <c r="H14" s="179"/>
      <c r="I14" s="24"/>
      <c r="J14" s="22"/>
      <c r="K14" s="22"/>
      <c r="L14" s="22"/>
      <c r="M14" s="25"/>
    </row>
    <row r="15" spans="1:13" x14ac:dyDescent="0.3">
      <c r="A15" s="20" t="s">
        <v>129</v>
      </c>
      <c r="B15" s="26" t="s">
        <v>48</v>
      </c>
      <c r="C15" s="22"/>
      <c r="D15" s="22"/>
      <c r="E15" s="22"/>
      <c r="F15" s="22"/>
      <c r="G15" s="22"/>
      <c r="H15" s="179"/>
      <c r="I15" s="24"/>
      <c r="J15" s="22"/>
      <c r="K15" s="22"/>
      <c r="L15" s="22"/>
      <c r="M15" s="25"/>
    </row>
    <row r="16" spans="1:13" x14ac:dyDescent="0.3">
      <c r="A16" s="20" t="s">
        <v>130</v>
      </c>
      <c r="B16" s="26" t="s">
        <v>49</v>
      </c>
      <c r="C16" s="22"/>
      <c r="D16" s="22"/>
      <c r="E16" s="22"/>
      <c r="F16" s="22"/>
      <c r="G16" s="22"/>
      <c r="H16" s="179"/>
      <c r="I16" s="24"/>
      <c r="J16" s="22"/>
      <c r="K16" s="22"/>
      <c r="L16" s="22"/>
      <c r="M16" s="25"/>
    </row>
    <row r="17" spans="1:13" x14ac:dyDescent="0.3">
      <c r="A17" s="20" t="s">
        <v>131</v>
      </c>
      <c r="B17" s="26" t="s">
        <v>50</v>
      </c>
      <c r="C17" s="22"/>
      <c r="D17" s="22"/>
      <c r="E17" s="22"/>
      <c r="F17" s="22"/>
      <c r="G17" s="22"/>
      <c r="H17" s="179"/>
      <c r="I17" s="24"/>
      <c r="J17" s="22"/>
      <c r="K17" s="22"/>
      <c r="L17" s="22"/>
      <c r="M17" s="25"/>
    </row>
    <row r="18" spans="1:13" x14ac:dyDescent="0.3">
      <c r="A18" s="29" t="s">
        <v>132</v>
      </c>
      <c r="B18" s="30" t="s">
        <v>51</v>
      </c>
      <c r="C18" s="31"/>
      <c r="D18" s="32"/>
      <c r="E18" s="31"/>
      <c r="F18" s="31"/>
      <c r="G18" s="31"/>
      <c r="H18" s="179"/>
      <c r="I18" s="33"/>
      <c r="J18" s="30"/>
      <c r="K18" s="30"/>
      <c r="L18" s="31"/>
      <c r="M18" s="34"/>
    </row>
    <row r="19" spans="1:13" x14ac:dyDescent="0.3">
      <c r="A19" s="29" t="s">
        <v>133</v>
      </c>
      <c r="B19" s="30" t="s">
        <v>52</v>
      </c>
      <c r="C19" s="31"/>
      <c r="D19" s="31"/>
      <c r="E19" s="31"/>
      <c r="F19" s="31"/>
      <c r="G19" s="31"/>
      <c r="H19" s="179"/>
      <c r="I19" s="33"/>
      <c r="J19" s="30"/>
      <c r="K19" s="30"/>
      <c r="L19" s="31"/>
      <c r="M19" s="34"/>
    </row>
    <row r="20" spans="1:13" x14ac:dyDescent="0.3">
      <c r="A20" s="29" t="s">
        <v>134</v>
      </c>
      <c r="B20" s="30" t="s">
        <v>53</v>
      </c>
      <c r="C20" s="31"/>
      <c r="D20" s="35" t="s">
        <v>135</v>
      </c>
      <c r="E20" s="31"/>
      <c r="F20" s="31"/>
      <c r="G20" s="31"/>
      <c r="H20" s="179"/>
      <c r="I20" s="33"/>
      <c r="J20" s="30"/>
      <c r="K20" s="30"/>
      <c r="L20" s="31"/>
      <c r="M20" s="34"/>
    </row>
    <row r="21" spans="1:13" ht="15.65" thickBot="1" x14ac:dyDescent="0.35">
      <c r="A21" s="36" t="s">
        <v>136</v>
      </c>
      <c r="B21" s="37" t="s">
        <v>54</v>
      </c>
      <c r="C21" s="38"/>
      <c r="D21" s="38"/>
      <c r="E21" s="38"/>
      <c r="F21" s="38"/>
      <c r="G21" s="38"/>
      <c r="H21" s="180"/>
      <c r="I21" s="39"/>
      <c r="J21" s="37"/>
      <c r="K21" s="37"/>
      <c r="L21" s="38"/>
      <c r="M21" s="40"/>
    </row>
    <row r="22" spans="1:13" x14ac:dyDescent="0.3">
      <c r="A22" s="41" t="s">
        <v>137</v>
      </c>
      <c r="B22" s="42" t="s">
        <v>55</v>
      </c>
      <c r="C22" s="43"/>
      <c r="D22" s="44"/>
      <c r="E22" s="43"/>
      <c r="F22" s="43"/>
      <c r="G22" s="45"/>
      <c r="H22" s="182" t="s">
        <v>138</v>
      </c>
      <c r="I22" s="43"/>
      <c r="J22" s="42"/>
      <c r="K22" s="42"/>
      <c r="L22" s="43"/>
      <c r="M22" s="46"/>
    </row>
    <row r="23" spans="1:13" x14ac:dyDescent="0.3">
      <c r="A23" s="47" t="s">
        <v>139</v>
      </c>
      <c r="B23" s="48" t="s">
        <v>56</v>
      </c>
      <c r="C23" s="49"/>
      <c r="D23" s="49"/>
      <c r="E23" s="49"/>
      <c r="F23" s="49"/>
      <c r="G23" s="50"/>
      <c r="H23" s="183"/>
      <c r="I23" s="49"/>
      <c r="J23" s="48"/>
      <c r="K23" s="48"/>
      <c r="L23" s="49"/>
      <c r="M23" s="51"/>
    </row>
    <row r="24" spans="1:13" x14ac:dyDescent="0.3">
      <c r="A24" s="47" t="s">
        <v>140</v>
      </c>
      <c r="B24" s="48" t="s">
        <v>57</v>
      </c>
      <c r="C24" s="49"/>
      <c r="D24" s="52" t="s">
        <v>141</v>
      </c>
      <c r="E24" s="49"/>
      <c r="F24" s="49"/>
      <c r="G24" s="50"/>
      <c r="H24" s="183"/>
      <c r="I24" s="49"/>
      <c r="J24" s="48"/>
      <c r="K24" s="48"/>
      <c r="L24" s="49"/>
      <c r="M24" s="51"/>
    </row>
    <row r="25" spans="1:13" x14ac:dyDescent="0.3">
      <c r="A25" s="47" t="s">
        <v>142</v>
      </c>
      <c r="B25" s="48" t="s">
        <v>58</v>
      </c>
      <c r="C25" s="49"/>
      <c r="D25" s="49"/>
      <c r="E25" s="49"/>
      <c r="F25" s="49"/>
      <c r="G25" s="50"/>
      <c r="H25" s="183"/>
      <c r="I25" s="49"/>
      <c r="J25" s="48"/>
      <c r="K25" s="48"/>
      <c r="L25" s="49"/>
      <c r="M25" s="51"/>
    </row>
    <row r="26" spans="1:13" x14ac:dyDescent="0.3">
      <c r="A26" s="47" t="s">
        <v>143</v>
      </c>
      <c r="B26" s="48" t="s">
        <v>59</v>
      </c>
      <c r="C26" s="49"/>
      <c r="D26" s="49"/>
      <c r="E26" s="49"/>
      <c r="F26" s="49"/>
      <c r="G26" s="50"/>
      <c r="H26" s="183"/>
      <c r="I26" s="49"/>
      <c r="J26" s="48"/>
      <c r="K26" s="48"/>
      <c r="L26" s="49"/>
      <c r="M26" s="51"/>
    </row>
    <row r="27" spans="1:13" x14ac:dyDescent="0.3">
      <c r="A27" s="53" t="s">
        <v>144</v>
      </c>
      <c r="B27" s="54" t="s">
        <v>60</v>
      </c>
      <c r="C27" s="55"/>
      <c r="D27" s="56"/>
      <c r="E27" s="55"/>
      <c r="F27" s="55"/>
      <c r="G27" s="57"/>
      <c r="H27" s="183"/>
      <c r="I27" s="55"/>
      <c r="J27" s="54"/>
      <c r="K27" s="54"/>
      <c r="L27" s="55"/>
      <c r="M27" s="58"/>
    </row>
    <row r="28" spans="1:13" x14ac:dyDescent="0.3">
      <c r="A28" s="53" t="s">
        <v>145</v>
      </c>
      <c r="B28" s="54" t="s">
        <v>61</v>
      </c>
      <c r="C28" s="55"/>
      <c r="D28" s="55"/>
      <c r="E28" s="55"/>
      <c r="F28" s="55"/>
      <c r="G28" s="57"/>
      <c r="H28" s="183"/>
      <c r="I28" s="55"/>
      <c r="J28" s="54"/>
      <c r="K28" s="54"/>
      <c r="L28" s="55"/>
      <c r="M28" s="58"/>
    </row>
    <row r="29" spans="1:13" x14ac:dyDescent="0.3">
      <c r="A29" s="53" t="s">
        <v>146</v>
      </c>
      <c r="B29" s="54" t="s">
        <v>62</v>
      </c>
      <c r="C29" s="55"/>
      <c r="D29" s="59" t="s">
        <v>147</v>
      </c>
      <c r="E29" s="55"/>
      <c r="F29" s="55"/>
      <c r="G29" s="57"/>
      <c r="H29" s="183"/>
      <c r="I29" s="55"/>
      <c r="J29" s="54"/>
      <c r="K29" s="54"/>
      <c r="L29" s="55"/>
      <c r="M29" s="58"/>
    </row>
    <row r="30" spans="1:13" x14ac:dyDescent="0.3">
      <c r="A30" s="53" t="s">
        <v>148</v>
      </c>
      <c r="B30" s="54" t="s">
        <v>63</v>
      </c>
      <c r="C30" s="55"/>
      <c r="D30" s="55"/>
      <c r="E30" s="55"/>
      <c r="F30" s="55"/>
      <c r="G30" s="57"/>
      <c r="H30" s="183"/>
      <c r="I30" s="55"/>
      <c r="J30" s="54"/>
      <c r="K30" s="54"/>
      <c r="L30" s="55"/>
      <c r="M30" s="58"/>
    </row>
    <row r="31" spans="1:13" ht="15.65" thickBot="1" x14ac:dyDescent="0.35">
      <c r="A31" s="60" t="s">
        <v>149</v>
      </c>
      <c r="B31" s="61" t="s">
        <v>64</v>
      </c>
      <c r="C31" s="62"/>
      <c r="D31" s="62"/>
      <c r="E31" s="62"/>
      <c r="F31" s="62"/>
      <c r="G31" s="63"/>
      <c r="H31" s="184"/>
      <c r="I31" s="62"/>
      <c r="J31" s="61"/>
      <c r="K31" s="61"/>
      <c r="L31" s="62"/>
      <c r="M31" s="64"/>
    </row>
    <row r="32" spans="1:13" x14ac:dyDescent="0.3">
      <c r="A32" s="65" t="s">
        <v>150</v>
      </c>
      <c r="B32" s="66" t="s">
        <v>65</v>
      </c>
      <c r="C32" s="67"/>
      <c r="D32" s="68"/>
      <c r="E32" s="69"/>
      <c r="F32" s="69"/>
      <c r="G32" s="70"/>
      <c r="H32" s="185" t="s">
        <v>151</v>
      </c>
      <c r="I32" s="69"/>
      <c r="J32" s="68"/>
      <c r="K32" s="68"/>
      <c r="L32" s="69"/>
      <c r="M32" s="71"/>
    </row>
    <row r="33" spans="1:13" x14ac:dyDescent="0.3">
      <c r="A33" s="72" t="s">
        <v>152</v>
      </c>
      <c r="B33" s="73" t="s">
        <v>66</v>
      </c>
      <c r="C33" s="74"/>
      <c r="D33" s="74"/>
      <c r="E33" s="74"/>
      <c r="F33" s="74"/>
      <c r="G33" s="75"/>
      <c r="H33" s="186"/>
      <c r="I33" s="74"/>
      <c r="J33" s="73"/>
      <c r="K33" s="73"/>
      <c r="L33" s="74"/>
      <c r="M33" s="76"/>
    </row>
    <row r="34" spans="1:13" x14ac:dyDescent="0.3">
      <c r="A34" s="72" t="s">
        <v>153</v>
      </c>
      <c r="B34" s="73" t="s">
        <v>67</v>
      </c>
      <c r="C34" s="74"/>
      <c r="D34" s="77" t="s">
        <v>154</v>
      </c>
      <c r="E34" s="74"/>
      <c r="F34" s="74"/>
      <c r="G34" s="75"/>
      <c r="H34" s="186"/>
      <c r="I34" s="74"/>
      <c r="J34" s="73"/>
      <c r="K34" s="73"/>
      <c r="L34" s="74"/>
      <c r="M34" s="76"/>
    </row>
    <row r="35" spans="1:13" x14ac:dyDescent="0.3">
      <c r="A35" s="72" t="s">
        <v>155</v>
      </c>
      <c r="B35" s="73" t="s">
        <v>68</v>
      </c>
      <c r="C35" s="74"/>
      <c r="D35" s="74"/>
      <c r="E35" s="74"/>
      <c r="F35" s="74"/>
      <c r="G35" s="75"/>
      <c r="H35" s="186"/>
      <c r="I35" s="74"/>
      <c r="J35" s="73"/>
      <c r="K35" s="73"/>
      <c r="L35" s="74"/>
      <c r="M35" s="76"/>
    </row>
    <row r="36" spans="1:13" x14ac:dyDescent="0.3">
      <c r="A36" s="72" t="s">
        <v>156</v>
      </c>
      <c r="B36" s="73" t="s">
        <v>69</v>
      </c>
      <c r="C36" s="74"/>
      <c r="D36" s="74"/>
      <c r="E36" s="74"/>
      <c r="F36" s="74"/>
      <c r="G36" s="75"/>
      <c r="H36" s="186"/>
      <c r="I36" s="74"/>
      <c r="J36" s="73"/>
      <c r="K36" s="73"/>
      <c r="L36" s="74"/>
      <c r="M36" s="76"/>
    </row>
    <row r="37" spans="1:13" x14ac:dyDescent="0.3">
      <c r="A37" s="78" t="s">
        <v>157</v>
      </c>
      <c r="B37" s="79" t="s">
        <v>70</v>
      </c>
      <c r="C37" s="80"/>
      <c r="D37" s="81"/>
      <c r="E37" s="80"/>
      <c r="F37" s="80"/>
      <c r="G37" s="82"/>
      <c r="H37" s="186"/>
      <c r="I37" s="80"/>
      <c r="J37" s="79"/>
      <c r="K37" s="79"/>
      <c r="L37" s="80"/>
      <c r="M37" s="83"/>
    </row>
    <row r="38" spans="1:13" x14ac:dyDescent="0.3">
      <c r="A38" s="78" t="s">
        <v>158</v>
      </c>
      <c r="B38" s="79" t="s">
        <v>71</v>
      </c>
      <c r="C38" s="80"/>
      <c r="D38" s="84" t="s">
        <v>159</v>
      </c>
      <c r="E38" s="80"/>
      <c r="F38" s="80"/>
      <c r="G38" s="82"/>
      <c r="H38" s="186"/>
      <c r="I38" s="80"/>
      <c r="J38" s="79"/>
      <c r="K38" s="79"/>
      <c r="L38" s="80"/>
      <c r="M38" s="83"/>
    </row>
    <row r="39" spans="1:13" x14ac:dyDescent="0.3">
      <c r="A39" s="78" t="s">
        <v>160</v>
      </c>
      <c r="B39" s="79" t="s">
        <v>72</v>
      </c>
      <c r="C39" s="80"/>
      <c r="D39" s="80"/>
      <c r="E39" s="80"/>
      <c r="F39" s="80"/>
      <c r="G39" s="82"/>
      <c r="H39" s="186"/>
      <c r="I39" s="80"/>
      <c r="J39" s="79"/>
      <c r="K39" s="79"/>
      <c r="L39" s="80"/>
      <c r="M39" s="83"/>
    </row>
    <row r="40" spans="1:13" x14ac:dyDescent="0.3">
      <c r="A40" s="85" t="s">
        <v>161</v>
      </c>
      <c r="B40" s="86" t="s">
        <v>73</v>
      </c>
      <c r="C40" s="87"/>
      <c r="D40" s="88"/>
      <c r="E40" s="89"/>
      <c r="F40" s="89"/>
      <c r="G40" s="90"/>
      <c r="H40" s="186"/>
      <c r="I40" s="87"/>
      <c r="J40" s="86"/>
      <c r="K40" s="86"/>
      <c r="L40" s="87"/>
      <c r="M40" s="91"/>
    </row>
    <row r="41" spans="1:13" x14ac:dyDescent="0.3">
      <c r="A41" s="85" t="s">
        <v>162</v>
      </c>
      <c r="B41" s="86" t="s">
        <v>74</v>
      </c>
      <c r="C41" s="87"/>
      <c r="D41" s="87"/>
      <c r="E41" s="87"/>
      <c r="F41" s="87"/>
      <c r="G41" s="90"/>
      <c r="H41" s="186"/>
      <c r="I41" s="87"/>
      <c r="J41" s="86"/>
      <c r="K41" s="86"/>
      <c r="L41" s="87"/>
      <c r="M41" s="91"/>
    </row>
    <row r="42" spans="1:13" x14ac:dyDescent="0.3">
      <c r="A42" s="85" t="s">
        <v>163</v>
      </c>
      <c r="B42" s="86" t="s">
        <v>75</v>
      </c>
      <c r="C42" s="87"/>
      <c r="D42" s="88" t="s">
        <v>164</v>
      </c>
      <c r="E42" s="87"/>
      <c r="F42" s="87"/>
      <c r="G42" s="90"/>
      <c r="H42" s="186"/>
      <c r="I42" s="87"/>
      <c r="J42" s="86"/>
      <c r="K42" s="86"/>
      <c r="L42" s="87"/>
      <c r="M42" s="91"/>
    </row>
    <row r="43" spans="1:13" x14ac:dyDescent="0.3">
      <c r="A43" s="85" t="s">
        <v>165</v>
      </c>
      <c r="B43" s="86" t="s">
        <v>76</v>
      </c>
      <c r="C43" s="87"/>
      <c r="D43" s="87"/>
      <c r="E43" s="87"/>
      <c r="F43" s="87"/>
      <c r="G43" s="90"/>
      <c r="H43" s="186"/>
      <c r="I43" s="87"/>
      <c r="J43" s="86"/>
      <c r="K43" s="86"/>
      <c r="L43" s="87"/>
      <c r="M43" s="91"/>
    </row>
    <row r="44" spans="1:13" ht="15.65" thickBot="1" x14ac:dyDescent="0.35">
      <c r="A44" s="92" t="s">
        <v>166</v>
      </c>
      <c r="B44" s="93" t="s">
        <v>77</v>
      </c>
      <c r="C44" s="94"/>
      <c r="D44" s="94"/>
      <c r="E44" s="94"/>
      <c r="F44" s="94"/>
      <c r="G44" s="95"/>
      <c r="H44" s="187"/>
      <c r="I44" s="94"/>
      <c r="J44" s="93"/>
      <c r="K44" s="93"/>
      <c r="L44" s="94"/>
      <c r="M44" s="96"/>
    </row>
    <row r="45" spans="1:13" x14ac:dyDescent="0.3">
      <c r="A45" s="65" t="s">
        <v>167</v>
      </c>
      <c r="B45" s="66" t="s">
        <v>78</v>
      </c>
      <c r="C45" s="67"/>
      <c r="D45" s="67"/>
      <c r="E45" s="97"/>
      <c r="F45" s="67"/>
      <c r="G45" s="67"/>
      <c r="H45" s="178" t="s">
        <v>168</v>
      </c>
      <c r="I45" s="67"/>
      <c r="J45" s="66"/>
      <c r="K45" s="66"/>
      <c r="L45" s="67"/>
      <c r="M45" s="98"/>
    </row>
    <row r="46" spans="1:13" x14ac:dyDescent="0.3">
      <c r="A46" s="72" t="s">
        <v>169</v>
      </c>
      <c r="B46" s="73" t="s">
        <v>79</v>
      </c>
      <c r="C46" s="74"/>
      <c r="D46" s="74"/>
      <c r="E46" s="74"/>
      <c r="F46" s="74"/>
      <c r="G46" s="74"/>
      <c r="H46" s="179"/>
      <c r="I46" s="74"/>
      <c r="J46" s="73"/>
      <c r="K46" s="73"/>
      <c r="L46" s="74"/>
      <c r="M46" s="76"/>
    </row>
    <row r="47" spans="1:13" x14ac:dyDescent="0.3">
      <c r="A47" s="72" t="s">
        <v>170</v>
      </c>
      <c r="B47" s="73" t="s">
        <v>80</v>
      </c>
      <c r="C47" s="74"/>
      <c r="D47" s="74"/>
      <c r="E47" s="74"/>
      <c r="F47" s="74"/>
      <c r="G47" s="74"/>
      <c r="H47" s="179"/>
      <c r="I47" s="74"/>
      <c r="J47" s="73"/>
      <c r="K47" s="73"/>
      <c r="L47" s="74"/>
      <c r="M47" s="76"/>
    </row>
    <row r="48" spans="1:13" x14ac:dyDescent="0.3">
      <c r="A48" s="72" t="s">
        <v>171</v>
      </c>
      <c r="B48" s="73" t="s">
        <v>81</v>
      </c>
      <c r="C48" s="74"/>
      <c r="D48" s="74"/>
      <c r="E48" s="74"/>
      <c r="F48" s="74"/>
      <c r="G48" s="74"/>
      <c r="H48" s="179"/>
      <c r="I48" s="74"/>
      <c r="J48" s="73"/>
      <c r="K48" s="73"/>
      <c r="L48" s="74"/>
      <c r="M48" s="76"/>
    </row>
    <row r="49" spans="1:13" x14ac:dyDescent="0.3">
      <c r="A49" s="72" t="s">
        <v>172</v>
      </c>
      <c r="B49" s="73" t="s">
        <v>82</v>
      </c>
      <c r="C49" s="74"/>
      <c r="D49" s="74"/>
      <c r="E49" s="99" t="s">
        <v>173</v>
      </c>
      <c r="F49" s="74"/>
      <c r="G49" s="74"/>
      <c r="H49" s="179"/>
      <c r="I49" s="74"/>
      <c r="J49" s="73"/>
      <c r="K49" s="73"/>
      <c r="L49" s="74"/>
      <c r="M49" s="76"/>
    </row>
    <row r="50" spans="1:13" x14ac:dyDescent="0.3">
      <c r="A50" s="72" t="s">
        <v>174</v>
      </c>
      <c r="B50" s="73" t="s">
        <v>83</v>
      </c>
      <c r="C50" s="74"/>
      <c r="D50" s="74"/>
      <c r="E50" s="74"/>
      <c r="F50" s="74"/>
      <c r="G50" s="74"/>
      <c r="H50" s="179"/>
      <c r="I50" s="74"/>
      <c r="J50" s="73"/>
      <c r="K50" s="73"/>
      <c r="L50" s="74"/>
      <c r="M50" s="76"/>
    </row>
    <row r="51" spans="1:13" x14ac:dyDescent="0.3">
      <c r="A51" s="72" t="s">
        <v>175</v>
      </c>
      <c r="B51" s="73" t="s">
        <v>84</v>
      </c>
      <c r="C51" s="74"/>
      <c r="D51" s="74"/>
      <c r="E51" s="74"/>
      <c r="F51" s="74"/>
      <c r="G51" s="74"/>
      <c r="H51" s="179"/>
      <c r="I51" s="74"/>
      <c r="J51" s="73"/>
      <c r="K51" s="73"/>
      <c r="L51" s="74"/>
      <c r="M51" s="76"/>
    </row>
    <row r="52" spans="1:13" ht="15.65" thickBot="1" x14ac:dyDescent="0.35">
      <c r="A52" s="100" t="s">
        <v>176</v>
      </c>
      <c r="B52" s="101" t="s">
        <v>85</v>
      </c>
      <c r="C52" s="102"/>
      <c r="D52" s="102"/>
      <c r="E52" s="102"/>
      <c r="F52" s="102"/>
      <c r="G52" s="102"/>
      <c r="H52" s="180"/>
      <c r="I52" s="102"/>
      <c r="J52" s="101"/>
      <c r="K52" s="101"/>
      <c r="L52" s="102"/>
      <c r="M52" s="103"/>
    </row>
    <row r="53" spans="1:13" x14ac:dyDescent="0.3">
      <c r="A53" s="8" t="s">
        <v>177</v>
      </c>
      <c r="B53" s="104" t="s">
        <v>86</v>
      </c>
      <c r="C53" s="10"/>
      <c r="D53" s="105"/>
      <c r="E53" s="10"/>
      <c r="F53" s="10"/>
      <c r="G53" s="10"/>
      <c r="H53" s="175" t="s">
        <v>178</v>
      </c>
      <c r="I53" s="10"/>
      <c r="J53" s="104"/>
      <c r="K53" s="104"/>
      <c r="L53" s="10"/>
      <c r="M53" s="13"/>
    </row>
    <row r="54" spans="1:13" x14ac:dyDescent="0.3">
      <c r="A54" s="14" t="s">
        <v>179</v>
      </c>
      <c r="B54" s="106" t="s">
        <v>87</v>
      </c>
      <c r="C54" s="16"/>
      <c r="D54" s="16"/>
      <c r="E54" s="16"/>
      <c r="F54" s="16"/>
      <c r="G54" s="16"/>
      <c r="H54" s="176"/>
      <c r="I54" s="16"/>
      <c r="J54" s="106"/>
      <c r="K54" s="106"/>
      <c r="L54" s="16"/>
      <c r="M54" s="18"/>
    </row>
    <row r="55" spans="1:13" x14ac:dyDescent="0.3">
      <c r="A55" s="14" t="s">
        <v>180</v>
      </c>
      <c r="B55" s="106" t="s">
        <v>88</v>
      </c>
      <c r="C55" s="16"/>
      <c r="D55" s="107" t="s">
        <v>181</v>
      </c>
      <c r="E55" s="16"/>
      <c r="F55" s="16"/>
      <c r="G55" s="16"/>
      <c r="H55" s="176"/>
      <c r="I55" s="16"/>
      <c r="J55" s="106"/>
      <c r="K55" s="106"/>
      <c r="L55" s="16"/>
      <c r="M55" s="18"/>
    </row>
    <row r="56" spans="1:13" x14ac:dyDescent="0.3">
      <c r="A56" s="14" t="s">
        <v>182</v>
      </c>
      <c r="B56" s="106" t="s">
        <v>89</v>
      </c>
      <c r="C56" s="16"/>
      <c r="D56" s="16"/>
      <c r="E56" s="16"/>
      <c r="F56" s="16"/>
      <c r="G56" s="16"/>
      <c r="H56" s="176"/>
      <c r="I56" s="16"/>
      <c r="J56" s="106"/>
      <c r="K56" s="106"/>
      <c r="L56" s="16"/>
      <c r="M56" s="18"/>
    </row>
    <row r="57" spans="1:13" x14ac:dyDescent="0.3">
      <c r="A57" s="14" t="s">
        <v>183</v>
      </c>
      <c r="B57" s="106" t="s">
        <v>90</v>
      </c>
      <c r="C57" s="16"/>
      <c r="D57" s="16"/>
      <c r="E57" s="16"/>
      <c r="F57" s="16"/>
      <c r="G57" s="16"/>
      <c r="H57" s="176"/>
      <c r="I57" s="16"/>
      <c r="J57" s="106"/>
      <c r="K57" s="106"/>
      <c r="L57" s="16"/>
      <c r="M57" s="18"/>
    </row>
    <row r="58" spans="1:13" x14ac:dyDescent="0.3">
      <c r="A58" s="53" t="s">
        <v>184</v>
      </c>
      <c r="B58" s="54" t="s">
        <v>91</v>
      </c>
      <c r="C58" s="55"/>
      <c r="D58" s="56"/>
      <c r="E58" s="55"/>
      <c r="F58" s="55"/>
      <c r="G58" s="55"/>
      <c r="H58" s="176"/>
      <c r="I58" s="55"/>
      <c r="J58" s="54"/>
      <c r="K58" s="54"/>
      <c r="L58" s="55"/>
      <c r="M58" s="58"/>
    </row>
    <row r="59" spans="1:13" x14ac:dyDescent="0.3">
      <c r="A59" s="53" t="s">
        <v>185</v>
      </c>
      <c r="B59" s="54" t="s">
        <v>92</v>
      </c>
      <c r="C59" s="55"/>
      <c r="D59" s="55"/>
      <c r="E59" s="55"/>
      <c r="F59" s="55"/>
      <c r="G59" s="55"/>
      <c r="H59" s="176"/>
      <c r="I59" s="55"/>
      <c r="J59" s="54"/>
      <c r="K59" s="54"/>
      <c r="L59" s="55"/>
      <c r="M59" s="58"/>
    </row>
    <row r="60" spans="1:13" x14ac:dyDescent="0.3">
      <c r="A60" s="53" t="s">
        <v>186</v>
      </c>
      <c r="B60" s="54" t="s">
        <v>93</v>
      </c>
      <c r="C60" s="55"/>
      <c r="D60" s="55"/>
      <c r="E60" s="55"/>
      <c r="F60" s="55"/>
      <c r="G60" s="55"/>
      <c r="H60" s="176"/>
      <c r="I60" s="55"/>
      <c r="J60" s="54"/>
      <c r="K60" s="54"/>
      <c r="L60" s="55"/>
      <c r="M60" s="58"/>
    </row>
    <row r="61" spans="1:13" x14ac:dyDescent="0.3">
      <c r="A61" s="53" t="s">
        <v>187</v>
      </c>
      <c r="B61" s="54" t="s">
        <v>94</v>
      </c>
      <c r="C61" s="55"/>
      <c r="D61" s="55"/>
      <c r="E61" s="55"/>
      <c r="F61" s="55"/>
      <c r="G61" s="55"/>
      <c r="H61" s="176"/>
      <c r="I61" s="55"/>
      <c r="J61" s="54"/>
      <c r="K61" s="54"/>
      <c r="L61" s="55"/>
      <c r="M61" s="58"/>
    </row>
    <row r="62" spans="1:13" x14ac:dyDescent="0.3">
      <c r="A62" s="53" t="s">
        <v>188</v>
      </c>
      <c r="B62" s="54" t="s">
        <v>95</v>
      </c>
      <c r="C62" s="55"/>
      <c r="D62" s="55"/>
      <c r="E62" s="55"/>
      <c r="F62" s="55"/>
      <c r="G62" s="55"/>
      <c r="H62" s="176"/>
      <c r="I62" s="55"/>
      <c r="J62" s="54"/>
      <c r="K62" s="54"/>
      <c r="L62" s="55"/>
      <c r="M62" s="58"/>
    </row>
    <row r="63" spans="1:13" x14ac:dyDescent="0.3">
      <c r="A63" s="53" t="s">
        <v>189</v>
      </c>
      <c r="B63" s="54" t="s">
        <v>96</v>
      </c>
      <c r="C63" s="55"/>
      <c r="D63" s="59" t="s">
        <v>190</v>
      </c>
      <c r="E63" s="55"/>
      <c r="F63" s="55"/>
      <c r="G63" s="55"/>
      <c r="H63" s="176"/>
      <c r="I63" s="55"/>
      <c r="J63" s="54"/>
      <c r="K63" s="54"/>
      <c r="L63" s="55"/>
      <c r="M63" s="58"/>
    </row>
    <row r="64" spans="1:13" x14ac:dyDescent="0.3">
      <c r="A64" s="53" t="s">
        <v>191</v>
      </c>
      <c r="B64" s="54" t="s">
        <v>97</v>
      </c>
      <c r="C64" s="55"/>
      <c r="D64" s="55"/>
      <c r="E64" s="55"/>
      <c r="F64" s="55"/>
      <c r="G64" s="55"/>
      <c r="H64" s="176"/>
      <c r="I64" s="55"/>
      <c r="J64" s="54"/>
      <c r="K64" s="54"/>
      <c r="L64" s="55"/>
      <c r="M64" s="58"/>
    </row>
    <row r="65" spans="1:13" x14ac:dyDescent="0.3">
      <c r="A65" s="53" t="s">
        <v>192</v>
      </c>
      <c r="B65" s="54" t="s">
        <v>98</v>
      </c>
      <c r="C65" s="55"/>
      <c r="D65" s="55"/>
      <c r="E65" s="55"/>
      <c r="F65" s="55"/>
      <c r="G65" s="55"/>
      <c r="H65" s="176"/>
      <c r="I65" s="55"/>
      <c r="J65" s="54"/>
      <c r="K65" s="54"/>
      <c r="L65" s="55"/>
      <c r="M65" s="58"/>
    </row>
    <row r="66" spans="1:13" x14ac:dyDescent="0.3">
      <c r="A66" s="53" t="s">
        <v>193</v>
      </c>
      <c r="B66" s="54" t="s">
        <v>99</v>
      </c>
      <c r="C66" s="55"/>
      <c r="D66" s="55"/>
      <c r="E66" s="55"/>
      <c r="F66" s="55"/>
      <c r="G66" s="55"/>
      <c r="H66" s="176"/>
      <c r="I66" s="55"/>
      <c r="J66" s="54"/>
      <c r="K66" s="54"/>
      <c r="L66" s="55"/>
      <c r="M66" s="58"/>
    </row>
    <row r="67" spans="1:13" x14ac:dyDescent="0.3">
      <c r="A67" s="53" t="s">
        <v>194</v>
      </c>
      <c r="B67" s="54" t="s">
        <v>100</v>
      </c>
      <c r="C67" s="55"/>
      <c r="D67" s="55"/>
      <c r="E67" s="55"/>
      <c r="F67" s="55"/>
      <c r="G67" s="55"/>
      <c r="H67" s="176"/>
      <c r="I67" s="55"/>
      <c r="J67" s="54"/>
      <c r="K67" s="54"/>
      <c r="L67" s="55"/>
      <c r="M67" s="58"/>
    </row>
    <row r="68" spans="1:13" x14ac:dyDescent="0.3">
      <c r="A68" s="53" t="s">
        <v>195</v>
      </c>
      <c r="B68" s="54" t="s">
        <v>101</v>
      </c>
      <c r="C68" s="55"/>
      <c r="D68" s="55"/>
      <c r="E68" s="55"/>
      <c r="F68" s="55"/>
      <c r="G68" s="55"/>
      <c r="H68" s="176"/>
      <c r="I68" s="55"/>
      <c r="J68" s="54"/>
      <c r="K68" s="54"/>
      <c r="L68" s="55"/>
      <c r="M68" s="58"/>
    </row>
    <row r="69" spans="1:13" x14ac:dyDescent="0.3">
      <c r="A69" s="53" t="s">
        <v>196</v>
      </c>
      <c r="B69" s="54" t="s">
        <v>102</v>
      </c>
      <c r="C69" s="55"/>
      <c r="D69" s="55"/>
      <c r="E69" s="55"/>
      <c r="F69" s="55"/>
      <c r="G69" s="55"/>
      <c r="H69" s="176"/>
      <c r="I69" s="55"/>
      <c r="J69" s="54"/>
      <c r="K69" s="54"/>
      <c r="L69" s="55"/>
      <c r="M69" s="58"/>
    </row>
    <row r="70" spans="1:13" ht="15.65" thickBot="1" x14ac:dyDescent="0.35">
      <c r="A70" s="60" t="s">
        <v>197</v>
      </c>
      <c r="B70" s="61" t="s">
        <v>103</v>
      </c>
      <c r="C70" s="62"/>
      <c r="D70" s="62"/>
      <c r="E70" s="62"/>
      <c r="F70" s="62"/>
      <c r="G70" s="62"/>
      <c r="H70" s="177"/>
      <c r="I70" s="62"/>
      <c r="J70" s="61"/>
      <c r="K70" s="61"/>
      <c r="L70" s="62"/>
      <c r="M70" s="64"/>
    </row>
    <row r="71" spans="1:13" x14ac:dyDescent="0.3">
      <c r="A71" s="108" t="s">
        <v>198</v>
      </c>
      <c r="B71" s="109" t="s">
        <v>104</v>
      </c>
      <c r="C71" s="110"/>
      <c r="D71" s="111"/>
      <c r="E71" s="110"/>
      <c r="F71" s="110"/>
      <c r="G71" s="22"/>
      <c r="H71" s="110"/>
      <c r="I71" s="110"/>
      <c r="J71" s="112"/>
      <c r="K71" s="112"/>
      <c r="L71" s="110"/>
      <c r="M71" s="113"/>
    </row>
    <row r="72" spans="1:13" x14ac:dyDescent="0.3">
      <c r="A72" s="20" t="s">
        <v>199</v>
      </c>
      <c r="B72" s="109" t="s">
        <v>105</v>
      </c>
      <c r="C72" s="22"/>
      <c r="D72" s="22"/>
      <c r="E72" s="22"/>
      <c r="F72" s="22"/>
      <c r="G72" s="22"/>
      <c r="H72" s="114" t="s">
        <v>200</v>
      </c>
      <c r="I72" s="115"/>
      <c r="J72" s="116"/>
      <c r="K72" s="116"/>
      <c r="L72" s="22"/>
      <c r="M72" s="25"/>
    </row>
    <row r="73" spans="1:13" x14ac:dyDescent="0.3">
      <c r="A73" s="20" t="s">
        <v>201</v>
      </c>
      <c r="B73" s="109" t="s">
        <v>106</v>
      </c>
      <c r="C73" s="22"/>
      <c r="D73" s="28" t="s">
        <v>202</v>
      </c>
      <c r="E73" s="22"/>
      <c r="F73" s="27"/>
      <c r="G73" s="22"/>
      <c r="H73" s="22"/>
      <c r="I73" s="22"/>
      <c r="J73" s="26"/>
      <c r="K73" s="26"/>
      <c r="L73" s="22"/>
      <c r="M73" s="25"/>
    </row>
    <row r="74" spans="1:13" ht="15.65" thickBot="1" x14ac:dyDescent="0.35">
      <c r="A74" s="117" t="s">
        <v>203</v>
      </c>
      <c r="B74" s="109" t="s">
        <v>107</v>
      </c>
      <c r="C74" s="118"/>
      <c r="D74" s="118"/>
      <c r="E74" s="118"/>
      <c r="F74" s="118"/>
      <c r="G74" s="118"/>
      <c r="H74" s="118"/>
      <c r="I74" s="118"/>
      <c r="J74" s="119"/>
      <c r="K74" s="119"/>
      <c r="L74" s="118"/>
      <c r="M74" s="120"/>
    </row>
    <row r="75" spans="1:13" ht="15.65" thickBot="1" x14ac:dyDescent="0.35">
      <c r="A75" s="121" t="s">
        <v>204</v>
      </c>
      <c r="B75" s="122" t="s">
        <v>205</v>
      </c>
      <c r="C75" s="123"/>
      <c r="D75" s="124" t="s">
        <v>206</v>
      </c>
      <c r="E75" s="123"/>
      <c r="F75" s="123"/>
      <c r="G75" s="123"/>
      <c r="H75" s="123"/>
      <c r="I75" s="123"/>
      <c r="J75" s="125"/>
      <c r="K75" s="125"/>
      <c r="L75" s="123"/>
      <c r="M75" s="126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V120"/>
  <sheetViews>
    <sheetView showGridLines="0" tabSelected="1" zoomScaleNormal="100" workbookViewId="0">
      <selection activeCell="B5" sqref="B5:R5"/>
    </sheetView>
  </sheetViews>
  <sheetFormatPr defaultRowHeight="13.15" x14ac:dyDescent="0.25"/>
  <cols>
    <col min="1" max="1" width="43.109375" style="127" customWidth="1"/>
    <col min="2" max="2" width="10.77734375" style="127" customWidth="1"/>
    <col min="3" max="3" width="7.33203125" style="127" customWidth="1"/>
    <col min="4" max="4" width="9.109375" style="131" customWidth="1"/>
    <col min="5" max="5" width="9.77734375" style="127" customWidth="1"/>
    <col min="6" max="6" width="11.77734375" style="131" customWidth="1"/>
    <col min="7" max="7" width="7.88671875" style="127" customWidth="1"/>
    <col min="8" max="8" width="7.44140625" style="131" customWidth="1"/>
    <col min="9" max="9" width="7.44140625" style="127" customWidth="1"/>
    <col min="10" max="10" width="7.33203125" style="131" customWidth="1"/>
    <col min="11" max="11" width="7.5546875" style="127" bestFit="1" customWidth="1"/>
    <col min="12" max="12" width="7.88671875" style="131" customWidth="1"/>
    <col min="13" max="13" width="7.5546875" style="127" bestFit="1" customWidth="1"/>
    <col min="14" max="14" width="7.6640625" style="131" customWidth="1"/>
    <col min="15" max="15" width="6.44140625" style="127" customWidth="1"/>
    <col min="16" max="16" width="6.44140625" style="131" customWidth="1"/>
    <col min="17" max="17" width="9" style="127" customWidth="1"/>
    <col min="18" max="18" width="8.77734375" style="131" customWidth="1"/>
    <col min="19" max="19" width="9.6640625" style="127" customWidth="1"/>
    <col min="20" max="20" width="15.109375" style="127" customWidth="1"/>
    <col min="21" max="21" width="13" style="127" customWidth="1"/>
    <col min="22" max="22" width="6.44140625" style="127" customWidth="1"/>
    <col min="23" max="16384" width="8.88671875" style="127"/>
  </cols>
  <sheetData>
    <row r="2" spans="1:22" ht="18.2" x14ac:dyDescent="0.35">
      <c r="B2" s="189" t="s">
        <v>0</v>
      </c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28"/>
      <c r="T2" s="128"/>
      <c r="U2" s="128"/>
    </row>
    <row r="3" spans="1:22" ht="18.2" x14ac:dyDescent="0.25">
      <c r="B3" s="190" t="s">
        <v>367</v>
      </c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29"/>
      <c r="T3" s="129"/>
      <c r="U3" s="129"/>
    </row>
    <row r="4" spans="1:22" ht="18.2" x14ac:dyDescent="0.35">
      <c r="A4" s="130"/>
      <c r="B4" s="191" t="s">
        <v>1</v>
      </c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30"/>
      <c r="T4" s="188"/>
      <c r="U4" s="188"/>
    </row>
    <row r="5" spans="1:22" ht="18.2" x14ac:dyDescent="0.25">
      <c r="A5" s="130"/>
      <c r="B5" s="190" t="s">
        <v>368</v>
      </c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30"/>
      <c r="T5" s="188"/>
      <c r="U5" s="188"/>
    </row>
    <row r="6" spans="1:22" s="133" customFormat="1" ht="15.65" thickBot="1" x14ac:dyDescent="0.35">
      <c r="A6" s="208" t="s">
        <v>2</v>
      </c>
      <c r="B6" s="208"/>
      <c r="C6" s="208"/>
      <c r="D6" s="208"/>
      <c r="E6" s="208"/>
      <c r="F6" s="208"/>
      <c r="G6" s="132"/>
      <c r="H6" s="132"/>
      <c r="I6" s="132"/>
      <c r="J6" s="132"/>
      <c r="K6" s="132"/>
      <c r="L6" s="132"/>
      <c r="M6" s="229"/>
      <c r="N6" s="229"/>
      <c r="O6" s="229"/>
      <c r="P6" s="229"/>
      <c r="Q6" s="161"/>
      <c r="R6" s="161"/>
      <c r="S6" s="161"/>
      <c r="T6" s="161"/>
      <c r="U6" s="160" t="s">
        <v>362</v>
      </c>
    </row>
    <row r="7" spans="1:22" s="133" customFormat="1" ht="14.4" customHeight="1" x14ac:dyDescent="0.3">
      <c r="A7" s="223" t="s">
        <v>361</v>
      </c>
      <c r="B7" s="226" t="s">
        <v>33</v>
      </c>
      <c r="C7" s="215" t="s">
        <v>212</v>
      </c>
      <c r="D7" s="237"/>
      <c r="E7" s="237"/>
      <c r="F7" s="216"/>
      <c r="G7" s="215" t="s">
        <v>213</v>
      </c>
      <c r="H7" s="216"/>
      <c r="I7" s="215" t="s">
        <v>214</v>
      </c>
      <c r="J7" s="230"/>
      <c r="K7" s="215" t="s">
        <v>32</v>
      </c>
      <c r="L7" s="230"/>
      <c r="M7" s="215" t="s">
        <v>215</v>
      </c>
      <c r="N7" s="239"/>
      <c r="O7" s="215" t="s">
        <v>216</v>
      </c>
      <c r="P7" s="230"/>
      <c r="Q7" s="215" t="s">
        <v>217</v>
      </c>
      <c r="R7" s="241"/>
      <c r="S7" s="235" t="s">
        <v>3</v>
      </c>
      <c r="T7" s="235"/>
      <c r="U7" s="235"/>
    </row>
    <row r="8" spans="1:22" s="133" customFormat="1" ht="15.05" x14ac:dyDescent="0.3">
      <c r="A8" s="224"/>
      <c r="B8" s="227"/>
      <c r="C8" s="219"/>
      <c r="D8" s="238"/>
      <c r="E8" s="238"/>
      <c r="F8" s="220"/>
      <c r="G8" s="217"/>
      <c r="H8" s="218"/>
      <c r="I8" s="231"/>
      <c r="J8" s="232"/>
      <c r="K8" s="231"/>
      <c r="L8" s="232"/>
      <c r="M8" s="231"/>
      <c r="N8" s="188"/>
      <c r="O8" s="231"/>
      <c r="P8" s="232"/>
      <c r="Q8" s="231"/>
      <c r="R8" s="242"/>
      <c r="S8" s="194"/>
      <c r="T8" s="194"/>
      <c r="U8" s="194"/>
    </row>
    <row r="9" spans="1:22" s="133" customFormat="1" ht="54" customHeight="1" x14ac:dyDescent="0.3">
      <c r="A9" s="224"/>
      <c r="B9" s="227"/>
      <c r="C9" s="221" t="s">
        <v>31</v>
      </c>
      <c r="D9" s="222"/>
      <c r="E9" s="221" t="s">
        <v>360</v>
      </c>
      <c r="F9" s="222"/>
      <c r="G9" s="219"/>
      <c r="H9" s="220"/>
      <c r="I9" s="233"/>
      <c r="J9" s="234"/>
      <c r="K9" s="233"/>
      <c r="L9" s="234"/>
      <c r="M9" s="233"/>
      <c r="N9" s="240"/>
      <c r="O9" s="233"/>
      <c r="P9" s="234"/>
      <c r="Q9" s="233"/>
      <c r="R9" s="243"/>
      <c r="S9" s="194"/>
      <c r="T9" s="194"/>
      <c r="U9" s="194"/>
    </row>
    <row r="10" spans="1:22" s="133" customFormat="1" ht="15.05" x14ac:dyDescent="0.3">
      <c r="A10" s="225"/>
      <c r="B10" s="228"/>
      <c r="C10" s="134">
        <v>1</v>
      </c>
      <c r="D10" s="135">
        <v>2</v>
      </c>
      <c r="E10" s="134">
        <v>1</v>
      </c>
      <c r="F10" s="135">
        <v>2</v>
      </c>
      <c r="G10" s="134">
        <v>1</v>
      </c>
      <c r="H10" s="135">
        <v>2</v>
      </c>
      <c r="I10" s="134">
        <v>1</v>
      </c>
      <c r="J10" s="135">
        <v>2</v>
      </c>
      <c r="K10" s="134">
        <v>1</v>
      </c>
      <c r="L10" s="135">
        <v>2</v>
      </c>
      <c r="M10" s="136">
        <v>1</v>
      </c>
      <c r="N10" s="135">
        <v>2</v>
      </c>
      <c r="O10" s="134">
        <v>1</v>
      </c>
      <c r="P10" s="135">
        <v>2</v>
      </c>
      <c r="Q10" s="136">
        <v>1</v>
      </c>
      <c r="R10" s="137">
        <v>2</v>
      </c>
      <c r="S10" s="236"/>
      <c r="T10" s="236"/>
      <c r="U10" s="236"/>
    </row>
    <row r="11" spans="1:22" s="133" customFormat="1" ht="15.05" x14ac:dyDescent="0.3">
      <c r="A11" s="212" t="s">
        <v>4</v>
      </c>
      <c r="B11" s="209">
        <f>SUM(B13,B21,B30,B35,B41,B48,B55,B62,B67,B74,B84,B91,B106)</f>
        <v>318350</v>
      </c>
      <c r="C11" s="214">
        <f>SUM(C13,C21,C30,C35,C41,C48,C55,C62,C67,C74,C84,C91,C106)</f>
        <v>65427</v>
      </c>
      <c r="D11" s="211">
        <f>SUM(D13,D21,D30,D35,D41,D48,D55,D62,D67,D74,D84,D91,D106)</f>
        <v>15378.960999999999</v>
      </c>
      <c r="E11" s="214">
        <f t="shared" ref="E11:R11" si="0">SUM(E13,E21,E30,E35,E41,E48,E55,E62,E67,E74,E84,E91,E106)</f>
        <v>953</v>
      </c>
      <c r="F11" s="211">
        <f t="shared" si="0"/>
        <v>168.18899999999999</v>
      </c>
      <c r="G11" s="214">
        <f t="shared" si="0"/>
        <v>5951</v>
      </c>
      <c r="H11" s="211">
        <f t="shared" si="0"/>
        <v>1206.8739999999998</v>
      </c>
      <c r="I11" s="214">
        <f t="shared" si="0"/>
        <v>109800</v>
      </c>
      <c r="J11" s="211">
        <f>SUM(J13,J21,J30,J35,J41,J48,J55,J62,J67,J74,J84,J91,J106)</f>
        <v>13296.056999999999</v>
      </c>
      <c r="K11" s="214">
        <f t="shared" si="0"/>
        <v>14085</v>
      </c>
      <c r="L11" s="211">
        <f t="shared" si="0"/>
        <v>2363.5909999999999</v>
      </c>
      <c r="M11" s="214">
        <f t="shared" si="0"/>
        <v>119200</v>
      </c>
      <c r="N11" s="211">
        <f t="shared" si="0"/>
        <v>18191.18</v>
      </c>
      <c r="O11" s="214">
        <f t="shared" si="0"/>
        <v>2296</v>
      </c>
      <c r="P11" s="211">
        <f t="shared" si="0"/>
        <v>733.47</v>
      </c>
      <c r="Q11" s="214">
        <f t="shared" si="0"/>
        <v>638</v>
      </c>
      <c r="R11" s="246">
        <f t="shared" si="0"/>
        <v>112.18199999999999</v>
      </c>
      <c r="S11" s="244" t="s">
        <v>30</v>
      </c>
      <c r="T11" s="244"/>
      <c r="U11" s="244"/>
      <c r="V11" s="138"/>
    </row>
    <row r="12" spans="1:22" s="133" customFormat="1" ht="15.05" x14ac:dyDescent="0.3">
      <c r="A12" s="213"/>
      <c r="B12" s="210"/>
      <c r="C12" s="198"/>
      <c r="D12" s="197"/>
      <c r="E12" s="198"/>
      <c r="F12" s="197"/>
      <c r="G12" s="198"/>
      <c r="H12" s="197"/>
      <c r="I12" s="198"/>
      <c r="J12" s="197"/>
      <c r="K12" s="198"/>
      <c r="L12" s="197"/>
      <c r="M12" s="198"/>
      <c r="N12" s="197"/>
      <c r="O12" s="198"/>
      <c r="P12" s="197"/>
      <c r="Q12" s="198"/>
      <c r="R12" s="200"/>
      <c r="S12" s="245"/>
      <c r="T12" s="245"/>
      <c r="U12" s="245"/>
      <c r="V12" s="138"/>
    </row>
    <row r="13" spans="1:22" s="133" customFormat="1" ht="15.05" x14ac:dyDescent="0.3">
      <c r="A13" s="193" t="s">
        <v>5</v>
      </c>
      <c r="B13" s="207">
        <f>SUM(B15:B20)</f>
        <v>23263</v>
      </c>
      <c r="C13" s="198">
        <f>SUM(C15:C20)</f>
        <v>10299</v>
      </c>
      <c r="D13" s="197">
        <f t="shared" ref="D13:R13" si="1">SUM(D15:D20)</f>
        <v>2855.875</v>
      </c>
      <c r="E13" s="198">
        <f t="shared" si="1"/>
        <v>64</v>
      </c>
      <c r="F13" s="197">
        <f t="shared" si="1"/>
        <v>9.1999999999999993</v>
      </c>
      <c r="G13" s="198">
        <f t="shared" si="1"/>
        <v>54</v>
      </c>
      <c r="H13" s="197">
        <f t="shared" si="1"/>
        <v>13.26</v>
      </c>
      <c r="I13" s="198">
        <f t="shared" si="1"/>
        <v>4915</v>
      </c>
      <c r="J13" s="197">
        <f t="shared" si="1"/>
        <v>695.68400000000008</v>
      </c>
      <c r="K13" s="198">
        <f t="shared" si="1"/>
        <v>5</v>
      </c>
      <c r="L13" s="197">
        <f t="shared" si="1"/>
        <v>0.84</v>
      </c>
      <c r="M13" s="198">
        <f t="shared" si="1"/>
        <v>7618</v>
      </c>
      <c r="N13" s="197">
        <f t="shared" si="1"/>
        <v>1357.5249999999999</v>
      </c>
      <c r="O13" s="198">
        <f t="shared" si="1"/>
        <v>136</v>
      </c>
      <c r="P13" s="197">
        <f t="shared" si="1"/>
        <v>24.48</v>
      </c>
      <c r="Q13" s="198">
        <f t="shared" si="1"/>
        <v>172</v>
      </c>
      <c r="R13" s="200">
        <f t="shared" si="1"/>
        <v>23.908000000000001</v>
      </c>
      <c r="S13" s="194" t="s">
        <v>6</v>
      </c>
      <c r="T13" s="194"/>
      <c r="U13" s="194"/>
      <c r="V13" s="139"/>
    </row>
    <row r="14" spans="1:22" s="133" customFormat="1" ht="15.05" x14ac:dyDescent="0.3">
      <c r="A14" s="193"/>
      <c r="B14" s="207"/>
      <c r="C14" s="198"/>
      <c r="D14" s="197"/>
      <c r="E14" s="198"/>
      <c r="F14" s="197"/>
      <c r="G14" s="198"/>
      <c r="H14" s="197"/>
      <c r="I14" s="198"/>
      <c r="J14" s="197"/>
      <c r="K14" s="198"/>
      <c r="L14" s="197"/>
      <c r="M14" s="198"/>
      <c r="N14" s="197"/>
      <c r="O14" s="198"/>
      <c r="P14" s="197"/>
      <c r="Q14" s="198"/>
      <c r="R14" s="200"/>
      <c r="S14" s="194"/>
      <c r="T14" s="194"/>
      <c r="U14" s="194"/>
      <c r="V14" s="139"/>
    </row>
    <row r="15" spans="1:22" s="133" customFormat="1" ht="15.05" x14ac:dyDescent="0.3">
      <c r="A15" s="140" t="s">
        <v>244</v>
      </c>
      <c r="B15" s="141">
        <f t="shared" ref="B15:B20" si="2">SUM(C15,E15,G15,I15,K15,M15,O15,Q15)</f>
        <v>1589</v>
      </c>
      <c r="C15" s="162">
        <v>824</v>
      </c>
      <c r="D15" s="163">
        <v>148.86000000000001</v>
      </c>
      <c r="E15" s="164">
        <v>1</v>
      </c>
      <c r="F15" s="163">
        <v>0.3</v>
      </c>
      <c r="G15" s="164">
        <v>2</v>
      </c>
      <c r="H15" s="163">
        <v>0.32</v>
      </c>
      <c r="I15" s="162">
        <v>81</v>
      </c>
      <c r="J15" s="162">
        <v>12.345000000000001</v>
      </c>
      <c r="K15" s="163" t="s">
        <v>207</v>
      </c>
      <c r="L15" s="162" t="s">
        <v>207</v>
      </c>
      <c r="M15" s="165">
        <v>681</v>
      </c>
      <c r="N15" s="162">
        <v>110.60599999999999</v>
      </c>
      <c r="O15" s="165" t="s">
        <v>207</v>
      </c>
      <c r="P15" s="162" t="s">
        <v>207</v>
      </c>
      <c r="Q15" s="165" t="s">
        <v>207</v>
      </c>
      <c r="R15" s="166" t="s">
        <v>207</v>
      </c>
      <c r="S15" s="142" t="s">
        <v>288</v>
      </c>
      <c r="T15" s="138"/>
      <c r="U15" s="138"/>
      <c r="V15" s="138"/>
    </row>
    <row r="16" spans="1:22" s="133" customFormat="1" ht="15.05" x14ac:dyDescent="0.3">
      <c r="A16" s="140" t="s">
        <v>245</v>
      </c>
      <c r="B16" s="141">
        <f>SUM(C16,E16,G16,I16,K16,M16,O16,Q16)</f>
        <v>5183</v>
      </c>
      <c r="C16" s="162">
        <v>3788</v>
      </c>
      <c r="D16" s="163">
        <v>1047.31</v>
      </c>
      <c r="E16" s="162">
        <v>13</v>
      </c>
      <c r="F16" s="163">
        <v>3.9</v>
      </c>
      <c r="G16" s="164">
        <v>13</v>
      </c>
      <c r="H16" s="163">
        <v>3.45</v>
      </c>
      <c r="I16" s="162">
        <v>660</v>
      </c>
      <c r="J16" s="162">
        <v>107.47</v>
      </c>
      <c r="K16" s="163" t="s">
        <v>207</v>
      </c>
      <c r="L16" s="162" t="s">
        <v>207</v>
      </c>
      <c r="M16" s="165">
        <v>709</v>
      </c>
      <c r="N16" s="162">
        <v>113.53</v>
      </c>
      <c r="O16" s="165" t="s">
        <v>207</v>
      </c>
      <c r="P16" s="162" t="s">
        <v>207</v>
      </c>
      <c r="Q16" s="165" t="s">
        <v>207</v>
      </c>
      <c r="R16" s="166" t="s">
        <v>207</v>
      </c>
      <c r="S16" s="142" t="s">
        <v>289</v>
      </c>
      <c r="T16" s="138"/>
      <c r="U16" s="138"/>
      <c r="V16" s="138"/>
    </row>
    <row r="17" spans="1:22" s="133" customFormat="1" ht="15.05" x14ac:dyDescent="0.3">
      <c r="A17" s="140" t="s">
        <v>246</v>
      </c>
      <c r="B17" s="141">
        <f t="shared" si="2"/>
        <v>11491</v>
      </c>
      <c r="C17" s="162">
        <v>1865</v>
      </c>
      <c r="D17" s="163">
        <v>363.94499999999999</v>
      </c>
      <c r="E17" s="164">
        <v>50</v>
      </c>
      <c r="F17" s="163">
        <v>5</v>
      </c>
      <c r="G17" s="162">
        <v>33</v>
      </c>
      <c r="H17" s="163">
        <v>6.6</v>
      </c>
      <c r="I17" s="162">
        <v>3646</v>
      </c>
      <c r="J17" s="162">
        <v>508.25700000000001</v>
      </c>
      <c r="K17" s="163" t="s">
        <v>207</v>
      </c>
      <c r="L17" s="162" t="s">
        <v>207</v>
      </c>
      <c r="M17" s="163">
        <v>5761</v>
      </c>
      <c r="N17" s="162">
        <v>1060.806</v>
      </c>
      <c r="O17" s="165">
        <v>136</v>
      </c>
      <c r="P17" s="162">
        <v>24.48</v>
      </c>
      <c r="Q17" s="165" t="s">
        <v>207</v>
      </c>
      <c r="R17" s="166" t="s">
        <v>207</v>
      </c>
      <c r="S17" s="142" t="s">
        <v>290</v>
      </c>
      <c r="T17" s="138"/>
      <c r="U17" s="138"/>
      <c r="V17" s="138"/>
    </row>
    <row r="18" spans="1:22" s="133" customFormat="1" ht="15.05" x14ac:dyDescent="0.3">
      <c r="A18" s="140" t="s">
        <v>247</v>
      </c>
      <c r="B18" s="141">
        <f>SUM(C18,E18,G18,I18,K18,M18,O18,Q18)</f>
        <v>2</v>
      </c>
      <c r="C18" s="162">
        <v>2</v>
      </c>
      <c r="D18" s="163">
        <v>0.2</v>
      </c>
      <c r="E18" s="164" t="s">
        <v>207</v>
      </c>
      <c r="F18" s="163" t="s">
        <v>207</v>
      </c>
      <c r="G18" s="164" t="s">
        <v>207</v>
      </c>
      <c r="H18" s="163" t="s">
        <v>207</v>
      </c>
      <c r="I18" s="164" t="s">
        <v>207</v>
      </c>
      <c r="J18" s="162" t="s">
        <v>207</v>
      </c>
      <c r="K18" s="165" t="s">
        <v>207</v>
      </c>
      <c r="L18" s="162" t="s">
        <v>207</v>
      </c>
      <c r="M18" s="165" t="s">
        <v>207</v>
      </c>
      <c r="N18" s="162" t="s">
        <v>207</v>
      </c>
      <c r="O18" s="165" t="s">
        <v>207</v>
      </c>
      <c r="P18" s="162" t="s">
        <v>207</v>
      </c>
      <c r="Q18" s="165" t="s">
        <v>207</v>
      </c>
      <c r="R18" s="166" t="s">
        <v>207</v>
      </c>
      <c r="S18" s="142" t="s">
        <v>291</v>
      </c>
      <c r="T18" s="138"/>
      <c r="U18" s="138"/>
      <c r="V18" s="138"/>
    </row>
    <row r="19" spans="1:22" s="133" customFormat="1" ht="15.05" x14ac:dyDescent="0.3">
      <c r="A19" s="140" t="s">
        <v>248</v>
      </c>
      <c r="B19" s="141">
        <f t="shared" si="2"/>
        <v>4203</v>
      </c>
      <c r="C19" s="162">
        <v>3633</v>
      </c>
      <c r="D19" s="163">
        <v>612</v>
      </c>
      <c r="E19" s="164" t="s">
        <v>207</v>
      </c>
      <c r="F19" s="163" t="s">
        <v>207</v>
      </c>
      <c r="G19" s="162">
        <v>6</v>
      </c>
      <c r="H19" s="163">
        <v>2.89</v>
      </c>
      <c r="I19" s="162">
        <v>249</v>
      </c>
      <c r="J19" s="162">
        <v>36.32</v>
      </c>
      <c r="K19" s="163">
        <v>5</v>
      </c>
      <c r="L19" s="162">
        <v>0.84</v>
      </c>
      <c r="M19" s="163">
        <v>138</v>
      </c>
      <c r="N19" s="162">
        <v>26.79</v>
      </c>
      <c r="O19" s="165" t="s">
        <v>207</v>
      </c>
      <c r="P19" s="162" t="s">
        <v>207</v>
      </c>
      <c r="Q19" s="163">
        <v>172</v>
      </c>
      <c r="R19" s="166">
        <v>23.908000000000001</v>
      </c>
      <c r="S19" s="142" t="s">
        <v>292</v>
      </c>
      <c r="T19" s="138"/>
      <c r="U19" s="138"/>
      <c r="V19" s="138"/>
    </row>
    <row r="20" spans="1:22" s="133" customFormat="1" ht="15.05" x14ac:dyDescent="0.3">
      <c r="A20" s="140" t="s">
        <v>249</v>
      </c>
      <c r="B20" s="141">
        <f t="shared" si="2"/>
        <v>795</v>
      </c>
      <c r="C20" s="162">
        <v>187</v>
      </c>
      <c r="D20" s="163">
        <v>683.56</v>
      </c>
      <c r="E20" s="164" t="s">
        <v>207</v>
      </c>
      <c r="F20" s="163" t="s">
        <v>207</v>
      </c>
      <c r="G20" s="164" t="s">
        <v>207</v>
      </c>
      <c r="H20" s="163" t="s">
        <v>207</v>
      </c>
      <c r="I20" s="162">
        <v>279</v>
      </c>
      <c r="J20" s="162">
        <v>31.292000000000002</v>
      </c>
      <c r="K20" s="163" t="s">
        <v>207</v>
      </c>
      <c r="L20" s="162" t="s">
        <v>207</v>
      </c>
      <c r="M20" s="165">
        <v>329</v>
      </c>
      <c r="N20" s="162">
        <v>45.792999999999999</v>
      </c>
      <c r="O20" s="165" t="s">
        <v>207</v>
      </c>
      <c r="P20" s="162" t="s">
        <v>207</v>
      </c>
      <c r="Q20" s="165" t="s">
        <v>207</v>
      </c>
      <c r="R20" s="166" t="s">
        <v>207</v>
      </c>
      <c r="S20" s="142" t="s">
        <v>293</v>
      </c>
      <c r="T20" s="138"/>
      <c r="U20" s="138"/>
      <c r="V20" s="138"/>
    </row>
    <row r="21" spans="1:22" s="133" customFormat="1" ht="15.05" x14ac:dyDescent="0.3">
      <c r="A21" s="206" t="s">
        <v>7</v>
      </c>
      <c r="B21" s="207">
        <f>SUM(B23:B29)</f>
        <v>31996</v>
      </c>
      <c r="C21" s="198">
        <f>SUM(C23:C29)</f>
        <v>4674</v>
      </c>
      <c r="D21" s="197">
        <f t="shared" ref="D21:Q21" si="3">SUM(D23:D29)</f>
        <v>920.95100000000002</v>
      </c>
      <c r="E21" s="198">
        <f t="shared" si="3"/>
        <v>24</v>
      </c>
      <c r="F21" s="197">
        <f t="shared" si="3"/>
        <v>3.09</v>
      </c>
      <c r="G21" s="198">
        <f t="shared" si="3"/>
        <v>966</v>
      </c>
      <c r="H21" s="197">
        <f t="shared" si="3"/>
        <v>170.25600000000003</v>
      </c>
      <c r="I21" s="198">
        <f t="shared" si="3"/>
        <v>7604</v>
      </c>
      <c r="J21" s="197">
        <f t="shared" si="3"/>
        <v>1042.4009999999998</v>
      </c>
      <c r="K21" s="198">
        <f t="shared" si="3"/>
        <v>447</v>
      </c>
      <c r="L21" s="197">
        <f t="shared" si="3"/>
        <v>68.31</v>
      </c>
      <c r="M21" s="198">
        <f t="shared" si="3"/>
        <v>18278</v>
      </c>
      <c r="N21" s="197">
        <f t="shared" si="3"/>
        <v>2918.8240000000001</v>
      </c>
      <c r="O21" s="198">
        <f t="shared" si="3"/>
        <v>3</v>
      </c>
      <c r="P21" s="197">
        <f t="shared" si="3"/>
        <v>0.45</v>
      </c>
      <c r="Q21" s="198">
        <f t="shared" si="3"/>
        <v>0</v>
      </c>
      <c r="R21" s="200">
        <f>SUM(R23:R29)</f>
        <v>0</v>
      </c>
      <c r="S21" s="202" t="s">
        <v>8</v>
      </c>
      <c r="T21" s="202"/>
      <c r="U21" s="202"/>
      <c r="V21" s="138"/>
    </row>
    <row r="22" spans="1:22" s="133" customFormat="1" ht="15.05" x14ac:dyDescent="0.3">
      <c r="A22" s="206"/>
      <c r="B22" s="207"/>
      <c r="C22" s="198"/>
      <c r="D22" s="197"/>
      <c r="E22" s="198"/>
      <c r="F22" s="197"/>
      <c r="G22" s="198"/>
      <c r="H22" s="197"/>
      <c r="I22" s="198"/>
      <c r="J22" s="197"/>
      <c r="K22" s="198"/>
      <c r="L22" s="197"/>
      <c r="M22" s="198"/>
      <c r="N22" s="197"/>
      <c r="O22" s="198"/>
      <c r="P22" s="197"/>
      <c r="Q22" s="198"/>
      <c r="R22" s="200"/>
      <c r="S22" s="202"/>
      <c r="T22" s="202"/>
      <c r="U22" s="202"/>
      <c r="V22" s="138"/>
    </row>
    <row r="23" spans="1:22" s="133" customFormat="1" ht="15.05" x14ac:dyDescent="0.3">
      <c r="A23" s="140" t="s">
        <v>250</v>
      </c>
      <c r="B23" s="141">
        <f>SUM(C23,E23,G23,I23,K23,M23,O23,Q23)</f>
        <v>10932</v>
      </c>
      <c r="C23" s="162">
        <v>726</v>
      </c>
      <c r="D23" s="163">
        <v>121.61</v>
      </c>
      <c r="E23" s="164">
        <v>24</v>
      </c>
      <c r="F23" s="163">
        <v>3.09</v>
      </c>
      <c r="G23" s="162">
        <v>143</v>
      </c>
      <c r="H23" s="163">
        <v>21.106000000000002</v>
      </c>
      <c r="I23" s="162">
        <v>2354</v>
      </c>
      <c r="J23" s="162">
        <v>234.21199999999999</v>
      </c>
      <c r="K23" s="163">
        <v>46</v>
      </c>
      <c r="L23" s="162">
        <v>4.59</v>
      </c>
      <c r="M23" s="163">
        <v>7639</v>
      </c>
      <c r="N23" s="162">
        <v>898.2</v>
      </c>
      <c r="O23" s="163" t="s">
        <v>207</v>
      </c>
      <c r="P23" s="162" t="s">
        <v>207</v>
      </c>
      <c r="Q23" s="165" t="s">
        <v>207</v>
      </c>
      <c r="R23" s="166" t="s">
        <v>207</v>
      </c>
      <c r="S23" s="143" t="s">
        <v>294</v>
      </c>
      <c r="T23" s="138"/>
      <c r="U23" s="138"/>
      <c r="V23" s="138"/>
    </row>
    <row r="24" spans="1:22" s="133" customFormat="1" ht="15.05" x14ac:dyDescent="0.3">
      <c r="A24" s="140" t="s">
        <v>251</v>
      </c>
      <c r="B24" s="141">
        <f t="shared" ref="B24:B29" si="4">SUM(C24,E24,G24,I24,K24,M24,O24,Q24)</f>
        <v>1097</v>
      </c>
      <c r="C24" s="162">
        <v>160</v>
      </c>
      <c r="D24" s="163">
        <v>32.340000000000003</v>
      </c>
      <c r="E24" s="164" t="s">
        <v>207</v>
      </c>
      <c r="F24" s="163" t="s">
        <v>207</v>
      </c>
      <c r="G24" s="162">
        <v>17</v>
      </c>
      <c r="H24" s="163">
        <v>2.84</v>
      </c>
      <c r="I24" s="162">
        <v>226</v>
      </c>
      <c r="J24" s="162">
        <v>25.02</v>
      </c>
      <c r="K24" s="163" t="s">
        <v>207</v>
      </c>
      <c r="L24" s="162" t="s">
        <v>207</v>
      </c>
      <c r="M24" s="163">
        <v>691</v>
      </c>
      <c r="N24" s="162">
        <v>108.56</v>
      </c>
      <c r="O24" s="163">
        <v>3</v>
      </c>
      <c r="P24" s="162">
        <v>0.45</v>
      </c>
      <c r="Q24" s="165" t="s">
        <v>207</v>
      </c>
      <c r="R24" s="166" t="s">
        <v>207</v>
      </c>
      <c r="S24" s="143" t="s">
        <v>295</v>
      </c>
      <c r="T24" s="138"/>
      <c r="U24" s="138"/>
      <c r="V24" s="138"/>
    </row>
    <row r="25" spans="1:22" s="133" customFormat="1" ht="15.05" x14ac:dyDescent="0.3">
      <c r="A25" s="140" t="s">
        <v>252</v>
      </c>
      <c r="B25" s="141">
        <f t="shared" si="4"/>
        <v>6303</v>
      </c>
      <c r="C25" s="162">
        <v>715</v>
      </c>
      <c r="D25" s="163">
        <v>115.62</v>
      </c>
      <c r="E25" s="164" t="s">
        <v>207</v>
      </c>
      <c r="F25" s="163" t="s">
        <v>207</v>
      </c>
      <c r="G25" s="162">
        <v>370</v>
      </c>
      <c r="H25" s="163">
        <v>49.585000000000001</v>
      </c>
      <c r="I25" s="162">
        <v>2103</v>
      </c>
      <c r="J25" s="162">
        <v>303.25</v>
      </c>
      <c r="K25" s="163">
        <v>194</v>
      </c>
      <c r="L25" s="162">
        <v>29.1</v>
      </c>
      <c r="M25" s="165">
        <v>2921</v>
      </c>
      <c r="N25" s="162">
        <v>554.66700000000003</v>
      </c>
      <c r="O25" s="165" t="s">
        <v>207</v>
      </c>
      <c r="P25" s="162" t="s">
        <v>207</v>
      </c>
      <c r="Q25" s="165" t="s">
        <v>207</v>
      </c>
      <c r="R25" s="166" t="s">
        <v>207</v>
      </c>
      <c r="S25" s="143" t="s">
        <v>296</v>
      </c>
      <c r="T25" s="138"/>
      <c r="U25" s="138"/>
      <c r="V25" s="138"/>
    </row>
    <row r="26" spans="1:22" s="133" customFormat="1" ht="15.05" x14ac:dyDescent="0.3">
      <c r="A26" s="140" t="s">
        <v>253</v>
      </c>
      <c r="B26" s="141">
        <f t="shared" si="4"/>
        <v>2107</v>
      </c>
      <c r="C26" s="162">
        <v>657</v>
      </c>
      <c r="D26" s="163">
        <v>191.76</v>
      </c>
      <c r="E26" s="164" t="s">
        <v>207</v>
      </c>
      <c r="F26" s="163" t="s">
        <v>207</v>
      </c>
      <c r="G26" s="162">
        <v>8</v>
      </c>
      <c r="H26" s="163">
        <v>1.4650000000000001</v>
      </c>
      <c r="I26" s="162">
        <v>112</v>
      </c>
      <c r="J26" s="162">
        <v>20.239999999999998</v>
      </c>
      <c r="K26" s="163" t="s">
        <v>207</v>
      </c>
      <c r="L26" s="162" t="s">
        <v>207</v>
      </c>
      <c r="M26" s="165">
        <v>1330</v>
      </c>
      <c r="N26" s="162">
        <v>343.95</v>
      </c>
      <c r="O26" s="163" t="s">
        <v>207</v>
      </c>
      <c r="P26" s="162" t="s">
        <v>207</v>
      </c>
      <c r="Q26" s="165" t="s">
        <v>207</v>
      </c>
      <c r="R26" s="166" t="s">
        <v>207</v>
      </c>
      <c r="S26" s="143" t="s">
        <v>297</v>
      </c>
      <c r="T26" s="138"/>
      <c r="U26" s="138"/>
      <c r="V26" s="138"/>
    </row>
    <row r="27" spans="1:22" s="133" customFormat="1" ht="15.05" x14ac:dyDescent="0.3">
      <c r="A27" s="140" t="s">
        <v>254</v>
      </c>
      <c r="B27" s="141">
        <f t="shared" si="4"/>
        <v>1642</v>
      </c>
      <c r="C27" s="162">
        <v>506</v>
      </c>
      <c r="D27" s="163">
        <v>99.8</v>
      </c>
      <c r="E27" s="164" t="s">
        <v>207</v>
      </c>
      <c r="F27" s="163" t="s">
        <v>207</v>
      </c>
      <c r="G27" s="162" t="s">
        <v>207</v>
      </c>
      <c r="H27" s="163" t="s">
        <v>207</v>
      </c>
      <c r="I27" s="162">
        <v>389</v>
      </c>
      <c r="J27" s="162">
        <v>56.29</v>
      </c>
      <c r="K27" s="163" t="s">
        <v>207</v>
      </c>
      <c r="L27" s="162" t="s">
        <v>207</v>
      </c>
      <c r="M27" s="165">
        <v>747</v>
      </c>
      <c r="N27" s="162">
        <v>131.166</v>
      </c>
      <c r="O27" s="165" t="s">
        <v>207</v>
      </c>
      <c r="P27" s="162" t="s">
        <v>207</v>
      </c>
      <c r="Q27" s="165" t="s">
        <v>207</v>
      </c>
      <c r="R27" s="166" t="s">
        <v>207</v>
      </c>
      <c r="S27" s="143" t="s">
        <v>298</v>
      </c>
      <c r="T27" s="138"/>
      <c r="U27" s="138"/>
      <c r="V27" s="138"/>
    </row>
    <row r="28" spans="1:22" s="133" customFormat="1" ht="15.05" x14ac:dyDescent="0.3">
      <c r="A28" s="140" t="s">
        <v>255</v>
      </c>
      <c r="B28" s="141">
        <f t="shared" si="4"/>
        <v>5486</v>
      </c>
      <c r="C28" s="162">
        <v>1757</v>
      </c>
      <c r="D28" s="163">
        <v>337.72300000000001</v>
      </c>
      <c r="E28" s="164" t="s">
        <v>207</v>
      </c>
      <c r="F28" s="163" t="s">
        <v>207</v>
      </c>
      <c r="G28" s="162">
        <v>59</v>
      </c>
      <c r="H28" s="163">
        <v>20.36</v>
      </c>
      <c r="I28" s="162">
        <v>1863</v>
      </c>
      <c r="J28" s="162">
        <v>352.32799999999997</v>
      </c>
      <c r="K28" s="163">
        <v>192</v>
      </c>
      <c r="L28" s="162">
        <v>31.92</v>
      </c>
      <c r="M28" s="163">
        <v>1615</v>
      </c>
      <c r="N28" s="162">
        <v>308.45699999999999</v>
      </c>
      <c r="O28" s="165" t="s">
        <v>207</v>
      </c>
      <c r="P28" s="162" t="s">
        <v>207</v>
      </c>
      <c r="Q28" s="165" t="s">
        <v>207</v>
      </c>
      <c r="R28" s="166" t="s">
        <v>207</v>
      </c>
      <c r="S28" s="143" t="s">
        <v>299</v>
      </c>
      <c r="T28" s="138"/>
      <c r="U28" s="138"/>
      <c r="V28" s="138"/>
    </row>
    <row r="29" spans="1:22" s="133" customFormat="1" ht="15.05" x14ac:dyDescent="0.3">
      <c r="A29" s="140" t="s">
        <v>256</v>
      </c>
      <c r="B29" s="141">
        <f t="shared" si="4"/>
        <v>4429</v>
      </c>
      <c r="C29" s="162">
        <v>153</v>
      </c>
      <c r="D29" s="163">
        <v>22.097999999999999</v>
      </c>
      <c r="E29" s="164" t="s">
        <v>207</v>
      </c>
      <c r="F29" s="163" t="s">
        <v>207</v>
      </c>
      <c r="G29" s="162">
        <v>369</v>
      </c>
      <c r="H29" s="163">
        <v>74.900000000000006</v>
      </c>
      <c r="I29" s="162">
        <v>557</v>
      </c>
      <c r="J29" s="162">
        <v>51.061</v>
      </c>
      <c r="K29" s="163">
        <v>15</v>
      </c>
      <c r="L29" s="162">
        <v>2.7</v>
      </c>
      <c r="M29" s="163">
        <v>3335</v>
      </c>
      <c r="N29" s="162">
        <v>573.82399999999996</v>
      </c>
      <c r="O29" s="163" t="s">
        <v>207</v>
      </c>
      <c r="P29" s="162" t="s">
        <v>207</v>
      </c>
      <c r="Q29" s="165" t="s">
        <v>207</v>
      </c>
      <c r="R29" s="166" t="s">
        <v>207</v>
      </c>
      <c r="S29" s="143" t="s">
        <v>300</v>
      </c>
      <c r="T29" s="138"/>
      <c r="U29" s="138"/>
      <c r="V29" s="138"/>
    </row>
    <row r="30" spans="1:22" s="133" customFormat="1" ht="20.7" customHeight="1" x14ac:dyDescent="0.3">
      <c r="A30" s="144" t="s">
        <v>210</v>
      </c>
      <c r="B30" s="145">
        <f>SUM(B31:B34)</f>
        <v>108365</v>
      </c>
      <c r="C30" s="146">
        <f>SUM(C31:C34)</f>
        <v>24312</v>
      </c>
      <c r="D30" s="147">
        <f>SUM(D31:D34)</f>
        <v>5871.8310000000001</v>
      </c>
      <c r="E30" s="146">
        <f t="shared" ref="E30:R30" si="5">SUM(E31:E34)</f>
        <v>0</v>
      </c>
      <c r="F30" s="147">
        <f t="shared" si="5"/>
        <v>0</v>
      </c>
      <c r="G30" s="146">
        <f t="shared" si="5"/>
        <v>96</v>
      </c>
      <c r="H30" s="147">
        <f t="shared" si="5"/>
        <v>28.779999999999998</v>
      </c>
      <c r="I30" s="146">
        <f t="shared" si="5"/>
        <v>45522</v>
      </c>
      <c r="J30" s="147">
        <f t="shared" si="5"/>
        <v>4719.29</v>
      </c>
      <c r="K30" s="146">
        <f t="shared" si="5"/>
        <v>795</v>
      </c>
      <c r="L30" s="147">
        <f t="shared" si="5"/>
        <v>93.507000000000005</v>
      </c>
      <c r="M30" s="146">
        <f t="shared" si="5"/>
        <v>37251</v>
      </c>
      <c r="N30" s="147">
        <f t="shared" si="5"/>
        <v>4856.5819999999994</v>
      </c>
      <c r="O30" s="146">
        <f t="shared" si="5"/>
        <v>389</v>
      </c>
      <c r="P30" s="147">
        <f t="shared" si="5"/>
        <v>54.59</v>
      </c>
      <c r="Q30" s="146">
        <f t="shared" si="5"/>
        <v>0</v>
      </c>
      <c r="R30" s="148">
        <f t="shared" si="5"/>
        <v>0</v>
      </c>
      <c r="S30" s="149" t="s">
        <v>211</v>
      </c>
      <c r="T30" s="150"/>
      <c r="U30" s="138"/>
      <c r="V30" s="138"/>
    </row>
    <row r="31" spans="1:22" s="133" customFormat="1" ht="15.05" x14ac:dyDescent="0.3">
      <c r="A31" s="140" t="s">
        <v>257</v>
      </c>
      <c r="B31" s="141">
        <f t="shared" ref="B31:B34" si="6">SUM(C31,E31,G31,I31,K31,M31,O31,Q31)</f>
        <v>26755</v>
      </c>
      <c r="C31" s="162">
        <v>728</v>
      </c>
      <c r="D31" s="163">
        <v>149.55699999999999</v>
      </c>
      <c r="E31" s="164" t="s">
        <v>207</v>
      </c>
      <c r="F31" s="163" t="s">
        <v>207</v>
      </c>
      <c r="G31" s="162">
        <v>44</v>
      </c>
      <c r="H31" s="163">
        <v>12.6</v>
      </c>
      <c r="I31" s="162">
        <v>18922</v>
      </c>
      <c r="J31" s="162">
        <v>1840.2329999999999</v>
      </c>
      <c r="K31" s="163">
        <v>71</v>
      </c>
      <c r="L31" s="162">
        <v>12.785</v>
      </c>
      <c r="M31" s="163">
        <v>6604</v>
      </c>
      <c r="N31" s="162">
        <v>825.03800000000001</v>
      </c>
      <c r="O31" s="163">
        <v>386</v>
      </c>
      <c r="P31" s="162">
        <v>53.24</v>
      </c>
      <c r="Q31" s="163" t="s">
        <v>207</v>
      </c>
      <c r="R31" s="166" t="s">
        <v>207</v>
      </c>
      <c r="S31" s="143" t="s">
        <v>301</v>
      </c>
      <c r="T31" s="138"/>
      <c r="U31" s="138"/>
      <c r="V31" s="138"/>
    </row>
    <row r="32" spans="1:22" s="133" customFormat="1" ht="15.05" x14ac:dyDescent="0.3">
      <c r="A32" s="140" t="s">
        <v>258</v>
      </c>
      <c r="B32" s="141">
        <f t="shared" si="6"/>
        <v>48362</v>
      </c>
      <c r="C32" s="162">
        <v>1882</v>
      </c>
      <c r="D32" s="163">
        <v>335.44</v>
      </c>
      <c r="E32" s="164" t="s">
        <v>207</v>
      </c>
      <c r="F32" s="163" t="s">
        <v>207</v>
      </c>
      <c r="G32" s="162">
        <v>26</v>
      </c>
      <c r="H32" s="163">
        <v>4.1399999999999997</v>
      </c>
      <c r="I32" s="162">
        <v>17802</v>
      </c>
      <c r="J32" s="162">
        <v>1859.55</v>
      </c>
      <c r="K32" s="163">
        <v>433</v>
      </c>
      <c r="L32" s="162">
        <v>36.402000000000001</v>
      </c>
      <c r="M32" s="163">
        <v>28219</v>
      </c>
      <c r="N32" s="162">
        <v>3733.2649999999999</v>
      </c>
      <c r="O32" s="165" t="s">
        <v>207</v>
      </c>
      <c r="P32" s="162" t="s">
        <v>207</v>
      </c>
      <c r="Q32" s="163" t="s">
        <v>207</v>
      </c>
      <c r="R32" s="166" t="s">
        <v>207</v>
      </c>
      <c r="S32" s="143" t="s">
        <v>302</v>
      </c>
      <c r="T32" s="138"/>
      <c r="U32" s="138"/>
      <c r="V32" s="138"/>
    </row>
    <row r="33" spans="1:22" s="133" customFormat="1" ht="15.05" x14ac:dyDescent="0.3">
      <c r="A33" s="140" t="s">
        <v>259</v>
      </c>
      <c r="B33" s="141">
        <f t="shared" si="6"/>
        <v>21346</v>
      </c>
      <c r="C33" s="162">
        <v>11178</v>
      </c>
      <c r="D33" s="163">
        <v>2835.4</v>
      </c>
      <c r="E33" s="162" t="s">
        <v>207</v>
      </c>
      <c r="F33" s="163" t="s">
        <v>207</v>
      </c>
      <c r="G33" s="162">
        <v>26</v>
      </c>
      <c r="H33" s="163">
        <v>12.04</v>
      </c>
      <c r="I33" s="162">
        <v>7988</v>
      </c>
      <c r="J33" s="162">
        <v>901.91899999999998</v>
      </c>
      <c r="K33" s="163">
        <v>291</v>
      </c>
      <c r="L33" s="162">
        <v>44.32</v>
      </c>
      <c r="M33" s="163">
        <v>1860</v>
      </c>
      <c r="N33" s="162">
        <v>215.815</v>
      </c>
      <c r="O33" s="163">
        <v>3</v>
      </c>
      <c r="P33" s="162">
        <v>1.35</v>
      </c>
      <c r="Q33" s="165" t="s">
        <v>207</v>
      </c>
      <c r="R33" s="166" t="s">
        <v>207</v>
      </c>
      <c r="S33" s="143" t="s">
        <v>303</v>
      </c>
      <c r="T33" s="138"/>
      <c r="U33" s="138"/>
      <c r="V33" s="138"/>
    </row>
    <row r="34" spans="1:22" s="133" customFormat="1" ht="15.05" x14ac:dyDescent="0.3">
      <c r="A34" s="140" t="s">
        <v>260</v>
      </c>
      <c r="B34" s="141">
        <f t="shared" si="6"/>
        <v>11902</v>
      </c>
      <c r="C34" s="162">
        <v>10524</v>
      </c>
      <c r="D34" s="163">
        <v>2551.4340000000002</v>
      </c>
      <c r="E34" s="164" t="s">
        <v>207</v>
      </c>
      <c r="F34" s="163" t="s">
        <v>207</v>
      </c>
      <c r="G34" s="162" t="s">
        <v>207</v>
      </c>
      <c r="H34" s="163" t="s">
        <v>207</v>
      </c>
      <c r="I34" s="162">
        <v>810</v>
      </c>
      <c r="J34" s="162">
        <v>117.58799999999999</v>
      </c>
      <c r="K34" s="163" t="s">
        <v>207</v>
      </c>
      <c r="L34" s="162" t="s">
        <v>207</v>
      </c>
      <c r="M34" s="165">
        <v>568</v>
      </c>
      <c r="N34" s="162">
        <v>82.463999999999999</v>
      </c>
      <c r="O34" s="165" t="s">
        <v>207</v>
      </c>
      <c r="P34" s="162" t="s">
        <v>207</v>
      </c>
      <c r="Q34" s="163" t="s">
        <v>207</v>
      </c>
      <c r="R34" s="166" t="s">
        <v>207</v>
      </c>
      <c r="S34" s="143" t="s">
        <v>304</v>
      </c>
      <c r="T34" s="138"/>
      <c r="U34" s="138"/>
      <c r="V34" s="138"/>
    </row>
    <row r="35" spans="1:22" s="133" customFormat="1" ht="15.05" x14ac:dyDescent="0.3">
      <c r="A35" s="206" t="s">
        <v>9</v>
      </c>
      <c r="B35" s="207">
        <f>SUM(B37:B40)</f>
        <v>2862</v>
      </c>
      <c r="C35" s="199">
        <f t="shared" ref="C35:R35" si="7">SUM(C37:C40)</f>
        <v>2238</v>
      </c>
      <c r="D35" s="199">
        <f>SUM(D37:D40)</f>
        <v>552.17399999999998</v>
      </c>
      <c r="E35" s="199">
        <f t="shared" si="7"/>
        <v>55</v>
      </c>
      <c r="F35" s="199">
        <f t="shared" si="7"/>
        <v>14.75</v>
      </c>
      <c r="G35" s="199">
        <f t="shared" si="7"/>
        <v>21</v>
      </c>
      <c r="H35" s="199">
        <f t="shared" si="7"/>
        <v>9.7199999999999989</v>
      </c>
      <c r="I35" s="199">
        <f t="shared" si="7"/>
        <v>286</v>
      </c>
      <c r="J35" s="199">
        <f t="shared" si="7"/>
        <v>52.98</v>
      </c>
      <c r="K35" s="199">
        <f t="shared" si="7"/>
        <v>147</v>
      </c>
      <c r="L35" s="199">
        <f t="shared" si="7"/>
        <v>16.899999999999999</v>
      </c>
      <c r="M35" s="199">
        <f t="shared" si="7"/>
        <v>114</v>
      </c>
      <c r="N35" s="199">
        <f t="shared" si="7"/>
        <v>18.170000000000002</v>
      </c>
      <c r="O35" s="199">
        <f t="shared" si="7"/>
        <v>1</v>
      </c>
      <c r="P35" s="199">
        <f t="shared" si="7"/>
        <v>0.1</v>
      </c>
      <c r="Q35" s="199">
        <f t="shared" si="7"/>
        <v>0</v>
      </c>
      <c r="R35" s="203">
        <f t="shared" si="7"/>
        <v>0</v>
      </c>
      <c r="S35" s="201" t="s">
        <v>10</v>
      </c>
      <c r="T35" s="201"/>
      <c r="U35" s="201"/>
      <c r="V35" s="138"/>
    </row>
    <row r="36" spans="1:22" s="133" customFormat="1" ht="15.65" thickBot="1" x14ac:dyDescent="0.35">
      <c r="A36" s="206"/>
      <c r="B36" s="207"/>
      <c r="C36" s="199"/>
      <c r="D36" s="199"/>
      <c r="E36" s="199"/>
      <c r="F36" s="199"/>
      <c r="G36" s="199"/>
      <c r="H36" s="199"/>
      <c r="I36" s="199"/>
      <c r="J36" s="199"/>
      <c r="K36" s="199"/>
      <c r="L36" s="199"/>
      <c r="M36" s="199"/>
      <c r="N36" s="199"/>
      <c r="O36" s="199"/>
      <c r="P36" s="199"/>
      <c r="Q36" s="199"/>
      <c r="R36" s="203"/>
      <c r="S36" s="201"/>
      <c r="T36" s="201"/>
      <c r="U36" s="201"/>
      <c r="V36" s="138"/>
    </row>
    <row r="37" spans="1:22" s="133" customFormat="1" ht="15.05" x14ac:dyDescent="0.3">
      <c r="A37" s="140" t="s">
        <v>261</v>
      </c>
      <c r="B37" s="141">
        <f>SUM(C37,E37,G37,I37,K37,M37,O37,Q37)</f>
        <v>494</v>
      </c>
      <c r="C37" s="162">
        <v>352</v>
      </c>
      <c r="D37" s="163">
        <v>91.33</v>
      </c>
      <c r="E37" s="164" t="s">
        <v>207</v>
      </c>
      <c r="F37" s="163" t="s">
        <v>207</v>
      </c>
      <c r="G37" s="164" t="s">
        <v>207</v>
      </c>
      <c r="H37" s="163" t="s">
        <v>207</v>
      </c>
      <c r="I37" s="162">
        <v>118</v>
      </c>
      <c r="J37" s="162">
        <v>16.63</v>
      </c>
      <c r="K37" s="163" t="s">
        <v>207</v>
      </c>
      <c r="L37" s="162" t="s">
        <v>207</v>
      </c>
      <c r="M37" s="165">
        <v>23</v>
      </c>
      <c r="N37" s="162">
        <v>5.1100000000000003</v>
      </c>
      <c r="O37" s="163">
        <v>1</v>
      </c>
      <c r="P37" s="162">
        <v>0.1</v>
      </c>
      <c r="Q37" s="165" t="s">
        <v>207</v>
      </c>
      <c r="R37" s="166" t="s">
        <v>207</v>
      </c>
      <c r="S37" s="143" t="s">
        <v>305</v>
      </c>
      <c r="T37" s="138"/>
      <c r="U37" s="138"/>
      <c r="V37" s="138"/>
    </row>
    <row r="38" spans="1:22" s="133" customFormat="1" ht="15.05" x14ac:dyDescent="0.3">
      <c r="A38" s="140" t="s">
        <v>262</v>
      </c>
      <c r="B38" s="141">
        <f>SUM(C38,E38,G38,I38,K38,M38,O38,Q38)</f>
        <v>205</v>
      </c>
      <c r="C38" s="162">
        <v>176</v>
      </c>
      <c r="D38" s="163">
        <v>106.191</v>
      </c>
      <c r="E38" s="164" t="s">
        <v>207</v>
      </c>
      <c r="F38" s="163" t="s">
        <v>207</v>
      </c>
      <c r="G38" s="162">
        <v>19</v>
      </c>
      <c r="H38" s="163">
        <v>9.1199999999999992</v>
      </c>
      <c r="I38" s="162">
        <v>5</v>
      </c>
      <c r="J38" s="162">
        <v>1.35</v>
      </c>
      <c r="K38" s="163" t="s">
        <v>207</v>
      </c>
      <c r="L38" s="162" t="s">
        <v>207</v>
      </c>
      <c r="M38" s="165">
        <v>5</v>
      </c>
      <c r="N38" s="162">
        <v>1.36</v>
      </c>
      <c r="O38" s="165" t="s">
        <v>207</v>
      </c>
      <c r="P38" s="162" t="s">
        <v>207</v>
      </c>
      <c r="Q38" s="165" t="s">
        <v>207</v>
      </c>
      <c r="R38" s="166" t="s">
        <v>207</v>
      </c>
      <c r="S38" s="143" t="s">
        <v>306</v>
      </c>
      <c r="T38" s="138"/>
      <c r="U38" s="138"/>
      <c r="V38" s="138"/>
    </row>
    <row r="39" spans="1:22" s="133" customFormat="1" ht="15.05" x14ac:dyDescent="0.3">
      <c r="A39" s="140" t="s">
        <v>263</v>
      </c>
      <c r="B39" s="141">
        <f>SUM(C39,E39,G39,I39,K39,M39,O39,Q39)</f>
        <v>23</v>
      </c>
      <c r="C39" s="162">
        <v>6</v>
      </c>
      <c r="D39" s="163">
        <v>1.35</v>
      </c>
      <c r="E39" s="164" t="s">
        <v>207</v>
      </c>
      <c r="F39" s="163" t="s">
        <v>207</v>
      </c>
      <c r="G39" s="164" t="s">
        <v>207</v>
      </c>
      <c r="H39" s="163" t="s">
        <v>207</v>
      </c>
      <c r="I39" s="164">
        <v>15</v>
      </c>
      <c r="J39" s="162">
        <v>2.7</v>
      </c>
      <c r="K39" s="163" t="s">
        <v>207</v>
      </c>
      <c r="L39" s="162" t="s">
        <v>207</v>
      </c>
      <c r="M39" s="165">
        <v>2</v>
      </c>
      <c r="N39" s="162">
        <v>0.4</v>
      </c>
      <c r="O39" s="165" t="s">
        <v>207</v>
      </c>
      <c r="P39" s="162" t="s">
        <v>207</v>
      </c>
      <c r="Q39" s="165" t="s">
        <v>207</v>
      </c>
      <c r="R39" s="166" t="s">
        <v>207</v>
      </c>
      <c r="S39" s="143" t="s">
        <v>307</v>
      </c>
      <c r="T39" s="138"/>
      <c r="U39" s="138"/>
      <c r="V39" s="138"/>
    </row>
    <row r="40" spans="1:22" s="133" customFormat="1" ht="15.05" x14ac:dyDescent="0.3">
      <c r="A40" s="140" t="s">
        <v>264</v>
      </c>
      <c r="B40" s="141">
        <f>SUM(C40,E40,G40,I40,K40,M40,O40,Q40)</f>
        <v>2140</v>
      </c>
      <c r="C40" s="162">
        <v>1704</v>
      </c>
      <c r="D40" s="163">
        <v>353.303</v>
      </c>
      <c r="E40" s="164">
        <v>55</v>
      </c>
      <c r="F40" s="163">
        <v>14.75</v>
      </c>
      <c r="G40" s="162">
        <v>2</v>
      </c>
      <c r="H40" s="163">
        <v>0.6</v>
      </c>
      <c r="I40" s="162">
        <v>148</v>
      </c>
      <c r="J40" s="162">
        <v>32.299999999999997</v>
      </c>
      <c r="K40" s="163">
        <v>147</v>
      </c>
      <c r="L40" s="162">
        <v>16.899999999999999</v>
      </c>
      <c r="M40" s="163">
        <v>84</v>
      </c>
      <c r="N40" s="162">
        <v>11.3</v>
      </c>
      <c r="O40" s="165" t="s">
        <v>207</v>
      </c>
      <c r="P40" s="162" t="s">
        <v>207</v>
      </c>
      <c r="Q40" s="165" t="s">
        <v>207</v>
      </c>
      <c r="R40" s="166" t="s">
        <v>207</v>
      </c>
      <c r="S40" s="143" t="s">
        <v>308</v>
      </c>
      <c r="T40" s="138"/>
      <c r="U40" s="138"/>
      <c r="V40" s="138"/>
    </row>
    <row r="41" spans="1:22" s="133" customFormat="1" ht="15.05" x14ac:dyDescent="0.3">
      <c r="A41" s="206" t="s">
        <v>11</v>
      </c>
      <c r="B41" s="207">
        <f>SUM(B43:B47)</f>
        <v>88573</v>
      </c>
      <c r="C41" s="198">
        <f>SUM(C43:C47)</f>
        <v>6048</v>
      </c>
      <c r="D41" s="197">
        <f>SUM(D43:D47)</f>
        <v>1268.9670000000001</v>
      </c>
      <c r="E41" s="198">
        <f>SUM(E43:E47)</f>
        <v>159</v>
      </c>
      <c r="F41" s="197">
        <f t="shared" ref="F41:R41" si="8">SUM(F43:F47)</f>
        <v>28.854999999999997</v>
      </c>
      <c r="G41" s="198">
        <f t="shared" si="8"/>
        <v>502</v>
      </c>
      <c r="H41" s="197">
        <f t="shared" si="8"/>
        <v>165.05499999999998</v>
      </c>
      <c r="I41" s="198">
        <f t="shared" si="8"/>
        <v>35062</v>
      </c>
      <c r="J41" s="197">
        <f t="shared" si="8"/>
        <v>4709.4199999999992</v>
      </c>
      <c r="K41" s="198">
        <f t="shared" si="8"/>
        <v>5209</v>
      </c>
      <c r="L41" s="197">
        <f t="shared" si="8"/>
        <v>1154.4159999999999</v>
      </c>
      <c r="M41" s="198">
        <f t="shared" si="8"/>
        <v>39764</v>
      </c>
      <c r="N41" s="197">
        <f t="shared" si="8"/>
        <v>6451.4870000000001</v>
      </c>
      <c r="O41" s="198">
        <f t="shared" si="8"/>
        <v>1562</v>
      </c>
      <c r="P41" s="197">
        <f t="shared" si="8"/>
        <v>614.32999999999993</v>
      </c>
      <c r="Q41" s="198">
        <f t="shared" si="8"/>
        <v>267</v>
      </c>
      <c r="R41" s="200">
        <f t="shared" si="8"/>
        <v>50.244</v>
      </c>
      <c r="S41" s="201" t="s">
        <v>12</v>
      </c>
      <c r="T41" s="201"/>
      <c r="U41" s="201"/>
      <c r="V41" s="138"/>
    </row>
    <row r="42" spans="1:22" s="133" customFormat="1" ht="15.05" x14ac:dyDescent="0.3">
      <c r="A42" s="206"/>
      <c r="B42" s="207"/>
      <c r="C42" s="198"/>
      <c r="D42" s="197"/>
      <c r="E42" s="198"/>
      <c r="F42" s="197"/>
      <c r="G42" s="198"/>
      <c r="H42" s="197"/>
      <c r="I42" s="198"/>
      <c r="J42" s="197"/>
      <c r="K42" s="198"/>
      <c r="L42" s="197"/>
      <c r="M42" s="198"/>
      <c r="N42" s="197"/>
      <c r="O42" s="198"/>
      <c r="P42" s="197"/>
      <c r="Q42" s="198"/>
      <c r="R42" s="200"/>
      <c r="S42" s="201"/>
      <c r="T42" s="201"/>
      <c r="U42" s="201"/>
      <c r="V42" s="138"/>
    </row>
    <row r="43" spans="1:22" s="133" customFormat="1" ht="15.05" x14ac:dyDescent="0.3">
      <c r="A43" s="140" t="s">
        <v>265</v>
      </c>
      <c r="B43" s="141">
        <f>SUM(C43,E43,G43,I43,K43,M43,O43,Q43)</f>
        <v>73764</v>
      </c>
      <c r="C43" s="162">
        <v>3235</v>
      </c>
      <c r="D43" s="163">
        <v>703.92100000000005</v>
      </c>
      <c r="E43" s="162">
        <v>21</v>
      </c>
      <c r="F43" s="163">
        <v>6.6</v>
      </c>
      <c r="G43" s="162">
        <v>300</v>
      </c>
      <c r="H43" s="163">
        <v>80.13</v>
      </c>
      <c r="I43" s="162">
        <v>32276</v>
      </c>
      <c r="J43" s="162">
        <v>4338.2619999999997</v>
      </c>
      <c r="K43" s="163">
        <v>4983</v>
      </c>
      <c r="L43" s="162">
        <v>1122.481</v>
      </c>
      <c r="M43" s="163">
        <v>31352</v>
      </c>
      <c r="N43" s="162">
        <v>5322.201</v>
      </c>
      <c r="O43" s="163">
        <v>1334</v>
      </c>
      <c r="P43" s="162">
        <v>535.9</v>
      </c>
      <c r="Q43" s="163">
        <v>263</v>
      </c>
      <c r="R43" s="166">
        <v>49.444000000000003</v>
      </c>
      <c r="S43" s="143" t="s">
        <v>309</v>
      </c>
      <c r="T43" s="138"/>
      <c r="U43" s="138"/>
      <c r="V43" s="138"/>
    </row>
    <row r="44" spans="1:22" s="133" customFormat="1" ht="15.05" x14ac:dyDescent="0.3">
      <c r="A44" s="140" t="s">
        <v>266</v>
      </c>
      <c r="B44" s="141">
        <f>SUM(C44,E44,G44,I44,K44,M44,O44,Q44)</f>
        <v>4957</v>
      </c>
      <c r="C44" s="162">
        <v>1415</v>
      </c>
      <c r="D44" s="163">
        <v>286.51600000000002</v>
      </c>
      <c r="E44" s="162">
        <v>138</v>
      </c>
      <c r="F44" s="163">
        <v>22.254999999999999</v>
      </c>
      <c r="G44" s="162">
        <v>195</v>
      </c>
      <c r="H44" s="163">
        <v>82.575000000000003</v>
      </c>
      <c r="I44" s="162">
        <v>1395</v>
      </c>
      <c r="J44" s="162">
        <v>197.24799999999999</v>
      </c>
      <c r="K44" s="163">
        <v>206</v>
      </c>
      <c r="L44" s="162">
        <v>28.934999999999999</v>
      </c>
      <c r="M44" s="163">
        <v>1391</v>
      </c>
      <c r="N44" s="162">
        <v>185.721</v>
      </c>
      <c r="O44" s="163">
        <v>213</v>
      </c>
      <c r="P44" s="162">
        <v>72.25</v>
      </c>
      <c r="Q44" s="165">
        <v>4</v>
      </c>
      <c r="R44" s="166">
        <v>0.8</v>
      </c>
      <c r="S44" s="143" t="s">
        <v>310</v>
      </c>
      <c r="T44" s="138"/>
      <c r="U44" s="138"/>
      <c r="V44" s="138"/>
    </row>
    <row r="45" spans="1:22" s="133" customFormat="1" ht="15.05" x14ac:dyDescent="0.3">
      <c r="A45" s="140" t="s">
        <v>267</v>
      </c>
      <c r="B45" s="141">
        <f>SUM(C45,E45,G45,I45,K45,M45,O45,Q45)</f>
        <v>3152</v>
      </c>
      <c r="C45" s="162">
        <v>703</v>
      </c>
      <c r="D45" s="163">
        <v>159.88</v>
      </c>
      <c r="E45" s="162" t="s">
        <v>207</v>
      </c>
      <c r="F45" s="163" t="s">
        <v>207</v>
      </c>
      <c r="G45" s="162">
        <v>7</v>
      </c>
      <c r="H45" s="163">
        <v>2.35</v>
      </c>
      <c r="I45" s="162">
        <v>571</v>
      </c>
      <c r="J45" s="162">
        <v>78.7</v>
      </c>
      <c r="K45" s="163" t="s">
        <v>207</v>
      </c>
      <c r="L45" s="162" t="s">
        <v>207</v>
      </c>
      <c r="M45" s="165">
        <v>1871</v>
      </c>
      <c r="N45" s="162">
        <v>342.82499999999999</v>
      </c>
      <c r="O45" s="165" t="s">
        <v>207</v>
      </c>
      <c r="P45" s="162" t="s">
        <v>207</v>
      </c>
      <c r="Q45" s="165" t="s">
        <v>207</v>
      </c>
      <c r="R45" s="166" t="s">
        <v>207</v>
      </c>
      <c r="S45" s="143" t="s">
        <v>311</v>
      </c>
      <c r="T45" s="138"/>
      <c r="U45" s="138"/>
      <c r="V45" s="138"/>
    </row>
    <row r="46" spans="1:22" s="133" customFormat="1" ht="15.05" x14ac:dyDescent="0.3">
      <c r="A46" s="140" t="s">
        <v>268</v>
      </c>
      <c r="B46" s="141">
        <f>SUM(C46,E46,G46,I46,K46,M46,O46,Q46)</f>
        <v>1</v>
      </c>
      <c r="C46" s="162">
        <v>1</v>
      </c>
      <c r="D46" s="163">
        <v>0.21</v>
      </c>
      <c r="E46" s="162" t="s">
        <v>207</v>
      </c>
      <c r="F46" s="163" t="s">
        <v>207</v>
      </c>
      <c r="G46" s="162" t="s">
        <v>207</v>
      </c>
      <c r="H46" s="163" t="s">
        <v>207</v>
      </c>
      <c r="I46" s="162" t="s">
        <v>207</v>
      </c>
      <c r="J46" s="162" t="s">
        <v>207</v>
      </c>
      <c r="K46" s="163" t="s">
        <v>207</v>
      </c>
      <c r="L46" s="162" t="s">
        <v>207</v>
      </c>
      <c r="M46" s="165" t="s">
        <v>207</v>
      </c>
      <c r="N46" s="162" t="s">
        <v>207</v>
      </c>
      <c r="O46" s="165" t="s">
        <v>207</v>
      </c>
      <c r="P46" s="162" t="s">
        <v>207</v>
      </c>
      <c r="Q46" s="165" t="s">
        <v>207</v>
      </c>
      <c r="R46" s="166" t="s">
        <v>207</v>
      </c>
      <c r="S46" s="192" t="s">
        <v>312</v>
      </c>
      <c r="T46" s="196"/>
      <c r="U46" s="196"/>
      <c r="V46" s="138"/>
    </row>
    <row r="47" spans="1:22" s="133" customFormat="1" ht="15.05" x14ac:dyDescent="0.3">
      <c r="A47" s="140" t="s">
        <v>269</v>
      </c>
      <c r="B47" s="141">
        <f>SUM(C47,E47,G47,I47,K47,M47,O47,Q47)</f>
        <v>6699</v>
      </c>
      <c r="C47" s="162">
        <v>694</v>
      </c>
      <c r="D47" s="163">
        <v>118.44</v>
      </c>
      <c r="E47" s="162" t="s">
        <v>207</v>
      </c>
      <c r="F47" s="163" t="s">
        <v>207</v>
      </c>
      <c r="G47" s="164" t="s">
        <v>207</v>
      </c>
      <c r="H47" s="163" t="s">
        <v>207</v>
      </c>
      <c r="I47" s="162">
        <v>820</v>
      </c>
      <c r="J47" s="162">
        <v>95.21</v>
      </c>
      <c r="K47" s="163">
        <v>20</v>
      </c>
      <c r="L47" s="162">
        <v>3</v>
      </c>
      <c r="M47" s="163">
        <v>5150</v>
      </c>
      <c r="N47" s="162">
        <v>600.74</v>
      </c>
      <c r="O47" s="165">
        <v>15</v>
      </c>
      <c r="P47" s="162">
        <v>6.18</v>
      </c>
      <c r="Q47" s="165" t="s">
        <v>207</v>
      </c>
      <c r="R47" s="166" t="s">
        <v>207</v>
      </c>
      <c r="S47" s="143" t="s">
        <v>313</v>
      </c>
      <c r="T47" s="138"/>
      <c r="U47" s="138"/>
      <c r="V47" s="138"/>
    </row>
    <row r="48" spans="1:22" s="133" customFormat="1" ht="15.05" x14ac:dyDescent="0.3">
      <c r="A48" s="193" t="s">
        <v>13</v>
      </c>
      <c r="B48" s="207">
        <f>SUM(B50:B54)</f>
        <v>31644</v>
      </c>
      <c r="C48" s="198">
        <f>SUM(C50:C54)</f>
        <v>4220</v>
      </c>
      <c r="D48" s="197">
        <f t="shared" ref="D48:R48" si="9">SUM(D50:D54)</f>
        <v>859.61699999999996</v>
      </c>
      <c r="E48" s="198">
        <f t="shared" si="9"/>
        <v>158</v>
      </c>
      <c r="F48" s="197">
        <f t="shared" si="9"/>
        <v>22.531000000000002</v>
      </c>
      <c r="G48" s="198">
        <f t="shared" si="9"/>
        <v>572</v>
      </c>
      <c r="H48" s="197">
        <f t="shared" si="9"/>
        <v>115.578</v>
      </c>
      <c r="I48" s="198">
        <f t="shared" si="9"/>
        <v>11595</v>
      </c>
      <c r="J48" s="197">
        <f t="shared" si="9"/>
        <v>1290.3230000000003</v>
      </c>
      <c r="K48" s="198">
        <f t="shared" si="9"/>
        <v>2349</v>
      </c>
      <c r="L48" s="197">
        <f t="shared" si="9"/>
        <v>372.85199999999998</v>
      </c>
      <c r="M48" s="198">
        <f t="shared" si="9"/>
        <v>12722</v>
      </c>
      <c r="N48" s="197">
        <f t="shared" si="9"/>
        <v>2048.1820000000002</v>
      </c>
      <c r="O48" s="198">
        <f t="shared" si="9"/>
        <v>26</v>
      </c>
      <c r="P48" s="197">
        <f t="shared" si="9"/>
        <v>7.6</v>
      </c>
      <c r="Q48" s="198">
        <f t="shared" si="9"/>
        <v>2</v>
      </c>
      <c r="R48" s="200">
        <f t="shared" si="9"/>
        <v>0.5</v>
      </c>
      <c r="S48" s="195" t="s">
        <v>14</v>
      </c>
      <c r="T48" s="195"/>
      <c r="U48" s="195"/>
      <c r="V48" s="138"/>
    </row>
    <row r="49" spans="1:22" s="133" customFormat="1" ht="15.05" x14ac:dyDescent="0.3">
      <c r="A49" s="193"/>
      <c r="B49" s="207"/>
      <c r="C49" s="198"/>
      <c r="D49" s="197"/>
      <c r="E49" s="198"/>
      <c r="F49" s="197"/>
      <c r="G49" s="198"/>
      <c r="H49" s="197"/>
      <c r="I49" s="198"/>
      <c r="J49" s="197"/>
      <c r="K49" s="198"/>
      <c r="L49" s="197"/>
      <c r="M49" s="198"/>
      <c r="N49" s="197"/>
      <c r="O49" s="198"/>
      <c r="P49" s="197"/>
      <c r="Q49" s="198"/>
      <c r="R49" s="200"/>
      <c r="S49" s="195"/>
      <c r="T49" s="195"/>
      <c r="U49" s="195"/>
      <c r="V49" s="138"/>
    </row>
    <row r="50" spans="1:22" s="133" customFormat="1" ht="15.05" x14ac:dyDescent="0.3">
      <c r="A50" s="140" t="s">
        <v>270</v>
      </c>
      <c r="B50" s="141">
        <f t="shared" ref="B50:B54" si="10">SUM(C50,E50,G50,I50,K50,M50,O50,Q50)</f>
        <v>16452</v>
      </c>
      <c r="C50" s="162">
        <v>2155</v>
      </c>
      <c r="D50" s="163">
        <v>464.19</v>
      </c>
      <c r="E50" s="162">
        <v>54</v>
      </c>
      <c r="F50" s="163">
        <v>5.4809999999999999</v>
      </c>
      <c r="G50" s="162">
        <v>71</v>
      </c>
      <c r="H50" s="163">
        <v>13.967000000000001</v>
      </c>
      <c r="I50" s="162">
        <v>6473</v>
      </c>
      <c r="J50" s="162">
        <v>682.68799999999999</v>
      </c>
      <c r="K50" s="163">
        <v>1437</v>
      </c>
      <c r="L50" s="162">
        <v>213.36199999999999</v>
      </c>
      <c r="M50" s="163">
        <v>6260</v>
      </c>
      <c r="N50" s="162">
        <v>877.58199999999999</v>
      </c>
      <c r="O50" s="165" t="s">
        <v>207</v>
      </c>
      <c r="P50" s="162" t="s">
        <v>207</v>
      </c>
      <c r="Q50" s="163">
        <v>2</v>
      </c>
      <c r="R50" s="166">
        <v>0.5</v>
      </c>
      <c r="S50" s="143" t="s">
        <v>314</v>
      </c>
      <c r="T50" s="138"/>
      <c r="U50" s="138"/>
      <c r="V50" s="138"/>
    </row>
    <row r="51" spans="1:22" s="133" customFormat="1" ht="15.05" x14ac:dyDescent="0.3">
      <c r="A51" s="140" t="s">
        <v>271</v>
      </c>
      <c r="B51" s="141">
        <f t="shared" si="10"/>
        <v>10779</v>
      </c>
      <c r="C51" s="162">
        <v>961</v>
      </c>
      <c r="D51" s="163">
        <v>177.93</v>
      </c>
      <c r="E51" s="162">
        <v>53</v>
      </c>
      <c r="F51" s="163">
        <v>9.8000000000000007</v>
      </c>
      <c r="G51" s="162">
        <v>134</v>
      </c>
      <c r="H51" s="163">
        <v>38.518000000000001</v>
      </c>
      <c r="I51" s="162">
        <v>4857</v>
      </c>
      <c r="J51" s="162">
        <v>575.94000000000005</v>
      </c>
      <c r="K51" s="163">
        <v>633</v>
      </c>
      <c r="L51" s="162">
        <v>123.52</v>
      </c>
      <c r="M51" s="163">
        <v>4141</v>
      </c>
      <c r="N51" s="162">
        <v>857.83299999999997</v>
      </c>
      <c r="O51" s="165" t="s">
        <v>207</v>
      </c>
      <c r="P51" s="162" t="s">
        <v>207</v>
      </c>
      <c r="Q51" s="163" t="s">
        <v>207</v>
      </c>
      <c r="R51" s="166" t="s">
        <v>207</v>
      </c>
      <c r="S51" s="143" t="s">
        <v>315</v>
      </c>
      <c r="T51" s="138"/>
      <c r="U51" s="138"/>
      <c r="V51" s="138"/>
    </row>
    <row r="52" spans="1:22" s="133" customFormat="1" ht="15.05" x14ac:dyDescent="0.3">
      <c r="A52" s="140" t="s">
        <v>272</v>
      </c>
      <c r="B52" s="141">
        <f t="shared" si="10"/>
        <v>4106</v>
      </c>
      <c r="C52" s="162">
        <v>898</v>
      </c>
      <c r="D52" s="163">
        <v>164.905</v>
      </c>
      <c r="E52" s="162">
        <v>21</v>
      </c>
      <c r="F52" s="163">
        <v>2.36</v>
      </c>
      <c r="G52" s="162">
        <v>353</v>
      </c>
      <c r="H52" s="163">
        <v>58.493000000000002</v>
      </c>
      <c r="I52" s="162">
        <v>248</v>
      </c>
      <c r="J52" s="162">
        <v>29.795000000000002</v>
      </c>
      <c r="K52" s="163">
        <v>274</v>
      </c>
      <c r="L52" s="162">
        <v>34.57</v>
      </c>
      <c r="M52" s="163">
        <v>2297</v>
      </c>
      <c r="N52" s="162">
        <v>308.46699999999998</v>
      </c>
      <c r="O52" s="163">
        <v>15</v>
      </c>
      <c r="P52" s="162">
        <v>3.75</v>
      </c>
      <c r="Q52" s="165" t="s">
        <v>207</v>
      </c>
      <c r="R52" s="166" t="s">
        <v>207</v>
      </c>
      <c r="S52" s="143" t="s">
        <v>316</v>
      </c>
      <c r="T52" s="138"/>
      <c r="U52" s="138"/>
      <c r="V52" s="138"/>
    </row>
    <row r="53" spans="1:22" s="133" customFormat="1" ht="15.05" x14ac:dyDescent="0.3">
      <c r="A53" s="140" t="s">
        <v>273</v>
      </c>
      <c r="B53" s="141">
        <f t="shared" si="10"/>
        <v>190</v>
      </c>
      <c r="C53" s="162">
        <v>152</v>
      </c>
      <c r="D53" s="163">
        <v>36.061999999999998</v>
      </c>
      <c r="E53" s="162">
        <v>30</v>
      </c>
      <c r="F53" s="163">
        <v>4.8899999999999997</v>
      </c>
      <c r="G53" s="162">
        <v>1</v>
      </c>
      <c r="H53" s="163">
        <v>0.3</v>
      </c>
      <c r="I53" s="162">
        <v>2</v>
      </c>
      <c r="J53" s="162">
        <v>0.48</v>
      </c>
      <c r="K53" s="163" t="s">
        <v>207</v>
      </c>
      <c r="L53" s="162" t="s">
        <v>207</v>
      </c>
      <c r="M53" s="165">
        <v>1</v>
      </c>
      <c r="N53" s="162">
        <v>0.4</v>
      </c>
      <c r="O53" s="163">
        <v>4</v>
      </c>
      <c r="P53" s="162">
        <v>0.95</v>
      </c>
      <c r="Q53" s="165" t="s">
        <v>207</v>
      </c>
      <c r="R53" s="166" t="s">
        <v>207</v>
      </c>
      <c r="S53" s="143" t="s">
        <v>317</v>
      </c>
      <c r="T53" s="138"/>
      <c r="U53" s="138"/>
      <c r="V53" s="138"/>
    </row>
    <row r="54" spans="1:22" s="133" customFormat="1" ht="15.05" x14ac:dyDescent="0.3">
      <c r="A54" s="140" t="s">
        <v>274</v>
      </c>
      <c r="B54" s="141">
        <f t="shared" si="10"/>
        <v>117</v>
      </c>
      <c r="C54" s="162">
        <v>54</v>
      </c>
      <c r="D54" s="163">
        <v>16.53</v>
      </c>
      <c r="E54" s="162" t="s">
        <v>207</v>
      </c>
      <c r="F54" s="163" t="s">
        <v>207</v>
      </c>
      <c r="G54" s="162">
        <v>13</v>
      </c>
      <c r="H54" s="163">
        <v>4.3</v>
      </c>
      <c r="I54" s="162">
        <v>15</v>
      </c>
      <c r="J54" s="162">
        <v>1.42</v>
      </c>
      <c r="K54" s="163">
        <v>5</v>
      </c>
      <c r="L54" s="162">
        <v>1.4</v>
      </c>
      <c r="M54" s="163">
        <v>23</v>
      </c>
      <c r="N54" s="162">
        <v>3.9</v>
      </c>
      <c r="O54" s="163">
        <v>7</v>
      </c>
      <c r="P54" s="162">
        <v>2.9</v>
      </c>
      <c r="Q54" s="165" t="s">
        <v>207</v>
      </c>
      <c r="R54" s="166" t="s">
        <v>207</v>
      </c>
      <c r="S54" s="143" t="s">
        <v>318</v>
      </c>
      <c r="T54" s="138"/>
      <c r="U54" s="138"/>
      <c r="V54" s="138"/>
    </row>
    <row r="55" spans="1:22" s="133" customFormat="1" ht="15.05" x14ac:dyDescent="0.3">
      <c r="A55" s="206" t="s">
        <v>15</v>
      </c>
      <c r="B55" s="207">
        <f>SUM(B57:B61)</f>
        <v>1340</v>
      </c>
      <c r="C55" s="198">
        <f>SUM(C57:C61)</f>
        <v>95</v>
      </c>
      <c r="D55" s="197">
        <f t="shared" ref="D55:R55" si="11">SUM(D57:D61)</f>
        <v>10.029999999999999</v>
      </c>
      <c r="E55" s="198">
        <f t="shared" si="11"/>
        <v>205</v>
      </c>
      <c r="F55" s="197">
        <f t="shared" si="11"/>
        <v>25.625</v>
      </c>
      <c r="G55" s="198">
        <f t="shared" si="11"/>
        <v>54</v>
      </c>
      <c r="H55" s="197">
        <f t="shared" si="11"/>
        <v>10.379999999999999</v>
      </c>
      <c r="I55" s="198">
        <f t="shared" si="11"/>
        <v>781</v>
      </c>
      <c r="J55" s="197">
        <f t="shared" si="11"/>
        <v>56.910000000000004</v>
      </c>
      <c r="K55" s="198">
        <f t="shared" si="11"/>
        <v>83</v>
      </c>
      <c r="L55" s="197">
        <f t="shared" si="11"/>
        <v>4.774</v>
      </c>
      <c r="M55" s="198">
        <f t="shared" si="11"/>
        <v>75</v>
      </c>
      <c r="N55" s="197">
        <f t="shared" si="11"/>
        <v>9.6999999999999993</v>
      </c>
      <c r="O55" s="198">
        <f t="shared" si="11"/>
        <v>47</v>
      </c>
      <c r="P55" s="197">
        <f t="shared" si="11"/>
        <v>6.34</v>
      </c>
      <c r="Q55" s="198">
        <f t="shared" si="11"/>
        <v>0</v>
      </c>
      <c r="R55" s="200">
        <f t="shared" si="11"/>
        <v>0</v>
      </c>
      <c r="S55" s="201" t="s">
        <v>16</v>
      </c>
      <c r="T55" s="201"/>
      <c r="U55" s="201"/>
      <c r="V55" s="138"/>
    </row>
    <row r="56" spans="1:22" s="133" customFormat="1" ht="15.05" x14ac:dyDescent="0.3">
      <c r="A56" s="206"/>
      <c r="B56" s="207"/>
      <c r="C56" s="198"/>
      <c r="D56" s="197"/>
      <c r="E56" s="198"/>
      <c r="F56" s="197"/>
      <c r="G56" s="198"/>
      <c r="H56" s="197"/>
      <c r="I56" s="198"/>
      <c r="J56" s="197"/>
      <c r="K56" s="198"/>
      <c r="L56" s="197"/>
      <c r="M56" s="198"/>
      <c r="N56" s="197"/>
      <c r="O56" s="198"/>
      <c r="P56" s="197"/>
      <c r="Q56" s="198"/>
      <c r="R56" s="200"/>
      <c r="S56" s="201"/>
      <c r="T56" s="201"/>
      <c r="U56" s="201"/>
      <c r="V56" s="138"/>
    </row>
    <row r="57" spans="1:22" s="133" customFormat="1" ht="15.05" x14ac:dyDescent="0.3">
      <c r="A57" s="140" t="s">
        <v>275</v>
      </c>
      <c r="B57" s="141">
        <f t="shared" ref="B57:B61" si="12">SUM(C57,E57,G57,I57,K57,M57,O57,Q57)</f>
        <v>371</v>
      </c>
      <c r="C57" s="162">
        <v>95</v>
      </c>
      <c r="D57" s="163">
        <v>10.029999999999999</v>
      </c>
      <c r="E57" s="162">
        <v>205</v>
      </c>
      <c r="F57" s="163">
        <v>25.625</v>
      </c>
      <c r="G57" s="162">
        <v>28</v>
      </c>
      <c r="H57" s="163">
        <v>2.93</v>
      </c>
      <c r="I57" s="162">
        <v>2</v>
      </c>
      <c r="J57" s="162">
        <v>0.22</v>
      </c>
      <c r="K57" s="163" t="s">
        <v>207</v>
      </c>
      <c r="L57" s="162" t="s">
        <v>207</v>
      </c>
      <c r="M57" s="163">
        <v>21</v>
      </c>
      <c r="N57" s="162">
        <v>2.7749999999999999</v>
      </c>
      <c r="O57" s="163">
        <v>20</v>
      </c>
      <c r="P57" s="162">
        <v>2.34</v>
      </c>
      <c r="Q57" s="163" t="s">
        <v>207</v>
      </c>
      <c r="R57" s="166" t="s">
        <v>207</v>
      </c>
      <c r="S57" s="143" t="s">
        <v>319</v>
      </c>
      <c r="T57" s="138"/>
      <c r="U57" s="138"/>
      <c r="V57" s="138"/>
    </row>
    <row r="58" spans="1:22" s="133" customFormat="1" ht="15.05" x14ac:dyDescent="0.3">
      <c r="A58" s="140" t="s">
        <v>276</v>
      </c>
      <c r="B58" s="141">
        <f t="shared" si="12"/>
        <v>50</v>
      </c>
      <c r="C58" s="164" t="s">
        <v>207</v>
      </c>
      <c r="D58" s="163" t="s">
        <v>207</v>
      </c>
      <c r="E58" s="164" t="s">
        <v>207</v>
      </c>
      <c r="F58" s="163" t="s">
        <v>207</v>
      </c>
      <c r="G58" s="164">
        <v>15</v>
      </c>
      <c r="H58" s="163">
        <v>5</v>
      </c>
      <c r="I58" s="162">
        <v>1</v>
      </c>
      <c r="J58" s="162">
        <v>0.15</v>
      </c>
      <c r="K58" s="165">
        <v>7</v>
      </c>
      <c r="L58" s="162">
        <v>1.33</v>
      </c>
      <c r="M58" s="163" t="s">
        <v>207</v>
      </c>
      <c r="N58" s="162" t="s">
        <v>207</v>
      </c>
      <c r="O58" s="165">
        <v>27</v>
      </c>
      <c r="P58" s="162">
        <v>4</v>
      </c>
      <c r="Q58" s="165" t="s">
        <v>207</v>
      </c>
      <c r="R58" s="166" t="s">
        <v>207</v>
      </c>
      <c r="S58" s="143" t="s">
        <v>320</v>
      </c>
      <c r="T58" s="138"/>
      <c r="U58" s="138"/>
      <c r="V58" s="138"/>
    </row>
    <row r="59" spans="1:22" s="133" customFormat="1" ht="15.05" x14ac:dyDescent="0.3">
      <c r="A59" s="140" t="s">
        <v>277</v>
      </c>
      <c r="B59" s="141">
        <f t="shared" si="12"/>
        <v>7</v>
      </c>
      <c r="C59" s="164" t="s">
        <v>207</v>
      </c>
      <c r="D59" s="163" t="s">
        <v>207</v>
      </c>
      <c r="E59" s="164" t="s">
        <v>207</v>
      </c>
      <c r="F59" s="163" t="s">
        <v>207</v>
      </c>
      <c r="G59" s="162">
        <v>5</v>
      </c>
      <c r="H59" s="163">
        <v>0.5</v>
      </c>
      <c r="I59" s="162">
        <v>1</v>
      </c>
      <c r="J59" s="162">
        <v>0.08</v>
      </c>
      <c r="K59" s="163" t="s">
        <v>207</v>
      </c>
      <c r="L59" s="162" t="s">
        <v>207</v>
      </c>
      <c r="M59" s="165">
        <v>1</v>
      </c>
      <c r="N59" s="162">
        <v>0.12</v>
      </c>
      <c r="O59" s="165" t="s">
        <v>207</v>
      </c>
      <c r="P59" s="162" t="s">
        <v>207</v>
      </c>
      <c r="Q59" s="165" t="s">
        <v>207</v>
      </c>
      <c r="R59" s="166" t="s">
        <v>207</v>
      </c>
      <c r="S59" s="143" t="s">
        <v>321</v>
      </c>
      <c r="T59" s="138"/>
      <c r="U59" s="138"/>
      <c r="V59" s="138"/>
    </row>
    <row r="60" spans="1:22" s="133" customFormat="1" ht="15.05" x14ac:dyDescent="0.3">
      <c r="A60" s="140" t="s">
        <v>278</v>
      </c>
      <c r="B60" s="141">
        <f t="shared" si="12"/>
        <v>76</v>
      </c>
      <c r="C60" s="164" t="s">
        <v>207</v>
      </c>
      <c r="D60" s="163" t="s">
        <v>207</v>
      </c>
      <c r="E60" s="164" t="s">
        <v>207</v>
      </c>
      <c r="F60" s="163" t="s">
        <v>207</v>
      </c>
      <c r="G60" s="162">
        <v>6</v>
      </c>
      <c r="H60" s="163">
        <v>1.95</v>
      </c>
      <c r="I60" s="162">
        <v>47</v>
      </c>
      <c r="J60" s="162">
        <v>5.36</v>
      </c>
      <c r="K60" s="163" t="s">
        <v>207</v>
      </c>
      <c r="L60" s="162" t="s">
        <v>207</v>
      </c>
      <c r="M60" s="165">
        <v>23</v>
      </c>
      <c r="N60" s="162">
        <v>4.7050000000000001</v>
      </c>
      <c r="O60" s="165" t="s">
        <v>207</v>
      </c>
      <c r="P60" s="162" t="s">
        <v>207</v>
      </c>
      <c r="Q60" s="165" t="s">
        <v>207</v>
      </c>
      <c r="R60" s="166" t="s">
        <v>207</v>
      </c>
      <c r="S60" s="143" t="s">
        <v>322</v>
      </c>
      <c r="T60" s="138"/>
      <c r="U60" s="138"/>
      <c r="V60" s="138"/>
    </row>
    <row r="61" spans="1:22" s="133" customFormat="1" ht="15.05" x14ac:dyDescent="0.3">
      <c r="A61" s="140" t="s">
        <v>279</v>
      </c>
      <c r="B61" s="141">
        <f t="shared" si="12"/>
        <v>836</v>
      </c>
      <c r="C61" s="164" t="s">
        <v>207</v>
      </c>
      <c r="D61" s="163" t="s">
        <v>207</v>
      </c>
      <c r="E61" s="164" t="s">
        <v>207</v>
      </c>
      <c r="F61" s="163" t="s">
        <v>207</v>
      </c>
      <c r="G61" s="164" t="s">
        <v>207</v>
      </c>
      <c r="H61" s="163" t="s">
        <v>207</v>
      </c>
      <c r="I61" s="162">
        <v>730</v>
      </c>
      <c r="J61" s="162">
        <v>51.1</v>
      </c>
      <c r="K61" s="163">
        <v>76</v>
      </c>
      <c r="L61" s="162">
        <v>3.444</v>
      </c>
      <c r="M61" s="163">
        <v>30</v>
      </c>
      <c r="N61" s="162">
        <v>2.1</v>
      </c>
      <c r="O61" s="165" t="s">
        <v>207</v>
      </c>
      <c r="P61" s="162" t="s">
        <v>207</v>
      </c>
      <c r="Q61" s="165" t="s">
        <v>207</v>
      </c>
      <c r="R61" s="166" t="s">
        <v>207</v>
      </c>
      <c r="S61" s="143" t="s">
        <v>323</v>
      </c>
      <c r="T61" s="138"/>
      <c r="U61" s="138"/>
      <c r="V61" s="138"/>
    </row>
    <row r="62" spans="1:22" s="133" customFormat="1" ht="15.05" x14ac:dyDescent="0.3">
      <c r="A62" s="193" t="s">
        <v>17</v>
      </c>
      <c r="B62" s="207">
        <f>SUM(B64:B66)</f>
        <v>2701</v>
      </c>
      <c r="C62" s="198">
        <f>SUM(C64:C66)</f>
        <v>1662</v>
      </c>
      <c r="D62" s="197">
        <f t="shared" ref="D62:R62" si="13">SUM(D64:D66)</f>
        <v>483.17900000000003</v>
      </c>
      <c r="E62" s="198">
        <f t="shared" si="13"/>
        <v>249</v>
      </c>
      <c r="F62" s="197">
        <f t="shared" si="13"/>
        <v>54.822999999999993</v>
      </c>
      <c r="G62" s="198">
        <f t="shared" si="13"/>
        <v>154</v>
      </c>
      <c r="H62" s="197">
        <f t="shared" si="13"/>
        <v>33.93</v>
      </c>
      <c r="I62" s="198">
        <f t="shared" si="13"/>
        <v>223</v>
      </c>
      <c r="J62" s="197">
        <f t="shared" si="13"/>
        <v>37.130000000000003</v>
      </c>
      <c r="K62" s="198">
        <f t="shared" si="13"/>
        <v>11</v>
      </c>
      <c r="L62" s="197">
        <f t="shared" si="13"/>
        <v>2.2000000000000002</v>
      </c>
      <c r="M62" s="198">
        <f t="shared" si="13"/>
        <v>296</v>
      </c>
      <c r="N62" s="197">
        <f t="shared" si="13"/>
        <v>51.272999999999996</v>
      </c>
      <c r="O62" s="198">
        <f t="shared" si="13"/>
        <v>69</v>
      </c>
      <c r="P62" s="197">
        <f t="shared" si="13"/>
        <v>16.579999999999998</v>
      </c>
      <c r="Q62" s="198">
        <f t="shared" si="13"/>
        <v>37</v>
      </c>
      <c r="R62" s="200">
        <f t="shared" si="13"/>
        <v>7.43</v>
      </c>
      <c r="S62" s="195" t="s">
        <v>18</v>
      </c>
      <c r="T62" s="195"/>
      <c r="U62" s="195"/>
      <c r="V62" s="138"/>
    </row>
    <row r="63" spans="1:22" s="133" customFormat="1" ht="15.05" x14ac:dyDescent="0.3">
      <c r="A63" s="193"/>
      <c r="B63" s="207"/>
      <c r="C63" s="198"/>
      <c r="D63" s="197"/>
      <c r="E63" s="198"/>
      <c r="F63" s="197"/>
      <c r="G63" s="198"/>
      <c r="H63" s="197"/>
      <c r="I63" s="198"/>
      <c r="J63" s="197"/>
      <c r="K63" s="198"/>
      <c r="L63" s="197"/>
      <c r="M63" s="198"/>
      <c r="N63" s="197"/>
      <c r="O63" s="198"/>
      <c r="P63" s="197"/>
      <c r="Q63" s="198"/>
      <c r="R63" s="200"/>
      <c r="S63" s="195"/>
      <c r="T63" s="195"/>
      <c r="U63" s="195"/>
      <c r="V63" s="138"/>
    </row>
    <row r="64" spans="1:22" s="133" customFormat="1" ht="15.05" x14ac:dyDescent="0.3">
      <c r="A64" s="140" t="s">
        <v>280</v>
      </c>
      <c r="B64" s="141">
        <f>SUM(C64,E64,G64,I64,K64,M64,O64,Q64)</f>
        <v>527</v>
      </c>
      <c r="C64" s="162">
        <v>316</v>
      </c>
      <c r="D64" s="163">
        <v>105.18899999999999</v>
      </c>
      <c r="E64" s="162">
        <v>46</v>
      </c>
      <c r="F64" s="163">
        <v>17.202999999999999</v>
      </c>
      <c r="G64" s="162">
        <v>39</v>
      </c>
      <c r="H64" s="163">
        <v>6.08</v>
      </c>
      <c r="I64" s="162">
        <v>51</v>
      </c>
      <c r="J64" s="162">
        <v>6.07</v>
      </c>
      <c r="K64" s="163" t="s">
        <v>207</v>
      </c>
      <c r="L64" s="162" t="s">
        <v>207</v>
      </c>
      <c r="M64" s="165">
        <v>34</v>
      </c>
      <c r="N64" s="162">
        <v>4.6950000000000003</v>
      </c>
      <c r="O64" s="163">
        <v>24</v>
      </c>
      <c r="P64" s="162">
        <v>6.97</v>
      </c>
      <c r="Q64" s="163">
        <v>17</v>
      </c>
      <c r="R64" s="166">
        <v>3.48</v>
      </c>
      <c r="S64" s="143" t="s">
        <v>324</v>
      </c>
      <c r="T64" s="138"/>
      <c r="U64" s="138"/>
      <c r="V64" s="138"/>
    </row>
    <row r="65" spans="1:22" s="133" customFormat="1" ht="15.05" x14ac:dyDescent="0.3">
      <c r="A65" s="140" t="s">
        <v>281</v>
      </c>
      <c r="B65" s="141">
        <f>SUM(C65,E65,G65,I65,K65,M65,O65,Q65)</f>
        <v>1913</v>
      </c>
      <c r="C65" s="162">
        <v>1212</v>
      </c>
      <c r="D65" s="163">
        <v>336.19</v>
      </c>
      <c r="E65" s="162">
        <v>203</v>
      </c>
      <c r="F65" s="163">
        <v>37.619999999999997</v>
      </c>
      <c r="G65" s="162">
        <v>111</v>
      </c>
      <c r="H65" s="163">
        <v>27.33</v>
      </c>
      <c r="I65" s="162">
        <v>130</v>
      </c>
      <c r="J65" s="162">
        <v>27.36</v>
      </c>
      <c r="K65" s="163">
        <v>11</v>
      </c>
      <c r="L65" s="162">
        <v>2.2000000000000002</v>
      </c>
      <c r="M65" s="163">
        <v>181</v>
      </c>
      <c r="N65" s="162">
        <v>34.409999999999997</v>
      </c>
      <c r="O65" s="163">
        <v>45</v>
      </c>
      <c r="P65" s="162">
        <v>9.61</v>
      </c>
      <c r="Q65" s="163">
        <v>20</v>
      </c>
      <c r="R65" s="166">
        <v>3.95</v>
      </c>
      <c r="S65" s="192" t="s">
        <v>325</v>
      </c>
      <c r="T65" s="196"/>
      <c r="U65" s="196"/>
      <c r="V65" s="138"/>
    </row>
    <row r="66" spans="1:22" s="133" customFormat="1" ht="15.05" x14ac:dyDescent="0.3">
      <c r="A66" s="140" t="s">
        <v>282</v>
      </c>
      <c r="B66" s="141">
        <f>SUM(C66,E66,G66,I66,K66,M66,O66,Q66)</f>
        <v>261</v>
      </c>
      <c r="C66" s="162">
        <v>134</v>
      </c>
      <c r="D66" s="163">
        <v>41.8</v>
      </c>
      <c r="E66" s="164" t="s">
        <v>207</v>
      </c>
      <c r="F66" s="163" t="s">
        <v>207</v>
      </c>
      <c r="G66" s="162">
        <v>4</v>
      </c>
      <c r="H66" s="163">
        <v>0.52</v>
      </c>
      <c r="I66" s="162">
        <v>42</v>
      </c>
      <c r="J66" s="162">
        <v>3.7</v>
      </c>
      <c r="K66" s="163" t="s">
        <v>207</v>
      </c>
      <c r="L66" s="162" t="s">
        <v>207</v>
      </c>
      <c r="M66" s="165">
        <v>81</v>
      </c>
      <c r="N66" s="162">
        <v>12.167999999999999</v>
      </c>
      <c r="O66" s="163" t="s">
        <v>207</v>
      </c>
      <c r="P66" s="162" t="s">
        <v>207</v>
      </c>
      <c r="Q66" s="163" t="s">
        <v>207</v>
      </c>
      <c r="R66" s="166" t="s">
        <v>207</v>
      </c>
      <c r="S66" s="143" t="s">
        <v>326</v>
      </c>
      <c r="T66" s="138"/>
      <c r="U66" s="138"/>
      <c r="V66" s="138"/>
    </row>
    <row r="67" spans="1:22" s="133" customFormat="1" ht="15.05" x14ac:dyDescent="0.3">
      <c r="A67" s="193" t="s">
        <v>19</v>
      </c>
      <c r="B67" s="207">
        <f>SUM(B69:B73)</f>
        <v>8902</v>
      </c>
      <c r="C67" s="198">
        <f>SUM(C69:C73)</f>
        <v>3411</v>
      </c>
      <c r="D67" s="197">
        <f t="shared" ref="D67:R67" si="14">SUM(D69:D73)</f>
        <v>933.75699999999995</v>
      </c>
      <c r="E67" s="198">
        <f t="shared" si="14"/>
        <v>1</v>
      </c>
      <c r="F67" s="197">
        <f t="shared" si="14"/>
        <v>1</v>
      </c>
      <c r="G67" s="198">
        <f t="shared" si="14"/>
        <v>389</v>
      </c>
      <c r="H67" s="197">
        <f t="shared" si="14"/>
        <v>119.53499999999998</v>
      </c>
      <c r="I67" s="198">
        <f t="shared" si="14"/>
        <v>3148</v>
      </c>
      <c r="J67" s="197">
        <f t="shared" si="14"/>
        <v>623.375</v>
      </c>
      <c r="K67" s="198">
        <f t="shared" si="14"/>
        <v>1271</v>
      </c>
      <c r="L67" s="197">
        <f t="shared" si="14"/>
        <v>272.74399999999997</v>
      </c>
      <c r="M67" s="198">
        <f t="shared" si="14"/>
        <v>669</v>
      </c>
      <c r="N67" s="197">
        <f t="shared" si="14"/>
        <v>112.83200000000001</v>
      </c>
      <c r="O67" s="198">
        <f t="shared" si="14"/>
        <v>12</v>
      </c>
      <c r="P67" s="197">
        <f t="shared" si="14"/>
        <v>2</v>
      </c>
      <c r="Q67" s="198">
        <f t="shared" si="14"/>
        <v>1</v>
      </c>
      <c r="R67" s="200">
        <f t="shared" si="14"/>
        <v>0.2</v>
      </c>
      <c r="S67" s="195" t="s">
        <v>20</v>
      </c>
      <c r="T67" s="195"/>
      <c r="U67" s="195"/>
      <c r="V67" s="138"/>
    </row>
    <row r="68" spans="1:22" s="133" customFormat="1" ht="15.05" x14ac:dyDescent="0.3">
      <c r="A68" s="193"/>
      <c r="B68" s="207"/>
      <c r="C68" s="198"/>
      <c r="D68" s="197"/>
      <c r="E68" s="198"/>
      <c r="F68" s="197"/>
      <c r="G68" s="198"/>
      <c r="H68" s="197"/>
      <c r="I68" s="198"/>
      <c r="J68" s="197"/>
      <c r="K68" s="198"/>
      <c r="L68" s="197"/>
      <c r="M68" s="198"/>
      <c r="N68" s="197"/>
      <c r="O68" s="198"/>
      <c r="P68" s="197"/>
      <c r="Q68" s="198"/>
      <c r="R68" s="200"/>
      <c r="S68" s="195"/>
      <c r="T68" s="195"/>
      <c r="U68" s="195"/>
      <c r="V68" s="138"/>
    </row>
    <row r="69" spans="1:22" s="133" customFormat="1" ht="15.05" x14ac:dyDescent="0.3">
      <c r="A69" s="140" t="s">
        <v>283</v>
      </c>
      <c r="B69" s="141">
        <f t="shared" ref="B69:B73" si="15">SUM(C69,E69,G69,I69,K69,M69,O69,Q69)</f>
        <v>1043</v>
      </c>
      <c r="C69" s="162">
        <v>516</v>
      </c>
      <c r="D69" s="163">
        <v>172.25200000000001</v>
      </c>
      <c r="E69" s="164" t="s">
        <v>207</v>
      </c>
      <c r="F69" s="163" t="s">
        <v>207</v>
      </c>
      <c r="G69" s="162">
        <v>341</v>
      </c>
      <c r="H69" s="163">
        <v>102.05</v>
      </c>
      <c r="I69" s="162">
        <v>52</v>
      </c>
      <c r="J69" s="162">
        <v>10.5</v>
      </c>
      <c r="K69" s="163">
        <v>46</v>
      </c>
      <c r="L69" s="162">
        <v>8.9879999999999995</v>
      </c>
      <c r="M69" s="163">
        <v>86</v>
      </c>
      <c r="N69" s="162">
        <v>14.738</v>
      </c>
      <c r="O69" s="163">
        <v>2</v>
      </c>
      <c r="P69" s="162">
        <v>0.6</v>
      </c>
      <c r="Q69" s="165" t="s">
        <v>207</v>
      </c>
      <c r="R69" s="166" t="s">
        <v>207</v>
      </c>
      <c r="S69" s="143" t="s">
        <v>327</v>
      </c>
      <c r="T69" s="138"/>
      <c r="U69" s="138"/>
      <c r="V69" s="138"/>
    </row>
    <row r="70" spans="1:22" s="133" customFormat="1" ht="15.05" x14ac:dyDescent="0.3">
      <c r="A70" s="140" t="s">
        <v>284</v>
      </c>
      <c r="B70" s="141">
        <f t="shared" si="15"/>
        <v>771</v>
      </c>
      <c r="C70" s="162">
        <v>581</v>
      </c>
      <c r="D70" s="163">
        <v>187</v>
      </c>
      <c r="E70" s="164" t="s">
        <v>207</v>
      </c>
      <c r="F70" s="163" t="s">
        <v>207</v>
      </c>
      <c r="G70" s="162">
        <v>25</v>
      </c>
      <c r="H70" s="163">
        <v>10.35</v>
      </c>
      <c r="I70" s="164">
        <v>20</v>
      </c>
      <c r="J70" s="162">
        <v>2</v>
      </c>
      <c r="K70" s="165">
        <v>31</v>
      </c>
      <c r="L70" s="162">
        <v>4.6500000000000004</v>
      </c>
      <c r="M70" s="165">
        <v>110</v>
      </c>
      <c r="N70" s="162">
        <v>10.7</v>
      </c>
      <c r="O70" s="165">
        <v>4</v>
      </c>
      <c r="P70" s="162">
        <v>0.4</v>
      </c>
      <c r="Q70" s="165" t="s">
        <v>207</v>
      </c>
      <c r="R70" s="166" t="s">
        <v>207</v>
      </c>
      <c r="S70" s="143" t="s">
        <v>328</v>
      </c>
      <c r="T70" s="138"/>
      <c r="U70" s="138"/>
      <c r="V70" s="138"/>
    </row>
    <row r="71" spans="1:22" s="133" customFormat="1" ht="15.05" x14ac:dyDescent="0.3">
      <c r="A71" s="140" t="s">
        <v>285</v>
      </c>
      <c r="B71" s="141">
        <f>SUM(C71,E71,G71,I71,K71,M71,O71,Q71)</f>
        <v>6750</v>
      </c>
      <c r="C71" s="162">
        <v>2266</v>
      </c>
      <c r="D71" s="163">
        <v>561.55499999999995</v>
      </c>
      <c r="E71" s="164" t="s">
        <v>207</v>
      </c>
      <c r="F71" s="163" t="s">
        <v>207</v>
      </c>
      <c r="G71" s="162">
        <v>9</v>
      </c>
      <c r="H71" s="163">
        <v>1.675</v>
      </c>
      <c r="I71" s="162">
        <v>3068</v>
      </c>
      <c r="J71" s="162">
        <v>610.27499999999998</v>
      </c>
      <c r="K71" s="163">
        <v>1194</v>
      </c>
      <c r="L71" s="162">
        <v>259.10599999999999</v>
      </c>
      <c r="M71" s="163">
        <v>207</v>
      </c>
      <c r="N71" s="162">
        <v>46.097999999999999</v>
      </c>
      <c r="O71" s="163">
        <v>6</v>
      </c>
      <c r="P71" s="162">
        <v>1</v>
      </c>
      <c r="Q71" s="165" t="s">
        <v>207</v>
      </c>
      <c r="R71" s="166" t="s">
        <v>207</v>
      </c>
      <c r="S71" s="143" t="s">
        <v>329</v>
      </c>
      <c r="T71" s="138"/>
      <c r="U71" s="138"/>
      <c r="V71" s="138"/>
    </row>
    <row r="72" spans="1:22" s="133" customFormat="1" ht="15.05" x14ac:dyDescent="0.3">
      <c r="A72" s="140" t="s">
        <v>286</v>
      </c>
      <c r="B72" s="141">
        <f t="shared" si="15"/>
        <v>257</v>
      </c>
      <c r="C72" s="162">
        <v>19</v>
      </c>
      <c r="D72" s="163">
        <v>7.15</v>
      </c>
      <c r="E72" s="162">
        <v>1</v>
      </c>
      <c r="F72" s="163">
        <v>1</v>
      </c>
      <c r="G72" s="162">
        <v>14</v>
      </c>
      <c r="H72" s="163">
        <v>5.46</v>
      </c>
      <c r="I72" s="164" t="s">
        <v>207</v>
      </c>
      <c r="J72" s="162" t="s">
        <v>207</v>
      </c>
      <c r="K72" s="165" t="s">
        <v>207</v>
      </c>
      <c r="L72" s="162" t="s">
        <v>207</v>
      </c>
      <c r="M72" s="165">
        <v>223</v>
      </c>
      <c r="N72" s="162">
        <v>34.845999999999997</v>
      </c>
      <c r="O72" s="163" t="s">
        <v>207</v>
      </c>
      <c r="P72" s="162" t="s">
        <v>207</v>
      </c>
      <c r="Q72" s="165" t="s">
        <v>207</v>
      </c>
      <c r="R72" s="166" t="s">
        <v>207</v>
      </c>
      <c r="S72" s="143" t="s">
        <v>330</v>
      </c>
      <c r="T72" s="138"/>
      <c r="U72" s="138"/>
      <c r="V72" s="138"/>
    </row>
    <row r="73" spans="1:22" s="133" customFormat="1" ht="15.05" x14ac:dyDescent="0.3">
      <c r="A73" s="140" t="s">
        <v>287</v>
      </c>
      <c r="B73" s="141">
        <f t="shared" si="15"/>
        <v>81</v>
      </c>
      <c r="C73" s="162">
        <v>29</v>
      </c>
      <c r="D73" s="163">
        <v>5.8</v>
      </c>
      <c r="E73" s="164" t="s">
        <v>207</v>
      </c>
      <c r="F73" s="163" t="s">
        <v>207</v>
      </c>
      <c r="G73" s="164" t="s">
        <v>207</v>
      </c>
      <c r="H73" s="163" t="s">
        <v>207</v>
      </c>
      <c r="I73" s="164">
        <v>8</v>
      </c>
      <c r="J73" s="162">
        <v>0.6</v>
      </c>
      <c r="K73" s="163" t="s">
        <v>207</v>
      </c>
      <c r="L73" s="162" t="s">
        <v>207</v>
      </c>
      <c r="M73" s="165">
        <v>43</v>
      </c>
      <c r="N73" s="162">
        <v>6.45</v>
      </c>
      <c r="O73" s="163" t="s">
        <v>207</v>
      </c>
      <c r="P73" s="162" t="s">
        <v>207</v>
      </c>
      <c r="Q73" s="165">
        <v>1</v>
      </c>
      <c r="R73" s="166">
        <v>0.2</v>
      </c>
      <c r="S73" s="143" t="s">
        <v>331</v>
      </c>
      <c r="T73" s="138"/>
      <c r="U73" s="138"/>
      <c r="V73" s="138"/>
    </row>
    <row r="74" spans="1:22" s="133" customFormat="1" ht="15.05" x14ac:dyDescent="0.3">
      <c r="A74" s="206" t="s">
        <v>21</v>
      </c>
      <c r="B74" s="207">
        <f>SUM(B76:B83)</f>
        <v>1651</v>
      </c>
      <c r="C74" s="198">
        <f>SUM(C76:C83)</f>
        <v>169</v>
      </c>
      <c r="D74" s="197">
        <f t="shared" ref="D74:R74" si="16">SUM(D76:D83)</f>
        <v>47.66</v>
      </c>
      <c r="E74" s="198">
        <f t="shared" si="16"/>
        <v>0</v>
      </c>
      <c r="F74" s="197">
        <f t="shared" si="16"/>
        <v>0</v>
      </c>
      <c r="G74" s="198">
        <f t="shared" si="16"/>
        <v>23</v>
      </c>
      <c r="H74" s="197">
        <f t="shared" si="16"/>
        <v>10.4</v>
      </c>
      <c r="I74" s="198">
        <f t="shared" si="16"/>
        <v>362</v>
      </c>
      <c r="J74" s="197">
        <f t="shared" si="16"/>
        <v>36.369999999999997</v>
      </c>
      <c r="K74" s="198">
        <f t="shared" si="16"/>
        <v>254</v>
      </c>
      <c r="L74" s="197">
        <f t="shared" si="16"/>
        <v>39.11</v>
      </c>
      <c r="M74" s="198">
        <f t="shared" si="16"/>
        <v>843</v>
      </c>
      <c r="N74" s="197">
        <f t="shared" si="16"/>
        <v>136.34800000000001</v>
      </c>
      <c r="O74" s="198">
        <f t="shared" si="16"/>
        <v>0</v>
      </c>
      <c r="P74" s="197">
        <f t="shared" si="16"/>
        <v>0</v>
      </c>
      <c r="Q74" s="198">
        <f t="shared" si="16"/>
        <v>0</v>
      </c>
      <c r="R74" s="200">
        <f t="shared" si="16"/>
        <v>0</v>
      </c>
      <c r="S74" s="201" t="s">
        <v>22</v>
      </c>
      <c r="T74" s="201"/>
      <c r="U74" s="201"/>
      <c r="V74" s="138"/>
    </row>
    <row r="75" spans="1:22" s="133" customFormat="1" ht="15.05" x14ac:dyDescent="0.3">
      <c r="A75" s="206"/>
      <c r="B75" s="207"/>
      <c r="C75" s="198"/>
      <c r="D75" s="197"/>
      <c r="E75" s="198"/>
      <c r="F75" s="197"/>
      <c r="G75" s="198"/>
      <c r="H75" s="197"/>
      <c r="I75" s="198"/>
      <c r="J75" s="197"/>
      <c r="K75" s="198"/>
      <c r="L75" s="197"/>
      <c r="M75" s="198"/>
      <c r="N75" s="197"/>
      <c r="O75" s="198"/>
      <c r="P75" s="197"/>
      <c r="Q75" s="198"/>
      <c r="R75" s="200"/>
      <c r="S75" s="201"/>
      <c r="T75" s="201"/>
      <c r="U75" s="201"/>
      <c r="V75" s="138"/>
    </row>
    <row r="76" spans="1:22" s="133" customFormat="1" ht="15.05" x14ac:dyDescent="0.3">
      <c r="A76" s="151" t="s">
        <v>109</v>
      </c>
      <c r="B76" s="141">
        <f t="shared" ref="B76:B79" si="17">SUM(C76,E76,G76,I76,K76,M76,O76,Q76)</f>
        <v>0</v>
      </c>
      <c r="C76" s="162" t="s">
        <v>207</v>
      </c>
      <c r="D76" s="163" t="s">
        <v>207</v>
      </c>
      <c r="E76" s="164" t="s">
        <v>207</v>
      </c>
      <c r="F76" s="163" t="s">
        <v>207</v>
      </c>
      <c r="G76" s="164" t="s">
        <v>207</v>
      </c>
      <c r="H76" s="163" t="s">
        <v>207</v>
      </c>
      <c r="I76" s="164" t="s">
        <v>207</v>
      </c>
      <c r="J76" s="162" t="s">
        <v>207</v>
      </c>
      <c r="K76" s="163" t="s">
        <v>207</v>
      </c>
      <c r="L76" s="162" t="s">
        <v>207</v>
      </c>
      <c r="M76" s="165" t="s">
        <v>207</v>
      </c>
      <c r="N76" s="162" t="s">
        <v>207</v>
      </c>
      <c r="O76" s="163" t="s">
        <v>207</v>
      </c>
      <c r="P76" s="162" t="s">
        <v>207</v>
      </c>
      <c r="Q76" s="165" t="s">
        <v>207</v>
      </c>
      <c r="R76" s="166" t="s">
        <v>207</v>
      </c>
      <c r="S76" s="192" t="s">
        <v>332</v>
      </c>
      <c r="T76" s="192"/>
      <c r="U76" s="192"/>
      <c r="V76" s="192"/>
    </row>
    <row r="77" spans="1:22" s="133" customFormat="1" ht="15.05" x14ac:dyDescent="0.3">
      <c r="A77" s="140" t="s">
        <v>110</v>
      </c>
      <c r="B77" s="141">
        <f t="shared" si="17"/>
        <v>0</v>
      </c>
      <c r="C77" s="162" t="s">
        <v>207</v>
      </c>
      <c r="D77" s="163" t="s">
        <v>207</v>
      </c>
      <c r="E77" s="164" t="s">
        <v>207</v>
      </c>
      <c r="F77" s="163" t="s">
        <v>207</v>
      </c>
      <c r="G77" s="164" t="s">
        <v>207</v>
      </c>
      <c r="H77" s="163" t="s">
        <v>207</v>
      </c>
      <c r="I77" s="164" t="s">
        <v>207</v>
      </c>
      <c r="J77" s="162" t="s">
        <v>207</v>
      </c>
      <c r="K77" s="163" t="s">
        <v>207</v>
      </c>
      <c r="L77" s="162" t="s">
        <v>207</v>
      </c>
      <c r="M77" s="165" t="s">
        <v>207</v>
      </c>
      <c r="N77" s="162" t="s">
        <v>207</v>
      </c>
      <c r="O77" s="163" t="s">
        <v>207</v>
      </c>
      <c r="P77" s="162" t="s">
        <v>207</v>
      </c>
      <c r="Q77" s="165" t="s">
        <v>207</v>
      </c>
      <c r="R77" s="166" t="s">
        <v>207</v>
      </c>
      <c r="S77" s="192" t="s">
        <v>333</v>
      </c>
      <c r="T77" s="192"/>
      <c r="U77" s="192"/>
      <c r="V77" s="192"/>
    </row>
    <row r="78" spans="1:22" s="133" customFormat="1" ht="15.05" x14ac:dyDescent="0.3">
      <c r="A78" s="140" t="s">
        <v>218</v>
      </c>
      <c r="B78" s="141">
        <f t="shared" si="17"/>
        <v>0</v>
      </c>
      <c r="C78" s="162" t="s">
        <v>207</v>
      </c>
      <c r="D78" s="163" t="s">
        <v>207</v>
      </c>
      <c r="E78" s="164" t="s">
        <v>207</v>
      </c>
      <c r="F78" s="163" t="s">
        <v>207</v>
      </c>
      <c r="G78" s="164" t="s">
        <v>207</v>
      </c>
      <c r="H78" s="163" t="s">
        <v>207</v>
      </c>
      <c r="I78" s="164" t="s">
        <v>207</v>
      </c>
      <c r="J78" s="162" t="s">
        <v>207</v>
      </c>
      <c r="K78" s="163" t="s">
        <v>207</v>
      </c>
      <c r="L78" s="162" t="s">
        <v>207</v>
      </c>
      <c r="M78" s="165" t="s">
        <v>207</v>
      </c>
      <c r="N78" s="162" t="s">
        <v>207</v>
      </c>
      <c r="O78" s="163" t="s">
        <v>207</v>
      </c>
      <c r="P78" s="162" t="s">
        <v>207</v>
      </c>
      <c r="Q78" s="165" t="s">
        <v>207</v>
      </c>
      <c r="R78" s="166" t="s">
        <v>207</v>
      </c>
      <c r="S78" s="192" t="s">
        <v>334</v>
      </c>
      <c r="T78" s="192"/>
      <c r="U78" s="192"/>
      <c r="V78" s="192"/>
    </row>
    <row r="79" spans="1:22" s="133" customFormat="1" ht="15.05" x14ac:dyDescent="0.3">
      <c r="A79" s="140" t="s">
        <v>219</v>
      </c>
      <c r="B79" s="141">
        <f t="shared" si="17"/>
        <v>0</v>
      </c>
      <c r="C79" s="162" t="s">
        <v>207</v>
      </c>
      <c r="D79" s="163" t="s">
        <v>207</v>
      </c>
      <c r="E79" s="164" t="s">
        <v>207</v>
      </c>
      <c r="F79" s="163" t="s">
        <v>207</v>
      </c>
      <c r="G79" s="164" t="s">
        <v>207</v>
      </c>
      <c r="H79" s="163" t="s">
        <v>207</v>
      </c>
      <c r="I79" s="164" t="s">
        <v>207</v>
      </c>
      <c r="J79" s="162" t="s">
        <v>207</v>
      </c>
      <c r="K79" s="163" t="s">
        <v>207</v>
      </c>
      <c r="L79" s="162" t="s">
        <v>207</v>
      </c>
      <c r="M79" s="165" t="s">
        <v>207</v>
      </c>
      <c r="N79" s="162" t="s">
        <v>207</v>
      </c>
      <c r="O79" s="163" t="s">
        <v>207</v>
      </c>
      <c r="P79" s="162" t="s">
        <v>207</v>
      </c>
      <c r="Q79" s="165" t="s">
        <v>207</v>
      </c>
      <c r="R79" s="166" t="s">
        <v>207</v>
      </c>
      <c r="S79" s="192" t="s">
        <v>335</v>
      </c>
      <c r="T79" s="192"/>
      <c r="U79" s="192"/>
      <c r="V79" s="192"/>
    </row>
    <row r="80" spans="1:22" s="133" customFormat="1" ht="15.05" x14ac:dyDescent="0.3">
      <c r="A80" s="140" t="s">
        <v>220</v>
      </c>
      <c r="B80" s="141">
        <f>SUM(C80,E80,G80,I80,K80,M80,O80,Q80)</f>
        <v>607</v>
      </c>
      <c r="C80" s="162">
        <v>16</v>
      </c>
      <c r="D80" s="163">
        <v>1.76</v>
      </c>
      <c r="E80" s="162" t="s">
        <v>207</v>
      </c>
      <c r="F80" s="163" t="s">
        <v>207</v>
      </c>
      <c r="G80" s="162">
        <v>17</v>
      </c>
      <c r="H80" s="163">
        <v>8.6</v>
      </c>
      <c r="I80" s="162">
        <v>55</v>
      </c>
      <c r="J80" s="162">
        <v>7.62</v>
      </c>
      <c r="K80" s="163">
        <v>21</v>
      </c>
      <c r="L80" s="162">
        <v>4.16</v>
      </c>
      <c r="M80" s="163">
        <v>498</v>
      </c>
      <c r="N80" s="162">
        <v>78.22</v>
      </c>
      <c r="O80" s="163" t="s">
        <v>207</v>
      </c>
      <c r="P80" s="162" t="s">
        <v>207</v>
      </c>
      <c r="Q80" s="165" t="s">
        <v>207</v>
      </c>
      <c r="R80" s="166" t="s">
        <v>207</v>
      </c>
      <c r="S80" s="192" t="s">
        <v>336</v>
      </c>
      <c r="T80" s="192"/>
      <c r="U80" s="192"/>
      <c r="V80" s="192"/>
    </row>
    <row r="81" spans="1:22" s="133" customFormat="1" ht="15.05" x14ac:dyDescent="0.3">
      <c r="A81" s="140" t="s">
        <v>221</v>
      </c>
      <c r="B81" s="141">
        <f>SUM(C81,E81,G81,I81,K81,M81,O81,Q81)</f>
        <v>1044</v>
      </c>
      <c r="C81" s="162">
        <v>153</v>
      </c>
      <c r="D81" s="163">
        <v>45.9</v>
      </c>
      <c r="E81" s="164" t="s">
        <v>207</v>
      </c>
      <c r="F81" s="163" t="s">
        <v>207</v>
      </c>
      <c r="G81" s="162">
        <v>6</v>
      </c>
      <c r="H81" s="163">
        <v>1.8</v>
      </c>
      <c r="I81" s="162">
        <v>307</v>
      </c>
      <c r="J81" s="162">
        <v>28.75</v>
      </c>
      <c r="K81" s="163">
        <v>233</v>
      </c>
      <c r="L81" s="162">
        <v>34.950000000000003</v>
      </c>
      <c r="M81" s="163">
        <v>345</v>
      </c>
      <c r="N81" s="162">
        <v>58.128</v>
      </c>
      <c r="O81" s="163" t="s">
        <v>207</v>
      </c>
      <c r="P81" s="162" t="s">
        <v>207</v>
      </c>
      <c r="Q81" s="165" t="s">
        <v>207</v>
      </c>
      <c r="R81" s="166" t="s">
        <v>207</v>
      </c>
      <c r="S81" s="192" t="s">
        <v>337</v>
      </c>
      <c r="T81" s="192"/>
      <c r="U81" s="192"/>
      <c r="V81" s="192"/>
    </row>
    <row r="82" spans="1:22" s="133" customFormat="1" ht="15.05" x14ac:dyDescent="0.3">
      <c r="A82" s="140" t="s">
        <v>222</v>
      </c>
      <c r="B82" s="141">
        <f>SUM(C82,E82,G82,I82,K82,M82,O82,Q82)</f>
        <v>0</v>
      </c>
      <c r="C82" s="162" t="s">
        <v>207</v>
      </c>
      <c r="D82" s="163" t="s">
        <v>207</v>
      </c>
      <c r="E82" s="164" t="s">
        <v>207</v>
      </c>
      <c r="F82" s="163" t="s">
        <v>207</v>
      </c>
      <c r="G82" s="162" t="s">
        <v>207</v>
      </c>
      <c r="H82" s="163" t="s">
        <v>207</v>
      </c>
      <c r="I82" s="162" t="s">
        <v>207</v>
      </c>
      <c r="J82" s="162" t="s">
        <v>207</v>
      </c>
      <c r="K82" s="163" t="s">
        <v>207</v>
      </c>
      <c r="L82" s="162" t="s">
        <v>207</v>
      </c>
      <c r="M82" s="163" t="s">
        <v>207</v>
      </c>
      <c r="N82" s="162" t="s">
        <v>207</v>
      </c>
      <c r="O82" s="163" t="s">
        <v>207</v>
      </c>
      <c r="P82" s="162" t="s">
        <v>207</v>
      </c>
      <c r="Q82" s="165" t="s">
        <v>207</v>
      </c>
      <c r="R82" s="166" t="s">
        <v>207</v>
      </c>
      <c r="S82" s="192" t="s">
        <v>338</v>
      </c>
      <c r="T82" s="192"/>
      <c r="U82" s="192"/>
      <c r="V82" s="192"/>
    </row>
    <row r="83" spans="1:22" s="133" customFormat="1" ht="15.05" x14ac:dyDescent="0.3">
      <c r="A83" s="140" t="s">
        <v>223</v>
      </c>
      <c r="B83" s="141">
        <f>SUM(C83,E83,G83,I83,K83,M83,O83,Q83)</f>
        <v>0</v>
      </c>
      <c r="C83" s="162" t="s">
        <v>207</v>
      </c>
      <c r="D83" s="163" t="s">
        <v>207</v>
      </c>
      <c r="E83" s="164" t="s">
        <v>207</v>
      </c>
      <c r="F83" s="163" t="s">
        <v>207</v>
      </c>
      <c r="G83" s="162" t="s">
        <v>207</v>
      </c>
      <c r="H83" s="163" t="s">
        <v>207</v>
      </c>
      <c r="I83" s="162" t="s">
        <v>207</v>
      </c>
      <c r="J83" s="162" t="s">
        <v>207</v>
      </c>
      <c r="K83" s="163" t="s">
        <v>207</v>
      </c>
      <c r="L83" s="162" t="s">
        <v>207</v>
      </c>
      <c r="M83" s="163" t="s">
        <v>207</v>
      </c>
      <c r="N83" s="162" t="s">
        <v>207</v>
      </c>
      <c r="O83" s="163" t="s">
        <v>207</v>
      </c>
      <c r="P83" s="162" t="s">
        <v>207</v>
      </c>
      <c r="Q83" s="165" t="s">
        <v>207</v>
      </c>
      <c r="R83" s="166" t="s">
        <v>207</v>
      </c>
      <c r="S83" s="192" t="s">
        <v>339</v>
      </c>
      <c r="T83" s="192"/>
      <c r="U83" s="192"/>
      <c r="V83" s="192"/>
    </row>
    <row r="84" spans="1:22" s="133" customFormat="1" ht="15.05" x14ac:dyDescent="0.3">
      <c r="A84" s="206" t="s">
        <v>23</v>
      </c>
      <c r="B84" s="207">
        <f>SUM(B86:B90)</f>
        <v>10563</v>
      </c>
      <c r="C84" s="198">
        <f>SUM(C86:C90)</f>
        <v>7352</v>
      </c>
      <c r="D84" s="197">
        <f t="shared" ref="D84:R84" si="18">SUM(D86:D90)</f>
        <v>1370.8119999999999</v>
      </c>
      <c r="E84" s="198">
        <f t="shared" si="18"/>
        <v>10</v>
      </c>
      <c r="F84" s="197">
        <f t="shared" si="18"/>
        <v>1.52</v>
      </c>
      <c r="G84" s="198">
        <f t="shared" si="18"/>
        <v>1469</v>
      </c>
      <c r="H84" s="197">
        <f t="shared" si="18"/>
        <v>182.13499999999999</v>
      </c>
      <c r="I84" s="198">
        <f t="shared" si="18"/>
        <v>226</v>
      </c>
      <c r="J84" s="197">
        <f t="shared" si="18"/>
        <v>20.937000000000001</v>
      </c>
      <c r="K84" s="198">
        <f t="shared" si="18"/>
        <v>435</v>
      </c>
      <c r="L84" s="197">
        <f t="shared" si="18"/>
        <v>98.474999999999994</v>
      </c>
      <c r="M84" s="198">
        <f t="shared" si="18"/>
        <v>1046</v>
      </c>
      <c r="N84" s="197">
        <f t="shared" si="18"/>
        <v>145.85500000000002</v>
      </c>
      <c r="O84" s="198">
        <f t="shared" si="18"/>
        <v>25</v>
      </c>
      <c r="P84" s="197">
        <f t="shared" si="18"/>
        <v>2.15</v>
      </c>
      <c r="Q84" s="198">
        <f t="shared" si="18"/>
        <v>0</v>
      </c>
      <c r="R84" s="200">
        <f t="shared" si="18"/>
        <v>0</v>
      </c>
      <c r="S84" s="195" t="s">
        <v>24</v>
      </c>
      <c r="T84" s="195"/>
      <c r="U84" s="195"/>
      <c r="V84" s="138"/>
    </row>
    <row r="85" spans="1:22" s="133" customFormat="1" ht="15.05" x14ac:dyDescent="0.3">
      <c r="A85" s="206"/>
      <c r="B85" s="207"/>
      <c r="C85" s="198"/>
      <c r="D85" s="197"/>
      <c r="E85" s="198"/>
      <c r="F85" s="197"/>
      <c r="G85" s="198"/>
      <c r="H85" s="197"/>
      <c r="I85" s="198"/>
      <c r="J85" s="197"/>
      <c r="K85" s="198"/>
      <c r="L85" s="197"/>
      <c r="M85" s="198"/>
      <c r="N85" s="197"/>
      <c r="O85" s="198"/>
      <c r="P85" s="197"/>
      <c r="Q85" s="198"/>
      <c r="R85" s="200"/>
      <c r="S85" s="195"/>
      <c r="T85" s="195"/>
      <c r="U85" s="195"/>
      <c r="V85" s="138"/>
    </row>
    <row r="86" spans="1:22" s="133" customFormat="1" ht="15.05" x14ac:dyDescent="0.3">
      <c r="A86" s="140" t="s">
        <v>224</v>
      </c>
      <c r="B86" s="141">
        <f t="shared" ref="B86:B90" si="19">SUM(C86,E86,G86,I86,K86,M86,O86,Q86)</f>
        <v>1232</v>
      </c>
      <c r="C86" s="162">
        <v>324</v>
      </c>
      <c r="D86" s="163">
        <v>74.02</v>
      </c>
      <c r="E86" s="162">
        <v>4</v>
      </c>
      <c r="F86" s="163">
        <v>0.8</v>
      </c>
      <c r="G86" s="162">
        <v>460</v>
      </c>
      <c r="H86" s="163">
        <v>88.85</v>
      </c>
      <c r="I86" s="162">
        <v>6</v>
      </c>
      <c r="J86" s="162">
        <v>0.8</v>
      </c>
      <c r="K86" s="163">
        <v>18</v>
      </c>
      <c r="L86" s="162">
        <v>2.6</v>
      </c>
      <c r="M86" s="163">
        <v>418</v>
      </c>
      <c r="N86" s="162">
        <v>62.548999999999999</v>
      </c>
      <c r="O86" s="163">
        <v>2</v>
      </c>
      <c r="P86" s="162">
        <v>0.35</v>
      </c>
      <c r="Q86" s="165" t="s">
        <v>207</v>
      </c>
      <c r="R86" s="166" t="s">
        <v>207</v>
      </c>
      <c r="S86" s="143" t="s">
        <v>340</v>
      </c>
      <c r="T86" s="138"/>
      <c r="U86" s="138"/>
      <c r="V86" s="138"/>
    </row>
    <row r="87" spans="1:22" s="133" customFormat="1" ht="15.05" x14ac:dyDescent="0.3">
      <c r="A87" s="140" t="s">
        <v>225</v>
      </c>
      <c r="B87" s="141">
        <f t="shared" si="19"/>
        <v>2</v>
      </c>
      <c r="C87" s="164" t="s">
        <v>207</v>
      </c>
      <c r="D87" s="163" t="s">
        <v>207</v>
      </c>
      <c r="E87" s="164" t="s">
        <v>207</v>
      </c>
      <c r="F87" s="163" t="s">
        <v>207</v>
      </c>
      <c r="G87" s="162">
        <v>1</v>
      </c>
      <c r="H87" s="163">
        <v>0.25</v>
      </c>
      <c r="I87" s="162" t="s">
        <v>207</v>
      </c>
      <c r="J87" s="162" t="s">
        <v>207</v>
      </c>
      <c r="K87" s="163">
        <v>1</v>
      </c>
      <c r="L87" s="162">
        <v>0.1</v>
      </c>
      <c r="M87" s="163" t="s">
        <v>207</v>
      </c>
      <c r="N87" s="162" t="s">
        <v>207</v>
      </c>
      <c r="O87" s="165" t="s">
        <v>207</v>
      </c>
      <c r="P87" s="162" t="s">
        <v>207</v>
      </c>
      <c r="Q87" s="165" t="s">
        <v>207</v>
      </c>
      <c r="R87" s="166" t="s">
        <v>207</v>
      </c>
      <c r="S87" s="143" t="s">
        <v>341</v>
      </c>
      <c r="T87" s="138"/>
      <c r="U87" s="138"/>
      <c r="V87" s="138"/>
    </row>
    <row r="88" spans="1:22" s="133" customFormat="1" ht="15.05" x14ac:dyDescent="0.3">
      <c r="A88" s="140" t="s">
        <v>226</v>
      </c>
      <c r="B88" s="141">
        <f t="shared" si="19"/>
        <v>7590</v>
      </c>
      <c r="C88" s="162">
        <v>6957</v>
      </c>
      <c r="D88" s="163">
        <v>1286.982</v>
      </c>
      <c r="E88" s="164" t="s">
        <v>207</v>
      </c>
      <c r="F88" s="163" t="s">
        <v>207</v>
      </c>
      <c r="G88" s="164" t="s">
        <v>207</v>
      </c>
      <c r="H88" s="163" t="s">
        <v>207</v>
      </c>
      <c r="I88" s="162">
        <v>32</v>
      </c>
      <c r="J88" s="162">
        <v>3.9670000000000001</v>
      </c>
      <c r="K88" s="163">
        <v>279</v>
      </c>
      <c r="L88" s="162">
        <v>59.741</v>
      </c>
      <c r="M88" s="163">
        <v>322</v>
      </c>
      <c r="N88" s="162">
        <v>48.19</v>
      </c>
      <c r="O88" s="165" t="s">
        <v>207</v>
      </c>
      <c r="P88" s="162" t="s">
        <v>207</v>
      </c>
      <c r="Q88" s="165" t="s">
        <v>207</v>
      </c>
      <c r="R88" s="166" t="s">
        <v>207</v>
      </c>
      <c r="S88" s="143" t="s">
        <v>342</v>
      </c>
      <c r="T88" s="138"/>
      <c r="U88" s="138"/>
      <c r="V88" s="138"/>
    </row>
    <row r="89" spans="1:22" s="133" customFormat="1" ht="15.05" x14ac:dyDescent="0.3">
      <c r="A89" s="140" t="s">
        <v>227</v>
      </c>
      <c r="B89" s="141">
        <f t="shared" si="19"/>
        <v>179</v>
      </c>
      <c r="C89" s="162">
        <v>26</v>
      </c>
      <c r="D89" s="163">
        <v>5.99</v>
      </c>
      <c r="E89" s="164" t="s">
        <v>207</v>
      </c>
      <c r="F89" s="163" t="s">
        <v>207</v>
      </c>
      <c r="G89" s="162">
        <v>4</v>
      </c>
      <c r="H89" s="163">
        <v>1.5</v>
      </c>
      <c r="I89" s="164" t="s">
        <v>207</v>
      </c>
      <c r="J89" s="162" t="s">
        <v>207</v>
      </c>
      <c r="K89" s="163">
        <v>131</v>
      </c>
      <c r="L89" s="162">
        <v>35.713999999999999</v>
      </c>
      <c r="M89" s="163">
        <v>18</v>
      </c>
      <c r="N89" s="162">
        <v>2.4260000000000002</v>
      </c>
      <c r="O89" s="165" t="s">
        <v>207</v>
      </c>
      <c r="P89" s="162" t="s">
        <v>207</v>
      </c>
      <c r="Q89" s="165" t="s">
        <v>207</v>
      </c>
      <c r="R89" s="166" t="s">
        <v>207</v>
      </c>
      <c r="S89" s="143" t="s">
        <v>343</v>
      </c>
      <c r="T89" s="138"/>
      <c r="U89" s="138"/>
      <c r="V89" s="138"/>
    </row>
    <row r="90" spans="1:22" s="133" customFormat="1" ht="15.05" x14ac:dyDescent="0.3">
      <c r="A90" s="140" t="s">
        <v>228</v>
      </c>
      <c r="B90" s="141">
        <f t="shared" si="19"/>
        <v>1560</v>
      </c>
      <c r="C90" s="162">
        <v>45</v>
      </c>
      <c r="D90" s="163">
        <v>3.82</v>
      </c>
      <c r="E90" s="162">
        <v>6</v>
      </c>
      <c r="F90" s="163">
        <v>0.72</v>
      </c>
      <c r="G90" s="162">
        <v>1004</v>
      </c>
      <c r="H90" s="163">
        <v>91.534999999999997</v>
      </c>
      <c r="I90" s="162">
        <v>188</v>
      </c>
      <c r="J90" s="162">
        <v>16.170000000000002</v>
      </c>
      <c r="K90" s="163">
        <v>6</v>
      </c>
      <c r="L90" s="162">
        <v>0.32</v>
      </c>
      <c r="M90" s="163">
        <v>288</v>
      </c>
      <c r="N90" s="162">
        <v>32.69</v>
      </c>
      <c r="O90" s="163">
        <v>23</v>
      </c>
      <c r="P90" s="162">
        <v>1.8</v>
      </c>
      <c r="Q90" s="165" t="s">
        <v>207</v>
      </c>
      <c r="R90" s="166" t="s">
        <v>207</v>
      </c>
      <c r="S90" s="143" t="s">
        <v>344</v>
      </c>
      <c r="T90" s="138"/>
      <c r="U90" s="138"/>
      <c r="V90" s="138"/>
    </row>
    <row r="91" spans="1:22" s="133" customFormat="1" ht="15.05" x14ac:dyDescent="0.3">
      <c r="A91" s="206" t="s">
        <v>25</v>
      </c>
      <c r="B91" s="207">
        <f>SUM(B93:B105)</f>
        <v>4209</v>
      </c>
      <c r="C91" s="198">
        <f>SUM(C93:C105)</f>
        <v>642</v>
      </c>
      <c r="D91" s="197">
        <f>SUM(D93:D105)</f>
        <v>129.03100000000001</v>
      </c>
      <c r="E91" s="198">
        <f t="shared" ref="E91:R91" si="20">SUM(E93:E105)</f>
        <v>16</v>
      </c>
      <c r="F91" s="197">
        <f t="shared" si="20"/>
        <v>4.45</v>
      </c>
      <c r="G91" s="198">
        <f t="shared" si="20"/>
        <v>227</v>
      </c>
      <c r="H91" s="197">
        <f t="shared" si="20"/>
        <v>44.216000000000001</v>
      </c>
      <c r="I91" s="198">
        <f t="shared" si="20"/>
        <v>34</v>
      </c>
      <c r="J91" s="197">
        <f t="shared" si="20"/>
        <v>4.93</v>
      </c>
      <c r="K91" s="198">
        <f t="shared" si="20"/>
        <v>3020</v>
      </c>
      <c r="L91" s="197">
        <f t="shared" si="20"/>
        <v>231.42</v>
      </c>
      <c r="M91" s="198">
        <f t="shared" si="20"/>
        <v>255</v>
      </c>
      <c r="N91" s="197">
        <f t="shared" si="20"/>
        <v>34.567999999999998</v>
      </c>
      <c r="O91" s="198">
        <f t="shared" si="20"/>
        <v>4</v>
      </c>
      <c r="P91" s="197">
        <f t="shared" si="20"/>
        <v>1.7000000000000002</v>
      </c>
      <c r="Q91" s="198">
        <f t="shared" si="20"/>
        <v>11</v>
      </c>
      <c r="R91" s="200">
        <f t="shared" si="20"/>
        <v>2.83</v>
      </c>
      <c r="S91" s="202" t="s">
        <v>26</v>
      </c>
      <c r="T91" s="202"/>
      <c r="U91" s="202"/>
      <c r="V91" s="138"/>
    </row>
    <row r="92" spans="1:22" s="133" customFormat="1" ht="15.05" x14ac:dyDescent="0.3">
      <c r="A92" s="206"/>
      <c r="B92" s="207"/>
      <c r="C92" s="198"/>
      <c r="D92" s="197"/>
      <c r="E92" s="198"/>
      <c r="F92" s="197"/>
      <c r="G92" s="198"/>
      <c r="H92" s="197"/>
      <c r="I92" s="198"/>
      <c r="J92" s="197"/>
      <c r="K92" s="198"/>
      <c r="L92" s="197"/>
      <c r="M92" s="198"/>
      <c r="N92" s="197"/>
      <c r="O92" s="198"/>
      <c r="P92" s="197"/>
      <c r="Q92" s="198"/>
      <c r="R92" s="200"/>
      <c r="S92" s="202"/>
      <c r="T92" s="202"/>
      <c r="U92" s="202"/>
      <c r="V92" s="138"/>
    </row>
    <row r="93" spans="1:22" s="133" customFormat="1" ht="15.05" x14ac:dyDescent="0.3">
      <c r="A93" s="140" t="s">
        <v>229</v>
      </c>
      <c r="B93" s="141">
        <f>SUM(C93,E93,G93,I93,K93,M93,O93,Q93)</f>
        <v>9</v>
      </c>
      <c r="C93" s="164" t="s">
        <v>207</v>
      </c>
      <c r="D93" s="163" t="s">
        <v>207</v>
      </c>
      <c r="E93" s="164" t="s">
        <v>207</v>
      </c>
      <c r="F93" s="163" t="s">
        <v>207</v>
      </c>
      <c r="G93" s="162">
        <v>5</v>
      </c>
      <c r="H93" s="163">
        <v>0.75</v>
      </c>
      <c r="I93" s="164" t="s">
        <v>207</v>
      </c>
      <c r="J93" s="162" t="s">
        <v>207</v>
      </c>
      <c r="K93" s="163">
        <v>4</v>
      </c>
      <c r="L93" s="162">
        <v>0.4</v>
      </c>
      <c r="M93" s="165" t="s">
        <v>207</v>
      </c>
      <c r="N93" s="162" t="s">
        <v>207</v>
      </c>
      <c r="O93" s="165" t="s">
        <v>207</v>
      </c>
      <c r="P93" s="162" t="s">
        <v>207</v>
      </c>
      <c r="Q93" s="165" t="s">
        <v>207</v>
      </c>
      <c r="R93" s="166" t="s">
        <v>207</v>
      </c>
      <c r="S93" s="143" t="s">
        <v>345</v>
      </c>
      <c r="T93" s="138"/>
      <c r="U93" s="138"/>
      <c r="V93" s="138"/>
    </row>
    <row r="94" spans="1:22" s="133" customFormat="1" ht="15.05" x14ac:dyDescent="0.3">
      <c r="A94" s="140" t="s">
        <v>230</v>
      </c>
      <c r="B94" s="141">
        <f t="shared" ref="B94:B105" si="21">SUM(C94,E94,G94,I94,K94,M94,O94,Q94)</f>
        <v>153</v>
      </c>
      <c r="C94" s="162">
        <v>77</v>
      </c>
      <c r="D94" s="163">
        <v>20.25</v>
      </c>
      <c r="E94" s="162">
        <v>11</v>
      </c>
      <c r="F94" s="163">
        <v>2.95</v>
      </c>
      <c r="G94" s="162">
        <v>49</v>
      </c>
      <c r="H94" s="163">
        <v>11.41</v>
      </c>
      <c r="I94" s="164">
        <v>4</v>
      </c>
      <c r="J94" s="162">
        <v>0.65</v>
      </c>
      <c r="K94" s="163" t="s">
        <v>207</v>
      </c>
      <c r="L94" s="162" t="s">
        <v>207</v>
      </c>
      <c r="M94" s="165">
        <v>10</v>
      </c>
      <c r="N94" s="162">
        <v>1.8</v>
      </c>
      <c r="O94" s="165">
        <v>2</v>
      </c>
      <c r="P94" s="162">
        <v>0.9</v>
      </c>
      <c r="Q94" s="165" t="s">
        <v>207</v>
      </c>
      <c r="R94" s="166" t="s">
        <v>207</v>
      </c>
      <c r="S94" s="143" t="s">
        <v>346</v>
      </c>
      <c r="T94" s="138"/>
      <c r="U94" s="138"/>
      <c r="V94" s="138"/>
    </row>
    <row r="95" spans="1:22" s="133" customFormat="1" ht="15.05" x14ac:dyDescent="0.3">
      <c r="A95" s="140" t="s">
        <v>231</v>
      </c>
      <c r="B95" s="141">
        <f t="shared" si="21"/>
        <v>2237</v>
      </c>
      <c r="C95" s="162">
        <v>4</v>
      </c>
      <c r="D95" s="163">
        <v>0.8</v>
      </c>
      <c r="E95" s="162">
        <v>5</v>
      </c>
      <c r="F95" s="163">
        <v>1.5</v>
      </c>
      <c r="G95" s="162">
        <v>3</v>
      </c>
      <c r="H95" s="163">
        <v>1</v>
      </c>
      <c r="I95" s="162">
        <v>12</v>
      </c>
      <c r="J95" s="162">
        <v>2</v>
      </c>
      <c r="K95" s="163">
        <v>2198</v>
      </c>
      <c r="L95" s="162">
        <v>123.66</v>
      </c>
      <c r="M95" s="163">
        <v>8</v>
      </c>
      <c r="N95" s="162">
        <v>1.7</v>
      </c>
      <c r="O95" s="163">
        <v>2</v>
      </c>
      <c r="P95" s="162">
        <v>0.8</v>
      </c>
      <c r="Q95" s="163">
        <v>5</v>
      </c>
      <c r="R95" s="166">
        <v>2</v>
      </c>
      <c r="S95" s="143" t="s">
        <v>347</v>
      </c>
      <c r="T95" s="138"/>
      <c r="U95" s="138"/>
      <c r="V95" s="138"/>
    </row>
    <row r="96" spans="1:22" s="133" customFormat="1" ht="15.05" x14ac:dyDescent="0.3">
      <c r="A96" s="140" t="s">
        <v>232</v>
      </c>
      <c r="B96" s="141">
        <f t="shared" si="21"/>
        <v>76</v>
      </c>
      <c r="C96" s="162" t="s">
        <v>207</v>
      </c>
      <c r="D96" s="163" t="s">
        <v>207</v>
      </c>
      <c r="E96" s="164" t="s">
        <v>207</v>
      </c>
      <c r="F96" s="163" t="s">
        <v>207</v>
      </c>
      <c r="G96" s="164">
        <v>16</v>
      </c>
      <c r="H96" s="163">
        <v>1.8</v>
      </c>
      <c r="I96" s="164">
        <v>2</v>
      </c>
      <c r="J96" s="162">
        <v>0.2</v>
      </c>
      <c r="K96" s="165">
        <v>55</v>
      </c>
      <c r="L96" s="162">
        <v>8</v>
      </c>
      <c r="M96" s="163">
        <v>3</v>
      </c>
      <c r="N96" s="162">
        <v>0.6</v>
      </c>
      <c r="O96" s="165" t="s">
        <v>207</v>
      </c>
      <c r="P96" s="162" t="s">
        <v>207</v>
      </c>
      <c r="Q96" s="165" t="s">
        <v>207</v>
      </c>
      <c r="R96" s="166" t="s">
        <v>207</v>
      </c>
      <c r="S96" s="143" t="s">
        <v>348</v>
      </c>
      <c r="T96" s="138"/>
      <c r="U96" s="138"/>
      <c r="V96" s="138"/>
    </row>
    <row r="97" spans="1:22" s="133" customFormat="1" ht="15.05" x14ac:dyDescent="0.3">
      <c r="A97" s="171" t="s">
        <v>363</v>
      </c>
      <c r="B97" s="141">
        <f t="shared" si="21"/>
        <v>134</v>
      </c>
      <c r="C97" s="162" t="s">
        <v>207</v>
      </c>
      <c r="D97" s="163" t="s">
        <v>207</v>
      </c>
      <c r="E97" s="164" t="s">
        <v>207</v>
      </c>
      <c r="F97" s="163" t="s">
        <v>207</v>
      </c>
      <c r="G97" s="162">
        <v>45</v>
      </c>
      <c r="H97" s="163">
        <v>9.8740000000000006</v>
      </c>
      <c r="I97" s="162">
        <v>3</v>
      </c>
      <c r="J97" s="162">
        <v>0.4</v>
      </c>
      <c r="K97" s="163">
        <v>68</v>
      </c>
      <c r="L97" s="162">
        <v>3.88</v>
      </c>
      <c r="M97" s="163">
        <v>18</v>
      </c>
      <c r="N97" s="162">
        <v>2.2000000000000002</v>
      </c>
      <c r="O97" s="165" t="s">
        <v>207</v>
      </c>
      <c r="P97" s="162" t="s">
        <v>207</v>
      </c>
      <c r="Q97" s="165" t="s">
        <v>207</v>
      </c>
      <c r="R97" s="166" t="s">
        <v>207</v>
      </c>
      <c r="S97" s="172" t="s">
        <v>364</v>
      </c>
      <c r="T97" s="138"/>
      <c r="U97" s="138"/>
      <c r="V97" s="138"/>
    </row>
    <row r="98" spans="1:22" s="133" customFormat="1" ht="15.05" x14ac:dyDescent="0.3">
      <c r="A98" s="173" t="s">
        <v>365</v>
      </c>
      <c r="B98" s="141">
        <f t="shared" si="21"/>
        <v>0</v>
      </c>
      <c r="C98" s="162" t="s">
        <v>207</v>
      </c>
      <c r="D98" s="163" t="s">
        <v>207</v>
      </c>
      <c r="E98" s="164" t="s">
        <v>207</v>
      </c>
      <c r="F98" s="163" t="s">
        <v>207</v>
      </c>
      <c r="G98" s="162" t="s">
        <v>207</v>
      </c>
      <c r="H98" s="163" t="s">
        <v>207</v>
      </c>
      <c r="I98" s="162" t="s">
        <v>207</v>
      </c>
      <c r="J98" s="162" t="s">
        <v>207</v>
      </c>
      <c r="K98" s="163" t="s">
        <v>207</v>
      </c>
      <c r="L98" s="162" t="s">
        <v>207</v>
      </c>
      <c r="M98" s="163" t="s">
        <v>207</v>
      </c>
      <c r="N98" s="162" t="s">
        <v>207</v>
      </c>
      <c r="O98" s="165" t="s">
        <v>207</v>
      </c>
      <c r="P98" s="162" t="s">
        <v>207</v>
      </c>
      <c r="Q98" s="165" t="s">
        <v>207</v>
      </c>
      <c r="R98" s="166" t="s">
        <v>207</v>
      </c>
      <c r="S98" s="174" t="s">
        <v>366</v>
      </c>
      <c r="T98" s="138"/>
      <c r="U98" s="138"/>
      <c r="V98" s="138"/>
    </row>
    <row r="99" spans="1:22" s="133" customFormat="1" ht="15.05" x14ac:dyDescent="0.3">
      <c r="A99" s="140" t="s">
        <v>233</v>
      </c>
      <c r="B99" s="141">
        <f t="shared" si="21"/>
        <v>201</v>
      </c>
      <c r="C99" s="162">
        <v>10</v>
      </c>
      <c r="D99" s="163">
        <v>1</v>
      </c>
      <c r="E99" s="164" t="s">
        <v>207</v>
      </c>
      <c r="F99" s="163" t="s">
        <v>207</v>
      </c>
      <c r="G99" s="162">
        <v>30</v>
      </c>
      <c r="H99" s="163">
        <v>4.8</v>
      </c>
      <c r="I99" s="162">
        <v>6</v>
      </c>
      <c r="J99" s="162">
        <v>0.5</v>
      </c>
      <c r="K99" s="163">
        <v>40</v>
      </c>
      <c r="L99" s="162">
        <v>3</v>
      </c>
      <c r="M99" s="163">
        <v>115</v>
      </c>
      <c r="N99" s="162">
        <v>9.5</v>
      </c>
      <c r="O99" s="165" t="s">
        <v>207</v>
      </c>
      <c r="P99" s="162" t="s">
        <v>207</v>
      </c>
      <c r="Q99" s="165" t="s">
        <v>207</v>
      </c>
      <c r="R99" s="166" t="s">
        <v>207</v>
      </c>
      <c r="S99" s="143" t="s">
        <v>349</v>
      </c>
      <c r="T99" s="138"/>
      <c r="U99" s="138"/>
      <c r="V99" s="138"/>
    </row>
    <row r="100" spans="1:22" s="133" customFormat="1" ht="15.05" x14ac:dyDescent="0.3">
      <c r="A100" s="140" t="s">
        <v>234</v>
      </c>
      <c r="B100" s="141">
        <f t="shared" si="21"/>
        <v>104</v>
      </c>
      <c r="C100" s="162">
        <v>44</v>
      </c>
      <c r="D100" s="163">
        <v>5.85</v>
      </c>
      <c r="E100" s="164" t="s">
        <v>207</v>
      </c>
      <c r="F100" s="163" t="s">
        <v>207</v>
      </c>
      <c r="G100" s="162">
        <v>9</v>
      </c>
      <c r="H100" s="163">
        <v>1.7</v>
      </c>
      <c r="I100" s="162">
        <v>4</v>
      </c>
      <c r="J100" s="162">
        <v>0.55000000000000004</v>
      </c>
      <c r="K100" s="163">
        <v>14</v>
      </c>
      <c r="L100" s="162">
        <v>1.81</v>
      </c>
      <c r="M100" s="163">
        <v>27</v>
      </c>
      <c r="N100" s="162">
        <v>4.3</v>
      </c>
      <c r="O100" s="165" t="s">
        <v>207</v>
      </c>
      <c r="P100" s="162" t="s">
        <v>207</v>
      </c>
      <c r="Q100" s="163">
        <v>6</v>
      </c>
      <c r="R100" s="166">
        <v>0.83</v>
      </c>
      <c r="S100" s="143" t="s">
        <v>350</v>
      </c>
      <c r="T100" s="138"/>
      <c r="U100" s="138"/>
      <c r="V100" s="138"/>
    </row>
    <row r="101" spans="1:22" s="133" customFormat="1" ht="15.05" x14ac:dyDescent="0.3">
      <c r="A101" s="140" t="s">
        <v>235</v>
      </c>
      <c r="B101" s="141">
        <f t="shared" si="21"/>
        <v>11</v>
      </c>
      <c r="C101" s="162">
        <v>11</v>
      </c>
      <c r="D101" s="163">
        <v>1.54</v>
      </c>
      <c r="E101" s="164" t="s">
        <v>207</v>
      </c>
      <c r="F101" s="163" t="s">
        <v>207</v>
      </c>
      <c r="G101" s="164" t="s">
        <v>207</v>
      </c>
      <c r="H101" s="163" t="s">
        <v>207</v>
      </c>
      <c r="I101" s="164" t="s">
        <v>207</v>
      </c>
      <c r="J101" s="162" t="s">
        <v>207</v>
      </c>
      <c r="K101" s="165" t="s">
        <v>207</v>
      </c>
      <c r="L101" s="162" t="s">
        <v>207</v>
      </c>
      <c r="M101" s="165" t="s">
        <v>207</v>
      </c>
      <c r="N101" s="162" t="s">
        <v>207</v>
      </c>
      <c r="O101" s="165" t="s">
        <v>207</v>
      </c>
      <c r="P101" s="162" t="s">
        <v>207</v>
      </c>
      <c r="Q101" s="165" t="s">
        <v>207</v>
      </c>
      <c r="R101" s="166" t="s">
        <v>207</v>
      </c>
      <c r="S101" s="143" t="s">
        <v>351</v>
      </c>
      <c r="T101" s="138"/>
      <c r="U101" s="138"/>
      <c r="V101" s="138"/>
    </row>
    <row r="102" spans="1:22" s="133" customFormat="1" ht="15.05" x14ac:dyDescent="0.3">
      <c r="A102" s="140" t="s">
        <v>236</v>
      </c>
      <c r="B102" s="141">
        <f t="shared" si="21"/>
        <v>738</v>
      </c>
      <c r="C102" s="162">
        <v>45</v>
      </c>
      <c r="D102" s="163">
        <v>7.48</v>
      </c>
      <c r="E102" s="164" t="s">
        <v>207</v>
      </c>
      <c r="F102" s="163" t="s">
        <v>207</v>
      </c>
      <c r="G102" s="162">
        <v>34</v>
      </c>
      <c r="H102" s="163">
        <v>5.77</v>
      </c>
      <c r="I102" s="162">
        <v>3</v>
      </c>
      <c r="J102" s="162">
        <v>0.63</v>
      </c>
      <c r="K102" s="163">
        <v>637</v>
      </c>
      <c r="L102" s="162">
        <v>90.27</v>
      </c>
      <c r="M102" s="163">
        <v>19</v>
      </c>
      <c r="N102" s="162">
        <v>3.468</v>
      </c>
      <c r="O102" s="163" t="s">
        <v>207</v>
      </c>
      <c r="P102" s="162" t="s">
        <v>207</v>
      </c>
      <c r="Q102" s="165" t="s">
        <v>207</v>
      </c>
      <c r="R102" s="166" t="s">
        <v>207</v>
      </c>
      <c r="S102" s="143" t="s">
        <v>352</v>
      </c>
      <c r="T102" s="138"/>
      <c r="U102" s="138"/>
      <c r="V102" s="138"/>
    </row>
    <row r="103" spans="1:22" s="133" customFormat="1" ht="15.05" x14ac:dyDescent="0.3">
      <c r="A103" s="140" t="s">
        <v>237</v>
      </c>
      <c r="B103" s="141">
        <f t="shared" si="21"/>
        <v>27</v>
      </c>
      <c r="C103" s="162">
        <v>8</v>
      </c>
      <c r="D103" s="163">
        <v>1.6</v>
      </c>
      <c r="E103" s="164" t="s">
        <v>207</v>
      </c>
      <c r="F103" s="163" t="s">
        <v>207</v>
      </c>
      <c r="G103" s="162">
        <v>1</v>
      </c>
      <c r="H103" s="163">
        <v>0.2</v>
      </c>
      <c r="I103" s="164" t="s">
        <v>207</v>
      </c>
      <c r="J103" s="162" t="s">
        <v>207</v>
      </c>
      <c r="K103" s="165">
        <v>4</v>
      </c>
      <c r="L103" s="162">
        <v>0.4</v>
      </c>
      <c r="M103" s="165">
        <v>14</v>
      </c>
      <c r="N103" s="162">
        <v>2.8</v>
      </c>
      <c r="O103" s="165" t="s">
        <v>207</v>
      </c>
      <c r="P103" s="162" t="s">
        <v>207</v>
      </c>
      <c r="Q103" s="165" t="s">
        <v>207</v>
      </c>
      <c r="R103" s="166" t="s">
        <v>207</v>
      </c>
      <c r="S103" s="143" t="s">
        <v>353</v>
      </c>
      <c r="T103" s="138"/>
      <c r="U103" s="138"/>
      <c r="V103" s="138"/>
    </row>
    <row r="104" spans="1:22" s="133" customFormat="1" ht="15.05" x14ac:dyDescent="0.3">
      <c r="A104" s="140" t="s">
        <v>238</v>
      </c>
      <c r="B104" s="141">
        <f t="shared" si="21"/>
        <v>430</v>
      </c>
      <c r="C104" s="162">
        <v>404</v>
      </c>
      <c r="D104" s="163">
        <v>80.8</v>
      </c>
      <c r="E104" s="164" t="s">
        <v>207</v>
      </c>
      <c r="F104" s="163" t="s">
        <v>207</v>
      </c>
      <c r="G104" s="162">
        <v>1</v>
      </c>
      <c r="H104" s="163">
        <v>0.5</v>
      </c>
      <c r="I104" s="162" t="s">
        <v>207</v>
      </c>
      <c r="J104" s="162" t="s">
        <v>207</v>
      </c>
      <c r="K104" s="163" t="s">
        <v>207</v>
      </c>
      <c r="L104" s="162" t="s">
        <v>207</v>
      </c>
      <c r="M104" s="165">
        <v>25</v>
      </c>
      <c r="N104" s="162">
        <v>4.2</v>
      </c>
      <c r="O104" s="165" t="s">
        <v>207</v>
      </c>
      <c r="P104" s="162" t="s">
        <v>207</v>
      </c>
      <c r="Q104" s="165" t="s">
        <v>207</v>
      </c>
      <c r="R104" s="166" t="s">
        <v>207</v>
      </c>
      <c r="S104" s="143" t="s">
        <v>354</v>
      </c>
      <c r="T104" s="138"/>
      <c r="U104" s="138"/>
      <c r="V104" s="138"/>
    </row>
    <row r="105" spans="1:22" s="133" customFormat="1" ht="15.05" x14ac:dyDescent="0.3">
      <c r="A105" s="140" t="s">
        <v>239</v>
      </c>
      <c r="B105" s="141">
        <f t="shared" si="21"/>
        <v>89</v>
      </c>
      <c r="C105" s="162">
        <v>39</v>
      </c>
      <c r="D105" s="163">
        <v>9.7110000000000003</v>
      </c>
      <c r="E105" s="164" t="s">
        <v>207</v>
      </c>
      <c r="F105" s="163" t="s">
        <v>207</v>
      </c>
      <c r="G105" s="162">
        <v>34</v>
      </c>
      <c r="H105" s="163">
        <v>6.4119999999999999</v>
      </c>
      <c r="I105" s="164" t="s">
        <v>207</v>
      </c>
      <c r="J105" s="162" t="s">
        <v>207</v>
      </c>
      <c r="K105" s="163" t="s">
        <v>207</v>
      </c>
      <c r="L105" s="162" t="s">
        <v>207</v>
      </c>
      <c r="M105" s="165">
        <v>16</v>
      </c>
      <c r="N105" s="162">
        <v>4</v>
      </c>
      <c r="O105" s="165" t="s">
        <v>207</v>
      </c>
      <c r="P105" s="162" t="s">
        <v>207</v>
      </c>
      <c r="Q105" s="165" t="s">
        <v>207</v>
      </c>
      <c r="R105" s="166" t="s">
        <v>207</v>
      </c>
      <c r="S105" s="143" t="s">
        <v>355</v>
      </c>
      <c r="T105" s="138"/>
      <c r="U105" s="138"/>
      <c r="V105" s="138"/>
    </row>
    <row r="106" spans="1:22" s="133" customFormat="1" ht="15.05" x14ac:dyDescent="0.3">
      <c r="A106" s="206" t="s">
        <v>27</v>
      </c>
      <c r="B106" s="207">
        <f>SUM(B108:B111)</f>
        <v>2281</v>
      </c>
      <c r="C106" s="198">
        <f>SUM(C108:C111)</f>
        <v>305</v>
      </c>
      <c r="D106" s="197">
        <f t="shared" ref="D106:R106" si="22">SUM(D108:D111)</f>
        <v>75.076999999999998</v>
      </c>
      <c r="E106" s="198">
        <f t="shared" si="22"/>
        <v>12</v>
      </c>
      <c r="F106" s="197">
        <f t="shared" si="22"/>
        <v>2.3450000000000002</v>
      </c>
      <c r="G106" s="198">
        <f t="shared" si="22"/>
        <v>1424</v>
      </c>
      <c r="H106" s="197">
        <f t="shared" si="22"/>
        <v>303.62900000000002</v>
      </c>
      <c r="I106" s="198">
        <f t="shared" si="22"/>
        <v>42</v>
      </c>
      <c r="J106" s="197">
        <f t="shared" si="22"/>
        <v>6.3070000000000004</v>
      </c>
      <c r="K106" s="198">
        <f t="shared" si="22"/>
        <v>59</v>
      </c>
      <c r="L106" s="197">
        <f t="shared" si="22"/>
        <v>8.043000000000001</v>
      </c>
      <c r="M106" s="198">
        <f t="shared" si="22"/>
        <v>269</v>
      </c>
      <c r="N106" s="197">
        <f t="shared" si="22"/>
        <v>49.833999999999996</v>
      </c>
      <c r="O106" s="198">
        <f t="shared" si="22"/>
        <v>22</v>
      </c>
      <c r="P106" s="197">
        <f t="shared" si="22"/>
        <v>3.1500000000000004</v>
      </c>
      <c r="Q106" s="198">
        <f t="shared" si="22"/>
        <v>148</v>
      </c>
      <c r="R106" s="200">
        <f t="shared" si="22"/>
        <v>27.07</v>
      </c>
      <c r="S106" s="201" t="s">
        <v>28</v>
      </c>
      <c r="T106" s="201"/>
      <c r="U106" s="201"/>
      <c r="V106" s="138"/>
    </row>
    <row r="107" spans="1:22" s="133" customFormat="1" ht="15.05" x14ac:dyDescent="0.3">
      <c r="A107" s="206"/>
      <c r="B107" s="207"/>
      <c r="C107" s="198"/>
      <c r="D107" s="197"/>
      <c r="E107" s="198"/>
      <c r="F107" s="197"/>
      <c r="G107" s="198"/>
      <c r="H107" s="197"/>
      <c r="I107" s="198"/>
      <c r="J107" s="197"/>
      <c r="K107" s="198"/>
      <c r="L107" s="197"/>
      <c r="M107" s="198"/>
      <c r="N107" s="197"/>
      <c r="O107" s="198"/>
      <c r="P107" s="197"/>
      <c r="Q107" s="198"/>
      <c r="R107" s="200"/>
      <c r="S107" s="201"/>
      <c r="T107" s="201"/>
      <c r="U107" s="201"/>
      <c r="V107" s="138"/>
    </row>
    <row r="108" spans="1:22" s="133" customFormat="1" ht="15.05" x14ac:dyDescent="0.3">
      <c r="A108" s="140" t="s">
        <v>240</v>
      </c>
      <c r="B108" s="141">
        <f>SUM(C108,E108,G108,I108,K108,M108,O108,Q108)</f>
        <v>532</v>
      </c>
      <c r="C108" s="162">
        <v>46</v>
      </c>
      <c r="D108" s="163">
        <v>8.15</v>
      </c>
      <c r="E108" s="164" t="s">
        <v>207</v>
      </c>
      <c r="F108" s="163" t="s">
        <v>207</v>
      </c>
      <c r="G108" s="162">
        <v>388</v>
      </c>
      <c r="H108" s="163">
        <v>74.8</v>
      </c>
      <c r="I108" s="162" t="s">
        <v>207</v>
      </c>
      <c r="J108" s="162" t="s">
        <v>207</v>
      </c>
      <c r="K108" s="163">
        <v>18</v>
      </c>
      <c r="L108" s="162">
        <v>1.5629999999999999</v>
      </c>
      <c r="M108" s="163">
        <v>49</v>
      </c>
      <c r="N108" s="162">
        <v>7.28</v>
      </c>
      <c r="O108" s="163">
        <v>14</v>
      </c>
      <c r="P108" s="162">
        <v>0.9</v>
      </c>
      <c r="Q108" s="163">
        <v>17</v>
      </c>
      <c r="R108" s="166">
        <v>2.1800000000000002</v>
      </c>
      <c r="S108" s="143" t="s">
        <v>356</v>
      </c>
      <c r="T108" s="138"/>
      <c r="U108" s="138"/>
      <c r="V108" s="138"/>
    </row>
    <row r="109" spans="1:22" s="133" customFormat="1" ht="15.05" x14ac:dyDescent="0.3">
      <c r="A109" s="140" t="s">
        <v>241</v>
      </c>
      <c r="B109" s="141">
        <f>SUM(C109,E109,G109,I109,K109,M109,O109,Q109)</f>
        <v>889</v>
      </c>
      <c r="C109" s="162">
        <v>68</v>
      </c>
      <c r="D109" s="163">
        <v>16.809999999999999</v>
      </c>
      <c r="E109" s="162" t="s">
        <v>207</v>
      </c>
      <c r="F109" s="163" t="s">
        <v>207</v>
      </c>
      <c r="G109" s="162">
        <v>458</v>
      </c>
      <c r="H109" s="163">
        <v>72.486000000000004</v>
      </c>
      <c r="I109" s="162">
        <v>22</v>
      </c>
      <c r="J109" s="162">
        <v>3.3519999999999999</v>
      </c>
      <c r="K109" s="163">
        <v>14</v>
      </c>
      <c r="L109" s="162">
        <v>2.44</v>
      </c>
      <c r="M109" s="163">
        <v>195</v>
      </c>
      <c r="N109" s="162">
        <v>37.308999999999997</v>
      </c>
      <c r="O109" s="163">
        <v>1</v>
      </c>
      <c r="P109" s="162">
        <v>0.15</v>
      </c>
      <c r="Q109" s="163">
        <v>131</v>
      </c>
      <c r="R109" s="166">
        <v>24.89</v>
      </c>
      <c r="S109" s="143" t="s">
        <v>357</v>
      </c>
      <c r="T109" s="138"/>
      <c r="U109" s="138"/>
      <c r="V109" s="138"/>
    </row>
    <row r="110" spans="1:22" s="133" customFormat="1" ht="15.05" x14ac:dyDescent="0.3">
      <c r="A110" s="140" t="s">
        <v>242</v>
      </c>
      <c r="B110" s="141">
        <f>SUM(C110,E110,G110,I110,K110,M110,O110,Q110)</f>
        <v>255</v>
      </c>
      <c r="C110" s="162">
        <v>47</v>
      </c>
      <c r="D110" s="163">
        <v>13.535</v>
      </c>
      <c r="E110" s="164" t="s">
        <v>207</v>
      </c>
      <c r="F110" s="163" t="s">
        <v>207</v>
      </c>
      <c r="G110" s="162">
        <v>160</v>
      </c>
      <c r="H110" s="163">
        <v>50.03</v>
      </c>
      <c r="I110" s="162">
        <v>7</v>
      </c>
      <c r="J110" s="162">
        <v>1.1399999999999999</v>
      </c>
      <c r="K110" s="163">
        <v>12</v>
      </c>
      <c r="L110" s="162">
        <v>1.98</v>
      </c>
      <c r="M110" s="163">
        <v>22</v>
      </c>
      <c r="N110" s="162">
        <v>4.6500000000000004</v>
      </c>
      <c r="O110" s="163">
        <v>7</v>
      </c>
      <c r="P110" s="162">
        <v>2.1</v>
      </c>
      <c r="Q110" s="165" t="s">
        <v>207</v>
      </c>
      <c r="R110" s="166" t="s">
        <v>207</v>
      </c>
      <c r="S110" s="143" t="s">
        <v>358</v>
      </c>
      <c r="T110" s="152"/>
      <c r="U110" s="152"/>
      <c r="V110" s="138"/>
    </row>
    <row r="111" spans="1:22" s="133" customFormat="1" ht="15.65" thickBot="1" x14ac:dyDescent="0.35">
      <c r="A111" s="153" t="s">
        <v>243</v>
      </c>
      <c r="B111" s="154">
        <f>SUM(C111,E111,G111,I111,K111,M111,O111,Q111)</f>
        <v>605</v>
      </c>
      <c r="C111" s="167">
        <v>144</v>
      </c>
      <c r="D111" s="168">
        <v>36.582000000000001</v>
      </c>
      <c r="E111" s="167">
        <v>12</v>
      </c>
      <c r="F111" s="168">
        <v>2.3450000000000002</v>
      </c>
      <c r="G111" s="167">
        <v>418</v>
      </c>
      <c r="H111" s="168">
        <v>106.313</v>
      </c>
      <c r="I111" s="167">
        <v>13</v>
      </c>
      <c r="J111" s="167">
        <v>1.8149999999999999</v>
      </c>
      <c r="K111" s="168">
        <v>15</v>
      </c>
      <c r="L111" s="167">
        <v>2.06</v>
      </c>
      <c r="M111" s="168">
        <v>3</v>
      </c>
      <c r="N111" s="167">
        <v>0.59499999999999997</v>
      </c>
      <c r="O111" s="169" t="s">
        <v>207</v>
      </c>
      <c r="P111" s="167" t="s">
        <v>207</v>
      </c>
      <c r="Q111" s="169" t="s">
        <v>207</v>
      </c>
      <c r="R111" s="170" t="s">
        <v>207</v>
      </c>
      <c r="S111" s="155" t="s">
        <v>359</v>
      </c>
      <c r="T111" s="156"/>
      <c r="U111" s="156"/>
      <c r="V111" s="138"/>
    </row>
    <row r="112" spans="1:22" s="133" customFormat="1" ht="15.05" x14ac:dyDescent="0.3">
      <c r="A112" s="157" t="s">
        <v>29</v>
      </c>
      <c r="D112" s="158"/>
      <c r="F112" s="158"/>
      <c r="H112" s="158"/>
      <c r="J112" s="158"/>
      <c r="L112" s="158"/>
      <c r="N112" s="158"/>
      <c r="P112" s="204" t="s">
        <v>108</v>
      </c>
      <c r="Q112" s="204"/>
      <c r="R112" s="204"/>
      <c r="S112" s="205"/>
      <c r="T112" s="205"/>
      <c r="U112" s="205"/>
    </row>
    <row r="113" spans="1:18" s="133" customFormat="1" ht="15.05" x14ac:dyDescent="0.3">
      <c r="A113" s="159" t="s">
        <v>209</v>
      </c>
      <c r="D113" s="158"/>
      <c r="F113" s="158"/>
      <c r="H113" s="158"/>
      <c r="J113" s="158"/>
      <c r="L113" s="158"/>
      <c r="N113" s="158"/>
      <c r="P113" s="158" t="s">
        <v>208</v>
      </c>
      <c r="R113" s="158"/>
    </row>
    <row r="114" spans="1:18" s="133" customFormat="1" ht="15.05" x14ac:dyDescent="0.3">
      <c r="D114" s="158"/>
      <c r="F114" s="158"/>
      <c r="H114" s="158"/>
      <c r="J114" s="158"/>
      <c r="L114" s="158"/>
      <c r="N114" s="158"/>
      <c r="P114" s="158"/>
      <c r="R114" s="158"/>
    </row>
    <row r="115" spans="1:18" s="133" customFormat="1" ht="15.05" x14ac:dyDescent="0.3">
      <c r="D115" s="158"/>
      <c r="F115" s="158"/>
      <c r="H115" s="158"/>
      <c r="J115" s="158"/>
      <c r="L115" s="158"/>
      <c r="N115" s="158"/>
      <c r="P115" s="158"/>
      <c r="R115" s="158"/>
    </row>
    <row r="116" spans="1:18" s="133" customFormat="1" ht="15.05" x14ac:dyDescent="0.3">
      <c r="D116" s="158"/>
      <c r="F116" s="158"/>
      <c r="H116" s="158"/>
      <c r="J116" s="158"/>
      <c r="L116" s="158"/>
      <c r="N116" s="158"/>
      <c r="P116" s="158"/>
      <c r="R116" s="158"/>
    </row>
    <row r="117" spans="1:18" s="133" customFormat="1" ht="15.05" x14ac:dyDescent="0.3">
      <c r="D117" s="158"/>
      <c r="F117" s="158"/>
      <c r="H117" s="158"/>
      <c r="J117" s="158"/>
      <c r="L117" s="158"/>
      <c r="N117" s="158"/>
      <c r="P117" s="158"/>
      <c r="R117" s="158"/>
    </row>
    <row r="120" spans="1:18" x14ac:dyDescent="0.25">
      <c r="N120" s="131" t="s">
        <v>207</v>
      </c>
    </row>
  </sheetData>
  <sheetProtection selectLockedCells="1" selectUnlockedCells="1"/>
  <mergeCells count="278">
    <mergeCell ref="E106:E107"/>
    <mergeCell ref="D106:D107"/>
    <mergeCell ref="E84:E85"/>
    <mergeCell ref="B21:B22"/>
    <mergeCell ref="E35:E36"/>
    <mergeCell ref="F67:F68"/>
    <mergeCell ref="E67:E68"/>
    <mergeCell ref="D67:D68"/>
    <mergeCell ref="E55:E56"/>
    <mergeCell ref="B48:B49"/>
    <mergeCell ref="D84:D85"/>
    <mergeCell ref="B74:B75"/>
    <mergeCell ref="F62:F63"/>
    <mergeCell ref="D48:D49"/>
    <mergeCell ref="D62:D63"/>
    <mergeCell ref="C62:C63"/>
    <mergeCell ref="B62:B63"/>
    <mergeCell ref="D55:D56"/>
    <mergeCell ref="C55:C56"/>
    <mergeCell ref="B55:B56"/>
    <mergeCell ref="F74:F75"/>
    <mergeCell ref="F21:F22"/>
    <mergeCell ref="C67:C68"/>
    <mergeCell ref="B67:B68"/>
    <mergeCell ref="E74:E75"/>
    <mergeCell ref="D74:D75"/>
    <mergeCell ref="H74:H75"/>
    <mergeCell ref="G74:G75"/>
    <mergeCell ref="I74:I75"/>
    <mergeCell ref="M74:M75"/>
    <mergeCell ref="L74:L75"/>
    <mergeCell ref="K74:K75"/>
    <mergeCell ref="J74:J75"/>
    <mergeCell ref="G106:G107"/>
    <mergeCell ref="F106:F107"/>
    <mergeCell ref="N91:N92"/>
    <mergeCell ref="M91:M92"/>
    <mergeCell ref="R84:R85"/>
    <mergeCell ref="Q84:Q85"/>
    <mergeCell ref="P84:P85"/>
    <mergeCell ref="O84:O85"/>
    <mergeCell ref="N84:N85"/>
    <mergeCell ref="G84:G85"/>
    <mergeCell ref="I84:I85"/>
    <mergeCell ref="H84:H85"/>
    <mergeCell ref="O106:O107"/>
    <mergeCell ref="N106:N107"/>
    <mergeCell ref="O91:O92"/>
    <mergeCell ref="M106:M107"/>
    <mergeCell ref="L106:L107"/>
    <mergeCell ref="K106:K107"/>
    <mergeCell ref="J106:J107"/>
    <mergeCell ref="I106:I107"/>
    <mergeCell ref="H106:H107"/>
    <mergeCell ref="M41:M42"/>
    <mergeCell ref="I41:I42"/>
    <mergeCell ref="I55:I56"/>
    <mergeCell ref="H55:H56"/>
    <mergeCell ref="G55:G56"/>
    <mergeCell ref="J55:J56"/>
    <mergeCell ref="R91:R92"/>
    <mergeCell ref="Q91:Q92"/>
    <mergeCell ref="P91:P92"/>
    <mergeCell ref="R74:R75"/>
    <mergeCell ref="Q74:Q75"/>
    <mergeCell ref="P74:P75"/>
    <mergeCell ref="O74:O75"/>
    <mergeCell ref="N74:N75"/>
    <mergeCell ref="R67:R68"/>
    <mergeCell ref="Q67:Q68"/>
    <mergeCell ref="E21:E22"/>
    <mergeCell ref="D21:D22"/>
    <mergeCell ref="E62:E63"/>
    <mergeCell ref="D41:D42"/>
    <mergeCell ref="I67:I68"/>
    <mergeCell ref="H67:H68"/>
    <mergeCell ref="G67:G68"/>
    <mergeCell ref="G35:G36"/>
    <mergeCell ref="G41:G42"/>
    <mergeCell ref="G48:G49"/>
    <mergeCell ref="O62:O63"/>
    <mergeCell ref="N62:N63"/>
    <mergeCell ref="M62:M63"/>
    <mergeCell ref="P67:P68"/>
    <mergeCell ref="O67:O68"/>
    <mergeCell ref="N67:N68"/>
    <mergeCell ref="L62:L63"/>
    <mergeCell ref="I91:I92"/>
    <mergeCell ref="K62:K63"/>
    <mergeCell ref="J62:J63"/>
    <mergeCell ref="K67:K68"/>
    <mergeCell ref="J67:J68"/>
    <mergeCell ref="L67:L68"/>
    <mergeCell ref="M67:M68"/>
    <mergeCell ref="S7:U10"/>
    <mergeCell ref="K7:L9"/>
    <mergeCell ref="E9:F9"/>
    <mergeCell ref="O11:O12"/>
    <mergeCell ref="M13:M14"/>
    <mergeCell ref="R13:R14"/>
    <mergeCell ref="Q13:Q14"/>
    <mergeCell ref="N11:N12"/>
    <mergeCell ref="M11:M12"/>
    <mergeCell ref="C7:F8"/>
    <mergeCell ref="I7:J9"/>
    <mergeCell ref="M7:N9"/>
    <mergeCell ref="Q7:R9"/>
    <mergeCell ref="I13:I14"/>
    <mergeCell ref="H13:H14"/>
    <mergeCell ref="J11:J12"/>
    <mergeCell ref="L11:L12"/>
    <mergeCell ref="G11:G12"/>
    <mergeCell ref="S11:U12"/>
    <mergeCell ref="R11:R12"/>
    <mergeCell ref="Q11:Q12"/>
    <mergeCell ref="B13:B14"/>
    <mergeCell ref="G7:H9"/>
    <mergeCell ref="D13:D14"/>
    <mergeCell ref="C13:C14"/>
    <mergeCell ref="C9:D9"/>
    <mergeCell ref="A7:A10"/>
    <mergeCell ref="B7:B10"/>
    <mergeCell ref="M6:P6"/>
    <mergeCell ref="K11:K12"/>
    <mergeCell ref="G13:G14"/>
    <mergeCell ref="I11:I12"/>
    <mergeCell ref="H11:H12"/>
    <mergeCell ref="O7:P9"/>
    <mergeCell ref="E13:E14"/>
    <mergeCell ref="F11:F12"/>
    <mergeCell ref="E11:E12"/>
    <mergeCell ref="P11:P12"/>
    <mergeCell ref="P13:P14"/>
    <mergeCell ref="O13:O14"/>
    <mergeCell ref="A67:A68"/>
    <mergeCell ref="A6:F6"/>
    <mergeCell ref="B11:B12"/>
    <mergeCell ref="D11:D12"/>
    <mergeCell ref="F48:F49"/>
    <mergeCell ref="E48:E49"/>
    <mergeCell ref="A55:A56"/>
    <mergeCell ref="A41:A42"/>
    <mergeCell ref="A35:A36"/>
    <mergeCell ref="A21:A22"/>
    <mergeCell ref="A11:A12"/>
    <mergeCell ref="C11:C12"/>
    <mergeCell ref="C21:C22"/>
    <mergeCell ref="C35:C36"/>
    <mergeCell ref="B35:B36"/>
    <mergeCell ref="F13:F14"/>
    <mergeCell ref="F41:F42"/>
    <mergeCell ref="E41:E42"/>
    <mergeCell ref="F35:F36"/>
    <mergeCell ref="D35:D36"/>
    <mergeCell ref="F55:F56"/>
    <mergeCell ref="C48:C49"/>
    <mergeCell ref="C41:C42"/>
    <mergeCell ref="B41:B42"/>
    <mergeCell ref="A106:A107"/>
    <mergeCell ref="A91:A92"/>
    <mergeCell ref="A84:A85"/>
    <mergeCell ref="A74:A75"/>
    <mergeCell ref="F84:F85"/>
    <mergeCell ref="L91:L92"/>
    <mergeCell ref="K91:K92"/>
    <mergeCell ref="J91:J92"/>
    <mergeCell ref="M84:M85"/>
    <mergeCell ref="L84:L85"/>
    <mergeCell ref="K84:K85"/>
    <mergeCell ref="J84:J85"/>
    <mergeCell ref="H91:H92"/>
    <mergeCell ref="G91:G92"/>
    <mergeCell ref="F91:F92"/>
    <mergeCell ref="E91:E92"/>
    <mergeCell ref="B106:B107"/>
    <mergeCell ref="C106:C107"/>
    <mergeCell ref="C74:C75"/>
    <mergeCell ref="B91:B92"/>
    <mergeCell ref="C84:C85"/>
    <mergeCell ref="B84:B85"/>
    <mergeCell ref="D91:D92"/>
    <mergeCell ref="C91:C92"/>
    <mergeCell ref="R21:R22"/>
    <mergeCell ref="R35:R36"/>
    <mergeCell ref="Q35:Q36"/>
    <mergeCell ref="P35:P36"/>
    <mergeCell ref="O35:O36"/>
    <mergeCell ref="Q21:Q22"/>
    <mergeCell ref="O41:O42"/>
    <mergeCell ref="P112:R112"/>
    <mergeCell ref="S112:U112"/>
    <mergeCell ref="S91:U92"/>
    <mergeCell ref="S106:U107"/>
    <mergeCell ref="S78:V78"/>
    <mergeCell ref="R106:R107"/>
    <mergeCell ref="Q106:Q107"/>
    <mergeCell ref="P106:P107"/>
    <mergeCell ref="S84:U85"/>
    <mergeCell ref="P55:P56"/>
    <mergeCell ref="S35:U36"/>
    <mergeCell ref="S41:U42"/>
    <mergeCell ref="R48:R49"/>
    <mergeCell ref="Q48:Q49"/>
    <mergeCell ref="P48:P49"/>
    <mergeCell ref="P41:P42"/>
    <mergeCell ref="Q62:Q63"/>
    <mergeCell ref="H35:H36"/>
    <mergeCell ref="M35:M36"/>
    <mergeCell ref="L35:L36"/>
    <mergeCell ref="K35:K36"/>
    <mergeCell ref="J35:J36"/>
    <mergeCell ref="S76:V76"/>
    <mergeCell ref="S83:V83"/>
    <mergeCell ref="S82:V82"/>
    <mergeCell ref="S81:V81"/>
    <mergeCell ref="S80:V80"/>
    <mergeCell ref="K41:K42"/>
    <mergeCell ref="J41:J42"/>
    <mergeCell ref="I48:I49"/>
    <mergeCell ref="H48:H49"/>
    <mergeCell ref="J48:J49"/>
    <mergeCell ref="S55:U56"/>
    <mergeCell ref="S67:U68"/>
    <mergeCell ref="S79:V79"/>
    <mergeCell ref="L41:L42"/>
    <mergeCell ref="H41:H42"/>
    <mergeCell ref="L48:L49"/>
    <mergeCell ref="K48:K49"/>
    <mergeCell ref="N41:N42"/>
    <mergeCell ref="P62:P63"/>
    <mergeCell ref="N21:N22"/>
    <mergeCell ref="K21:K22"/>
    <mergeCell ref="J21:J22"/>
    <mergeCell ref="H21:H22"/>
    <mergeCell ref="M21:M22"/>
    <mergeCell ref="L21:L22"/>
    <mergeCell ref="G21:G22"/>
    <mergeCell ref="S74:U75"/>
    <mergeCell ref="S21:U22"/>
    <mergeCell ref="O48:O49"/>
    <mergeCell ref="N48:N49"/>
    <mergeCell ref="R55:R56"/>
    <mergeCell ref="Q55:Q56"/>
    <mergeCell ref="O55:O56"/>
    <mergeCell ref="N55:N56"/>
    <mergeCell ref="M55:M56"/>
    <mergeCell ref="L55:L56"/>
    <mergeCell ref="K55:K56"/>
    <mergeCell ref="M48:M49"/>
    <mergeCell ref="I62:I63"/>
    <mergeCell ref="H62:H63"/>
    <mergeCell ref="G62:G63"/>
    <mergeCell ref="R62:R63"/>
    <mergeCell ref="N35:N36"/>
    <mergeCell ref="T4:U5"/>
    <mergeCell ref="B2:R2"/>
    <mergeCell ref="B3:R3"/>
    <mergeCell ref="B4:R4"/>
    <mergeCell ref="B5:R5"/>
    <mergeCell ref="S77:V77"/>
    <mergeCell ref="A13:A14"/>
    <mergeCell ref="S13:U14"/>
    <mergeCell ref="A48:A49"/>
    <mergeCell ref="S48:U49"/>
    <mergeCell ref="A62:A63"/>
    <mergeCell ref="S62:U63"/>
    <mergeCell ref="S46:U46"/>
    <mergeCell ref="S65:U65"/>
    <mergeCell ref="N13:N14"/>
    <mergeCell ref="L13:L14"/>
    <mergeCell ref="K13:K14"/>
    <mergeCell ref="J13:J14"/>
    <mergeCell ref="I35:I36"/>
    <mergeCell ref="I21:I22"/>
    <mergeCell ref="P21:P22"/>
    <mergeCell ref="O21:O22"/>
    <mergeCell ref="R41:R42"/>
    <mergeCell ref="Q41:Q42"/>
  </mergeCells>
  <pageMargins left="0.7" right="0.7" top="0.75" bottom="0.75" header="0.3" footer="0.3"/>
  <pageSetup paperSize="9" orientation="portrait" horizontalDpi="200" verticalDpi="200" r:id="rId1"/>
  <ignoredErrors>
    <ignoredError sqref="B15 B40 B66 B69:B70 B80:B83 B86:B90 B108:B111 B31:B34 B37:B39 B64:B65 B57:B61 B50:B54 C48:R49 C55:R56 C62:R63 D30:Q30 B23:B29 B43:B47 B93:B105 B19:B20 B72:B73 B17" unlockedFormula="1"/>
    <ignoredError sqref="B30" formula="1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0"/>
  <sheetViews>
    <sheetView showGridLines="0" zoomScale="80" zoomScaleNormal="80" workbookViewId="0">
      <selection activeCell="A11" sqref="A11:A12"/>
    </sheetView>
  </sheetViews>
  <sheetFormatPr defaultRowHeight="15.05" x14ac:dyDescent="0.3"/>
  <cols>
    <col min="1" max="1" width="37.21875" style="1" bestFit="1" customWidth="1"/>
    <col min="2" max="16384" width="8.88671875" style="1"/>
  </cols>
  <sheetData>
    <row r="1" spans="1:8" x14ac:dyDescent="0.3">
      <c r="A1" s="247"/>
      <c r="B1" s="247"/>
      <c r="C1" s="247"/>
      <c r="D1" s="247"/>
      <c r="E1" s="247"/>
      <c r="F1" s="247"/>
      <c r="G1" s="247"/>
      <c r="H1" s="247"/>
    </row>
    <row r="2" spans="1:8" x14ac:dyDescent="0.3">
      <c r="A2" s="248"/>
      <c r="B2" s="248"/>
      <c r="C2" s="248"/>
      <c r="D2" s="248"/>
      <c r="E2" s="248"/>
      <c r="F2" s="248"/>
      <c r="G2" s="248"/>
      <c r="H2" s="248"/>
    </row>
    <row r="3" spans="1:8" x14ac:dyDescent="0.3">
      <c r="A3" s="248"/>
      <c r="B3" s="248"/>
      <c r="C3" s="248"/>
      <c r="D3" s="248"/>
      <c r="E3" s="248"/>
      <c r="F3" s="248"/>
      <c r="G3" s="248"/>
      <c r="H3" s="248"/>
    </row>
    <row r="4" spans="1:8" x14ac:dyDescent="0.3">
      <c r="A4" s="249"/>
      <c r="B4" s="249"/>
      <c r="C4" s="249"/>
      <c r="D4" s="249"/>
      <c r="E4" s="249"/>
      <c r="F4" s="249"/>
      <c r="G4" s="2"/>
      <c r="H4" s="2"/>
    </row>
    <row r="5" spans="1:8" x14ac:dyDescent="0.3">
      <c r="A5" s="250"/>
      <c r="B5" s="250"/>
      <c r="C5" s="250"/>
      <c r="D5" s="251"/>
      <c r="E5" s="251"/>
      <c r="F5" s="251"/>
      <c r="G5" s="250"/>
      <c r="H5" s="250"/>
    </row>
    <row r="6" spans="1:8" x14ac:dyDescent="0.3">
      <c r="A6" s="250"/>
      <c r="B6" s="250"/>
      <c r="C6" s="251"/>
      <c r="D6" s="251"/>
      <c r="E6" s="251"/>
      <c r="F6" s="251"/>
      <c r="G6" s="250"/>
      <c r="H6" s="250"/>
    </row>
    <row r="7" spans="1:8" x14ac:dyDescent="0.3">
      <c r="A7" s="250"/>
      <c r="B7" s="250"/>
      <c r="C7" s="250"/>
      <c r="D7" s="250"/>
      <c r="E7" s="250"/>
      <c r="F7" s="250"/>
      <c r="G7" s="250"/>
      <c r="H7" s="250"/>
    </row>
    <row r="8" spans="1:8" x14ac:dyDescent="0.3">
      <c r="A8" s="250"/>
      <c r="B8" s="250"/>
      <c r="C8" s="3"/>
      <c r="D8" s="3"/>
      <c r="E8" s="3"/>
      <c r="F8" s="3"/>
      <c r="G8" s="3"/>
      <c r="H8" s="3"/>
    </row>
    <row r="9" spans="1:8" x14ac:dyDescent="0.3">
      <c r="A9" s="254"/>
      <c r="B9" s="253"/>
      <c r="C9" s="253"/>
      <c r="D9" s="253"/>
      <c r="E9" s="253"/>
      <c r="F9" s="253"/>
      <c r="G9" s="253"/>
      <c r="H9" s="253"/>
    </row>
    <row r="10" spans="1:8" x14ac:dyDescent="0.3">
      <c r="A10" s="254"/>
      <c r="B10" s="253"/>
      <c r="C10" s="253"/>
      <c r="D10" s="253"/>
      <c r="E10" s="253"/>
      <c r="F10" s="253"/>
      <c r="G10" s="253"/>
      <c r="H10" s="253"/>
    </row>
    <row r="11" spans="1:8" x14ac:dyDescent="0.3">
      <c r="A11" s="252"/>
      <c r="B11" s="253"/>
      <c r="C11" s="253"/>
      <c r="D11" s="253"/>
      <c r="E11" s="253"/>
      <c r="F11" s="253"/>
      <c r="G11" s="253"/>
      <c r="H11" s="253"/>
    </row>
    <row r="12" spans="1:8" x14ac:dyDescent="0.3">
      <c r="A12" s="252"/>
      <c r="B12" s="253"/>
      <c r="C12" s="253"/>
      <c r="D12" s="253"/>
      <c r="E12" s="253"/>
      <c r="F12" s="253"/>
      <c r="G12" s="253"/>
      <c r="H12" s="253"/>
    </row>
    <row r="13" spans="1:8" x14ac:dyDescent="0.3">
      <c r="A13" s="4"/>
      <c r="B13" s="5"/>
      <c r="C13" s="5"/>
      <c r="D13" s="5"/>
      <c r="E13" s="5"/>
      <c r="F13" s="5"/>
      <c r="G13" s="5"/>
      <c r="H13" s="5"/>
    </row>
    <row r="14" spans="1:8" x14ac:dyDescent="0.3">
      <c r="A14" s="4"/>
      <c r="B14" s="5"/>
      <c r="C14" s="5"/>
      <c r="D14" s="5"/>
      <c r="E14" s="5"/>
      <c r="F14" s="5"/>
      <c r="G14" s="5"/>
      <c r="H14" s="5"/>
    </row>
    <row r="15" spans="1:8" x14ac:dyDescent="0.3">
      <c r="A15" s="4"/>
      <c r="B15" s="5"/>
      <c r="C15" s="5"/>
      <c r="D15" s="5"/>
      <c r="E15" s="5"/>
      <c r="F15" s="5"/>
      <c r="G15" s="5"/>
      <c r="H15" s="5"/>
    </row>
    <row r="16" spans="1:8" x14ac:dyDescent="0.3">
      <c r="A16" s="4"/>
      <c r="B16" s="5"/>
      <c r="C16" s="5"/>
      <c r="D16" s="5"/>
      <c r="E16" s="5"/>
      <c r="F16" s="5"/>
      <c r="G16" s="5"/>
      <c r="H16" s="5"/>
    </row>
    <row r="17" spans="1:8" x14ac:dyDescent="0.3">
      <c r="A17" s="4"/>
      <c r="B17" s="5"/>
      <c r="C17" s="5"/>
      <c r="D17" s="5"/>
      <c r="E17" s="5"/>
      <c r="F17" s="5"/>
      <c r="G17" s="5"/>
      <c r="H17" s="5"/>
    </row>
    <row r="18" spans="1:8" x14ac:dyDescent="0.3">
      <c r="A18" s="4"/>
      <c r="B18" s="5"/>
      <c r="C18" s="5"/>
      <c r="D18" s="5"/>
      <c r="E18" s="5"/>
      <c r="F18" s="5"/>
      <c r="G18" s="5"/>
      <c r="H18" s="5"/>
    </row>
    <row r="19" spans="1:8" x14ac:dyDescent="0.3">
      <c r="A19" s="252"/>
      <c r="B19" s="5"/>
      <c r="C19" s="5"/>
      <c r="D19" s="5"/>
      <c r="E19" s="5"/>
      <c r="F19" s="5"/>
      <c r="G19" s="5"/>
      <c r="H19" s="5"/>
    </row>
    <row r="20" spans="1:8" x14ac:dyDescent="0.3">
      <c r="A20" s="252"/>
      <c r="B20" s="5"/>
      <c r="C20" s="5"/>
      <c r="D20" s="5"/>
      <c r="E20" s="5"/>
      <c r="F20" s="5"/>
      <c r="G20" s="5"/>
      <c r="H20" s="5"/>
    </row>
    <row r="21" spans="1:8" x14ac:dyDescent="0.3">
      <c r="A21" s="4"/>
      <c r="B21" s="5"/>
      <c r="C21" s="5"/>
      <c r="D21" s="5"/>
      <c r="E21" s="5"/>
      <c r="F21" s="5"/>
      <c r="G21" s="5"/>
      <c r="H21" s="5"/>
    </row>
    <row r="22" spans="1:8" x14ac:dyDescent="0.3">
      <c r="A22" s="4"/>
      <c r="B22" s="5"/>
      <c r="C22" s="5"/>
      <c r="D22" s="5"/>
      <c r="E22" s="5"/>
      <c r="F22" s="5"/>
      <c r="G22" s="5"/>
      <c r="H22" s="5"/>
    </row>
    <row r="23" spans="1:8" x14ac:dyDescent="0.3">
      <c r="A23" s="4"/>
      <c r="B23" s="5"/>
      <c r="C23" s="5"/>
      <c r="D23" s="5"/>
      <c r="E23" s="5"/>
      <c r="F23" s="5"/>
      <c r="G23" s="5"/>
      <c r="H23" s="5"/>
    </row>
    <row r="24" spans="1:8" x14ac:dyDescent="0.3">
      <c r="A24" s="4"/>
      <c r="B24" s="5"/>
      <c r="C24" s="5"/>
      <c r="D24" s="5"/>
      <c r="E24" s="5"/>
      <c r="F24" s="5"/>
      <c r="G24" s="5"/>
      <c r="H24" s="5"/>
    </row>
    <row r="25" spans="1:8" x14ac:dyDescent="0.3">
      <c r="A25" s="4"/>
      <c r="B25" s="5"/>
      <c r="C25" s="5"/>
      <c r="D25" s="5"/>
      <c r="E25" s="5"/>
      <c r="F25" s="5"/>
      <c r="G25" s="5"/>
      <c r="H25" s="5"/>
    </row>
    <row r="26" spans="1:8" x14ac:dyDescent="0.3">
      <c r="A26" s="4"/>
      <c r="B26" s="5"/>
      <c r="C26" s="5"/>
      <c r="D26" s="5"/>
      <c r="E26" s="5"/>
      <c r="F26" s="5"/>
      <c r="G26" s="5"/>
      <c r="H26" s="5"/>
    </row>
    <row r="27" spans="1:8" x14ac:dyDescent="0.3">
      <c r="A27" s="4"/>
      <c r="B27" s="5"/>
      <c r="C27" s="5"/>
      <c r="D27" s="5"/>
      <c r="E27" s="5"/>
      <c r="F27" s="5"/>
      <c r="G27" s="5"/>
      <c r="H27" s="5"/>
    </row>
    <row r="28" spans="1:8" x14ac:dyDescent="0.3">
      <c r="A28" s="4"/>
      <c r="B28" s="5"/>
      <c r="C28" s="5"/>
      <c r="D28" s="5"/>
      <c r="E28" s="5"/>
      <c r="F28" s="5"/>
      <c r="G28" s="5"/>
      <c r="H28" s="5"/>
    </row>
    <row r="29" spans="1:8" x14ac:dyDescent="0.3">
      <c r="A29" s="4"/>
      <c r="B29" s="5"/>
      <c r="C29" s="5"/>
      <c r="D29" s="5"/>
      <c r="E29" s="5"/>
      <c r="F29" s="5"/>
      <c r="G29" s="5"/>
      <c r="H29" s="5"/>
    </row>
    <row r="30" spans="1:8" x14ac:dyDescent="0.3">
      <c r="A30" s="4"/>
      <c r="B30" s="5"/>
      <c r="C30" s="5"/>
      <c r="D30" s="5"/>
      <c r="E30" s="5"/>
      <c r="F30" s="5"/>
      <c r="G30" s="5"/>
      <c r="H30" s="5"/>
    </row>
    <row r="31" spans="1:8" x14ac:dyDescent="0.3">
      <c r="A31" s="4"/>
      <c r="B31" s="5"/>
      <c r="C31" s="5"/>
      <c r="D31" s="5"/>
      <c r="E31" s="5"/>
      <c r="F31" s="5"/>
      <c r="G31" s="5"/>
      <c r="H31" s="5"/>
    </row>
    <row r="32" spans="1:8" x14ac:dyDescent="0.3">
      <c r="A32" s="252"/>
      <c r="B32" s="253"/>
      <c r="C32" s="253"/>
      <c r="D32" s="253"/>
      <c r="E32" s="253"/>
      <c r="F32" s="253"/>
      <c r="G32" s="253"/>
      <c r="H32" s="253"/>
    </row>
    <row r="33" spans="1:8" x14ac:dyDescent="0.3">
      <c r="A33" s="252"/>
      <c r="B33" s="253"/>
      <c r="C33" s="253"/>
      <c r="D33" s="253"/>
      <c r="E33" s="253"/>
      <c r="F33" s="253"/>
      <c r="G33" s="253"/>
      <c r="H33" s="253"/>
    </row>
    <row r="34" spans="1:8" x14ac:dyDescent="0.3">
      <c r="A34" s="4"/>
      <c r="B34" s="5"/>
      <c r="C34" s="5"/>
      <c r="D34" s="5"/>
      <c r="E34" s="5"/>
      <c r="F34" s="5"/>
      <c r="G34" s="5"/>
      <c r="H34" s="5"/>
    </row>
    <row r="35" spans="1:8" x14ac:dyDescent="0.3">
      <c r="A35" s="4"/>
      <c r="B35" s="5"/>
      <c r="C35" s="5"/>
      <c r="D35" s="5"/>
      <c r="E35" s="5"/>
      <c r="F35" s="5"/>
      <c r="G35" s="5"/>
      <c r="H35" s="5"/>
    </row>
    <row r="36" spans="1:8" x14ac:dyDescent="0.3">
      <c r="A36" s="4"/>
      <c r="B36" s="5"/>
      <c r="C36" s="5"/>
      <c r="D36" s="5"/>
      <c r="E36" s="5"/>
      <c r="F36" s="5"/>
      <c r="G36" s="5"/>
      <c r="H36" s="5"/>
    </row>
    <row r="37" spans="1:8" x14ac:dyDescent="0.3">
      <c r="A37" s="4"/>
      <c r="B37" s="5"/>
      <c r="C37" s="5"/>
      <c r="D37" s="5"/>
      <c r="E37" s="5"/>
      <c r="F37" s="5"/>
      <c r="G37" s="5"/>
      <c r="H37" s="5"/>
    </row>
    <row r="38" spans="1:8" x14ac:dyDescent="0.3">
      <c r="A38" s="252"/>
      <c r="B38" s="253"/>
      <c r="C38" s="253"/>
      <c r="D38" s="253"/>
      <c r="E38" s="253"/>
      <c r="F38" s="253"/>
      <c r="G38" s="253"/>
      <c r="H38" s="253"/>
    </row>
    <row r="39" spans="1:8" x14ac:dyDescent="0.3">
      <c r="A39" s="252"/>
      <c r="B39" s="253"/>
      <c r="C39" s="253"/>
      <c r="D39" s="253"/>
      <c r="E39" s="253"/>
      <c r="F39" s="253"/>
      <c r="G39" s="253"/>
      <c r="H39" s="253"/>
    </row>
    <row r="40" spans="1:8" x14ac:dyDescent="0.3">
      <c r="A40" s="4"/>
      <c r="B40" s="5"/>
      <c r="C40" s="5"/>
      <c r="D40" s="5"/>
      <c r="E40" s="5"/>
      <c r="F40" s="5"/>
      <c r="G40" s="5"/>
      <c r="H40" s="5"/>
    </row>
    <row r="41" spans="1:8" x14ac:dyDescent="0.3">
      <c r="A41" s="4"/>
      <c r="B41" s="5"/>
      <c r="C41" s="5"/>
      <c r="D41" s="5"/>
      <c r="E41" s="5"/>
      <c r="F41" s="5"/>
      <c r="G41" s="5"/>
      <c r="H41" s="5"/>
    </row>
    <row r="42" spans="1:8" x14ac:dyDescent="0.3">
      <c r="A42" s="4"/>
      <c r="B42" s="5"/>
      <c r="C42" s="5"/>
      <c r="D42" s="5"/>
      <c r="E42" s="5"/>
      <c r="F42" s="5"/>
      <c r="G42" s="5"/>
      <c r="H42" s="5"/>
    </row>
    <row r="43" spans="1:8" x14ac:dyDescent="0.3">
      <c r="A43" s="4"/>
      <c r="B43" s="5"/>
      <c r="C43" s="5"/>
      <c r="D43" s="5"/>
      <c r="E43" s="5"/>
      <c r="F43" s="5"/>
      <c r="G43" s="5"/>
      <c r="H43" s="5"/>
    </row>
    <row r="44" spans="1:8" x14ac:dyDescent="0.3">
      <c r="A44" s="4"/>
      <c r="B44" s="5"/>
      <c r="C44" s="5"/>
      <c r="D44" s="5"/>
      <c r="E44" s="5"/>
      <c r="F44" s="5"/>
      <c r="G44" s="5"/>
      <c r="H44" s="5"/>
    </row>
    <row r="45" spans="1:8" x14ac:dyDescent="0.3">
      <c r="A45" s="252"/>
      <c r="B45" s="253"/>
      <c r="C45" s="253"/>
      <c r="D45" s="253"/>
      <c r="E45" s="253"/>
      <c r="F45" s="253"/>
      <c r="G45" s="253"/>
      <c r="H45" s="253"/>
    </row>
    <row r="46" spans="1:8" x14ac:dyDescent="0.3">
      <c r="A46" s="252"/>
      <c r="B46" s="253"/>
      <c r="C46" s="253"/>
      <c r="D46" s="253"/>
      <c r="E46" s="253"/>
      <c r="F46" s="253"/>
      <c r="G46" s="253"/>
      <c r="H46" s="253"/>
    </row>
    <row r="47" spans="1:8" x14ac:dyDescent="0.3">
      <c r="A47" s="4"/>
      <c r="B47" s="5"/>
      <c r="C47" s="5"/>
      <c r="D47" s="5"/>
      <c r="E47" s="5"/>
      <c r="F47" s="5"/>
      <c r="G47" s="5"/>
      <c r="H47" s="5"/>
    </row>
    <row r="48" spans="1:8" x14ac:dyDescent="0.3">
      <c r="A48" s="4"/>
      <c r="B48" s="5"/>
      <c r="C48" s="5"/>
      <c r="D48" s="5"/>
      <c r="E48" s="5"/>
      <c r="F48" s="5"/>
      <c r="G48" s="5"/>
      <c r="H48" s="5"/>
    </row>
    <row r="49" spans="1:8" x14ac:dyDescent="0.3">
      <c r="A49" s="4"/>
      <c r="B49" s="5"/>
      <c r="C49" s="5"/>
      <c r="D49" s="5"/>
      <c r="E49" s="5"/>
      <c r="F49" s="5"/>
      <c r="G49" s="5"/>
      <c r="H49" s="5"/>
    </row>
    <row r="50" spans="1:8" x14ac:dyDescent="0.3">
      <c r="A50" s="4"/>
      <c r="B50" s="5"/>
      <c r="C50" s="5"/>
      <c r="D50" s="5"/>
      <c r="E50" s="5"/>
      <c r="F50" s="5"/>
      <c r="G50" s="5"/>
      <c r="H50" s="5"/>
    </row>
    <row r="51" spans="1:8" x14ac:dyDescent="0.3">
      <c r="A51" s="4"/>
      <c r="B51" s="5"/>
      <c r="C51" s="5"/>
      <c r="D51" s="5"/>
      <c r="E51" s="5"/>
      <c r="F51" s="5"/>
      <c r="G51" s="5"/>
      <c r="H51" s="5"/>
    </row>
    <row r="52" spans="1:8" x14ac:dyDescent="0.3">
      <c r="A52" s="252"/>
      <c r="B52" s="253"/>
      <c r="C52" s="253"/>
      <c r="D52" s="253"/>
      <c r="E52" s="253"/>
      <c r="F52" s="253"/>
      <c r="G52" s="253"/>
      <c r="H52" s="253"/>
    </row>
    <row r="53" spans="1:8" x14ac:dyDescent="0.3">
      <c r="A53" s="252"/>
      <c r="B53" s="253"/>
      <c r="C53" s="253"/>
      <c r="D53" s="253"/>
      <c r="E53" s="253"/>
      <c r="F53" s="253"/>
      <c r="G53" s="253"/>
      <c r="H53" s="253"/>
    </row>
    <row r="54" spans="1:8" x14ac:dyDescent="0.3">
      <c r="A54" s="4"/>
      <c r="B54" s="5"/>
      <c r="C54" s="5"/>
      <c r="D54" s="5"/>
      <c r="E54" s="5"/>
      <c r="F54" s="5"/>
      <c r="G54" s="5"/>
      <c r="H54" s="5"/>
    </row>
    <row r="55" spans="1:8" x14ac:dyDescent="0.3">
      <c r="A55" s="4"/>
      <c r="B55" s="5"/>
      <c r="C55" s="5"/>
      <c r="D55" s="5"/>
      <c r="E55" s="5"/>
      <c r="F55" s="5"/>
      <c r="G55" s="5"/>
      <c r="H55" s="5"/>
    </row>
    <row r="56" spans="1:8" x14ac:dyDescent="0.3">
      <c r="A56" s="4"/>
      <c r="B56" s="5"/>
      <c r="C56" s="5"/>
      <c r="D56" s="5"/>
      <c r="E56" s="5"/>
      <c r="F56" s="5"/>
      <c r="G56" s="5"/>
      <c r="H56" s="5"/>
    </row>
    <row r="57" spans="1:8" x14ac:dyDescent="0.3">
      <c r="A57" s="4"/>
      <c r="B57" s="5"/>
      <c r="C57" s="5"/>
      <c r="D57" s="5"/>
      <c r="E57" s="5"/>
      <c r="F57" s="5"/>
      <c r="G57" s="5"/>
      <c r="H57" s="5"/>
    </row>
    <row r="58" spans="1:8" x14ac:dyDescent="0.3">
      <c r="A58" s="4"/>
      <c r="B58" s="5"/>
      <c r="C58" s="5"/>
      <c r="D58" s="5"/>
      <c r="E58" s="5"/>
      <c r="F58" s="5"/>
      <c r="G58" s="5"/>
      <c r="H58" s="5"/>
    </row>
    <row r="59" spans="1:8" x14ac:dyDescent="0.3">
      <c r="A59" s="255"/>
      <c r="B59" s="253"/>
      <c r="C59" s="253"/>
      <c r="D59" s="253"/>
      <c r="E59" s="253"/>
      <c r="F59" s="253"/>
      <c r="G59" s="253"/>
      <c r="H59" s="253"/>
    </row>
    <row r="60" spans="1:8" x14ac:dyDescent="0.3">
      <c r="A60" s="255"/>
      <c r="B60" s="253"/>
      <c r="C60" s="253"/>
      <c r="D60" s="253"/>
      <c r="E60" s="253"/>
      <c r="F60" s="253"/>
      <c r="G60" s="253"/>
      <c r="H60" s="253"/>
    </row>
    <row r="61" spans="1:8" x14ac:dyDescent="0.3">
      <c r="A61" s="4"/>
      <c r="B61" s="5"/>
      <c r="C61" s="5"/>
      <c r="D61" s="5"/>
      <c r="E61" s="5"/>
      <c r="F61" s="5"/>
      <c r="G61" s="5"/>
      <c r="H61" s="5"/>
    </row>
    <row r="62" spans="1:8" x14ac:dyDescent="0.3">
      <c r="A62" s="4"/>
      <c r="B62" s="5"/>
      <c r="C62" s="5"/>
      <c r="D62" s="5"/>
      <c r="E62" s="5"/>
      <c r="F62" s="5"/>
      <c r="G62" s="5"/>
      <c r="H62" s="5"/>
    </row>
    <row r="63" spans="1:8" x14ac:dyDescent="0.3">
      <c r="A63" s="4"/>
      <c r="B63" s="5"/>
      <c r="C63" s="5"/>
      <c r="D63" s="5"/>
      <c r="E63" s="5"/>
      <c r="F63" s="5"/>
      <c r="G63" s="5"/>
      <c r="H63" s="5"/>
    </row>
    <row r="64" spans="1:8" x14ac:dyDescent="0.3">
      <c r="A64" s="5"/>
      <c r="B64" s="5"/>
      <c r="C64" s="5"/>
      <c r="D64" s="5"/>
      <c r="E64" s="5"/>
      <c r="F64" s="5"/>
      <c r="G64" s="5"/>
      <c r="H64" s="5"/>
    </row>
    <row r="65" spans="1:8" x14ac:dyDescent="0.3">
      <c r="A65" s="252"/>
      <c r="B65" s="253"/>
      <c r="C65" s="253"/>
      <c r="D65" s="253"/>
      <c r="E65" s="253"/>
      <c r="F65" s="253"/>
      <c r="G65" s="253"/>
      <c r="H65" s="253"/>
    </row>
    <row r="66" spans="1:8" x14ac:dyDescent="0.3">
      <c r="A66" s="252"/>
      <c r="B66" s="253"/>
      <c r="C66" s="253"/>
      <c r="D66" s="253"/>
      <c r="E66" s="253"/>
      <c r="F66" s="253"/>
      <c r="G66" s="253"/>
      <c r="H66" s="253"/>
    </row>
    <row r="67" spans="1:8" x14ac:dyDescent="0.3">
      <c r="A67" s="4"/>
      <c r="B67" s="5"/>
      <c r="C67" s="5"/>
      <c r="D67" s="5"/>
      <c r="E67" s="5"/>
      <c r="F67" s="5"/>
      <c r="G67" s="5"/>
      <c r="H67" s="5"/>
    </row>
    <row r="68" spans="1:8" x14ac:dyDescent="0.3">
      <c r="A68" s="4"/>
      <c r="B68" s="5"/>
      <c r="C68" s="5"/>
      <c r="D68" s="5"/>
      <c r="E68" s="5"/>
      <c r="F68" s="5"/>
      <c r="G68" s="5"/>
      <c r="H68" s="5"/>
    </row>
    <row r="69" spans="1:8" x14ac:dyDescent="0.3">
      <c r="A69" s="4"/>
      <c r="B69" s="5"/>
      <c r="C69" s="5"/>
      <c r="D69" s="5"/>
      <c r="E69" s="5"/>
      <c r="F69" s="5"/>
      <c r="G69" s="5"/>
      <c r="H69" s="5"/>
    </row>
    <row r="70" spans="1:8" x14ac:dyDescent="0.3">
      <c r="A70" s="4"/>
      <c r="B70" s="5"/>
      <c r="C70" s="5"/>
      <c r="D70" s="5"/>
      <c r="E70" s="5"/>
      <c r="F70" s="5"/>
      <c r="G70" s="5"/>
      <c r="H70" s="5"/>
    </row>
    <row r="71" spans="1:8" x14ac:dyDescent="0.3">
      <c r="A71" s="4"/>
      <c r="B71" s="5"/>
      <c r="C71" s="5"/>
      <c r="D71" s="5"/>
      <c r="E71" s="5"/>
      <c r="F71" s="5"/>
      <c r="G71" s="5"/>
      <c r="H71" s="5"/>
    </row>
    <row r="72" spans="1:8" x14ac:dyDescent="0.3">
      <c r="A72" s="252"/>
      <c r="B72" s="253"/>
      <c r="C72" s="253"/>
      <c r="D72" s="253"/>
      <c r="E72" s="253"/>
      <c r="F72" s="253"/>
      <c r="G72" s="253"/>
      <c r="H72" s="253"/>
    </row>
    <row r="73" spans="1:8" x14ac:dyDescent="0.3">
      <c r="A73" s="252"/>
      <c r="B73" s="253"/>
      <c r="C73" s="253"/>
      <c r="D73" s="253"/>
      <c r="E73" s="253"/>
      <c r="F73" s="253"/>
      <c r="G73" s="253"/>
      <c r="H73" s="253"/>
    </row>
    <row r="74" spans="1:8" x14ac:dyDescent="0.3">
      <c r="A74" s="6"/>
      <c r="B74" s="5"/>
      <c r="C74" s="5"/>
      <c r="D74" s="5"/>
      <c r="E74" s="5"/>
      <c r="F74" s="5"/>
      <c r="G74" s="5"/>
      <c r="H74" s="5"/>
    </row>
    <row r="75" spans="1:8" x14ac:dyDescent="0.3">
      <c r="A75" s="4"/>
      <c r="B75" s="5"/>
      <c r="C75" s="5"/>
      <c r="D75" s="5"/>
      <c r="E75" s="5"/>
      <c r="F75" s="5"/>
      <c r="G75" s="5"/>
      <c r="H75" s="5"/>
    </row>
    <row r="76" spans="1:8" x14ac:dyDescent="0.3">
      <c r="A76" s="4"/>
      <c r="B76" s="5"/>
      <c r="C76" s="5"/>
      <c r="D76" s="5"/>
      <c r="E76" s="5"/>
      <c r="F76" s="5"/>
      <c r="G76" s="5"/>
      <c r="H76" s="5"/>
    </row>
    <row r="77" spans="1:8" x14ac:dyDescent="0.3">
      <c r="A77" s="4"/>
      <c r="B77" s="5"/>
      <c r="C77" s="5"/>
      <c r="D77" s="5"/>
      <c r="E77" s="5"/>
      <c r="F77" s="5"/>
      <c r="G77" s="5"/>
      <c r="H77" s="5"/>
    </row>
    <row r="78" spans="1:8" x14ac:dyDescent="0.3">
      <c r="A78" s="4"/>
      <c r="B78" s="5"/>
      <c r="C78" s="5"/>
      <c r="D78" s="5"/>
      <c r="E78" s="5"/>
      <c r="F78" s="5"/>
      <c r="G78" s="5"/>
      <c r="H78" s="5"/>
    </row>
    <row r="79" spans="1:8" x14ac:dyDescent="0.3">
      <c r="A79" s="4"/>
      <c r="B79" s="5"/>
      <c r="C79" s="5"/>
      <c r="D79" s="5"/>
      <c r="E79" s="5"/>
      <c r="F79" s="5"/>
      <c r="G79" s="5"/>
      <c r="H79" s="5"/>
    </row>
    <row r="80" spans="1:8" x14ac:dyDescent="0.3">
      <c r="A80" s="4"/>
      <c r="B80" s="5"/>
      <c r="C80" s="5"/>
      <c r="D80" s="5"/>
      <c r="E80" s="5"/>
      <c r="F80" s="5"/>
      <c r="G80" s="5"/>
      <c r="H80" s="5"/>
    </row>
    <row r="81" spans="1:8" x14ac:dyDescent="0.3">
      <c r="A81" s="4"/>
      <c r="B81" s="5"/>
      <c r="C81" s="5"/>
      <c r="D81" s="5"/>
      <c r="E81" s="5"/>
      <c r="F81" s="5"/>
      <c r="G81" s="5"/>
      <c r="H81" s="5"/>
    </row>
    <row r="82" spans="1:8" x14ac:dyDescent="0.3">
      <c r="A82" s="252"/>
      <c r="B82" s="253"/>
      <c r="C82" s="253"/>
      <c r="D82" s="253"/>
      <c r="E82" s="253"/>
      <c r="F82" s="253"/>
      <c r="G82" s="253"/>
      <c r="H82" s="253"/>
    </row>
    <row r="83" spans="1:8" x14ac:dyDescent="0.3">
      <c r="A83" s="252"/>
      <c r="B83" s="253"/>
      <c r="C83" s="253"/>
      <c r="D83" s="253"/>
      <c r="E83" s="253"/>
      <c r="F83" s="253"/>
      <c r="G83" s="253"/>
      <c r="H83" s="253"/>
    </row>
    <row r="84" spans="1:8" x14ac:dyDescent="0.3">
      <c r="A84" s="4"/>
      <c r="B84" s="5"/>
      <c r="C84" s="5"/>
      <c r="D84" s="5"/>
      <c r="E84" s="5"/>
      <c r="F84" s="5"/>
      <c r="G84" s="5"/>
      <c r="H84" s="5"/>
    </row>
    <row r="85" spans="1:8" x14ac:dyDescent="0.3">
      <c r="A85" s="4"/>
      <c r="B85" s="5"/>
      <c r="C85" s="5"/>
      <c r="D85" s="5"/>
      <c r="E85" s="5"/>
      <c r="F85" s="5"/>
      <c r="G85" s="5"/>
      <c r="H85" s="5"/>
    </row>
    <row r="86" spans="1:8" x14ac:dyDescent="0.3">
      <c r="A86" s="4"/>
      <c r="B86" s="5"/>
      <c r="C86" s="5"/>
      <c r="D86" s="5"/>
      <c r="E86" s="5"/>
      <c r="F86" s="5"/>
      <c r="G86" s="5"/>
      <c r="H86" s="5"/>
    </row>
    <row r="87" spans="1:8" x14ac:dyDescent="0.3">
      <c r="A87" s="4"/>
      <c r="B87" s="5"/>
      <c r="C87" s="5"/>
      <c r="D87" s="5"/>
      <c r="E87" s="5"/>
      <c r="F87" s="5"/>
      <c r="G87" s="5"/>
      <c r="H87" s="5"/>
    </row>
    <row r="88" spans="1:8" x14ac:dyDescent="0.3">
      <c r="A88" s="4"/>
      <c r="B88" s="5"/>
      <c r="C88" s="5"/>
      <c r="D88" s="5"/>
      <c r="E88" s="5"/>
      <c r="F88" s="5"/>
      <c r="G88" s="5"/>
      <c r="H88" s="5"/>
    </row>
    <row r="89" spans="1:8" x14ac:dyDescent="0.3">
      <c r="A89" s="252"/>
      <c r="B89" s="253"/>
      <c r="C89" s="253"/>
      <c r="D89" s="253"/>
      <c r="E89" s="253"/>
      <c r="F89" s="253"/>
      <c r="G89" s="253"/>
      <c r="H89" s="253"/>
    </row>
    <row r="90" spans="1:8" x14ac:dyDescent="0.3">
      <c r="A90" s="252"/>
      <c r="B90" s="253"/>
      <c r="C90" s="253"/>
      <c r="D90" s="253"/>
      <c r="E90" s="253"/>
      <c r="F90" s="253"/>
      <c r="G90" s="253"/>
      <c r="H90" s="253"/>
    </row>
    <row r="91" spans="1:8" x14ac:dyDescent="0.3">
      <c r="A91" s="4"/>
      <c r="B91" s="5"/>
      <c r="C91" s="5"/>
      <c r="D91" s="5"/>
      <c r="E91" s="5"/>
      <c r="F91" s="5"/>
      <c r="G91" s="5"/>
      <c r="H91" s="5"/>
    </row>
    <row r="92" spans="1:8" x14ac:dyDescent="0.3">
      <c r="A92" s="4"/>
      <c r="B92" s="5"/>
      <c r="C92" s="5"/>
      <c r="D92" s="5"/>
      <c r="E92" s="5"/>
      <c r="F92" s="5"/>
      <c r="G92" s="5"/>
      <c r="H92" s="5"/>
    </row>
    <row r="93" spans="1:8" x14ac:dyDescent="0.3">
      <c r="A93" s="4"/>
      <c r="B93" s="5"/>
      <c r="C93" s="5"/>
      <c r="D93" s="5"/>
      <c r="E93" s="5"/>
      <c r="F93" s="5"/>
      <c r="G93" s="5"/>
      <c r="H93" s="5"/>
    </row>
    <row r="94" spans="1:8" x14ac:dyDescent="0.3">
      <c r="A94" s="4"/>
      <c r="B94" s="5"/>
      <c r="C94" s="5"/>
      <c r="D94" s="5"/>
      <c r="E94" s="5"/>
      <c r="F94" s="5"/>
      <c r="G94" s="5"/>
      <c r="H94" s="5"/>
    </row>
    <row r="95" spans="1:8" x14ac:dyDescent="0.3">
      <c r="A95" s="4"/>
      <c r="B95" s="5"/>
      <c r="C95" s="5"/>
      <c r="D95" s="5"/>
      <c r="E95" s="5"/>
      <c r="F95" s="5"/>
      <c r="G95" s="5"/>
      <c r="H95" s="5"/>
    </row>
    <row r="96" spans="1:8" x14ac:dyDescent="0.3">
      <c r="A96" s="4"/>
      <c r="B96" s="5"/>
      <c r="C96" s="5"/>
      <c r="D96" s="5"/>
      <c r="E96" s="5"/>
      <c r="F96" s="5"/>
      <c r="G96" s="5"/>
      <c r="H96" s="5"/>
    </row>
    <row r="97" spans="1:8" x14ac:dyDescent="0.3">
      <c r="A97" s="4"/>
      <c r="B97" s="5"/>
      <c r="C97" s="5"/>
      <c r="D97" s="5"/>
      <c r="E97" s="5"/>
      <c r="F97" s="5"/>
      <c r="G97" s="5"/>
      <c r="H97" s="5"/>
    </row>
    <row r="98" spans="1:8" x14ac:dyDescent="0.3">
      <c r="A98" s="4"/>
      <c r="B98" s="5"/>
      <c r="C98" s="5"/>
      <c r="D98" s="5"/>
      <c r="E98" s="5"/>
      <c r="F98" s="5"/>
      <c r="G98" s="5"/>
      <c r="H98" s="5"/>
    </row>
    <row r="99" spans="1:8" x14ac:dyDescent="0.3">
      <c r="A99" s="4"/>
      <c r="B99" s="5"/>
      <c r="C99" s="5"/>
      <c r="D99" s="5"/>
      <c r="E99" s="5"/>
      <c r="F99" s="5"/>
      <c r="G99" s="5"/>
      <c r="H99" s="5"/>
    </row>
    <row r="100" spans="1:8" x14ac:dyDescent="0.3">
      <c r="A100" s="4"/>
      <c r="B100" s="5"/>
      <c r="C100" s="5"/>
      <c r="D100" s="5"/>
      <c r="E100" s="5"/>
      <c r="F100" s="5"/>
      <c r="G100" s="5"/>
      <c r="H100" s="5"/>
    </row>
    <row r="101" spans="1:8" x14ac:dyDescent="0.3">
      <c r="A101" s="4"/>
      <c r="B101" s="5"/>
      <c r="C101" s="5"/>
      <c r="D101" s="5"/>
      <c r="E101" s="5"/>
      <c r="F101" s="5"/>
      <c r="G101" s="5"/>
      <c r="H101" s="5"/>
    </row>
    <row r="102" spans="1:8" x14ac:dyDescent="0.3">
      <c r="A102" s="4"/>
      <c r="B102" s="5"/>
      <c r="C102" s="5"/>
      <c r="D102" s="5"/>
      <c r="E102" s="5"/>
      <c r="F102" s="5"/>
      <c r="G102" s="5"/>
      <c r="H102" s="5"/>
    </row>
    <row r="103" spans="1:8" x14ac:dyDescent="0.3">
      <c r="A103" s="4"/>
      <c r="B103" s="5"/>
      <c r="C103" s="5"/>
      <c r="D103" s="5"/>
      <c r="E103" s="5"/>
      <c r="F103" s="5"/>
      <c r="G103" s="5"/>
      <c r="H103" s="5"/>
    </row>
    <row r="104" spans="1:8" x14ac:dyDescent="0.3">
      <c r="A104" s="252"/>
      <c r="B104" s="253"/>
      <c r="C104" s="253"/>
      <c r="D104" s="253"/>
      <c r="E104" s="253"/>
      <c r="F104" s="253"/>
      <c r="G104" s="253"/>
      <c r="H104" s="253"/>
    </row>
    <row r="105" spans="1:8" x14ac:dyDescent="0.3">
      <c r="A105" s="252"/>
      <c r="B105" s="253"/>
      <c r="C105" s="253"/>
      <c r="D105" s="253"/>
      <c r="E105" s="253"/>
      <c r="F105" s="253"/>
      <c r="G105" s="253"/>
      <c r="H105" s="253"/>
    </row>
    <row r="106" spans="1:8" x14ac:dyDescent="0.3">
      <c r="A106" s="4"/>
      <c r="B106" s="5"/>
      <c r="C106" s="5"/>
      <c r="D106" s="5"/>
      <c r="E106" s="5"/>
      <c r="F106" s="5"/>
      <c r="G106" s="5"/>
      <c r="H106" s="5"/>
    </row>
    <row r="107" spans="1:8" x14ac:dyDescent="0.3">
      <c r="A107" s="4"/>
      <c r="B107" s="5"/>
      <c r="C107" s="5"/>
      <c r="D107" s="5"/>
      <c r="E107" s="5"/>
      <c r="F107" s="5"/>
      <c r="G107" s="5"/>
      <c r="H107" s="5"/>
    </row>
    <row r="108" spans="1:8" x14ac:dyDescent="0.3">
      <c r="A108" s="4"/>
      <c r="B108" s="5"/>
      <c r="C108" s="5"/>
      <c r="D108" s="5"/>
      <c r="E108" s="5"/>
      <c r="F108" s="5"/>
      <c r="G108" s="5"/>
      <c r="H108" s="5"/>
    </row>
    <row r="109" spans="1:8" x14ac:dyDescent="0.3">
      <c r="A109" s="4"/>
      <c r="B109" s="5"/>
      <c r="C109" s="5"/>
      <c r="D109" s="5"/>
      <c r="E109" s="5"/>
      <c r="F109" s="5"/>
      <c r="G109" s="5"/>
      <c r="H109" s="5"/>
    </row>
    <row r="110" spans="1:8" x14ac:dyDescent="0.3">
      <c r="A110" s="7"/>
      <c r="B110" s="5"/>
      <c r="C110" s="5"/>
      <c r="D110" s="5"/>
      <c r="E110" s="5"/>
      <c r="F110" s="5"/>
      <c r="G110" s="5"/>
      <c r="H110" s="5"/>
    </row>
  </sheetData>
  <mergeCells count="106">
    <mergeCell ref="G104:G105"/>
    <mergeCell ref="H104:H105"/>
    <mergeCell ref="A104:A105"/>
    <mergeCell ref="B104:B105"/>
    <mergeCell ref="C104:C105"/>
    <mergeCell ref="D104:D105"/>
    <mergeCell ref="E104:E105"/>
    <mergeCell ref="F104:F105"/>
    <mergeCell ref="G82:G83"/>
    <mergeCell ref="H82:H83"/>
    <mergeCell ref="A89:A90"/>
    <mergeCell ref="B89:B90"/>
    <mergeCell ref="C89:C90"/>
    <mergeCell ref="D89:D90"/>
    <mergeCell ref="E89:E90"/>
    <mergeCell ref="F89:F90"/>
    <mergeCell ref="G89:G90"/>
    <mergeCell ref="H89:H90"/>
    <mergeCell ref="A82:A83"/>
    <mergeCell ref="B82:B83"/>
    <mergeCell ref="C82:C83"/>
    <mergeCell ref="D82:D83"/>
    <mergeCell ref="E82:E83"/>
    <mergeCell ref="F82:F83"/>
    <mergeCell ref="G65:G66"/>
    <mergeCell ref="H65:H66"/>
    <mergeCell ref="A72:A73"/>
    <mergeCell ref="B72:B73"/>
    <mergeCell ref="C72:C73"/>
    <mergeCell ref="D72:D73"/>
    <mergeCell ref="E72:E73"/>
    <mergeCell ref="F72:F73"/>
    <mergeCell ref="G72:G73"/>
    <mergeCell ref="H72:H73"/>
    <mergeCell ref="A65:A66"/>
    <mergeCell ref="B65:B66"/>
    <mergeCell ref="C65:C66"/>
    <mergeCell ref="D65:D66"/>
    <mergeCell ref="E65:E66"/>
    <mergeCell ref="F65:F66"/>
    <mergeCell ref="A59:A60"/>
    <mergeCell ref="B59:B60"/>
    <mergeCell ref="C59:C60"/>
    <mergeCell ref="D59:D60"/>
    <mergeCell ref="E59:E60"/>
    <mergeCell ref="F59:F60"/>
    <mergeCell ref="G59:G60"/>
    <mergeCell ref="H59:H60"/>
    <mergeCell ref="A52:A53"/>
    <mergeCell ref="B52:B53"/>
    <mergeCell ref="C52:C53"/>
    <mergeCell ref="D52:D53"/>
    <mergeCell ref="E52:E53"/>
    <mergeCell ref="F52:F53"/>
    <mergeCell ref="A45:A46"/>
    <mergeCell ref="B45:B46"/>
    <mergeCell ref="C45:C46"/>
    <mergeCell ref="D45:D46"/>
    <mergeCell ref="E45:E46"/>
    <mergeCell ref="F45:F46"/>
    <mergeCell ref="G45:G46"/>
    <mergeCell ref="H45:H46"/>
    <mergeCell ref="G52:G53"/>
    <mergeCell ref="H52:H53"/>
    <mergeCell ref="H32:H33"/>
    <mergeCell ref="A38:A39"/>
    <mergeCell ref="B38:B39"/>
    <mergeCell ref="C38:C39"/>
    <mergeCell ref="D38:D39"/>
    <mergeCell ref="E38:E39"/>
    <mergeCell ref="F38:F39"/>
    <mergeCell ref="G38:G39"/>
    <mergeCell ref="H38:H39"/>
    <mergeCell ref="A19:A20"/>
    <mergeCell ref="A32:A33"/>
    <mergeCell ref="B32:B33"/>
    <mergeCell ref="C32:C33"/>
    <mergeCell ref="D32:D33"/>
    <mergeCell ref="E32:E33"/>
    <mergeCell ref="G9:G10"/>
    <mergeCell ref="H9:H10"/>
    <mergeCell ref="A11:A12"/>
    <mergeCell ref="B11:B12"/>
    <mergeCell ref="C11:C12"/>
    <mergeCell ref="D11:D12"/>
    <mergeCell ref="E11:E12"/>
    <mergeCell ref="F11:F12"/>
    <mergeCell ref="G11:G12"/>
    <mergeCell ref="H11:H12"/>
    <mergeCell ref="A9:A10"/>
    <mergeCell ref="B9:B10"/>
    <mergeCell ref="C9:C10"/>
    <mergeCell ref="D9:D10"/>
    <mergeCell ref="E9:E10"/>
    <mergeCell ref="F9:F10"/>
    <mergeCell ref="F32:F33"/>
    <mergeCell ref="G32:G33"/>
    <mergeCell ref="A1:H1"/>
    <mergeCell ref="A2:H3"/>
    <mergeCell ref="A4:F4"/>
    <mergeCell ref="A5:A8"/>
    <mergeCell ref="B5:B8"/>
    <mergeCell ref="C5:F6"/>
    <mergeCell ref="G5:H7"/>
    <mergeCell ref="C7:D7"/>
    <mergeCell ref="E7:F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.0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4</vt:i4>
      </vt:variant>
    </vt:vector>
  </HeadingPairs>
  <TitlesOfParts>
    <vt:vector size="4" baseType="lpstr">
      <vt:lpstr>ListOfValues</vt:lpstr>
      <vt:lpstr>ΠΙΝΑΚΑΣ 2(β)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2015-04-30T09:20:35Z</cp:lastPrinted>
  <dcterms:created xsi:type="dcterms:W3CDTF">2015-04-28T10:32:32Z</dcterms:created>
  <dcterms:modified xsi:type="dcterms:W3CDTF">2021-06-04T07:36:13Z</dcterms:modified>
</cp:coreProperties>
</file>