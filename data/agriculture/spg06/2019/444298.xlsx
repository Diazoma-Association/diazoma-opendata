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9521C14E-7B3E-4A66-ACE3-4DE1CA1DB3FF}" xr6:coauthVersionLast="47" xr6:coauthVersionMax="47" xr10:uidLastSave="{00000000-0000-0000-0000-000000000000}"/>
  <bookViews>
    <workbookView xWindow="-113" yWindow="-113" windowWidth="24267" windowHeight="13311" firstSheet="1" activeTab="1" xr2:uid="{00000000-000D-0000-FFFF-FFFF00000000}"/>
  </bookViews>
  <sheets>
    <sheet name="ListOfValues" sheetId="1" state="hidden" r:id="rId1"/>
    <sheet name="Πίνακας2(δ)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  <c r="B14" i="2"/>
  <c r="B15" i="2"/>
  <c r="B16" i="2"/>
  <c r="B17" i="2"/>
  <c r="B18" i="2"/>
  <c r="B21" i="2"/>
  <c r="B22" i="2"/>
  <c r="B23" i="2"/>
  <c r="B24" i="2"/>
  <c r="B25" i="2"/>
  <c r="B26" i="2"/>
  <c r="B27" i="2"/>
  <c r="B29" i="2"/>
  <c r="B30" i="2"/>
  <c r="B31" i="2"/>
  <c r="B32" i="2"/>
  <c r="B35" i="2"/>
  <c r="B36" i="2"/>
  <c r="B37" i="2"/>
  <c r="B38" i="2"/>
  <c r="R65" i="2"/>
  <c r="AB65" i="2"/>
  <c r="AC65" i="2"/>
  <c r="J65" i="2"/>
  <c r="K65" i="2"/>
  <c r="L65" i="2"/>
  <c r="M65" i="2"/>
  <c r="N65" i="2"/>
  <c r="O65" i="2"/>
  <c r="P65" i="2"/>
  <c r="Q65" i="2"/>
  <c r="S65" i="2"/>
  <c r="T65" i="2"/>
  <c r="U65" i="2"/>
  <c r="V65" i="2"/>
  <c r="W65" i="2"/>
  <c r="X65" i="2"/>
  <c r="Y65" i="2"/>
  <c r="Z65" i="2"/>
  <c r="AA65" i="2"/>
  <c r="D65" i="2"/>
  <c r="E65" i="2"/>
  <c r="F65" i="2"/>
  <c r="G65" i="2"/>
  <c r="H65" i="2"/>
  <c r="I65" i="2"/>
  <c r="C65" i="2"/>
  <c r="O11" i="2" l="1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D33" i="2"/>
  <c r="E33" i="2"/>
  <c r="C33" i="2"/>
  <c r="C46" i="2"/>
  <c r="B44" i="2"/>
  <c r="B45" i="2"/>
  <c r="B43" i="2"/>
  <c r="B42" i="2"/>
  <c r="E28" i="2"/>
  <c r="D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C2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C19" i="2"/>
  <c r="B55" i="2"/>
  <c r="B58" i="2"/>
  <c r="B67" i="2"/>
  <c r="B50" i="2"/>
  <c r="B109" i="2"/>
  <c r="B108" i="2"/>
  <c r="B107" i="2"/>
  <c r="B106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88" i="2"/>
  <c r="B87" i="2"/>
  <c r="B86" i="2"/>
  <c r="B85" i="2"/>
  <c r="B84" i="2"/>
  <c r="B81" i="2"/>
  <c r="B80" i="2"/>
  <c r="B79" i="2"/>
  <c r="B78" i="2"/>
  <c r="B77" i="2"/>
  <c r="B76" i="2"/>
  <c r="B75" i="2"/>
  <c r="B74" i="2"/>
  <c r="B71" i="2"/>
  <c r="B70" i="2"/>
  <c r="B69" i="2"/>
  <c r="B68" i="2"/>
  <c r="B64" i="2"/>
  <c r="B63" i="2"/>
  <c r="B62" i="2"/>
  <c r="B59" i="2"/>
  <c r="B57" i="2"/>
  <c r="B56" i="2"/>
  <c r="B52" i="2"/>
  <c r="B51" i="2"/>
  <c r="B49" i="2"/>
  <c r="B48" i="2"/>
  <c r="B41" i="2"/>
  <c r="I104" i="2"/>
  <c r="J104" i="2"/>
  <c r="I89" i="2"/>
  <c r="J89" i="2"/>
  <c r="I82" i="2"/>
  <c r="J82" i="2"/>
  <c r="I72" i="2"/>
  <c r="J72" i="2"/>
  <c r="I60" i="2"/>
  <c r="J60" i="2"/>
  <c r="I46" i="2"/>
  <c r="J46" i="2"/>
  <c r="I39" i="2"/>
  <c r="J39" i="2"/>
  <c r="I11" i="2"/>
  <c r="J11" i="2"/>
  <c r="X104" i="2"/>
  <c r="Y104" i="2"/>
  <c r="Z104" i="2"/>
  <c r="AA104" i="2"/>
  <c r="AB104" i="2"/>
  <c r="AC104" i="2"/>
  <c r="X89" i="2"/>
  <c r="Y89" i="2"/>
  <c r="Z89" i="2"/>
  <c r="AA89" i="2"/>
  <c r="AB89" i="2"/>
  <c r="AC89" i="2"/>
  <c r="X82" i="2"/>
  <c r="Y82" i="2"/>
  <c r="Z82" i="2"/>
  <c r="AA82" i="2"/>
  <c r="AB82" i="2"/>
  <c r="AC82" i="2"/>
  <c r="X72" i="2"/>
  <c r="Y72" i="2"/>
  <c r="Z72" i="2"/>
  <c r="AA72" i="2"/>
  <c r="AB72" i="2"/>
  <c r="AC72" i="2"/>
  <c r="X60" i="2"/>
  <c r="Y60" i="2"/>
  <c r="Z60" i="2"/>
  <c r="AA60" i="2"/>
  <c r="AB60" i="2"/>
  <c r="AC60" i="2"/>
  <c r="X46" i="2"/>
  <c r="Y46" i="2"/>
  <c r="Z46" i="2"/>
  <c r="AA46" i="2"/>
  <c r="AB46" i="2"/>
  <c r="AC46" i="2"/>
  <c r="X39" i="2"/>
  <c r="Y39" i="2"/>
  <c r="Z39" i="2"/>
  <c r="AA39" i="2"/>
  <c r="AB39" i="2"/>
  <c r="AC39" i="2"/>
  <c r="Y11" i="2"/>
  <c r="Z11" i="2"/>
  <c r="AA11" i="2"/>
  <c r="AB11" i="2"/>
  <c r="AC11" i="2"/>
  <c r="D11" i="2"/>
  <c r="E11" i="2"/>
  <c r="F11" i="2"/>
  <c r="G11" i="2"/>
  <c r="H11" i="2"/>
  <c r="K11" i="2"/>
  <c r="L11" i="2"/>
  <c r="M11" i="2"/>
  <c r="N11" i="2"/>
  <c r="P11" i="2"/>
  <c r="Q11" i="2"/>
  <c r="R11" i="2"/>
  <c r="S11" i="2"/>
  <c r="T11" i="2"/>
  <c r="U11" i="2"/>
  <c r="V11" i="2"/>
  <c r="W11" i="2"/>
  <c r="X11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H104" i="2"/>
  <c r="G104" i="2"/>
  <c r="F104" i="2"/>
  <c r="E104" i="2"/>
  <c r="D104" i="2"/>
  <c r="C104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H89" i="2"/>
  <c r="G89" i="2"/>
  <c r="F89" i="2"/>
  <c r="E89" i="2"/>
  <c r="D89" i="2"/>
  <c r="C89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H82" i="2"/>
  <c r="G82" i="2"/>
  <c r="F82" i="2"/>
  <c r="E82" i="2"/>
  <c r="D82" i="2"/>
  <c r="C8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H72" i="2"/>
  <c r="G72" i="2"/>
  <c r="F72" i="2"/>
  <c r="E72" i="2"/>
  <c r="D72" i="2"/>
  <c r="C72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H60" i="2"/>
  <c r="G60" i="2"/>
  <c r="F60" i="2"/>
  <c r="E60" i="2"/>
  <c r="D60" i="2"/>
  <c r="C60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H46" i="2"/>
  <c r="G46" i="2"/>
  <c r="F46" i="2"/>
  <c r="E46" i="2"/>
  <c r="D46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H39" i="2"/>
  <c r="G39" i="2"/>
  <c r="F39" i="2"/>
  <c r="E39" i="2"/>
  <c r="D39" i="2"/>
  <c r="C39" i="2"/>
  <c r="C11" i="2"/>
  <c r="I9" i="2" l="1"/>
  <c r="Q9" i="2"/>
  <c r="B33" i="2"/>
  <c r="F9" i="2"/>
  <c r="B19" i="2"/>
  <c r="B89" i="2"/>
  <c r="B60" i="2"/>
  <c r="J9" i="2"/>
  <c r="B28" i="2"/>
  <c r="B104" i="2"/>
  <c r="B82" i="2"/>
  <c r="B72" i="2"/>
  <c r="B65" i="2"/>
  <c r="B53" i="2"/>
  <c r="B46" i="2"/>
  <c r="C9" i="2"/>
  <c r="B11" i="2"/>
  <c r="B39" i="2"/>
  <c r="AC9" i="2"/>
  <c r="X9" i="2"/>
  <c r="V9" i="2"/>
  <c r="T9" i="2"/>
  <c r="R9" i="2"/>
  <c r="P9" i="2"/>
  <c r="N9" i="2"/>
  <c r="L9" i="2"/>
  <c r="H9" i="2"/>
  <c r="D9" i="2"/>
  <c r="AB9" i="2"/>
  <c r="Z9" i="2"/>
  <c r="W9" i="2"/>
  <c r="U9" i="2"/>
  <c r="S9" i="2"/>
  <c r="O9" i="2"/>
  <c r="M9" i="2"/>
  <c r="K9" i="2"/>
  <c r="G9" i="2"/>
  <c r="E9" i="2"/>
  <c r="AA9" i="2"/>
  <c r="Y9" i="2"/>
  <c r="B9" i="2" l="1"/>
</calcChain>
</file>

<file path=xl/sharedStrings.xml><?xml version="1.0" encoding="utf-8"?>
<sst xmlns="http://schemas.openxmlformats.org/spreadsheetml/2006/main" count="1758" uniqueCount="380">
  <si>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</si>
  <si>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</si>
  <si>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</si>
  <si>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</si>
  <si>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</si>
  <si>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</si>
  <si>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</si>
  <si>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</si>
  <si>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</si>
  <si>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</si>
  <si>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</si>
  <si>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</si>
  <si>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</si>
  <si>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</si>
  <si>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</si>
  <si>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</si>
  <si>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</si>
  <si>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</si>
  <si>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</si>
  <si>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</si>
  <si>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</si>
  <si>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</si>
  <si>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</si>
  <si>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</si>
  <si>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</si>
  <si>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</si>
  <si>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</si>
  <si>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</si>
  <si>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</si>
  <si>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</si>
  <si>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</si>
  <si>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</si>
  <si>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</si>
  <si>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</si>
  <si>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</si>
  <si>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</si>
  <si>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</si>
  <si>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</si>
  <si>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</si>
  <si>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</si>
  <si>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</si>
  <si>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</si>
  <si>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</si>
  <si>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</si>
  <si>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</si>
  <si>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</si>
  <si>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</si>
  <si>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</si>
  <si>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</si>
  <si>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</si>
  <si>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</si>
  <si>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</si>
  <si>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</si>
  <si>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</si>
  <si>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</si>
  <si>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</si>
  <si>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</si>
  <si>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</si>
  <si>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</si>
  <si>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</si>
  <si>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</si>
  <si>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</si>
  <si>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</si>
  <si>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</si>
  <si>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</si>
  <si>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</si>
  <si>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</si>
  <si>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</si>
  <si>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</si>
  <si>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</si>
  <si>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</si>
  <si>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</si>
  <si>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</si>
  <si>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</si>
  <si>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</si>
  <si>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</si>
  <si>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</si>
  <si>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</si>
  <si>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</si>
  <si>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</si>
  <si>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</si>
  <si>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</si>
  <si>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</si>
  <si>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</si>
  <si>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</si>
  <si>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</si>
  <si>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</si>
  <si>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</si>
  <si>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</si>
  <si>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</si>
  <si>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</si>
  <si>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</si>
  <si>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</si>
  <si>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</si>
  <si>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</si>
  <si>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</si>
  <si>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</si>
  <si>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</si>
  <si>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</si>
  <si>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</si>
  <si>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</si>
  <si>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</si>
  <si>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</si>
  <si>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</si>
  <si>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</si>
  <si>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</si>
  <si>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</si>
  <si>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</si>
  <si>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</si>
  <si>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</si>
  <si>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</si>
  <si>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</si>
  <si>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</si>
  <si>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</si>
  <si>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</si>
  <si>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</si>
  <si>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</si>
  <si>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</si>
  <si>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</si>
  <si>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</si>
  <si>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</si>
  <si>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</si>
  <si>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</si>
  <si>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</si>
  <si>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</si>
  <si>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</si>
  <si>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</si>
  <si>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</si>
  <si>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</si>
  <si>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</si>
  <si>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</si>
  <si>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</si>
  <si>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</si>
  <si>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</si>
  <si>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</si>
  <si>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</si>
  <si>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</si>
  <si>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</si>
  <si>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</si>
  <si>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</si>
  <si>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</si>
  <si>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</si>
  <si>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</si>
  <si>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</si>
  <si>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</si>
  <si>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</si>
  <si>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</si>
  <si>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</si>
  <si>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</si>
  <si>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</si>
  <si>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</si>
  <si>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</si>
  <si>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</si>
  <si>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</si>
  <si>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</si>
  <si>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</si>
  <si>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</si>
  <si>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</si>
  <si>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</si>
  <si>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</si>
  <si>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</si>
  <si>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</si>
  <si>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</si>
  <si>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</si>
  <si>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</si>
  <si>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</si>
  <si>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</si>
  <si>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</si>
  <si>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</si>
  <si>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</si>
  <si>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</si>
  <si>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</si>
  <si>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</si>
  <si>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</si>
  <si>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</si>
  <si>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</si>
  <si>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</si>
  <si>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</si>
  <si>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</si>
  <si>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</si>
  <si>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</si>
  <si>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</si>
  <si>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</si>
  <si>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</si>
  <si>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</si>
  <si>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</si>
  <si>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</si>
  <si>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</si>
  <si>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</si>
  <si>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</si>
  <si>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</si>
  <si>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</si>
  <si>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</si>
  <si>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</si>
  <si>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</si>
  <si>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</si>
  <si>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</si>
  <si>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</si>
  <si>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</si>
  <si>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</si>
  <si>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</si>
  <si>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</si>
  <si>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</si>
  <si>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</si>
  <si>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</si>
  <si>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</si>
  <si>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</si>
  <si>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</si>
  <si>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</si>
  <si>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</si>
  <si>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</si>
  <si>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</si>
  <si>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</si>
  <si>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</si>
  <si>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</si>
  <si>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</si>
  <si>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</si>
  <si>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</si>
  <si>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</si>
  <si>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</si>
  <si>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</si>
  <si>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</si>
  <si>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</si>
  <si>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</si>
  <si>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</si>
  <si>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</si>
  <si>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</si>
  <si>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</si>
  <si>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</si>
  <si>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</si>
  <si>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</si>
  <si>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</si>
  <si>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</si>
  <si>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</si>
  <si>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</si>
  <si>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</si>
  <si>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</si>
  <si>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</si>
  <si>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</si>
  <si>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</si>
  <si>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</si>
  <si>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</si>
  <si>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</si>
  <si>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</si>
  <si>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</si>
  <si>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</si>
  <si>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</si>
  <si>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</si>
  <si>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</si>
  <si>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</si>
  <si>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</si>
  <si>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</si>
  <si>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</si>
  <si>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</si>
  <si>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</si>
  <si>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</si>
  <si>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</si>
  <si>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</si>
  <si>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</si>
  <si>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</si>
  <si>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</si>
  <si>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</si>
  <si>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</si>
  <si>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</si>
  <si>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</si>
  <si>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</si>
  <si>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</si>
  <si>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</si>
  <si>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</si>
  <si>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</si>
  <si>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</si>
  <si>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1=area,  2=production</t>
  </si>
  <si>
    <t>(1) Περιλαμβάνονται και εκτάσεις διαφόρων ειδών (μαραθόσπορος, κύμινο κλπ)</t>
  </si>
  <si>
    <t>(2) Η παραγωγή αναφέρεται στο σύσπορο βαμβάκι</t>
  </si>
  <si>
    <t>(1) Including also stremmas of several crops (fennel seed, etc)</t>
  </si>
  <si>
    <t>(2) Production refers to seed cotton</t>
  </si>
  <si>
    <t xml:space="preserve">Περιφέρειες και Περιφερειακές Ενότητες     </t>
  </si>
  <si>
    <t>Καπνός
Tobacco</t>
  </si>
  <si>
    <t>Βαμβάκι
Cotton</t>
  </si>
  <si>
    <t>Ζαχαρότευτλα
Sugarbeets</t>
  </si>
  <si>
    <t>ξερικό
non-irrigated</t>
  </si>
  <si>
    <t>Σουσάμι
Sesame</t>
  </si>
  <si>
    <t>Σύνολο
Total</t>
  </si>
  <si>
    <t>Ελαιοκράμβη
Rapeseed</t>
  </si>
  <si>
    <t>Σύνολο Εκτάσεων
Total Area</t>
  </si>
  <si>
    <t>Σόργο
Sorgum</t>
  </si>
  <si>
    <t>Περιφέρεια Δυτικής Μακεδονίας</t>
  </si>
  <si>
    <t>Region of Western Macedonia</t>
  </si>
  <si>
    <t>ποτιστικό
irrigated</t>
  </si>
  <si>
    <t>Βορείου Τομέα Αθηνών</t>
  </si>
  <si>
    <t>Κεντρικού Τομέα Αθηνών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</si>
  <si>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</si>
  <si>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</si>
  <si>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</si>
  <si>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</si>
  <si>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</si>
  <si>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</si>
  <si>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</si>
  <si>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</si>
  <si>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</si>
  <si>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</si>
  <si>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</si>
  <si>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</si>
  <si>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</si>
  <si>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</si>
  <si>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</si>
  <si>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</si>
  <si>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</si>
  <si>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</si>
  <si>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</si>
  <si>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</si>
  <si>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</si>
  <si>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</si>
  <si>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</si>
  <si>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</si>
  <si>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</si>
  <si>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</si>
  <si>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</si>
  <si>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</si>
  <si>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</si>
  <si>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</si>
  <si>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</si>
  <si>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</si>
  <si>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</si>
  <si>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</si>
  <si>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</si>
  <si>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</si>
  <si>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</si>
  <si>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</si>
  <si>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</si>
  <si>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</si>
  <si>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</si>
  <si>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</si>
  <si>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</si>
  <si>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</si>
  <si>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</si>
  <si>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</si>
  <si>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</si>
  <si>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</si>
  <si>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</si>
  <si>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</si>
  <si>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</si>
  <si>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</si>
  <si>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</si>
  <si>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</si>
  <si>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</si>
  <si>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</si>
  <si>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</si>
  <si>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</si>
  <si>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</si>
  <si>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</si>
  <si>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</si>
  <si>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</si>
  <si>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</si>
  <si>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</si>
  <si>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</si>
  <si>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</si>
  <si>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</si>
  <si>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</si>
  <si>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</si>
  <si>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</si>
  <si>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Αραχίδα
Groundnuts</t>
  </si>
  <si>
    <t>Ανατολικού
τύπου
Eastern type</t>
  </si>
  <si>
    <t>Μπέρλευ,
Βιρτζίνια
Berley Virginia</t>
  </si>
  <si>
    <t>χόρτο
 broom</t>
  </si>
  <si>
    <t>Σόγια, σπόρος
Soya seed</t>
  </si>
  <si>
    <t>Ηλίανθος
Sunflower</t>
  </si>
  <si>
    <t>σπόρος
seed</t>
  </si>
  <si>
    <t>Κολοκύθες για σπόρους πασατέμπου
Pumpkin seeds</t>
  </si>
  <si>
    <r>
      <t xml:space="preserve">  Λοιπά</t>
    </r>
    <r>
      <rPr>
        <vertAlign val="superscript"/>
        <sz val="11"/>
        <color theme="1"/>
        <rFont val="Calibri"/>
        <family val="2"/>
        <charset val="161"/>
        <scheme val="minor"/>
      </rPr>
      <t xml:space="preserve">(1)
</t>
    </r>
    <r>
      <rPr>
        <sz val="11"/>
        <color theme="1"/>
        <rFont val="Calibri"/>
        <family val="2"/>
        <charset val="161"/>
        <scheme val="minor"/>
      </rPr>
      <t>Other</t>
    </r>
  </si>
  <si>
    <r>
      <t>2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</si>
  <si>
    <t>Areas in stremmas(1 stremma = 0.1 ha), production in tons</t>
  </si>
  <si>
    <r>
      <t xml:space="preserve">Αρωματικά
 φυτά 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(1)
 </t>
    </r>
    <r>
      <rPr>
        <sz val="11"/>
        <color indexed="8"/>
        <rFont val="Calibri"/>
        <family val="2"/>
        <charset val="161"/>
        <scheme val="minor"/>
      </rPr>
      <t xml:space="preserve"> Αromatic 
plants</t>
    </r>
  </si>
  <si>
    <t xml:space="preserve">― </t>
  </si>
  <si>
    <t>2δ. Βιομηχανικά φυτά. Εκτάσεις και παραγωγή κατά Περιφέρεια και Περιφερειακή Ενότητα, 2019</t>
  </si>
  <si>
    <t>Table 2d. Industrial plants. Areas and production by Region and Regional Unities, 2019</t>
  </si>
  <si>
    <t>Καρπάθου - Ηρωικής Νήσου Κάσου</t>
  </si>
  <si>
    <t xml:space="preserve">  Karpathos - Heroic Island of Kasos</t>
  </si>
  <si>
    <t>Κέας - Κύθνου</t>
  </si>
  <si>
    <t xml:space="preserve">  Kea - Kythnos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</si>
</sst>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vertAlign val="superscript"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95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8" borderId="4" xfId="0" applyNumberFormat="1" applyFont="1" applyFill="1" applyBorder="1"/>
    <xf numFmtId="49" fontId="1" fillId="8" borderId="0" xfId="0" applyNumberFormat="1" applyFont="1" applyFill="1" applyBorder="1" applyAlignment="1">
      <alignment horizontal="left"/>
    </xf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1" fillId="8" borderId="0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49" fontId="4" fillId="8" borderId="0" xfId="0" applyNumberFormat="1" applyFont="1" applyFill="1" applyBorder="1"/>
    <xf numFmtId="49" fontId="1" fillId="4" borderId="4" xfId="0" applyNumberFormat="1" applyFont="1" applyFill="1" applyBorder="1"/>
    <xf numFmtId="49" fontId="1" fillId="4" borderId="0" xfId="0" applyNumberFormat="1" applyFont="1" applyFill="1" applyBorder="1"/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9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4" fillId="4" borderId="0" xfId="0" applyNumberFormat="1" applyFont="1" applyFill="1" applyBorder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NumberFormat="1" applyFont="1" applyFill="1" applyBorder="1" applyAlignment="1" applyProtection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NumberFormat="1" applyFont="1" applyFill="1" applyBorder="1" applyAlignment="1" applyProtection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NumberFormat="1" applyFont="1" applyFill="1" applyBorder="1" applyAlignment="1" applyProtection="1"/>
    <xf numFmtId="49" fontId="1" fillId="10" borderId="4" xfId="0" applyNumberFormat="1" applyFont="1" applyFill="1" applyBorder="1"/>
    <xf numFmtId="49" fontId="1" fillId="10" borderId="0" xfId="0" applyNumberFormat="1" applyFont="1" applyFill="1" applyBorder="1"/>
    <xf numFmtId="0" fontId="2" fillId="10" borderId="0" xfId="0" applyNumberFormat="1" applyFont="1" applyFill="1" applyBorder="1" applyAlignment="1" applyProtection="1"/>
    <xf numFmtId="49" fontId="3" fillId="10" borderId="0" xfId="0" applyNumberFormat="1" applyFont="1" applyFill="1" applyBorder="1" applyAlignment="1">
      <alignment vertical="center" textRotation="90"/>
    </xf>
    <xf numFmtId="0" fontId="2" fillId="10" borderId="5" xfId="0" applyNumberFormat="1" applyFont="1" applyFill="1" applyBorder="1" applyAlignment="1" applyProtection="1"/>
    <xf numFmtId="49" fontId="4" fillId="10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5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NumberFormat="1" applyFont="1" applyFill="1" applyBorder="1" applyAlignment="1" applyProtection="1"/>
    <xf numFmtId="49" fontId="3" fillId="6" borderId="2" xfId="0" applyNumberFormat="1" applyFont="1" applyFill="1" applyBorder="1"/>
    <xf numFmtId="0" fontId="5" fillId="6" borderId="2" xfId="0" applyNumberFormat="1" applyFont="1" applyFill="1" applyBorder="1" applyAlignment="1" applyProtection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NumberFormat="1" applyFont="1" applyFill="1" applyBorder="1" applyAlignment="1" applyProtection="1"/>
    <xf numFmtId="49" fontId="1" fillId="6" borderId="4" xfId="0" applyNumberFormat="1" applyFont="1" applyFill="1" applyBorder="1"/>
    <xf numFmtId="49" fontId="1" fillId="6" borderId="0" xfId="0" applyNumberFormat="1" applyFont="1" applyFill="1" applyBorder="1"/>
    <xf numFmtId="0" fontId="2" fillId="6" borderId="0" xfId="0" applyNumberFormat="1" applyFont="1" applyFill="1" applyBorder="1" applyAlignment="1" applyProtection="1"/>
    <xf numFmtId="49" fontId="3" fillId="6" borderId="0" xfId="0" applyNumberFormat="1" applyFont="1" applyFill="1" applyBorder="1" applyAlignment="1">
      <alignment vertical="center" textRotation="90"/>
    </xf>
    <xf numFmtId="0" fontId="2" fillId="6" borderId="5" xfId="0" applyNumberFormat="1" applyFont="1" applyFill="1" applyBorder="1" applyAlignment="1" applyProtection="1"/>
    <xf numFmtId="49" fontId="4" fillId="6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6" borderId="2" xfId="0" applyNumberFormat="1" applyFont="1" applyFill="1" applyBorder="1" applyAlignment="1" applyProtection="1"/>
    <xf numFmtId="0" fontId="2" fillId="6" borderId="3" xfId="0" applyNumberFormat="1" applyFont="1" applyFill="1" applyBorder="1" applyAlignment="1" applyProtection="1"/>
    <xf numFmtId="0" fontId="5" fillId="6" borderId="0" xfId="0" applyNumberFormat="1" applyFont="1" applyFill="1" applyBorder="1" applyAlignment="1" applyProtection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NumberFormat="1" applyFont="1" applyFill="1" applyBorder="1" applyAlignment="1" applyProtection="1"/>
    <xf numFmtId="0" fontId="2" fillId="6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8" borderId="1" xfId="0" applyNumberFormat="1" applyFont="1" applyFill="1" applyBorder="1"/>
    <xf numFmtId="49" fontId="7" fillId="8" borderId="0" xfId="0" applyNumberFormat="1" applyFont="1" applyFill="1" applyBorder="1"/>
    <xf numFmtId="0" fontId="2" fillId="8" borderId="2" xfId="0" applyNumberFormat="1" applyFont="1" applyFill="1" applyBorder="1" applyAlignment="1" applyProtection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NumberFormat="1" applyFont="1" applyFill="1" applyBorder="1" applyAlignment="1" applyProtection="1"/>
    <xf numFmtId="49" fontId="4" fillId="13" borderId="0" xfId="0" applyNumberFormat="1" applyFont="1" applyFill="1" applyBorder="1" applyAlignment="1">
      <alignment horizontal="left"/>
    </xf>
    <xf numFmtId="0" fontId="2" fillId="13" borderId="0" xfId="0" applyNumberFormat="1" applyFont="1" applyFill="1" applyBorder="1" applyAlignment="1" applyProtection="1">
      <alignment horizontal="left"/>
    </xf>
    <xf numFmtId="49" fontId="8" fillId="13" borderId="0" xfId="0" applyNumberFormat="1" applyFont="1" applyFill="1" applyBorder="1" applyAlignment="1">
      <alignment horizontal="left"/>
    </xf>
    <xf numFmtId="49" fontId="1" fillId="8" borderId="6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1" fillId="8" borderId="7" xfId="0" applyNumberFormat="1" applyFont="1" applyFill="1" applyBorder="1"/>
    <xf numFmtId="0" fontId="2" fillId="8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vertical="center" wrapText="1"/>
    </xf>
    <xf numFmtId="0" fontId="0" fillId="0" borderId="0" xfId="0" applyBorder="1"/>
    <xf numFmtId="3" fontId="0" fillId="0" borderId="0" xfId="0" applyNumberFormat="1" applyBorder="1"/>
    <xf numFmtId="3" fontId="9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/>
    <xf numFmtId="0" fontId="0" fillId="0" borderId="0" xfId="0" applyFont="1" applyFill="1"/>
    <xf numFmtId="0" fontId="0" fillId="0" borderId="0" xfId="0" applyFont="1" applyBorder="1" applyAlignment="1">
      <alignment vertical="center"/>
    </xf>
    <xf numFmtId="0" fontId="12" fillId="0" borderId="7" xfId="0" applyNumberFormat="1" applyFont="1" applyFill="1" applyBorder="1" applyAlignment="1" applyProtection="1">
      <alignment horizontal="left"/>
    </xf>
    <xf numFmtId="0" fontId="12" fillId="0" borderId="7" xfId="0" applyNumberFormat="1" applyFont="1" applyFill="1" applyBorder="1" applyAlignment="1" applyProtection="1"/>
    <xf numFmtId="0" fontId="0" fillId="0" borderId="7" xfId="0" applyFont="1" applyFill="1" applyBorder="1"/>
    <xf numFmtId="0" fontId="12" fillId="0" borderId="0" xfId="0" applyNumberFormat="1" applyFont="1" applyFill="1" applyBorder="1" applyAlignment="1" applyProtection="1"/>
    <xf numFmtId="0" fontId="0" fillId="0" borderId="0" xfId="0" applyFont="1" applyBorder="1"/>
    <xf numFmtId="0" fontId="12" fillId="0" borderId="13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5" fillId="0" borderId="13" xfId="0" applyFont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4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5" xfId="0" applyFont="1" applyFill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14" xfId="0" applyNumberFormat="1" applyFont="1" applyFill="1" applyBorder="1" applyAlignment="1" applyProtection="1">
      <alignment horizontal="center" vertical="center" wrapText="1"/>
    </xf>
    <xf numFmtId="0" fontId="15" fillId="0" borderId="36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49" fontId="12" fillId="0" borderId="0" xfId="0" applyNumberFormat="1" applyFont="1" applyFill="1" applyBorder="1" applyAlignment="1" applyProtection="1">
      <alignment horizontal="left" wrapText="1" indent="1"/>
    </xf>
    <xf numFmtId="3" fontId="12" fillId="0" borderId="23" xfId="0" applyNumberFormat="1" applyFont="1" applyFill="1" applyBorder="1" applyAlignment="1" applyProtection="1">
      <alignment horizontal="right" vertical="center" wrapText="1"/>
    </xf>
    <xf numFmtId="3" fontId="18" fillId="0" borderId="19" xfId="0" applyNumberFormat="1" applyFont="1" applyBorder="1" applyAlignment="1">
      <alignment horizontal="right" vertical="top"/>
    </xf>
    <xf numFmtId="3" fontId="18" fillId="0" borderId="0" xfId="0" applyNumberFormat="1" applyFont="1" applyBorder="1" applyAlignment="1">
      <alignment horizontal="right" vertical="top"/>
    </xf>
    <xf numFmtId="0" fontId="18" fillId="0" borderId="19" xfId="0" applyFont="1" applyBorder="1" applyAlignment="1">
      <alignment horizontal="right" vertical="top"/>
    </xf>
    <xf numFmtId="0" fontId="0" fillId="0" borderId="4" xfId="0" applyFont="1" applyBorder="1" applyAlignment="1">
      <alignment horizontal="left" indent="1"/>
    </xf>
    <xf numFmtId="0" fontId="18" fillId="0" borderId="0" xfId="0" applyFont="1" applyBorder="1" applyAlignment="1">
      <alignment horizontal="right" vertical="top"/>
    </xf>
    <xf numFmtId="49" fontId="11" fillId="0" borderId="0" xfId="0" applyNumberFormat="1" applyFont="1" applyFill="1" applyBorder="1" applyAlignment="1" applyProtection="1">
      <alignment vertical="center" wrapText="1"/>
    </xf>
    <xf numFmtId="3" fontId="10" fillId="0" borderId="4" xfId="0" applyNumberFormat="1" applyFont="1" applyBorder="1" applyAlignment="1">
      <alignment vertical="center" wrapText="1"/>
    </xf>
    <xf numFmtId="3" fontId="10" fillId="0" borderId="20" xfId="0" applyNumberFormat="1" applyFont="1" applyBorder="1" applyAlignment="1">
      <alignment vertical="center" wrapText="1"/>
    </xf>
    <xf numFmtId="3" fontId="10" fillId="0" borderId="19" xfId="0" applyNumberFormat="1" applyFont="1" applyFill="1" applyBorder="1" applyAlignment="1">
      <alignment vertical="center" wrapText="1"/>
    </xf>
    <xf numFmtId="3" fontId="10" fillId="0" borderId="0" xfId="0" applyNumberFormat="1" applyFont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 wrapText="1"/>
    </xf>
    <xf numFmtId="3" fontId="10" fillId="0" borderId="19" xfId="0" applyNumberFormat="1" applyFont="1" applyBorder="1" applyAlignment="1">
      <alignment vertical="center" wrapText="1"/>
    </xf>
    <xf numFmtId="3" fontId="10" fillId="0" borderId="21" xfId="0" applyNumberFormat="1" applyFont="1" applyFill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  <xf numFmtId="49" fontId="12" fillId="0" borderId="7" xfId="0" applyNumberFormat="1" applyFont="1" applyFill="1" applyBorder="1" applyAlignment="1" applyProtection="1">
      <alignment horizontal="left" wrapText="1" indent="1"/>
    </xf>
    <xf numFmtId="3" fontId="12" fillId="0" borderId="24" xfId="0" applyNumberFormat="1" applyFont="1" applyFill="1" applyBorder="1" applyAlignment="1" applyProtection="1">
      <alignment horizontal="right" vertical="center" wrapText="1"/>
    </xf>
    <xf numFmtId="0" fontId="18" fillId="0" borderId="22" xfId="0" applyFont="1" applyBorder="1" applyAlignment="1">
      <alignment horizontal="right" vertical="top"/>
    </xf>
    <xf numFmtId="3" fontId="18" fillId="0" borderId="7" xfId="0" applyNumberFormat="1" applyFont="1" applyBorder="1" applyAlignment="1">
      <alignment horizontal="right" vertical="top"/>
    </xf>
    <xf numFmtId="3" fontId="18" fillId="0" borderId="22" xfId="0" applyNumberFormat="1" applyFont="1" applyBorder="1" applyAlignment="1">
      <alignment horizontal="right" vertical="top"/>
    </xf>
    <xf numFmtId="0" fontId="18" fillId="0" borderId="7" xfId="0" applyFont="1" applyBorder="1" applyAlignment="1">
      <alignment horizontal="right" vertical="top"/>
    </xf>
    <xf numFmtId="0" fontId="0" fillId="0" borderId="6" xfId="0" applyFont="1" applyBorder="1" applyAlignment="1">
      <alignment horizontal="left" indent="1"/>
    </xf>
    <xf numFmtId="49" fontId="12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3" fontId="0" fillId="0" borderId="0" xfId="0" applyNumberFormat="1" applyFont="1" applyFill="1"/>
    <xf numFmtId="0" fontId="12" fillId="0" borderId="0" xfId="0" applyNumberFormat="1" applyFont="1" applyFill="1" applyBorder="1" applyAlignment="1" applyProtection="1">
      <alignment horizontal="left" indent="2"/>
    </xf>
    <xf numFmtId="0" fontId="0" fillId="0" borderId="0" xfId="0" applyFont="1" applyFill="1" applyBorder="1"/>
    <xf numFmtId="0" fontId="12" fillId="0" borderId="0" xfId="0" applyFont="1" applyFill="1" applyBorder="1" applyAlignment="1" applyProtection="1">
      <alignment horizontal="left" indent="2"/>
    </xf>
    <xf numFmtId="0" fontId="15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49" fontId="11" fillId="0" borderId="0" xfId="0" applyNumberFormat="1" applyFont="1" applyFill="1" applyBorder="1" applyAlignment="1" applyProtection="1">
      <alignment horizontal="left" indent="2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Border="1"/>
    <xf numFmtId="0" fontId="10" fillId="0" borderId="0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left" indent="2"/>
    </xf>
    <xf numFmtId="49" fontId="0" fillId="0" borderId="0" xfId="0" applyNumberFormat="1" applyFont="1"/>
    <xf numFmtId="0" fontId="13" fillId="0" borderId="7" xfId="0" applyNumberFormat="1" applyFont="1" applyFill="1" applyBorder="1" applyAlignment="1" applyProtection="1">
      <alignment horizontal="left"/>
    </xf>
    <xf numFmtId="0" fontId="13" fillId="0" borderId="7" xfId="0" applyNumberFormat="1" applyFont="1" applyFill="1" applyBorder="1" applyAlignment="1" applyProtection="1">
      <alignment horizontal="right"/>
    </xf>
    <xf numFmtId="3" fontId="18" fillId="0" borderId="20" xfId="0" applyNumberFormat="1" applyFont="1" applyBorder="1" applyAlignment="1">
      <alignment horizontal="right" vertical="top"/>
    </xf>
    <xf numFmtId="0" fontId="18" fillId="0" borderId="20" xfId="0" applyFont="1" applyBorder="1" applyAlignment="1">
      <alignment horizontal="right" vertical="top"/>
    </xf>
    <xf numFmtId="3" fontId="18" fillId="0" borderId="39" xfId="0" applyNumberFormat="1" applyFont="1" applyBorder="1" applyAlignment="1">
      <alignment horizontal="right" vertical="top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Border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Border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>
      <alignment horizontal="left"/>
    </xf>
    <xf numFmtId="0" fontId="0" fillId="0" borderId="0" xfId="0" applyFont="1" applyBorder="1" applyAlignment="1">
      <alignment horizontal="left"/>
    </xf>
    <xf numFmtId="3" fontId="10" fillId="0" borderId="0" xfId="0" applyNumberFormat="1" applyFont="1" applyBorder="1" applyAlignment="1">
      <alignment horizontal="right" vertical="center"/>
    </xf>
    <xf numFmtId="3" fontId="10" fillId="0" borderId="19" xfId="0" applyNumberFormat="1" applyFont="1" applyBorder="1" applyAlignment="1">
      <alignment horizontal="right" vertical="center"/>
    </xf>
    <xf numFmtId="3" fontId="10" fillId="0" borderId="19" xfId="0" applyNumberFormat="1" applyFont="1" applyFill="1" applyBorder="1" applyAlignment="1">
      <alignment horizontal="right" vertical="center"/>
    </xf>
    <xf numFmtId="3" fontId="11" fillId="0" borderId="32" xfId="0" applyNumberFormat="1" applyFont="1" applyFill="1" applyBorder="1" applyAlignment="1" applyProtection="1">
      <alignment horizontal="right" vertical="center" wrapText="1"/>
    </xf>
    <xf numFmtId="0" fontId="11" fillId="0" borderId="19" xfId="0" applyNumberFormat="1" applyFont="1" applyFill="1" applyBorder="1" applyAlignment="1" applyProtection="1">
      <alignment horizontal="right" vertical="center" wrapText="1"/>
    </xf>
    <xf numFmtId="3" fontId="11" fillId="0" borderId="0" xfId="0" applyNumberFormat="1" applyFont="1" applyFill="1" applyBorder="1" applyAlignment="1" applyProtection="1">
      <alignment horizontal="right" vertical="center" wrapText="1"/>
    </xf>
    <xf numFmtId="0" fontId="11" fillId="0" borderId="0" xfId="0" applyNumberFormat="1" applyFont="1" applyFill="1" applyBorder="1" applyAlignment="1" applyProtection="1">
      <alignment horizontal="right" vertical="center" wrapText="1"/>
    </xf>
    <xf numFmtId="3" fontId="11" fillId="0" borderId="20" xfId="0" applyNumberFormat="1" applyFont="1" applyBorder="1" applyAlignment="1">
      <alignment horizontal="right" vertical="center"/>
    </xf>
    <xf numFmtId="3" fontId="11" fillId="0" borderId="0" xfId="0" applyNumberFormat="1" applyFont="1" applyFill="1" applyBorder="1" applyAlignment="1" applyProtection="1">
      <alignment horizontal="right" vertical="center"/>
    </xf>
    <xf numFmtId="3" fontId="11" fillId="0" borderId="19" xfId="0" applyNumberFormat="1" applyFont="1" applyFill="1" applyBorder="1" applyAlignment="1" applyProtection="1">
      <alignment horizontal="right" vertical="center"/>
    </xf>
    <xf numFmtId="3" fontId="11" fillId="0" borderId="21" xfId="0" applyNumberFormat="1" applyFont="1" applyFill="1" applyBorder="1" applyAlignment="1" applyProtection="1">
      <alignment horizontal="right" vertical="center"/>
    </xf>
    <xf numFmtId="3" fontId="10" fillId="0" borderId="20" xfId="0" applyNumberFormat="1" applyFont="1" applyBorder="1" applyAlignment="1">
      <alignment horizontal="right" vertical="center"/>
    </xf>
    <xf numFmtId="3" fontId="10" fillId="0" borderId="0" xfId="0" applyNumberFormat="1" applyFont="1" applyFill="1" applyBorder="1" applyAlignment="1">
      <alignment horizontal="right" vertical="center"/>
    </xf>
    <xf numFmtId="3" fontId="11" fillId="0" borderId="4" xfId="0" applyNumberFormat="1" applyFont="1" applyFill="1" applyBorder="1" applyAlignment="1" applyProtection="1">
      <alignment horizontal="right" vertical="center"/>
    </xf>
    <xf numFmtId="3" fontId="11" fillId="0" borderId="20" xfId="0" applyNumberFormat="1" applyFont="1" applyFill="1" applyBorder="1" applyAlignment="1" applyProtection="1">
      <alignment horizontal="right" vertical="center"/>
    </xf>
    <xf numFmtId="0" fontId="12" fillId="0" borderId="7" xfId="0" applyFont="1" applyFill="1" applyBorder="1" applyAlignment="1" applyProtection="1">
      <alignment horizontal="left"/>
    </xf>
    <xf numFmtId="0" fontId="12" fillId="0" borderId="25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horizontal="center" vertical="center" wrapText="1"/>
    </xf>
    <xf numFmtId="0" fontId="12" fillId="0" borderId="20" xfId="0" applyNumberFormat="1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horizontal="center" vertical="center" wrapText="1"/>
    </xf>
    <xf numFmtId="0" fontId="12" fillId="0" borderId="16" xfId="0" applyNumberFormat="1" applyFont="1" applyFill="1" applyBorder="1" applyAlignment="1" applyProtection="1">
      <alignment horizontal="center" vertical="center" wrapText="1"/>
    </xf>
    <xf numFmtId="0" fontId="12" fillId="0" borderId="28" xfId="0" applyNumberFormat="1" applyFont="1" applyFill="1" applyBorder="1" applyAlignment="1" applyProtection="1">
      <alignment horizontal="center" vertical="center" wrapText="1"/>
    </xf>
    <xf numFmtId="0" fontId="12" fillId="0" borderId="35" xfId="0" applyNumberFormat="1" applyFont="1" applyFill="1" applyBorder="1" applyAlignment="1" applyProtection="1">
      <alignment horizontal="center" vertical="center" wrapText="1"/>
    </xf>
    <xf numFmtId="0" fontId="12" fillId="0" borderId="34" xfId="0" applyNumberFormat="1" applyFont="1" applyFill="1" applyBorder="1" applyAlignment="1" applyProtection="1">
      <alignment horizontal="center" vertical="center" wrapText="1"/>
    </xf>
    <xf numFmtId="0" fontId="12" fillId="0" borderId="36" xfId="0" applyNumberFormat="1" applyFont="1" applyFill="1" applyBorder="1" applyAlignment="1" applyProtection="1">
      <alignment horizontal="center" vertical="center" wrapText="1"/>
    </xf>
    <xf numFmtId="0" fontId="12" fillId="0" borderId="26" xfId="0" applyNumberFormat="1" applyFont="1" applyFill="1" applyBorder="1" applyAlignment="1" applyProtection="1">
      <alignment horizontal="center" vertical="center" wrapText="1"/>
    </xf>
    <xf numFmtId="0" fontId="12" fillId="0" borderId="17" xfId="0" applyNumberFormat="1" applyFont="1" applyFill="1" applyBorder="1" applyAlignment="1" applyProtection="1">
      <alignment horizontal="center" vertical="center" wrapText="1"/>
    </xf>
    <xf numFmtId="0" fontId="12" fillId="0" borderId="18" xfId="0" applyNumberFormat="1" applyFont="1" applyFill="1" applyBorder="1" applyAlignment="1" applyProtection="1">
      <alignment horizontal="center" vertical="center" wrapText="1"/>
    </xf>
    <xf numFmtId="0" fontId="12" fillId="0" borderId="27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horizontal="center" vertical="center" wrapText="1"/>
    </xf>
    <xf numFmtId="0" fontId="11" fillId="0" borderId="3" xfId="0" applyNumberFormat="1" applyFont="1" applyFill="1" applyBorder="1" applyAlignment="1" applyProtection="1">
      <alignment horizontal="center" vertical="center" wrapText="1"/>
    </xf>
    <xf numFmtId="0" fontId="11" fillId="0" borderId="5" xfId="0" applyNumberFormat="1" applyFont="1" applyFill="1" applyBorder="1" applyAlignment="1" applyProtection="1">
      <alignment horizontal="center" vertical="center" wrapText="1"/>
    </xf>
    <xf numFmtId="0" fontId="11" fillId="0" borderId="37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0" fontId="11" fillId="0" borderId="6" xfId="0" applyNumberFormat="1" applyFont="1" applyFill="1" applyBorder="1" applyAlignment="1" applyProtection="1">
      <alignment horizontal="center" vertical="center" wrapText="1"/>
    </xf>
    <xf numFmtId="0" fontId="12" fillId="0" borderId="21" xfId="0" applyNumberFormat="1" applyFont="1" applyFill="1" applyBorder="1" applyAlignment="1" applyProtection="1">
      <alignment horizontal="center" vertical="center" wrapText="1"/>
    </xf>
    <xf numFmtId="3" fontId="11" fillId="0" borderId="31" xfId="0" applyNumberFormat="1" applyFont="1" applyFill="1" applyBorder="1" applyAlignment="1" applyProtection="1">
      <alignment horizontal="right" vertical="center" wrapText="1"/>
    </xf>
    <xf numFmtId="0" fontId="11" fillId="0" borderId="21" xfId="0" applyNumberFormat="1" applyFont="1" applyFill="1" applyBorder="1" applyAlignment="1" applyProtection="1">
      <alignment horizontal="right" vertical="center" wrapText="1"/>
    </xf>
    <xf numFmtId="0" fontId="11" fillId="0" borderId="1" xfId="0" applyNumberFormat="1" applyFont="1" applyFill="1" applyBorder="1" applyAlignment="1" applyProtection="1">
      <alignment horizontal="left" vertical="center" wrapText="1"/>
    </xf>
    <xf numFmtId="0" fontId="11" fillId="0" borderId="4" xfId="0" applyNumberFormat="1" applyFont="1" applyFill="1" applyBorder="1" applyAlignment="1" applyProtection="1">
      <alignment horizontal="left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11" fillId="0" borderId="29" xfId="0" applyNumberFormat="1" applyFont="1" applyFill="1" applyBorder="1" applyAlignment="1" applyProtection="1">
      <alignment horizontal="center" vertical="center" wrapText="1"/>
    </xf>
    <xf numFmtId="0" fontId="11" fillId="0" borderId="23" xfId="0" applyNumberFormat="1" applyFont="1" applyFill="1" applyBorder="1" applyAlignment="1" applyProtection="1">
      <alignment horizontal="center" vertical="center" wrapText="1"/>
    </xf>
    <xf numFmtId="0" fontId="11" fillId="0" borderId="30" xfId="0" applyNumberFormat="1" applyFont="1" applyFill="1" applyBorder="1" applyAlignment="1" applyProtection="1">
      <alignment horizontal="center" vertical="center" wrapText="1"/>
    </xf>
    <xf numFmtId="0" fontId="12" fillId="0" borderId="2" xfId="0" applyNumberFormat="1" applyFont="1" applyFill="1" applyBorder="1" applyAlignment="1" applyProtection="1">
      <alignment vertical="center" wrapText="1"/>
    </xf>
    <xf numFmtId="0" fontId="12" fillId="0" borderId="27" xfId="0" applyNumberFormat="1" applyFont="1" applyFill="1" applyBorder="1" applyAlignment="1" applyProtection="1">
      <alignment vertical="center" wrapText="1"/>
    </xf>
    <xf numFmtId="0" fontId="12" fillId="0" borderId="16" xfId="0" applyNumberFormat="1" applyFont="1" applyFill="1" applyBorder="1" applyAlignment="1" applyProtection="1">
      <alignment vertical="center" wrapText="1"/>
    </xf>
    <xf numFmtId="0" fontId="12" fillId="0" borderId="28" xfId="0" applyNumberFormat="1" applyFont="1" applyFill="1" applyBorder="1" applyAlignment="1" applyProtection="1">
      <alignment vertical="center" wrapText="1"/>
    </xf>
    <xf numFmtId="0" fontId="12" fillId="0" borderId="15" xfId="0" applyNumberFormat="1" applyFont="1" applyFill="1" applyBorder="1" applyAlignment="1" applyProtection="1">
      <alignment vertical="center" wrapText="1"/>
    </xf>
    <xf numFmtId="0" fontId="0" fillId="0" borderId="27" xfId="0" applyFont="1" applyBorder="1"/>
    <xf numFmtId="0" fontId="0" fillId="0" borderId="20" xfId="0" applyFont="1" applyBorder="1"/>
    <xf numFmtId="0" fontId="0" fillId="0" borderId="21" xfId="0" applyFont="1" applyBorder="1"/>
    <xf numFmtId="0" fontId="0" fillId="0" borderId="16" xfId="0" applyFont="1" applyBorder="1"/>
    <xf numFmtId="0" fontId="0" fillId="0" borderId="15" xfId="0" applyFont="1" applyBorder="1"/>
    <xf numFmtId="3" fontId="11" fillId="0" borderId="33" xfId="0" applyNumberFormat="1" applyFont="1" applyFill="1" applyBorder="1" applyAlignment="1" applyProtection="1">
      <alignment horizontal="right" vertical="center" wrapText="1"/>
    </xf>
    <xf numFmtId="0" fontId="11" fillId="0" borderId="20" xfId="0" applyNumberFormat="1" applyFont="1" applyFill="1" applyBorder="1" applyAlignment="1" applyProtection="1">
      <alignment horizontal="right" vertical="center" wrapText="1"/>
    </xf>
    <xf numFmtId="49" fontId="11" fillId="0" borderId="0" xfId="0" applyNumberFormat="1" applyFont="1" applyFill="1" applyBorder="1" applyAlignment="1" applyProtection="1">
      <alignment horizontal="left" vertical="center" wrapText="1"/>
    </xf>
    <xf numFmtId="3" fontId="17" fillId="0" borderId="4" xfId="0" applyNumberFormat="1" applyFont="1" applyBorder="1" applyAlignment="1">
      <alignment horizontal="right" vertical="center"/>
    </xf>
    <xf numFmtId="3" fontId="17" fillId="0" borderId="19" xfId="0" applyNumberFormat="1" applyFont="1" applyBorder="1" applyAlignment="1">
      <alignment horizontal="right" vertical="center"/>
    </xf>
    <xf numFmtId="3" fontId="17" fillId="0" borderId="0" xfId="0" applyNumberFormat="1" applyFont="1" applyFill="1" applyBorder="1" applyAlignment="1">
      <alignment horizontal="right" vertical="center"/>
    </xf>
    <xf numFmtId="49" fontId="11" fillId="0" borderId="38" xfId="0" applyNumberFormat="1" applyFont="1" applyFill="1" applyBorder="1" applyAlignment="1" applyProtection="1">
      <alignment horizontal="left" vertical="center" wrapText="1"/>
    </xf>
    <xf numFmtId="49" fontId="11" fillId="0" borderId="5" xfId="0" applyNumberFormat="1" applyFont="1" applyFill="1" applyBorder="1" applyAlignment="1" applyProtection="1">
      <alignment horizontal="left" vertical="center" wrapText="1"/>
    </xf>
    <xf numFmtId="3" fontId="11" fillId="0" borderId="4" xfId="0" applyNumberFormat="1" applyFont="1" applyFill="1" applyBorder="1" applyAlignment="1" applyProtection="1">
      <alignment horizontal="right" vertical="center" wrapText="1"/>
    </xf>
    <xf numFmtId="0" fontId="11" fillId="0" borderId="4" xfId="0" applyNumberFormat="1" applyFont="1" applyFill="1" applyBorder="1" applyAlignment="1" applyProtection="1">
      <alignment horizontal="right" vertical="center" wrapText="1"/>
    </xf>
    <xf numFmtId="3" fontId="17" fillId="0" borderId="19" xfId="0" applyNumberFormat="1" applyFont="1" applyFill="1" applyBorder="1" applyAlignment="1">
      <alignment horizontal="right" vertical="center"/>
    </xf>
    <xf numFmtId="3" fontId="17" fillId="0" borderId="0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3" fontId="11" fillId="0" borderId="23" xfId="0" applyNumberFormat="1" applyFont="1" applyFill="1" applyBorder="1" applyAlignment="1" applyProtection="1">
      <alignment horizontal="right" vertical="center"/>
    </xf>
    <xf numFmtId="0" fontId="10" fillId="0" borderId="4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49" fontId="10" fillId="0" borderId="0" xfId="0" applyNumberFormat="1" applyFont="1" applyBorder="1" applyAlignment="1">
      <alignment horizontal="left" vertical="center" wrapText="1"/>
    </xf>
    <xf numFmtId="0" fontId="11" fillId="0" borderId="0" xfId="0" applyNumberFormat="1" applyFont="1" applyFill="1" applyBorder="1" applyAlignment="1" applyProtection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right"/>
    </xf>
    <xf numFmtId="0" fontId="12" fillId="0" borderId="0" xfId="0" applyFont="1" applyFill="1" applyBorder="1" applyAlignment="1" applyProtection="1">
      <alignment horizontal="center" vertical="center" wrapText="1"/>
    </xf>
    <xf numFmtId="0" fontId="12" fillId="0" borderId="0" xfId="0" applyNumberFormat="1" applyFont="1" applyFill="1" applyBorder="1" applyAlignment="1" applyProtection="1">
      <alignment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5.05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195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196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198" t="s">
        <v>7</v>
      </c>
      <c r="E3" s="198"/>
      <c r="F3" s="198"/>
      <c r="G3" s="198"/>
      <c r="H3" s="196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96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196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196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196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196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196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196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96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196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196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196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196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196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196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196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196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96"/>
      <c r="I20" s="26"/>
      <c r="J20" s="23"/>
      <c r="K20" s="23"/>
      <c r="L20" s="24"/>
      <c r="M20" s="27"/>
    </row>
    <row r="21" spans="1:13" ht="15.6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197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199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00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00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00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00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00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00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00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00"/>
      <c r="I30" s="48"/>
      <c r="J30" s="47"/>
      <c r="K30" s="47"/>
      <c r="L30" s="48"/>
      <c r="M30" s="51"/>
    </row>
    <row r="31" spans="1:13" ht="15.6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01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02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03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03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03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03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03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03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03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03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03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03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03"/>
      <c r="I43" s="80"/>
      <c r="J43" s="79"/>
      <c r="K43" s="79"/>
      <c r="L43" s="80"/>
      <c r="M43" s="84"/>
    </row>
    <row r="44" spans="1:13" ht="15.6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04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195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196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196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196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96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196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196"/>
      <c r="I51" s="67"/>
      <c r="J51" s="66"/>
      <c r="K51" s="66"/>
      <c r="L51" s="67"/>
      <c r="M51" s="69"/>
    </row>
    <row r="52" spans="1:13" ht="15.6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197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192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193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93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193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193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193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193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193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193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193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93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193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193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193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193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193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193"/>
      <c r="I69" s="48"/>
      <c r="J69" s="47"/>
      <c r="K69" s="47"/>
      <c r="L69" s="48"/>
      <c r="M69" s="51"/>
    </row>
    <row r="70" spans="1:13" ht="15.6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194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.6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.6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35"/>
  <sheetViews>
    <sheetView showGridLines="0" tabSelected="1" topLeftCell="H88" zoomScaleNormal="100" workbookViewId="0">
      <selection activeCell="AD100" sqref="AD100"/>
    </sheetView>
  </sheetViews>
  <sheetFormatPr defaultRowHeight="15.05" x14ac:dyDescent="0.3"/>
  <cols>
    <col min="1" max="1" width="43" style="125" customWidth="1"/>
    <col min="2" max="2" width="9.5546875" style="125" bestFit="1" customWidth="1"/>
    <col min="3" max="3" width="7.5546875" style="125" bestFit="1" customWidth="1"/>
    <col min="4" max="4" width="6.5546875" style="126" bestFit="1" customWidth="1"/>
    <col min="5" max="5" width="6.5546875" style="125" bestFit="1" customWidth="1"/>
    <col min="6" max="6" width="5.5546875" style="126" bestFit="1" customWidth="1"/>
    <col min="7" max="7" width="9.109375" style="125" bestFit="1" customWidth="1"/>
    <col min="8" max="8" width="7.5546875" style="126" bestFit="1" customWidth="1"/>
    <col min="9" max="9" width="7.5546875" style="125" bestFit="1" customWidth="1"/>
    <col min="10" max="10" width="6.5546875" style="126" bestFit="1" customWidth="1"/>
    <col min="11" max="11" width="5.5546875" style="125" bestFit="1" customWidth="1"/>
    <col min="12" max="12" width="4" style="126" bestFit="1" customWidth="1"/>
    <col min="13" max="13" width="7.5546875" style="125" bestFit="1" customWidth="1"/>
    <col min="14" max="14" width="7.5546875" style="126" bestFit="1" customWidth="1"/>
    <col min="15" max="15" width="7" style="125" bestFit="1" customWidth="1"/>
    <col min="16" max="16" width="6.88671875" style="126" bestFit="1" customWidth="1"/>
    <col min="17" max="17" width="7.21875" style="126" bestFit="1" customWidth="1"/>
    <col min="18" max="18" width="6.5546875" style="125" bestFit="1" customWidth="1"/>
    <col min="19" max="19" width="5.5546875" style="126" bestFit="1" customWidth="1"/>
    <col min="20" max="20" width="6.5546875" style="125" bestFit="1" customWidth="1"/>
    <col min="21" max="21" width="5.5546875" style="126" bestFit="1" customWidth="1"/>
    <col min="22" max="22" width="6.5546875" style="125" bestFit="1" customWidth="1"/>
    <col min="23" max="23" width="6.5546875" style="126" bestFit="1" customWidth="1"/>
    <col min="24" max="24" width="6.109375" style="125" customWidth="1"/>
    <col min="25" max="25" width="5.5546875" style="126" bestFit="1" customWidth="1"/>
    <col min="26" max="26" width="7.5546875" style="125" bestFit="1" customWidth="1"/>
    <col min="27" max="27" width="6.5546875" style="126" bestFit="1" customWidth="1"/>
    <col min="28" max="28" width="11" style="125" customWidth="1"/>
    <col min="29" max="29" width="8.44140625" style="125" bestFit="1" customWidth="1"/>
    <col min="30" max="30" width="49.44140625" style="125" bestFit="1" customWidth="1"/>
    <col min="31" max="31" width="10.109375" style="125" customWidth="1"/>
    <col min="32" max="16384" width="8.88671875" style="125"/>
  </cols>
  <sheetData>
    <row r="1" spans="1:31" x14ac:dyDescent="0.3">
      <c r="AD1" s="227"/>
      <c r="AE1" s="227"/>
    </row>
    <row r="2" spans="1:31" ht="18.2" x14ac:dyDescent="0.3">
      <c r="A2" s="124"/>
      <c r="B2" s="205" t="s">
        <v>374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AB2" s="127"/>
      <c r="AC2" s="127"/>
      <c r="AD2" s="227"/>
      <c r="AE2" s="227"/>
    </row>
    <row r="3" spans="1:31" ht="18.2" x14ac:dyDescent="0.3">
      <c r="A3" s="124"/>
      <c r="B3" s="205" t="s">
        <v>375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AB3" s="127"/>
      <c r="AC3" s="127"/>
      <c r="AD3" s="227"/>
      <c r="AE3" s="227"/>
    </row>
    <row r="4" spans="1:31" ht="15.05" customHeight="1" thickBot="1" x14ac:dyDescent="0.35">
      <c r="A4" s="187" t="s">
        <v>170</v>
      </c>
      <c r="B4" s="128"/>
      <c r="C4" s="128"/>
      <c r="D4" s="128"/>
      <c r="E4" s="128"/>
      <c r="F4" s="128"/>
      <c r="G4" s="129"/>
      <c r="H4" s="129"/>
      <c r="I4" s="129"/>
      <c r="J4" s="129"/>
      <c r="K4" s="129"/>
      <c r="L4" s="129"/>
      <c r="M4" s="129"/>
      <c r="N4" s="129"/>
      <c r="O4" s="223"/>
      <c r="P4" s="223"/>
      <c r="Q4" s="223"/>
      <c r="R4" s="223"/>
      <c r="S4" s="130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88" t="s">
        <v>371</v>
      </c>
      <c r="AE4" s="131"/>
    </row>
    <row r="5" spans="1:31" ht="14.4" customHeight="1" x14ac:dyDescent="0.3">
      <c r="A5" s="238" t="s">
        <v>276</v>
      </c>
      <c r="B5" s="255" t="s">
        <v>284</v>
      </c>
      <c r="C5" s="224" t="s">
        <v>277</v>
      </c>
      <c r="D5" s="258"/>
      <c r="E5" s="258"/>
      <c r="F5" s="259"/>
      <c r="G5" s="224" t="s">
        <v>278</v>
      </c>
      <c r="H5" s="225"/>
      <c r="I5" s="225"/>
      <c r="J5" s="236"/>
      <c r="K5" s="224" t="s">
        <v>281</v>
      </c>
      <c r="L5" s="263"/>
      <c r="M5" s="224" t="s">
        <v>366</v>
      </c>
      <c r="N5" s="236"/>
      <c r="O5" s="224" t="s">
        <v>285</v>
      </c>
      <c r="P5" s="225"/>
      <c r="Q5" s="236"/>
      <c r="R5" s="224" t="s">
        <v>361</v>
      </c>
      <c r="S5" s="236"/>
      <c r="T5" s="224" t="s">
        <v>365</v>
      </c>
      <c r="U5" s="236"/>
      <c r="V5" s="224" t="s">
        <v>279</v>
      </c>
      <c r="W5" s="225"/>
      <c r="X5" s="224" t="s">
        <v>368</v>
      </c>
      <c r="Y5" s="236"/>
      <c r="Z5" s="249" t="s">
        <v>283</v>
      </c>
      <c r="AA5" s="250"/>
      <c r="AB5" s="249" t="s">
        <v>372</v>
      </c>
      <c r="AC5" s="230" t="s">
        <v>369</v>
      </c>
      <c r="AD5" s="241" t="s">
        <v>171</v>
      </c>
      <c r="AE5" s="132"/>
    </row>
    <row r="6" spans="1:31" ht="31.3" customHeight="1" x14ac:dyDescent="0.3">
      <c r="A6" s="239"/>
      <c r="B6" s="256"/>
      <c r="C6" s="260"/>
      <c r="D6" s="261"/>
      <c r="E6" s="261"/>
      <c r="F6" s="262"/>
      <c r="G6" s="228"/>
      <c r="H6" s="229"/>
      <c r="I6" s="229"/>
      <c r="J6" s="237"/>
      <c r="K6" s="264"/>
      <c r="L6" s="265"/>
      <c r="M6" s="226"/>
      <c r="N6" s="244"/>
      <c r="O6" s="228"/>
      <c r="P6" s="229"/>
      <c r="Q6" s="237"/>
      <c r="R6" s="226"/>
      <c r="S6" s="244"/>
      <c r="T6" s="226"/>
      <c r="U6" s="244"/>
      <c r="V6" s="226"/>
      <c r="W6" s="227"/>
      <c r="X6" s="226"/>
      <c r="Y6" s="244"/>
      <c r="Z6" s="251"/>
      <c r="AA6" s="252"/>
      <c r="AB6" s="251"/>
      <c r="AC6" s="231"/>
      <c r="AD6" s="242"/>
      <c r="AE6" s="132"/>
    </row>
    <row r="7" spans="1:31" ht="58.25" customHeight="1" x14ac:dyDescent="0.3">
      <c r="A7" s="239"/>
      <c r="B7" s="256"/>
      <c r="C7" s="233" t="s">
        <v>362</v>
      </c>
      <c r="D7" s="235"/>
      <c r="E7" s="233" t="s">
        <v>363</v>
      </c>
      <c r="F7" s="235"/>
      <c r="G7" s="233" t="s">
        <v>288</v>
      </c>
      <c r="H7" s="234"/>
      <c r="I7" s="233" t="s">
        <v>280</v>
      </c>
      <c r="J7" s="235"/>
      <c r="K7" s="266"/>
      <c r="L7" s="267"/>
      <c r="M7" s="228"/>
      <c r="N7" s="237"/>
      <c r="O7" s="133" t="s">
        <v>282</v>
      </c>
      <c r="P7" s="134" t="s">
        <v>364</v>
      </c>
      <c r="Q7" s="135" t="s">
        <v>367</v>
      </c>
      <c r="R7" s="228"/>
      <c r="S7" s="237"/>
      <c r="T7" s="228"/>
      <c r="U7" s="237"/>
      <c r="V7" s="228"/>
      <c r="W7" s="229"/>
      <c r="X7" s="228"/>
      <c r="Y7" s="237"/>
      <c r="Z7" s="253"/>
      <c r="AA7" s="254"/>
      <c r="AB7" s="253"/>
      <c r="AC7" s="232"/>
      <c r="AD7" s="242"/>
      <c r="AE7" s="132"/>
    </row>
    <row r="8" spans="1:31" s="147" customFormat="1" ht="17.55" thickBot="1" x14ac:dyDescent="0.35">
      <c r="A8" s="240"/>
      <c r="B8" s="257"/>
      <c r="C8" s="136">
        <v>1</v>
      </c>
      <c r="D8" s="137">
        <v>2</v>
      </c>
      <c r="E8" s="136">
        <v>1</v>
      </c>
      <c r="F8" s="137">
        <v>2</v>
      </c>
      <c r="G8" s="136">
        <v>1</v>
      </c>
      <c r="H8" s="137" t="s">
        <v>370</v>
      </c>
      <c r="I8" s="138">
        <v>1</v>
      </c>
      <c r="J8" s="139" t="s">
        <v>370</v>
      </c>
      <c r="K8" s="136">
        <v>1</v>
      </c>
      <c r="L8" s="137">
        <v>2</v>
      </c>
      <c r="M8" s="136">
        <v>1</v>
      </c>
      <c r="N8" s="137">
        <v>2</v>
      </c>
      <c r="O8" s="140">
        <v>1</v>
      </c>
      <c r="P8" s="139">
        <v>2</v>
      </c>
      <c r="Q8" s="139">
        <v>2</v>
      </c>
      <c r="R8" s="136">
        <v>1</v>
      </c>
      <c r="S8" s="141">
        <v>2</v>
      </c>
      <c r="T8" s="136">
        <v>1</v>
      </c>
      <c r="U8" s="139">
        <v>2</v>
      </c>
      <c r="V8" s="142">
        <v>1</v>
      </c>
      <c r="W8" s="137">
        <v>2</v>
      </c>
      <c r="X8" s="142">
        <v>1</v>
      </c>
      <c r="Y8" s="133">
        <v>2</v>
      </c>
      <c r="Z8" s="143">
        <v>1</v>
      </c>
      <c r="AA8" s="144">
        <v>2</v>
      </c>
      <c r="AB8" s="144">
        <v>1</v>
      </c>
      <c r="AC8" s="145">
        <v>1</v>
      </c>
      <c r="AD8" s="243"/>
      <c r="AE8" s="146"/>
    </row>
    <row r="9" spans="1:31" ht="11.45" customHeight="1" x14ac:dyDescent="0.3">
      <c r="A9" s="274" t="s">
        <v>172</v>
      </c>
      <c r="B9" s="276">
        <f>SUM(B11,B19,B28,B33,B39,B46,B53,B60,B65,B72,B82,B89,B104)</f>
        <v>4192920</v>
      </c>
      <c r="C9" s="268">
        <f>SUM(C11,C19,C28,C33,C39,C46,C53,C60,C65,C72,C82,C89,C104)</f>
        <v>126959</v>
      </c>
      <c r="D9" s="211">
        <f t="shared" ref="D9:AC9" si="0">SUM(D11,D19,D28,D33,D39,D46,D53,D60,D65,D72,D82,D89,D104)</f>
        <v>20513.964000000004</v>
      </c>
      <c r="E9" s="213">
        <f t="shared" si="0"/>
        <v>23347</v>
      </c>
      <c r="F9" s="211">
        <f>SUM(F11,F19,F28,F33,F39,F46,F53,F60,F65,F72,F82,F89,F104)</f>
        <v>7587.9699999999993</v>
      </c>
      <c r="G9" s="213">
        <f>SUM(G11,G19,G28,G33,G39,G46,G53,G60,G65,G72,G82,G89,G104)</f>
        <v>2585716</v>
      </c>
      <c r="H9" s="211">
        <f t="shared" si="0"/>
        <v>846907.505</v>
      </c>
      <c r="I9" s="213">
        <f t="shared" si="0"/>
        <v>331363</v>
      </c>
      <c r="J9" s="211">
        <f t="shared" si="0"/>
        <v>53837.995999999992</v>
      </c>
      <c r="K9" s="213">
        <f t="shared" si="0"/>
        <v>6852</v>
      </c>
      <c r="L9" s="211">
        <f t="shared" si="0"/>
        <v>884.45500000000004</v>
      </c>
      <c r="M9" s="213">
        <f t="shared" si="0"/>
        <v>806923</v>
      </c>
      <c r="N9" s="211">
        <f t="shared" si="0"/>
        <v>216134.05300000007</v>
      </c>
      <c r="O9" s="213">
        <f t="shared" si="0"/>
        <v>899</v>
      </c>
      <c r="P9" s="211">
        <f t="shared" si="0"/>
        <v>69.483999999999995</v>
      </c>
      <c r="Q9" s="213">
        <f>SUM(Q11,Q19,Q28,Q33,Q39,Q46,Q53,Q60,Q65,Q72,Q82,Q89,Q104)</f>
        <v>141.20000000000002</v>
      </c>
      <c r="R9" s="211">
        <f t="shared" si="0"/>
        <v>14236</v>
      </c>
      <c r="S9" s="213">
        <f t="shared" si="0"/>
        <v>4475.4540000000006</v>
      </c>
      <c r="T9" s="268">
        <f t="shared" si="0"/>
        <v>31650</v>
      </c>
      <c r="U9" s="211">
        <f t="shared" si="0"/>
        <v>9057.1779999999999</v>
      </c>
      <c r="V9" s="245">
        <f t="shared" si="0"/>
        <v>17162</v>
      </c>
      <c r="W9" s="245">
        <f t="shared" si="0"/>
        <v>102017.887</v>
      </c>
      <c r="X9" s="245">
        <f t="shared" si="0"/>
        <v>6759</v>
      </c>
      <c r="Y9" s="245">
        <f>SUM(Y11,Y19,Y28,Y33,Y39,Y46,Y53,Y60,Y65,Y72,Y82,Y89,Y104)</f>
        <v>1042.4680000000003</v>
      </c>
      <c r="Z9" s="245">
        <f t="shared" si="0"/>
        <v>146895</v>
      </c>
      <c r="AA9" s="245">
        <f t="shared" si="0"/>
        <v>29573.186999999998</v>
      </c>
      <c r="AB9" s="211">
        <f t="shared" si="0"/>
        <v>79428</v>
      </c>
      <c r="AC9" s="213">
        <f t="shared" si="0"/>
        <v>14577</v>
      </c>
      <c r="AD9" s="247" t="s">
        <v>173</v>
      </c>
      <c r="AE9" s="132"/>
    </row>
    <row r="10" spans="1:31" ht="11.3" customHeight="1" x14ac:dyDescent="0.3">
      <c r="A10" s="275"/>
      <c r="B10" s="277"/>
      <c r="C10" s="269"/>
      <c r="D10" s="212"/>
      <c r="E10" s="214"/>
      <c r="F10" s="212"/>
      <c r="G10" s="214"/>
      <c r="H10" s="212"/>
      <c r="I10" s="214"/>
      <c r="J10" s="212"/>
      <c r="K10" s="214"/>
      <c r="L10" s="212"/>
      <c r="M10" s="214"/>
      <c r="N10" s="212"/>
      <c r="O10" s="214"/>
      <c r="P10" s="212"/>
      <c r="Q10" s="214"/>
      <c r="R10" s="212"/>
      <c r="S10" s="214"/>
      <c r="T10" s="269"/>
      <c r="U10" s="212"/>
      <c r="V10" s="246"/>
      <c r="W10" s="246"/>
      <c r="X10" s="246"/>
      <c r="Y10" s="246"/>
      <c r="Z10" s="246"/>
      <c r="AA10" s="246"/>
      <c r="AB10" s="212"/>
      <c r="AC10" s="214"/>
      <c r="AD10" s="248"/>
      <c r="AE10" s="132"/>
    </row>
    <row r="11" spans="1:31" ht="5.05" customHeight="1" x14ac:dyDescent="0.3">
      <c r="A11" s="270" t="s">
        <v>174</v>
      </c>
      <c r="B11" s="271">
        <f>SUM(B13:B18)</f>
        <v>1391158</v>
      </c>
      <c r="C11" s="272">
        <f>SUM(C13:C18)</f>
        <v>68634</v>
      </c>
      <c r="D11" s="273">
        <f t="shared" ref="D11:X11" si="1">SUM(D13:D18)</f>
        <v>10058.218999999999</v>
      </c>
      <c r="E11" s="272">
        <f t="shared" si="1"/>
        <v>2101</v>
      </c>
      <c r="F11" s="273">
        <f t="shared" si="1"/>
        <v>647.82999999999993</v>
      </c>
      <c r="G11" s="272">
        <f t="shared" si="1"/>
        <v>526166</v>
      </c>
      <c r="H11" s="273">
        <f t="shared" si="1"/>
        <v>142710.15999999997</v>
      </c>
      <c r="I11" s="272">
        <f>SUM(I13:I18)</f>
        <v>266379</v>
      </c>
      <c r="J11" s="273">
        <f>SUM(J13:J18)</f>
        <v>41114.146000000001</v>
      </c>
      <c r="K11" s="272">
        <f t="shared" si="1"/>
        <v>3454</v>
      </c>
      <c r="L11" s="273">
        <f t="shared" si="1"/>
        <v>460.35700000000003</v>
      </c>
      <c r="M11" s="272">
        <f t="shared" si="1"/>
        <v>434054</v>
      </c>
      <c r="N11" s="273">
        <f t="shared" si="1"/>
        <v>125931.73400000001</v>
      </c>
      <c r="O11" s="272">
        <f>SUM(O13:O18)</f>
        <v>119</v>
      </c>
      <c r="P11" s="273">
        <f t="shared" si="1"/>
        <v>15</v>
      </c>
      <c r="Q11" s="278">
        <f t="shared" si="1"/>
        <v>0</v>
      </c>
      <c r="R11" s="279">
        <f t="shared" si="1"/>
        <v>102</v>
      </c>
      <c r="S11" s="278">
        <f t="shared" si="1"/>
        <v>25.47</v>
      </c>
      <c r="T11" s="279">
        <f t="shared" si="1"/>
        <v>29338</v>
      </c>
      <c r="U11" s="278">
        <f t="shared" si="1"/>
        <v>8451.3770000000004</v>
      </c>
      <c r="V11" s="279">
        <f t="shared" si="1"/>
        <v>2772</v>
      </c>
      <c r="W11" s="278">
        <f t="shared" si="1"/>
        <v>19537.14</v>
      </c>
      <c r="X11" s="279">
        <f t="shared" si="1"/>
        <v>6695</v>
      </c>
      <c r="Y11" s="278">
        <f>SUM(Y13:Y18)</f>
        <v>1029.8590000000002</v>
      </c>
      <c r="Z11" s="279">
        <f>SUM(Z13:Z18)</f>
        <v>47017</v>
      </c>
      <c r="AA11" s="278">
        <f>SUM(AA13:AA18)</f>
        <v>10380.370999999999</v>
      </c>
      <c r="AB11" s="272">
        <f>SUM(AB13:AB18)</f>
        <v>4080</v>
      </c>
      <c r="AC11" s="279">
        <f>SUM(AC13:AC18)</f>
        <v>247</v>
      </c>
      <c r="AD11" s="248" t="s">
        <v>175</v>
      </c>
      <c r="AE11" s="132"/>
    </row>
    <row r="12" spans="1:31" ht="12.05" customHeight="1" x14ac:dyDescent="0.3">
      <c r="A12" s="270"/>
      <c r="B12" s="271"/>
      <c r="C12" s="272"/>
      <c r="D12" s="273"/>
      <c r="E12" s="272"/>
      <c r="F12" s="273"/>
      <c r="G12" s="272"/>
      <c r="H12" s="273"/>
      <c r="I12" s="272"/>
      <c r="J12" s="273"/>
      <c r="K12" s="272"/>
      <c r="L12" s="273"/>
      <c r="M12" s="272"/>
      <c r="N12" s="273"/>
      <c r="O12" s="272"/>
      <c r="P12" s="273"/>
      <c r="Q12" s="278"/>
      <c r="R12" s="279"/>
      <c r="S12" s="278"/>
      <c r="T12" s="279"/>
      <c r="U12" s="278"/>
      <c r="V12" s="279"/>
      <c r="W12" s="278"/>
      <c r="X12" s="279"/>
      <c r="Y12" s="278"/>
      <c r="Z12" s="279"/>
      <c r="AA12" s="278"/>
      <c r="AB12" s="272"/>
      <c r="AC12" s="279"/>
      <c r="AD12" s="248"/>
      <c r="AE12" s="132"/>
    </row>
    <row r="13" spans="1:31" x14ac:dyDescent="0.3">
      <c r="A13" s="148" t="s">
        <v>291</v>
      </c>
      <c r="B13" s="149">
        <f>SUM(C13,E13,G13,I13,K13,M13,O13,R13,T13,V13,X13,Z13,AB13,AC13)</f>
        <v>423670</v>
      </c>
      <c r="C13" s="150">
        <v>52266</v>
      </c>
      <c r="D13" s="151">
        <v>5414.665</v>
      </c>
      <c r="E13" s="152">
        <v>570</v>
      </c>
      <c r="F13" s="151">
        <v>162.44999999999999</v>
      </c>
      <c r="G13" s="150">
        <v>267005</v>
      </c>
      <c r="H13" s="151">
        <v>59022.7</v>
      </c>
      <c r="I13" s="150">
        <v>88258</v>
      </c>
      <c r="J13" s="151">
        <v>13404.16</v>
      </c>
      <c r="K13" s="150">
        <v>74</v>
      </c>
      <c r="L13" s="151">
        <v>11.81</v>
      </c>
      <c r="M13" s="150">
        <v>12387</v>
      </c>
      <c r="N13" s="151">
        <v>2504.25</v>
      </c>
      <c r="O13" s="150" t="s">
        <v>373</v>
      </c>
      <c r="P13" s="154">
        <v>15</v>
      </c>
      <c r="Q13" s="152" t="s">
        <v>373</v>
      </c>
      <c r="R13" s="151">
        <v>2</v>
      </c>
      <c r="S13" s="150">
        <v>0.06</v>
      </c>
      <c r="T13" s="151">
        <v>75</v>
      </c>
      <c r="U13" s="150">
        <v>21.5</v>
      </c>
      <c r="V13" s="151">
        <v>313</v>
      </c>
      <c r="W13" s="150">
        <v>1736.84</v>
      </c>
      <c r="X13" s="151">
        <v>409</v>
      </c>
      <c r="Y13" s="150">
        <v>80.543000000000006</v>
      </c>
      <c r="Z13" s="151">
        <v>268</v>
      </c>
      <c r="AA13" s="150">
        <v>53.07</v>
      </c>
      <c r="AB13" s="151">
        <v>2043</v>
      </c>
      <c r="AC13" s="189" t="s">
        <v>373</v>
      </c>
      <c r="AD13" s="153" t="s">
        <v>176</v>
      </c>
      <c r="AE13" s="132"/>
    </row>
    <row r="14" spans="1:31" x14ac:dyDescent="0.3">
      <c r="A14" s="148" t="s">
        <v>292</v>
      </c>
      <c r="B14" s="149">
        <f>SUM(C14,E14,G14,I14,K14,M14,O14,R14,T14,V14,X14,Z14,AB14,AC14)</f>
        <v>124491</v>
      </c>
      <c r="C14" s="150">
        <v>1291</v>
      </c>
      <c r="D14" s="151">
        <v>279.19</v>
      </c>
      <c r="E14" s="150">
        <v>100</v>
      </c>
      <c r="F14" s="151">
        <v>30</v>
      </c>
      <c r="G14" s="150">
        <v>45941</v>
      </c>
      <c r="H14" s="151">
        <v>15171.8</v>
      </c>
      <c r="I14" s="152">
        <v>71</v>
      </c>
      <c r="J14" s="151">
        <v>20.74</v>
      </c>
      <c r="K14" s="152" t="s">
        <v>373</v>
      </c>
      <c r="L14" s="151" t="s">
        <v>373</v>
      </c>
      <c r="M14" s="150">
        <v>69986</v>
      </c>
      <c r="N14" s="151">
        <v>22017.64</v>
      </c>
      <c r="O14" s="150">
        <v>46</v>
      </c>
      <c r="P14" s="154" t="s">
        <v>373</v>
      </c>
      <c r="Q14" s="152" t="s">
        <v>373</v>
      </c>
      <c r="R14" s="151" t="s">
        <v>373</v>
      </c>
      <c r="S14" s="150" t="s">
        <v>373</v>
      </c>
      <c r="T14" s="151">
        <v>2744</v>
      </c>
      <c r="U14" s="150">
        <v>822.6</v>
      </c>
      <c r="V14" s="151">
        <v>55</v>
      </c>
      <c r="W14" s="150">
        <v>310</v>
      </c>
      <c r="X14" s="151">
        <v>161</v>
      </c>
      <c r="Y14" s="150">
        <v>17.18</v>
      </c>
      <c r="Z14" s="151">
        <v>3763</v>
      </c>
      <c r="AA14" s="150">
        <v>870.23400000000004</v>
      </c>
      <c r="AB14" s="151">
        <v>308</v>
      </c>
      <c r="AC14" s="189">
        <v>25</v>
      </c>
      <c r="AD14" s="153" t="s">
        <v>177</v>
      </c>
      <c r="AE14" s="132"/>
    </row>
    <row r="15" spans="1:31" x14ac:dyDescent="0.3">
      <c r="A15" s="148" t="s">
        <v>293</v>
      </c>
      <c r="B15" s="149">
        <f t="shared" ref="B15:B18" si="2">SUM(C15,E15,G15,I15,K15,M15,O15,R15,T15,V15,X15,Z15,AB15,AC15)</f>
        <v>644898</v>
      </c>
      <c r="C15" s="150">
        <v>3170</v>
      </c>
      <c r="D15" s="151">
        <v>650.78599999999994</v>
      </c>
      <c r="E15" s="152">
        <v>872</v>
      </c>
      <c r="F15" s="151">
        <v>279.13</v>
      </c>
      <c r="G15" s="150">
        <v>171095</v>
      </c>
      <c r="H15" s="151">
        <v>52515.71</v>
      </c>
      <c r="I15" s="150">
        <v>176558</v>
      </c>
      <c r="J15" s="151">
        <v>27377.946</v>
      </c>
      <c r="K15" s="150">
        <v>3008</v>
      </c>
      <c r="L15" s="151">
        <v>418.14699999999999</v>
      </c>
      <c r="M15" s="150">
        <v>262459</v>
      </c>
      <c r="N15" s="151">
        <v>80086.534</v>
      </c>
      <c r="O15" s="150">
        <v>73</v>
      </c>
      <c r="P15" s="154" t="s">
        <v>373</v>
      </c>
      <c r="Q15" s="152" t="s">
        <v>373</v>
      </c>
      <c r="R15" s="151">
        <v>65</v>
      </c>
      <c r="S15" s="150">
        <v>17.61</v>
      </c>
      <c r="T15" s="151">
        <v>1299</v>
      </c>
      <c r="U15" s="150">
        <v>367.59</v>
      </c>
      <c r="V15" s="151">
        <v>2404</v>
      </c>
      <c r="W15" s="150">
        <v>17490.3</v>
      </c>
      <c r="X15" s="151">
        <v>6045</v>
      </c>
      <c r="Y15" s="150">
        <v>920.18600000000004</v>
      </c>
      <c r="Z15" s="151">
        <v>16460</v>
      </c>
      <c r="AA15" s="150">
        <v>2802.88</v>
      </c>
      <c r="AB15" s="151">
        <v>1249</v>
      </c>
      <c r="AC15" s="189">
        <v>141</v>
      </c>
      <c r="AD15" s="153" t="s">
        <v>178</v>
      </c>
      <c r="AE15" s="132"/>
    </row>
    <row r="16" spans="1:31" x14ac:dyDescent="0.3">
      <c r="A16" s="148" t="s">
        <v>294</v>
      </c>
      <c r="B16" s="149">
        <f t="shared" si="2"/>
        <v>137</v>
      </c>
      <c r="C16" s="152" t="s">
        <v>373</v>
      </c>
      <c r="D16" s="151" t="s">
        <v>373</v>
      </c>
      <c r="E16" s="152" t="s">
        <v>373</v>
      </c>
      <c r="F16" s="151" t="s">
        <v>373</v>
      </c>
      <c r="G16" s="152" t="s">
        <v>373</v>
      </c>
      <c r="H16" s="151" t="s">
        <v>373</v>
      </c>
      <c r="I16" s="152" t="s">
        <v>373</v>
      </c>
      <c r="J16" s="151" t="s">
        <v>373</v>
      </c>
      <c r="K16" s="152" t="s">
        <v>373</v>
      </c>
      <c r="L16" s="151" t="s">
        <v>373</v>
      </c>
      <c r="M16" s="152" t="s">
        <v>373</v>
      </c>
      <c r="N16" s="151" t="s">
        <v>373</v>
      </c>
      <c r="O16" s="150" t="s">
        <v>373</v>
      </c>
      <c r="P16" s="154" t="s">
        <v>373</v>
      </c>
      <c r="Q16" s="152" t="s">
        <v>373</v>
      </c>
      <c r="R16" s="154" t="s">
        <v>373</v>
      </c>
      <c r="S16" s="150" t="s">
        <v>373</v>
      </c>
      <c r="T16" s="154" t="s">
        <v>373</v>
      </c>
      <c r="U16" s="150" t="s">
        <v>373</v>
      </c>
      <c r="V16" s="154" t="s">
        <v>373</v>
      </c>
      <c r="W16" s="150" t="s">
        <v>373</v>
      </c>
      <c r="X16" s="154" t="s">
        <v>373</v>
      </c>
      <c r="Y16" s="150" t="s">
        <v>373</v>
      </c>
      <c r="Z16" s="154" t="s">
        <v>373</v>
      </c>
      <c r="AA16" s="150" t="s">
        <v>373</v>
      </c>
      <c r="AB16" s="151">
        <v>137</v>
      </c>
      <c r="AC16" s="190" t="s">
        <v>373</v>
      </c>
      <c r="AD16" s="153" t="s">
        <v>179</v>
      </c>
      <c r="AE16" s="132"/>
    </row>
    <row r="17" spans="1:31" x14ac:dyDescent="0.3">
      <c r="A17" s="148" t="s">
        <v>295</v>
      </c>
      <c r="B17" s="149">
        <f t="shared" si="2"/>
        <v>83334</v>
      </c>
      <c r="C17" s="150">
        <v>672</v>
      </c>
      <c r="D17" s="151">
        <v>138.482</v>
      </c>
      <c r="E17" s="152" t="s">
        <v>373</v>
      </c>
      <c r="F17" s="151" t="s">
        <v>373</v>
      </c>
      <c r="G17" s="150">
        <v>1528</v>
      </c>
      <c r="H17" s="151">
        <v>518.29</v>
      </c>
      <c r="I17" s="152">
        <v>35</v>
      </c>
      <c r="J17" s="151">
        <v>7.9</v>
      </c>
      <c r="K17" s="150">
        <v>4</v>
      </c>
      <c r="L17" s="151">
        <v>0.72</v>
      </c>
      <c r="M17" s="150">
        <v>42530</v>
      </c>
      <c r="N17" s="151">
        <v>10862.29</v>
      </c>
      <c r="O17" s="150" t="s">
        <v>373</v>
      </c>
      <c r="P17" s="154" t="s">
        <v>373</v>
      </c>
      <c r="Q17" s="152" t="s">
        <v>373</v>
      </c>
      <c r="R17" s="154">
        <v>35</v>
      </c>
      <c r="S17" s="150">
        <v>7.8</v>
      </c>
      <c r="T17" s="151">
        <v>24550</v>
      </c>
      <c r="U17" s="150">
        <v>7110.9269999999997</v>
      </c>
      <c r="V17" s="151" t="s">
        <v>373</v>
      </c>
      <c r="W17" s="150" t="s">
        <v>373</v>
      </c>
      <c r="X17" s="151">
        <v>20</v>
      </c>
      <c r="Y17" s="150">
        <v>3</v>
      </c>
      <c r="Z17" s="151">
        <v>13773</v>
      </c>
      <c r="AA17" s="150">
        <v>3256.6869999999999</v>
      </c>
      <c r="AB17" s="151">
        <v>106</v>
      </c>
      <c r="AC17" s="189">
        <v>81</v>
      </c>
      <c r="AD17" s="153" t="s">
        <v>180</v>
      </c>
      <c r="AE17" s="132"/>
    </row>
    <row r="18" spans="1:31" x14ac:dyDescent="0.3">
      <c r="A18" s="148" t="s">
        <v>296</v>
      </c>
      <c r="B18" s="149">
        <f t="shared" si="2"/>
        <v>114628</v>
      </c>
      <c r="C18" s="150">
        <v>11235</v>
      </c>
      <c r="D18" s="151">
        <v>3575.096</v>
      </c>
      <c r="E18" s="150">
        <v>559</v>
      </c>
      <c r="F18" s="151">
        <v>176.25</v>
      </c>
      <c r="G18" s="150">
        <v>40597</v>
      </c>
      <c r="H18" s="151">
        <v>15481.66</v>
      </c>
      <c r="I18" s="150">
        <v>1457</v>
      </c>
      <c r="J18" s="151">
        <v>303.39999999999998</v>
      </c>
      <c r="K18" s="152">
        <v>368</v>
      </c>
      <c r="L18" s="151">
        <v>29.68</v>
      </c>
      <c r="M18" s="150">
        <v>46692</v>
      </c>
      <c r="N18" s="151">
        <v>10461.02</v>
      </c>
      <c r="O18" s="150" t="s">
        <v>373</v>
      </c>
      <c r="P18" s="154" t="s">
        <v>373</v>
      </c>
      <c r="Q18" s="152" t="s">
        <v>373</v>
      </c>
      <c r="R18" s="154" t="s">
        <v>373</v>
      </c>
      <c r="S18" s="150" t="s">
        <v>373</v>
      </c>
      <c r="T18" s="154">
        <v>670</v>
      </c>
      <c r="U18" s="150">
        <v>128.76</v>
      </c>
      <c r="V18" s="151" t="s">
        <v>373</v>
      </c>
      <c r="W18" s="150" t="s">
        <v>373</v>
      </c>
      <c r="X18" s="154">
        <v>60</v>
      </c>
      <c r="Y18" s="150">
        <v>8.9499999999999993</v>
      </c>
      <c r="Z18" s="151">
        <v>12753</v>
      </c>
      <c r="AA18" s="150">
        <v>3397.5</v>
      </c>
      <c r="AB18" s="151">
        <v>237</v>
      </c>
      <c r="AC18" s="190" t="s">
        <v>373</v>
      </c>
      <c r="AD18" s="153" t="s">
        <v>181</v>
      </c>
      <c r="AE18" s="132"/>
    </row>
    <row r="19" spans="1:31" x14ac:dyDescent="0.3">
      <c r="A19" s="270" t="s">
        <v>182</v>
      </c>
      <c r="B19" s="281">
        <f>SUM(B21:B27)</f>
        <v>1251146</v>
      </c>
      <c r="C19" s="222">
        <f>SUM(C21:C27)</f>
        <v>47008</v>
      </c>
      <c r="D19" s="217">
        <f t="shared" ref="D19:AC19" si="3">SUM(D21:D27)</f>
        <v>7908.6220000000003</v>
      </c>
      <c r="E19" s="216">
        <f t="shared" si="3"/>
        <v>1490</v>
      </c>
      <c r="F19" s="217">
        <f t="shared" si="3"/>
        <v>590.80799999999999</v>
      </c>
      <c r="G19" s="216">
        <f t="shared" si="3"/>
        <v>799765</v>
      </c>
      <c r="H19" s="217">
        <f t="shared" si="3"/>
        <v>268293.48800000001</v>
      </c>
      <c r="I19" s="216">
        <f t="shared" si="3"/>
        <v>44705</v>
      </c>
      <c r="J19" s="217">
        <f t="shared" si="3"/>
        <v>6873.8820000000005</v>
      </c>
      <c r="K19" s="216">
        <f t="shared" si="3"/>
        <v>2729</v>
      </c>
      <c r="L19" s="217">
        <f t="shared" si="3"/>
        <v>357.096</v>
      </c>
      <c r="M19" s="216">
        <f t="shared" si="3"/>
        <v>264450</v>
      </c>
      <c r="N19" s="217">
        <f t="shared" si="3"/>
        <v>65126.221999999994</v>
      </c>
      <c r="O19" s="216">
        <f t="shared" si="3"/>
        <v>56</v>
      </c>
      <c r="P19" s="217">
        <f t="shared" si="3"/>
        <v>0</v>
      </c>
      <c r="Q19" s="216">
        <f t="shared" si="3"/>
        <v>0</v>
      </c>
      <c r="R19" s="217">
        <f t="shared" si="3"/>
        <v>6811</v>
      </c>
      <c r="S19" s="216">
        <f t="shared" si="3"/>
        <v>2318.6840000000002</v>
      </c>
      <c r="T19" s="217">
        <f t="shared" si="3"/>
        <v>2149</v>
      </c>
      <c r="U19" s="218">
        <f t="shared" si="3"/>
        <v>562.74099999999999</v>
      </c>
      <c r="V19" s="217">
        <f t="shared" si="3"/>
        <v>6661</v>
      </c>
      <c r="W19" s="217">
        <f t="shared" si="3"/>
        <v>38938.631000000001</v>
      </c>
      <c r="X19" s="217">
        <f t="shared" si="3"/>
        <v>30</v>
      </c>
      <c r="Y19" s="217">
        <f t="shared" si="3"/>
        <v>7.24</v>
      </c>
      <c r="Z19" s="217">
        <f t="shared" si="3"/>
        <v>51503</v>
      </c>
      <c r="AA19" s="217">
        <f t="shared" si="3"/>
        <v>9197.378999999999</v>
      </c>
      <c r="AB19" s="217">
        <f t="shared" si="3"/>
        <v>22233</v>
      </c>
      <c r="AC19" s="216">
        <f t="shared" si="3"/>
        <v>1556</v>
      </c>
      <c r="AD19" s="280" t="s">
        <v>183</v>
      </c>
      <c r="AE19" s="132"/>
    </row>
    <row r="20" spans="1:31" x14ac:dyDescent="0.3">
      <c r="A20" s="270"/>
      <c r="B20" s="281"/>
      <c r="C20" s="222"/>
      <c r="D20" s="217"/>
      <c r="E20" s="216"/>
      <c r="F20" s="217"/>
      <c r="G20" s="216"/>
      <c r="H20" s="217"/>
      <c r="I20" s="216"/>
      <c r="J20" s="217"/>
      <c r="K20" s="216"/>
      <c r="L20" s="217"/>
      <c r="M20" s="216"/>
      <c r="N20" s="217"/>
      <c r="O20" s="216"/>
      <c r="P20" s="217"/>
      <c r="Q20" s="216"/>
      <c r="R20" s="217"/>
      <c r="S20" s="216"/>
      <c r="T20" s="217"/>
      <c r="U20" s="218"/>
      <c r="V20" s="217"/>
      <c r="W20" s="217"/>
      <c r="X20" s="217"/>
      <c r="Y20" s="217"/>
      <c r="Z20" s="217"/>
      <c r="AA20" s="217"/>
      <c r="AB20" s="217"/>
      <c r="AC20" s="216"/>
      <c r="AD20" s="280"/>
      <c r="AE20" s="132"/>
    </row>
    <row r="21" spans="1:31" x14ac:dyDescent="0.3">
      <c r="A21" s="148" t="s">
        <v>297</v>
      </c>
      <c r="B21" s="149">
        <f>SUM(C21,E21,G21,I21,K21,M21,O21,R21,T21,V21,X21,Z21,AB21,AC21)</f>
        <v>222664</v>
      </c>
      <c r="C21" s="150">
        <v>4263</v>
      </c>
      <c r="D21" s="151">
        <v>533.14800000000002</v>
      </c>
      <c r="E21" s="150">
        <v>46</v>
      </c>
      <c r="F21" s="151">
        <v>12.862</v>
      </c>
      <c r="G21" s="150">
        <v>124958</v>
      </c>
      <c r="H21" s="151">
        <v>46079.675000000003</v>
      </c>
      <c r="I21" s="150">
        <v>17198</v>
      </c>
      <c r="J21" s="151">
        <v>1961.54</v>
      </c>
      <c r="K21" s="150">
        <v>93</v>
      </c>
      <c r="L21" s="151">
        <v>9.7159999999999993</v>
      </c>
      <c r="M21" s="150">
        <v>43339</v>
      </c>
      <c r="N21" s="151">
        <v>6181.3819999999996</v>
      </c>
      <c r="O21" s="150" t="s">
        <v>373</v>
      </c>
      <c r="P21" s="154" t="s">
        <v>373</v>
      </c>
      <c r="Q21" s="152" t="s">
        <v>373</v>
      </c>
      <c r="R21" s="151">
        <v>120</v>
      </c>
      <c r="S21" s="150">
        <v>36.365000000000002</v>
      </c>
      <c r="T21" s="151" t="s">
        <v>373</v>
      </c>
      <c r="U21" s="150" t="s">
        <v>373</v>
      </c>
      <c r="V21" s="151">
        <v>477</v>
      </c>
      <c r="W21" s="150">
        <v>3172.5</v>
      </c>
      <c r="X21" s="151">
        <v>3</v>
      </c>
      <c r="Y21" s="150">
        <v>0.3</v>
      </c>
      <c r="Z21" s="151">
        <v>21111</v>
      </c>
      <c r="AA21" s="150">
        <v>3237.0880000000002</v>
      </c>
      <c r="AB21" s="151">
        <v>10917</v>
      </c>
      <c r="AC21" s="189">
        <v>139</v>
      </c>
      <c r="AD21" s="153" t="s">
        <v>184</v>
      </c>
      <c r="AE21" s="132"/>
    </row>
    <row r="22" spans="1:31" x14ac:dyDescent="0.3">
      <c r="A22" s="148" t="s">
        <v>298</v>
      </c>
      <c r="B22" s="149">
        <f t="shared" ref="B22:B32" si="4">SUM(C22,E22,G22,I22,K22,M22,O22,R22,T22,V22,X22,Z22,AB22,AC22)</f>
        <v>159767</v>
      </c>
      <c r="C22" s="150">
        <v>1303</v>
      </c>
      <c r="D22" s="151">
        <v>280.7</v>
      </c>
      <c r="E22" s="150">
        <v>579</v>
      </c>
      <c r="F22" s="151">
        <v>187.446</v>
      </c>
      <c r="G22" s="150">
        <v>153338</v>
      </c>
      <c r="H22" s="151">
        <v>44965.78</v>
      </c>
      <c r="I22" s="150" t="s">
        <v>373</v>
      </c>
      <c r="J22" s="151" t="s">
        <v>373</v>
      </c>
      <c r="K22" s="150" t="s">
        <v>373</v>
      </c>
      <c r="L22" s="151" t="s">
        <v>373</v>
      </c>
      <c r="M22" s="150">
        <v>2235</v>
      </c>
      <c r="N22" s="151">
        <v>882.3</v>
      </c>
      <c r="O22" s="150">
        <v>37</v>
      </c>
      <c r="P22" s="154" t="s">
        <v>373</v>
      </c>
      <c r="Q22" s="152" t="s">
        <v>373</v>
      </c>
      <c r="R22" s="151">
        <v>36</v>
      </c>
      <c r="S22" s="150">
        <v>14.4</v>
      </c>
      <c r="T22" s="151" t="s">
        <v>373</v>
      </c>
      <c r="U22" s="150" t="s">
        <v>373</v>
      </c>
      <c r="V22" s="154">
        <v>933</v>
      </c>
      <c r="W22" s="150">
        <v>5400.4</v>
      </c>
      <c r="X22" s="151" t="s">
        <v>373</v>
      </c>
      <c r="Y22" s="150" t="s">
        <v>373</v>
      </c>
      <c r="Z22" s="154">
        <v>926</v>
      </c>
      <c r="AA22" s="150">
        <v>172.35</v>
      </c>
      <c r="AB22" s="151">
        <v>310</v>
      </c>
      <c r="AC22" s="190">
        <v>70</v>
      </c>
      <c r="AD22" s="153" t="s">
        <v>185</v>
      </c>
      <c r="AE22" s="132"/>
    </row>
    <row r="23" spans="1:31" x14ac:dyDescent="0.3">
      <c r="A23" s="148" t="s">
        <v>299</v>
      </c>
      <c r="B23" s="149">
        <f t="shared" si="4"/>
        <v>138426</v>
      </c>
      <c r="C23" s="150">
        <v>1853</v>
      </c>
      <c r="D23" s="151">
        <v>376.84300000000002</v>
      </c>
      <c r="E23" s="150">
        <v>192</v>
      </c>
      <c r="F23" s="151">
        <v>55</v>
      </c>
      <c r="G23" s="150">
        <v>57796</v>
      </c>
      <c r="H23" s="151">
        <v>17422.13</v>
      </c>
      <c r="I23" s="150">
        <v>22559</v>
      </c>
      <c r="J23" s="151">
        <v>4078.2280000000001</v>
      </c>
      <c r="K23" s="150">
        <v>1247</v>
      </c>
      <c r="L23" s="151">
        <v>188.45</v>
      </c>
      <c r="M23" s="150">
        <v>44752</v>
      </c>
      <c r="N23" s="151">
        <v>7842.62</v>
      </c>
      <c r="O23" s="150" t="s">
        <v>373</v>
      </c>
      <c r="P23" s="154" t="s">
        <v>373</v>
      </c>
      <c r="Q23" s="152" t="s">
        <v>373</v>
      </c>
      <c r="R23" s="151">
        <v>400</v>
      </c>
      <c r="S23" s="150">
        <v>133.68</v>
      </c>
      <c r="T23" s="151" t="s">
        <v>373</v>
      </c>
      <c r="U23" s="150" t="s">
        <v>373</v>
      </c>
      <c r="V23" s="154">
        <v>213</v>
      </c>
      <c r="W23" s="150">
        <v>1221.5</v>
      </c>
      <c r="X23" s="151" t="s">
        <v>373</v>
      </c>
      <c r="Y23" s="150" t="s">
        <v>373</v>
      </c>
      <c r="Z23" s="151">
        <v>5354</v>
      </c>
      <c r="AA23" s="150">
        <v>1037.79</v>
      </c>
      <c r="AB23" s="151">
        <v>3699</v>
      </c>
      <c r="AC23" s="189">
        <v>361</v>
      </c>
      <c r="AD23" s="153" t="s">
        <v>186</v>
      </c>
      <c r="AE23" s="132"/>
    </row>
    <row r="24" spans="1:31" x14ac:dyDescent="0.3">
      <c r="A24" s="148" t="s">
        <v>300</v>
      </c>
      <c r="B24" s="149">
        <f t="shared" si="4"/>
        <v>143770</v>
      </c>
      <c r="C24" s="150">
        <v>431</v>
      </c>
      <c r="D24" s="151">
        <v>77.849999999999994</v>
      </c>
      <c r="E24" s="150">
        <v>673</v>
      </c>
      <c r="F24" s="151">
        <v>335.5</v>
      </c>
      <c r="G24" s="150">
        <v>132627</v>
      </c>
      <c r="H24" s="151">
        <v>63532.28</v>
      </c>
      <c r="I24" s="152" t="s">
        <v>373</v>
      </c>
      <c r="J24" s="151"/>
      <c r="K24" s="150">
        <v>3</v>
      </c>
      <c r="L24" s="151">
        <v>0.33600000000000002</v>
      </c>
      <c r="M24" s="150">
        <v>5781</v>
      </c>
      <c r="N24" s="151">
        <v>1734.2</v>
      </c>
      <c r="O24" s="150" t="s">
        <v>373</v>
      </c>
      <c r="P24" s="154" t="s">
        <v>373</v>
      </c>
      <c r="Q24" s="152" t="s">
        <v>373</v>
      </c>
      <c r="R24" s="151" t="s">
        <v>373</v>
      </c>
      <c r="S24" s="150" t="s">
        <v>373</v>
      </c>
      <c r="T24" s="151">
        <v>36</v>
      </c>
      <c r="U24" s="150">
        <v>10.08</v>
      </c>
      <c r="V24" s="154">
        <v>2319</v>
      </c>
      <c r="W24" s="150">
        <v>16073.6</v>
      </c>
      <c r="X24" s="151" t="s">
        <v>373</v>
      </c>
      <c r="Y24" s="150" t="s">
        <v>373</v>
      </c>
      <c r="Z24" s="151">
        <v>1336</v>
      </c>
      <c r="AA24" s="150">
        <v>332.25</v>
      </c>
      <c r="AB24" s="151">
        <v>522</v>
      </c>
      <c r="AC24" s="189">
        <v>42</v>
      </c>
      <c r="AD24" s="153" t="s">
        <v>187</v>
      </c>
      <c r="AE24" s="132"/>
    </row>
    <row r="25" spans="1:31" x14ac:dyDescent="0.3">
      <c r="A25" s="148" t="s">
        <v>301</v>
      </c>
      <c r="B25" s="149">
        <f t="shared" si="4"/>
        <v>82412</v>
      </c>
      <c r="C25" s="150">
        <v>25207</v>
      </c>
      <c r="D25" s="151">
        <v>4490.1909999999998</v>
      </c>
      <c r="E25" s="152" t="s">
        <v>373</v>
      </c>
      <c r="F25" s="151" t="s">
        <v>373</v>
      </c>
      <c r="G25" s="150">
        <v>38411</v>
      </c>
      <c r="H25" s="151">
        <v>13285.905000000001</v>
      </c>
      <c r="I25" s="152">
        <v>140</v>
      </c>
      <c r="J25" s="151">
        <v>28</v>
      </c>
      <c r="K25" s="150">
        <v>8</v>
      </c>
      <c r="L25" s="151">
        <v>1.24</v>
      </c>
      <c r="M25" s="150">
        <v>5375</v>
      </c>
      <c r="N25" s="151">
        <v>1301.0160000000001</v>
      </c>
      <c r="O25" s="150" t="s">
        <v>373</v>
      </c>
      <c r="P25" s="154" t="s">
        <v>373</v>
      </c>
      <c r="Q25" s="152" t="s">
        <v>373</v>
      </c>
      <c r="R25" s="154">
        <v>44</v>
      </c>
      <c r="S25" s="150">
        <v>13.2</v>
      </c>
      <c r="T25" s="151" t="s">
        <v>373</v>
      </c>
      <c r="U25" s="150" t="s">
        <v>373</v>
      </c>
      <c r="V25" s="154">
        <v>2113</v>
      </c>
      <c r="W25" s="150">
        <v>10681.08</v>
      </c>
      <c r="X25" s="154" t="s">
        <v>373</v>
      </c>
      <c r="Y25" s="150" t="s">
        <v>373</v>
      </c>
      <c r="Z25" s="151">
        <v>9039</v>
      </c>
      <c r="AA25" s="150">
        <v>1814.7190000000001</v>
      </c>
      <c r="AB25" s="151">
        <v>2050</v>
      </c>
      <c r="AC25" s="189">
        <v>25</v>
      </c>
      <c r="AD25" s="153" t="s">
        <v>188</v>
      </c>
      <c r="AE25" s="132"/>
    </row>
    <row r="26" spans="1:31" x14ac:dyDescent="0.3">
      <c r="A26" s="148" t="s">
        <v>302</v>
      </c>
      <c r="B26" s="149">
        <f t="shared" si="4"/>
        <v>486993</v>
      </c>
      <c r="C26" s="150">
        <v>13880</v>
      </c>
      <c r="D26" s="151">
        <v>2142.895</v>
      </c>
      <c r="E26" s="152" t="s">
        <v>373</v>
      </c>
      <c r="F26" s="151" t="s">
        <v>373</v>
      </c>
      <c r="G26" s="150">
        <v>289334</v>
      </c>
      <c r="H26" s="151">
        <v>82155.187999999995</v>
      </c>
      <c r="I26" s="150">
        <v>4280</v>
      </c>
      <c r="J26" s="151">
        <v>720.27300000000002</v>
      </c>
      <c r="K26" s="150">
        <v>1378</v>
      </c>
      <c r="L26" s="151">
        <v>157.35400000000001</v>
      </c>
      <c r="M26" s="150">
        <v>159122</v>
      </c>
      <c r="N26" s="151">
        <v>46674.417000000001</v>
      </c>
      <c r="O26" s="150">
        <v>19</v>
      </c>
      <c r="P26" s="154" t="s">
        <v>373</v>
      </c>
      <c r="Q26" s="152" t="s">
        <v>373</v>
      </c>
      <c r="R26" s="151">
        <v>6211</v>
      </c>
      <c r="S26" s="150">
        <v>2121.0390000000002</v>
      </c>
      <c r="T26" s="151">
        <v>2113</v>
      </c>
      <c r="U26" s="150">
        <v>552.66099999999994</v>
      </c>
      <c r="V26" s="151">
        <v>606</v>
      </c>
      <c r="W26" s="150">
        <v>2389.5509999999999</v>
      </c>
      <c r="X26" s="151">
        <v>27</v>
      </c>
      <c r="Y26" s="150">
        <v>6.94</v>
      </c>
      <c r="Z26" s="151">
        <v>7077</v>
      </c>
      <c r="AA26" s="150">
        <v>1611.98</v>
      </c>
      <c r="AB26" s="151">
        <v>2064</v>
      </c>
      <c r="AC26" s="189">
        <v>882</v>
      </c>
      <c r="AD26" s="153" t="s">
        <v>189</v>
      </c>
      <c r="AE26" s="132"/>
    </row>
    <row r="27" spans="1:31" x14ac:dyDescent="0.3">
      <c r="A27" s="148" t="s">
        <v>303</v>
      </c>
      <c r="B27" s="149">
        <f t="shared" si="4"/>
        <v>17114</v>
      </c>
      <c r="C27" s="150">
        <v>71</v>
      </c>
      <c r="D27" s="151">
        <v>6.9950000000000001</v>
      </c>
      <c r="E27" s="150" t="s">
        <v>373</v>
      </c>
      <c r="F27" s="151" t="s">
        <v>373</v>
      </c>
      <c r="G27" s="150">
        <v>3301</v>
      </c>
      <c r="H27" s="151">
        <v>852.53</v>
      </c>
      <c r="I27" s="150">
        <v>528</v>
      </c>
      <c r="J27" s="151">
        <v>85.840999999999994</v>
      </c>
      <c r="K27" s="150" t="s">
        <v>373</v>
      </c>
      <c r="L27" s="151" t="s">
        <v>373</v>
      </c>
      <c r="M27" s="150">
        <v>3846</v>
      </c>
      <c r="N27" s="151">
        <v>510.28699999999998</v>
      </c>
      <c r="O27" s="150" t="s">
        <v>373</v>
      </c>
      <c r="P27" s="154" t="s">
        <v>373</v>
      </c>
      <c r="Q27" s="152" t="s">
        <v>373</v>
      </c>
      <c r="R27" s="151" t="s">
        <v>373</v>
      </c>
      <c r="S27" s="150" t="s">
        <v>373</v>
      </c>
      <c r="T27" s="154" t="s">
        <v>373</v>
      </c>
      <c r="U27" s="150" t="s">
        <v>373</v>
      </c>
      <c r="V27" s="154" t="s">
        <v>373</v>
      </c>
      <c r="W27" s="150" t="s">
        <v>373</v>
      </c>
      <c r="X27" s="154" t="s">
        <v>373</v>
      </c>
      <c r="Y27" s="150" t="s">
        <v>373</v>
      </c>
      <c r="Z27" s="151">
        <v>6660</v>
      </c>
      <c r="AA27" s="150">
        <v>991.202</v>
      </c>
      <c r="AB27" s="151">
        <v>2671</v>
      </c>
      <c r="AC27" s="190">
        <v>37</v>
      </c>
      <c r="AD27" s="153" t="s">
        <v>190</v>
      </c>
      <c r="AE27" s="132"/>
    </row>
    <row r="28" spans="1:31" s="164" customFormat="1" ht="21" customHeight="1" x14ac:dyDescent="0.3">
      <c r="A28" s="155" t="s">
        <v>286</v>
      </c>
      <c r="B28" s="156">
        <f>SUM(B29:B32)</f>
        <v>129527</v>
      </c>
      <c r="C28" s="157">
        <f>SUM(C29:C32)</f>
        <v>6421</v>
      </c>
      <c r="D28" s="158">
        <f>SUM(D29:D32)</f>
        <v>1295.4199999999998</v>
      </c>
      <c r="E28" s="159">
        <f>SUM(E29:E32)</f>
        <v>82</v>
      </c>
      <c r="F28" s="158">
        <f t="shared" ref="F28:AC28" si="5">SUM(F29:F32)</f>
        <v>17.59</v>
      </c>
      <c r="G28" s="159">
        <f t="shared" si="5"/>
        <v>822</v>
      </c>
      <c r="H28" s="158">
        <f t="shared" si="5"/>
        <v>222.11799999999999</v>
      </c>
      <c r="I28" s="159">
        <f t="shared" si="5"/>
        <v>181</v>
      </c>
      <c r="J28" s="158">
        <f t="shared" si="5"/>
        <v>22.65</v>
      </c>
      <c r="K28" s="159">
        <f t="shared" si="5"/>
        <v>7</v>
      </c>
      <c r="L28" s="158">
        <f t="shared" si="5"/>
        <v>0.7</v>
      </c>
      <c r="M28" s="159">
        <f t="shared" si="5"/>
        <v>75730</v>
      </c>
      <c r="N28" s="158">
        <f t="shared" si="5"/>
        <v>18026.917000000001</v>
      </c>
      <c r="O28" s="159">
        <f t="shared" si="5"/>
        <v>95</v>
      </c>
      <c r="P28" s="158">
        <f t="shared" si="5"/>
        <v>0</v>
      </c>
      <c r="Q28" s="160">
        <f t="shared" si="5"/>
        <v>0</v>
      </c>
      <c r="R28" s="161">
        <f t="shared" si="5"/>
        <v>59</v>
      </c>
      <c r="S28" s="160">
        <f t="shared" si="5"/>
        <v>17.52</v>
      </c>
      <c r="T28" s="161">
        <f t="shared" si="5"/>
        <v>6</v>
      </c>
      <c r="U28" s="162">
        <f t="shared" si="5"/>
        <v>1.25</v>
      </c>
      <c r="V28" s="161">
        <f t="shared" si="5"/>
        <v>1698</v>
      </c>
      <c r="W28" s="158">
        <f t="shared" si="5"/>
        <v>7721.9429999999993</v>
      </c>
      <c r="X28" s="161">
        <f t="shared" si="5"/>
        <v>24</v>
      </c>
      <c r="Y28" s="158">
        <f t="shared" si="5"/>
        <v>3.6890000000000001</v>
      </c>
      <c r="Z28" s="161">
        <f t="shared" si="5"/>
        <v>16267</v>
      </c>
      <c r="AA28" s="158">
        <f t="shared" si="5"/>
        <v>3369.6</v>
      </c>
      <c r="AB28" s="161">
        <f t="shared" si="5"/>
        <v>22452</v>
      </c>
      <c r="AC28" s="159">
        <f t="shared" si="5"/>
        <v>5683</v>
      </c>
      <c r="AD28" s="163" t="s">
        <v>287</v>
      </c>
      <c r="AE28" s="127"/>
    </row>
    <row r="29" spans="1:31" x14ac:dyDescent="0.3">
      <c r="A29" s="148" t="s">
        <v>304</v>
      </c>
      <c r="B29" s="149">
        <f t="shared" si="4"/>
        <v>66240</v>
      </c>
      <c r="C29" s="150">
        <v>3628</v>
      </c>
      <c r="D29" s="151">
        <v>621.21</v>
      </c>
      <c r="E29" s="152">
        <v>82</v>
      </c>
      <c r="F29" s="151">
        <v>17.59</v>
      </c>
      <c r="G29" s="152">
        <v>164</v>
      </c>
      <c r="H29" s="151">
        <v>36.468000000000004</v>
      </c>
      <c r="I29" s="152" t="s">
        <v>373</v>
      </c>
      <c r="J29" s="151" t="s">
        <v>373</v>
      </c>
      <c r="K29" s="152" t="s">
        <v>373</v>
      </c>
      <c r="L29" s="151" t="s">
        <v>373</v>
      </c>
      <c r="M29" s="150">
        <v>29670</v>
      </c>
      <c r="N29" s="151">
        <v>7823.4960000000001</v>
      </c>
      <c r="O29" s="150">
        <v>40</v>
      </c>
      <c r="P29" s="154" t="s">
        <v>373</v>
      </c>
      <c r="Q29" s="152" t="s">
        <v>373</v>
      </c>
      <c r="R29" s="154" t="s">
        <v>373</v>
      </c>
      <c r="S29" s="150" t="s">
        <v>373</v>
      </c>
      <c r="T29" s="151" t="s">
        <v>373</v>
      </c>
      <c r="U29" s="150" t="s">
        <v>373</v>
      </c>
      <c r="V29" s="151">
        <v>109</v>
      </c>
      <c r="W29" s="150">
        <v>555.69500000000005</v>
      </c>
      <c r="X29" s="154">
        <v>1</v>
      </c>
      <c r="Y29" s="150">
        <v>0.17</v>
      </c>
      <c r="Z29" s="151">
        <v>11634</v>
      </c>
      <c r="AA29" s="150">
        <v>2283.116</v>
      </c>
      <c r="AB29" s="151">
        <v>15406</v>
      </c>
      <c r="AC29" s="189">
        <v>5506</v>
      </c>
      <c r="AD29" s="153" t="s">
        <v>191</v>
      </c>
      <c r="AE29" s="132"/>
    </row>
    <row r="30" spans="1:31" x14ac:dyDescent="0.3">
      <c r="A30" s="148" t="s">
        <v>305</v>
      </c>
      <c r="B30" s="149">
        <f t="shared" si="4"/>
        <v>5945</v>
      </c>
      <c r="C30" s="150">
        <v>1583</v>
      </c>
      <c r="D30" s="151">
        <v>339.06</v>
      </c>
      <c r="E30" s="152" t="s">
        <v>373</v>
      </c>
      <c r="F30" s="151" t="s">
        <v>373</v>
      </c>
      <c r="G30" s="152" t="s">
        <v>373</v>
      </c>
      <c r="H30" s="151" t="s">
        <v>373</v>
      </c>
      <c r="I30" s="152" t="s">
        <v>373</v>
      </c>
      <c r="J30" s="151" t="s">
        <v>373</v>
      </c>
      <c r="K30" s="152" t="s">
        <v>373</v>
      </c>
      <c r="L30" s="151" t="s">
        <v>373</v>
      </c>
      <c r="M30" s="150">
        <v>56</v>
      </c>
      <c r="N30" s="151">
        <v>11.69</v>
      </c>
      <c r="O30" s="150">
        <v>26</v>
      </c>
      <c r="P30" s="154" t="s">
        <v>373</v>
      </c>
      <c r="Q30" s="152" t="s">
        <v>373</v>
      </c>
      <c r="R30" s="151">
        <v>19</v>
      </c>
      <c r="S30" s="150">
        <v>1.52</v>
      </c>
      <c r="T30" s="154" t="s">
        <v>373</v>
      </c>
      <c r="U30" s="150" t="s">
        <v>373</v>
      </c>
      <c r="V30" s="154" t="s">
        <v>373</v>
      </c>
      <c r="W30" s="150" t="s">
        <v>373</v>
      </c>
      <c r="X30" s="154" t="s">
        <v>373</v>
      </c>
      <c r="Y30" s="150" t="s">
        <v>373</v>
      </c>
      <c r="Z30" s="154" t="s">
        <v>373</v>
      </c>
      <c r="AA30" s="150" t="s">
        <v>373</v>
      </c>
      <c r="AB30" s="151">
        <v>4213</v>
      </c>
      <c r="AC30" s="189">
        <v>48</v>
      </c>
      <c r="AD30" s="153" t="s">
        <v>192</v>
      </c>
      <c r="AE30" s="132"/>
    </row>
    <row r="31" spans="1:31" x14ac:dyDescent="0.3">
      <c r="A31" s="148" t="s">
        <v>306</v>
      </c>
      <c r="B31" s="149">
        <f t="shared" si="4"/>
        <v>3602</v>
      </c>
      <c r="C31" s="150">
        <v>1204</v>
      </c>
      <c r="D31" s="151">
        <v>334.07</v>
      </c>
      <c r="E31" s="152" t="s">
        <v>373</v>
      </c>
      <c r="F31" s="151" t="s">
        <v>373</v>
      </c>
      <c r="G31" s="150">
        <v>101</v>
      </c>
      <c r="H31" s="151">
        <v>18.55</v>
      </c>
      <c r="I31" s="150">
        <v>181</v>
      </c>
      <c r="J31" s="151">
        <v>22.65</v>
      </c>
      <c r="K31" s="152" t="s">
        <v>373</v>
      </c>
      <c r="L31" s="151" t="s">
        <v>373</v>
      </c>
      <c r="M31" s="152">
        <v>45</v>
      </c>
      <c r="N31" s="151">
        <v>6.335</v>
      </c>
      <c r="O31" s="150">
        <v>9</v>
      </c>
      <c r="P31" s="154" t="s">
        <v>373</v>
      </c>
      <c r="Q31" s="152" t="s">
        <v>373</v>
      </c>
      <c r="R31" s="151">
        <v>2</v>
      </c>
      <c r="S31" s="150">
        <v>0.8</v>
      </c>
      <c r="T31" s="151">
        <v>1</v>
      </c>
      <c r="U31" s="150">
        <v>0.25</v>
      </c>
      <c r="V31" s="154">
        <v>643</v>
      </c>
      <c r="W31" s="150">
        <v>1737.5</v>
      </c>
      <c r="X31" s="151" t="s">
        <v>373</v>
      </c>
      <c r="Y31" s="150" t="s">
        <v>373</v>
      </c>
      <c r="Z31" s="151" t="s">
        <v>373</v>
      </c>
      <c r="AA31" s="150" t="s">
        <v>373</v>
      </c>
      <c r="AB31" s="151">
        <v>1408</v>
      </c>
      <c r="AC31" s="189">
        <v>8</v>
      </c>
      <c r="AD31" s="153" t="s">
        <v>193</v>
      </c>
      <c r="AE31" s="132"/>
    </row>
    <row r="32" spans="1:31" x14ac:dyDescent="0.3">
      <c r="A32" s="148" t="s">
        <v>307</v>
      </c>
      <c r="B32" s="149">
        <f t="shared" si="4"/>
        <v>53740</v>
      </c>
      <c r="C32" s="150">
        <v>6</v>
      </c>
      <c r="D32" s="151">
        <v>1.08</v>
      </c>
      <c r="E32" s="152" t="s">
        <v>373</v>
      </c>
      <c r="F32" s="151" t="s">
        <v>373</v>
      </c>
      <c r="G32" s="152">
        <v>557</v>
      </c>
      <c r="H32" s="151">
        <v>167.1</v>
      </c>
      <c r="I32" s="152" t="s">
        <v>373</v>
      </c>
      <c r="J32" s="151" t="s">
        <v>373</v>
      </c>
      <c r="K32" s="152">
        <v>7</v>
      </c>
      <c r="L32" s="151">
        <v>0.7</v>
      </c>
      <c r="M32" s="150">
        <v>45959</v>
      </c>
      <c r="N32" s="151">
        <v>10185.396000000001</v>
      </c>
      <c r="O32" s="150">
        <v>20</v>
      </c>
      <c r="P32" s="154" t="s">
        <v>373</v>
      </c>
      <c r="Q32" s="152" t="s">
        <v>373</v>
      </c>
      <c r="R32" s="154">
        <v>38</v>
      </c>
      <c r="S32" s="150">
        <v>15.2</v>
      </c>
      <c r="T32" s="151">
        <v>5</v>
      </c>
      <c r="U32" s="150">
        <v>1</v>
      </c>
      <c r="V32" s="154">
        <v>946</v>
      </c>
      <c r="W32" s="150">
        <v>5428.7479999999996</v>
      </c>
      <c r="X32" s="151">
        <v>23</v>
      </c>
      <c r="Y32" s="150">
        <v>3.5190000000000001</v>
      </c>
      <c r="Z32" s="151">
        <v>4633</v>
      </c>
      <c r="AA32" s="150">
        <v>1086.4839999999999</v>
      </c>
      <c r="AB32" s="151">
        <v>1425</v>
      </c>
      <c r="AC32" s="189">
        <v>121</v>
      </c>
      <c r="AD32" s="153" t="s">
        <v>194</v>
      </c>
      <c r="AE32" s="132"/>
    </row>
    <row r="33" spans="1:31" x14ac:dyDescent="0.3">
      <c r="A33" s="270" t="s">
        <v>195</v>
      </c>
      <c r="B33" s="221">
        <f>SUM(B35:B38)</f>
        <v>2806</v>
      </c>
      <c r="C33" s="217">
        <f>SUM(C35:C38)</f>
        <v>14</v>
      </c>
      <c r="D33" s="217">
        <f t="shared" ref="D33:F33" si="6">SUM(D35:D38)</f>
        <v>4.13</v>
      </c>
      <c r="E33" s="217">
        <f t="shared" si="6"/>
        <v>1</v>
      </c>
      <c r="F33" s="217">
        <f t="shared" si="6"/>
        <v>0.3</v>
      </c>
      <c r="G33" s="217">
        <f t="shared" ref="G33:AC33" si="7">SUM(G35:G38)</f>
        <v>962</v>
      </c>
      <c r="H33" s="217">
        <f t="shared" si="7"/>
        <v>352.24</v>
      </c>
      <c r="I33" s="217">
        <f t="shared" si="7"/>
        <v>6</v>
      </c>
      <c r="J33" s="217">
        <f t="shared" si="7"/>
        <v>1.7</v>
      </c>
      <c r="K33" s="217">
        <f t="shared" si="7"/>
        <v>0</v>
      </c>
      <c r="L33" s="217">
        <f t="shared" si="7"/>
        <v>0</v>
      </c>
      <c r="M33" s="217">
        <f t="shared" si="7"/>
        <v>4</v>
      </c>
      <c r="N33" s="217">
        <f t="shared" si="7"/>
        <v>1.5</v>
      </c>
      <c r="O33" s="217">
        <f t="shared" si="7"/>
        <v>12</v>
      </c>
      <c r="P33" s="217">
        <f t="shared" si="7"/>
        <v>4.2519999999999998</v>
      </c>
      <c r="Q33" s="217">
        <f t="shared" si="7"/>
        <v>0</v>
      </c>
      <c r="R33" s="217">
        <f t="shared" si="7"/>
        <v>0</v>
      </c>
      <c r="S33" s="217">
        <f t="shared" si="7"/>
        <v>0</v>
      </c>
      <c r="T33" s="217">
        <f t="shared" si="7"/>
        <v>46</v>
      </c>
      <c r="U33" s="217">
        <f t="shared" si="7"/>
        <v>19.059999999999999</v>
      </c>
      <c r="V33" s="217">
        <f t="shared" si="7"/>
        <v>0</v>
      </c>
      <c r="W33" s="217">
        <f t="shared" si="7"/>
        <v>0</v>
      </c>
      <c r="X33" s="217">
        <f t="shared" si="7"/>
        <v>0</v>
      </c>
      <c r="Y33" s="217">
        <f t="shared" si="7"/>
        <v>0</v>
      </c>
      <c r="Z33" s="217">
        <f t="shared" si="7"/>
        <v>0</v>
      </c>
      <c r="AA33" s="217">
        <f t="shared" si="7"/>
        <v>0</v>
      </c>
      <c r="AB33" s="217">
        <f t="shared" si="7"/>
        <v>1724</v>
      </c>
      <c r="AC33" s="222">
        <f t="shared" si="7"/>
        <v>37</v>
      </c>
      <c r="AD33" s="282" t="s">
        <v>196</v>
      </c>
      <c r="AE33" s="132"/>
    </row>
    <row r="34" spans="1:31" x14ac:dyDescent="0.3">
      <c r="A34" s="270"/>
      <c r="B34" s="221"/>
      <c r="C34" s="217"/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22"/>
      <c r="AD34" s="282"/>
      <c r="AE34" s="132"/>
    </row>
    <row r="35" spans="1:31" x14ac:dyDescent="0.3">
      <c r="A35" s="148" t="s">
        <v>308</v>
      </c>
      <c r="B35" s="149">
        <f>SUM(C35,E35,G35,I35,K35,M35,O35,R35,T35,V35,X35,Z35,AB35,AC35)</f>
        <v>859</v>
      </c>
      <c r="C35" s="152" t="s">
        <v>373</v>
      </c>
      <c r="D35" s="151" t="s">
        <v>373</v>
      </c>
      <c r="E35" s="152" t="s">
        <v>373</v>
      </c>
      <c r="F35" s="151" t="s">
        <v>373</v>
      </c>
      <c r="G35" s="152" t="s">
        <v>373</v>
      </c>
      <c r="H35" s="151" t="s">
        <v>373</v>
      </c>
      <c r="I35" s="152" t="s">
        <v>373</v>
      </c>
      <c r="J35" s="151" t="s">
        <v>373</v>
      </c>
      <c r="K35" s="152" t="s">
        <v>373</v>
      </c>
      <c r="L35" s="151" t="s">
        <v>373</v>
      </c>
      <c r="M35" s="150">
        <v>4</v>
      </c>
      <c r="N35" s="151">
        <v>1.5</v>
      </c>
      <c r="O35" s="150">
        <v>11</v>
      </c>
      <c r="P35" s="154">
        <v>4.2519999999999998</v>
      </c>
      <c r="Q35" s="152" t="s">
        <v>373</v>
      </c>
      <c r="R35" s="154" t="s">
        <v>373</v>
      </c>
      <c r="S35" s="150" t="s">
        <v>373</v>
      </c>
      <c r="T35" s="151" t="s">
        <v>373</v>
      </c>
      <c r="U35" s="150" t="s">
        <v>373</v>
      </c>
      <c r="V35" s="151" t="s">
        <v>373</v>
      </c>
      <c r="W35" s="150" t="s">
        <v>373</v>
      </c>
      <c r="X35" s="154" t="s">
        <v>373</v>
      </c>
      <c r="Y35" s="150" t="s">
        <v>373</v>
      </c>
      <c r="Z35" s="154" t="s">
        <v>373</v>
      </c>
      <c r="AA35" s="150" t="s">
        <v>373</v>
      </c>
      <c r="AB35" s="151">
        <v>815</v>
      </c>
      <c r="AC35" s="189">
        <v>29</v>
      </c>
      <c r="AD35" s="153" t="s">
        <v>197</v>
      </c>
      <c r="AE35" s="132"/>
    </row>
    <row r="36" spans="1:31" x14ac:dyDescent="0.3">
      <c r="A36" s="148" t="s">
        <v>309</v>
      </c>
      <c r="B36" s="149">
        <f>SUM(C36,E36,G36,I36,K36,M36,O36,R36,T36,V36,X36,Z36,AB36,AC36)</f>
        <v>499</v>
      </c>
      <c r="C36" s="150">
        <v>14</v>
      </c>
      <c r="D36" s="151">
        <v>4.13</v>
      </c>
      <c r="E36" s="150">
        <v>1</v>
      </c>
      <c r="F36" s="151">
        <v>0.3</v>
      </c>
      <c r="G36" s="150">
        <v>266</v>
      </c>
      <c r="H36" s="151">
        <v>114.64</v>
      </c>
      <c r="I36" s="152" t="s">
        <v>373</v>
      </c>
      <c r="J36" s="151" t="s">
        <v>373</v>
      </c>
      <c r="K36" s="152" t="s">
        <v>373</v>
      </c>
      <c r="L36" s="151" t="s">
        <v>373</v>
      </c>
      <c r="M36" s="152" t="s">
        <v>373</v>
      </c>
      <c r="N36" s="151" t="s">
        <v>373</v>
      </c>
      <c r="O36" s="150" t="s">
        <v>373</v>
      </c>
      <c r="P36" s="154" t="s">
        <v>373</v>
      </c>
      <c r="Q36" s="152" t="s">
        <v>373</v>
      </c>
      <c r="R36" s="154" t="s">
        <v>373</v>
      </c>
      <c r="S36" s="150" t="s">
        <v>373</v>
      </c>
      <c r="T36" s="154">
        <v>46</v>
      </c>
      <c r="U36" s="150">
        <v>19.059999999999999</v>
      </c>
      <c r="V36" s="151" t="s">
        <v>373</v>
      </c>
      <c r="W36" s="150" t="s">
        <v>373</v>
      </c>
      <c r="X36" s="154" t="s">
        <v>373</v>
      </c>
      <c r="Y36" s="150" t="s">
        <v>373</v>
      </c>
      <c r="Z36" s="154" t="s">
        <v>373</v>
      </c>
      <c r="AA36" s="150" t="s">
        <v>373</v>
      </c>
      <c r="AB36" s="151">
        <v>171</v>
      </c>
      <c r="AC36" s="189">
        <v>1</v>
      </c>
      <c r="AD36" s="153" t="s">
        <v>198</v>
      </c>
      <c r="AE36" s="132"/>
    </row>
    <row r="37" spans="1:31" x14ac:dyDescent="0.3">
      <c r="A37" s="148" t="s">
        <v>310</v>
      </c>
      <c r="B37" s="149">
        <f>SUM(C37,E37,G37,I37,K37,M37,O37,R37,T37,V37,X37,Z37,AB37,AC37)</f>
        <v>482</v>
      </c>
      <c r="C37" s="152" t="s">
        <v>373</v>
      </c>
      <c r="D37" s="151" t="s">
        <v>373</v>
      </c>
      <c r="E37" s="152" t="s">
        <v>373</v>
      </c>
      <c r="F37" s="151" t="s">
        <v>373</v>
      </c>
      <c r="G37" s="152" t="s">
        <v>373</v>
      </c>
      <c r="H37" s="151" t="s">
        <v>373</v>
      </c>
      <c r="I37" s="152" t="s">
        <v>373</v>
      </c>
      <c r="J37" s="151" t="s">
        <v>373</v>
      </c>
      <c r="K37" s="152" t="s">
        <v>373</v>
      </c>
      <c r="L37" s="151" t="s">
        <v>373</v>
      </c>
      <c r="M37" s="150" t="s">
        <v>373</v>
      </c>
      <c r="N37" s="151" t="s">
        <v>373</v>
      </c>
      <c r="O37" s="150">
        <v>1</v>
      </c>
      <c r="P37" s="154" t="s">
        <v>373</v>
      </c>
      <c r="Q37" s="152" t="s">
        <v>373</v>
      </c>
      <c r="R37" s="154" t="s">
        <v>373</v>
      </c>
      <c r="S37" s="150" t="s">
        <v>373</v>
      </c>
      <c r="T37" s="154" t="s">
        <v>373</v>
      </c>
      <c r="U37" s="150" t="s">
        <v>373</v>
      </c>
      <c r="V37" s="151" t="s">
        <v>373</v>
      </c>
      <c r="W37" s="150" t="s">
        <v>373</v>
      </c>
      <c r="X37" s="154" t="s">
        <v>373</v>
      </c>
      <c r="Y37" s="150" t="s">
        <v>373</v>
      </c>
      <c r="Z37" s="154" t="s">
        <v>373</v>
      </c>
      <c r="AA37" s="150" t="s">
        <v>373</v>
      </c>
      <c r="AB37" s="151">
        <v>474</v>
      </c>
      <c r="AC37" s="189">
        <v>7</v>
      </c>
      <c r="AD37" s="153" t="s">
        <v>199</v>
      </c>
      <c r="AE37" s="132"/>
    </row>
    <row r="38" spans="1:31" x14ac:dyDescent="0.3">
      <c r="A38" s="148" t="s">
        <v>311</v>
      </c>
      <c r="B38" s="149">
        <f>SUM(C38,E38,G38,I38,K38,M38,O38,R38,T38,V38,X38,Z38,AB38,AC38)</f>
        <v>966</v>
      </c>
      <c r="C38" s="152" t="s">
        <v>373</v>
      </c>
      <c r="D38" s="151" t="s">
        <v>373</v>
      </c>
      <c r="E38" s="152" t="s">
        <v>373</v>
      </c>
      <c r="F38" s="151" t="s">
        <v>373</v>
      </c>
      <c r="G38" s="150">
        <v>696</v>
      </c>
      <c r="H38" s="151">
        <v>237.6</v>
      </c>
      <c r="I38" s="152">
        <v>6</v>
      </c>
      <c r="J38" s="151">
        <v>1.7</v>
      </c>
      <c r="K38" s="152" t="s">
        <v>373</v>
      </c>
      <c r="L38" s="151" t="s">
        <v>373</v>
      </c>
      <c r="M38" s="152" t="s">
        <v>373</v>
      </c>
      <c r="N38" s="151" t="s">
        <v>373</v>
      </c>
      <c r="O38" s="150" t="s">
        <v>373</v>
      </c>
      <c r="P38" s="154" t="s">
        <v>373</v>
      </c>
      <c r="Q38" s="152" t="s">
        <v>373</v>
      </c>
      <c r="R38" s="154" t="s">
        <v>373</v>
      </c>
      <c r="S38" s="150" t="s">
        <v>373</v>
      </c>
      <c r="T38" s="154" t="s">
        <v>373</v>
      </c>
      <c r="U38" s="150" t="s">
        <v>373</v>
      </c>
      <c r="V38" s="154" t="s">
        <v>373</v>
      </c>
      <c r="W38" s="150" t="s">
        <v>373</v>
      </c>
      <c r="X38" s="154" t="s">
        <v>373</v>
      </c>
      <c r="Y38" s="150" t="s">
        <v>373</v>
      </c>
      <c r="Z38" s="154" t="s">
        <v>373</v>
      </c>
      <c r="AA38" s="150" t="s">
        <v>373</v>
      </c>
      <c r="AB38" s="151">
        <v>264</v>
      </c>
      <c r="AC38" s="190" t="s">
        <v>373</v>
      </c>
      <c r="AD38" s="153" t="s">
        <v>200</v>
      </c>
      <c r="AE38" s="132"/>
    </row>
    <row r="39" spans="1:31" x14ac:dyDescent="0.3">
      <c r="A39" s="270" t="s">
        <v>201</v>
      </c>
      <c r="B39" s="281">
        <f>SUM(B41:B45)</f>
        <v>979295</v>
      </c>
      <c r="C39" s="222">
        <f>SUM(C41:C45)</f>
        <v>3549</v>
      </c>
      <c r="D39" s="217">
        <f>SUM(D41:D45)</f>
        <v>936.303</v>
      </c>
      <c r="E39" s="216">
        <f t="shared" ref="E39:N39" si="8">SUM(E41:E45)</f>
        <v>15691</v>
      </c>
      <c r="F39" s="217">
        <f t="shared" si="8"/>
        <v>5156.8620000000001</v>
      </c>
      <c r="G39" s="216">
        <f t="shared" si="8"/>
        <v>901240</v>
      </c>
      <c r="H39" s="217">
        <f t="shared" si="8"/>
        <v>321527.24400000001</v>
      </c>
      <c r="I39" s="216">
        <f>SUM(I41:I45)</f>
        <v>2393</v>
      </c>
      <c r="J39" s="217">
        <f>SUM(J41:J45)</f>
        <v>449.24</v>
      </c>
      <c r="K39" s="216">
        <f t="shared" si="8"/>
        <v>163</v>
      </c>
      <c r="L39" s="217">
        <f t="shared" si="8"/>
        <v>23.85</v>
      </c>
      <c r="M39" s="216">
        <f t="shared" si="8"/>
        <v>7946</v>
      </c>
      <c r="N39" s="217">
        <f t="shared" si="8"/>
        <v>1881.8100000000002</v>
      </c>
      <c r="O39" s="208">
        <f>SUM(O41:O45)</f>
        <v>367</v>
      </c>
      <c r="P39" s="210">
        <f t="shared" ref="P39:W39" si="9">SUM(P41:P45)</f>
        <v>3.742</v>
      </c>
      <c r="Q39" s="220">
        <f t="shared" si="9"/>
        <v>0</v>
      </c>
      <c r="R39" s="209">
        <f t="shared" si="9"/>
        <v>384</v>
      </c>
      <c r="S39" s="220">
        <f t="shared" si="9"/>
        <v>87.50500000000001</v>
      </c>
      <c r="T39" s="209">
        <f t="shared" si="9"/>
        <v>0</v>
      </c>
      <c r="U39" s="220">
        <f t="shared" si="9"/>
        <v>0</v>
      </c>
      <c r="V39" s="219">
        <f t="shared" si="9"/>
        <v>4753</v>
      </c>
      <c r="W39" s="210">
        <f t="shared" si="9"/>
        <v>28981.300000000003</v>
      </c>
      <c r="X39" s="209">
        <f t="shared" ref="X39:AC39" si="10">SUM(X41:X45)</f>
        <v>1</v>
      </c>
      <c r="Y39" s="210">
        <f t="shared" si="10"/>
        <v>0.18</v>
      </c>
      <c r="Z39" s="209">
        <f t="shared" si="10"/>
        <v>20947</v>
      </c>
      <c r="AA39" s="210">
        <f t="shared" si="10"/>
        <v>4500.857</v>
      </c>
      <c r="AB39" s="209">
        <f t="shared" si="10"/>
        <v>17704</v>
      </c>
      <c r="AC39" s="208">
        <f t="shared" si="10"/>
        <v>4157</v>
      </c>
      <c r="AD39" s="282" t="s">
        <v>202</v>
      </c>
      <c r="AE39" s="132"/>
    </row>
    <row r="40" spans="1:31" ht="8.15" customHeight="1" x14ac:dyDescent="0.3">
      <c r="A40" s="270"/>
      <c r="B40" s="281"/>
      <c r="C40" s="222"/>
      <c r="D40" s="217"/>
      <c r="E40" s="216"/>
      <c r="F40" s="217"/>
      <c r="G40" s="216"/>
      <c r="H40" s="217"/>
      <c r="I40" s="216"/>
      <c r="J40" s="217"/>
      <c r="K40" s="216"/>
      <c r="L40" s="217"/>
      <c r="M40" s="216"/>
      <c r="N40" s="217"/>
      <c r="O40" s="208"/>
      <c r="P40" s="210"/>
      <c r="Q40" s="220"/>
      <c r="R40" s="209"/>
      <c r="S40" s="220"/>
      <c r="T40" s="209"/>
      <c r="U40" s="220"/>
      <c r="V40" s="219"/>
      <c r="W40" s="210"/>
      <c r="X40" s="209"/>
      <c r="Y40" s="210"/>
      <c r="Z40" s="209"/>
      <c r="AA40" s="210"/>
      <c r="AB40" s="209"/>
      <c r="AC40" s="208"/>
      <c r="AD40" s="282"/>
      <c r="AE40" s="132"/>
    </row>
    <row r="41" spans="1:31" x14ac:dyDescent="0.3">
      <c r="A41" s="148" t="s">
        <v>312</v>
      </c>
      <c r="B41" s="149">
        <f>SUM(C41,E41,G41,I41,K41,M41,O41,R41,T41,V41,X41,Z41,AB41,AC41)</f>
        <v>356230</v>
      </c>
      <c r="C41" s="150">
        <v>3396</v>
      </c>
      <c r="D41" s="151">
        <v>901.76300000000003</v>
      </c>
      <c r="E41" s="150">
        <v>449</v>
      </c>
      <c r="F41" s="151">
        <v>105.36</v>
      </c>
      <c r="G41" s="150">
        <v>318137</v>
      </c>
      <c r="H41" s="151">
        <v>120407.79300000001</v>
      </c>
      <c r="I41" s="150">
        <v>2136</v>
      </c>
      <c r="J41" s="151">
        <v>389.61</v>
      </c>
      <c r="K41" s="150">
        <v>56</v>
      </c>
      <c r="L41" s="151">
        <v>5.9</v>
      </c>
      <c r="M41" s="150">
        <v>6730</v>
      </c>
      <c r="N41" s="151">
        <v>1573.67</v>
      </c>
      <c r="O41" s="150">
        <v>335</v>
      </c>
      <c r="P41" s="154">
        <v>3.742</v>
      </c>
      <c r="Q41" s="152" t="s">
        <v>373</v>
      </c>
      <c r="R41" s="151">
        <v>158</v>
      </c>
      <c r="S41" s="150">
        <v>38.1</v>
      </c>
      <c r="T41" s="151" t="s">
        <v>373</v>
      </c>
      <c r="U41" s="150" t="s">
        <v>373</v>
      </c>
      <c r="V41" s="154">
        <v>3534</v>
      </c>
      <c r="W41" s="150">
        <v>21753.9</v>
      </c>
      <c r="X41" s="154" t="s">
        <v>373</v>
      </c>
      <c r="Y41" s="150" t="s">
        <v>373</v>
      </c>
      <c r="Z41" s="151">
        <v>9143</v>
      </c>
      <c r="AA41" s="150">
        <v>1807.867</v>
      </c>
      <c r="AB41" s="151">
        <v>10341</v>
      </c>
      <c r="AC41" s="189">
        <v>1815</v>
      </c>
      <c r="AD41" s="153" t="s">
        <v>203</v>
      </c>
      <c r="AE41" s="132"/>
    </row>
    <row r="42" spans="1:31" x14ac:dyDescent="0.3">
      <c r="A42" s="148" t="s">
        <v>313</v>
      </c>
      <c r="B42" s="149">
        <f>SUM(C42,E42,G42,I42,K42,M42,O42,R42,T42,V42,X42,Z42,AB42,AC42)</f>
        <v>448728</v>
      </c>
      <c r="C42" s="152" t="s">
        <v>373</v>
      </c>
      <c r="D42" s="151" t="s">
        <v>373</v>
      </c>
      <c r="E42" s="150">
        <v>10467</v>
      </c>
      <c r="F42" s="151">
        <v>3325.172</v>
      </c>
      <c r="G42" s="150">
        <v>434929</v>
      </c>
      <c r="H42" s="151">
        <v>148321.88099999999</v>
      </c>
      <c r="I42" s="152" t="s">
        <v>373</v>
      </c>
      <c r="J42" s="151" t="s">
        <v>373</v>
      </c>
      <c r="K42" s="150">
        <v>26</v>
      </c>
      <c r="L42" s="151">
        <v>3.45</v>
      </c>
      <c r="M42" s="150">
        <v>268</v>
      </c>
      <c r="N42" s="151">
        <v>66.790000000000006</v>
      </c>
      <c r="O42" s="150">
        <v>3</v>
      </c>
      <c r="P42" s="154" t="s">
        <v>373</v>
      </c>
      <c r="Q42" s="152" t="s">
        <v>373</v>
      </c>
      <c r="R42" s="151">
        <v>147</v>
      </c>
      <c r="S42" s="150">
        <v>29.925000000000001</v>
      </c>
      <c r="T42" s="151" t="s">
        <v>373</v>
      </c>
      <c r="U42" s="150" t="s">
        <v>373</v>
      </c>
      <c r="V42" s="154">
        <v>970</v>
      </c>
      <c r="W42" s="150">
        <v>6142</v>
      </c>
      <c r="X42" s="154" t="s">
        <v>373</v>
      </c>
      <c r="Y42" s="150" t="s">
        <v>373</v>
      </c>
      <c r="Z42" s="154">
        <v>267</v>
      </c>
      <c r="AA42" s="150">
        <v>45.39</v>
      </c>
      <c r="AB42" s="151">
        <v>581</v>
      </c>
      <c r="AC42" s="189">
        <v>1070</v>
      </c>
      <c r="AD42" s="153" t="s">
        <v>204</v>
      </c>
      <c r="AE42" s="132"/>
    </row>
    <row r="43" spans="1:31" x14ac:dyDescent="0.3">
      <c r="A43" s="148" t="s">
        <v>314</v>
      </c>
      <c r="B43" s="149">
        <f>SUM(C43,E43,G43,I43,K43,M43,O43,R43,T43,V43,X43,Z43,AB43,AC43)</f>
        <v>69374</v>
      </c>
      <c r="C43" s="152" t="s">
        <v>373</v>
      </c>
      <c r="D43" s="151" t="s">
        <v>373</v>
      </c>
      <c r="E43" s="152" t="s">
        <v>373</v>
      </c>
      <c r="F43" s="151" t="s">
        <v>373</v>
      </c>
      <c r="G43" s="150">
        <v>49880</v>
      </c>
      <c r="H43" s="151">
        <v>15271.08</v>
      </c>
      <c r="I43" s="150">
        <v>257</v>
      </c>
      <c r="J43" s="151">
        <v>59.63</v>
      </c>
      <c r="K43" s="150">
        <v>34</v>
      </c>
      <c r="L43" s="151">
        <v>6.8</v>
      </c>
      <c r="M43" s="150">
        <v>813</v>
      </c>
      <c r="N43" s="151">
        <v>214.45</v>
      </c>
      <c r="O43" s="150" t="s">
        <v>373</v>
      </c>
      <c r="P43" s="154" t="s">
        <v>373</v>
      </c>
      <c r="Q43" s="152" t="s">
        <v>373</v>
      </c>
      <c r="R43" s="151">
        <v>12</v>
      </c>
      <c r="S43" s="150">
        <v>2.76</v>
      </c>
      <c r="T43" s="151" t="s">
        <v>373</v>
      </c>
      <c r="U43" s="150" t="s">
        <v>373</v>
      </c>
      <c r="V43" s="154">
        <v>124</v>
      </c>
      <c r="W43" s="150">
        <v>316.39999999999998</v>
      </c>
      <c r="X43" s="154" t="s">
        <v>373</v>
      </c>
      <c r="Y43" s="150" t="s">
        <v>373</v>
      </c>
      <c r="Z43" s="151">
        <v>11537</v>
      </c>
      <c r="AA43" s="150">
        <v>2647.6</v>
      </c>
      <c r="AB43" s="151">
        <v>5889</v>
      </c>
      <c r="AC43" s="189">
        <v>828</v>
      </c>
      <c r="AD43" s="153" t="s">
        <v>205</v>
      </c>
      <c r="AE43" s="132"/>
    </row>
    <row r="44" spans="1:31" x14ac:dyDescent="0.3">
      <c r="A44" s="148" t="s">
        <v>315</v>
      </c>
      <c r="B44" s="149">
        <f>SUM(C44,E44,G44,I44,K44,M44,O44,R44,T44,V44,X44,Z44,AB44,AC44)</f>
        <v>52</v>
      </c>
      <c r="C44" s="152" t="s">
        <v>373</v>
      </c>
      <c r="D44" s="151" t="s">
        <v>373</v>
      </c>
      <c r="E44" s="152" t="s">
        <v>373</v>
      </c>
      <c r="F44" s="151" t="s">
        <v>373</v>
      </c>
      <c r="G44" s="152" t="s">
        <v>373</v>
      </c>
      <c r="H44" s="151" t="s">
        <v>373</v>
      </c>
      <c r="I44" s="152" t="s">
        <v>373</v>
      </c>
      <c r="J44" s="151" t="s">
        <v>373</v>
      </c>
      <c r="K44" s="152" t="s">
        <v>373</v>
      </c>
      <c r="L44" s="151" t="s">
        <v>373</v>
      </c>
      <c r="M44" s="152" t="s">
        <v>373</v>
      </c>
      <c r="N44" s="151" t="s">
        <v>373</v>
      </c>
      <c r="O44" s="150" t="s">
        <v>373</v>
      </c>
      <c r="P44" s="154" t="s">
        <v>373</v>
      </c>
      <c r="Q44" s="152" t="s">
        <v>373</v>
      </c>
      <c r="R44" s="154" t="s">
        <v>373</v>
      </c>
      <c r="S44" s="150" t="s">
        <v>373</v>
      </c>
      <c r="T44" s="154" t="s">
        <v>373</v>
      </c>
      <c r="U44" s="150" t="s">
        <v>373</v>
      </c>
      <c r="V44" s="154" t="s">
        <v>373</v>
      </c>
      <c r="W44" s="150" t="s">
        <v>373</v>
      </c>
      <c r="X44" s="154" t="s">
        <v>373</v>
      </c>
      <c r="Y44" s="150" t="s">
        <v>373</v>
      </c>
      <c r="Z44" s="154" t="s">
        <v>373</v>
      </c>
      <c r="AA44" s="150" t="s">
        <v>373</v>
      </c>
      <c r="AB44" s="151">
        <v>52</v>
      </c>
      <c r="AC44" s="190" t="s">
        <v>373</v>
      </c>
      <c r="AD44" s="153" t="s">
        <v>206</v>
      </c>
      <c r="AE44" s="132"/>
    </row>
    <row r="45" spans="1:31" x14ac:dyDescent="0.3">
      <c r="A45" s="148" t="s">
        <v>316</v>
      </c>
      <c r="B45" s="149">
        <f>SUM(C45,E45,G45,I45,K45,M45,O45,R45,T45,V45,X45,Z45,AB45,AC45)</f>
        <v>104911</v>
      </c>
      <c r="C45" s="150">
        <v>153</v>
      </c>
      <c r="D45" s="151">
        <v>34.54</v>
      </c>
      <c r="E45" s="150">
        <v>4775</v>
      </c>
      <c r="F45" s="151">
        <v>1726.33</v>
      </c>
      <c r="G45" s="150">
        <v>98294</v>
      </c>
      <c r="H45" s="151">
        <v>37526.49</v>
      </c>
      <c r="I45" s="152" t="s">
        <v>373</v>
      </c>
      <c r="J45" s="151" t="s">
        <v>373</v>
      </c>
      <c r="K45" s="150">
        <v>47</v>
      </c>
      <c r="L45" s="151">
        <v>7.7</v>
      </c>
      <c r="M45" s="150">
        <v>135</v>
      </c>
      <c r="N45" s="151">
        <v>26.9</v>
      </c>
      <c r="O45" s="150">
        <v>29</v>
      </c>
      <c r="P45" s="154" t="s">
        <v>373</v>
      </c>
      <c r="Q45" s="152" t="s">
        <v>373</v>
      </c>
      <c r="R45" s="151">
        <v>67</v>
      </c>
      <c r="S45" s="150">
        <v>16.72</v>
      </c>
      <c r="T45" s="151" t="s">
        <v>373</v>
      </c>
      <c r="U45" s="150" t="s">
        <v>373</v>
      </c>
      <c r="V45" s="154">
        <v>125</v>
      </c>
      <c r="W45" s="150">
        <v>769</v>
      </c>
      <c r="X45" s="151">
        <v>1</v>
      </c>
      <c r="Y45" s="150">
        <v>0.18</v>
      </c>
      <c r="Z45" s="154" t="s">
        <v>373</v>
      </c>
      <c r="AA45" s="150" t="s">
        <v>373</v>
      </c>
      <c r="AB45" s="151">
        <v>841</v>
      </c>
      <c r="AC45" s="189">
        <v>444</v>
      </c>
      <c r="AD45" s="153" t="s">
        <v>207</v>
      </c>
      <c r="AE45" s="132"/>
    </row>
    <row r="46" spans="1:31" x14ac:dyDescent="0.3">
      <c r="A46" s="270" t="s">
        <v>208</v>
      </c>
      <c r="B46" s="221">
        <f>SUM(B48:B52)</f>
        <v>378704</v>
      </c>
      <c r="C46" s="222">
        <f>SUM(C48:C52)</f>
        <v>394</v>
      </c>
      <c r="D46" s="217">
        <f t="shared" ref="D46:N46" si="11">SUM(D48:D52)</f>
        <v>72.400000000000006</v>
      </c>
      <c r="E46" s="216">
        <f t="shared" si="11"/>
        <v>3507</v>
      </c>
      <c r="F46" s="217">
        <f t="shared" si="11"/>
        <v>994.8</v>
      </c>
      <c r="G46" s="216">
        <f t="shared" si="11"/>
        <v>321878</v>
      </c>
      <c r="H46" s="217">
        <f t="shared" si="11"/>
        <v>102068.38499999999</v>
      </c>
      <c r="I46" s="216">
        <f>SUM(I48:I52)</f>
        <v>9237</v>
      </c>
      <c r="J46" s="217">
        <f>SUM(J48:J52)</f>
        <v>2330.058</v>
      </c>
      <c r="K46" s="216">
        <f t="shared" si="11"/>
        <v>114</v>
      </c>
      <c r="L46" s="217">
        <f t="shared" si="11"/>
        <v>13.561999999999999</v>
      </c>
      <c r="M46" s="216">
        <f t="shared" si="11"/>
        <v>24202</v>
      </c>
      <c r="N46" s="217">
        <f t="shared" si="11"/>
        <v>5072.42</v>
      </c>
      <c r="O46" s="208">
        <f>SUM(O48:O52)</f>
        <v>110</v>
      </c>
      <c r="P46" s="210">
        <f t="shared" ref="P46:W46" si="12">SUM(P48:P52)</f>
        <v>4.5179999999999998</v>
      </c>
      <c r="Q46" s="220">
        <f t="shared" si="12"/>
        <v>139.80000000000001</v>
      </c>
      <c r="R46" s="209">
        <f t="shared" si="12"/>
        <v>195</v>
      </c>
      <c r="S46" s="220">
        <f t="shared" si="12"/>
        <v>53.25</v>
      </c>
      <c r="T46" s="209">
        <f t="shared" si="12"/>
        <v>90</v>
      </c>
      <c r="U46" s="220">
        <f t="shared" si="12"/>
        <v>20.5</v>
      </c>
      <c r="V46" s="219">
        <f t="shared" si="12"/>
        <v>1274</v>
      </c>
      <c r="W46" s="210">
        <f t="shared" si="12"/>
        <v>6830.25</v>
      </c>
      <c r="X46" s="209">
        <f t="shared" ref="X46:AC46" si="13">SUM(X48:X52)</f>
        <v>5</v>
      </c>
      <c r="Y46" s="210">
        <f t="shared" si="13"/>
        <v>0.75</v>
      </c>
      <c r="Z46" s="209">
        <f t="shared" si="13"/>
        <v>11159</v>
      </c>
      <c r="AA46" s="210">
        <f t="shared" si="13"/>
        <v>2124.64</v>
      </c>
      <c r="AB46" s="209">
        <f t="shared" si="13"/>
        <v>5881</v>
      </c>
      <c r="AC46" s="208">
        <f t="shared" si="13"/>
        <v>658</v>
      </c>
      <c r="AD46" s="282" t="s">
        <v>209</v>
      </c>
      <c r="AE46" s="132"/>
    </row>
    <row r="47" spans="1:31" ht="6.3" customHeight="1" x14ac:dyDescent="0.3">
      <c r="A47" s="270"/>
      <c r="B47" s="221"/>
      <c r="C47" s="222"/>
      <c r="D47" s="217"/>
      <c r="E47" s="216"/>
      <c r="F47" s="217"/>
      <c r="G47" s="216"/>
      <c r="H47" s="217"/>
      <c r="I47" s="216"/>
      <c r="J47" s="217"/>
      <c r="K47" s="216"/>
      <c r="L47" s="217"/>
      <c r="M47" s="216"/>
      <c r="N47" s="217"/>
      <c r="O47" s="208"/>
      <c r="P47" s="210"/>
      <c r="Q47" s="220"/>
      <c r="R47" s="209"/>
      <c r="S47" s="220"/>
      <c r="T47" s="209"/>
      <c r="U47" s="220"/>
      <c r="V47" s="219"/>
      <c r="W47" s="210"/>
      <c r="X47" s="209"/>
      <c r="Y47" s="210"/>
      <c r="Z47" s="209"/>
      <c r="AA47" s="210"/>
      <c r="AB47" s="209"/>
      <c r="AC47" s="208"/>
      <c r="AD47" s="282"/>
      <c r="AE47" s="132"/>
    </row>
    <row r="48" spans="1:31" x14ac:dyDescent="0.3">
      <c r="A48" s="148" t="s">
        <v>317</v>
      </c>
      <c r="B48" s="149">
        <f t="shared" ref="B48:B59" si="14">SUM(C48,E48,G48,I48,K48,M48,O48,R48,T48,V48,X48,Z48,AB48,AC48)</f>
        <v>186711</v>
      </c>
      <c r="C48" s="150">
        <v>394</v>
      </c>
      <c r="D48" s="151">
        <v>72.400000000000006</v>
      </c>
      <c r="E48" s="150">
        <v>3438</v>
      </c>
      <c r="F48" s="151">
        <v>976.5</v>
      </c>
      <c r="G48" s="150">
        <v>144596</v>
      </c>
      <c r="H48" s="151">
        <v>41678.607000000004</v>
      </c>
      <c r="I48" s="150">
        <v>2696</v>
      </c>
      <c r="J48" s="151">
        <v>537.86</v>
      </c>
      <c r="K48" s="150">
        <v>25</v>
      </c>
      <c r="L48" s="151">
        <v>2.9620000000000002</v>
      </c>
      <c r="M48" s="150">
        <v>21527</v>
      </c>
      <c r="N48" s="151">
        <v>4286.17</v>
      </c>
      <c r="O48" s="150" t="s">
        <v>373</v>
      </c>
      <c r="P48" s="154">
        <v>1.7999999999999999E-2</v>
      </c>
      <c r="Q48" s="152" t="s">
        <v>373</v>
      </c>
      <c r="R48" s="151">
        <v>119</v>
      </c>
      <c r="S48" s="150">
        <v>35.36</v>
      </c>
      <c r="T48" s="151">
        <v>90</v>
      </c>
      <c r="U48" s="150">
        <v>20.5</v>
      </c>
      <c r="V48" s="151">
        <v>1274</v>
      </c>
      <c r="W48" s="150">
        <v>6830.25</v>
      </c>
      <c r="X48" s="151">
        <v>5</v>
      </c>
      <c r="Y48" s="150">
        <v>0.75</v>
      </c>
      <c r="Z48" s="151">
        <v>10764</v>
      </c>
      <c r="AA48" s="150">
        <v>2041.345</v>
      </c>
      <c r="AB48" s="151">
        <v>1333</v>
      </c>
      <c r="AC48" s="189">
        <v>450</v>
      </c>
      <c r="AD48" s="153" t="s">
        <v>210</v>
      </c>
      <c r="AE48" s="132"/>
    </row>
    <row r="49" spans="1:31" x14ac:dyDescent="0.3">
      <c r="A49" s="148" t="s">
        <v>318</v>
      </c>
      <c r="B49" s="149">
        <f t="shared" si="14"/>
        <v>180800</v>
      </c>
      <c r="C49" s="152" t="s">
        <v>373</v>
      </c>
      <c r="D49" s="151" t="s">
        <v>373</v>
      </c>
      <c r="E49" s="152">
        <v>20</v>
      </c>
      <c r="F49" s="151">
        <v>7</v>
      </c>
      <c r="G49" s="150">
        <v>170796</v>
      </c>
      <c r="H49" s="151">
        <v>58690.877999999997</v>
      </c>
      <c r="I49" s="150">
        <v>6541</v>
      </c>
      <c r="J49" s="151">
        <v>1792.1980000000001</v>
      </c>
      <c r="K49" s="150">
        <v>74</v>
      </c>
      <c r="L49" s="151">
        <v>8.5</v>
      </c>
      <c r="M49" s="150">
        <v>1558</v>
      </c>
      <c r="N49" s="151">
        <v>356.65</v>
      </c>
      <c r="O49" s="150" t="s">
        <v>373</v>
      </c>
      <c r="P49" s="154" t="s">
        <v>373</v>
      </c>
      <c r="Q49" s="152">
        <v>139.80000000000001</v>
      </c>
      <c r="R49" s="151">
        <v>63</v>
      </c>
      <c r="S49" s="150">
        <v>10.69</v>
      </c>
      <c r="T49" s="151" t="s">
        <v>373</v>
      </c>
      <c r="U49" s="150" t="s">
        <v>373</v>
      </c>
      <c r="V49" s="151" t="s">
        <v>373</v>
      </c>
      <c r="W49" s="150" t="s">
        <v>373</v>
      </c>
      <c r="X49" s="154" t="s">
        <v>373</v>
      </c>
      <c r="Y49" s="150" t="s">
        <v>373</v>
      </c>
      <c r="Z49" s="151">
        <v>395</v>
      </c>
      <c r="AA49" s="150">
        <v>83.295000000000002</v>
      </c>
      <c r="AB49" s="151">
        <v>1170</v>
      </c>
      <c r="AC49" s="189">
        <v>183</v>
      </c>
      <c r="AD49" s="153" t="s">
        <v>211</v>
      </c>
      <c r="AE49" s="132"/>
    </row>
    <row r="50" spans="1:31" x14ac:dyDescent="0.3">
      <c r="A50" s="148" t="s">
        <v>319</v>
      </c>
      <c r="B50" s="149">
        <f t="shared" si="14"/>
        <v>10285</v>
      </c>
      <c r="C50" s="152" t="s">
        <v>373</v>
      </c>
      <c r="D50" s="151" t="s">
        <v>373</v>
      </c>
      <c r="E50" s="152" t="s">
        <v>373</v>
      </c>
      <c r="F50" s="151" t="s">
        <v>373</v>
      </c>
      <c r="G50" s="150">
        <v>5850</v>
      </c>
      <c r="H50" s="151">
        <v>1477.2</v>
      </c>
      <c r="I50" s="152" t="s">
        <v>373</v>
      </c>
      <c r="J50" s="151" t="s">
        <v>373</v>
      </c>
      <c r="K50" s="150">
        <v>15</v>
      </c>
      <c r="L50" s="151">
        <v>2.1</v>
      </c>
      <c r="M50" s="150">
        <v>1117</v>
      </c>
      <c r="N50" s="151">
        <v>429.6</v>
      </c>
      <c r="O50" s="150">
        <v>5</v>
      </c>
      <c r="P50" s="154">
        <v>4.5</v>
      </c>
      <c r="Q50" s="152" t="s">
        <v>373</v>
      </c>
      <c r="R50" s="151">
        <v>13</v>
      </c>
      <c r="S50" s="150">
        <v>7.2</v>
      </c>
      <c r="T50" s="154" t="s">
        <v>373</v>
      </c>
      <c r="U50" s="150" t="s">
        <v>373</v>
      </c>
      <c r="V50" s="154" t="s">
        <v>373</v>
      </c>
      <c r="W50" s="150" t="s">
        <v>373</v>
      </c>
      <c r="X50" s="154" t="s">
        <v>373</v>
      </c>
      <c r="Y50" s="150" t="s">
        <v>373</v>
      </c>
      <c r="Z50" s="154" t="s">
        <v>373</v>
      </c>
      <c r="AA50" s="150" t="s">
        <v>373</v>
      </c>
      <c r="AB50" s="151">
        <v>3260</v>
      </c>
      <c r="AC50" s="189">
        <v>25</v>
      </c>
      <c r="AD50" s="153" t="s">
        <v>212</v>
      </c>
      <c r="AE50" s="132"/>
    </row>
    <row r="51" spans="1:31" x14ac:dyDescent="0.3">
      <c r="A51" s="148" t="s">
        <v>320</v>
      </c>
      <c r="B51" s="149">
        <f t="shared" si="14"/>
        <v>17</v>
      </c>
      <c r="C51" s="152" t="s">
        <v>373</v>
      </c>
      <c r="D51" s="151" t="s">
        <v>373</v>
      </c>
      <c r="E51" s="152" t="s">
        <v>373</v>
      </c>
      <c r="F51" s="151" t="s">
        <v>373</v>
      </c>
      <c r="G51" s="152" t="s">
        <v>373</v>
      </c>
      <c r="H51" s="151" t="s">
        <v>373</v>
      </c>
      <c r="I51" s="152" t="s">
        <v>373</v>
      </c>
      <c r="J51" s="151" t="s">
        <v>373</v>
      </c>
      <c r="K51" s="152" t="s">
        <v>373</v>
      </c>
      <c r="L51" s="151" t="s">
        <v>373</v>
      </c>
      <c r="M51" s="152" t="s">
        <v>373</v>
      </c>
      <c r="N51" s="151" t="s">
        <v>373</v>
      </c>
      <c r="O51" s="150" t="s">
        <v>373</v>
      </c>
      <c r="P51" s="154" t="s">
        <v>373</v>
      </c>
      <c r="Q51" s="152" t="s">
        <v>373</v>
      </c>
      <c r="R51" s="154" t="s">
        <v>373</v>
      </c>
      <c r="S51" s="150" t="s">
        <v>373</v>
      </c>
      <c r="T51" s="154" t="s">
        <v>373</v>
      </c>
      <c r="U51" s="150" t="s">
        <v>373</v>
      </c>
      <c r="V51" s="154" t="s">
        <v>373</v>
      </c>
      <c r="W51" s="150" t="s">
        <v>373</v>
      </c>
      <c r="X51" s="154" t="s">
        <v>373</v>
      </c>
      <c r="Y51" s="150" t="s">
        <v>373</v>
      </c>
      <c r="Z51" s="154" t="s">
        <v>373</v>
      </c>
      <c r="AA51" s="150" t="s">
        <v>373</v>
      </c>
      <c r="AB51" s="151">
        <v>17</v>
      </c>
      <c r="AC51" s="190" t="s">
        <v>373</v>
      </c>
      <c r="AD51" s="153" t="s">
        <v>213</v>
      </c>
      <c r="AE51" s="132"/>
    </row>
    <row r="52" spans="1:31" x14ac:dyDescent="0.3">
      <c r="A52" s="148" t="s">
        <v>321</v>
      </c>
      <c r="B52" s="149">
        <f t="shared" si="14"/>
        <v>891</v>
      </c>
      <c r="C52" s="152" t="s">
        <v>373</v>
      </c>
      <c r="D52" s="151" t="s">
        <v>373</v>
      </c>
      <c r="E52" s="150">
        <v>49</v>
      </c>
      <c r="F52" s="151">
        <v>11.3</v>
      </c>
      <c r="G52" s="150">
        <v>636</v>
      </c>
      <c r="H52" s="151">
        <v>221.7</v>
      </c>
      <c r="I52" s="152" t="s">
        <v>373</v>
      </c>
      <c r="J52" s="151" t="s">
        <v>373</v>
      </c>
      <c r="K52" s="152" t="s">
        <v>373</v>
      </c>
      <c r="L52" s="151" t="s">
        <v>373</v>
      </c>
      <c r="M52" s="152" t="s">
        <v>373</v>
      </c>
      <c r="N52" s="151" t="s">
        <v>373</v>
      </c>
      <c r="O52" s="150">
        <v>105</v>
      </c>
      <c r="P52" s="154" t="s">
        <v>373</v>
      </c>
      <c r="Q52" s="152" t="s">
        <v>373</v>
      </c>
      <c r="R52" s="154" t="s">
        <v>373</v>
      </c>
      <c r="S52" s="150" t="s">
        <v>373</v>
      </c>
      <c r="T52" s="154" t="s">
        <v>373</v>
      </c>
      <c r="U52" s="150" t="s">
        <v>373</v>
      </c>
      <c r="V52" s="154" t="s">
        <v>373</v>
      </c>
      <c r="W52" s="150" t="s">
        <v>373</v>
      </c>
      <c r="X52" s="154" t="s">
        <v>373</v>
      </c>
      <c r="Y52" s="150" t="s">
        <v>373</v>
      </c>
      <c r="Z52" s="154" t="s">
        <v>373</v>
      </c>
      <c r="AA52" s="150" t="s">
        <v>373</v>
      </c>
      <c r="AB52" s="151">
        <v>101</v>
      </c>
      <c r="AC52" s="190" t="s">
        <v>373</v>
      </c>
      <c r="AD52" s="153" t="s">
        <v>214</v>
      </c>
      <c r="AE52" s="132"/>
    </row>
    <row r="53" spans="1:31" ht="15.05" customHeight="1" x14ac:dyDescent="0.3">
      <c r="A53" s="270" t="s">
        <v>215</v>
      </c>
      <c r="B53" s="221">
        <f>SUM(B55:B59)</f>
        <v>154</v>
      </c>
      <c r="C53" s="222"/>
      <c r="D53" s="217"/>
      <c r="E53" s="216"/>
      <c r="F53" s="217"/>
      <c r="G53" s="216"/>
      <c r="H53" s="217"/>
      <c r="I53" s="216"/>
      <c r="J53" s="217"/>
      <c r="K53" s="216"/>
      <c r="L53" s="217"/>
      <c r="M53" s="216"/>
      <c r="N53" s="217"/>
      <c r="O53" s="208"/>
      <c r="P53" s="210"/>
      <c r="Q53" s="220"/>
      <c r="R53" s="209"/>
      <c r="S53" s="220"/>
      <c r="T53" s="209"/>
      <c r="U53" s="220"/>
      <c r="V53" s="219"/>
      <c r="W53" s="210"/>
      <c r="X53" s="209"/>
      <c r="Y53" s="210"/>
      <c r="Z53" s="209"/>
      <c r="AA53" s="210"/>
      <c r="AB53" s="209"/>
      <c r="AC53" s="208"/>
      <c r="AD53" s="282" t="s">
        <v>216</v>
      </c>
      <c r="AE53" s="132"/>
    </row>
    <row r="54" spans="1:31" ht="5.65" customHeight="1" x14ac:dyDescent="0.3">
      <c r="A54" s="270"/>
      <c r="B54" s="221"/>
      <c r="C54" s="222"/>
      <c r="D54" s="217"/>
      <c r="E54" s="216"/>
      <c r="F54" s="217"/>
      <c r="G54" s="216"/>
      <c r="H54" s="217"/>
      <c r="I54" s="216"/>
      <c r="J54" s="217"/>
      <c r="K54" s="216"/>
      <c r="L54" s="217"/>
      <c r="M54" s="216"/>
      <c r="N54" s="217"/>
      <c r="O54" s="208"/>
      <c r="P54" s="210"/>
      <c r="Q54" s="220"/>
      <c r="R54" s="209"/>
      <c r="S54" s="220"/>
      <c r="T54" s="209"/>
      <c r="U54" s="220"/>
      <c r="V54" s="219"/>
      <c r="W54" s="210"/>
      <c r="X54" s="209"/>
      <c r="Y54" s="210"/>
      <c r="Z54" s="209"/>
      <c r="AA54" s="210"/>
      <c r="AB54" s="209"/>
      <c r="AC54" s="208"/>
      <c r="AD54" s="282"/>
      <c r="AE54" s="132"/>
    </row>
    <row r="55" spans="1:31" x14ac:dyDescent="0.3">
      <c r="A55" s="148" t="s">
        <v>322</v>
      </c>
      <c r="B55" s="149">
        <f t="shared" si="14"/>
        <v>19</v>
      </c>
      <c r="C55" s="152" t="s">
        <v>373</v>
      </c>
      <c r="D55" s="151" t="s">
        <v>373</v>
      </c>
      <c r="E55" s="152" t="s">
        <v>373</v>
      </c>
      <c r="F55" s="151" t="s">
        <v>373</v>
      </c>
      <c r="G55" s="152" t="s">
        <v>373</v>
      </c>
      <c r="H55" s="151" t="s">
        <v>373</v>
      </c>
      <c r="I55" s="152" t="s">
        <v>373</v>
      </c>
      <c r="J55" s="151" t="s">
        <v>373</v>
      </c>
      <c r="K55" s="152" t="s">
        <v>373</v>
      </c>
      <c r="L55" s="151" t="s">
        <v>373</v>
      </c>
      <c r="M55" s="152" t="s">
        <v>373</v>
      </c>
      <c r="N55" s="151" t="s">
        <v>373</v>
      </c>
      <c r="O55" s="150" t="s">
        <v>373</v>
      </c>
      <c r="P55" s="154" t="s">
        <v>373</v>
      </c>
      <c r="Q55" s="152" t="s">
        <v>373</v>
      </c>
      <c r="R55" s="154" t="s">
        <v>373</v>
      </c>
      <c r="S55" s="150" t="s">
        <v>373</v>
      </c>
      <c r="T55" s="154" t="s">
        <v>373</v>
      </c>
      <c r="U55" s="150" t="s">
        <v>373</v>
      </c>
      <c r="V55" s="154" t="s">
        <v>373</v>
      </c>
      <c r="W55" s="150" t="s">
        <v>373</v>
      </c>
      <c r="X55" s="154" t="s">
        <v>373</v>
      </c>
      <c r="Y55" s="150" t="s">
        <v>373</v>
      </c>
      <c r="Z55" s="154" t="s">
        <v>373</v>
      </c>
      <c r="AA55" s="150" t="s">
        <v>373</v>
      </c>
      <c r="AB55" s="151">
        <v>19</v>
      </c>
      <c r="AC55" s="190" t="s">
        <v>373</v>
      </c>
      <c r="AD55" s="153" t="s">
        <v>217</v>
      </c>
      <c r="AE55" s="132"/>
    </row>
    <row r="56" spans="1:31" x14ac:dyDescent="0.3">
      <c r="A56" s="148" t="s">
        <v>323</v>
      </c>
      <c r="B56" s="149">
        <f t="shared" si="14"/>
        <v>19</v>
      </c>
      <c r="C56" s="152" t="s">
        <v>373</v>
      </c>
      <c r="D56" s="151" t="s">
        <v>373</v>
      </c>
      <c r="E56" s="152" t="s">
        <v>373</v>
      </c>
      <c r="F56" s="151" t="s">
        <v>373</v>
      </c>
      <c r="G56" s="152" t="s">
        <v>373</v>
      </c>
      <c r="H56" s="151" t="s">
        <v>373</v>
      </c>
      <c r="I56" s="152" t="s">
        <v>373</v>
      </c>
      <c r="J56" s="151" t="s">
        <v>373</v>
      </c>
      <c r="K56" s="152" t="s">
        <v>373</v>
      </c>
      <c r="L56" s="151" t="s">
        <v>373</v>
      </c>
      <c r="M56" s="152" t="s">
        <v>373</v>
      </c>
      <c r="N56" s="151" t="s">
        <v>373</v>
      </c>
      <c r="O56" s="150" t="s">
        <v>373</v>
      </c>
      <c r="P56" s="154" t="s">
        <v>373</v>
      </c>
      <c r="Q56" s="152" t="s">
        <v>373</v>
      </c>
      <c r="R56" s="154" t="s">
        <v>373</v>
      </c>
      <c r="S56" s="150" t="s">
        <v>373</v>
      </c>
      <c r="T56" s="154" t="s">
        <v>373</v>
      </c>
      <c r="U56" s="150" t="s">
        <v>373</v>
      </c>
      <c r="V56" s="154" t="s">
        <v>373</v>
      </c>
      <c r="W56" s="150" t="s">
        <v>373</v>
      </c>
      <c r="X56" s="154" t="s">
        <v>373</v>
      </c>
      <c r="Y56" s="150" t="s">
        <v>373</v>
      </c>
      <c r="Z56" s="154" t="s">
        <v>373</v>
      </c>
      <c r="AA56" s="150" t="s">
        <v>373</v>
      </c>
      <c r="AB56" s="151">
        <v>13</v>
      </c>
      <c r="AC56" s="189">
        <v>6</v>
      </c>
      <c r="AD56" s="153" t="s">
        <v>218</v>
      </c>
      <c r="AE56" s="132"/>
    </row>
    <row r="57" spans="1:31" x14ac:dyDescent="0.3">
      <c r="A57" s="148" t="s">
        <v>324</v>
      </c>
      <c r="B57" s="149">
        <f t="shared" si="14"/>
        <v>0</v>
      </c>
      <c r="C57" s="152" t="s">
        <v>373</v>
      </c>
      <c r="D57" s="151" t="s">
        <v>373</v>
      </c>
      <c r="E57" s="152" t="s">
        <v>373</v>
      </c>
      <c r="F57" s="151" t="s">
        <v>373</v>
      </c>
      <c r="G57" s="152" t="s">
        <v>373</v>
      </c>
      <c r="H57" s="151" t="s">
        <v>373</v>
      </c>
      <c r="I57" s="152" t="s">
        <v>373</v>
      </c>
      <c r="J57" s="151" t="s">
        <v>373</v>
      </c>
      <c r="K57" s="152" t="s">
        <v>373</v>
      </c>
      <c r="L57" s="151" t="s">
        <v>373</v>
      </c>
      <c r="M57" s="152" t="s">
        <v>373</v>
      </c>
      <c r="N57" s="151" t="s">
        <v>373</v>
      </c>
      <c r="O57" s="150" t="s">
        <v>373</v>
      </c>
      <c r="P57" s="154" t="s">
        <v>373</v>
      </c>
      <c r="Q57" s="152" t="s">
        <v>373</v>
      </c>
      <c r="R57" s="154" t="s">
        <v>373</v>
      </c>
      <c r="S57" s="150" t="s">
        <v>373</v>
      </c>
      <c r="T57" s="154" t="s">
        <v>373</v>
      </c>
      <c r="U57" s="150" t="s">
        <v>373</v>
      </c>
      <c r="V57" s="154" t="s">
        <v>373</v>
      </c>
      <c r="W57" s="150" t="s">
        <v>373</v>
      </c>
      <c r="X57" s="154" t="s">
        <v>373</v>
      </c>
      <c r="Y57" s="150" t="s">
        <v>373</v>
      </c>
      <c r="Z57" s="154" t="s">
        <v>373</v>
      </c>
      <c r="AA57" s="150" t="s">
        <v>373</v>
      </c>
      <c r="AB57" s="151" t="s">
        <v>373</v>
      </c>
      <c r="AC57" s="189" t="s">
        <v>373</v>
      </c>
      <c r="AD57" s="153" t="s">
        <v>219</v>
      </c>
      <c r="AE57" s="132"/>
    </row>
    <row r="58" spans="1:31" x14ac:dyDescent="0.3">
      <c r="A58" s="148" t="s">
        <v>325</v>
      </c>
      <c r="B58" s="149">
        <f t="shared" si="14"/>
        <v>62</v>
      </c>
      <c r="C58" s="152" t="s">
        <v>373</v>
      </c>
      <c r="D58" s="151" t="s">
        <v>373</v>
      </c>
      <c r="E58" s="152" t="s">
        <v>373</v>
      </c>
      <c r="F58" s="151" t="s">
        <v>373</v>
      </c>
      <c r="G58" s="152" t="s">
        <v>373</v>
      </c>
      <c r="H58" s="151" t="s">
        <v>373</v>
      </c>
      <c r="I58" s="152" t="s">
        <v>373</v>
      </c>
      <c r="J58" s="151" t="s">
        <v>373</v>
      </c>
      <c r="K58" s="152" t="s">
        <v>373</v>
      </c>
      <c r="L58" s="151" t="s">
        <v>373</v>
      </c>
      <c r="M58" s="152" t="s">
        <v>373</v>
      </c>
      <c r="N58" s="151" t="s">
        <v>373</v>
      </c>
      <c r="O58" s="150" t="s">
        <v>373</v>
      </c>
      <c r="P58" s="154" t="s">
        <v>373</v>
      </c>
      <c r="Q58" s="152" t="s">
        <v>373</v>
      </c>
      <c r="R58" s="154" t="s">
        <v>373</v>
      </c>
      <c r="S58" s="150" t="s">
        <v>373</v>
      </c>
      <c r="T58" s="154" t="s">
        <v>373</v>
      </c>
      <c r="U58" s="150" t="s">
        <v>373</v>
      </c>
      <c r="V58" s="154" t="s">
        <v>373</v>
      </c>
      <c r="W58" s="150" t="s">
        <v>373</v>
      </c>
      <c r="X58" s="154" t="s">
        <v>373</v>
      </c>
      <c r="Y58" s="150" t="s">
        <v>373</v>
      </c>
      <c r="Z58" s="154" t="s">
        <v>373</v>
      </c>
      <c r="AA58" s="150" t="s">
        <v>373</v>
      </c>
      <c r="AB58" s="151">
        <v>59</v>
      </c>
      <c r="AC58" s="189">
        <v>3</v>
      </c>
      <c r="AD58" s="153" t="s">
        <v>220</v>
      </c>
      <c r="AE58" s="132"/>
    </row>
    <row r="59" spans="1:31" x14ac:dyDescent="0.3">
      <c r="A59" s="148" t="s">
        <v>326</v>
      </c>
      <c r="B59" s="149">
        <f t="shared" si="14"/>
        <v>54</v>
      </c>
      <c r="C59" s="152" t="s">
        <v>373</v>
      </c>
      <c r="D59" s="151" t="s">
        <v>373</v>
      </c>
      <c r="E59" s="152" t="s">
        <v>373</v>
      </c>
      <c r="F59" s="151" t="s">
        <v>373</v>
      </c>
      <c r="G59" s="152" t="s">
        <v>373</v>
      </c>
      <c r="H59" s="151" t="s">
        <v>373</v>
      </c>
      <c r="I59" s="152" t="s">
        <v>373</v>
      </c>
      <c r="J59" s="151" t="s">
        <v>373</v>
      </c>
      <c r="K59" s="152" t="s">
        <v>373</v>
      </c>
      <c r="L59" s="151" t="s">
        <v>373</v>
      </c>
      <c r="M59" s="152" t="s">
        <v>373</v>
      </c>
      <c r="N59" s="151" t="s">
        <v>373</v>
      </c>
      <c r="O59" s="150" t="s">
        <v>373</v>
      </c>
      <c r="P59" s="154" t="s">
        <v>373</v>
      </c>
      <c r="Q59" s="152" t="s">
        <v>373</v>
      </c>
      <c r="R59" s="154" t="s">
        <v>373</v>
      </c>
      <c r="S59" s="150" t="s">
        <v>373</v>
      </c>
      <c r="T59" s="154" t="s">
        <v>373</v>
      </c>
      <c r="U59" s="150" t="s">
        <v>373</v>
      </c>
      <c r="V59" s="154" t="s">
        <v>373</v>
      </c>
      <c r="W59" s="150" t="s">
        <v>373</v>
      </c>
      <c r="X59" s="154" t="s">
        <v>373</v>
      </c>
      <c r="Y59" s="150" t="s">
        <v>373</v>
      </c>
      <c r="Z59" s="154" t="s">
        <v>373</v>
      </c>
      <c r="AA59" s="150" t="s">
        <v>373</v>
      </c>
      <c r="AB59" s="151">
        <v>54</v>
      </c>
      <c r="AC59" s="190" t="s">
        <v>373</v>
      </c>
      <c r="AD59" s="153" t="s">
        <v>221</v>
      </c>
      <c r="AE59" s="132"/>
    </row>
    <row r="60" spans="1:31" ht="8.8000000000000007" customHeight="1" x14ac:dyDescent="0.3">
      <c r="A60" s="270" t="s">
        <v>222</v>
      </c>
      <c r="B60" s="221">
        <f>SUM(B62:B64)</f>
        <v>43087</v>
      </c>
      <c r="C60" s="222">
        <f>SUM(C62:C64)</f>
        <v>910</v>
      </c>
      <c r="D60" s="217">
        <f t="shared" ref="D60:N60" si="15">SUM(D62:D64)</f>
        <v>235.97</v>
      </c>
      <c r="E60" s="216">
        <f t="shared" si="15"/>
        <v>475</v>
      </c>
      <c r="F60" s="217">
        <f t="shared" si="15"/>
        <v>179.78</v>
      </c>
      <c r="G60" s="216">
        <f t="shared" si="15"/>
        <v>34717</v>
      </c>
      <c r="H60" s="217">
        <f t="shared" si="15"/>
        <v>11672.45</v>
      </c>
      <c r="I60" s="216">
        <f>SUM(I62:I64)</f>
        <v>0</v>
      </c>
      <c r="J60" s="217">
        <f>SUM(J62:J64)</f>
        <v>0</v>
      </c>
      <c r="K60" s="216">
        <f t="shared" si="15"/>
        <v>162</v>
      </c>
      <c r="L60" s="217">
        <f t="shared" si="15"/>
        <v>10.42</v>
      </c>
      <c r="M60" s="216">
        <f t="shared" si="15"/>
        <v>8</v>
      </c>
      <c r="N60" s="217">
        <f t="shared" si="15"/>
        <v>2.4500000000000002</v>
      </c>
      <c r="O60" s="208">
        <f>SUM(O62:O64)</f>
        <v>100</v>
      </c>
      <c r="P60" s="210">
        <f t="shared" ref="P60:W60" si="16">SUM(P62:P64)</f>
        <v>40</v>
      </c>
      <c r="Q60" s="220">
        <f t="shared" si="16"/>
        <v>1</v>
      </c>
      <c r="R60" s="209">
        <f t="shared" si="16"/>
        <v>5335</v>
      </c>
      <c r="S60" s="220">
        <f t="shared" si="16"/>
        <v>1510.925</v>
      </c>
      <c r="T60" s="209">
        <f t="shared" si="16"/>
        <v>0</v>
      </c>
      <c r="U60" s="220">
        <f t="shared" si="16"/>
        <v>0</v>
      </c>
      <c r="V60" s="219">
        <f t="shared" si="16"/>
        <v>0</v>
      </c>
      <c r="W60" s="210">
        <f t="shared" si="16"/>
        <v>0</v>
      </c>
      <c r="X60" s="209">
        <f t="shared" ref="X60:AC60" si="17">SUM(X62:X64)</f>
        <v>0</v>
      </c>
      <c r="Y60" s="210">
        <f t="shared" si="17"/>
        <v>0</v>
      </c>
      <c r="Z60" s="209">
        <f t="shared" si="17"/>
        <v>0</v>
      </c>
      <c r="AA60" s="210">
        <f t="shared" si="17"/>
        <v>0</v>
      </c>
      <c r="AB60" s="209">
        <f t="shared" si="17"/>
        <v>1231</v>
      </c>
      <c r="AC60" s="208">
        <f t="shared" si="17"/>
        <v>149</v>
      </c>
      <c r="AD60" s="282" t="s">
        <v>223</v>
      </c>
      <c r="AE60" s="132"/>
    </row>
    <row r="61" spans="1:31" ht="13.15" customHeight="1" x14ac:dyDescent="0.3">
      <c r="A61" s="270"/>
      <c r="B61" s="221"/>
      <c r="C61" s="222"/>
      <c r="D61" s="217"/>
      <c r="E61" s="216"/>
      <c r="F61" s="217"/>
      <c r="G61" s="216"/>
      <c r="H61" s="217"/>
      <c r="I61" s="216"/>
      <c r="J61" s="217"/>
      <c r="K61" s="216"/>
      <c r="L61" s="217"/>
      <c r="M61" s="216"/>
      <c r="N61" s="217"/>
      <c r="O61" s="208"/>
      <c r="P61" s="210"/>
      <c r="Q61" s="220"/>
      <c r="R61" s="209"/>
      <c r="S61" s="220"/>
      <c r="T61" s="209"/>
      <c r="U61" s="220"/>
      <c r="V61" s="219"/>
      <c r="W61" s="210"/>
      <c r="X61" s="209"/>
      <c r="Y61" s="210"/>
      <c r="Z61" s="209"/>
      <c r="AA61" s="210"/>
      <c r="AB61" s="209"/>
      <c r="AC61" s="208"/>
      <c r="AD61" s="282"/>
      <c r="AE61" s="132"/>
    </row>
    <row r="62" spans="1:31" x14ac:dyDescent="0.3">
      <c r="A62" s="148" t="s">
        <v>327</v>
      </c>
      <c r="B62" s="149">
        <f>SUM(C62,E62,G62,I62,K62,M62,O62,R62,T62,V62,X62,Z62,AB62,AC62)</f>
        <v>198</v>
      </c>
      <c r="C62" s="152" t="s">
        <v>373</v>
      </c>
      <c r="D62" s="151" t="s">
        <v>373</v>
      </c>
      <c r="E62" s="150">
        <v>7</v>
      </c>
      <c r="F62" s="151">
        <v>1.9</v>
      </c>
      <c r="G62" s="152" t="s">
        <v>373</v>
      </c>
      <c r="H62" s="151" t="s">
        <v>373</v>
      </c>
      <c r="I62" s="152" t="s">
        <v>373</v>
      </c>
      <c r="J62" s="151" t="s">
        <v>373</v>
      </c>
      <c r="K62" s="152" t="s">
        <v>373</v>
      </c>
      <c r="L62" s="151" t="s">
        <v>373</v>
      </c>
      <c r="M62" s="152" t="s">
        <v>373</v>
      </c>
      <c r="N62" s="151" t="s">
        <v>373</v>
      </c>
      <c r="O62" s="150">
        <v>17</v>
      </c>
      <c r="P62" s="154" t="s">
        <v>373</v>
      </c>
      <c r="Q62" s="152" t="s">
        <v>373</v>
      </c>
      <c r="R62" s="154" t="s">
        <v>373</v>
      </c>
      <c r="S62" s="150" t="s">
        <v>373</v>
      </c>
      <c r="T62" s="154" t="s">
        <v>373</v>
      </c>
      <c r="U62" s="150" t="s">
        <v>373</v>
      </c>
      <c r="V62" s="154" t="s">
        <v>373</v>
      </c>
      <c r="W62" s="150" t="s">
        <v>373</v>
      </c>
      <c r="X62" s="154" t="s">
        <v>373</v>
      </c>
      <c r="Y62" s="150" t="s">
        <v>373</v>
      </c>
      <c r="Z62" s="154" t="s">
        <v>373</v>
      </c>
      <c r="AA62" s="150" t="s">
        <v>373</v>
      </c>
      <c r="AB62" s="151">
        <v>168</v>
      </c>
      <c r="AC62" s="189">
        <v>6</v>
      </c>
      <c r="AD62" s="153" t="s">
        <v>224</v>
      </c>
      <c r="AE62" s="132"/>
    </row>
    <row r="63" spans="1:31" x14ac:dyDescent="0.3">
      <c r="A63" s="148" t="s">
        <v>328</v>
      </c>
      <c r="B63" s="149">
        <f>SUM(C63,E63,G63,I63,K63,M63,O63,R63,T63,V63,X63,Z63,AB63,AC63)</f>
        <v>29303</v>
      </c>
      <c r="C63" s="150">
        <v>910</v>
      </c>
      <c r="D63" s="151">
        <v>235.97</v>
      </c>
      <c r="E63" s="150">
        <v>468</v>
      </c>
      <c r="F63" s="151">
        <v>177.88</v>
      </c>
      <c r="G63" s="150">
        <v>27040</v>
      </c>
      <c r="H63" s="151">
        <v>9070</v>
      </c>
      <c r="I63" s="152" t="s">
        <v>373</v>
      </c>
      <c r="J63" s="151" t="s">
        <v>373</v>
      </c>
      <c r="K63" s="152" t="s">
        <v>373</v>
      </c>
      <c r="L63" s="151" t="s">
        <v>373</v>
      </c>
      <c r="M63" s="152" t="s">
        <v>373</v>
      </c>
      <c r="N63" s="151" t="s">
        <v>373</v>
      </c>
      <c r="O63" s="150">
        <v>25</v>
      </c>
      <c r="P63" s="154" t="s">
        <v>373</v>
      </c>
      <c r="Q63" s="152" t="s">
        <v>373</v>
      </c>
      <c r="R63" s="154" t="s">
        <v>373</v>
      </c>
      <c r="S63" s="150" t="s">
        <v>373</v>
      </c>
      <c r="T63" s="154" t="s">
        <v>373</v>
      </c>
      <c r="U63" s="150" t="s">
        <v>373</v>
      </c>
      <c r="V63" s="154" t="s">
        <v>373</v>
      </c>
      <c r="W63" s="150" t="s">
        <v>373</v>
      </c>
      <c r="X63" s="154" t="s">
        <v>373</v>
      </c>
      <c r="Y63" s="150" t="s">
        <v>373</v>
      </c>
      <c r="Z63" s="154" t="s">
        <v>373</v>
      </c>
      <c r="AA63" s="150" t="s">
        <v>373</v>
      </c>
      <c r="AB63" s="151">
        <v>860</v>
      </c>
      <c r="AC63" s="190" t="s">
        <v>373</v>
      </c>
      <c r="AD63" s="153" t="s">
        <v>225</v>
      </c>
      <c r="AE63" s="132"/>
    </row>
    <row r="64" spans="1:31" x14ac:dyDescent="0.3">
      <c r="A64" s="148" t="s">
        <v>329</v>
      </c>
      <c r="B64" s="149">
        <f>SUM(C64,E64,G64,I64,K64,M64,O64,R64,T64,V64,X64,Z64,AB64,AC64)</f>
        <v>13586</v>
      </c>
      <c r="C64" s="152" t="s">
        <v>373</v>
      </c>
      <c r="D64" s="151" t="s">
        <v>373</v>
      </c>
      <c r="E64" s="152" t="s">
        <v>373</v>
      </c>
      <c r="F64" s="151" t="s">
        <v>373</v>
      </c>
      <c r="G64" s="150">
        <v>7677</v>
      </c>
      <c r="H64" s="151">
        <v>2602.4499999999998</v>
      </c>
      <c r="I64" s="152" t="s">
        <v>373</v>
      </c>
      <c r="J64" s="151" t="s">
        <v>373</v>
      </c>
      <c r="K64" s="150">
        <v>162</v>
      </c>
      <c r="L64" s="151">
        <v>10.42</v>
      </c>
      <c r="M64" s="150">
        <v>8</v>
      </c>
      <c r="N64" s="151">
        <v>2.4500000000000002</v>
      </c>
      <c r="O64" s="150">
        <v>58</v>
      </c>
      <c r="P64" s="154">
        <v>40</v>
      </c>
      <c r="Q64" s="152">
        <v>1</v>
      </c>
      <c r="R64" s="151">
        <v>5335</v>
      </c>
      <c r="S64" s="150">
        <v>1510.925</v>
      </c>
      <c r="T64" s="154" t="s">
        <v>373</v>
      </c>
      <c r="U64" s="150" t="s">
        <v>373</v>
      </c>
      <c r="V64" s="154" t="s">
        <v>373</v>
      </c>
      <c r="W64" s="150" t="s">
        <v>373</v>
      </c>
      <c r="X64" s="154" t="s">
        <v>373</v>
      </c>
      <c r="Y64" s="150" t="s">
        <v>373</v>
      </c>
      <c r="Z64" s="154" t="s">
        <v>373</v>
      </c>
      <c r="AA64" s="150" t="s">
        <v>373</v>
      </c>
      <c r="AB64" s="151">
        <v>203</v>
      </c>
      <c r="AC64" s="189">
        <v>143</v>
      </c>
      <c r="AD64" s="153" t="s">
        <v>226</v>
      </c>
      <c r="AE64" s="132"/>
    </row>
    <row r="65" spans="1:31" x14ac:dyDescent="0.3">
      <c r="A65" s="270" t="s">
        <v>227</v>
      </c>
      <c r="B65" s="221">
        <f>SUM(B67:B71)</f>
        <v>4399</v>
      </c>
      <c r="C65" s="215">
        <f>SUM(C67:C71)</f>
        <v>29</v>
      </c>
      <c r="D65" s="215">
        <f t="shared" ref="D65:J65" si="18">SUM(D67:D71)</f>
        <v>2.9</v>
      </c>
      <c r="E65" s="215">
        <f t="shared" si="18"/>
        <v>0</v>
      </c>
      <c r="F65" s="215">
        <f t="shared" si="18"/>
        <v>0</v>
      </c>
      <c r="G65" s="215">
        <f t="shared" si="18"/>
        <v>0</v>
      </c>
      <c r="H65" s="215">
        <f t="shared" si="18"/>
        <v>0</v>
      </c>
      <c r="I65" s="215">
        <f t="shared" si="18"/>
        <v>0</v>
      </c>
      <c r="J65" s="215">
        <f t="shared" si="18"/>
        <v>0</v>
      </c>
      <c r="K65" s="215">
        <f t="shared" ref="K65:AA65" si="19">SUM(K67:K71)</f>
        <v>0</v>
      </c>
      <c r="L65" s="215">
        <f t="shared" si="19"/>
        <v>0</v>
      </c>
      <c r="M65" s="215">
        <f t="shared" si="19"/>
        <v>412</v>
      </c>
      <c r="N65" s="215">
        <f t="shared" si="19"/>
        <v>75.069999999999993</v>
      </c>
      <c r="O65" s="215">
        <f t="shared" si="19"/>
        <v>1</v>
      </c>
      <c r="P65" s="215">
        <f t="shared" si="19"/>
        <v>0</v>
      </c>
      <c r="Q65" s="215">
        <f t="shared" si="19"/>
        <v>0.4</v>
      </c>
      <c r="R65" s="215">
        <f>SUM(R67:R71)</f>
        <v>1311</v>
      </c>
      <c r="S65" s="215">
        <f t="shared" si="19"/>
        <v>442.46000000000004</v>
      </c>
      <c r="T65" s="215">
        <f t="shared" si="19"/>
        <v>20</v>
      </c>
      <c r="U65" s="215">
        <f t="shared" si="19"/>
        <v>2</v>
      </c>
      <c r="V65" s="215">
        <f t="shared" si="19"/>
        <v>0</v>
      </c>
      <c r="W65" s="215">
        <f t="shared" si="19"/>
        <v>0</v>
      </c>
      <c r="X65" s="215">
        <f t="shared" si="19"/>
        <v>3</v>
      </c>
      <c r="Y65" s="215">
        <f t="shared" si="19"/>
        <v>0.55000000000000004</v>
      </c>
      <c r="Z65" s="215">
        <f t="shared" si="19"/>
        <v>2</v>
      </c>
      <c r="AA65" s="215">
        <f t="shared" si="19"/>
        <v>0.34</v>
      </c>
      <c r="AB65" s="215">
        <f>SUM(AB67:AB71)</f>
        <v>2126</v>
      </c>
      <c r="AC65" s="215">
        <f>SUM(AC67:AC71)</f>
        <v>495</v>
      </c>
      <c r="AD65" s="282" t="s">
        <v>228</v>
      </c>
      <c r="AE65" s="132"/>
    </row>
    <row r="66" spans="1:31" ht="8.8000000000000007" customHeight="1" x14ac:dyDescent="0.3">
      <c r="A66" s="270"/>
      <c r="B66" s="221"/>
      <c r="C66" s="215"/>
      <c r="D66" s="215"/>
      <c r="E66" s="215"/>
      <c r="F66" s="215"/>
      <c r="G66" s="215"/>
      <c r="H66" s="215"/>
      <c r="I66" s="215"/>
      <c r="J66" s="215"/>
      <c r="K66" s="215"/>
      <c r="L66" s="215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82"/>
      <c r="AE66" s="132"/>
    </row>
    <row r="67" spans="1:31" x14ac:dyDescent="0.3">
      <c r="A67" s="148" t="s">
        <v>330</v>
      </c>
      <c r="B67" s="149">
        <f t="shared" ref="B67:B71" si="20">SUM(C67,E67,G67,I67,K67,M67,O67,R67,T67,V67,X67,Z67,AB67,AC67)</f>
        <v>890</v>
      </c>
      <c r="C67" s="152" t="s">
        <v>373</v>
      </c>
      <c r="D67" s="151" t="s">
        <v>373</v>
      </c>
      <c r="E67" s="152" t="s">
        <v>373</v>
      </c>
      <c r="F67" s="151" t="s">
        <v>373</v>
      </c>
      <c r="G67" s="152" t="s">
        <v>373</v>
      </c>
      <c r="H67" s="151" t="s">
        <v>373</v>
      </c>
      <c r="I67" s="152" t="s">
        <v>373</v>
      </c>
      <c r="J67" s="151" t="s">
        <v>373</v>
      </c>
      <c r="K67" s="152" t="s">
        <v>373</v>
      </c>
      <c r="L67" s="151" t="s">
        <v>373</v>
      </c>
      <c r="M67" s="150">
        <v>301</v>
      </c>
      <c r="N67" s="151">
        <v>58.3</v>
      </c>
      <c r="O67" s="150" t="s">
        <v>373</v>
      </c>
      <c r="P67" s="154" t="s">
        <v>373</v>
      </c>
      <c r="Q67" s="152" t="s">
        <v>373</v>
      </c>
      <c r="R67" s="154">
        <v>8</v>
      </c>
      <c r="S67" s="150">
        <v>3.2</v>
      </c>
      <c r="T67" s="154" t="s">
        <v>373</v>
      </c>
      <c r="U67" s="150" t="s">
        <v>373</v>
      </c>
      <c r="V67" s="154" t="s">
        <v>373</v>
      </c>
      <c r="W67" s="150" t="s">
        <v>373</v>
      </c>
      <c r="X67" s="154" t="s">
        <v>373</v>
      </c>
      <c r="Y67" s="150" t="s">
        <v>373</v>
      </c>
      <c r="Z67" s="154" t="s">
        <v>373</v>
      </c>
      <c r="AA67" s="150" t="s">
        <v>373</v>
      </c>
      <c r="AB67" s="151">
        <v>466</v>
      </c>
      <c r="AC67" s="189">
        <v>115</v>
      </c>
      <c r="AD67" s="153" t="s">
        <v>229</v>
      </c>
      <c r="AE67" s="132"/>
    </row>
    <row r="68" spans="1:31" x14ac:dyDescent="0.3">
      <c r="A68" s="148" t="s">
        <v>331</v>
      </c>
      <c r="B68" s="149">
        <f t="shared" si="20"/>
        <v>249</v>
      </c>
      <c r="C68" s="152">
        <v>29</v>
      </c>
      <c r="D68" s="151">
        <v>2.9</v>
      </c>
      <c r="E68" s="152" t="s">
        <v>373</v>
      </c>
      <c r="F68" s="151" t="s">
        <v>373</v>
      </c>
      <c r="G68" s="152" t="s">
        <v>373</v>
      </c>
      <c r="H68" s="151" t="s">
        <v>373</v>
      </c>
      <c r="I68" s="152" t="s">
        <v>373</v>
      </c>
      <c r="J68" s="151" t="s">
        <v>373</v>
      </c>
      <c r="K68" s="152" t="s">
        <v>373</v>
      </c>
      <c r="L68" s="151" t="s">
        <v>373</v>
      </c>
      <c r="M68" s="152">
        <v>105</v>
      </c>
      <c r="N68" s="151">
        <v>15.75</v>
      </c>
      <c r="O68" s="150">
        <v>1</v>
      </c>
      <c r="P68" s="154" t="s">
        <v>373</v>
      </c>
      <c r="Q68" s="152" t="s">
        <v>373</v>
      </c>
      <c r="R68" s="154" t="s">
        <v>373</v>
      </c>
      <c r="S68" s="150" t="s">
        <v>373</v>
      </c>
      <c r="T68" s="154">
        <v>20</v>
      </c>
      <c r="U68" s="150">
        <v>2</v>
      </c>
      <c r="V68" s="154" t="s">
        <v>373</v>
      </c>
      <c r="W68" s="150" t="s">
        <v>373</v>
      </c>
      <c r="X68" s="151" t="s">
        <v>373</v>
      </c>
      <c r="Y68" s="150" t="s">
        <v>373</v>
      </c>
      <c r="Z68" s="154">
        <v>2</v>
      </c>
      <c r="AA68" s="150">
        <v>0.34</v>
      </c>
      <c r="AB68" s="151">
        <v>58</v>
      </c>
      <c r="AC68" s="189">
        <v>34</v>
      </c>
      <c r="AD68" s="153" t="s">
        <v>230</v>
      </c>
      <c r="AE68" s="132"/>
    </row>
    <row r="69" spans="1:31" x14ac:dyDescent="0.3">
      <c r="A69" s="148" t="s">
        <v>332</v>
      </c>
      <c r="B69" s="149">
        <f t="shared" si="20"/>
        <v>264</v>
      </c>
      <c r="C69" s="152" t="s">
        <v>373</v>
      </c>
      <c r="D69" s="151" t="s">
        <v>373</v>
      </c>
      <c r="E69" s="152" t="s">
        <v>373</v>
      </c>
      <c r="F69" s="151" t="s">
        <v>373</v>
      </c>
      <c r="G69" s="152" t="s">
        <v>373</v>
      </c>
      <c r="H69" s="151" t="s">
        <v>373</v>
      </c>
      <c r="I69" s="152" t="s">
        <v>373</v>
      </c>
      <c r="J69" s="151" t="s">
        <v>373</v>
      </c>
      <c r="K69" s="152" t="s">
        <v>373</v>
      </c>
      <c r="L69" s="151" t="s">
        <v>373</v>
      </c>
      <c r="M69" s="150">
        <v>6</v>
      </c>
      <c r="N69" s="151">
        <v>1.02</v>
      </c>
      <c r="O69" s="150" t="s">
        <v>373</v>
      </c>
      <c r="P69" s="154" t="s">
        <v>373</v>
      </c>
      <c r="Q69" s="152">
        <v>0.4</v>
      </c>
      <c r="R69" s="151">
        <v>2</v>
      </c>
      <c r="S69" s="150">
        <v>0.45</v>
      </c>
      <c r="T69" s="154" t="s">
        <v>373</v>
      </c>
      <c r="U69" s="150" t="s">
        <v>373</v>
      </c>
      <c r="V69" s="154" t="s">
        <v>373</v>
      </c>
      <c r="W69" s="150" t="s">
        <v>373</v>
      </c>
      <c r="X69" s="151">
        <v>2</v>
      </c>
      <c r="Y69" s="150">
        <v>0.3</v>
      </c>
      <c r="Z69" s="154" t="s">
        <v>373</v>
      </c>
      <c r="AA69" s="150" t="s">
        <v>373</v>
      </c>
      <c r="AB69" s="151">
        <v>196</v>
      </c>
      <c r="AC69" s="189">
        <v>58</v>
      </c>
      <c r="AD69" s="153" t="s">
        <v>231</v>
      </c>
      <c r="AE69" s="132"/>
    </row>
    <row r="70" spans="1:31" x14ac:dyDescent="0.3">
      <c r="A70" s="148" t="s">
        <v>333</v>
      </c>
      <c r="B70" s="149">
        <f t="shared" si="20"/>
        <v>339</v>
      </c>
      <c r="C70" s="152" t="s">
        <v>373</v>
      </c>
      <c r="D70" s="151" t="s">
        <v>373</v>
      </c>
      <c r="E70" s="152" t="s">
        <v>373</v>
      </c>
      <c r="F70" s="151" t="s">
        <v>373</v>
      </c>
      <c r="G70" s="152" t="s">
        <v>373</v>
      </c>
      <c r="H70" s="151" t="s">
        <v>373</v>
      </c>
      <c r="I70" s="152" t="s">
        <v>373</v>
      </c>
      <c r="J70" s="151" t="s">
        <v>373</v>
      </c>
      <c r="K70" s="152" t="s">
        <v>373</v>
      </c>
      <c r="L70" s="151" t="s">
        <v>373</v>
      </c>
      <c r="M70" s="152" t="s">
        <v>373</v>
      </c>
      <c r="N70" s="151" t="s">
        <v>373</v>
      </c>
      <c r="O70" s="150" t="s">
        <v>373</v>
      </c>
      <c r="P70" s="154" t="s">
        <v>373</v>
      </c>
      <c r="Q70" s="152" t="s">
        <v>373</v>
      </c>
      <c r="R70" s="151">
        <v>27</v>
      </c>
      <c r="S70" s="150">
        <v>7.21</v>
      </c>
      <c r="T70" s="154" t="s">
        <v>373</v>
      </c>
      <c r="U70" s="150" t="s">
        <v>373</v>
      </c>
      <c r="V70" s="154" t="s">
        <v>373</v>
      </c>
      <c r="W70" s="150" t="s">
        <v>373</v>
      </c>
      <c r="X70" s="151">
        <v>1</v>
      </c>
      <c r="Y70" s="150">
        <v>0.25</v>
      </c>
      <c r="Z70" s="154" t="s">
        <v>373</v>
      </c>
      <c r="AA70" s="150" t="s">
        <v>373</v>
      </c>
      <c r="AB70" s="151">
        <v>250</v>
      </c>
      <c r="AC70" s="189">
        <v>61</v>
      </c>
      <c r="AD70" s="153" t="s">
        <v>232</v>
      </c>
      <c r="AE70" s="132"/>
    </row>
    <row r="71" spans="1:31" x14ac:dyDescent="0.3">
      <c r="A71" s="148" t="s">
        <v>334</v>
      </c>
      <c r="B71" s="149">
        <f t="shared" si="20"/>
        <v>2657</v>
      </c>
      <c r="C71" s="152" t="s">
        <v>373</v>
      </c>
      <c r="D71" s="151" t="s">
        <v>373</v>
      </c>
      <c r="E71" s="152" t="s">
        <v>373</v>
      </c>
      <c r="F71" s="151" t="s">
        <v>373</v>
      </c>
      <c r="G71" s="152" t="s">
        <v>373</v>
      </c>
      <c r="H71" s="151" t="s">
        <v>373</v>
      </c>
      <c r="I71" s="152" t="s">
        <v>373</v>
      </c>
      <c r="J71" s="151" t="s">
        <v>373</v>
      </c>
      <c r="K71" s="152" t="s">
        <v>373</v>
      </c>
      <c r="L71" s="151" t="s">
        <v>373</v>
      </c>
      <c r="M71" s="152" t="s">
        <v>373</v>
      </c>
      <c r="N71" s="151" t="s">
        <v>373</v>
      </c>
      <c r="O71" s="150" t="s">
        <v>373</v>
      </c>
      <c r="P71" s="154" t="s">
        <v>373</v>
      </c>
      <c r="Q71" s="152" t="s">
        <v>373</v>
      </c>
      <c r="R71" s="151">
        <v>1274</v>
      </c>
      <c r="S71" s="150">
        <v>431.6</v>
      </c>
      <c r="T71" s="154" t="s">
        <v>373</v>
      </c>
      <c r="U71" s="150" t="s">
        <v>373</v>
      </c>
      <c r="V71" s="154" t="s">
        <v>373</v>
      </c>
      <c r="W71" s="150" t="s">
        <v>373</v>
      </c>
      <c r="X71" s="154" t="s">
        <v>373</v>
      </c>
      <c r="Y71" s="150" t="s">
        <v>373</v>
      </c>
      <c r="Z71" s="154" t="s">
        <v>373</v>
      </c>
      <c r="AA71" s="150" t="s">
        <v>373</v>
      </c>
      <c r="AB71" s="151">
        <v>1156</v>
      </c>
      <c r="AC71" s="189">
        <v>227</v>
      </c>
      <c r="AD71" s="153" t="s">
        <v>233</v>
      </c>
      <c r="AE71" s="132"/>
    </row>
    <row r="72" spans="1:31" x14ac:dyDescent="0.3">
      <c r="A72" s="270" t="s">
        <v>234</v>
      </c>
      <c r="B72" s="221">
        <f>SUM(B74:B81)</f>
        <v>8992</v>
      </c>
      <c r="C72" s="222">
        <f>SUM(C74:C81)</f>
        <v>0</v>
      </c>
      <c r="D72" s="217">
        <f t="shared" ref="D72:N72" si="21">SUM(D74:D81)</f>
        <v>0</v>
      </c>
      <c r="E72" s="216">
        <f t="shared" si="21"/>
        <v>0</v>
      </c>
      <c r="F72" s="217">
        <f t="shared" si="21"/>
        <v>0</v>
      </c>
      <c r="G72" s="216">
        <f t="shared" si="21"/>
        <v>166</v>
      </c>
      <c r="H72" s="217">
        <f t="shared" si="21"/>
        <v>61.42</v>
      </c>
      <c r="I72" s="216">
        <f>SUM(I74:I81)</f>
        <v>8462</v>
      </c>
      <c r="J72" s="217">
        <f>SUM(J74:J81)</f>
        <v>3046.32</v>
      </c>
      <c r="K72" s="216">
        <f t="shared" si="21"/>
        <v>0</v>
      </c>
      <c r="L72" s="217">
        <f t="shared" si="21"/>
        <v>0</v>
      </c>
      <c r="M72" s="216">
        <f t="shared" si="21"/>
        <v>1</v>
      </c>
      <c r="N72" s="217">
        <f t="shared" si="21"/>
        <v>0.2</v>
      </c>
      <c r="O72" s="208">
        <f>SUM(O74:O81)</f>
        <v>0</v>
      </c>
      <c r="P72" s="210">
        <f t="shared" ref="P72:W72" si="22">SUM(P74:P81)</f>
        <v>0</v>
      </c>
      <c r="Q72" s="220">
        <f t="shared" si="22"/>
        <v>0</v>
      </c>
      <c r="R72" s="209">
        <f t="shared" si="22"/>
        <v>4</v>
      </c>
      <c r="S72" s="220">
        <f t="shared" si="22"/>
        <v>1</v>
      </c>
      <c r="T72" s="209">
        <f t="shared" si="22"/>
        <v>0</v>
      </c>
      <c r="U72" s="220">
        <f t="shared" si="22"/>
        <v>0</v>
      </c>
      <c r="V72" s="219">
        <f t="shared" si="22"/>
        <v>1</v>
      </c>
      <c r="W72" s="210">
        <f t="shared" si="22"/>
        <v>5</v>
      </c>
      <c r="X72" s="209">
        <f t="shared" ref="X72:AC72" si="23">SUM(X74:X81)</f>
        <v>0</v>
      </c>
      <c r="Y72" s="210">
        <f t="shared" si="23"/>
        <v>0</v>
      </c>
      <c r="Z72" s="209">
        <f t="shared" si="23"/>
        <v>0</v>
      </c>
      <c r="AA72" s="210">
        <f t="shared" si="23"/>
        <v>0</v>
      </c>
      <c r="AB72" s="209">
        <f t="shared" si="23"/>
        <v>280</v>
      </c>
      <c r="AC72" s="208">
        <f t="shared" si="23"/>
        <v>78</v>
      </c>
      <c r="AD72" s="282" t="s">
        <v>235</v>
      </c>
      <c r="AE72" s="132"/>
    </row>
    <row r="73" spans="1:31" ht="7.55" customHeight="1" x14ac:dyDescent="0.3">
      <c r="A73" s="270"/>
      <c r="B73" s="221"/>
      <c r="C73" s="222"/>
      <c r="D73" s="217"/>
      <c r="E73" s="216"/>
      <c r="F73" s="217"/>
      <c r="G73" s="216"/>
      <c r="H73" s="217"/>
      <c r="I73" s="216"/>
      <c r="J73" s="217"/>
      <c r="K73" s="216"/>
      <c r="L73" s="217"/>
      <c r="M73" s="216"/>
      <c r="N73" s="217"/>
      <c r="O73" s="208"/>
      <c r="P73" s="210"/>
      <c r="Q73" s="220"/>
      <c r="R73" s="209"/>
      <c r="S73" s="220"/>
      <c r="T73" s="209"/>
      <c r="U73" s="220"/>
      <c r="V73" s="219"/>
      <c r="W73" s="210"/>
      <c r="X73" s="209"/>
      <c r="Y73" s="210"/>
      <c r="Z73" s="209"/>
      <c r="AA73" s="210"/>
      <c r="AB73" s="209"/>
      <c r="AC73" s="208"/>
      <c r="AD73" s="282"/>
      <c r="AE73" s="132"/>
    </row>
    <row r="74" spans="1:31" x14ac:dyDescent="0.3">
      <c r="A74" s="148" t="s">
        <v>290</v>
      </c>
      <c r="B74" s="149">
        <f t="shared" ref="B74:B81" si="24">SUM(C74,E74,G74,I74,K74,M74,O74,R74,T74,V74,X74,Z74,AB74,AC74)</f>
        <v>0</v>
      </c>
      <c r="C74" s="152" t="s">
        <v>373</v>
      </c>
      <c r="D74" s="151" t="s">
        <v>373</v>
      </c>
      <c r="E74" s="152" t="s">
        <v>373</v>
      </c>
      <c r="F74" s="151" t="s">
        <v>373</v>
      </c>
      <c r="G74" s="152" t="s">
        <v>373</v>
      </c>
      <c r="H74" s="151" t="s">
        <v>373</v>
      </c>
      <c r="I74" s="152" t="s">
        <v>373</v>
      </c>
      <c r="J74" s="151" t="s">
        <v>373</v>
      </c>
      <c r="K74" s="152" t="s">
        <v>373</v>
      </c>
      <c r="L74" s="151" t="s">
        <v>373</v>
      </c>
      <c r="M74" s="152" t="s">
        <v>373</v>
      </c>
      <c r="N74" s="151" t="s">
        <v>373</v>
      </c>
      <c r="O74" s="150" t="s">
        <v>373</v>
      </c>
      <c r="P74" s="154" t="s">
        <v>373</v>
      </c>
      <c r="Q74" s="152" t="s">
        <v>373</v>
      </c>
      <c r="R74" s="151" t="s">
        <v>373</v>
      </c>
      <c r="S74" s="150" t="s">
        <v>373</v>
      </c>
      <c r="T74" s="154" t="s">
        <v>373</v>
      </c>
      <c r="U74" s="150" t="s">
        <v>373</v>
      </c>
      <c r="V74" s="154" t="s">
        <v>373</v>
      </c>
      <c r="W74" s="150" t="s">
        <v>373</v>
      </c>
      <c r="X74" s="154" t="s">
        <v>373</v>
      </c>
      <c r="Y74" s="150" t="s">
        <v>373</v>
      </c>
      <c r="Z74" s="154" t="s">
        <v>373</v>
      </c>
      <c r="AA74" s="150" t="s">
        <v>373</v>
      </c>
      <c r="AB74" s="151" t="s">
        <v>373</v>
      </c>
      <c r="AC74" s="189" t="s">
        <v>373</v>
      </c>
      <c r="AD74" s="153" t="s">
        <v>236</v>
      </c>
      <c r="AE74" s="132"/>
    </row>
    <row r="75" spans="1:31" x14ac:dyDescent="0.3">
      <c r="A75" s="148" t="s">
        <v>289</v>
      </c>
      <c r="B75" s="149">
        <f t="shared" si="24"/>
        <v>0</v>
      </c>
      <c r="C75" s="152" t="s">
        <v>373</v>
      </c>
      <c r="D75" s="151" t="s">
        <v>373</v>
      </c>
      <c r="E75" s="152" t="s">
        <v>373</v>
      </c>
      <c r="F75" s="151" t="s">
        <v>373</v>
      </c>
      <c r="G75" s="152" t="s">
        <v>373</v>
      </c>
      <c r="H75" s="151" t="s">
        <v>373</v>
      </c>
      <c r="I75" s="152" t="s">
        <v>373</v>
      </c>
      <c r="J75" s="151" t="s">
        <v>373</v>
      </c>
      <c r="K75" s="152" t="s">
        <v>373</v>
      </c>
      <c r="L75" s="151" t="s">
        <v>373</v>
      </c>
      <c r="M75" s="152" t="s">
        <v>373</v>
      </c>
      <c r="N75" s="151" t="s">
        <v>373</v>
      </c>
      <c r="O75" s="150" t="s">
        <v>373</v>
      </c>
      <c r="P75" s="154" t="s">
        <v>373</v>
      </c>
      <c r="Q75" s="152" t="s">
        <v>373</v>
      </c>
      <c r="R75" s="151" t="s">
        <v>373</v>
      </c>
      <c r="S75" s="150" t="s">
        <v>373</v>
      </c>
      <c r="T75" s="154" t="s">
        <v>373</v>
      </c>
      <c r="U75" s="150" t="s">
        <v>373</v>
      </c>
      <c r="V75" s="154" t="s">
        <v>373</v>
      </c>
      <c r="W75" s="150" t="s">
        <v>373</v>
      </c>
      <c r="X75" s="154" t="s">
        <v>373</v>
      </c>
      <c r="Y75" s="150" t="s">
        <v>373</v>
      </c>
      <c r="Z75" s="154" t="s">
        <v>373</v>
      </c>
      <c r="AA75" s="150" t="s">
        <v>373</v>
      </c>
      <c r="AB75" s="151" t="s">
        <v>373</v>
      </c>
      <c r="AC75" s="189" t="s">
        <v>373</v>
      </c>
      <c r="AD75" s="153" t="s">
        <v>237</v>
      </c>
      <c r="AE75" s="132"/>
    </row>
    <row r="76" spans="1:31" x14ac:dyDescent="0.3">
      <c r="A76" s="148" t="s">
        <v>335</v>
      </c>
      <c r="B76" s="149">
        <f t="shared" si="24"/>
        <v>0</v>
      </c>
      <c r="C76" s="152" t="s">
        <v>373</v>
      </c>
      <c r="D76" s="151" t="s">
        <v>373</v>
      </c>
      <c r="E76" s="152" t="s">
        <v>373</v>
      </c>
      <c r="F76" s="151" t="s">
        <v>373</v>
      </c>
      <c r="G76" s="152" t="s">
        <v>373</v>
      </c>
      <c r="H76" s="151" t="s">
        <v>373</v>
      </c>
      <c r="I76" s="152" t="s">
        <v>373</v>
      </c>
      <c r="J76" s="151" t="s">
        <v>373</v>
      </c>
      <c r="K76" s="152" t="s">
        <v>373</v>
      </c>
      <c r="L76" s="151" t="s">
        <v>373</v>
      </c>
      <c r="M76" s="152" t="s">
        <v>373</v>
      </c>
      <c r="N76" s="151" t="s">
        <v>373</v>
      </c>
      <c r="O76" s="150" t="s">
        <v>373</v>
      </c>
      <c r="P76" s="154" t="s">
        <v>373</v>
      </c>
      <c r="Q76" s="152" t="s">
        <v>373</v>
      </c>
      <c r="R76" s="151" t="s">
        <v>373</v>
      </c>
      <c r="S76" s="150" t="s">
        <v>373</v>
      </c>
      <c r="T76" s="154" t="s">
        <v>373</v>
      </c>
      <c r="U76" s="150" t="s">
        <v>373</v>
      </c>
      <c r="V76" s="154" t="s">
        <v>373</v>
      </c>
      <c r="W76" s="150" t="s">
        <v>373</v>
      </c>
      <c r="X76" s="154" t="s">
        <v>373</v>
      </c>
      <c r="Y76" s="150" t="s">
        <v>373</v>
      </c>
      <c r="Z76" s="154" t="s">
        <v>373</v>
      </c>
      <c r="AA76" s="150" t="s">
        <v>373</v>
      </c>
      <c r="AB76" s="151" t="s">
        <v>373</v>
      </c>
      <c r="AC76" s="189" t="s">
        <v>373</v>
      </c>
      <c r="AD76" s="153" t="s">
        <v>238</v>
      </c>
      <c r="AE76" s="132"/>
    </row>
    <row r="77" spans="1:31" x14ac:dyDescent="0.3">
      <c r="A77" s="148" t="s">
        <v>336</v>
      </c>
      <c r="B77" s="149">
        <f t="shared" si="24"/>
        <v>0</v>
      </c>
      <c r="C77" s="152" t="s">
        <v>373</v>
      </c>
      <c r="D77" s="151" t="s">
        <v>373</v>
      </c>
      <c r="E77" s="152" t="s">
        <v>373</v>
      </c>
      <c r="F77" s="151" t="s">
        <v>373</v>
      </c>
      <c r="G77" s="152" t="s">
        <v>373</v>
      </c>
      <c r="H77" s="151" t="s">
        <v>373</v>
      </c>
      <c r="I77" s="152" t="s">
        <v>373</v>
      </c>
      <c r="J77" s="151" t="s">
        <v>373</v>
      </c>
      <c r="K77" s="152" t="s">
        <v>373</v>
      </c>
      <c r="L77" s="151" t="s">
        <v>373</v>
      </c>
      <c r="M77" s="152" t="s">
        <v>373</v>
      </c>
      <c r="N77" s="151" t="s">
        <v>373</v>
      </c>
      <c r="O77" s="150" t="s">
        <v>373</v>
      </c>
      <c r="P77" s="154" t="s">
        <v>373</v>
      </c>
      <c r="Q77" s="152" t="s">
        <v>373</v>
      </c>
      <c r="R77" s="151" t="s">
        <v>373</v>
      </c>
      <c r="S77" s="150" t="s">
        <v>373</v>
      </c>
      <c r="T77" s="154" t="s">
        <v>373</v>
      </c>
      <c r="U77" s="150" t="s">
        <v>373</v>
      </c>
      <c r="V77" s="154" t="s">
        <v>373</v>
      </c>
      <c r="W77" s="150" t="s">
        <v>373</v>
      </c>
      <c r="X77" s="154" t="s">
        <v>373</v>
      </c>
      <c r="Y77" s="150" t="s">
        <v>373</v>
      </c>
      <c r="Z77" s="154" t="s">
        <v>373</v>
      </c>
      <c r="AA77" s="150" t="s">
        <v>373</v>
      </c>
      <c r="AB77" s="151" t="s">
        <v>373</v>
      </c>
      <c r="AC77" s="189" t="s">
        <v>373</v>
      </c>
      <c r="AD77" s="153" t="s">
        <v>239</v>
      </c>
      <c r="AE77" s="132"/>
    </row>
    <row r="78" spans="1:31" x14ac:dyDescent="0.3">
      <c r="A78" s="148" t="s">
        <v>337</v>
      </c>
      <c r="B78" s="149">
        <f t="shared" si="24"/>
        <v>246</v>
      </c>
      <c r="C78" s="152" t="s">
        <v>373</v>
      </c>
      <c r="D78" s="151" t="s">
        <v>373</v>
      </c>
      <c r="E78" s="152" t="s">
        <v>373</v>
      </c>
      <c r="F78" s="151" t="s">
        <v>373</v>
      </c>
      <c r="G78" s="152" t="s">
        <v>373</v>
      </c>
      <c r="H78" s="151" t="s">
        <v>373</v>
      </c>
      <c r="I78" s="152" t="s">
        <v>373</v>
      </c>
      <c r="J78" s="151" t="s">
        <v>373</v>
      </c>
      <c r="K78" s="152" t="s">
        <v>373</v>
      </c>
      <c r="L78" s="151" t="s">
        <v>373</v>
      </c>
      <c r="M78" s="152">
        <v>1</v>
      </c>
      <c r="N78" s="151">
        <v>0.2</v>
      </c>
      <c r="O78" s="150" t="s">
        <v>373</v>
      </c>
      <c r="P78" s="154" t="s">
        <v>373</v>
      </c>
      <c r="Q78" s="152" t="s">
        <v>373</v>
      </c>
      <c r="R78" s="154" t="s">
        <v>373</v>
      </c>
      <c r="S78" s="150" t="s">
        <v>373</v>
      </c>
      <c r="T78" s="154" t="s">
        <v>373</v>
      </c>
      <c r="U78" s="150" t="s">
        <v>373</v>
      </c>
      <c r="V78" s="154" t="s">
        <v>373</v>
      </c>
      <c r="W78" s="150" t="s">
        <v>373</v>
      </c>
      <c r="X78" s="154" t="s">
        <v>373</v>
      </c>
      <c r="Y78" s="150" t="s">
        <v>373</v>
      </c>
      <c r="Z78" s="154" t="s">
        <v>373</v>
      </c>
      <c r="AA78" s="150" t="s">
        <v>373</v>
      </c>
      <c r="AB78" s="151">
        <v>178</v>
      </c>
      <c r="AC78" s="189">
        <v>67</v>
      </c>
      <c r="AD78" s="153" t="s">
        <v>240</v>
      </c>
      <c r="AE78" s="132"/>
    </row>
    <row r="79" spans="1:31" x14ac:dyDescent="0.3">
      <c r="A79" s="148" t="s">
        <v>338</v>
      </c>
      <c r="B79" s="149">
        <f t="shared" si="24"/>
        <v>8736</v>
      </c>
      <c r="C79" s="150" t="s">
        <v>373</v>
      </c>
      <c r="D79" s="151" t="s">
        <v>373</v>
      </c>
      <c r="E79" s="150" t="s">
        <v>373</v>
      </c>
      <c r="F79" s="151" t="s">
        <v>373</v>
      </c>
      <c r="G79" s="152">
        <v>166</v>
      </c>
      <c r="H79" s="151">
        <v>61.42</v>
      </c>
      <c r="I79" s="150">
        <v>8462</v>
      </c>
      <c r="J79" s="151">
        <v>3046.32</v>
      </c>
      <c r="K79" s="152" t="s">
        <v>373</v>
      </c>
      <c r="L79" s="151" t="s">
        <v>373</v>
      </c>
      <c r="M79" s="152" t="s">
        <v>373</v>
      </c>
      <c r="N79" s="151" t="s">
        <v>373</v>
      </c>
      <c r="O79" s="150" t="s">
        <v>373</v>
      </c>
      <c r="P79" s="154" t="s">
        <v>373</v>
      </c>
      <c r="Q79" s="152" t="s">
        <v>373</v>
      </c>
      <c r="R79" s="154">
        <v>4</v>
      </c>
      <c r="S79" s="150">
        <v>1</v>
      </c>
      <c r="T79" s="151" t="s">
        <v>373</v>
      </c>
      <c r="U79" s="150" t="s">
        <v>373</v>
      </c>
      <c r="V79" s="154">
        <v>1</v>
      </c>
      <c r="W79" s="150">
        <v>5</v>
      </c>
      <c r="X79" s="154" t="s">
        <v>373</v>
      </c>
      <c r="Y79" s="150" t="s">
        <v>373</v>
      </c>
      <c r="Z79" s="154" t="s">
        <v>373</v>
      </c>
      <c r="AA79" s="150" t="s">
        <v>373</v>
      </c>
      <c r="AB79" s="151">
        <v>102</v>
      </c>
      <c r="AC79" s="189">
        <v>1</v>
      </c>
      <c r="AD79" s="153" t="s">
        <v>241</v>
      </c>
      <c r="AE79" s="132"/>
    </row>
    <row r="80" spans="1:31" x14ac:dyDescent="0.3">
      <c r="A80" s="148" t="s">
        <v>339</v>
      </c>
      <c r="B80" s="149">
        <f t="shared" si="24"/>
        <v>0</v>
      </c>
      <c r="C80" s="150" t="s">
        <v>373</v>
      </c>
      <c r="D80" s="151" t="s">
        <v>373</v>
      </c>
      <c r="E80" s="150" t="s">
        <v>373</v>
      </c>
      <c r="F80" s="151" t="s">
        <v>373</v>
      </c>
      <c r="G80" s="152" t="s">
        <v>373</v>
      </c>
      <c r="H80" s="151" t="s">
        <v>373</v>
      </c>
      <c r="I80" s="150" t="s">
        <v>373</v>
      </c>
      <c r="J80" s="151" t="s">
        <v>373</v>
      </c>
      <c r="K80" s="152" t="s">
        <v>373</v>
      </c>
      <c r="L80" s="151" t="s">
        <v>373</v>
      </c>
      <c r="M80" s="152" t="s">
        <v>373</v>
      </c>
      <c r="N80" s="151" t="s">
        <v>373</v>
      </c>
      <c r="O80" s="150" t="s">
        <v>373</v>
      </c>
      <c r="P80" s="154" t="s">
        <v>373</v>
      </c>
      <c r="Q80" s="152" t="s">
        <v>373</v>
      </c>
      <c r="R80" s="154" t="s">
        <v>373</v>
      </c>
      <c r="S80" s="150" t="s">
        <v>373</v>
      </c>
      <c r="T80" s="151" t="s">
        <v>373</v>
      </c>
      <c r="U80" s="150" t="s">
        <v>373</v>
      </c>
      <c r="V80" s="154" t="s">
        <v>373</v>
      </c>
      <c r="W80" s="150" t="s">
        <v>373</v>
      </c>
      <c r="X80" s="154" t="s">
        <v>373</v>
      </c>
      <c r="Y80" s="150" t="s">
        <v>373</v>
      </c>
      <c r="Z80" s="154" t="s">
        <v>373</v>
      </c>
      <c r="AA80" s="150" t="s">
        <v>373</v>
      </c>
      <c r="AB80" s="151" t="s">
        <v>373</v>
      </c>
      <c r="AC80" s="189" t="s">
        <v>373</v>
      </c>
      <c r="AD80" s="153" t="s">
        <v>242</v>
      </c>
      <c r="AE80" s="132"/>
    </row>
    <row r="81" spans="1:31" x14ac:dyDescent="0.3">
      <c r="A81" s="148" t="s">
        <v>340</v>
      </c>
      <c r="B81" s="149">
        <f t="shared" si="24"/>
        <v>10</v>
      </c>
      <c r="C81" s="152" t="s">
        <v>373</v>
      </c>
      <c r="D81" s="151" t="s">
        <v>373</v>
      </c>
      <c r="E81" s="152" t="s">
        <v>373</v>
      </c>
      <c r="F81" s="151" t="s">
        <v>373</v>
      </c>
      <c r="G81" s="152" t="s">
        <v>373</v>
      </c>
      <c r="H81" s="151" t="s">
        <v>373</v>
      </c>
      <c r="I81" s="152" t="s">
        <v>373</v>
      </c>
      <c r="J81" s="151" t="s">
        <v>373</v>
      </c>
      <c r="K81" s="152" t="s">
        <v>373</v>
      </c>
      <c r="L81" s="151" t="s">
        <v>373</v>
      </c>
      <c r="M81" s="152" t="s">
        <v>373</v>
      </c>
      <c r="N81" s="151" t="s">
        <v>373</v>
      </c>
      <c r="O81" s="150" t="s">
        <v>373</v>
      </c>
      <c r="P81" s="154" t="s">
        <v>373</v>
      </c>
      <c r="Q81" s="152" t="s">
        <v>373</v>
      </c>
      <c r="R81" s="154" t="s">
        <v>373</v>
      </c>
      <c r="S81" s="150" t="s">
        <v>373</v>
      </c>
      <c r="T81" s="154" t="s">
        <v>373</v>
      </c>
      <c r="U81" s="150" t="s">
        <v>373</v>
      </c>
      <c r="V81" s="154" t="s">
        <v>373</v>
      </c>
      <c r="W81" s="150" t="s">
        <v>373</v>
      </c>
      <c r="X81" s="154" t="s">
        <v>373</v>
      </c>
      <c r="Y81" s="150" t="s">
        <v>373</v>
      </c>
      <c r="Z81" s="154" t="s">
        <v>373</v>
      </c>
      <c r="AA81" s="150" t="s">
        <v>373</v>
      </c>
      <c r="AB81" s="154" t="s">
        <v>373</v>
      </c>
      <c r="AC81" s="189">
        <v>10</v>
      </c>
      <c r="AD81" s="153" t="s">
        <v>243</v>
      </c>
      <c r="AE81" s="132"/>
    </row>
    <row r="82" spans="1:31" x14ac:dyDescent="0.3">
      <c r="A82" s="270" t="s">
        <v>244</v>
      </c>
      <c r="B82" s="221">
        <f>SUM(B84:B88)</f>
        <v>731</v>
      </c>
      <c r="C82" s="222">
        <f>SUM(C84:C88)</f>
        <v>0</v>
      </c>
      <c r="D82" s="217">
        <f t="shared" ref="D82:N82" si="25">SUM(D84:D88)</f>
        <v>0</v>
      </c>
      <c r="E82" s="216">
        <f t="shared" si="25"/>
        <v>0</v>
      </c>
      <c r="F82" s="217">
        <f t="shared" si="25"/>
        <v>0</v>
      </c>
      <c r="G82" s="216">
        <f t="shared" si="25"/>
        <v>0</v>
      </c>
      <c r="H82" s="217">
        <f t="shared" si="25"/>
        <v>0</v>
      </c>
      <c r="I82" s="216">
        <f>SUM(I84:I88)</f>
        <v>0</v>
      </c>
      <c r="J82" s="217">
        <f>SUM(J84:J88)</f>
        <v>0</v>
      </c>
      <c r="K82" s="216">
        <f t="shared" si="25"/>
        <v>92</v>
      </c>
      <c r="L82" s="217">
        <f t="shared" si="25"/>
        <v>7.36</v>
      </c>
      <c r="M82" s="216">
        <f t="shared" si="25"/>
        <v>114</v>
      </c>
      <c r="N82" s="217">
        <f t="shared" si="25"/>
        <v>15.629999999999999</v>
      </c>
      <c r="O82" s="208">
        <f>SUM(O84:O88)</f>
        <v>0</v>
      </c>
      <c r="P82" s="210">
        <f t="shared" ref="P82:W82" si="26">SUM(P84:P88)</f>
        <v>0</v>
      </c>
      <c r="Q82" s="220">
        <f t="shared" si="26"/>
        <v>0</v>
      </c>
      <c r="R82" s="209">
        <f t="shared" si="26"/>
        <v>1</v>
      </c>
      <c r="S82" s="220">
        <f t="shared" si="26"/>
        <v>0.3</v>
      </c>
      <c r="T82" s="209">
        <f t="shared" si="26"/>
        <v>0</v>
      </c>
      <c r="U82" s="220">
        <f t="shared" si="26"/>
        <v>0</v>
      </c>
      <c r="V82" s="219">
        <f t="shared" si="26"/>
        <v>0</v>
      </c>
      <c r="W82" s="210">
        <f t="shared" si="26"/>
        <v>0</v>
      </c>
      <c r="X82" s="209">
        <f t="shared" ref="X82:AC82" si="27">SUM(X84:X88)</f>
        <v>0</v>
      </c>
      <c r="Y82" s="210">
        <f t="shared" si="27"/>
        <v>0</v>
      </c>
      <c r="Z82" s="209">
        <f t="shared" si="27"/>
        <v>0</v>
      </c>
      <c r="AA82" s="210">
        <f t="shared" si="27"/>
        <v>0</v>
      </c>
      <c r="AB82" s="209">
        <f t="shared" si="27"/>
        <v>271</v>
      </c>
      <c r="AC82" s="208">
        <f t="shared" si="27"/>
        <v>253</v>
      </c>
      <c r="AD82" s="282" t="s">
        <v>245</v>
      </c>
      <c r="AE82" s="132"/>
    </row>
    <row r="83" spans="1:31" ht="5.65" customHeight="1" x14ac:dyDescent="0.3">
      <c r="A83" s="270"/>
      <c r="B83" s="221"/>
      <c r="C83" s="222"/>
      <c r="D83" s="217"/>
      <c r="E83" s="216"/>
      <c r="F83" s="217"/>
      <c r="G83" s="216"/>
      <c r="H83" s="217"/>
      <c r="I83" s="216"/>
      <c r="J83" s="217"/>
      <c r="K83" s="216"/>
      <c r="L83" s="217"/>
      <c r="M83" s="216"/>
      <c r="N83" s="217"/>
      <c r="O83" s="208"/>
      <c r="P83" s="210"/>
      <c r="Q83" s="220"/>
      <c r="R83" s="209"/>
      <c r="S83" s="220"/>
      <c r="T83" s="209"/>
      <c r="U83" s="220"/>
      <c r="V83" s="219"/>
      <c r="W83" s="210"/>
      <c r="X83" s="209"/>
      <c r="Y83" s="210"/>
      <c r="Z83" s="209"/>
      <c r="AA83" s="210"/>
      <c r="AB83" s="209"/>
      <c r="AC83" s="208"/>
      <c r="AD83" s="282"/>
      <c r="AE83" s="132"/>
    </row>
    <row r="84" spans="1:31" x14ac:dyDescent="0.3">
      <c r="A84" s="148" t="s">
        <v>341</v>
      </c>
      <c r="B84" s="149">
        <f t="shared" ref="B84:B88" si="28">SUM(C84,E84,G84,I84,K84,M84,O84,R84,T84,V84,X84,Z84,AB84,AC84)</f>
        <v>23</v>
      </c>
      <c r="C84" s="152" t="s">
        <v>373</v>
      </c>
      <c r="D84" s="151" t="s">
        <v>373</v>
      </c>
      <c r="E84" s="152" t="s">
        <v>373</v>
      </c>
      <c r="F84" s="151" t="s">
        <v>373</v>
      </c>
      <c r="G84" s="152" t="s">
        <v>373</v>
      </c>
      <c r="H84" s="151" t="s">
        <v>373</v>
      </c>
      <c r="I84" s="152" t="s">
        <v>373</v>
      </c>
      <c r="J84" s="151" t="s">
        <v>373</v>
      </c>
      <c r="K84" s="152" t="s">
        <v>373</v>
      </c>
      <c r="L84" s="151" t="s">
        <v>373</v>
      </c>
      <c r="M84" s="150">
        <v>3</v>
      </c>
      <c r="N84" s="151">
        <v>1.2</v>
      </c>
      <c r="O84" s="150" t="s">
        <v>373</v>
      </c>
      <c r="P84" s="154" t="s">
        <v>373</v>
      </c>
      <c r="Q84" s="152" t="s">
        <v>373</v>
      </c>
      <c r="R84" s="151">
        <v>1</v>
      </c>
      <c r="S84" s="150">
        <v>0.3</v>
      </c>
      <c r="T84" s="154" t="s">
        <v>373</v>
      </c>
      <c r="U84" s="150" t="s">
        <v>373</v>
      </c>
      <c r="V84" s="154" t="s">
        <v>373</v>
      </c>
      <c r="W84" s="150" t="s">
        <v>373</v>
      </c>
      <c r="X84" s="154" t="s">
        <v>373</v>
      </c>
      <c r="Y84" s="150" t="s">
        <v>373</v>
      </c>
      <c r="Z84" s="154" t="s">
        <v>373</v>
      </c>
      <c r="AA84" s="150" t="s">
        <v>373</v>
      </c>
      <c r="AB84" s="151">
        <v>19</v>
      </c>
      <c r="AC84" s="190" t="s">
        <v>373</v>
      </c>
      <c r="AD84" s="153" t="s">
        <v>246</v>
      </c>
      <c r="AE84" s="132"/>
    </row>
    <row r="85" spans="1:31" x14ac:dyDescent="0.3">
      <c r="A85" s="148" t="s">
        <v>342</v>
      </c>
      <c r="B85" s="149">
        <f t="shared" si="28"/>
        <v>17</v>
      </c>
      <c r="C85" s="152" t="s">
        <v>373</v>
      </c>
      <c r="D85" s="151" t="s">
        <v>373</v>
      </c>
      <c r="E85" s="152" t="s">
        <v>373</v>
      </c>
      <c r="F85" s="151" t="s">
        <v>373</v>
      </c>
      <c r="G85" s="152" t="s">
        <v>373</v>
      </c>
      <c r="H85" s="151" t="s">
        <v>373</v>
      </c>
      <c r="I85" s="152" t="s">
        <v>373</v>
      </c>
      <c r="J85" s="151" t="s">
        <v>373</v>
      </c>
      <c r="K85" s="152" t="s">
        <v>373</v>
      </c>
      <c r="L85" s="151" t="s">
        <v>373</v>
      </c>
      <c r="M85" s="152" t="s">
        <v>373</v>
      </c>
      <c r="N85" s="151" t="s">
        <v>373</v>
      </c>
      <c r="O85" s="150" t="s">
        <v>373</v>
      </c>
      <c r="P85" s="154" t="s">
        <v>373</v>
      </c>
      <c r="Q85" s="152" t="s">
        <v>373</v>
      </c>
      <c r="R85" s="154" t="s">
        <v>373</v>
      </c>
      <c r="S85" s="150" t="s">
        <v>373</v>
      </c>
      <c r="T85" s="154" t="s">
        <v>373</v>
      </c>
      <c r="U85" s="150" t="s">
        <v>373</v>
      </c>
      <c r="V85" s="154" t="s">
        <v>373</v>
      </c>
      <c r="W85" s="150" t="s">
        <v>373</v>
      </c>
      <c r="X85" s="154" t="s">
        <v>373</v>
      </c>
      <c r="Y85" s="150" t="s">
        <v>373</v>
      </c>
      <c r="Z85" s="154" t="s">
        <v>373</v>
      </c>
      <c r="AA85" s="150" t="s">
        <v>373</v>
      </c>
      <c r="AB85" s="151">
        <v>17</v>
      </c>
      <c r="AC85" s="190" t="s">
        <v>373</v>
      </c>
      <c r="AD85" s="153" t="s">
        <v>247</v>
      </c>
      <c r="AE85" s="132"/>
    </row>
    <row r="86" spans="1:31" x14ac:dyDescent="0.3">
      <c r="A86" s="148" t="s">
        <v>343</v>
      </c>
      <c r="B86" s="149">
        <f t="shared" si="28"/>
        <v>457</v>
      </c>
      <c r="C86" s="152" t="s">
        <v>373</v>
      </c>
      <c r="D86" s="151" t="s">
        <v>373</v>
      </c>
      <c r="E86" s="152" t="s">
        <v>373</v>
      </c>
      <c r="F86" s="151" t="s">
        <v>373</v>
      </c>
      <c r="G86" s="152" t="s">
        <v>373</v>
      </c>
      <c r="H86" s="151" t="s">
        <v>373</v>
      </c>
      <c r="I86" s="152" t="s">
        <v>373</v>
      </c>
      <c r="J86" s="151" t="s">
        <v>373</v>
      </c>
      <c r="K86" s="150">
        <v>92</v>
      </c>
      <c r="L86" s="151">
        <v>7.36</v>
      </c>
      <c r="M86" s="152">
        <v>111</v>
      </c>
      <c r="N86" s="151">
        <v>14.43</v>
      </c>
      <c r="O86" s="150" t="s">
        <v>373</v>
      </c>
      <c r="P86" s="154" t="s">
        <v>373</v>
      </c>
      <c r="Q86" s="152" t="s">
        <v>373</v>
      </c>
      <c r="R86" s="154" t="s">
        <v>373</v>
      </c>
      <c r="S86" s="150" t="s">
        <v>373</v>
      </c>
      <c r="T86" s="154" t="s">
        <v>373</v>
      </c>
      <c r="U86" s="150" t="s">
        <v>373</v>
      </c>
      <c r="V86" s="154" t="s">
        <v>373</v>
      </c>
      <c r="W86" s="150" t="s">
        <v>373</v>
      </c>
      <c r="X86" s="154" t="s">
        <v>373</v>
      </c>
      <c r="Y86" s="150" t="s">
        <v>373</v>
      </c>
      <c r="Z86" s="151" t="s">
        <v>373</v>
      </c>
      <c r="AA86" s="150" t="s">
        <v>373</v>
      </c>
      <c r="AB86" s="151">
        <v>87</v>
      </c>
      <c r="AC86" s="189">
        <v>167</v>
      </c>
      <c r="AD86" s="153" t="s">
        <v>248</v>
      </c>
      <c r="AE86" s="132"/>
    </row>
    <row r="87" spans="1:31" x14ac:dyDescent="0.3">
      <c r="A87" s="148" t="s">
        <v>344</v>
      </c>
      <c r="B87" s="149">
        <f t="shared" si="28"/>
        <v>60</v>
      </c>
      <c r="C87" s="152" t="s">
        <v>373</v>
      </c>
      <c r="D87" s="151" t="s">
        <v>373</v>
      </c>
      <c r="E87" s="152" t="s">
        <v>373</v>
      </c>
      <c r="F87" s="151" t="s">
        <v>373</v>
      </c>
      <c r="G87" s="152" t="s">
        <v>373</v>
      </c>
      <c r="H87" s="151" t="s">
        <v>373</v>
      </c>
      <c r="I87" s="152" t="s">
        <v>373</v>
      </c>
      <c r="J87" s="151" t="s">
        <v>373</v>
      </c>
      <c r="K87" s="152" t="s">
        <v>373</v>
      </c>
      <c r="L87" s="151" t="s">
        <v>373</v>
      </c>
      <c r="M87" s="152" t="s">
        <v>373</v>
      </c>
      <c r="N87" s="151" t="s">
        <v>373</v>
      </c>
      <c r="O87" s="150" t="s">
        <v>373</v>
      </c>
      <c r="P87" s="154" t="s">
        <v>373</v>
      </c>
      <c r="Q87" s="152" t="s">
        <v>373</v>
      </c>
      <c r="R87" s="154" t="s">
        <v>373</v>
      </c>
      <c r="S87" s="150" t="s">
        <v>373</v>
      </c>
      <c r="T87" s="154" t="s">
        <v>373</v>
      </c>
      <c r="U87" s="150" t="s">
        <v>373</v>
      </c>
      <c r="V87" s="154" t="s">
        <v>373</v>
      </c>
      <c r="W87" s="150" t="s">
        <v>373</v>
      </c>
      <c r="X87" s="154" t="s">
        <v>373</v>
      </c>
      <c r="Y87" s="150" t="s">
        <v>373</v>
      </c>
      <c r="Z87" s="154" t="s">
        <v>373</v>
      </c>
      <c r="AA87" s="150" t="s">
        <v>373</v>
      </c>
      <c r="AB87" s="151">
        <v>47</v>
      </c>
      <c r="AC87" s="189">
        <v>13</v>
      </c>
      <c r="AD87" s="153" t="s">
        <v>249</v>
      </c>
      <c r="AE87" s="132"/>
    </row>
    <row r="88" spans="1:31" x14ac:dyDescent="0.3">
      <c r="A88" s="148" t="s">
        <v>345</v>
      </c>
      <c r="B88" s="149">
        <f t="shared" si="28"/>
        <v>174</v>
      </c>
      <c r="C88" s="152" t="s">
        <v>373</v>
      </c>
      <c r="D88" s="151" t="s">
        <v>373</v>
      </c>
      <c r="E88" s="152" t="s">
        <v>373</v>
      </c>
      <c r="F88" s="151" t="s">
        <v>373</v>
      </c>
      <c r="G88" s="152" t="s">
        <v>373</v>
      </c>
      <c r="H88" s="151" t="s">
        <v>373</v>
      </c>
      <c r="I88" s="152" t="s">
        <v>373</v>
      </c>
      <c r="J88" s="151" t="s">
        <v>373</v>
      </c>
      <c r="K88" s="152" t="s">
        <v>373</v>
      </c>
      <c r="L88" s="151" t="s">
        <v>373</v>
      </c>
      <c r="M88" s="152" t="s">
        <v>373</v>
      </c>
      <c r="N88" s="151" t="s">
        <v>373</v>
      </c>
      <c r="O88" s="150" t="s">
        <v>373</v>
      </c>
      <c r="P88" s="154" t="s">
        <v>373</v>
      </c>
      <c r="Q88" s="152" t="s">
        <v>373</v>
      </c>
      <c r="R88" s="154" t="s">
        <v>373</v>
      </c>
      <c r="S88" s="150" t="s">
        <v>373</v>
      </c>
      <c r="T88" s="154" t="s">
        <v>373</v>
      </c>
      <c r="U88" s="150" t="s">
        <v>373</v>
      </c>
      <c r="V88" s="154" t="s">
        <v>373</v>
      </c>
      <c r="W88" s="150" t="s">
        <v>373</v>
      </c>
      <c r="X88" s="154" t="s">
        <v>373</v>
      </c>
      <c r="Y88" s="150" t="s">
        <v>373</v>
      </c>
      <c r="Z88" s="154" t="s">
        <v>373</v>
      </c>
      <c r="AA88" s="150" t="s">
        <v>373</v>
      </c>
      <c r="AB88" s="151">
        <v>101</v>
      </c>
      <c r="AC88" s="189">
        <v>73</v>
      </c>
      <c r="AD88" s="153" t="s">
        <v>250</v>
      </c>
      <c r="AE88" s="132"/>
    </row>
    <row r="89" spans="1:31" x14ac:dyDescent="0.3">
      <c r="A89" s="270" t="s">
        <v>251</v>
      </c>
      <c r="B89" s="221">
        <f>SUM(B91:B103)</f>
        <v>885</v>
      </c>
      <c r="C89" s="222">
        <f>SUM(C91:C103)</f>
        <v>0</v>
      </c>
      <c r="D89" s="217">
        <f t="shared" ref="D89:N89" si="29">SUM(D91:D103)</f>
        <v>0</v>
      </c>
      <c r="E89" s="216">
        <f t="shared" si="29"/>
        <v>0</v>
      </c>
      <c r="F89" s="217">
        <f t="shared" si="29"/>
        <v>0</v>
      </c>
      <c r="G89" s="216">
        <f t="shared" si="29"/>
        <v>0</v>
      </c>
      <c r="H89" s="217">
        <f t="shared" si="29"/>
        <v>0</v>
      </c>
      <c r="I89" s="216">
        <f>SUM(I91:I103)</f>
        <v>0</v>
      </c>
      <c r="J89" s="217">
        <f>SUM(J91:J103)</f>
        <v>0</v>
      </c>
      <c r="K89" s="216">
        <f t="shared" si="29"/>
        <v>131</v>
      </c>
      <c r="L89" s="217">
        <f t="shared" si="29"/>
        <v>11.11</v>
      </c>
      <c r="M89" s="216">
        <f t="shared" si="29"/>
        <v>2</v>
      </c>
      <c r="N89" s="217">
        <f t="shared" si="29"/>
        <v>0.1</v>
      </c>
      <c r="O89" s="208">
        <f>SUM(O91:O103)</f>
        <v>14</v>
      </c>
      <c r="P89" s="210">
        <f t="shared" ref="P89:W89" si="30">SUM(P91:P103)</f>
        <v>1.972</v>
      </c>
      <c r="Q89" s="220">
        <f t="shared" si="30"/>
        <v>0</v>
      </c>
      <c r="R89" s="209">
        <f t="shared" si="30"/>
        <v>4</v>
      </c>
      <c r="S89" s="220">
        <f t="shared" si="30"/>
        <v>0.79</v>
      </c>
      <c r="T89" s="209">
        <f t="shared" si="30"/>
        <v>1</v>
      </c>
      <c r="U89" s="220">
        <f t="shared" si="30"/>
        <v>0.25</v>
      </c>
      <c r="V89" s="219">
        <f t="shared" si="30"/>
        <v>2</v>
      </c>
      <c r="W89" s="210">
        <f t="shared" si="30"/>
        <v>1.7</v>
      </c>
      <c r="X89" s="209">
        <f t="shared" ref="X89:AC89" si="31">SUM(X91:X103)</f>
        <v>1</v>
      </c>
      <c r="Y89" s="210">
        <f t="shared" si="31"/>
        <v>0.2</v>
      </c>
      <c r="Z89" s="209">
        <f t="shared" si="31"/>
        <v>0</v>
      </c>
      <c r="AA89" s="210">
        <f t="shared" si="31"/>
        <v>0</v>
      </c>
      <c r="AB89" s="209">
        <f t="shared" si="31"/>
        <v>505</v>
      </c>
      <c r="AC89" s="208">
        <f t="shared" si="31"/>
        <v>225</v>
      </c>
      <c r="AD89" s="282" t="s">
        <v>252</v>
      </c>
      <c r="AE89" s="132"/>
    </row>
    <row r="90" spans="1:31" ht="7.55" customHeight="1" x14ac:dyDescent="0.3">
      <c r="A90" s="270"/>
      <c r="B90" s="221"/>
      <c r="C90" s="222"/>
      <c r="D90" s="217"/>
      <c r="E90" s="216"/>
      <c r="F90" s="217"/>
      <c r="G90" s="216"/>
      <c r="H90" s="217"/>
      <c r="I90" s="216"/>
      <c r="J90" s="217"/>
      <c r="K90" s="216"/>
      <c r="L90" s="217"/>
      <c r="M90" s="216"/>
      <c r="N90" s="217"/>
      <c r="O90" s="208"/>
      <c r="P90" s="210"/>
      <c r="Q90" s="220"/>
      <c r="R90" s="209"/>
      <c r="S90" s="220"/>
      <c r="T90" s="209"/>
      <c r="U90" s="220"/>
      <c r="V90" s="219"/>
      <c r="W90" s="210"/>
      <c r="X90" s="209"/>
      <c r="Y90" s="210"/>
      <c r="Z90" s="209"/>
      <c r="AA90" s="210"/>
      <c r="AB90" s="209"/>
      <c r="AC90" s="208"/>
      <c r="AD90" s="282"/>
      <c r="AE90" s="132"/>
    </row>
    <row r="91" spans="1:31" x14ac:dyDescent="0.3">
      <c r="A91" s="148" t="s">
        <v>346</v>
      </c>
      <c r="B91" s="149">
        <f t="shared" ref="B91:B103" si="32">SUM(C91,E91,G91,I91,K91,M91,O91,R91,T91,V91,X91,Z91,AB91,AC91)</f>
        <v>34</v>
      </c>
      <c r="C91" s="152" t="s">
        <v>373</v>
      </c>
      <c r="D91" s="151" t="s">
        <v>373</v>
      </c>
      <c r="E91" s="152" t="s">
        <v>373</v>
      </c>
      <c r="F91" s="151" t="s">
        <v>373</v>
      </c>
      <c r="G91" s="152" t="s">
        <v>373</v>
      </c>
      <c r="H91" s="151" t="s">
        <v>373</v>
      </c>
      <c r="I91" s="152" t="s">
        <v>373</v>
      </c>
      <c r="J91" s="151" t="s">
        <v>373</v>
      </c>
      <c r="K91" s="152" t="s">
        <v>373</v>
      </c>
      <c r="L91" s="151" t="s">
        <v>373</v>
      </c>
      <c r="M91" s="152" t="s">
        <v>373</v>
      </c>
      <c r="N91" s="151" t="s">
        <v>373</v>
      </c>
      <c r="O91" s="150" t="s">
        <v>373</v>
      </c>
      <c r="P91" s="154" t="s">
        <v>373</v>
      </c>
      <c r="Q91" s="152" t="s">
        <v>373</v>
      </c>
      <c r="R91" s="154" t="s">
        <v>373</v>
      </c>
      <c r="S91" s="150" t="s">
        <v>373</v>
      </c>
      <c r="T91" s="154" t="s">
        <v>373</v>
      </c>
      <c r="U91" s="150" t="s">
        <v>373</v>
      </c>
      <c r="V91" s="154" t="s">
        <v>373</v>
      </c>
      <c r="W91" s="150" t="s">
        <v>373</v>
      </c>
      <c r="X91" s="154" t="s">
        <v>373</v>
      </c>
      <c r="Y91" s="150" t="s">
        <v>373</v>
      </c>
      <c r="Z91" s="154" t="s">
        <v>373</v>
      </c>
      <c r="AA91" s="150" t="s">
        <v>373</v>
      </c>
      <c r="AB91" s="151">
        <v>34</v>
      </c>
      <c r="AC91" s="189" t="s">
        <v>373</v>
      </c>
      <c r="AD91" s="153" t="s">
        <v>253</v>
      </c>
      <c r="AE91" s="132"/>
    </row>
    <row r="92" spans="1:31" x14ac:dyDescent="0.3">
      <c r="A92" s="148" t="s">
        <v>347</v>
      </c>
      <c r="B92" s="149">
        <f t="shared" si="32"/>
        <v>45</v>
      </c>
      <c r="C92" s="152" t="s">
        <v>373</v>
      </c>
      <c r="D92" s="151" t="s">
        <v>373</v>
      </c>
      <c r="E92" s="152" t="s">
        <v>373</v>
      </c>
      <c r="F92" s="151" t="s">
        <v>373</v>
      </c>
      <c r="G92" s="152" t="s">
        <v>373</v>
      </c>
      <c r="H92" s="151" t="s">
        <v>373</v>
      </c>
      <c r="I92" s="152" t="s">
        <v>373</v>
      </c>
      <c r="J92" s="151" t="s">
        <v>373</v>
      </c>
      <c r="K92" s="152" t="s">
        <v>373</v>
      </c>
      <c r="L92" s="151" t="s">
        <v>373</v>
      </c>
      <c r="M92" s="152" t="s">
        <v>373</v>
      </c>
      <c r="N92" s="151" t="s">
        <v>373</v>
      </c>
      <c r="O92" s="150" t="s">
        <v>373</v>
      </c>
      <c r="P92" s="154">
        <v>1.8</v>
      </c>
      <c r="Q92" s="152" t="s">
        <v>373</v>
      </c>
      <c r="R92" s="154" t="s">
        <v>373</v>
      </c>
      <c r="S92" s="150" t="s">
        <v>373</v>
      </c>
      <c r="T92" s="154" t="s">
        <v>373</v>
      </c>
      <c r="U92" s="150" t="s">
        <v>373</v>
      </c>
      <c r="V92" s="154" t="s">
        <v>373</v>
      </c>
      <c r="W92" s="150" t="s">
        <v>373</v>
      </c>
      <c r="X92" s="154" t="s">
        <v>373</v>
      </c>
      <c r="Y92" s="150" t="s">
        <v>373</v>
      </c>
      <c r="Z92" s="154" t="s">
        <v>373</v>
      </c>
      <c r="AA92" s="150" t="s">
        <v>373</v>
      </c>
      <c r="AB92" s="151">
        <v>37</v>
      </c>
      <c r="AC92" s="189">
        <v>8</v>
      </c>
      <c r="AD92" s="153" t="s">
        <v>254</v>
      </c>
      <c r="AE92" s="132"/>
    </row>
    <row r="93" spans="1:31" x14ac:dyDescent="0.3">
      <c r="A93" s="148" t="s">
        <v>348</v>
      </c>
      <c r="B93" s="149">
        <f t="shared" si="32"/>
        <v>92</v>
      </c>
      <c r="C93" s="152" t="s">
        <v>373</v>
      </c>
      <c r="D93" s="151" t="s">
        <v>373</v>
      </c>
      <c r="E93" s="152" t="s">
        <v>373</v>
      </c>
      <c r="F93" s="151" t="s">
        <v>373</v>
      </c>
      <c r="G93" s="152" t="s">
        <v>373</v>
      </c>
      <c r="H93" s="151" t="s">
        <v>373</v>
      </c>
      <c r="I93" s="152" t="s">
        <v>373</v>
      </c>
      <c r="J93" s="151" t="s">
        <v>373</v>
      </c>
      <c r="K93" s="152" t="s">
        <v>373</v>
      </c>
      <c r="L93" s="151" t="s">
        <v>373</v>
      </c>
      <c r="M93" s="152" t="s">
        <v>373</v>
      </c>
      <c r="N93" s="151" t="s">
        <v>373</v>
      </c>
      <c r="O93" s="150" t="s">
        <v>373</v>
      </c>
      <c r="P93" s="154" t="s">
        <v>373</v>
      </c>
      <c r="Q93" s="152" t="s">
        <v>373</v>
      </c>
      <c r="R93" s="154" t="s">
        <v>373</v>
      </c>
      <c r="S93" s="150" t="s">
        <v>373</v>
      </c>
      <c r="T93" s="154" t="s">
        <v>373</v>
      </c>
      <c r="U93" s="150" t="s">
        <v>373</v>
      </c>
      <c r="V93" s="154" t="s">
        <v>373</v>
      </c>
      <c r="W93" s="150" t="s">
        <v>373</v>
      </c>
      <c r="X93" s="154" t="s">
        <v>373</v>
      </c>
      <c r="Y93" s="150" t="s">
        <v>373</v>
      </c>
      <c r="Z93" s="154" t="s">
        <v>373</v>
      </c>
      <c r="AA93" s="150" t="s">
        <v>373</v>
      </c>
      <c r="AB93" s="151">
        <v>32</v>
      </c>
      <c r="AC93" s="190">
        <v>60</v>
      </c>
      <c r="AD93" s="153" t="s">
        <v>255</v>
      </c>
      <c r="AE93" s="132"/>
    </row>
    <row r="94" spans="1:31" x14ac:dyDescent="0.3">
      <c r="A94" s="148" t="s">
        <v>349</v>
      </c>
      <c r="B94" s="149">
        <f t="shared" si="32"/>
        <v>23</v>
      </c>
      <c r="C94" s="152" t="s">
        <v>373</v>
      </c>
      <c r="D94" s="151" t="s">
        <v>373</v>
      </c>
      <c r="E94" s="152" t="s">
        <v>373</v>
      </c>
      <c r="F94" s="151" t="s">
        <v>373</v>
      </c>
      <c r="G94" s="152" t="s">
        <v>373</v>
      </c>
      <c r="H94" s="151" t="s">
        <v>373</v>
      </c>
      <c r="I94" s="152" t="s">
        <v>373</v>
      </c>
      <c r="J94" s="151" t="s">
        <v>373</v>
      </c>
      <c r="K94" s="152">
        <v>20</v>
      </c>
      <c r="L94" s="151">
        <v>1</v>
      </c>
      <c r="M94" s="152">
        <v>2</v>
      </c>
      <c r="N94" s="151">
        <v>0.1</v>
      </c>
      <c r="O94" s="150" t="s">
        <v>373</v>
      </c>
      <c r="P94" s="154">
        <v>0.17199999999999999</v>
      </c>
      <c r="Q94" s="152" t="s">
        <v>373</v>
      </c>
      <c r="R94" s="154" t="s">
        <v>373</v>
      </c>
      <c r="S94" s="150" t="s">
        <v>373</v>
      </c>
      <c r="T94" s="154">
        <v>1</v>
      </c>
      <c r="U94" s="150">
        <v>0.25</v>
      </c>
      <c r="V94" s="154" t="s">
        <v>373</v>
      </c>
      <c r="W94" s="150" t="s">
        <v>373</v>
      </c>
      <c r="X94" s="154" t="s">
        <v>373</v>
      </c>
      <c r="Y94" s="150" t="s">
        <v>373</v>
      </c>
      <c r="Z94" s="154" t="s">
        <v>373</v>
      </c>
      <c r="AA94" s="150" t="s">
        <v>373</v>
      </c>
      <c r="AB94" s="154" t="s">
        <v>373</v>
      </c>
      <c r="AC94" s="189" t="s">
        <v>373</v>
      </c>
      <c r="AD94" s="153" t="s">
        <v>256</v>
      </c>
      <c r="AE94" s="132"/>
    </row>
    <row r="95" spans="1:31" x14ac:dyDescent="0.3">
      <c r="A95" s="148" t="s">
        <v>376</v>
      </c>
      <c r="B95" s="149">
        <f t="shared" si="32"/>
        <v>0</v>
      </c>
      <c r="C95" s="152" t="s">
        <v>373</v>
      </c>
      <c r="D95" s="151" t="s">
        <v>373</v>
      </c>
      <c r="E95" s="152" t="s">
        <v>373</v>
      </c>
      <c r="F95" s="151" t="s">
        <v>373</v>
      </c>
      <c r="G95" s="152" t="s">
        <v>373</v>
      </c>
      <c r="H95" s="151" t="s">
        <v>373</v>
      </c>
      <c r="I95" s="152" t="s">
        <v>373</v>
      </c>
      <c r="J95" s="151" t="s">
        <v>373</v>
      </c>
      <c r="K95" s="152" t="s">
        <v>373</v>
      </c>
      <c r="L95" s="151" t="s">
        <v>373</v>
      </c>
      <c r="M95" s="152" t="s">
        <v>373</v>
      </c>
      <c r="N95" s="151" t="s">
        <v>373</v>
      </c>
      <c r="O95" s="150" t="s">
        <v>373</v>
      </c>
      <c r="P95" s="154" t="s">
        <v>373</v>
      </c>
      <c r="Q95" s="152" t="s">
        <v>373</v>
      </c>
      <c r="R95" s="154" t="s">
        <v>373</v>
      </c>
      <c r="S95" s="150" t="s">
        <v>373</v>
      </c>
      <c r="T95" s="154" t="s">
        <v>373</v>
      </c>
      <c r="U95" s="150" t="s">
        <v>373</v>
      </c>
      <c r="V95" s="154" t="s">
        <v>373</v>
      </c>
      <c r="W95" s="150" t="s">
        <v>373</v>
      </c>
      <c r="X95" s="154" t="s">
        <v>373</v>
      </c>
      <c r="Y95" s="150" t="s">
        <v>373</v>
      </c>
      <c r="Z95" s="154" t="s">
        <v>373</v>
      </c>
      <c r="AA95" s="150" t="s">
        <v>373</v>
      </c>
      <c r="AB95" s="151" t="s">
        <v>373</v>
      </c>
      <c r="AC95" s="190" t="s">
        <v>373</v>
      </c>
      <c r="AD95" s="153" t="s">
        <v>377</v>
      </c>
      <c r="AE95" s="132"/>
    </row>
    <row r="96" spans="1:31" x14ac:dyDescent="0.3">
      <c r="A96" s="148" t="s">
        <v>378</v>
      </c>
      <c r="B96" s="149">
        <f t="shared" si="32"/>
        <v>263</v>
      </c>
      <c r="C96" s="152" t="s">
        <v>373</v>
      </c>
      <c r="D96" s="151" t="s">
        <v>373</v>
      </c>
      <c r="E96" s="152" t="s">
        <v>373</v>
      </c>
      <c r="F96" s="151" t="s">
        <v>373</v>
      </c>
      <c r="G96" s="152" t="s">
        <v>373</v>
      </c>
      <c r="H96" s="151" t="s">
        <v>373</v>
      </c>
      <c r="I96" s="152" t="s">
        <v>373</v>
      </c>
      <c r="J96" s="151" t="s">
        <v>373</v>
      </c>
      <c r="K96" s="152" t="s">
        <v>373</v>
      </c>
      <c r="L96" s="151" t="s">
        <v>373</v>
      </c>
      <c r="M96" s="152" t="s">
        <v>373</v>
      </c>
      <c r="N96" s="151" t="s">
        <v>373</v>
      </c>
      <c r="O96" s="150" t="s">
        <v>373</v>
      </c>
      <c r="P96" s="154" t="s">
        <v>373</v>
      </c>
      <c r="Q96" s="152" t="s">
        <v>373</v>
      </c>
      <c r="R96" s="154" t="s">
        <v>373</v>
      </c>
      <c r="S96" s="150" t="s">
        <v>373</v>
      </c>
      <c r="T96" s="154" t="s">
        <v>373</v>
      </c>
      <c r="U96" s="150" t="s">
        <v>373</v>
      </c>
      <c r="V96" s="154" t="s">
        <v>373</v>
      </c>
      <c r="W96" s="150" t="s">
        <v>373</v>
      </c>
      <c r="X96" s="154" t="s">
        <v>373</v>
      </c>
      <c r="Y96" s="150" t="s">
        <v>373</v>
      </c>
      <c r="Z96" s="154" t="s">
        <v>373</v>
      </c>
      <c r="AA96" s="150" t="s">
        <v>373</v>
      </c>
      <c r="AB96" s="151">
        <v>263</v>
      </c>
      <c r="AC96" s="190" t="s">
        <v>373</v>
      </c>
      <c r="AD96" s="153" t="s">
        <v>379</v>
      </c>
      <c r="AE96" s="132"/>
    </row>
    <row r="97" spans="1:31" x14ac:dyDescent="0.3">
      <c r="A97" s="148" t="s">
        <v>350</v>
      </c>
      <c r="B97" s="149">
        <f t="shared" si="32"/>
        <v>70</v>
      </c>
      <c r="C97" s="152" t="s">
        <v>373</v>
      </c>
      <c r="D97" s="151" t="s">
        <v>373</v>
      </c>
      <c r="E97" s="152" t="s">
        <v>373</v>
      </c>
      <c r="F97" s="151" t="s">
        <v>373</v>
      </c>
      <c r="G97" s="152" t="s">
        <v>373</v>
      </c>
      <c r="H97" s="151" t="s">
        <v>373</v>
      </c>
      <c r="I97" s="152" t="s">
        <v>373</v>
      </c>
      <c r="J97" s="151" t="s">
        <v>373</v>
      </c>
      <c r="K97" s="150">
        <v>70</v>
      </c>
      <c r="L97" s="151">
        <v>3.65</v>
      </c>
      <c r="M97" s="152" t="s">
        <v>373</v>
      </c>
      <c r="N97" s="151" t="s">
        <v>373</v>
      </c>
      <c r="O97" s="150" t="s">
        <v>373</v>
      </c>
      <c r="P97" s="154" t="s">
        <v>373</v>
      </c>
      <c r="Q97" s="152" t="s">
        <v>373</v>
      </c>
      <c r="R97" s="154" t="s">
        <v>373</v>
      </c>
      <c r="S97" s="150" t="s">
        <v>373</v>
      </c>
      <c r="T97" s="154" t="s">
        <v>373</v>
      </c>
      <c r="U97" s="150" t="s">
        <v>373</v>
      </c>
      <c r="V97" s="154" t="s">
        <v>373</v>
      </c>
      <c r="W97" s="150" t="s">
        <v>373</v>
      </c>
      <c r="X97" s="154" t="s">
        <v>373</v>
      </c>
      <c r="Y97" s="150" t="s">
        <v>373</v>
      </c>
      <c r="Z97" s="154" t="s">
        <v>373</v>
      </c>
      <c r="AA97" s="150" t="s">
        <v>373</v>
      </c>
      <c r="AB97" s="154" t="s">
        <v>373</v>
      </c>
      <c r="AC97" s="189" t="s">
        <v>373</v>
      </c>
      <c r="AD97" s="153" t="s">
        <v>257</v>
      </c>
      <c r="AE97" s="132"/>
    </row>
    <row r="98" spans="1:31" x14ac:dyDescent="0.3">
      <c r="A98" s="148" t="s">
        <v>351</v>
      </c>
      <c r="B98" s="149">
        <f t="shared" si="32"/>
        <v>33</v>
      </c>
      <c r="C98" s="152" t="s">
        <v>373</v>
      </c>
      <c r="D98" s="151" t="s">
        <v>373</v>
      </c>
      <c r="E98" s="152" t="s">
        <v>373</v>
      </c>
      <c r="F98" s="151" t="s">
        <v>373</v>
      </c>
      <c r="G98" s="152" t="s">
        <v>373</v>
      </c>
      <c r="H98" s="151" t="s">
        <v>373</v>
      </c>
      <c r="I98" s="152" t="s">
        <v>373</v>
      </c>
      <c r="J98" s="151" t="s">
        <v>373</v>
      </c>
      <c r="K98" s="152" t="s">
        <v>373</v>
      </c>
      <c r="L98" s="151" t="s">
        <v>373</v>
      </c>
      <c r="M98" s="152" t="s">
        <v>373</v>
      </c>
      <c r="N98" s="151" t="s">
        <v>373</v>
      </c>
      <c r="O98" s="150" t="s">
        <v>373</v>
      </c>
      <c r="P98" s="154" t="s">
        <v>373</v>
      </c>
      <c r="Q98" s="152" t="s">
        <v>373</v>
      </c>
      <c r="R98" s="154" t="s">
        <v>373</v>
      </c>
      <c r="S98" s="150" t="s">
        <v>373</v>
      </c>
      <c r="T98" s="154" t="s">
        <v>373</v>
      </c>
      <c r="U98" s="150" t="s">
        <v>373</v>
      </c>
      <c r="V98" s="154" t="s">
        <v>373</v>
      </c>
      <c r="W98" s="150" t="s">
        <v>373</v>
      </c>
      <c r="X98" s="154" t="s">
        <v>373</v>
      </c>
      <c r="Y98" s="150" t="s">
        <v>373</v>
      </c>
      <c r="Z98" s="154" t="s">
        <v>373</v>
      </c>
      <c r="AA98" s="150" t="s">
        <v>373</v>
      </c>
      <c r="AB98" s="151">
        <v>33</v>
      </c>
      <c r="AC98" s="190" t="s">
        <v>373</v>
      </c>
      <c r="AD98" s="153" t="s">
        <v>258</v>
      </c>
      <c r="AE98" s="132"/>
    </row>
    <row r="99" spans="1:31" x14ac:dyDescent="0.3">
      <c r="A99" s="148" t="s">
        <v>352</v>
      </c>
      <c r="B99" s="149">
        <f t="shared" si="32"/>
        <v>0</v>
      </c>
      <c r="C99" s="152" t="s">
        <v>373</v>
      </c>
      <c r="D99" s="151" t="s">
        <v>373</v>
      </c>
      <c r="E99" s="152" t="s">
        <v>373</v>
      </c>
      <c r="F99" s="151" t="s">
        <v>373</v>
      </c>
      <c r="G99" s="152" t="s">
        <v>373</v>
      </c>
      <c r="H99" s="151" t="s">
        <v>373</v>
      </c>
      <c r="I99" s="152" t="s">
        <v>373</v>
      </c>
      <c r="J99" s="151" t="s">
        <v>373</v>
      </c>
      <c r="K99" s="152" t="s">
        <v>373</v>
      </c>
      <c r="L99" s="151" t="s">
        <v>373</v>
      </c>
      <c r="M99" s="152" t="s">
        <v>373</v>
      </c>
      <c r="N99" s="151" t="s">
        <v>373</v>
      </c>
      <c r="O99" s="150" t="s">
        <v>373</v>
      </c>
      <c r="P99" s="154" t="s">
        <v>373</v>
      </c>
      <c r="Q99" s="152" t="s">
        <v>373</v>
      </c>
      <c r="R99" s="154" t="s">
        <v>373</v>
      </c>
      <c r="S99" s="150" t="s">
        <v>373</v>
      </c>
      <c r="T99" s="154" t="s">
        <v>373</v>
      </c>
      <c r="U99" s="150" t="s">
        <v>373</v>
      </c>
      <c r="V99" s="154" t="s">
        <v>373</v>
      </c>
      <c r="W99" s="150" t="s">
        <v>373</v>
      </c>
      <c r="X99" s="154" t="s">
        <v>373</v>
      </c>
      <c r="Y99" s="150" t="s">
        <v>373</v>
      </c>
      <c r="Z99" s="154" t="s">
        <v>373</v>
      </c>
      <c r="AA99" s="150" t="s">
        <v>373</v>
      </c>
      <c r="AB99" s="151" t="s">
        <v>373</v>
      </c>
      <c r="AC99" s="190" t="s">
        <v>373</v>
      </c>
      <c r="AD99" s="153" t="s">
        <v>259</v>
      </c>
      <c r="AE99" s="132"/>
    </row>
    <row r="100" spans="1:31" x14ac:dyDescent="0.3">
      <c r="A100" s="148" t="s">
        <v>353</v>
      </c>
      <c r="B100" s="149">
        <f t="shared" si="32"/>
        <v>100</v>
      </c>
      <c r="C100" s="152" t="s">
        <v>373</v>
      </c>
      <c r="D100" s="151" t="s">
        <v>373</v>
      </c>
      <c r="E100" s="152" t="s">
        <v>373</v>
      </c>
      <c r="F100" s="151" t="s">
        <v>373</v>
      </c>
      <c r="G100" s="152" t="s">
        <v>373</v>
      </c>
      <c r="H100" s="151" t="s">
        <v>373</v>
      </c>
      <c r="I100" s="152" t="s">
        <v>373</v>
      </c>
      <c r="J100" s="151" t="s">
        <v>373</v>
      </c>
      <c r="K100" s="150" t="s">
        <v>373</v>
      </c>
      <c r="L100" s="151" t="s">
        <v>373</v>
      </c>
      <c r="M100" s="152" t="s">
        <v>373</v>
      </c>
      <c r="N100" s="151" t="s">
        <v>373</v>
      </c>
      <c r="O100" s="150" t="s">
        <v>373</v>
      </c>
      <c r="P100" s="154" t="s">
        <v>373</v>
      </c>
      <c r="Q100" s="152" t="s">
        <v>373</v>
      </c>
      <c r="R100" s="154">
        <v>1</v>
      </c>
      <c r="S100" s="150">
        <v>0.23</v>
      </c>
      <c r="T100" s="154" t="s">
        <v>373</v>
      </c>
      <c r="U100" s="150" t="s">
        <v>373</v>
      </c>
      <c r="V100" s="154" t="s">
        <v>373</v>
      </c>
      <c r="W100" s="150" t="s">
        <v>373</v>
      </c>
      <c r="X100" s="154" t="s">
        <v>373</v>
      </c>
      <c r="Y100" s="150" t="s">
        <v>373</v>
      </c>
      <c r="Z100" s="154" t="s">
        <v>373</v>
      </c>
      <c r="AA100" s="150" t="s">
        <v>373</v>
      </c>
      <c r="AB100" s="151">
        <v>47</v>
      </c>
      <c r="AC100" s="189">
        <v>52</v>
      </c>
      <c r="AD100" s="153" t="s">
        <v>260</v>
      </c>
      <c r="AE100" s="132"/>
    </row>
    <row r="101" spans="1:31" x14ac:dyDescent="0.3">
      <c r="A101" s="148" t="s">
        <v>354</v>
      </c>
      <c r="B101" s="149">
        <f t="shared" si="32"/>
        <v>66</v>
      </c>
      <c r="C101" s="152" t="s">
        <v>373</v>
      </c>
      <c r="D101" s="151" t="s">
        <v>373</v>
      </c>
      <c r="E101" s="152" t="s">
        <v>373</v>
      </c>
      <c r="F101" s="151" t="s">
        <v>373</v>
      </c>
      <c r="G101" s="152" t="s">
        <v>373</v>
      </c>
      <c r="H101" s="151" t="s">
        <v>373</v>
      </c>
      <c r="I101" s="152" t="s">
        <v>373</v>
      </c>
      <c r="J101" s="151" t="s">
        <v>373</v>
      </c>
      <c r="K101" s="152">
        <v>1</v>
      </c>
      <c r="L101" s="151">
        <v>0.1</v>
      </c>
      <c r="M101" s="152" t="s">
        <v>373</v>
      </c>
      <c r="N101" s="151" t="s">
        <v>373</v>
      </c>
      <c r="O101" s="150" t="s">
        <v>373</v>
      </c>
      <c r="P101" s="154" t="s">
        <v>373</v>
      </c>
      <c r="Q101" s="152" t="s">
        <v>373</v>
      </c>
      <c r="R101" s="154" t="s">
        <v>373</v>
      </c>
      <c r="S101" s="150" t="s">
        <v>373</v>
      </c>
      <c r="T101" s="154" t="s">
        <v>373</v>
      </c>
      <c r="U101" s="150" t="s">
        <v>373</v>
      </c>
      <c r="V101" s="154" t="s">
        <v>373</v>
      </c>
      <c r="W101" s="150" t="s">
        <v>373</v>
      </c>
      <c r="X101" s="154" t="s">
        <v>373</v>
      </c>
      <c r="Y101" s="150" t="s">
        <v>373</v>
      </c>
      <c r="Z101" s="154" t="s">
        <v>373</v>
      </c>
      <c r="AA101" s="150" t="s">
        <v>373</v>
      </c>
      <c r="AB101" s="151">
        <v>6</v>
      </c>
      <c r="AC101" s="190">
        <v>59</v>
      </c>
      <c r="AD101" s="153" t="s">
        <v>261</v>
      </c>
      <c r="AE101" s="132"/>
    </row>
    <row r="102" spans="1:31" x14ac:dyDescent="0.3">
      <c r="A102" s="148" t="s">
        <v>355</v>
      </c>
      <c r="B102" s="149">
        <f t="shared" si="32"/>
        <v>133</v>
      </c>
      <c r="C102" s="152" t="s">
        <v>373</v>
      </c>
      <c r="D102" s="151" t="s">
        <v>373</v>
      </c>
      <c r="E102" s="152" t="s">
        <v>373</v>
      </c>
      <c r="F102" s="151" t="s">
        <v>373</v>
      </c>
      <c r="G102" s="152" t="s">
        <v>373</v>
      </c>
      <c r="H102" s="151" t="s">
        <v>373</v>
      </c>
      <c r="I102" s="152" t="s">
        <v>373</v>
      </c>
      <c r="J102" s="151" t="s">
        <v>373</v>
      </c>
      <c r="K102" s="150">
        <v>40</v>
      </c>
      <c r="L102" s="151">
        <v>6.36</v>
      </c>
      <c r="M102" s="152" t="s">
        <v>373</v>
      </c>
      <c r="N102" s="151" t="s">
        <v>373</v>
      </c>
      <c r="O102" s="150" t="s">
        <v>373</v>
      </c>
      <c r="P102" s="154" t="s">
        <v>373</v>
      </c>
      <c r="Q102" s="152" t="s">
        <v>373</v>
      </c>
      <c r="R102" s="154">
        <v>1</v>
      </c>
      <c r="S102" s="150">
        <v>0.5</v>
      </c>
      <c r="T102" s="154" t="s">
        <v>373</v>
      </c>
      <c r="U102" s="150" t="s">
        <v>373</v>
      </c>
      <c r="V102" s="154">
        <v>2</v>
      </c>
      <c r="W102" s="150">
        <v>1.7</v>
      </c>
      <c r="X102" s="154">
        <v>1</v>
      </c>
      <c r="Y102" s="150">
        <v>0.2</v>
      </c>
      <c r="Z102" s="154" t="s">
        <v>373</v>
      </c>
      <c r="AA102" s="150" t="s">
        <v>373</v>
      </c>
      <c r="AB102" s="151">
        <v>43</v>
      </c>
      <c r="AC102" s="189">
        <v>46</v>
      </c>
      <c r="AD102" s="153" t="s">
        <v>262</v>
      </c>
      <c r="AE102" s="132"/>
    </row>
    <row r="103" spans="1:31" x14ac:dyDescent="0.3">
      <c r="A103" s="148" t="s">
        <v>356</v>
      </c>
      <c r="B103" s="149">
        <f t="shared" si="32"/>
        <v>26</v>
      </c>
      <c r="C103" s="152" t="s">
        <v>373</v>
      </c>
      <c r="D103" s="151" t="s">
        <v>373</v>
      </c>
      <c r="E103" s="152" t="s">
        <v>373</v>
      </c>
      <c r="F103" s="151" t="s">
        <v>373</v>
      </c>
      <c r="G103" s="152" t="s">
        <v>373</v>
      </c>
      <c r="H103" s="151" t="s">
        <v>373</v>
      </c>
      <c r="I103" s="152" t="s">
        <v>373</v>
      </c>
      <c r="J103" s="151" t="s">
        <v>373</v>
      </c>
      <c r="K103" s="150" t="s">
        <v>373</v>
      </c>
      <c r="L103" s="151" t="s">
        <v>373</v>
      </c>
      <c r="M103" s="152" t="s">
        <v>373</v>
      </c>
      <c r="N103" s="151" t="s">
        <v>373</v>
      </c>
      <c r="O103" s="150">
        <v>14</v>
      </c>
      <c r="P103" s="154" t="s">
        <v>373</v>
      </c>
      <c r="Q103" s="152" t="s">
        <v>373</v>
      </c>
      <c r="R103" s="154">
        <v>2</v>
      </c>
      <c r="S103" s="150">
        <v>0.06</v>
      </c>
      <c r="T103" s="154" t="s">
        <v>373</v>
      </c>
      <c r="U103" s="150" t="s">
        <v>373</v>
      </c>
      <c r="V103" s="154" t="s">
        <v>373</v>
      </c>
      <c r="W103" s="150" t="s">
        <v>373</v>
      </c>
      <c r="X103" s="154" t="s">
        <v>373</v>
      </c>
      <c r="Y103" s="150" t="s">
        <v>373</v>
      </c>
      <c r="Z103" s="154" t="s">
        <v>373</v>
      </c>
      <c r="AA103" s="150" t="s">
        <v>373</v>
      </c>
      <c r="AB103" s="151">
        <v>10</v>
      </c>
      <c r="AC103" s="189" t="s">
        <v>373</v>
      </c>
      <c r="AD103" s="153" t="s">
        <v>263</v>
      </c>
      <c r="AE103" s="132"/>
    </row>
    <row r="104" spans="1:31" x14ac:dyDescent="0.3">
      <c r="A104" s="270" t="s">
        <v>264</v>
      </c>
      <c r="B104" s="221">
        <f>SUM(B106:B109)</f>
        <v>2036</v>
      </c>
      <c r="C104" s="222">
        <f>SUM(C106:C109)</f>
        <v>0</v>
      </c>
      <c r="D104" s="217">
        <f t="shared" ref="D104:N104" si="33">SUM(D106:D109)</f>
        <v>0</v>
      </c>
      <c r="E104" s="216">
        <f t="shared" si="33"/>
        <v>0</v>
      </c>
      <c r="F104" s="217">
        <f t="shared" si="33"/>
        <v>0</v>
      </c>
      <c r="G104" s="216">
        <f t="shared" si="33"/>
        <v>0</v>
      </c>
      <c r="H104" s="217">
        <f t="shared" si="33"/>
        <v>0</v>
      </c>
      <c r="I104" s="216">
        <f>SUM(I106:I109)</f>
        <v>0</v>
      </c>
      <c r="J104" s="217">
        <f>SUM(J106:J109)</f>
        <v>0</v>
      </c>
      <c r="K104" s="216">
        <f t="shared" si="33"/>
        <v>0</v>
      </c>
      <c r="L104" s="217">
        <f t="shared" si="33"/>
        <v>0</v>
      </c>
      <c r="M104" s="216">
        <f t="shared" si="33"/>
        <v>0</v>
      </c>
      <c r="N104" s="217">
        <f t="shared" si="33"/>
        <v>0</v>
      </c>
      <c r="O104" s="208">
        <f>SUM(O106:O109)</f>
        <v>25</v>
      </c>
      <c r="P104" s="210">
        <f t="shared" ref="P104:W104" si="34">SUM(P106:P109)</f>
        <v>0</v>
      </c>
      <c r="Q104" s="220">
        <f t="shared" si="34"/>
        <v>0</v>
      </c>
      <c r="R104" s="209">
        <f t="shared" si="34"/>
        <v>30</v>
      </c>
      <c r="S104" s="220">
        <f t="shared" si="34"/>
        <v>17.55</v>
      </c>
      <c r="T104" s="209">
        <f t="shared" si="34"/>
        <v>0</v>
      </c>
      <c r="U104" s="220">
        <f t="shared" si="34"/>
        <v>0</v>
      </c>
      <c r="V104" s="219">
        <f t="shared" si="34"/>
        <v>1</v>
      </c>
      <c r="W104" s="210">
        <f t="shared" si="34"/>
        <v>1.923</v>
      </c>
      <c r="X104" s="209">
        <f t="shared" ref="X104:AC104" si="35">SUM(X106:X109)</f>
        <v>0</v>
      </c>
      <c r="Y104" s="210">
        <f t="shared" si="35"/>
        <v>0</v>
      </c>
      <c r="Z104" s="209">
        <f t="shared" si="35"/>
        <v>0</v>
      </c>
      <c r="AA104" s="210">
        <f t="shared" si="35"/>
        <v>0</v>
      </c>
      <c r="AB104" s="209">
        <f t="shared" si="35"/>
        <v>941</v>
      </c>
      <c r="AC104" s="208">
        <f t="shared" si="35"/>
        <v>1039</v>
      </c>
      <c r="AD104" s="282" t="s">
        <v>265</v>
      </c>
      <c r="AE104" s="132"/>
    </row>
    <row r="105" spans="1:31" ht="8.15" customHeight="1" x14ac:dyDescent="0.3">
      <c r="A105" s="270"/>
      <c r="B105" s="221"/>
      <c r="C105" s="222"/>
      <c r="D105" s="217"/>
      <c r="E105" s="216"/>
      <c r="F105" s="217"/>
      <c r="G105" s="216"/>
      <c r="H105" s="217"/>
      <c r="I105" s="216"/>
      <c r="J105" s="217"/>
      <c r="K105" s="216"/>
      <c r="L105" s="217"/>
      <c r="M105" s="216"/>
      <c r="N105" s="217"/>
      <c r="O105" s="208"/>
      <c r="P105" s="210"/>
      <c r="Q105" s="220"/>
      <c r="R105" s="209"/>
      <c r="S105" s="220"/>
      <c r="T105" s="209"/>
      <c r="U105" s="220"/>
      <c r="V105" s="219"/>
      <c r="W105" s="210"/>
      <c r="X105" s="209"/>
      <c r="Y105" s="210"/>
      <c r="Z105" s="209"/>
      <c r="AA105" s="210"/>
      <c r="AB105" s="209"/>
      <c r="AC105" s="208"/>
      <c r="AD105" s="282"/>
      <c r="AE105" s="132"/>
    </row>
    <row r="106" spans="1:31" x14ac:dyDescent="0.3">
      <c r="A106" s="148" t="s">
        <v>357</v>
      </c>
      <c r="B106" s="149">
        <f>SUM(C106,E106,G106,I106,K106,M106,O106,R106,T106,V106,X106,Z106,AB106,AC106)</f>
        <v>613</v>
      </c>
      <c r="C106" s="152" t="s">
        <v>373</v>
      </c>
      <c r="D106" s="151" t="s">
        <v>373</v>
      </c>
      <c r="E106" s="152" t="s">
        <v>373</v>
      </c>
      <c r="F106" s="151" t="s">
        <v>373</v>
      </c>
      <c r="G106" s="152" t="s">
        <v>373</v>
      </c>
      <c r="H106" s="151" t="s">
        <v>373</v>
      </c>
      <c r="I106" s="152" t="s">
        <v>373</v>
      </c>
      <c r="J106" s="151" t="s">
        <v>373</v>
      </c>
      <c r="K106" s="152" t="s">
        <v>373</v>
      </c>
      <c r="L106" s="151" t="s">
        <v>373</v>
      </c>
      <c r="M106" s="152" t="s">
        <v>373</v>
      </c>
      <c r="N106" s="151" t="s">
        <v>373</v>
      </c>
      <c r="O106" s="150">
        <v>25</v>
      </c>
      <c r="P106" s="154" t="s">
        <v>373</v>
      </c>
      <c r="Q106" s="152" t="s">
        <v>373</v>
      </c>
      <c r="R106" s="151">
        <v>1</v>
      </c>
      <c r="S106" s="150">
        <v>0.15</v>
      </c>
      <c r="T106" s="154" t="s">
        <v>373</v>
      </c>
      <c r="U106" s="150" t="s">
        <v>373</v>
      </c>
      <c r="V106" s="154" t="s">
        <v>373</v>
      </c>
      <c r="W106" s="150" t="s">
        <v>373</v>
      </c>
      <c r="X106" s="154" t="s">
        <v>373</v>
      </c>
      <c r="Y106" s="150" t="s">
        <v>373</v>
      </c>
      <c r="Z106" s="154" t="s">
        <v>373</v>
      </c>
      <c r="AA106" s="150" t="s">
        <v>373</v>
      </c>
      <c r="AB106" s="151">
        <v>419</v>
      </c>
      <c r="AC106" s="189">
        <v>168</v>
      </c>
      <c r="AD106" s="153" t="s">
        <v>266</v>
      </c>
      <c r="AE106" s="132"/>
    </row>
    <row r="107" spans="1:31" x14ac:dyDescent="0.3">
      <c r="A107" s="148" t="s">
        <v>358</v>
      </c>
      <c r="B107" s="149">
        <f>SUM(C107,E107,G107,I107,K107,M107,O107,R107,T107,V107,X107,Z107,AB107,AC107)</f>
        <v>408</v>
      </c>
      <c r="C107" s="152" t="s">
        <v>373</v>
      </c>
      <c r="D107" s="151" t="s">
        <v>373</v>
      </c>
      <c r="E107" s="152" t="s">
        <v>373</v>
      </c>
      <c r="F107" s="151" t="s">
        <v>373</v>
      </c>
      <c r="G107" s="152" t="s">
        <v>373</v>
      </c>
      <c r="H107" s="151" t="s">
        <v>373</v>
      </c>
      <c r="I107" s="152" t="s">
        <v>373</v>
      </c>
      <c r="J107" s="151" t="s">
        <v>373</v>
      </c>
      <c r="K107" s="152" t="s">
        <v>373</v>
      </c>
      <c r="L107" s="151" t="s">
        <v>373</v>
      </c>
      <c r="M107" s="152" t="s">
        <v>373</v>
      </c>
      <c r="N107" s="151" t="s">
        <v>373</v>
      </c>
      <c r="O107" s="150" t="s">
        <v>373</v>
      </c>
      <c r="P107" s="154" t="s">
        <v>373</v>
      </c>
      <c r="Q107" s="152" t="s">
        <v>373</v>
      </c>
      <c r="R107" s="151">
        <v>7</v>
      </c>
      <c r="S107" s="150">
        <v>1.45</v>
      </c>
      <c r="T107" s="154" t="s">
        <v>373</v>
      </c>
      <c r="U107" s="150" t="s">
        <v>373</v>
      </c>
      <c r="V107" s="154">
        <v>1</v>
      </c>
      <c r="W107" s="150">
        <v>1.923</v>
      </c>
      <c r="X107" s="154" t="s">
        <v>373</v>
      </c>
      <c r="Y107" s="150" t="s">
        <v>373</v>
      </c>
      <c r="Z107" s="154" t="s">
        <v>373</v>
      </c>
      <c r="AA107" s="150" t="s">
        <v>373</v>
      </c>
      <c r="AB107" s="151">
        <v>218</v>
      </c>
      <c r="AC107" s="189">
        <v>182</v>
      </c>
      <c r="AD107" s="153" t="s">
        <v>267</v>
      </c>
      <c r="AE107" s="132"/>
    </row>
    <row r="108" spans="1:31" x14ac:dyDescent="0.3">
      <c r="A108" s="148" t="s">
        <v>359</v>
      </c>
      <c r="B108" s="149">
        <f>SUM(C108,E108,G108,I108,K108,M108,O108,R108,T108,V108,X108,Z108,AB108,AC108)</f>
        <v>836</v>
      </c>
      <c r="C108" s="152" t="s">
        <v>373</v>
      </c>
      <c r="D108" s="151" t="s">
        <v>373</v>
      </c>
      <c r="E108" s="152" t="s">
        <v>373</v>
      </c>
      <c r="F108" s="151" t="s">
        <v>373</v>
      </c>
      <c r="G108" s="152" t="s">
        <v>373</v>
      </c>
      <c r="H108" s="151" t="s">
        <v>373</v>
      </c>
      <c r="I108" s="152" t="s">
        <v>373</v>
      </c>
      <c r="J108" s="151" t="s">
        <v>373</v>
      </c>
      <c r="K108" s="152" t="s">
        <v>373</v>
      </c>
      <c r="L108" s="151" t="s">
        <v>373</v>
      </c>
      <c r="M108" s="150" t="s">
        <v>373</v>
      </c>
      <c r="N108" s="151" t="s">
        <v>373</v>
      </c>
      <c r="O108" s="150" t="s">
        <v>373</v>
      </c>
      <c r="P108" s="154" t="s">
        <v>373</v>
      </c>
      <c r="Q108" s="152" t="s">
        <v>373</v>
      </c>
      <c r="R108" s="154" t="s">
        <v>373</v>
      </c>
      <c r="S108" s="150" t="s">
        <v>373</v>
      </c>
      <c r="T108" s="154" t="s">
        <v>373</v>
      </c>
      <c r="U108" s="150" t="s">
        <v>373</v>
      </c>
      <c r="V108" s="154" t="s">
        <v>373</v>
      </c>
      <c r="W108" s="150" t="s">
        <v>373</v>
      </c>
      <c r="X108" s="154" t="s">
        <v>373</v>
      </c>
      <c r="Y108" s="150" t="s">
        <v>373</v>
      </c>
      <c r="Z108" s="154" t="s">
        <v>373</v>
      </c>
      <c r="AA108" s="150" t="s">
        <v>373</v>
      </c>
      <c r="AB108" s="151">
        <v>180</v>
      </c>
      <c r="AC108" s="189">
        <v>656</v>
      </c>
      <c r="AD108" s="153" t="s">
        <v>268</v>
      </c>
      <c r="AE108" s="132"/>
    </row>
    <row r="109" spans="1:31" ht="15.65" thickBot="1" x14ac:dyDescent="0.35">
      <c r="A109" s="165" t="s">
        <v>360</v>
      </c>
      <c r="B109" s="166">
        <f>SUM(C109,E109,G109,I109,K109,M109,O109,R109,T109,V109,X109,Z109,AB109,AC109)</f>
        <v>179</v>
      </c>
      <c r="C109" s="167" t="s">
        <v>373</v>
      </c>
      <c r="D109" s="168" t="s">
        <v>373</v>
      </c>
      <c r="E109" s="167" t="s">
        <v>373</v>
      </c>
      <c r="F109" s="168" t="s">
        <v>373</v>
      </c>
      <c r="G109" s="167" t="s">
        <v>373</v>
      </c>
      <c r="H109" s="168" t="s">
        <v>373</v>
      </c>
      <c r="I109" s="167" t="s">
        <v>373</v>
      </c>
      <c r="J109" s="168" t="s">
        <v>373</v>
      </c>
      <c r="K109" s="167" t="s">
        <v>373</v>
      </c>
      <c r="L109" s="168" t="s">
        <v>373</v>
      </c>
      <c r="M109" s="167" t="s">
        <v>373</v>
      </c>
      <c r="N109" s="168" t="s">
        <v>373</v>
      </c>
      <c r="O109" s="169" t="s">
        <v>373</v>
      </c>
      <c r="P109" s="170" t="s">
        <v>373</v>
      </c>
      <c r="Q109" s="167" t="s">
        <v>373</v>
      </c>
      <c r="R109" s="168">
        <v>22</v>
      </c>
      <c r="S109" s="169">
        <v>15.95</v>
      </c>
      <c r="T109" s="170" t="s">
        <v>373</v>
      </c>
      <c r="U109" s="169" t="s">
        <v>373</v>
      </c>
      <c r="V109" s="170" t="s">
        <v>373</v>
      </c>
      <c r="W109" s="169" t="s">
        <v>373</v>
      </c>
      <c r="X109" s="170" t="s">
        <v>373</v>
      </c>
      <c r="Y109" s="169" t="s">
        <v>373</v>
      </c>
      <c r="Z109" s="170" t="s">
        <v>373</v>
      </c>
      <c r="AA109" s="169" t="s">
        <v>373</v>
      </c>
      <c r="AB109" s="168">
        <v>124</v>
      </c>
      <c r="AC109" s="191">
        <v>33</v>
      </c>
      <c r="AD109" s="171" t="s">
        <v>269</v>
      </c>
      <c r="AE109" s="132"/>
    </row>
    <row r="110" spans="1:31" x14ac:dyDescent="0.3">
      <c r="A110" s="172" t="s">
        <v>270</v>
      </c>
      <c r="AB110" s="127" t="s">
        <v>271</v>
      </c>
      <c r="AC110" s="127"/>
      <c r="AD110" s="146"/>
    </row>
    <row r="111" spans="1:31" x14ac:dyDescent="0.3">
      <c r="A111" s="125" t="s">
        <v>272</v>
      </c>
      <c r="AB111" s="207" t="s">
        <v>274</v>
      </c>
      <c r="AC111" s="207"/>
      <c r="AD111" s="207"/>
    </row>
    <row r="112" spans="1:31" x14ac:dyDescent="0.3">
      <c r="A112" s="125" t="s">
        <v>273</v>
      </c>
      <c r="B112" s="173"/>
      <c r="C112" s="173"/>
      <c r="Q112" s="174"/>
      <c r="AB112" s="206" t="s">
        <v>275</v>
      </c>
      <c r="AC112" s="206"/>
      <c r="AD112" s="206"/>
    </row>
    <row r="114" spans="1:27" x14ac:dyDescent="0.3">
      <c r="A114" s="132"/>
    </row>
    <row r="115" spans="1:27" x14ac:dyDescent="0.3">
      <c r="A115" s="132"/>
    </row>
    <row r="116" spans="1:27" x14ac:dyDescent="0.3">
      <c r="A116" s="132"/>
    </row>
    <row r="117" spans="1:27" x14ac:dyDescent="0.3">
      <c r="A117" s="132"/>
    </row>
    <row r="118" spans="1:27" x14ac:dyDescent="0.3">
      <c r="A118" s="132"/>
    </row>
    <row r="119" spans="1:27" x14ac:dyDescent="0.3">
      <c r="A119" s="132"/>
    </row>
    <row r="120" spans="1:27" x14ac:dyDescent="0.3">
      <c r="A120" s="132"/>
    </row>
    <row r="121" spans="1:27" x14ac:dyDescent="0.3">
      <c r="A121" s="132"/>
    </row>
    <row r="122" spans="1:27" x14ac:dyDescent="0.3">
      <c r="A122" s="132"/>
    </row>
    <row r="123" spans="1:27" x14ac:dyDescent="0.3">
      <c r="A123" s="132"/>
    </row>
    <row r="124" spans="1:27" x14ac:dyDescent="0.3">
      <c r="A124" s="175"/>
    </row>
    <row r="125" spans="1:27" s="132" customFormat="1" x14ac:dyDescent="0.3">
      <c r="A125" s="293"/>
      <c r="B125" s="293"/>
      <c r="C125" s="293"/>
      <c r="D125" s="293"/>
      <c r="E125" s="293"/>
      <c r="F125" s="293"/>
      <c r="G125" s="294"/>
      <c r="H125" s="294"/>
      <c r="I125" s="294"/>
      <c r="J125" s="294"/>
      <c r="K125" s="294"/>
      <c r="L125" s="294"/>
      <c r="M125" s="294"/>
      <c r="N125" s="294"/>
      <c r="P125" s="176"/>
      <c r="Q125" s="176"/>
      <c r="S125" s="176"/>
      <c r="U125" s="176"/>
      <c r="W125" s="176"/>
      <c r="Y125" s="176"/>
      <c r="AA125" s="176"/>
    </row>
    <row r="126" spans="1:27" s="132" customFormat="1" x14ac:dyDescent="0.3">
      <c r="A126" s="293"/>
      <c r="B126" s="293"/>
      <c r="C126" s="293"/>
      <c r="D126" s="293"/>
      <c r="E126" s="293"/>
      <c r="F126" s="293"/>
      <c r="G126" s="294"/>
      <c r="H126" s="294"/>
      <c r="I126" s="294"/>
      <c r="J126" s="294"/>
      <c r="K126" s="294"/>
      <c r="L126" s="294"/>
      <c r="M126" s="294"/>
      <c r="N126" s="294"/>
      <c r="P126" s="176"/>
      <c r="Q126" s="176"/>
      <c r="S126" s="176"/>
      <c r="U126" s="176"/>
      <c r="W126" s="176"/>
      <c r="Y126" s="176"/>
      <c r="AA126" s="176"/>
    </row>
    <row r="127" spans="1:27" s="132" customFormat="1" x14ac:dyDescent="0.3">
      <c r="A127" s="293"/>
      <c r="B127" s="293"/>
      <c r="C127" s="293"/>
      <c r="D127" s="293"/>
      <c r="E127" s="293"/>
      <c r="F127" s="293"/>
      <c r="G127" s="294"/>
      <c r="H127" s="294"/>
      <c r="I127" s="294"/>
      <c r="J127" s="294"/>
      <c r="K127" s="294"/>
      <c r="L127" s="294"/>
      <c r="M127" s="294"/>
      <c r="N127" s="294"/>
      <c r="P127" s="176"/>
      <c r="Q127" s="176"/>
      <c r="S127" s="176"/>
      <c r="U127" s="176"/>
      <c r="W127" s="176"/>
      <c r="Y127" s="176"/>
      <c r="AA127" s="176"/>
    </row>
    <row r="128" spans="1:27" s="132" customFormat="1" x14ac:dyDescent="0.3">
      <c r="A128" s="177"/>
      <c r="D128" s="176"/>
      <c r="F128" s="289"/>
      <c r="G128" s="289"/>
      <c r="H128" s="289"/>
      <c r="I128" s="289"/>
      <c r="J128" s="289"/>
      <c r="K128" s="289"/>
      <c r="L128" s="289"/>
      <c r="M128" s="289"/>
      <c r="N128" s="289"/>
      <c r="P128" s="176"/>
      <c r="Q128" s="176"/>
      <c r="S128" s="176"/>
      <c r="U128" s="176"/>
      <c r="W128" s="176"/>
      <c r="Y128" s="176"/>
      <c r="AA128" s="176"/>
    </row>
    <row r="129" spans="1:27" s="132" customFormat="1" x14ac:dyDescent="0.3">
      <c r="A129" s="290"/>
      <c r="B129" s="227"/>
      <c r="C129" s="291"/>
      <c r="D129" s="291"/>
      <c r="E129" s="291"/>
      <c r="F129" s="227"/>
      <c r="G129" s="227"/>
      <c r="H129" s="227"/>
      <c r="I129" s="227"/>
      <c r="J129" s="227"/>
      <c r="K129" s="227"/>
      <c r="L129" s="227"/>
      <c r="M129" s="227"/>
      <c r="N129" s="227"/>
      <c r="P129" s="176"/>
      <c r="Q129" s="176"/>
      <c r="S129" s="176"/>
      <c r="U129" s="176"/>
      <c r="W129" s="176"/>
      <c r="Y129" s="176"/>
      <c r="AA129" s="176"/>
    </row>
    <row r="130" spans="1:27" s="132" customFormat="1" x14ac:dyDescent="0.3">
      <c r="A130" s="290"/>
      <c r="B130" s="291"/>
      <c r="C130" s="291"/>
      <c r="D130" s="291"/>
      <c r="E130" s="291"/>
      <c r="F130" s="227"/>
      <c r="G130" s="227"/>
      <c r="H130" s="227"/>
      <c r="I130" s="227"/>
      <c r="J130" s="227"/>
      <c r="K130" s="227"/>
      <c r="L130" s="227"/>
      <c r="M130" s="227"/>
      <c r="N130" s="227"/>
      <c r="P130" s="176"/>
      <c r="Q130" s="176"/>
      <c r="S130" s="176"/>
      <c r="U130" s="176"/>
      <c r="W130" s="176"/>
      <c r="Y130" s="176"/>
      <c r="AA130" s="176"/>
    </row>
    <row r="131" spans="1:27" s="132" customFormat="1" x14ac:dyDescent="0.3">
      <c r="A131" s="290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P131" s="176"/>
      <c r="Q131" s="176"/>
      <c r="S131" s="176"/>
      <c r="U131" s="176"/>
      <c r="W131" s="176"/>
      <c r="Y131" s="176"/>
      <c r="AA131" s="176"/>
    </row>
    <row r="132" spans="1:27" s="132" customFormat="1" x14ac:dyDescent="0.3">
      <c r="A132" s="290"/>
      <c r="B132" s="178"/>
      <c r="C132" s="178"/>
      <c r="D132" s="179"/>
      <c r="E132" s="178"/>
      <c r="F132" s="179"/>
      <c r="G132" s="178"/>
      <c r="H132" s="179"/>
      <c r="I132" s="178"/>
      <c r="J132" s="179"/>
      <c r="K132" s="178"/>
      <c r="L132" s="179"/>
      <c r="M132" s="178"/>
      <c r="N132" s="227"/>
      <c r="P132" s="176"/>
      <c r="Q132" s="176"/>
      <c r="S132" s="176"/>
      <c r="U132" s="176"/>
      <c r="W132" s="176"/>
      <c r="Y132" s="176"/>
      <c r="AA132" s="176"/>
    </row>
    <row r="133" spans="1:27" s="132" customFormat="1" x14ac:dyDescent="0.3">
      <c r="A133" s="180"/>
      <c r="D133" s="176"/>
      <c r="F133" s="176"/>
      <c r="H133" s="176"/>
      <c r="J133" s="176"/>
      <c r="L133" s="176"/>
      <c r="N133" s="181"/>
      <c r="P133" s="176"/>
      <c r="Q133" s="176"/>
      <c r="S133" s="176"/>
      <c r="U133" s="176"/>
      <c r="W133" s="176"/>
      <c r="Y133" s="176"/>
      <c r="AA133" s="176"/>
    </row>
    <row r="134" spans="1:27" s="132" customFormat="1" x14ac:dyDescent="0.3">
      <c r="A134" s="182"/>
      <c r="D134" s="176"/>
      <c r="F134" s="176"/>
      <c r="H134" s="176"/>
      <c r="J134" s="176"/>
      <c r="L134" s="176"/>
      <c r="N134" s="181"/>
      <c r="P134" s="176"/>
      <c r="Q134" s="176"/>
      <c r="S134" s="176"/>
      <c r="U134" s="176"/>
      <c r="W134" s="176"/>
      <c r="Y134" s="176"/>
      <c r="AA134" s="176"/>
    </row>
    <row r="135" spans="1:27" s="132" customFormat="1" x14ac:dyDescent="0.3">
      <c r="A135" s="287"/>
      <c r="B135" s="286"/>
      <c r="C135" s="286"/>
      <c r="D135" s="285"/>
      <c r="E135" s="286"/>
      <c r="F135" s="285"/>
      <c r="G135" s="286"/>
      <c r="H135" s="285"/>
      <c r="I135" s="183"/>
      <c r="J135" s="184"/>
      <c r="K135" s="286"/>
      <c r="L135" s="285"/>
      <c r="M135" s="286"/>
      <c r="N135" s="288"/>
      <c r="P135" s="176"/>
      <c r="Q135" s="176"/>
      <c r="S135" s="176"/>
      <c r="U135" s="176"/>
      <c r="W135" s="176"/>
      <c r="Y135" s="176"/>
      <c r="AA135" s="176"/>
    </row>
    <row r="136" spans="1:27" s="132" customFormat="1" x14ac:dyDescent="0.3">
      <c r="A136" s="287"/>
      <c r="B136" s="286"/>
      <c r="C136" s="286"/>
      <c r="D136" s="285"/>
      <c r="E136" s="286"/>
      <c r="F136" s="285"/>
      <c r="G136" s="286"/>
      <c r="H136" s="285"/>
      <c r="I136" s="183"/>
      <c r="J136" s="184"/>
      <c r="K136" s="286"/>
      <c r="L136" s="285"/>
      <c r="M136" s="286"/>
      <c r="N136" s="288"/>
      <c r="P136" s="176"/>
      <c r="Q136" s="176"/>
      <c r="S136" s="176"/>
      <c r="U136" s="176"/>
      <c r="W136" s="176"/>
      <c r="Y136" s="176"/>
      <c r="AA136" s="176"/>
    </row>
    <row r="137" spans="1:27" s="132" customFormat="1" x14ac:dyDescent="0.3">
      <c r="A137" s="287"/>
      <c r="B137" s="286"/>
      <c r="C137" s="286"/>
      <c r="D137" s="285"/>
      <c r="E137" s="286"/>
      <c r="F137" s="285"/>
      <c r="G137" s="286"/>
      <c r="H137" s="285"/>
      <c r="I137" s="183"/>
      <c r="J137" s="184"/>
      <c r="K137" s="286"/>
      <c r="L137" s="285"/>
      <c r="M137" s="286"/>
      <c r="N137" s="288"/>
      <c r="P137" s="176"/>
      <c r="Q137" s="176"/>
      <c r="S137" s="176"/>
      <c r="U137" s="176"/>
      <c r="W137" s="176"/>
      <c r="Y137" s="176"/>
      <c r="AA137" s="176"/>
    </row>
    <row r="138" spans="1:27" s="132" customFormat="1" x14ac:dyDescent="0.3">
      <c r="A138" s="182"/>
      <c r="D138" s="176"/>
      <c r="F138" s="131"/>
      <c r="G138" s="131"/>
      <c r="H138" s="176"/>
      <c r="J138" s="176"/>
      <c r="L138" s="176"/>
      <c r="N138" s="185"/>
      <c r="P138" s="176"/>
      <c r="Q138" s="176"/>
      <c r="S138" s="176"/>
      <c r="U138" s="176"/>
      <c r="W138" s="176"/>
      <c r="Y138" s="176"/>
      <c r="AA138" s="176"/>
    </row>
    <row r="139" spans="1:27" s="132" customFormat="1" x14ac:dyDescent="0.3">
      <c r="A139" s="182"/>
      <c r="D139" s="176"/>
      <c r="F139" s="131"/>
      <c r="G139" s="131"/>
      <c r="H139" s="176"/>
      <c r="J139" s="176"/>
      <c r="L139" s="176"/>
      <c r="N139" s="185"/>
      <c r="P139" s="176"/>
      <c r="Q139" s="176"/>
      <c r="S139" s="176"/>
      <c r="U139" s="176"/>
      <c r="W139" s="176"/>
      <c r="Y139" s="176"/>
      <c r="AA139" s="176"/>
    </row>
    <row r="140" spans="1:27" s="132" customFormat="1" x14ac:dyDescent="0.3">
      <c r="A140" s="182"/>
      <c r="D140" s="176"/>
      <c r="F140" s="131"/>
      <c r="G140" s="131"/>
      <c r="H140" s="176"/>
      <c r="J140" s="176"/>
      <c r="L140" s="176"/>
      <c r="N140" s="185"/>
      <c r="P140" s="176"/>
      <c r="Q140" s="176"/>
      <c r="S140" s="176"/>
      <c r="U140" s="176"/>
      <c r="W140" s="176"/>
      <c r="Y140" s="176"/>
      <c r="AA140" s="176"/>
    </row>
    <row r="141" spans="1:27" s="132" customFormat="1" x14ac:dyDescent="0.3">
      <c r="A141" s="182"/>
      <c r="D141" s="176"/>
      <c r="F141" s="131"/>
      <c r="G141" s="131"/>
      <c r="H141" s="176"/>
      <c r="J141" s="176"/>
      <c r="L141" s="176"/>
      <c r="N141" s="185"/>
      <c r="P141" s="176"/>
      <c r="Q141" s="176"/>
      <c r="S141" s="176"/>
      <c r="U141" s="176"/>
      <c r="W141" s="176"/>
      <c r="Y141" s="176"/>
      <c r="AA141" s="176"/>
    </row>
    <row r="142" spans="1:27" s="132" customFormat="1" x14ac:dyDescent="0.3">
      <c r="A142" s="182"/>
      <c r="D142" s="176"/>
      <c r="F142" s="131"/>
      <c r="G142" s="131"/>
      <c r="H142" s="176"/>
      <c r="J142" s="176"/>
      <c r="L142" s="176"/>
      <c r="N142" s="185"/>
      <c r="P142" s="176"/>
      <c r="Q142" s="176"/>
      <c r="S142" s="176"/>
      <c r="U142" s="176"/>
      <c r="W142" s="176"/>
      <c r="Y142" s="176"/>
      <c r="AA142" s="176"/>
    </row>
    <row r="143" spans="1:27" s="132" customFormat="1" x14ac:dyDescent="0.3">
      <c r="A143" s="182"/>
      <c r="D143" s="176"/>
      <c r="F143" s="131"/>
      <c r="G143" s="131"/>
      <c r="H143" s="176"/>
      <c r="J143" s="176"/>
      <c r="L143" s="176"/>
      <c r="N143" s="185"/>
      <c r="P143" s="176"/>
      <c r="Q143" s="176"/>
      <c r="S143" s="176"/>
      <c r="U143" s="176"/>
      <c r="W143" s="176"/>
      <c r="Y143" s="176"/>
      <c r="AA143" s="176"/>
    </row>
    <row r="144" spans="1:27" s="132" customFormat="1" x14ac:dyDescent="0.3">
      <c r="A144" s="287"/>
      <c r="D144" s="176"/>
      <c r="F144" s="176"/>
      <c r="H144" s="176"/>
      <c r="J144" s="176"/>
      <c r="L144" s="176"/>
      <c r="N144" s="292"/>
      <c r="P144" s="176"/>
      <c r="Q144" s="176"/>
      <c r="S144" s="176"/>
      <c r="U144" s="176"/>
      <c r="W144" s="176"/>
      <c r="Y144" s="176"/>
      <c r="AA144" s="176"/>
    </row>
    <row r="145" spans="1:27" s="132" customFormat="1" x14ac:dyDescent="0.3">
      <c r="A145" s="287"/>
      <c r="D145" s="176"/>
      <c r="F145" s="176"/>
      <c r="H145" s="176"/>
      <c r="J145" s="176"/>
      <c r="L145" s="176"/>
      <c r="N145" s="292"/>
      <c r="P145" s="176"/>
      <c r="Q145" s="176"/>
      <c r="S145" s="176"/>
      <c r="U145" s="176"/>
      <c r="W145" s="176"/>
      <c r="Y145" s="176"/>
      <c r="AA145" s="176"/>
    </row>
    <row r="146" spans="1:27" s="132" customFormat="1" x14ac:dyDescent="0.3">
      <c r="A146" s="182"/>
      <c r="D146" s="176"/>
      <c r="F146" s="131"/>
      <c r="G146" s="131"/>
      <c r="H146" s="176"/>
      <c r="J146" s="176"/>
      <c r="L146" s="176"/>
      <c r="N146" s="185"/>
      <c r="P146" s="176"/>
      <c r="Q146" s="176"/>
      <c r="S146" s="176"/>
      <c r="U146" s="176"/>
      <c r="W146" s="176"/>
      <c r="Y146" s="176"/>
      <c r="AA146" s="176"/>
    </row>
    <row r="147" spans="1:27" s="132" customFormat="1" x14ac:dyDescent="0.3">
      <c r="A147" s="182"/>
      <c r="D147" s="176"/>
      <c r="F147" s="131"/>
      <c r="G147" s="131"/>
      <c r="H147" s="176"/>
      <c r="J147" s="176"/>
      <c r="L147" s="176"/>
      <c r="N147" s="185"/>
      <c r="P147" s="176"/>
      <c r="Q147" s="176"/>
      <c r="S147" s="176"/>
      <c r="U147" s="176"/>
      <c r="W147" s="176"/>
      <c r="Y147" s="176"/>
      <c r="AA147" s="176"/>
    </row>
    <row r="148" spans="1:27" s="132" customFormat="1" x14ac:dyDescent="0.3">
      <c r="A148" s="182"/>
      <c r="D148" s="176"/>
      <c r="F148" s="131"/>
      <c r="G148" s="131"/>
      <c r="H148" s="176"/>
      <c r="J148" s="176"/>
      <c r="L148" s="176"/>
      <c r="N148" s="185"/>
      <c r="P148" s="176"/>
      <c r="Q148" s="176"/>
      <c r="S148" s="176"/>
      <c r="U148" s="176"/>
      <c r="W148" s="176"/>
      <c r="Y148" s="176"/>
      <c r="AA148" s="176"/>
    </row>
    <row r="149" spans="1:27" s="132" customFormat="1" x14ac:dyDescent="0.3">
      <c r="A149" s="182"/>
      <c r="D149" s="176"/>
      <c r="F149" s="131"/>
      <c r="G149" s="131"/>
      <c r="H149" s="176"/>
      <c r="J149" s="176"/>
      <c r="L149" s="176"/>
      <c r="N149" s="185"/>
      <c r="P149" s="176"/>
      <c r="Q149" s="176"/>
      <c r="S149" s="176"/>
      <c r="U149" s="176"/>
      <c r="W149" s="176"/>
      <c r="Y149" s="176"/>
      <c r="AA149" s="176"/>
    </row>
    <row r="150" spans="1:27" s="132" customFormat="1" x14ac:dyDescent="0.3">
      <c r="A150" s="182"/>
      <c r="D150" s="176"/>
      <c r="F150" s="131"/>
      <c r="G150" s="131"/>
      <c r="H150" s="176"/>
      <c r="J150" s="176"/>
      <c r="L150" s="176"/>
      <c r="N150" s="185"/>
      <c r="P150" s="176"/>
      <c r="Q150" s="176"/>
      <c r="S150" s="176"/>
      <c r="U150" s="176"/>
      <c r="W150" s="176"/>
      <c r="Y150" s="176"/>
      <c r="AA150" s="176"/>
    </row>
    <row r="151" spans="1:27" s="132" customFormat="1" x14ac:dyDescent="0.3">
      <c r="A151" s="182"/>
      <c r="D151" s="176"/>
      <c r="F151" s="131"/>
      <c r="G151" s="131"/>
      <c r="H151" s="176"/>
      <c r="J151" s="176"/>
      <c r="L151" s="176"/>
      <c r="N151" s="185"/>
      <c r="P151" s="176"/>
      <c r="Q151" s="176"/>
      <c r="S151" s="176"/>
      <c r="U151" s="176"/>
      <c r="W151" s="176"/>
      <c r="Y151" s="176"/>
      <c r="AA151" s="176"/>
    </row>
    <row r="152" spans="1:27" s="132" customFormat="1" x14ac:dyDescent="0.3">
      <c r="A152" s="182"/>
      <c r="D152" s="176"/>
      <c r="F152" s="131"/>
      <c r="G152" s="131"/>
      <c r="H152" s="176"/>
      <c r="J152" s="176"/>
      <c r="L152" s="176"/>
      <c r="N152" s="185"/>
      <c r="P152" s="176"/>
      <c r="Q152" s="176"/>
      <c r="S152" s="176"/>
      <c r="U152" s="176"/>
      <c r="W152" s="176"/>
      <c r="Y152" s="176"/>
      <c r="AA152" s="176"/>
    </row>
    <row r="153" spans="1:27" s="132" customFormat="1" x14ac:dyDescent="0.3">
      <c r="A153" s="182"/>
      <c r="D153" s="176"/>
      <c r="F153" s="131"/>
      <c r="G153" s="131"/>
      <c r="H153" s="176"/>
      <c r="J153" s="176"/>
      <c r="L153" s="176"/>
      <c r="N153" s="185"/>
      <c r="P153" s="176"/>
      <c r="Q153" s="176"/>
      <c r="S153" s="176"/>
      <c r="U153" s="176"/>
      <c r="W153" s="176"/>
      <c r="Y153" s="176"/>
      <c r="AA153" s="176"/>
    </row>
    <row r="154" spans="1:27" s="132" customFormat="1" x14ac:dyDescent="0.3">
      <c r="A154" s="182"/>
      <c r="D154" s="176"/>
      <c r="F154" s="131"/>
      <c r="G154" s="131"/>
      <c r="H154" s="176"/>
      <c r="J154" s="176"/>
      <c r="L154" s="176"/>
      <c r="N154" s="185"/>
      <c r="P154" s="176"/>
      <c r="Q154" s="176"/>
      <c r="S154" s="176"/>
      <c r="U154" s="176"/>
      <c r="W154" s="176"/>
      <c r="Y154" s="176"/>
      <c r="AA154" s="176"/>
    </row>
    <row r="155" spans="1:27" s="132" customFormat="1" x14ac:dyDescent="0.3">
      <c r="A155" s="182"/>
      <c r="D155" s="176"/>
      <c r="F155" s="131"/>
      <c r="G155" s="131"/>
      <c r="H155" s="176"/>
      <c r="J155" s="176"/>
      <c r="L155" s="176"/>
      <c r="N155" s="185"/>
      <c r="P155" s="176"/>
      <c r="Q155" s="176"/>
      <c r="S155" s="176"/>
      <c r="U155" s="176"/>
      <c r="W155" s="176"/>
      <c r="Y155" s="176"/>
      <c r="AA155" s="176"/>
    </row>
    <row r="156" spans="1:27" s="132" customFormat="1" x14ac:dyDescent="0.3">
      <c r="A156" s="182"/>
      <c r="D156" s="176"/>
      <c r="F156" s="131"/>
      <c r="G156" s="131"/>
      <c r="H156" s="176"/>
      <c r="J156" s="176"/>
      <c r="L156" s="176"/>
      <c r="N156" s="185"/>
      <c r="P156" s="176"/>
      <c r="Q156" s="176"/>
      <c r="S156" s="176"/>
      <c r="U156" s="176"/>
      <c r="W156" s="176"/>
      <c r="Y156" s="176"/>
      <c r="AA156" s="176"/>
    </row>
    <row r="157" spans="1:27" s="132" customFormat="1" x14ac:dyDescent="0.3">
      <c r="A157" s="283"/>
      <c r="D157" s="176"/>
      <c r="F157" s="176"/>
      <c r="H157" s="176"/>
      <c r="J157" s="176"/>
      <c r="L157" s="176"/>
      <c r="N157" s="284"/>
      <c r="P157" s="176"/>
      <c r="Q157" s="176"/>
      <c r="S157" s="176"/>
      <c r="U157" s="176"/>
      <c r="W157" s="176"/>
      <c r="Y157" s="176"/>
      <c r="AA157" s="176"/>
    </row>
    <row r="158" spans="1:27" s="132" customFormat="1" x14ac:dyDescent="0.3">
      <c r="A158" s="283"/>
      <c r="D158" s="176"/>
      <c r="F158" s="176"/>
      <c r="H158" s="176"/>
      <c r="J158" s="176"/>
      <c r="L158" s="176"/>
      <c r="N158" s="284"/>
      <c r="P158" s="176"/>
      <c r="Q158" s="176"/>
      <c r="S158" s="176"/>
      <c r="U158" s="176"/>
      <c r="W158" s="176"/>
      <c r="Y158" s="176"/>
      <c r="AA158" s="176"/>
    </row>
    <row r="159" spans="1:27" s="132" customFormat="1" x14ac:dyDescent="0.3">
      <c r="A159" s="182"/>
      <c r="D159" s="176"/>
      <c r="F159" s="131"/>
      <c r="G159" s="131"/>
      <c r="H159" s="176"/>
      <c r="J159" s="176"/>
      <c r="L159" s="176"/>
      <c r="N159" s="185"/>
      <c r="P159" s="176"/>
      <c r="Q159" s="176"/>
      <c r="S159" s="176"/>
      <c r="U159" s="176"/>
      <c r="W159" s="176"/>
      <c r="Y159" s="176"/>
      <c r="AA159" s="176"/>
    </row>
    <row r="160" spans="1:27" s="132" customFormat="1" x14ac:dyDescent="0.3">
      <c r="A160" s="182"/>
      <c r="D160" s="176"/>
      <c r="F160" s="131"/>
      <c r="G160" s="131"/>
      <c r="H160" s="176"/>
      <c r="J160" s="176"/>
      <c r="L160" s="176"/>
      <c r="N160" s="185"/>
      <c r="P160" s="176"/>
      <c r="Q160" s="176"/>
      <c r="S160" s="176"/>
      <c r="U160" s="176"/>
      <c r="W160" s="176"/>
      <c r="Y160" s="176"/>
      <c r="AA160" s="176"/>
    </row>
    <row r="161" spans="1:27" s="132" customFormat="1" x14ac:dyDescent="0.3">
      <c r="A161" s="182"/>
      <c r="D161" s="176"/>
      <c r="F161" s="131"/>
      <c r="G161" s="131"/>
      <c r="H161" s="176"/>
      <c r="J161" s="176"/>
      <c r="L161" s="176"/>
      <c r="N161" s="185"/>
      <c r="P161" s="176"/>
      <c r="Q161" s="176"/>
      <c r="S161" s="176"/>
      <c r="U161" s="176"/>
      <c r="W161" s="176"/>
      <c r="Y161" s="176"/>
      <c r="AA161" s="176"/>
    </row>
    <row r="162" spans="1:27" s="132" customFormat="1" x14ac:dyDescent="0.3">
      <c r="A162" s="182"/>
      <c r="D162" s="176"/>
      <c r="F162" s="131"/>
      <c r="G162" s="131"/>
      <c r="H162" s="176"/>
      <c r="J162" s="176"/>
      <c r="L162" s="176"/>
      <c r="N162" s="185"/>
      <c r="P162" s="176"/>
      <c r="Q162" s="176"/>
      <c r="S162" s="176"/>
      <c r="U162" s="176"/>
      <c r="W162" s="176"/>
      <c r="Y162" s="176"/>
      <c r="AA162" s="176"/>
    </row>
    <row r="163" spans="1:27" s="132" customFormat="1" x14ac:dyDescent="0.3">
      <c r="A163" s="283"/>
      <c r="D163" s="176"/>
      <c r="F163" s="176"/>
      <c r="H163" s="176"/>
      <c r="J163" s="176"/>
      <c r="L163" s="176"/>
      <c r="N163" s="284"/>
      <c r="P163" s="176"/>
      <c r="Q163" s="176"/>
      <c r="S163" s="176"/>
      <c r="U163" s="176"/>
      <c r="W163" s="176"/>
      <c r="Y163" s="176"/>
      <c r="AA163" s="176"/>
    </row>
    <row r="164" spans="1:27" s="132" customFormat="1" x14ac:dyDescent="0.3">
      <c r="A164" s="283"/>
      <c r="D164" s="176"/>
      <c r="F164" s="176"/>
      <c r="H164" s="176"/>
      <c r="J164" s="176"/>
      <c r="L164" s="176"/>
      <c r="N164" s="284"/>
      <c r="P164" s="176"/>
      <c r="Q164" s="176"/>
      <c r="S164" s="176"/>
      <c r="U164" s="176"/>
      <c r="W164" s="176"/>
      <c r="Y164" s="176"/>
      <c r="AA164" s="176"/>
    </row>
    <row r="165" spans="1:27" s="132" customFormat="1" x14ac:dyDescent="0.3">
      <c r="A165" s="182"/>
      <c r="D165" s="176"/>
      <c r="F165" s="131"/>
      <c r="G165" s="131"/>
      <c r="H165" s="176"/>
      <c r="J165" s="176"/>
      <c r="L165" s="176"/>
      <c r="N165" s="185"/>
      <c r="P165" s="176"/>
      <c r="Q165" s="176"/>
      <c r="S165" s="176"/>
      <c r="U165" s="176"/>
      <c r="W165" s="176"/>
      <c r="Y165" s="176"/>
      <c r="AA165" s="176"/>
    </row>
    <row r="166" spans="1:27" s="132" customFormat="1" x14ac:dyDescent="0.3">
      <c r="A166" s="182"/>
      <c r="D166" s="176"/>
      <c r="F166" s="131"/>
      <c r="G166" s="131"/>
      <c r="H166" s="176"/>
      <c r="J166" s="176"/>
      <c r="L166" s="176"/>
      <c r="N166" s="185"/>
      <c r="P166" s="176"/>
      <c r="Q166" s="176"/>
      <c r="S166" s="176"/>
      <c r="U166" s="176"/>
      <c r="W166" s="176"/>
      <c r="Y166" s="176"/>
      <c r="AA166" s="176"/>
    </row>
    <row r="167" spans="1:27" s="132" customFormat="1" x14ac:dyDescent="0.3">
      <c r="A167" s="182"/>
      <c r="D167" s="176"/>
      <c r="F167" s="131"/>
      <c r="G167" s="131"/>
      <c r="H167" s="176"/>
      <c r="J167" s="176"/>
      <c r="L167" s="176"/>
      <c r="N167" s="185"/>
      <c r="P167" s="176"/>
      <c r="Q167" s="176"/>
      <c r="S167" s="176"/>
      <c r="U167" s="176"/>
      <c r="W167" s="176"/>
      <c r="Y167" s="176"/>
      <c r="AA167" s="176"/>
    </row>
    <row r="168" spans="1:27" s="132" customFormat="1" x14ac:dyDescent="0.3">
      <c r="A168" s="182"/>
      <c r="D168" s="176"/>
      <c r="F168" s="131"/>
      <c r="G168" s="131"/>
      <c r="H168" s="176"/>
      <c r="J168" s="176"/>
      <c r="L168" s="176"/>
      <c r="N168" s="185"/>
      <c r="P168" s="176"/>
      <c r="Q168" s="176"/>
      <c r="S168" s="176"/>
      <c r="U168" s="176"/>
      <c r="W168" s="176"/>
      <c r="Y168" s="176"/>
      <c r="AA168" s="176"/>
    </row>
    <row r="169" spans="1:27" s="132" customFormat="1" x14ac:dyDescent="0.3">
      <c r="A169" s="182"/>
      <c r="D169" s="176"/>
      <c r="F169" s="131"/>
      <c r="G169" s="131"/>
      <c r="H169" s="176"/>
      <c r="J169" s="176"/>
      <c r="L169" s="176"/>
      <c r="N169" s="185"/>
      <c r="P169" s="176"/>
      <c r="Q169" s="176"/>
      <c r="S169" s="176"/>
      <c r="U169" s="176"/>
      <c r="W169" s="176"/>
      <c r="Y169" s="176"/>
      <c r="AA169" s="176"/>
    </row>
    <row r="170" spans="1:27" s="132" customFormat="1" x14ac:dyDescent="0.3">
      <c r="A170" s="283"/>
      <c r="D170" s="176"/>
      <c r="F170" s="176"/>
      <c r="H170" s="176"/>
      <c r="J170" s="176"/>
      <c r="L170" s="176"/>
      <c r="N170" s="284"/>
      <c r="P170" s="176"/>
      <c r="Q170" s="176"/>
      <c r="S170" s="176"/>
      <c r="U170" s="176"/>
      <c r="W170" s="176"/>
      <c r="Y170" s="176"/>
      <c r="AA170" s="176"/>
    </row>
    <row r="171" spans="1:27" s="132" customFormat="1" x14ac:dyDescent="0.3">
      <c r="A171" s="283"/>
      <c r="D171" s="176"/>
      <c r="F171" s="176"/>
      <c r="H171" s="176"/>
      <c r="J171" s="176"/>
      <c r="L171" s="176"/>
      <c r="N171" s="284"/>
      <c r="P171" s="176"/>
      <c r="Q171" s="176"/>
      <c r="S171" s="176"/>
      <c r="U171" s="176"/>
      <c r="W171" s="176"/>
      <c r="Y171" s="176"/>
      <c r="AA171" s="176"/>
    </row>
    <row r="172" spans="1:27" s="132" customFormat="1" x14ac:dyDescent="0.3">
      <c r="A172" s="182"/>
      <c r="D172" s="176"/>
      <c r="F172" s="131"/>
      <c r="G172" s="131"/>
      <c r="H172" s="176"/>
      <c r="J172" s="176"/>
      <c r="L172" s="176"/>
      <c r="N172" s="185"/>
      <c r="P172" s="176"/>
      <c r="Q172" s="176"/>
      <c r="S172" s="176"/>
      <c r="U172" s="176"/>
      <c r="W172" s="176"/>
      <c r="Y172" s="176"/>
      <c r="AA172" s="176"/>
    </row>
    <row r="173" spans="1:27" s="132" customFormat="1" x14ac:dyDescent="0.3">
      <c r="A173" s="182"/>
      <c r="D173" s="176"/>
      <c r="F173" s="131"/>
      <c r="G173" s="131"/>
      <c r="H173" s="176"/>
      <c r="J173" s="176"/>
      <c r="L173" s="176"/>
      <c r="N173" s="185"/>
      <c r="P173" s="176"/>
      <c r="Q173" s="176"/>
      <c r="S173" s="176"/>
      <c r="U173" s="176"/>
      <c r="W173" s="176"/>
      <c r="Y173" s="176"/>
      <c r="AA173" s="176"/>
    </row>
    <row r="174" spans="1:27" s="132" customFormat="1" x14ac:dyDescent="0.3">
      <c r="A174" s="182"/>
      <c r="D174" s="176"/>
      <c r="F174" s="131"/>
      <c r="G174" s="131"/>
      <c r="H174" s="176"/>
      <c r="J174" s="176"/>
      <c r="L174" s="176"/>
      <c r="N174" s="185"/>
      <c r="P174" s="176"/>
      <c r="Q174" s="176"/>
      <c r="S174" s="176"/>
      <c r="U174" s="176"/>
      <c r="W174" s="176"/>
      <c r="Y174" s="176"/>
      <c r="AA174" s="176"/>
    </row>
    <row r="175" spans="1:27" s="132" customFormat="1" x14ac:dyDescent="0.3">
      <c r="A175" s="182"/>
      <c r="D175" s="176"/>
      <c r="F175" s="131"/>
      <c r="G175" s="131"/>
      <c r="H175" s="176"/>
      <c r="J175" s="176"/>
      <c r="L175" s="176"/>
      <c r="N175" s="185"/>
      <c r="P175" s="176"/>
      <c r="Q175" s="176"/>
      <c r="S175" s="176"/>
      <c r="U175" s="176"/>
      <c r="W175" s="176"/>
      <c r="Y175" s="176"/>
      <c r="AA175" s="176"/>
    </row>
    <row r="176" spans="1:27" s="132" customFormat="1" x14ac:dyDescent="0.3">
      <c r="A176" s="182"/>
      <c r="D176" s="176"/>
      <c r="F176" s="131"/>
      <c r="G176" s="131"/>
      <c r="H176" s="176"/>
      <c r="J176" s="176"/>
      <c r="L176" s="176"/>
      <c r="N176" s="185"/>
      <c r="P176" s="176"/>
      <c r="Q176" s="176"/>
      <c r="S176" s="176"/>
      <c r="U176" s="176"/>
      <c r="W176" s="176"/>
      <c r="Y176" s="176"/>
      <c r="AA176" s="176"/>
    </row>
    <row r="177" spans="1:27" s="132" customFormat="1" x14ac:dyDescent="0.3">
      <c r="A177" s="283"/>
      <c r="D177" s="176"/>
      <c r="F177" s="176"/>
      <c r="H177" s="176"/>
      <c r="J177" s="176"/>
      <c r="L177" s="176"/>
      <c r="N177" s="284"/>
      <c r="P177" s="176"/>
      <c r="Q177" s="176"/>
      <c r="S177" s="176"/>
      <c r="U177" s="176"/>
      <c r="W177" s="176"/>
      <c r="Y177" s="176"/>
      <c r="AA177" s="176"/>
    </row>
    <row r="178" spans="1:27" s="132" customFormat="1" x14ac:dyDescent="0.3">
      <c r="A178" s="283"/>
      <c r="D178" s="176"/>
      <c r="F178" s="176"/>
      <c r="H178" s="176"/>
      <c r="J178" s="176"/>
      <c r="L178" s="176"/>
      <c r="N178" s="284"/>
      <c r="P178" s="176"/>
      <c r="Q178" s="176"/>
      <c r="S178" s="176"/>
      <c r="U178" s="176"/>
      <c r="W178" s="176"/>
      <c r="Y178" s="176"/>
      <c r="AA178" s="176"/>
    </row>
    <row r="179" spans="1:27" s="132" customFormat="1" x14ac:dyDescent="0.3">
      <c r="A179" s="182"/>
      <c r="D179" s="176"/>
      <c r="F179" s="131"/>
      <c r="G179" s="131"/>
      <c r="H179" s="176"/>
      <c r="J179" s="176"/>
      <c r="L179" s="176"/>
      <c r="N179" s="185"/>
      <c r="P179" s="176"/>
      <c r="Q179" s="176"/>
      <c r="S179" s="176"/>
      <c r="U179" s="176"/>
      <c r="W179" s="176"/>
      <c r="Y179" s="176"/>
      <c r="AA179" s="176"/>
    </row>
    <row r="180" spans="1:27" s="132" customFormat="1" x14ac:dyDescent="0.3">
      <c r="A180" s="182"/>
      <c r="D180" s="176"/>
      <c r="F180" s="131"/>
      <c r="G180" s="131"/>
      <c r="H180" s="176"/>
      <c r="J180" s="176"/>
      <c r="L180" s="176"/>
      <c r="N180" s="185"/>
      <c r="P180" s="176"/>
      <c r="Q180" s="176"/>
      <c r="S180" s="176"/>
      <c r="U180" s="176"/>
      <c r="W180" s="176"/>
      <c r="Y180" s="176"/>
      <c r="AA180" s="176"/>
    </row>
    <row r="181" spans="1:27" s="132" customFormat="1" x14ac:dyDescent="0.3">
      <c r="A181" s="182"/>
      <c r="D181" s="176"/>
      <c r="F181" s="131"/>
      <c r="G181" s="131"/>
      <c r="H181" s="176"/>
      <c r="J181" s="176"/>
      <c r="L181" s="176"/>
      <c r="N181" s="185"/>
      <c r="P181" s="176"/>
      <c r="Q181" s="176"/>
      <c r="S181" s="176"/>
      <c r="U181" s="176"/>
      <c r="W181" s="176"/>
      <c r="Y181" s="176"/>
      <c r="AA181" s="176"/>
    </row>
    <row r="182" spans="1:27" s="132" customFormat="1" x14ac:dyDescent="0.3">
      <c r="A182" s="182"/>
      <c r="D182" s="176"/>
      <c r="F182" s="131"/>
      <c r="G182" s="131"/>
      <c r="H182" s="176"/>
      <c r="J182" s="176"/>
      <c r="L182" s="176"/>
      <c r="N182" s="185"/>
      <c r="P182" s="176"/>
      <c r="Q182" s="176"/>
      <c r="S182" s="176"/>
      <c r="U182" s="176"/>
      <c r="W182" s="176"/>
      <c r="Y182" s="176"/>
      <c r="AA182" s="176"/>
    </row>
    <row r="183" spans="1:27" s="132" customFormat="1" x14ac:dyDescent="0.3">
      <c r="A183" s="182"/>
      <c r="D183" s="176"/>
      <c r="F183" s="131"/>
      <c r="G183" s="131"/>
      <c r="H183" s="176"/>
      <c r="J183" s="176"/>
      <c r="L183" s="176"/>
      <c r="N183" s="185"/>
      <c r="P183" s="176"/>
      <c r="Q183" s="176"/>
      <c r="S183" s="176"/>
      <c r="U183" s="176"/>
      <c r="W183" s="176"/>
      <c r="Y183" s="176"/>
      <c r="AA183" s="176"/>
    </row>
    <row r="184" spans="1:27" s="132" customFormat="1" x14ac:dyDescent="0.3">
      <c r="A184" s="283"/>
      <c r="D184" s="176"/>
      <c r="F184" s="176"/>
      <c r="H184" s="176"/>
      <c r="J184" s="176"/>
      <c r="L184" s="176"/>
      <c r="N184" s="284"/>
      <c r="P184" s="176"/>
      <c r="Q184" s="176"/>
      <c r="S184" s="176"/>
      <c r="U184" s="176"/>
      <c r="W184" s="176"/>
      <c r="Y184" s="176"/>
      <c r="AA184" s="176"/>
    </row>
    <row r="185" spans="1:27" s="132" customFormat="1" x14ac:dyDescent="0.3">
      <c r="A185" s="283"/>
      <c r="D185" s="176"/>
      <c r="F185" s="176"/>
      <c r="H185" s="176"/>
      <c r="J185" s="176"/>
      <c r="L185" s="176"/>
      <c r="N185" s="284"/>
      <c r="P185" s="176"/>
      <c r="Q185" s="176"/>
      <c r="S185" s="176"/>
      <c r="U185" s="176"/>
      <c r="W185" s="176"/>
      <c r="Y185" s="176"/>
      <c r="AA185" s="176"/>
    </row>
    <row r="186" spans="1:27" s="132" customFormat="1" x14ac:dyDescent="0.3">
      <c r="A186" s="182"/>
      <c r="D186" s="176"/>
      <c r="F186" s="131"/>
      <c r="G186" s="131"/>
      <c r="H186" s="176"/>
      <c r="J186" s="176"/>
      <c r="L186" s="176"/>
      <c r="N186" s="185"/>
      <c r="P186" s="176"/>
      <c r="Q186" s="176"/>
      <c r="S186" s="176"/>
      <c r="U186" s="176"/>
      <c r="W186" s="176"/>
      <c r="Y186" s="176"/>
      <c r="AA186" s="176"/>
    </row>
    <row r="187" spans="1:27" s="132" customFormat="1" x14ac:dyDescent="0.3">
      <c r="A187" s="182"/>
      <c r="D187" s="176"/>
      <c r="F187" s="131"/>
      <c r="G187" s="131"/>
      <c r="H187" s="176"/>
      <c r="J187" s="176"/>
      <c r="L187" s="176"/>
      <c r="N187" s="185"/>
      <c r="P187" s="176"/>
      <c r="Q187" s="176"/>
      <c r="S187" s="176"/>
      <c r="U187" s="176"/>
      <c r="W187" s="176"/>
      <c r="Y187" s="176"/>
      <c r="AA187" s="176"/>
    </row>
    <row r="188" spans="1:27" s="132" customFormat="1" x14ac:dyDescent="0.3">
      <c r="A188" s="182"/>
      <c r="D188" s="176"/>
      <c r="F188" s="131"/>
      <c r="G188" s="131"/>
      <c r="H188" s="176"/>
      <c r="J188" s="176"/>
      <c r="L188" s="176"/>
      <c r="N188" s="185"/>
      <c r="P188" s="176"/>
      <c r="Q188" s="176"/>
      <c r="S188" s="176"/>
      <c r="U188" s="176"/>
      <c r="W188" s="176"/>
      <c r="Y188" s="176"/>
      <c r="AA188" s="176"/>
    </row>
    <row r="189" spans="1:27" s="132" customFormat="1" x14ac:dyDescent="0.3">
      <c r="A189" s="283"/>
      <c r="D189" s="176"/>
      <c r="F189" s="176"/>
      <c r="H189" s="176"/>
      <c r="J189" s="176"/>
      <c r="L189" s="176"/>
      <c r="N189" s="284"/>
      <c r="P189" s="176"/>
      <c r="Q189" s="176"/>
      <c r="S189" s="176"/>
      <c r="U189" s="176"/>
      <c r="W189" s="176"/>
      <c r="Y189" s="176"/>
      <c r="AA189" s="176"/>
    </row>
    <row r="190" spans="1:27" s="132" customFormat="1" x14ac:dyDescent="0.3">
      <c r="A190" s="283"/>
      <c r="D190" s="176"/>
      <c r="F190" s="176"/>
      <c r="H190" s="176"/>
      <c r="J190" s="176"/>
      <c r="L190" s="176"/>
      <c r="N190" s="284"/>
      <c r="P190" s="176"/>
      <c r="Q190" s="176"/>
      <c r="S190" s="176"/>
      <c r="U190" s="176"/>
      <c r="W190" s="176"/>
      <c r="Y190" s="176"/>
      <c r="AA190" s="176"/>
    </row>
    <row r="191" spans="1:27" s="132" customFormat="1" x14ac:dyDescent="0.3">
      <c r="A191" s="182"/>
      <c r="D191" s="176"/>
      <c r="F191" s="131"/>
      <c r="G191" s="131"/>
      <c r="H191" s="176"/>
      <c r="J191" s="176"/>
      <c r="L191" s="176"/>
      <c r="N191" s="185"/>
      <c r="P191" s="176"/>
      <c r="Q191" s="176"/>
      <c r="S191" s="176"/>
      <c r="U191" s="176"/>
      <c r="W191" s="176"/>
      <c r="Y191" s="176"/>
      <c r="AA191" s="176"/>
    </row>
    <row r="192" spans="1:27" s="132" customFormat="1" x14ac:dyDescent="0.3">
      <c r="A192" s="182"/>
      <c r="D192" s="176"/>
      <c r="F192" s="131"/>
      <c r="G192" s="131"/>
      <c r="H192" s="176"/>
      <c r="J192" s="176"/>
      <c r="L192" s="176"/>
      <c r="N192" s="185"/>
      <c r="P192" s="176"/>
      <c r="Q192" s="176"/>
      <c r="S192" s="176"/>
      <c r="U192" s="176"/>
      <c r="W192" s="176"/>
      <c r="Y192" s="176"/>
      <c r="AA192" s="176"/>
    </row>
    <row r="193" spans="1:27" s="132" customFormat="1" x14ac:dyDescent="0.3">
      <c r="A193" s="182"/>
      <c r="D193" s="176"/>
      <c r="F193" s="131"/>
      <c r="G193" s="131"/>
      <c r="H193" s="176"/>
      <c r="J193" s="176"/>
      <c r="L193" s="176"/>
      <c r="N193" s="185"/>
      <c r="P193" s="176"/>
      <c r="Q193" s="176"/>
      <c r="S193" s="176"/>
      <c r="U193" s="176"/>
      <c r="W193" s="176"/>
      <c r="Y193" s="176"/>
      <c r="AA193" s="176"/>
    </row>
    <row r="194" spans="1:27" s="132" customFormat="1" x14ac:dyDescent="0.3">
      <c r="A194" s="182"/>
      <c r="D194" s="176"/>
      <c r="F194" s="131"/>
      <c r="G194" s="131"/>
      <c r="H194" s="176"/>
      <c r="J194" s="176"/>
      <c r="L194" s="176"/>
      <c r="N194" s="185"/>
      <c r="P194" s="176"/>
      <c r="Q194" s="176"/>
      <c r="S194" s="176"/>
      <c r="U194" s="176"/>
      <c r="W194" s="176"/>
      <c r="Y194" s="176"/>
      <c r="AA194" s="176"/>
    </row>
    <row r="195" spans="1:27" s="132" customFormat="1" x14ac:dyDescent="0.3">
      <c r="A195" s="182"/>
      <c r="D195" s="176"/>
      <c r="F195" s="131"/>
      <c r="G195" s="131"/>
      <c r="H195" s="176"/>
      <c r="J195" s="176"/>
      <c r="L195" s="176"/>
      <c r="N195" s="185"/>
      <c r="P195" s="176"/>
      <c r="Q195" s="176"/>
      <c r="S195" s="176"/>
      <c r="U195" s="176"/>
      <c r="W195" s="176"/>
      <c r="Y195" s="176"/>
      <c r="AA195" s="176"/>
    </row>
    <row r="196" spans="1:27" s="132" customFormat="1" x14ac:dyDescent="0.3">
      <c r="A196" s="283"/>
      <c r="D196" s="176"/>
      <c r="F196" s="176"/>
      <c r="H196" s="176"/>
      <c r="J196" s="176"/>
      <c r="L196" s="176"/>
      <c r="N196" s="284"/>
      <c r="P196" s="176"/>
      <c r="Q196" s="176"/>
      <c r="S196" s="176"/>
      <c r="U196" s="176"/>
      <c r="W196" s="176"/>
      <c r="Y196" s="176"/>
      <c r="AA196" s="176"/>
    </row>
    <row r="197" spans="1:27" s="132" customFormat="1" x14ac:dyDescent="0.3">
      <c r="A197" s="283"/>
      <c r="D197" s="176"/>
      <c r="F197" s="176"/>
      <c r="H197" s="176"/>
      <c r="J197" s="176"/>
      <c r="L197" s="176"/>
      <c r="N197" s="284"/>
      <c r="P197" s="176"/>
      <c r="Q197" s="176"/>
      <c r="S197" s="176"/>
      <c r="U197" s="176"/>
      <c r="W197" s="176"/>
      <c r="Y197" s="176"/>
      <c r="AA197" s="176"/>
    </row>
    <row r="198" spans="1:27" s="132" customFormat="1" x14ac:dyDescent="0.3">
      <c r="A198" s="182"/>
      <c r="D198" s="176"/>
      <c r="F198" s="131"/>
      <c r="G198" s="131"/>
      <c r="H198" s="176"/>
      <c r="J198" s="176"/>
      <c r="L198" s="176"/>
      <c r="N198" s="185"/>
      <c r="P198" s="176"/>
      <c r="Q198" s="176"/>
      <c r="S198" s="176"/>
      <c r="U198" s="176"/>
      <c r="W198" s="176"/>
      <c r="Y198" s="176"/>
      <c r="AA198" s="176"/>
    </row>
    <row r="199" spans="1:27" s="132" customFormat="1" x14ac:dyDescent="0.3">
      <c r="A199" s="182"/>
      <c r="D199" s="176"/>
      <c r="F199" s="131"/>
      <c r="G199" s="131"/>
      <c r="H199" s="176"/>
      <c r="J199" s="176"/>
      <c r="L199" s="176"/>
      <c r="N199" s="185"/>
      <c r="P199" s="176"/>
      <c r="Q199" s="176"/>
      <c r="S199" s="176"/>
      <c r="U199" s="176"/>
      <c r="W199" s="176"/>
      <c r="Y199" s="176"/>
      <c r="AA199" s="176"/>
    </row>
    <row r="200" spans="1:27" s="132" customFormat="1" x14ac:dyDescent="0.3">
      <c r="A200" s="182"/>
      <c r="D200" s="176"/>
      <c r="F200" s="131"/>
      <c r="G200" s="131"/>
      <c r="H200" s="176"/>
      <c r="J200" s="176"/>
      <c r="L200" s="176"/>
      <c r="N200" s="185"/>
      <c r="P200" s="176"/>
      <c r="Q200" s="176"/>
      <c r="S200" s="176"/>
      <c r="U200" s="176"/>
      <c r="W200" s="176"/>
      <c r="Y200" s="176"/>
      <c r="AA200" s="176"/>
    </row>
    <row r="201" spans="1:27" s="132" customFormat="1" x14ac:dyDescent="0.3">
      <c r="A201" s="182"/>
      <c r="D201" s="176"/>
      <c r="F201" s="131"/>
      <c r="G201" s="131"/>
      <c r="H201" s="176"/>
      <c r="J201" s="176"/>
      <c r="L201" s="176"/>
      <c r="N201" s="185"/>
      <c r="P201" s="176"/>
      <c r="Q201" s="176"/>
      <c r="S201" s="176"/>
      <c r="U201" s="176"/>
      <c r="W201" s="176"/>
      <c r="Y201" s="176"/>
      <c r="AA201" s="176"/>
    </row>
    <row r="202" spans="1:27" s="132" customFormat="1" x14ac:dyDescent="0.3">
      <c r="A202" s="182"/>
      <c r="D202" s="176"/>
      <c r="F202" s="131"/>
      <c r="G202" s="131"/>
      <c r="H202" s="176"/>
      <c r="J202" s="176"/>
      <c r="L202" s="176"/>
      <c r="N202" s="185"/>
      <c r="P202" s="176"/>
      <c r="Q202" s="176"/>
      <c r="S202" s="176"/>
      <c r="U202" s="176"/>
      <c r="W202" s="176"/>
      <c r="Y202" s="176"/>
      <c r="AA202" s="176"/>
    </row>
    <row r="203" spans="1:27" s="132" customFormat="1" x14ac:dyDescent="0.3">
      <c r="A203" s="182"/>
      <c r="D203" s="176"/>
      <c r="F203" s="131"/>
      <c r="G203" s="131"/>
      <c r="H203" s="176"/>
      <c r="J203" s="176"/>
      <c r="L203" s="176"/>
      <c r="N203" s="185"/>
      <c r="P203" s="176"/>
      <c r="Q203" s="176"/>
      <c r="S203" s="176"/>
      <c r="U203" s="176"/>
      <c r="W203" s="176"/>
      <c r="Y203" s="176"/>
      <c r="AA203" s="176"/>
    </row>
    <row r="204" spans="1:27" s="132" customFormat="1" x14ac:dyDescent="0.3">
      <c r="A204" s="182"/>
      <c r="D204" s="176"/>
      <c r="F204" s="131"/>
      <c r="G204" s="131"/>
      <c r="H204" s="176"/>
      <c r="J204" s="176"/>
      <c r="L204" s="176"/>
      <c r="N204" s="185"/>
      <c r="P204" s="176"/>
      <c r="Q204" s="176"/>
      <c r="S204" s="176"/>
      <c r="U204" s="176"/>
      <c r="W204" s="176"/>
      <c r="Y204" s="176"/>
      <c r="AA204" s="176"/>
    </row>
    <row r="205" spans="1:27" s="132" customFormat="1" x14ac:dyDescent="0.3">
      <c r="A205" s="182"/>
      <c r="D205" s="176"/>
      <c r="F205" s="131"/>
      <c r="G205" s="131"/>
      <c r="H205" s="176"/>
      <c r="J205" s="176"/>
      <c r="L205" s="176"/>
      <c r="N205" s="185"/>
      <c r="P205" s="176"/>
      <c r="Q205" s="176"/>
      <c r="S205" s="176"/>
      <c r="U205" s="176"/>
      <c r="W205" s="176"/>
      <c r="Y205" s="176"/>
      <c r="AA205" s="176"/>
    </row>
    <row r="206" spans="1:27" s="132" customFormat="1" x14ac:dyDescent="0.3">
      <c r="A206" s="283"/>
      <c r="D206" s="176"/>
      <c r="F206" s="176"/>
      <c r="H206" s="176"/>
      <c r="J206" s="176"/>
      <c r="L206" s="176"/>
      <c r="N206" s="284"/>
      <c r="P206" s="176"/>
      <c r="Q206" s="176"/>
      <c r="S206" s="176"/>
      <c r="U206" s="176"/>
      <c r="W206" s="176"/>
      <c r="Y206" s="176"/>
      <c r="AA206" s="176"/>
    </row>
    <row r="207" spans="1:27" s="132" customFormat="1" x14ac:dyDescent="0.3">
      <c r="A207" s="283"/>
      <c r="D207" s="176"/>
      <c r="F207" s="176"/>
      <c r="H207" s="176"/>
      <c r="J207" s="176"/>
      <c r="L207" s="176"/>
      <c r="N207" s="284"/>
      <c r="P207" s="176"/>
      <c r="Q207" s="176"/>
      <c r="S207" s="176"/>
      <c r="U207" s="176"/>
      <c r="W207" s="176"/>
      <c r="Y207" s="176"/>
      <c r="AA207" s="176"/>
    </row>
    <row r="208" spans="1:27" s="132" customFormat="1" x14ac:dyDescent="0.3">
      <c r="A208" s="182"/>
      <c r="D208" s="176"/>
      <c r="F208" s="131"/>
      <c r="G208" s="131"/>
      <c r="H208" s="176"/>
      <c r="J208" s="176"/>
      <c r="L208" s="176"/>
      <c r="N208" s="185"/>
      <c r="P208" s="176"/>
      <c r="Q208" s="176"/>
      <c r="S208" s="176"/>
      <c r="U208" s="176"/>
      <c r="W208" s="176"/>
      <c r="Y208" s="176"/>
      <c r="AA208" s="176"/>
    </row>
    <row r="209" spans="1:27" s="132" customFormat="1" x14ac:dyDescent="0.3">
      <c r="A209" s="182"/>
      <c r="D209" s="176"/>
      <c r="F209" s="131"/>
      <c r="G209" s="131"/>
      <c r="H209" s="176"/>
      <c r="J209" s="176"/>
      <c r="L209" s="176"/>
      <c r="N209" s="185"/>
      <c r="P209" s="176"/>
      <c r="Q209" s="176"/>
      <c r="S209" s="176"/>
      <c r="U209" s="176"/>
      <c r="W209" s="176"/>
      <c r="Y209" s="176"/>
      <c r="AA209" s="176"/>
    </row>
    <row r="210" spans="1:27" s="132" customFormat="1" x14ac:dyDescent="0.3">
      <c r="A210" s="182"/>
      <c r="D210" s="176"/>
      <c r="F210" s="131"/>
      <c r="G210" s="131"/>
      <c r="H210" s="176"/>
      <c r="J210" s="176"/>
      <c r="L210" s="176"/>
      <c r="N210" s="185"/>
      <c r="P210" s="176"/>
      <c r="Q210" s="176"/>
      <c r="S210" s="176"/>
      <c r="U210" s="176"/>
      <c r="W210" s="176"/>
      <c r="Y210" s="176"/>
      <c r="AA210" s="176"/>
    </row>
    <row r="211" spans="1:27" s="132" customFormat="1" x14ac:dyDescent="0.3">
      <c r="A211" s="182"/>
      <c r="D211" s="176"/>
      <c r="F211" s="131"/>
      <c r="G211" s="131"/>
      <c r="H211" s="176"/>
      <c r="J211" s="176"/>
      <c r="L211" s="176"/>
      <c r="N211" s="185"/>
      <c r="P211" s="176"/>
      <c r="Q211" s="176"/>
      <c r="S211" s="176"/>
      <c r="U211" s="176"/>
      <c r="W211" s="176"/>
      <c r="Y211" s="176"/>
      <c r="AA211" s="176"/>
    </row>
    <row r="212" spans="1:27" s="132" customFormat="1" x14ac:dyDescent="0.3">
      <c r="A212" s="182"/>
      <c r="D212" s="176"/>
      <c r="F212" s="131"/>
      <c r="G212" s="131"/>
      <c r="H212" s="176"/>
      <c r="J212" s="176"/>
      <c r="L212" s="176"/>
      <c r="N212" s="185"/>
      <c r="P212" s="176"/>
      <c r="Q212" s="176"/>
      <c r="S212" s="176"/>
      <c r="U212" s="176"/>
      <c r="W212" s="176"/>
      <c r="Y212" s="176"/>
      <c r="AA212" s="176"/>
    </row>
    <row r="213" spans="1:27" s="132" customFormat="1" x14ac:dyDescent="0.3">
      <c r="A213" s="283"/>
      <c r="D213" s="176"/>
      <c r="F213" s="176"/>
      <c r="H213" s="176"/>
      <c r="J213" s="176"/>
      <c r="L213" s="176"/>
      <c r="N213" s="284"/>
      <c r="P213" s="176"/>
      <c r="Q213" s="176"/>
      <c r="S213" s="176"/>
      <c r="U213" s="176"/>
      <c r="W213" s="176"/>
      <c r="Y213" s="176"/>
      <c r="AA213" s="176"/>
    </row>
    <row r="214" spans="1:27" s="132" customFormat="1" x14ac:dyDescent="0.3">
      <c r="A214" s="283"/>
      <c r="D214" s="176"/>
      <c r="F214" s="176"/>
      <c r="H214" s="176"/>
      <c r="J214" s="176"/>
      <c r="L214" s="176"/>
      <c r="N214" s="284"/>
      <c r="P214" s="176"/>
      <c r="Q214" s="176"/>
      <c r="S214" s="176"/>
      <c r="U214" s="176"/>
      <c r="W214" s="176"/>
      <c r="Y214" s="176"/>
      <c r="AA214" s="176"/>
    </row>
    <row r="215" spans="1:27" s="132" customFormat="1" x14ac:dyDescent="0.3">
      <c r="A215" s="182"/>
      <c r="D215" s="176"/>
      <c r="F215" s="131"/>
      <c r="G215" s="131"/>
      <c r="H215" s="176"/>
      <c r="J215" s="176"/>
      <c r="L215" s="176"/>
      <c r="N215" s="185"/>
      <c r="P215" s="176"/>
      <c r="Q215" s="176"/>
      <c r="S215" s="176"/>
      <c r="U215" s="176"/>
      <c r="W215" s="176"/>
      <c r="Y215" s="176"/>
      <c r="AA215" s="176"/>
    </row>
    <row r="216" spans="1:27" s="132" customFormat="1" x14ac:dyDescent="0.3">
      <c r="A216" s="182"/>
      <c r="D216" s="176"/>
      <c r="F216" s="131"/>
      <c r="G216" s="131"/>
      <c r="H216" s="176"/>
      <c r="J216" s="176"/>
      <c r="L216" s="176"/>
      <c r="N216" s="185"/>
      <c r="P216" s="176"/>
      <c r="Q216" s="176"/>
      <c r="S216" s="176"/>
      <c r="U216" s="176"/>
      <c r="W216" s="176"/>
      <c r="Y216" s="176"/>
      <c r="AA216" s="176"/>
    </row>
    <row r="217" spans="1:27" s="132" customFormat="1" x14ac:dyDescent="0.3">
      <c r="A217" s="182"/>
      <c r="D217" s="176"/>
      <c r="F217" s="131"/>
      <c r="G217" s="131"/>
      <c r="H217" s="176"/>
      <c r="J217" s="176"/>
      <c r="L217" s="176"/>
      <c r="N217" s="185"/>
      <c r="P217" s="176"/>
      <c r="Q217" s="176"/>
      <c r="S217" s="176"/>
      <c r="U217" s="176"/>
      <c r="W217" s="176"/>
      <c r="Y217" s="176"/>
      <c r="AA217" s="176"/>
    </row>
    <row r="218" spans="1:27" s="132" customFormat="1" x14ac:dyDescent="0.3">
      <c r="A218" s="182"/>
      <c r="D218" s="176"/>
      <c r="F218" s="131"/>
      <c r="G218" s="131"/>
      <c r="H218" s="176"/>
      <c r="J218" s="176"/>
      <c r="L218" s="176"/>
      <c r="N218" s="185"/>
      <c r="P218" s="176"/>
      <c r="Q218" s="176"/>
      <c r="S218" s="176"/>
      <c r="U218" s="176"/>
      <c r="W218" s="176"/>
      <c r="Y218" s="176"/>
      <c r="AA218" s="176"/>
    </row>
    <row r="219" spans="1:27" s="132" customFormat="1" x14ac:dyDescent="0.3">
      <c r="A219" s="182"/>
      <c r="D219" s="176"/>
      <c r="F219" s="131"/>
      <c r="G219" s="131"/>
      <c r="H219" s="176"/>
      <c r="J219" s="176"/>
      <c r="L219" s="176"/>
      <c r="N219" s="185"/>
      <c r="P219" s="176"/>
      <c r="Q219" s="176"/>
      <c r="S219" s="176"/>
      <c r="U219" s="176"/>
      <c r="W219" s="176"/>
      <c r="Y219" s="176"/>
      <c r="AA219" s="176"/>
    </row>
    <row r="220" spans="1:27" s="132" customFormat="1" x14ac:dyDescent="0.3">
      <c r="A220" s="182"/>
      <c r="D220" s="176"/>
      <c r="F220" s="131"/>
      <c r="G220" s="131"/>
      <c r="H220" s="176"/>
      <c r="J220" s="176"/>
      <c r="L220" s="176"/>
      <c r="N220" s="185"/>
      <c r="P220" s="176"/>
      <c r="Q220" s="176"/>
      <c r="S220" s="176"/>
      <c r="U220" s="176"/>
      <c r="W220" s="176"/>
      <c r="Y220" s="176"/>
      <c r="AA220" s="176"/>
    </row>
    <row r="221" spans="1:27" s="132" customFormat="1" x14ac:dyDescent="0.3">
      <c r="A221" s="182"/>
      <c r="D221" s="176"/>
      <c r="F221" s="131"/>
      <c r="G221" s="131"/>
      <c r="H221" s="176"/>
      <c r="J221" s="176"/>
      <c r="L221" s="176"/>
      <c r="N221" s="185"/>
      <c r="P221" s="176"/>
      <c r="Q221" s="176"/>
      <c r="S221" s="176"/>
      <c r="U221" s="176"/>
      <c r="W221" s="176"/>
      <c r="Y221" s="176"/>
      <c r="AA221" s="176"/>
    </row>
    <row r="222" spans="1:27" s="132" customFormat="1" x14ac:dyDescent="0.3">
      <c r="A222" s="182"/>
      <c r="D222" s="176"/>
      <c r="F222" s="131"/>
      <c r="G222" s="131"/>
      <c r="H222" s="176"/>
      <c r="J222" s="176"/>
      <c r="L222" s="176"/>
      <c r="N222" s="185"/>
      <c r="P222" s="176"/>
      <c r="Q222" s="176"/>
      <c r="S222" s="176"/>
      <c r="U222" s="176"/>
      <c r="W222" s="176"/>
      <c r="Y222" s="176"/>
      <c r="AA222" s="176"/>
    </row>
    <row r="223" spans="1:27" s="132" customFormat="1" x14ac:dyDescent="0.3">
      <c r="A223" s="182"/>
      <c r="D223" s="176"/>
      <c r="F223" s="131"/>
      <c r="G223" s="131"/>
      <c r="H223" s="176"/>
      <c r="J223" s="176"/>
      <c r="L223" s="176"/>
      <c r="N223" s="185"/>
      <c r="P223" s="176"/>
      <c r="Q223" s="176"/>
      <c r="S223" s="176"/>
      <c r="U223" s="176"/>
      <c r="W223" s="176"/>
      <c r="Y223" s="176"/>
      <c r="AA223" s="176"/>
    </row>
    <row r="224" spans="1:27" s="132" customFormat="1" x14ac:dyDescent="0.3">
      <c r="A224" s="182"/>
      <c r="D224" s="176"/>
      <c r="F224" s="131"/>
      <c r="G224" s="131"/>
      <c r="H224" s="176"/>
      <c r="J224" s="176"/>
      <c r="L224" s="176"/>
      <c r="N224" s="185"/>
      <c r="P224" s="176"/>
      <c r="Q224" s="176"/>
      <c r="S224" s="176"/>
      <c r="U224" s="176"/>
      <c r="W224" s="176"/>
      <c r="Y224" s="176"/>
      <c r="AA224" s="176"/>
    </row>
    <row r="225" spans="1:27" s="132" customFormat="1" x14ac:dyDescent="0.3">
      <c r="A225" s="182"/>
      <c r="D225" s="176"/>
      <c r="F225" s="131"/>
      <c r="G225" s="131"/>
      <c r="H225" s="176"/>
      <c r="J225" s="176"/>
      <c r="L225" s="176"/>
      <c r="N225" s="185"/>
      <c r="P225" s="176"/>
      <c r="Q225" s="176"/>
      <c r="S225" s="176"/>
      <c r="U225" s="176"/>
      <c r="W225" s="176"/>
      <c r="Y225" s="176"/>
      <c r="AA225" s="176"/>
    </row>
    <row r="226" spans="1:27" s="132" customFormat="1" x14ac:dyDescent="0.3">
      <c r="A226" s="182"/>
      <c r="D226" s="176"/>
      <c r="F226" s="131"/>
      <c r="G226" s="131"/>
      <c r="H226" s="176"/>
      <c r="J226" s="176"/>
      <c r="L226" s="176"/>
      <c r="N226" s="185"/>
      <c r="P226" s="176"/>
      <c r="Q226" s="176"/>
      <c r="S226" s="176"/>
      <c r="U226" s="176"/>
      <c r="W226" s="176"/>
      <c r="Y226" s="176"/>
      <c r="AA226" s="176"/>
    </row>
    <row r="227" spans="1:27" s="132" customFormat="1" x14ac:dyDescent="0.3">
      <c r="A227" s="182"/>
      <c r="D227" s="176"/>
      <c r="F227" s="131"/>
      <c r="G227" s="131"/>
      <c r="H227" s="176"/>
      <c r="J227" s="176"/>
      <c r="L227" s="176"/>
      <c r="N227" s="185"/>
      <c r="P227" s="176"/>
      <c r="Q227" s="176"/>
      <c r="S227" s="176"/>
      <c r="U227" s="176"/>
      <c r="W227" s="176"/>
      <c r="Y227" s="176"/>
      <c r="AA227" s="176"/>
    </row>
    <row r="228" spans="1:27" s="132" customFormat="1" x14ac:dyDescent="0.3">
      <c r="A228" s="283"/>
      <c r="D228" s="176"/>
      <c r="F228" s="176"/>
      <c r="H228" s="176"/>
      <c r="J228" s="176"/>
      <c r="L228" s="176"/>
      <c r="N228" s="284"/>
      <c r="P228" s="176"/>
      <c r="Q228" s="176"/>
      <c r="S228" s="176"/>
      <c r="U228" s="176"/>
      <c r="W228" s="176"/>
      <c r="Y228" s="176"/>
      <c r="AA228" s="176"/>
    </row>
    <row r="229" spans="1:27" s="132" customFormat="1" x14ac:dyDescent="0.3">
      <c r="A229" s="283"/>
      <c r="D229" s="176"/>
      <c r="F229" s="176"/>
      <c r="H229" s="176"/>
      <c r="J229" s="176"/>
      <c r="L229" s="176"/>
      <c r="N229" s="284"/>
      <c r="P229" s="176"/>
      <c r="Q229" s="176"/>
      <c r="S229" s="176"/>
      <c r="U229" s="176"/>
      <c r="W229" s="176"/>
      <c r="Y229" s="176"/>
      <c r="AA229" s="176"/>
    </row>
    <row r="230" spans="1:27" s="132" customFormat="1" x14ac:dyDescent="0.3">
      <c r="A230" s="182"/>
      <c r="D230" s="176"/>
      <c r="F230" s="131"/>
      <c r="G230" s="131"/>
      <c r="H230" s="176"/>
      <c r="J230" s="176"/>
      <c r="L230" s="176"/>
      <c r="N230" s="185"/>
      <c r="P230" s="176"/>
      <c r="Q230" s="176"/>
      <c r="S230" s="176"/>
      <c r="U230" s="176"/>
      <c r="W230" s="176"/>
      <c r="Y230" s="176"/>
      <c r="AA230" s="176"/>
    </row>
    <row r="231" spans="1:27" s="132" customFormat="1" x14ac:dyDescent="0.3">
      <c r="A231" s="182"/>
      <c r="D231" s="176"/>
      <c r="F231" s="131"/>
      <c r="G231" s="131"/>
      <c r="H231" s="176"/>
      <c r="J231" s="176"/>
      <c r="L231" s="176"/>
      <c r="N231" s="185"/>
      <c r="P231" s="176"/>
      <c r="Q231" s="176"/>
      <c r="S231" s="176"/>
      <c r="U231" s="176"/>
      <c r="W231" s="176"/>
      <c r="Y231" s="176"/>
      <c r="AA231" s="176"/>
    </row>
    <row r="232" spans="1:27" s="132" customFormat="1" x14ac:dyDescent="0.3">
      <c r="A232" s="182"/>
      <c r="D232" s="176"/>
      <c r="F232" s="131"/>
      <c r="G232" s="131"/>
      <c r="H232" s="176"/>
      <c r="J232" s="176"/>
      <c r="L232" s="176"/>
      <c r="N232" s="185"/>
      <c r="P232" s="176"/>
      <c r="Q232" s="176"/>
      <c r="S232" s="176"/>
      <c r="U232" s="176"/>
      <c r="W232" s="176"/>
      <c r="Y232" s="176"/>
      <c r="AA232" s="176"/>
    </row>
    <row r="233" spans="1:27" s="132" customFormat="1" x14ac:dyDescent="0.3">
      <c r="A233" s="182"/>
      <c r="D233" s="176"/>
      <c r="F233" s="131"/>
      <c r="G233" s="131"/>
      <c r="H233" s="176"/>
      <c r="J233" s="176"/>
      <c r="L233" s="176"/>
      <c r="N233" s="185"/>
      <c r="P233" s="176"/>
      <c r="Q233" s="176"/>
      <c r="S233" s="176"/>
      <c r="U233" s="176"/>
      <c r="W233" s="176"/>
      <c r="Y233" s="176"/>
      <c r="AA233" s="176"/>
    </row>
    <row r="234" spans="1:27" s="132" customFormat="1" x14ac:dyDescent="0.3">
      <c r="A234" s="182"/>
      <c r="D234" s="176"/>
      <c r="F234" s="176"/>
      <c r="H234" s="176"/>
      <c r="J234" s="176"/>
      <c r="L234" s="176"/>
      <c r="N234" s="176"/>
      <c r="P234" s="176"/>
      <c r="Q234" s="176"/>
      <c r="S234" s="176"/>
      <c r="U234" s="176"/>
      <c r="W234" s="176"/>
      <c r="Y234" s="176"/>
      <c r="AA234" s="176"/>
    </row>
    <row r="235" spans="1:27" x14ac:dyDescent="0.3">
      <c r="A235" s="186"/>
    </row>
  </sheetData>
  <mergeCells count="460">
    <mergeCell ref="AD1:AE3"/>
    <mergeCell ref="C7:D7"/>
    <mergeCell ref="E7:F7"/>
    <mergeCell ref="A189:A190"/>
    <mergeCell ref="N189:N190"/>
    <mergeCell ref="A196:A197"/>
    <mergeCell ref="N196:N197"/>
    <mergeCell ref="A144:A145"/>
    <mergeCell ref="A206:A207"/>
    <mergeCell ref="N206:N207"/>
    <mergeCell ref="A170:A171"/>
    <mergeCell ref="N170:N171"/>
    <mergeCell ref="A177:A178"/>
    <mergeCell ref="N177:N178"/>
    <mergeCell ref="A184:A185"/>
    <mergeCell ref="N184:N185"/>
    <mergeCell ref="N144:N145"/>
    <mergeCell ref="E135:E137"/>
    <mergeCell ref="A125:F127"/>
    <mergeCell ref="G125:N127"/>
    <mergeCell ref="J104:J105"/>
    <mergeCell ref="A104:A105"/>
    <mergeCell ref="C104:C105"/>
    <mergeCell ref="D104:D105"/>
    <mergeCell ref="AA9:AA10"/>
    <mergeCell ref="Z9:Z10"/>
    <mergeCell ref="N135:N137"/>
    <mergeCell ref="F128:N128"/>
    <mergeCell ref="S104:S105"/>
    <mergeCell ref="T104:T105"/>
    <mergeCell ref="A213:A214"/>
    <mergeCell ref="N213:N214"/>
    <mergeCell ref="A129:A132"/>
    <mergeCell ref="B129:E130"/>
    <mergeCell ref="F129:G131"/>
    <mergeCell ref="H129:K131"/>
    <mergeCell ref="L129:M131"/>
    <mergeCell ref="N129:N132"/>
    <mergeCell ref="B131:C131"/>
    <mergeCell ref="D131:E131"/>
    <mergeCell ref="F104:F105"/>
    <mergeCell ref="B104:B105"/>
    <mergeCell ref="G104:G105"/>
    <mergeCell ref="H104:H105"/>
    <mergeCell ref="K104:K105"/>
    <mergeCell ref="L104:L105"/>
    <mergeCell ref="M104:M105"/>
    <mergeCell ref="A228:A229"/>
    <mergeCell ref="N228:N229"/>
    <mergeCell ref="A157:A158"/>
    <mergeCell ref="N157:N158"/>
    <mergeCell ref="A163:A164"/>
    <mergeCell ref="N163:N164"/>
    <mergeCell ref="F135:F137"/>
    <mergeCell ref="G135:G137"/>
    <mergeCell ref="H135:H137"/>
    <mergeCell ref="K135:K137"/>
    <mergeCell ref="A135:A137"/>
    <mergeCell ref="B135:B137"/>
    <mergeCell ref="L135:L137"/>
    <mergeCell ref="M135:M137"/>
    <mergeCell ref="C135:C137"/>
    <mergeCell ref="D135:D137"/>
    <mergeCell ref="E104:E105"/>
    <mergeCell ref="I104:I105"/>
    <mergeCell ref="O104:O105"/>
    <mergeCell ref="P104:P105"/>
    <mergeCell ref="Q104:Q105"/>
    <mergeCell ref="R104:R105"/>
    <mergeCell ref="N104:N105"/>
    <mergeCell ref="V104:V105"/>
    <mergeCell ref="T89:T90"/>
    <mergeCell ref="U89:U90"/>
    <mergeCell ref="U104:U105"/>
    <mergeCell ref="M89:M90"/>
    <mergeCell ref="AD89:AD90"/>
    <mergeCell ref="N89:N90"/>
    <mergeCell ref="O89:O90"/>
    <mergeCell ref="P89:P90"/>
    <mergeCell ref="Q89:Q90"/>
    <mergeCell ref="R89:R90"/>
    <mergeCell ref="S89:S90"/>
    <mergeCell ref="AC89:AC90"/>
    <mergeCell ref="AB89:AB90"/>
    <mergeCell ref="AD104:AD105"/>
    <mergeCell ref="V89:V90"/>
    <mergeCell ref="W89:W90"/>
    <mergeCell ref="AC104:AC105"/>
    <mergeCell ref="AA89:AA90"/>
    <mergeCell ref="Z89:Z90"/>
    <mergeCell ref="Y89:Y90"/>
    <mergeCell ref="Y104:Y105"/>
    <mergeCell ref="X89:X90"/>
    <mergeCell ref="W104:W105"/>
    <mergeCell ref="X104:X105"/>
    <mergeCell ref="A82:A83"/>
    <mergeCell ref="C82:C83"/>
    <mergeCell ref="D82:D83"/>
    <mergeCell ref="E82:E83"/>
    <mergeCell ref="F82:F83"/>
    <mergeCell ref="M82:M83"/>
    <mergeCell ref="I82:I83"/>
    <mergeCell ref="J82:J83"/>
    <mergeCell ref="A89:A90"/>
    <mergeCell ref="C89:C90"/>
    <mergeCell ref="D89:D90"/>
    <mergeCell ref="E89:E90"/>
    <mergeCell ref="G89:G90"/>
    <mergeCell ref="H89:H90"/>
    <mergeCell ref="K89:K90"/>
    <mergeCell ref="L89:L90"/>
    <mergeCell ref="B89:B90"/>
    <mergeCell ref="F89:F90"/>
    <mergeCell ref="I89:I90"/>
    <mergeCell ref="J89:J90"/>
    <mergeCell ref="G82:G83"/>
    <mergeCell ref="H82:H83"/>
    <mergeCell ref="K82:K83"/>
    <mergeCell ref="L82:L83"/>
    <mergeCell ref="AD72:AD73"/>
    <mergeCell ref="N72:N73"/>
    <mergeCell ref="O72:O73"/>
    <mergeCell ref="P72:P73"/>
    <mergeCell ref="Q72:Q73"/>
    <mergeCell ref="R72:R73"/>
    <mergeCell ref="S72:S73"/>
    <mergeCell ref="AB72:AB73"/>
    <mergeCell ref="X82:X83"/>
    <mergeCell ref="AD82:AD83"/>
    <mergeCell ref="T82:T83"/>
    <mergeCell ref="Z72:Z73"/>
    <mergeCell ref="Y72:Y73"/>
    <mergeCell ref="R82:R83"/>
    <mergeCell ref="S82:S83"/>
    <mergeCell ref="U82:U83"/>
    <mergeCell ref="V82:V83"/>
    <mergeCell ref="W82:W83"/>
    <mergeCell ref="Y82:Y83"/>
    <mergeCell ref="O82:O83"/>
    <mergeCell ref="P82:P83"/>
    <mergeCell ref="Q82:Q83"/>
    <mergeCell ref="N82:N83"/>
    <mergeCell ref="F72:F73"/>
    <mergeCell ref="G72:G73"/>
    <mergeCell ref="H72:H73"/>
    <mergeCell ref="K72:K73"/>
    <mergeCell ref="L72:L73"/>
    <mergeCell ref="M72:M73"/>
    <mergeCell ref="U65:U66"/>
    <mergeCell ref="V65:V66"/>
    <mergeCell ref="X65:X66"/>
    <mergeCell ref="W65:W66"/>
    <mergeCell ref="J72:J73"/>
    <mergeCell ref="I65:I66"/>
    <mergeCell ref="J65:J66"/>
    <mergeCell ref="T72:T73"/>
    <mergeCell ref="U72:U73"/>
    <mergeCell ref="V72:V73"/>
    <mergeCell ref="W72:W73"/>
    <mergeCell ref="X72:X73"/>
    <mergeCell ref="I72:I73"/>
    <mergeCell ref="AD65:AD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B65:B66"/>
    <mergeCell ref="Y65:Y66"/>
    <mergeCell ref="C60:C61"/>
    <mergeCell ref="D60:D61"/>
    <mergeCell ref="E60:E61"/>
    <mergeCell ref="W60:W61"/>
    <mergeCell ref="X60:X61"/>
    <mergeCell ref="AD60:AD61"/>
    <mergeCell ref="N60:N61"/>
    <mergeCell ref="O60:O61"/>
    <mergeCell ref="P60:P61"/>
    <mergeCell ref="Q60:Q61"/>
    <mergeCell ref="R60:R61"/>
    <mergeCell ref="S60:S61"/>
    <mergeCell ref="AC60:AC61"/>
    <mergeCell ref="AB60:AB61"/>
    <mergeCell ref="AA60:AA61"/>
    <mergeCell ref="Z60:Z61"/>
    <mergeCell ref="Y60:Y61"/>
    <mergeCell ref="A53:A54"/>
    <mergeCell ref="C53:C54"/>
    <mergeCell ref="D53:D54"/>
    <mergeCell ref="E53:E54"/>
    <mergeCell ref="B53:B54"/>
    <mergeCell ref="G53:G54"/>
    <mergeCell ref="W53:W54"/>
    <mergeCell ref="O53:O54"/>
    <mergeCell ref="A60:A61"/>
    <mergeCell ref="B60:B61"/>
    <mergeCell ref="H60:H61"/>
    <mergeCell ref="K60:K61"/>
    <mergeCell ref="L60:L61"/>
    <mergeCell ref="M60:M61"/>
    <mergeCell ref="U53:U54"/>
    <mergeCell ref="V53:V54"/>
    <mergeCell ref="P53:P54"/>
    <mergeCell ref="Q53:Q54"/>
    <mergeCell ref="R53:R54"/>
    <mergeCell ref="H53:H54"/>
    <mergeCell ref="F53:F54"/>
    <mergeCell ref="I53:I54"/>
    <mergeCell ref="J53:J54"/>
    <mergeCell ref="I60:I61"/>
    <mergeCell ref="K53:K54"/>
    <mergeCell ref="L53:L54"/>
    <mergeCell ref="M53:M54"/>
    <mergeCell ref="N53:N54"/>
    <mergeCell ref="F60:F61"/>
    <mergeCell ref="G60:G61"/>
    <mergeCell ref="X53:X54"/>
    <mergeCell ref="AD53:AD54"/>
    <mergeCell ref="S53:S54"/>
    <mergeCell ref="T53:T54"/>
    <mergeCell ref="AC53:AC54"/>
    <mergeCell ref="AB53:AB54"/>
    <mergeCell ref="J60:J61"/>
    <mergeCell ref="T60:T61"/>
    <mergeCell ref="U60:U61"/>
    <mergeCell ref="V60:V61"/>
    <mergeCell ref="AD46:AD47"/>
    <mergeCell ref="E39:E40"/>
    <mergeCell ref="F46:F47"/>
    <mergeCell ref="G46:G47"/>
    <mergeCell ref="H46:H47"/>
    <mergeCell ref="K46:K47"/>
    <mergeCell ref="I39:I40"/>
    <mergeCell ref="P46:P47"/>
    <mergeCell ref="Q46:Q47"/>
    <mergeCell ref="R46:R47"/>
    <mergeCell ref="S46:S47"/>
    <mergeCell ref="T46:T47"/>
    <mergeCell ref="U46:U47"/>
    <mergeCell ref="AD39:AD40"/>
    <mergeCell ref="S39:S40"/>
    <mergeCell ref="T39:T40"/>
    <mergeCell ref="U39:U40"/>
    <mergeCell ref="V39:V40"/>
    <mergeCell ref="W39:W40"/>
    <mergeCell ref="R39:R40"/>
    <mergeCell ref="N46:N47"/>
    <mergeCell ref="O46:O47"/>
    <mergeCell ref="L46:L47"/>
    <mergeCell ref="M46:M47"/>
    <mergeCell ref="A46:A47"/>
    <mergeCell ref="B46:B47"/>
    <mergeCell ref="C46:C47"/>
    <mergeCell ref="D46:D47"/>
    <mergeCell ref="E46:E47"/>
    <mergeCell ref="O39:O40"/>
    <mergeCell ref="A39:A40"/>
    <mergeCell ref="B39:B40"/>
    <mergeCell ref="C39:C40"/>
    <mergeCell ref="D39:D40"/>
    <mergeCell ref="J39:J40"/>
    <mergeCell ref="I46:I47"/>
    <mergeCell ref="J46:J47"/>
    <mergeCell ref="G39:G40"/>
    <mergeCell ref="H39:H40"/>
    <mergeCell ref="K39:K40"/>
    <mergeCell ref="L39:L40"/>
    <mergeCell ref="AD19:AD20"/>
    <mergeCell ref="A33:A34"/>
    <mergeCell ref="C33:C34"/>
    <mergeCell ref="D33:D34"/>
    <mergeCell ref="E33:E34"/>
    <mergeCell ref="O19:O20"/>
    <mergeCell ref="P19:P20"/>
    <mergeCell ref="Q19:Q20"/>
    <mergeCell ref="R19:R20"/>
    <mergeCell ref="S19:S20"/>
    <mergeCell ref="T19:T20"/>
    <mergeCell ref="G19:G20"/>
    <mergeCell ref="H19:H20"/>
    <mergeCell ref="K19:K20"/>
    <mergeCell ref="L19:L20"/>
    <mergeCell ref="M19:M20"/>
    <mergeCell ref="N19:N20"/>
    <mergeCell ref="A19:A20"/>
    <mergeCell ref="C19:C20"/>
    <mergeCell ref="D19:D20"/>
    <mergeCell ref="E19:E20"/>
    <mergeCell ref="F19:F20"/>
    <mergeCell ref="B19:B20"/>
    <mergeCell ref="AD33:AD34"/>
    <mergeCell ref="T11:T12"/>
    <mergeCell ref="U11:U12"/>
    <mergeCell ref="V11:V12"/>
    <mergeCell ref="W11:W12"/>
    <mergeCell ref="X11:X12"/>
    <mergeCell ref="AD11:AD12"/>
    <mergeCell ref="AC11:AC12"/>
    <mergeCell ref="AB11:AB12"/>
    <mergeCell ref="AA11:AA12"/>
    <mergeCell ref="Z11:Z12"/>
    <mergeCell ref="Y11:Y12"/>
    <mergeCell ref="J11:J12"/>
    <mergeCell ref="Q9:Q10"/>
    <mergeCell ref="E9:E10"/>
    <mergeCell ref="R11:R12"/>
    <mergeCell ref="C9:C10"/>
    <mergeCell ref="D9:D10"/>
    <mergeCell ref="S11:S12"/>
    <mergeCell ref="F11:F12"/>
    <mergeCell ref="G11:G12"/>
    <mergeCell ref="H11:H12"/>
    <mergeCell ref="K11:K12"/>
    <mergeCell ref="L11:L12"/>
    <mergeCell ref="M11:M12"/>
    <mergeCell ref="O9:O10"/>
    <mergeCell ref="P9:P10"/>
    <mergeCell ref="X5:Y7"/>
    <mergeCell ref="AB5:AB7"/>
    <mergeCell ref="Y9:Y10"/>
    <mergeCell ref="AC9:AC10"/>
    <mergeCell ref="AB9:AB10"/>
    <mergeCell ref="A11:A12"/>
    <mergeCell ref="B11:B12"/>
    <mergeCell ref="C11:C12"/>
    <mergeCell ref="D11:D12"/>
    <mergeCell ref="E11:E12"/>
    <mergeCell ref="R9:R10"/>
    <mergeCell ref="G9:G10"/>
    <mergeCell ref="H9:H10"/>
    <mergeCell ref="K9:K10"/>
    <mergeCell ref="L9:L10"/>
    <mergeCell ref="M9:M10"/>
    <mergeCell ref="N9:N10"/>
    <mergeCell ref="A9:A10"/>
    <mergeCell ref="B9:B10"/>
    <mergeCell ref="N11:N12"/>
    <mergeCell ref="O11:O12"/>
    <mergeCell ref="P11:P12"/>
    <mergeCell ref="Q11:Q12"/>
    <mergeCell ref="I11:I12"/>
    <mergeCell ref="O4:R4"/>
    <mergeCell ref="V5:W7"/>
    <mergeCell ref="AC5:AC7"/>
    <mergeCell ref="G7:H7"/>
    <mergeCell ref="I7:J7"/>
    <mergeCell ref="G5:J6"/>
    <mergeCell ref="A5:A8"/>
    <mergeCell ref="F9:F10"/>
    <mergeCell ref="AD5:AD8"/>
    <mergeCell ref="O5:Q6"/>
    <mergeCell ref="R5:S7"/>
    <mergeCell ref="T5:U7"/>
    <mergeCell ref="W9:W10"/>
    <mergeCell ref="X9:X10"/>
    <mergeCell ref="AD9:AD10"/>
    <mergeCell ref="Z5:AA7"/>
    <mergeCell ref="B5:B8"/>
    <mergeCell ref="C5:F6"/>
    <mergeCell ref="K5:L7"/>
    <mergeCell ref="M5:N7"/>
    <mergeCell ref="U9:U10"/>
    <mergeCell ref="V9:V10"/>
    <mergeCell ref="S9:S10"/>
    <mergeCell ref="T9:T10"/>
    <mergeCell ref="B33:B34"/>
    <mergeCell ref="T33:T34"/>
    <mergeCell ref="U33:U34"/>
    <mergeCell ref="B72:B73"/>
    <mergeCell ref="B82:B83"/>
    <mergeCell ref="AC33:AC34"/>
    <mergeCell ref="AB33:AB34"/>
    <mergeCell ref="AA33:AA34"/>
    <mergeCell ref="Z33:Z34"/>
    <mergeCell ref="Y33:Y34"/>
    <mergeCell ref="AC39:AC40"/>
    <mergeCell ref="AB39:AB40"/>
    <mergeCell ref="AA39:AA40"/>
    <mergeCell ref="AA46:AA47"/>
    <mergeCell ref="Z46:Z47"/>
    <mergeCell ref="Y46:Y47"/>
    <mergeCell ref="F33:F34"/>
    <mergeCell ref="G33:G34"/>
    <mergeCell ref="H33:H34"/>
    <mergeCell ref="K33:K34"/>
    <mergeCell ref="L33:L34"/>
    <mergeCell ref="I33:I34"/>
    <mergeCell ref="J33:J34"/>
    <mergeCell ref="N33:N34"/>
    <mergeCell ref="I19:I20"/>
    <mergeCell ref="J19:J20"/>
    <mergeCell ref="F39:F40"/>
    <mergeCell ref="M33:M34"/>
    <mergeCell ref="X39:X40"/>
    <mergeCell ref="P39:P40"/>
    <mergeCell ref="Q39:Q40"/>
    <mergeCell ref="O33:O34"/>
    <mergeCell ref="P33:P34"/>
    <mergeCell ref="Q33:Q34"/>
    <mergeCell ref="R33:R34"/>
    <mergeCell ref="S33:S34"/>
    <mergeCell ref="V33:V34"/>
    <mergeCell ref="W33:W34"/>
    <mergeCell ref="X33:X34"/>
    <mergeCell ref="M39:M40"/>
    <mergeCell ref="N39:N40"/>
    <mergeCell ref="AA19:AA20"/>
    <mergeCell ref="Z19:Z20"/>
    <mergeCell ref="Y19:Y20"/>
    <mergeCell ref="Z39:Z40"/>
    <mergeCell ref="Y39:Y40"/>
    <mergeCell ref="AC46:AC47"/>
    <mergeCell ref="AB46:AB47"/>
    <mergeCell ref="X19:X20"/>
    <mergeCell ref="U19:U20"/>
    <mergeCell ref="V19:V20"/>
    <mergeCell ref="W19:W20"/>
    <mergeCell ref="V46:V47"/>
    <mergeCell ref="W46:W47"/>
    <mergeCell ref="X46:X47"/>
    <mergeCell ref="B2:W2"/>
    <mergeCell ref="B3:W3"/>
    <mergeCell ref="AB112:AD112"/>
    <mergeCell ref="AB111:AD111"/>
    <mergeCell ref="AC82:AC83"/>
    <mergeCell ref="AB82:AB83"/>
    <mergeCell ref="AA82:AA83"/>
    <mergeCell ref="Z82:Z83"/>
    <mergeCell ref="AA53:AA54"/>
    <mergeCell ref="Z53:Z54"/>
    <mergeCell ref="Y53:Y54"/>
    <mergeCell ref="AC72:AC73"/>
    <mergeCell ref="J9:J10"/>
    <mergeCell ref="I9:I10"/>
    <mergeCell ref="AA72:AA73"/>
    <mergeCell ref="AC65:AC66"/>
    <mergeCell ref="AB65:AB66"/>
    <mergeCell ref="AA65:AA66"/>
    <mergeCell ref="Z65:Z66"/>
    <mergeCell ref="AB104:AB105"/>
    <mergeCell ref="AA104:AA105"/>
    <mergeCell ref="Z104:Z105"/>
    <mergeCell ref="AC19:AC20"/>
    <mergeCell ref="AB19:AB20"/>
  </mergeCells>
  <pageMargins left="0.7" right="0.7" top="0.75" bottom="0.75" header="0.3" footer="0.3"/>
  <pageSetup paperSize="9" orientation="portrait" horizontalDpi="200" verticalDpi="200" r:id="rId1"/>
  <ignoredErrors>
    <ignoredError sqref="B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O12"/>
  <sheetViews>
    <sheetView workbookViewId="0">
      <selection activeCell="F9" sqref="F9"/>
    </sheetView>
  </sheetViews>
  <sheetFormatPr defaultRowHeight="15.05" x14ac:dyDescent="0.3"/>
  <cols>
    <col min="1" max="1" width="8.88671875" style="121"/>
    <col min="2" max="2" width="9.109375" style="121" bestFit="1" customWidth="1"/>
    <col min="3" max="5" width="8.88671875" style="121"/>
    <col min="6" max="6" width="9.109375" style="121" bestFit="1" customWidth="1"/>
    <col min="7" max="16384" width="8.88671875" style="121"/>
  </cols>
  <sheetData>
    <row r="6" spans="2:15" x14ac:dyDescent="0.3"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</row>
    <row r="7" spans="2:15" x14ac:dyDescent="0.3"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</row>
    <row r="10" spans="2:15" x14ac:dyDescent="0.3">
      <c r="B10" s="122"/>
    </row>
    <row r="12" spans="2:15" x14ac:dyDescent="0.3">
      <c r="F12" s="1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ListOfValues</vt:lpstr>
      <vt:lpstr>Πίνακας2(δ)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2015-05-04T11:17:29Z</dcterms:created>
  <dcterms:modified xsi:type="dcterms:W3CDTF">2021-06-04T05:30:14Z</dcterms:modified>
</cp:coreProperties>
</file>