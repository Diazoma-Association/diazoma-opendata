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B673141D-09DD-413E-ADFF-185928202610}" xr6:coauthVersionLast="47" xr6:coauthVersionMax="47" xr10:uidLastSave="{00000000-0000-0000-0000-000000000000}"/>
  <bookViews>
    <workbookView xWindow="-113" yWindow="-113" windowWidth="24267" windowHeight="13311" firstSheet="1" activeTab="1" xr2:uid="{00000000-000D-0000-FFFF-FFFF00000000}"/>
  </bookViews>
  <sheets>
    <sheet name="ListOfValues" sheetId="2" state="hidden" r:id="rId1"/>
    <sheet name="ΠΙΝΑΚΑΣ 2(η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2" i="1" l="1"/>
  <c r="P72" i="1"/>
  <c r="B13" i="1"/>
  <c r="N14" i="1"/>
  <c r="N13" i="1"/>
  <c r="B21" i="1"/>
  <c r="N55" i="1"/>
  <c r="B14" i="1"/>
  <c r="C11" i="1"/>
  <c r="K28" i="1" l="1"/>
  <c r="D11" i="1"/>
  <c r="N109" i="1"/>
  <c r="N108" i="1"/>
  <c r="N107" i="1"/>
  <c r="N106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88" i="1"/>
  <c r="N87" i="1"/>
  <c r="N86" i="1"/>
  <c r="N85" i="1"/>
  <c r="N84" i="1"/>
  <c r="N81" i="1"/>
  <c r="N80" i="1"/>
  <c r="N79" i="1"/>
  <c r="N78" i="1"/>
  <c r="N77" i="1"/>
  <c r="N76" i="1"/>
  <c r="N75" i="1"/>
  <c r="N74" i="1"/>
  <c r="N71" i="1"/>
  <c r="N70" i="1"/>
  <c r="N69" i="1"/>
  <c r="N68" i="1"/>
  <c r="N67" i="1"/>
  <c r="N64" i="1"/>
  <c r="N63" i="1"/>
  <c r="N62" i="1"/>
  <c r="N59" i="1"/>
  <c r="N58" i="1"/>
  <c r="N57" i="1"/>
  <c r="N56" i="1"/>
  <c r="N52" i="1"/>
  <c r="N51" i="1"/>
  <c r="N50" i="1"/>
  <c r="N49" i="1"/>
  <c r="N48" i="1"/>
  <c r="N45" i="1"/>
  <c r="N44" i="1"/>
  <c r="N43" i="1"/>
  <c r="N42" i="1"/>
  <c r="N41" i="1"/>
  <c r="N38" i="1"/>
  <c r="N37" i="1"/>
  <c r="N36" i="1"/>
  <c r="N35" i="1"/>
  <c r="N32" i="1"/>
  <c r="N31" i="1"/>
  <c r="N30" i="1"/>
  <c r="N29" i="1"/>
  <c r="N27" i="1"/>
  <c r="N26" i="1"/>
  <c r="N25" i="1"/>
  <c r="N24" i="1"/>
  <c r="N23" i="1"/>
  <c r="N22" i="1"/>
  <c r="N21" i="1"/>
  <c r="N15" i="1"/>
  <c r="N16" i="1"/>
  <c r="N17" i="1"/>
  <c r="N18" i="1"/>
  <c r="B78" i="1"/>
  <c r="B79" i="1"/>
  <c r="B80" i="1"/>
  <c r="B81" i="1"/>
  <c r="B77" i="1"/>
  <c r="B76" i="1"/>
  <c r="B75" i="1"/>
  <c r="B74" i="1"/>
  <c r="B67" i="1"/>
  <c r="B72" i="1" l="1"/>
  <c r="C104" i="1"/>
  <c r="E82" i="1"/>
  <c r="F82" i="1"/>
  <c r="G82" i="1"/>
  <c r="H82" i="1"/>
  <c r="I82" i="1"/>
  <c r="J82" i="1"/>
  <c r="D82" i="1"/>
  <c r="L72" i="1"/>
  <c r="F72" i="1"/>
  <c r="I72" i="1"/>
  <c r="H72" i="1"/>
  <c r="L33" i="1"/>
  <c r="P28" i="1"/>
  <c r="O28" i="1"/>
  <c r="J28" i="1"/>
  <c r="L28" i="1"/>
  <c r="E28" i="1"/>
  <c r="F28" i="1"/>
  <c r="G28" i="1"/>
  <c r="H28" i="1"/>
  <c r="I28" i="1"/>
  <c r="C28" i="1"/>
  <c r="D28" i="1"/>
  <c r="P19" i="1"/>
  <c r="O19" i="1"/>
  <c r="L19" i="1"/>
  <c r="D19" i="1"/>
  <c r="E19" i="1"/>
  <c r="F19" i="1"/>
  <c r="G19" i="1"/>
  <c r="H19" i="1"/>
  <c r="I19" i="1"/>
  <c r="J19" i="1"/>
  <c r="K19" i="1"/>
  <c r="C19" i="1"/>
  <c r="B109" i="1"/>
  <c r="B108" i="1"/>
  <c r="B107" i="1"/>
  <c r="B106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88" i="1"/>
  <c r="B87" i="1"/>
  <c r="B86" i="1"/>
  <c r="B85" i="1"/>
  <c r="B84" i="1"/>
  <c r="B71" i="1"/>
  <c r="B70" i="1"/>
  <c r="B69" i="1"/>
  <c r="B68" i="1"/>
  <c r="B64" i="1"/>
  <c r="B63" i="1"/>
  <c r="B62" i="1"/>
  <c r="B59" i="1"/>
  <c r="B58" i="1"/>
  <c r="B57" i="1"/>
  <c r="B56" i="1"/>
  <c r="B55" i="1"/>
  <c r="B52" i="1"/>
  <c r="B51" i="1"/>
  <c r="B50" i="1"/>
  <c r="B49" i="1"/>
  <c r="B48" i="1"/>
  <c r="B45" i="1"/>
  <c r="B44" i="1"/>
  <c r="B43" i="1"/>
  <c r="B42" i="1"/>
  <c r="B41" i="1"/>
  <c r="B38" i="1"/>
  <c r="B37" i="1"/>
  <c r="B36" i="1"/>
  <c r="B35" i="1"/>
  <c r="B32" i="1"/>
  <c r="B31" i="1"/>
  <c r="B30" i="1"/>
  <c r="B29" i="1"/>
  <c r="B27" i="1"/>
  <c r="B26" i="1"/>
  <c r="B25" i="1"/>
  <c r="B24" i="1"/>
  <c r="B23" i="1"/>
  <c r="B22" i="1"/>
  <c r="B18" i="1"/>
  <c r="B17" i="1"/>
  <c r="B16" i="1"/>
  <c r="B15" i="1"/>
  <c r="P104" i="1"/>
  <c r="O104" i="1"/>
  <c r="L104" i="1"/>
  <c r="K104" i="1"/>
  <c r="J104" i="1"/>
  <c r="I104" i="1"/>
  <c r="H104" i="1"/>
  <c r="N104" i="1" s="1"/>
  <c r="G104" i="1"/>
  <c r="M104" i="1" s="1"/>
  <c r="F104" i="1"/>
  <c r="E104" i="1"/>
  <c r="D104" i="1"/>
  <c r="P89" i="1"/>
  <c r="O89" i="1"/>
  <c r="L89" i="1"/>
  <c r="K89" i="1"/>
  <c r="J89" i="1"/>
  <c r="I89" i="1"/>
  <c r="H89" i="1"/>
  <c r="G89" i="1"/>
  <c r="M89" i="1" s="1"/>
  <c r="F89" i="1"/>
  <c r="E89" i="1"/>
  <c r="D89" i="1"/>
  <c r="C89" i="1"/>
  <c r="P82" i="1"/>
  <c r="O82" i="1"/>
  <c r="L82" i="1"/>
  <c r="K82" i="1"/>
  <c r="C82" i="1"/>
  <c r="K72" i="1"/>
  <c r="J72" i="1"/>
  <c r="G72" i="1"/>
  <c r="E72" i="1"/>
  <c r="D72" i="1"/>
  <c r="C72" i="1"/>
  <c r="P65" i="1"/>
  <c r="O65" i="1"/>
  <c r="L65" i="1"/>
  <c r="K65" i="1"/>
  <c r="J65" i="1"/>
  <c r="I65" i="1"/>
  <c r="H65" i="1"/>
  <c r="G65" i="1"/>
  <c r="F65" i="1"/>
  <c r="E65" i="1"/>
  <c r="D65" i="1"/>
  <c r="C65" i="1"/>
  <c r="P60" i="1"/>
  <c r="O60" i="1"/>
  <c r="L60" i="1"/>
  <c r="K60" i="1"/>
  <c r="J60" i="1"/>
  <c r="I60" i="1"/>
  <c r="H60" i="1"/>
  <c r="N60" i="1" s="1"/>
  <c r="G60" i="1"/>
  <c r="F60" i="1"/>
  <c r="E60" i="1"/>
  <c r="D60" i="1"/>
  <c r="C60" i="1"/>
  <c r="P53" i="1"/>
  <c r="O53" i="1"/>
  <c r="L53" i="1"/>
  <c r="K53" i="1"/>
  <c r="J53" i="1"/>
  <c r="I53" i="1"/>
  <c r="H53" i="1"/>
  <c r="N53" i="1" s="1"/>
  <c r="G53" i="1"/>
  <c r="F53" i="1"/>
  <c r="E53" i="1"/>
  <c r="D53" i="1"/>
  <c r="C53" i="1"/>
  <c r="P46" i="1"/>
  <c r="O46" i="1"/>
  <c r="L46" i="1"/>
  <c r="K46" i="1"/>
  <c r="J46" i="1"/>
  <c r="I46" i="1"/>
  <c r="H46" i="1"/>
  <c r="G46" i="1"/>
  <c r="F46" i="1"/>
  <c r="E46" i="1"/>
  <c r="D46" i="1"/>
  <c r="C46" i="1"/>
  <c r="P39" i="1"/>
  <c r="O39" i="1"/>
  <c r="L39" i="1"/>
  <c r="K39" i="1"/>
  <c r="J39" i="1"/>
  <c r="I39" i="1"/>
  <c r="H39" i="1"/>
  <c r="N39" i="1" s="1"/>
  <c r="G39" i="1"/>
  <c r="F39" i="1"/>
  <c r="E39" i="1"/>
  <c r="D39" i="1"/>
  <c r="C39" i="1"/>
  <c r="P33" i="1"/>
  <c r="O33" i="1"/>
  <c r="K33" i="1"/>
  <c r="J33" i="1"/>
  <c r="I33" i="1"/>
  <c r="H33" i="1"/>
  <c r="G33" i="1"/>
  <c r="M33" i="1" s="1"/>
  <c r="F33" i="1"/>
  <c r="E33" i="1"/>
  <c r="D33" i="1"/>
  <c r="C33" i="1"/>
  <c r="P11" i="1"/>
  <c r="O11" i="1"/>
  <c r="L11" i="1"/>
  <c r="K11" i="1"/>
  <c r="J11" i="1"/>
  <c r="I11" i="1"/>
  <c r="H11" i="1"/>
  <c r="N11" i="1" s="1"/>
  <c r="G11" i="1"/>
  <c r="F11" i="1"/>
  <c r="E11" i="1"/>
  <c r="O9" i="1" l="1"/>
  <c r="P9" i="1"/>
  <c r="N72" i="1"/>
  <c r="B11" i="1"/>
  <c r="N89" i="1"/>
  <c r="B65" i="1"/>
  <c r="M60" i="1"/>
  <c r="M46" i="1"/>
  <c r="F9" i="1"/>
  <c r="B28" i="1"/>
  <c r="D9" i="1"/>
  <c r="N82" i="1"/>
  <c r="M72" i="1"/>
  <c r="M65" i="1"/>
  <c r="M53" i="1"/>
  <c r="M39" i="1"/>
  <c r="N33" i="1"/>
  <c r="C9" i="1"/>
  <c r="B104" i="1"/>
  <c r="B89" i="1"/>
  <c r="B82" i="1"/>
  <c r="B60" i="1"/>
  <c r="B53" i="1"/>
  <c r="B46" i="1"/>
  <c r="B39" i="1"/>
  <c r="B33" i="1"/>
  <c r="B19" i="1"/>
  <c r="E9" i="1"/>
  <c r="N65" i="1"/>
  <c r="N46" i="1"/>
  <c r="M11" i="1"/>
  <c r="M19" i="1"/>
  <c r="N19" i="1"/>
  <c r="J9" i="1"/>
  <c r="I9" i="1"/>
  <c r="G9" i="1"/>
  <c r="L9" i="1"/>
  <c r="K9" i="1"/>
  <c r="H9" i="1"/>
  <c r="M28" i="1"/>
  <c r="M82" i="1"/>
  <c r="N28" i="1"/>
  <c r="B9" i="1" l="1"/>
  <c r="M9" i="1"/>
  <c r="N9" i="1"/>
</calcChain>
</file>

<file path=xl/sharedStrings.xml><?xml version="1.0" encoding="utf-8"?>
<sst xmlns="http://schemas.openxmlformats.org/spreadsheetml/2006/main" count="588" uniqueCount="301">
  <si>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</si>
  <si>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</si>
  <si>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</si>
  <si>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</si>
  <si>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</si>
  <si>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</si>
  <si>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</si>
  <si>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</si>
  <si>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</si>
  <si>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</si>
  <si>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</si>
  <si>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</si>
  <si>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</si>
  <si>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</si>
  <si>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</si>
  <si>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</si>
  <si>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</si>
  <si>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</si>
  <si>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</si>
  <si>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</si>
  <si>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</si>
  <si>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</si>
  <si>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</si>
  <si>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</si>
  <si>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</si>
  <si>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</si>
  <si>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</si>
  <si>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</si>
  <si>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</si>
  <si>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</si>
  <si>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</si>
  <si>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</si>
  <si>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</si>
  <si>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</si>
  <si>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</si>
  <si>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</si>
  <si>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</si>
  <si>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</si>
  <si>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</si>
  <si>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</si>
  <si>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</si>
  <si>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</si>
  <si>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</si>
  <si>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</si>
  <si>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</si>
  <si>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</si>
  <si>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</si>
  <si>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</si>
  <si>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</si>
  <si>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</si>
  <si>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</si>
  <si>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</si>
  <si>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</si>
  <si>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</si>
  <si>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</si>
  <si>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</si>
  <si>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</si>
  <si>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</si>
  <si>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</si>
  <si>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</si>
  <si>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</si>
  <si>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</si>
  <si>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</si>
  <si>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</si>
  <si>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</si>
  <si>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</si>
  <si>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</si>
  <si>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</si>
  <si>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</si>
  <si>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</si>
  <si>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</si>
  <si>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</si>
  <si>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</si>
  <si>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</si>
  <si>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</si>
  <si>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</si>
  <si>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</si>
  <si>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</si>
  <si>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</si>
  <si>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</si>
  <si>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</si>
  <si>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</si>
  <si>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</si>
  <si>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</si>
  <si>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</si>
  <si>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</si>
  <si>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</si>
  <si>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</si>
  <si>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</si>
  <si>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</si>
  <si>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</si>
  <si>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</si>
  <si>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</si>
  <si>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</si>
  <si>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</si>
  <si>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</si>
  <si>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</si>
  <si>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</si>
  <si>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</si>
  <si>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</si>
  <si>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</si>
  <si>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</si>
  <si>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</si>
  <si>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</si>
  <si>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</si>
  <si>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</si>
  <si>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</si>
  <si>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</si>
  <si>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</si>
  <si>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</si>
  <si>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</si>
  <si>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</si>
  <si>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</si>
  <si>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</si>
  <si>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</si>
  <si>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</si>
  <si>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</si>
  <si>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</si>
  <si>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</si>
  <si>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</si>
  <si>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</si>
  <si>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</si>
  <si>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</si>
  <si>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</si>
  <si>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</si>
  <si>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</si>
  <si>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</si>
  <si>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</si>
  <si>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</si>
  <si>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</si>
  <si>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</si>
  <si>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</si>
  <si>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</si>
  <si>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</si>
  <si>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</si>
  <si>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</si>
  <si>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</si>
  <si>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</si>
  <si>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</si>
  <si>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</si>
  <si>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</si>
  <si>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</si>
  <si>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</si>
  <si>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</si>
  <si>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</si>
  <si>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</si>
  <si>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</si>
  <si>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</si>
  <si>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</si>
  <si>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Κύθνου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</si>
  <si>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</si>
  <si>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</si>
  <si>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</si>
  <si>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</si>
  <si>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</si>
  <si>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</si>
  <si>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</si>
  <si>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</si>
  <si>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</si>
  <si>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</si>
  <si>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</si>
  <si>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</si>
  <si>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</si>
  <si>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</si>
  <si>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</si>
  <si>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</si>
  <si>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</si>
  <si>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</si>
  <si>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</si>
  <si>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</si>
  <si>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</si>
  <si>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</si>
  <si>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</si>
  <si>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</si>
  <si>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</si>
  <si>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</si>
  <si>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</si>
  <si>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</si>
  <si>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</si>
  <si>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</si>
  <si>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</si>
  <si>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</si>
  <si>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</si>
  <si>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</si>
  <si>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</si>
  <si>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</si>
  <si>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</si>
  <si>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</si>
  <si>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</si>
  <si>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</si>
  <si>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</si>
  <si>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</si>
  <si>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</si>
  <si>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</si>
  <si>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</si>
  <si>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</si>
  <si>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</si>
  <si>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</si>
  <si>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</si>
  <si>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</si>
  <si>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</si>
  <si>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</si>
  <si>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</si>
  <si>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</si>
  <si>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</si>
  <si>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</si>
  <si>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</si>
  <si>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</si>
  <si>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</si>
  <si>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</si>
  <si>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</si>
  <si>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</si>
  <si>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</si>
  <si>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</si>
  <si>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</si>
  <si>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</si>
  <si>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</si>
  <si>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</si>
  <si>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</si>
  <si>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</si>
  <si>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</si>
  <si>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</si>
  <si>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</si>
  <si>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</si>
  <si>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</si>
  <si>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</si>
  <si>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</si>
  <si>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</si>
  <si>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</si>
  <si>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</si>
  <si>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</si>
  <si>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</si>
  <si>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</si>
  <si>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</si>
  <si>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</si>
  <si>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</si>
  <si>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</si>
  <si>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</si>
  <si>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</si>
  <si>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</si>
  <si>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</si>
  <si>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</si>
  <si>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</si>
  <si>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</si>
  <si>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</si>
  <si>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</si>
  <si>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</si>
  <si>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</si>
  <si>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</si>
  <si>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</si>
  <si>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</si>
  <si>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</si>
  <si>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</si>
  <si>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</si>
  <si>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</si>
  <si>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</si>
  <si>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</si>
  <si>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</si>
  <si>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</si>
  <si>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</si>
  <si>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</si>
  <si>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</si>
  <si>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</si>
  <si>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</si>
  <si>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</si>
  <si>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</si>
  <si>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</si>
  <si>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</si>
  <si>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</si>
  <si>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</si>
  <si>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</si>
  <si>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</si>
  <si>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</si>
  <si>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</si>
  <si>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</si>
  <si>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</si>
  <si>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</si>
  <si>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</si>
  <si>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</si>
  <si>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</si>
  <si>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</si>
  <si>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Potatoes harvested</t>
  </si>
  <si>
    <t>Καρπούζια     Watermelons</t>
  </si>
  <si>
    <t>Πατάτες συγκομιζόμενες</t>
  </si>
  <si>
    <t>Περιφέρεια Δυτικής Μακεδονίας</t>
  </si>
  <si>
    <t>Region of Western Macedonia</t>
  </si>
  <si>
    <t>το καλοκαίρι
in summer</t>
  </si>
  <si>
    <t>Σύνολο
Total</t>
  </si>
  <si>
    <t xml:space="preserve"> Σύνολο 
Εκτάσεων
Total
Area</t>
  </si>
  <si>
    <t>Γλυκοπατάτες
Sweet potatoes</t>
  </si>
  <si>
    <t>το φθινόπωρο ή χειμώνα 
in autumn or winter</t>
  </si>
  <si>
    <t>―</t>
  </si>
  <si>
    <t>Areas in stremmas (1 stremma = 0.1 ha), production in tons</t>
  </si>
  <si>
    <t>Πεπόνια 
Melons</t>
  </si>
  <si>
    <t>την άνοιξη
in spring</t>
  </si>
  <si>
    <t>Πίνακας 2η. Πεπονοειδή και πατάτες. Εκτάσεις και παραγωγή, κατά Περιφέρεια και Περιφερειακή Ενότητα, 2019</t>
  </si>
  <si>
    <t>Table 2h. Melons, watermelons and potatoes. Areas and production, by Region and Regional Unities, 2019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</si>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</sst>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49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2" fillId="2" borderId="4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4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49" fontId="1" fillId="2" borderId="7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8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7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NumberFormat="1" applyFont="1" applyFill="1" applyBorder="1" applyAlignment="1" applyProtection="1"/>
    <xf numFmtId="49" fontId="1" fillId="10" borderId="5" xfId="0" applyNumberFormat="1" applyFont="1" applyFill="1" applyBorder="1"/>
    <xf numFmtId="49" fontId="1" fillId="10" borderId="4" xfId="0" applyNumberFormat="1" applyFont="1" applyFill="1" applyBorder="1"/>
    <xf numFmtId="0" fontId="2" fillId="10" borderId="4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4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1" fillId="10" borderId="7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8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NumberFormat="1" applyFont="1" applyFill="1" applyBorder="1" applyAlignment="1" applyProtection="1"/>
    <xf numFmtId="49" fontId="1" fillId="6" borderId="5" xfId="0" applyNumberFormat="1" applyFont="1" applyFill="1" applyBorder="1"/>
    <xf numFmtId="49" fontId="1" fillId="6" borderId="4" xfId="0" applyNumberFormat="1" applyFont="1" applyFill="1" applyBorder="1"/>
    <xf numFmtId="0" fontId="2" fillId="6" borderId="4" xfId="0" applyNumberFormat="1" applyFont="1" applyFill="1" applyBorder="1" applyAlignment="1" applyProtection="1"/>
    <xf numFmtId="49" fontId="3" fillId="6" borderId="4" xfId="0" applyNumberFormat="1" applyFont="1" applyFill="1" applyBorder="1"/>
    <xf numFmtId="0" fontId="5" fillId="6" borderId="4" xfId="0" applyNumberFormat="1" applyFont="1" applyFill="1" applyBorder="1" applyAlignment="1" applyProtection="1"/>
    <xf numFmtId="49" fontId="3" fillId="6" borderId="4" xfId="0" applyNumberFormat="1" applyFont="1" applyFill="1" applyBorder="1" applyAlignment="1">
      <alignment vertical="center" textRotation="90"/>
    </xf>
    <xf numFmtId="0" fontId="5" fillId="6" borderId="6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8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7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8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7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NumberFormat="1" applyFont="1" applyFill="1" applyBorder="1" applyAlignment="1" applyProtection="1"/>
    <xf numFmtId="0" fontId="6" fillId="6" borderId="4" xfId="0" applyNumberFormat="1" applyFont="1" applyFill="1" applyBorder="1" applyAlignment="1" applyProtection="1"/>
    <xf numFmtId="0" fontId="2" fillId="6" borderId="6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10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3" fillId="2" borderId="4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5" xfId="0" applyNumberFormat="1" applyFont="1" applyFill="1" applyBorder="1"/>
    <xf numFmtId="49" fontId="7" fillId="8" borderId="0" xfId="0" applyNumberFormat="1" applyFont="1" applyFill="1" applyBorder="1"/>
    <xf numFmtId="0" fontId="2" fillId="8" borderId="4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1" fillId="8" borderId="4" xfId="0" applyNumberFormat="1" applyFont="1" applyFill="1" applyBorder="1"/>
    <xf numFmtId="0" fontId="2" fillId="8" borderId="6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9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10" xfId="0" applyNumberFormat="1" applyFont="1" applyFill="1" applyBorder="1" applyAlignment="1" applyProtection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NumberFormat="1" applyFont="1" applyFill="1" applyBorder="1" applyAlignment="1" applyProtection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12" fillId="0" borderId="21" xfId="0" applyNumberFormat="1" applyFont="1" applyBorder="1" applyAlignment="1" applyProtection="1">
      <alignment horizontal="right" vertical="center"/>
    </xf>
    <xf numFmtId="3" fontId="14" fillId="0" borderId="18" xfId="0" applyNumberFormat="1" applyFont="1" applyBorder="1" applyAlignment="1">
      <alignment horizontal="right" vertical="top"/>
    </xf>
    <xf numFmtId="3" fontId="14" fillId="0" borderId="0" xfId="0" applyNumberFormat="1" applyFont="1" applyBorder="1" applyAlignment="1">
      <alignment horizontal="right" vertical="top"/>
    </xf>
    <xf numFmtId="3" fontId="12" fillId="0" borderId="18" xfId="0" applyNumberFormat="1" applyFont="1" applyFill="1" applyBorder="1" applyAlignment="1" applyProtection="1">
      <alignment horizontal="right"/>
    </xf>
    <xf numFmtId="3" fontId="12" fillId="0" borderId="17" xfId="0" applyNumberFormat="1" applyFont="1" applyFill="1" applyBorder="1" applyAlignment="1" applyProtection="1">
      <alignment horizontal="right"/>
    </xf>
    <xf numFmtId="3" fontId="14" fillId="0" borderId="8" xfId="0" applyNumberFormat="1" applyFont="1" applyBorder="1" applyAlignment="1">
      <alignment horizontal="right" vertical="top"/>
    </xf>
    <xf numFmtId="0" fontId="0" fillId="0" borderId="0" xfId="0" applyFont="1" applyBorder="1" applyAlignment="1" applyProtection="1">
      <alignment horizontal="left" indent="1"/>
      <protection locked="0"/>
    </xf>
    <xf numFmtId="0" fontId="14" fillId="0" borderId="18" xfId="0" applyFont="1" applyBorder="1" applyAlignment="1">
      <alignment horizontal="right" vertical="top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21" xfId="0" applyNumberFormat="1" applyFont="1" applyFill="1" applyBorder="1" applyAlignment="1">
      <alignment horizontal="right" vertical="center" wrapText="1"/>
    </xf>
    <xf numFmtId="3" fontId="10" fillId="15" borderId="18" xfId="0" applyNumberFormat="1" applyFont="1" applyFill="1" applyBorder="1" applyAlignment="1">
      <alignment horizontal="right" vertical="center" wrapText="1"/>
    </xf>
    <xf numFmtId="3" fontId="10" fillId="0" borderId="18" xfId="0" applyNumberFormat="1" applyFont="1" applyFill="1" applyBorder="1" applyAlignment="1" applyProtection="1">
      <alignment horizontal="right" vertical="center"/>
    </xf>
    <xf numFmtId="3" fontId="10" fillId="0" borderId="17" xfId="0" applyNumberFormat="1" applyFont="1" applyFill="1" applyBorder="1" applyAlignment="1" applyProtection="1">
      <alignment horizontal="right" vertical="center"/>
    </xf>
    <xf numFmtId="3" fontId="10" fillId="15" borderId="31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 applyProtection="1">
      <alignment vertical="center"/>
      <protection locked="0"/>
    </xf>
    <xf numFmtId="49" fontId="15" fillId="0" borderId="0" xfId="0" applyNumberFormat="1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12" fillId="0" borderId="32" xfId="0" applyNumberFormat="1" applyFont="1" applyBorder="1" applyAlignment="1" applyProtection="1">
      <alignment horizontal="right" vertical="center"/>
    </xf>
    <xf numFmtId="3" fontId="14" fillId="0" borderId="33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2" fillId="0" borderId="33" xfId="0" applyNumberFormat="1" applyFont="1" applyFill="1" applyBorder="1" applyAlignment="1" applyProtection="1">
      <alignment horizontal="right"/>
    </xf>
    <xf numFmtId="3" fontId="12" fillId="0" borderId="34" xfId="0" applyNumberFormat="1" applyFont="1" applyFill="1" applyBorder="1" applyAlignment="1" applyProtection="1">
      <alignment horizontal="right"/>
    </xf>
    <xf numFmtId="3" fontId="14" fillId="0" borderId="10" xfId="0" applyNumberFormat="1" applyFont="1" applyBorder="1" applyAlignment="1">
      <alignment horizontal="right" vertical="top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49" fontId="0" fillId="0" borderId="0" xfId="0" applyNumberFormat="1" applyFont="1" applyProtection="1">
      <protection locked="0"/>
    </xf>
    <xf numFmtId="0" fontId="11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3" fontId="14" fillId="0" borderId="17" xfId="0" applyNumberFormat="1" applyFont="1" applyBorder="1" applyAlignment="1">
      <alignment horizontal="right" vertical="top"/>
    </xf>
    <xf numFmtId="3" fontId="14" fillId="0" borderId="34" xfId="0" applyNumberFormat="1" applyFont="1" applyBorder="1" applyAlignment="1">
      <alignment horizontal="right" vertical="top"/>
    </xf>
    <xf numFmtId="49" fontId="3" fillId="16" borderId="4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4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4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3" fontId="10" fillId="0" borderId="7" xfId="0" applyNumberFormat="1" applyFont="1" applyBorder="1" applyAlignment="1" applyProtection="1">
      <alignment horizontal="right" vertical="center"/>
    </xf>
    <xf numFmtId="0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3" fontId="10" fillId="0" borderId="24" xfId="0" applyNumberFormat="1" applyFont="1" applyBorder="1" applyAlignment="1" applyProtection="1">
      <alignment horizontal="right" vertical="center"/>
    </xf>
    <xf numFmtId="3" fontId="10" fillId="0" borderId="18" xfId="0" applyNumberFormat="1" applyFont="1" applyBorder="1" applyAlignment="1" applyProtection="1">
      <alignment horizontal="right" vertical="center"/>
    </xf>
    <xf numFmtId="3" fontId="10" fillId="0" borderId="31" xfId="0" applyNumberFormat="1" applyFont="1" applyBorder="1" applyAlignment="1" applyProtection="1">
      <alignment horizontal="right" vertical="center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28" xfId="0" applyFont="1" applyBorder="1" applyAlignment="1" applyProtection="1">
      <alignment horizontal="center" vertical="center" wrapText="1"/>
      <protection locked="0"/>
    </xf>
    <xf numFmtId="0" fontId="0" fillId="0" borderId="24" xfId="0" applyFont="1" applyBorder="1" applyAlignment="1" applyProtection="1">
      <alignment horizontal="center" vertical="center" wrapText="1"/>
      <protection locked="0"/>
    </xf>
    <xf numFmtId="0" fontId="0" fillId="0" borderId="17" xfId="0" applyFont="1" applyBorder="1" applyAlignment="1" applyProtection="1">
      <alignment horizontal="center" vertical="center" wrapText="1"/>
      <protection locked="0"/>
    </xf>
    <xf numFmtId="0" fontId="0" fillId="0" borderId="25" xfId="0" applyFont="1" applyBorder="1" applyAlignment="1" applyProtection="1">
      <alignment horizontal="center" vertical="center" wrapText="1"/>
      <protection locked="0"/>
    </xf>
    <xf numFmtId="0" fontId="0" fillId="0" borderId="29" xfId="0" applyFont="1" applyBorder="1" applyAlignment="1" applyProtection="1">
      <alignment horizontal="center" vertical="center" wrapText="1"/>
      <protection locked="0"/>
    </xf>
    <xf numFmtId="0" fontId="1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Fill="1" applyBorder="1" applyAlignment="1" applyProtection="1">
      <alignment vertical="center" wrapText="1"/>
      <protection locked="0"/>
    </xf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16" xfId="0" applyFont="1" applyBorder="1" applyProtection="1"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27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0" fontId="9" fillId="0" borderId="0" xfId="0" applyFont="1" applyBorder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0" borderId="21" xfId="0" applyNumberFormat="1" applyFont="1" applyBorder="1" applyAlignment="1" applyProtection="1">
      <alignment horizontal="right"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4" xfId="0" applyFont="1" applyBorder="1" applyAlignment="1" applyProtection="1">
      <alignment horizontal="right" vertical="center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5.05" x14ac:dyDescent="0.3"/>
  <sheetData>
    <row r="1" spans="1:13" x14ac:dyDescent="0.3">
      <c r="A1" s="1" t="s">
        <v>176</v>
      </c>
      <c r="B1" s="2" t="s">
        <v>6</v>
      </c>
      <c r="C1" s="3"/>
      <c r="D1" s="4"/>
      <c r="E1" s="4"/>
      <c r="F1" s="4"/>
      <c r="G1" s="4"/>
      <c r="H1" s="167" t="s">
        <v>177</v>
      </c>
      <c r="I1" s="5"/>
      <c r="J1" s="3"/>
      <c r="K1" s="3"/>
      <c r="L1" s="3"/>
      <c r="M1" s="6"/>
    </row>
    <row r="2" spans="1:13" x14ac:dyDescent="0.3">
      <c r="A2" s="7" t="s">
        <v>178</v>
      </c>
      <c r="B2" s="8" t="s">
        <v>8</v>
      </c>
      <c r="C2" s="9"/>
      <c r="D2" s="9"/>
      <c r="E2" s="9"/>
      <c r="F2" s="9"/>
      <c r="G2" s="9"/>
      <c r="H2" s="168"/>
      <c r="I2" s="10"/>
      <c r="J2" s="9"/>
      <c r="K2" s="9"/>
      <c r="L2" s="9"/>
      <c r="M2" s="11"/>
    </row>
    <row r="3" spans="1:13" x14ac:dyDescent="0.3">
      <c r="A3" s="7" t="s">
        <v>179</v>
      </c>
      <c r="B3" s="8" t="s">
        <v>10</v>
      </c>
      <c r="C3" s="9"/>
      <c r="D3" s="170" t="s">
        <v>180</v>
      </c>
      <c r="E3" s="170"/>
      <c r="F3" s="170"/>
      <c r="G3" s="170"/>
      <c r="H3" s="168"/>
      <c r="I3" s="10"/>
      <c r="J3" s="9"/>
      <c r="K3" s="9"/>
      <c r="L3" s="9"/>
      <c r="M3" s="11"/>
    </row>
    <row r="4" spans="1:13" x14ac:dyDescent="0.3">
      <c r="A4" s="7" t="s">
        <v>181</v>
      </c>
      <c r="B4" s="8" t="s">
        <v>12</v>
      </c>
      <c r="C4" s="9"/>
      <c r="D4" s="12" t="s">
        <v>182</v>
      </c>
      <c r="E4" s="9"/>
      <c r="F4" s="9"/>
      <c r="G4" s="9"/>
      <c r="H4" s="168"/>
      <c r="I4" s="10"/>
      <c r="J4" s="9"/>
      <c r="K4" s="9"/>
      <c r="L4" s="9"/>
      <c r="M4" s="11"/>
    </row>
    <row r="5" spans="1:13" x14ac:dyDescent="0.3">
      <c r="A5" s="7" t="s">
        <v>183</v>
      </c>
      <c r="B5" s="8" t="s">
        <v>14</v>
      </c>
      <c r="C5" s="9"/>
      <c r="D5" s="9"/>
      <c r="E5" s="9"/>
      <c r="F5" s="9"/>
      <c r="G5" s="9"/>
      <c r="H5" s="168"/>
      <c r="I5" s="10"/>
      <c r="J5" s="9"/>
      <c r="K5" s="9"/>
      <c r="L5" s="9"/>
      <c r="M5" s="11"/>
    </row>
    <row r="6" spans="1:13" x14ac:dyDescent="0.3">
      <c r="A6" s="7" t="s">
        <v>184</v>
      </c>
      <c r="B6" s="8" t="s">
        <v>16</v>
      </c>
      <c r="C6" s="9"/>
      <c r="D6" s="9"/>
      <c r="E6" s="9"/>
      <c r="F6" s="9"/>
      <c r="G6" s="9"/>
      <c r="H6" s="168"/>
      <c r="I6" s="10"/>
      <c r="J6" s="9"/>
      <c r="K6" s="9"/>
      <c r="L6" s="9"/>
      <c r="M6" s="11"/>
    </row>
    <row r="7" spans="1:13" x14ac:dyDescent="0.3">
      <c r="A7" s="13" t="s">
        <v>185</v>
      </c>
      <c r="B7" s="14" t="s">
        <v>20</v>
      </c>
      <c r="C7" s="15"/>
      <c r="D7" s="16"/>
      <c r="E7" s="15"/>
      <c r="F7" s="15"/>
      <c r="G7" s="15"/>
      <c r="H7" s="168"/>
      <c r="I7" s="17"/>
      <c r="J7" s="15"/>
      <c r="K7" s="15"/>
      <c r="L7" s="15"/>
      <c r="M7" s="18"/>
    </row>
    <row r="8" spans="1:13" x14ac:dyDescent="0.3">
      <c r="A8" s="13" t="s">
        <v>186</v>
      </c>
      <c r="B8" s="19" t="s">
        <v>22</v>
      </c>
      <c r="C8" s="15"/>
      <c r="D8" s="15"/>
      <c r="E8" s="15"/>
      <c r="F8" s="15"/>
      <c r="G8" s="15"/>
      <c r="H8" s="168"/>
      <c r="I8" s="17"/>
      <c r="J8" s="19"/>
      <c r="K8" s="20"/>
      <c r="L8" s="15"/>
      <c r="M8" s="18"/>
    </row>
    <row r="9" spans="1:13" x14ac:dyDescent="0.3">
      <c r="A9" s="13" t="s">
        <v>187</v>
      </c>
      <c r="B9" s="19" t="s">
        <v>24</v>
      </c>
      <c r="C9" s="15"/>
      <c r="D9" s="15"/>
      <c r="E9" s="15"/>
      <c r="F9" s="15"/>
      <c r="G9" s="15"/>
      <c r="H9" s="168"/>
      <c r="I9" s="17"/>
      <c r="J9" s="15"/>
      <c r="K9" s="15"/>
      <c r="L9" s="15"/>
      <c r="M9" s="18"/>
    </row>
    <row r="10" spans="1:13" x14ac:dyDescent="0.3">
      <c r="A10" s="13" t="s">
        <v>188</v>
      </c>
      <c r="B10" s="19" t="s">
        <v>26</v>
      </c>
      <c r="C10" s="15"/>
      <c r="D10" s="15"/>
      <c r="E10" s="15"/>
      <c r="F10" s="15"/>
      <c r="G10" s="15"/>
      <c r="H10" s="168"/>
      <c r="I10" s="17"/>
      <c r="J10" s="15"/>
      <c r="K10" s="15"/>
      <c r="L10" s="15"/>
      <c r="M10" s="18"/>
    </row>
    <row r="11" spans="1:13" x14ac:dyDescent="0.3">
      <c r="A11" s="13" t="s">
        <v>189</v>
      </c>
      <c r="B11" s="19" t="s">
        <v>28</v>
      </c>
      <c r="C11" s="15"/>
      <c r="D11" s="21" t="s">
        <v>190</v>
      </c>
      <c r="E11" s="15"/>
      <c r="F11" s="15"/>
      <c r="G11" s="15"/>
      <c r="H11" s="168"/>
      <c r="I11" s="17"/>
      <c r="J11" s="15"/>
      <c r="K11" s="15"/>
      <c r="L11" s="15"/>
      <c r="M11" s="18"/>
    </row>
    <row r="12" spans="1:13" x14ac:dyDescent="0.3">
      <c r="A12" s="13" t="s">
        <v>191</v>
      </c>
      <c r="B12" s="19" t="s">
        <v>30</v>
      </c>
      <c r="C12" s="15"/>
      <c r="D12" s="15"/>
      <c r="E12" s="15"/>
      <c r="F12" s="15"/>
      <c r="G12" s="15"/>
      <c r="H12" s="168"/>
      <c r="I12" s="17"/>
      <c r="J12" s="15"/>
      <c r="K12" s="15"/>
      <c r="L12" s="15"/>
      <c r="M12" s="18"/>
    </row>
    <row r="13" spans="1:13" x14ac:dyDescent="0.3">
      <c r="A13" s="13" t="s">
        <v>192</v>
      </c>
      <c r="B13" s="19" t="s">
        <v>32</v>
      </c>
      <c r="C13" s="15"/>
      <c r="D13" s="15"/>
      <c r="E13" s="15"/>
      <c r="F13" s="15"/>
      <c r="G13" s="15"/>
      <c r="H13" s="168"/>
      <c r="I13" s="17"/>
      <c r="J13" s="15"/>
      <c r="K13" s="15"/>
      <c r="L13" s="15"/>
      <c r="M13" s="18"/>
    </row>
    <row r="14" spans="1:13" x14ac:dyDescent="0.3">
      <c r="A14" s="13" t="s">
        <v>193</v>
      </c>
      <c r="B14" s="19" t="s">
        <v>34</v>
      </c>
      <c r="C14" s="15"/>
      <c r="D14" s="15"/>
      <c r="E14" s="15"/>
      <c r="F14" s="15"/>
      <c r="G14" s="15"/>
      <c r="H14" s="168"/>
      <c r="I14" s="17"/>
      <c r="J14" s="15"/>
      <c r="K14" s="15"/>
      <c r="L14" s="15"/>
      <c r="M14" s="18"/>
    </row>
    <row r="15" spans="1:13" x14ac:dyDescent="0.3">
      <c r="A15" s="13" t="s">
        <v>194</v>
      </c>
      <c r="B15" s="19" t="s">
        <v>36</v>
      </c>
      <c r="C15" s="15"/>
      <c r="D15" s="15"/>
      <c r="E15" s="15"/>
      <c r="F15" s="15"/>
      <c r="G15" s="15"/>
      <c r="H15" s="168"/>
      <c r="I15" s="17"/>
      <c r="J15" s="15"/>
      <c r="K15" s="15"/>
      <c r="L15" s="15"/>
      <c r="M15" s="18"/>
    </row>
    <row r="16" spans="1:13" x14ac:dyDescent="0.3">
      <c r="A16" s="13" t="s">
        <v>195</v>
      </c>
      <c r="B16" s="19" t="s">
        <v>38</v>
      </c>
      <c r="C16" s="15"/>
      <c r="D16" s="15"/>
      <c r="E16" s="15"/>
      <c r="F16" s="15"/>
      <c r="G16" s="15"/>
      <c r="H16" s="168"/>
      <c r="I16" s="17"/>
      <c r="J16" s="15"/>
      <c r="K16" s="15"/>
      <c r="L16" s="15"/>
      <c r="M16" s="18"/>
    </row>
    <row r="17" spans="1:13" x14ac:dyDescent="0.3">
      <c r="A17" s="13" t="s">
        <v>196</v>
      </c>
      <c r="B17" s="19" t="s">
        <v>40</v>
      </c>
      <c r="C17" s="15"/>
      <c r="D17" s="15"/>
      <c r="E17" s="15"/>
      <c r="F17" s="15"/>
      <c r="G17" s="15"/>
      <c r="H17" s="168"/>
      <c r="I17" s="17"/>
      <c r="J17" s="15"/>
      <c r="K17" s="15"/>
      <c r="L17" s="15"/>
      <c r="M17" s="18"/>
    </row>
    <row r="18" spans="1:13" x14ac:dyDescent="0.3">
      <c r="A18" s="22" t="s">
        <v>197</v>
      </c>
      <c r="B18" s="23" t="s">
        <v>44</v>
      </c>
      <c r="C18" s="24"/>
      <c r="D18" s="25"/>
      <c r="E18" s="24"/>
      <c r="F18" s="24"/>
      <c r="G18" s="24"/>
      <c r="H18" s="168"/>
      <c r="I18" s="26"/>
      <c r="J18" s="23"/>
      <c r="K18" s="23"/>
      <c r="L18" s="24"/>
      <c r="M18" s="27"/>
    </row>
    <row r="19" spans="1:13" x14ac:dyDescent="0.3">
      <c r="A19" s="22" t="s">
        <v>198</v>
      </c>
      <c r="B19" s="23" t="s">
        <v>46</v>
      </c>
      <c r="C19" s="24"/>
      <c r="D19" s="24"/>
      <c r="E19" s="24"/>
      <c r="F19" s="24"/>
      <c r="G19" s="24"/>
      <c r="H19" s="168"/>
      <c r="I19" s="26"/>
      <c r="J19" s="23"/>
      <c r="K19" s="23"/>
      <c r="L19" s="24"/>
      <c r="M19" s="27"/>
    </row>
    <row r="20" spans="1:13" x14ac:dyDescent="0.3">
      <c r="A20" s="22" t="s">
        <v>199</v>
      </c>
      <c r="B20" s="23" t="s">
        <v>48</v>
      </c>
      <c r="C20" s="24"/>
      <c r="D20" s="28" t="s">
        <v>200</v>
      </c>
      <c r="E20" s="24"/>
      <c r="F20" s="24"/>
      <c r="G20" s="24"/>
      <c r="H20" s="168"/>
      <c r="I20" s="26"/>
      <c r="J20" s="23"/>
      <c r="K20" s="23"/>
      <c r="L20" s="24"/>
      <c r="M20" s="27"/>
    </row>
    <row r="21" spans="1:13" ht="15.65" thickBot="1" x14ac:dyDescent="0.35">
      <c r="A21" s="29" t="s">
        <v>201</v>
      </c>
      <c r="B21" s="30" t="s">
        <v>50</v>
      </c>
      <c r="C21" s="31"/>
      <c r="D21" s="31"/>
      <c r="E21" s="31"/>
      <c r="F21" s="31"/>
      <c r="G21" s="31"/>
      <c r="H21" s="169"/>
      <c r="I21" s="32"/>
      <c r="J21" s="30"/>
      <c r="K21" s="30"/>
      <c r="L21" s="31"/>
      <c r="M21" s="33"/>
    </row>
    <row r="22" spans="1:13" x14ac:dyDescent="0.3">
      <c r="A22" s="34" t="s">
        <v>202</v>
      </c>
      <c r="B22" s="35" t="s">
        <v>54</v>
      </c>
      <c r="C22" s="36"/>
      <c r="D22" s="37"/>
      <c r="E22" s="36"/>
      <c r="F22" s="36"/>
      <c r="G22" s="38"/>
      <c r="H22" s="171" t="s">
        <v>203</v>
      </c>
      <c r="I22" s="36"/>
      <c r="J22" s="35"/>
      <c r="K22" s="35"/>
      <c r="L22" s="36"/>
      <c r="M22" s="39"/>
    </row>
    <row r="23" spans="1:13" x14ac:dyDescent="0.3">
      <c r="A23" s="40" t="s">
        <v>204</v>
      </c>
      <c r="B23" s="41" t="s">
        <v>56</v>
      </c>
      <c r="C23" s="42"/>
      <c r="D23" s="42"/>
      <c r="E23" s="42"/>
      <c r="F23" s="42"/>
      <c r="G23" s="43"/>
      <c r="H23" s="172"/>
      <c r="I23" s="42"/>
      <c r="J23" s="41"/>
      <c r="K23" s="41"/>
      <c r="L23" s="42"/>
      <c r="M23" s="44"/>
    </row>
    <row r="24" spans="1:13" x14ac:dyDescent="0.3">
      <c r="A24" s="40" t="s">
        <v>205</v>
      </c>
      <c r="B24" s="41" t="s">
        <v>58</v>
      </c>
      <c r="C24" s="42"/>
      <c r="D24" s="45" t="s">
        <v>206</v>
      </c>
      <c r="E24" s="42"/>
      <c r="F24" s="42"/>
      <c r="G24" s="43"/>
      <c r="H24" s="172"/>
      <c r="I24" s="42"/>
      <c r="J24" s="41"/>
      <c r="K24" s="41"/>
      <c r="L24" s="42"/>
      <c r="M24" s="44"/>
    </row>
    <row r="25" spans="1:13" x14ac:dyDescent="0.3">
      <c r="A25" s="40" t="s">
        <v>207</v>
      </c>
      <c r="B25" s="41" t="s">
        <v>60</v>
      </c>
      <c r="C25" s="42"/>
      <c r="D25" s="42"/>
      <c r="E25" s="42"/>
      <c r="F25" s="42"/>
      <c r="G25" s="43"/>
      <c r="H25" s="172"/>
      <c r="I25" s="42"/>
      <c r="J25" s="41"/>
      <c r="K25" s="41"/>
      <c r="L25" s="42"/>
      <c r="M25" s="44"/>
    </row>
    <row r="26" spans="1:13" x14ac:dyDescent="0.3">
      <c r="A26" s="40" t="s">
        <v>208</v>
      </c>
      <c r="B26" s="41" t="s">
        <v>62</v>
      </c>
      <c r="C26" s="42"/>
      <c r="D26" s="42"/>
      <c r="E26" s="42"/>
      <c r="F26" s="42"/>
      <c r="G26" s="43"/>
      <c r="H26" s="172"/>
      <c r="I26" s="42"/>
      <c r="J26" s="41"/>
      <c r="K26" s="41"/>
      <c r="L26" s="42"/>
      <c r="M26" s="44"/>
    </row>
    <row r="27" spans="1:13" x14ac:dyDescent="0.3">
      <c r="A27" s="46" t="s">
        <v>209</v>
      </c>
      <c r="B27" s="47" t="s">
        <v>66</v>
      </c>
      <c r="C27" s="48"/>
      <c r="D27" s="49"/>
      <c r="E27" s="48"/>
      <c r="F27" s="48"/>
      <c r="G27" s="50"/>
      <c r="H27" s="172"/>
      <c r="I27" s="48"/>
      <c r="J27" s="47"/>
      <c r="K27" s="47"/>
      <c r="L27" s="48"/>
      <c r="M27" s="51"/>
    </row>
    <row r="28" spans="1:13" x14ac:dyDescent="0.3">
      <c r="A28" s="46" t="s">
        <v>210</v>
      </c>
      <c r="B28" s="47" t="s">
        <v>68</v>
      </c>
      <c r="C28" s="48"/>
      <c r="D28" s="48"/>
      <c r="E28" s="48"/>
      <c r="F28" s="48"/>
      <c r="G28" s="50"/>
      <c r="H28" s="172"/>
      <c r="I28" s="48"/>
      <c r="J28" s="47"/>
      <c r="K28" s="47"/>
      <c r="L28" s="48"/>
      <c r="M28" s="51"/>
    </row>
    <row r="29" spans="1:13" x14ac:dyDescent="0.3">
      <c r="A29" s="46" t="s">
        <v>211</v>
      </c>
      <c r="B29" s="47" t="s">
        <v>70</v>
      </c>
      <c r="C29" s="48"/>
      <c r="D29" s="52" t="s">
        <v>212</v>
      </c>
      <c r="E29" s="48"/>
      <c r="F29" s="48"/>
      <c r="G29" s="50"/>
      <c r="H29" s="172"/>
      <c r="I29" s="48"/>
      <c r="J29" s="47"/>
      <c r="K29" s="47"/>
      <c r="L29" s="48"/>
      <c r="M29" s="51"/>
    </row>
    <row r="30" spans="1:13" x14ac:dyDescent="0.3">
      <c r="A30" s="46" t="s">
        <v>213</v>
      </c>
      <c r="B30" s="47" t="s">
        <v>72</v>
      </c>
      <c r="C30" s="48"/>
      <c r="D30" s="48"/>
      <c r="E30" s="48"/>
      <c r="F30" s="48"/>
      <c r="G30" s="50"/>
      <c r="H30" s="172"/>
      <c r="I30" s="48"/>
      <c r="J30" s="47"/>
      <c r="K30" s="47"/>
      <c r="L30" s="48"/>
      <c r="M30" s="51"/>
    </row>
    <row r="31" spans="1:13" ht="15.65" thickBot="1" x14ac:dyDescent="0.35">
      <c r="A31" s="53" t="s">
        <v>214</v>
      </c>
      <c r="B31" s="54" t="s">
        <v>74</v>
      </c>
      <c r="C31" s="55"/>
      <c r="D31" s="55"/>
      <c r="E31" s="55"/>
      <c r="F31" s="55"/>
      <c r="G31" s="56"/>
      <c r="H31" s="173"/>
      <c r="I31" s="55"/>
      <c r="J31" s="54"/>
      <c r="K31" s="54"/>
      <c r="L31" s="55"/>
      <c r="M31" s="57"/>
    </row>
    <row r="32" spans="1:13" x14ac:dyDescent="0.3">
      <c r="A32" s="58" t="s">
        <v>215</v>
      </c>
      <c r="B32" s="59" t="s">
        <v>78</v>
      </c>
      <c r="C32" s="60"/>
      <c r="D32" s="61"/>
      <c r="E32" s="62"/>
      <c r="F32" s="62"/>
      <c r="G32" s="63"/>
      <c r="H32" s="174" t="s">
        <v>216</v>
      </c>
      <c r="I32" s="62"/>
      <c r="J32" s="61"/>
      <c r="K32" s="61"/>
      <c r="L32" s="62"/>
      <c r="M32" s="64"/>
    </row>
    <row r="33" spans="1:13" x14ac:dyDescent="0.3">
      <c r="A33" s="65" t="s">
        <v>217</v>
      </c>
      <c r="B33" s="66" t="s">
        <v>80</v>
      </c>
      <c r="C33" s="67"/>
      <c r="D33" s="67"/>
      <c r="E33" s="67"/>
      <c r="F33" s="67"/>
      <c r="G33" s="68"/>
      <c r="H33" s="175"/>
      <c r="I33" s="67"/>
      <c r="J33" s="66"/>
      <c r="K33" s="66"/>
      <c r="L33" s="67"/>
      <c r="M33" s="69"/>
    </row>
    <row r="34" spans="1:13" x14ac:dyDescent="0.3">
      <c r="A34" s="65" t="s">
        <v>218</v>
      </c>
      <c r="B34" s="66" t="s">
        <v>82</v>
      </c>
      <c r="C34" s="67"/>
      <c r="D34" s="70" t="s">
        <v>219</v>
      </c>
      <c r="E34" s="67"/>
      <c r="F34" s="67"/>
      <c r="G34" s="68"/>
      <c r="H34" s="175"/>
      <c r="I34" s="67"/>
      <c r="J34" s="66"/>
      <c r="K34" s="66"/>
      <c r="L34" s="67"/>
      <c r="M34" s="69"/>
    </row>
    <row r="35" spans="1:13" x14ac:dyDescent="0.3">
      <c r="A35" s="65" t="s">
        <v>220</v>
      </c>
      <c r="B35" s="66" t="s">
        <v>84</v>
      </c>
      <c r="C35" s="67"/>
      <c r="D35" s="67"/>
      <c r="E35" s="67"/>
      <c r="F35" s="67"/>
      <c r="G35" s="68"/>
      <c r="H35" s="175"/>
      <c r="I35" s="67"/>
      <c r="J35" s="66"/>
      <c r="K35" s="66"/>
      <c r="L35" s="67"/>
      <c r="M35" s="69"/>
    </row>
    <row r="36" spans="1:13" x14ac:dyDescent="0.3">
      <c r="A36" s="65" t="s">
        <v>221</v>
      </c>
      <c r="B36" s="66" t="s">
        <v>86</v>
      </c>
      <c r="C36" s="67"/>
      <c r="D36" s="67"/>
      <c r="E36" s="67"/>
      <c r="F36" s="67"/>
      <c r="G36" s="68"/>
      <c r="H36" s="175"/>
      <c r="I36" s="67"/>
      <c r="J36" s="66"/>
      <c r="K36" s="66"/>
      <c r="L36" s="67"/>
      <c r="M36" s="69"/>
    </row>
    <row r="37" spans="1:13" x14ac:dyDescent="0.3">
      <c r="A37" s="71" t="s">
        <v>222</v>
      </c>
      <c r="B37" s="72" t="s">
        <v>90</v>
      </c>
      <c r="C37" s="73"/>
      <c r="D37" s="74"/>
      <c r="E37" s="73"/>
      <c r="F37" s="73"/>
      <c r="G37" s="75"/>
      <c r="H37" s="175"/>
      <c r="I37" s="73"/>
      <c r="J37" s="72"/>
      <c r="K37" s="72"/>
      <c r="L37" s="73"/>
      <c r="M37" s="76"/>
    </row>
    <row r="38" spans="1:13" x14ac:dyDescent="0.3">
      <c r="A38" s="71" t="s">
        <v>223</v>
      </c>
      <c r="B38" s="72" t="s">
        <v>92</v>
      </c>
      <c r="C38" s="73"/>
      <c r="D38" s="77" t="s">
        <v>224</v>
      </c>
      <c r="E38" s="73"/>
      <c r="F38" s="73"/>
      <c r="G38" s="75"/>
      <c r="H38" s="175"/>
      <c r="I38" s="73"/>
      <c r="J38" s="72"/>
      <c r="K38" s="72"/>
      <c r="L38" s="73"/>
      <c r="M38" s="76"/>
    </row>
    <row r="39" spans="1:13" x14ac:dyDescent="0.3">
      <c r="A39" s="71" t="s">
        <v>225</v>
      </c>
      <c r="B39" s="72" t="s">
        <v>94</v>
      </c>
      <c r="C39" s="73"/>
      <c r="D39" s="73"/>
      <c r="E39" s="73"/>
      <c r="F39" s="73"/>
      <c r="G39" s="75"/>
      <c r="H39" s="175"/>
      <c r="I39" s="73"/>
      <c r="J39" s="72"/>
      <c r="K39" s="72"/>
      <c r="L39" s="73"/>
      <c r="M39" s="76"/>
    </row>
    <row r="40" spans="1:13" x14ac:dyDescent="0.3">
      <c r="A40" s="78" t="s">
        <v>226</v>
      </c>
      <c r="B40" s="79" t="s">
        <v>98</v>
      </c>
      <c r="C40" s="80"/>
      <c r="D40" s="81"/>
      <c r="E40" s="82"/>
      <c r="F40" s="82"/>
      <c r="G40" s="83"/>
      <c r="H40" s="175"/>
      <c r="I40" s="80"/>
      <c r="J40" s="79"/>
      <c r="K40" s="79"/>
      <c r="L40" s="80"/>
      <c r="M40" s="84"/>
    </row>
    <row r="41" spans="1:13" x14ac:dyDescent="0.3">
      <c r="A41" s="78" t="s">
        <v>227</v>
      </c>
      <c r="B41" s="79" t="s">
        <v>100</v>
      </c>
      <c r="C41" s="80"/>
      <c r="D41" s="80"/>
      <c r="E41" s="80"/>
      <c r="F41" s="80"/>
      <c r="G41" s="83"/>
      <c r="H41" s="175"/>
      <c r="I41" s="80"/>
      <c r="J41" s="79"/>
      <c r="K41" s="79"/>
      <c r="L41" s="80"/>
      <c r="M41" s="84"/>
    </row>
    <row r="42" spans="1:13" x14ac:dyDescent="0.3">
      <c r="A42" s="78" t="s">
        <v>228</v>
      </c>
      <c r="B42" s="79" t="s">
        <v>102</v>
      </c>
      <c r="C42" s="80"/>
      <c r="D42" s="81" t="s">
        <v>229</v>
      </c>
      <c r="E42" s="80"/>
      <c r="F42" s="80"/>
      <c r="G42" s="83"/>
      <c r="H42" s="175"/>
      <c r="I42" s="80"/>
      <c r="J42" s="79"/>
      <c r="K42" s="79"/>
      <c r="L42" s="80"/>
      <c r="M42" s="84"/>
    </row>
    <row r="43" spans="1:13" x14ac:dyDescent="0.3">
      <c r="A43" s="78" t="s">
        <v>230</v>
      </c>
      <c r="B43" s="79" t="s">
        <v>104</v>
      </c>
      <c r="C43" s="80"/>
      <c r="D43" s="80"/>
      <c r="E43" s="80"/>
      <c r="F43" s="80"/>
      <c r="G43" s="83"/>
      <c r="H43" s="175"/>
      <c r="I43" s="80"/>
      <c r="J43" s="79"/>
      <c r="K43" s="79"/>
      <c r="L43" s="80"/>
      <c r="M43" s="84"/>
    </row>
    <row r="44" spans="1:13" ht="15.65" thickBot="1" x14ac:dyDescent="0.35">
      <c r="A44" s="85" t="s">
        <v>231</v>
      </c>
      <c r="B44" s="86" t="s">
        <v>106</v>
      </c>
      <c r="C44" s="87"/>
      <c r="D44" s="87"/>
      <c r="E44" s="87"/>
      <c r="F44" s="87"/>
      <c r="G44" s="88"/>
      <c r="H44" s="176"/>
      <c r="I44" s="87"/>
      <c r="J44" s="86"/>
      <c r="K44" s="86"/>
      <c r="L44" s="87"/>
      <c r="M44" s="89"/>
    </row>
    <row r="45" spans="1:13" x14ac:dyDescent="0.3">
      <c r="A45" s="58" t="s">
        <v>232</v>
      </c>
      <c r="B45" s="59" t="s">
        <v>233</v>
      </c>
      <c r="C45" s="60"/>
      <c r="D45" s="60"/>
      <c r="E45" s="90"/>
      <c r="F45" s="60"/>
      <c r="G45" s="60"/>
      <c r="H45" s="167" t="s">
        <v>234</v>
      </c>
      <c r="I45" s="60"/>
      <c r="J45" s="59"/>
      <c r="K45" s="59"/>
      <c r="L45" s="60"/>
      <c r="M45" s="91"/>
    </row>
    <row r="46" spans="1:13" x14ac:dyDescent="0.3">
      <c r="A46" s="65" t="s">
        <v>235</v>
      </c>
      <c r="B46" s="66" t="s">
        <v>236</v>
      </c>
      <c r="C46" s="67"/>
      <c r="D46" s="67"/>
      <c r="E46" s="67"/>
      <c r="F46" s="67"/>
      <c r="G46" s="67"/>
      <c r="H46" s="168"/>
      <c r="I46" s="67"/>
      <c r="J46" s="66"/>
      <c r="K46" s="66"/>
      <c r="L46" s="67"/>
      <c r="M46" s="69"/>
    </row>
    <row r="47" spans="1:13" x14ac:dyDescent="0.3">
      <c r="A47" s="65" t="s">
        <v>237</v>
      </c>
      <c r="B47" s="66" t="s">
        <v>114</v>
      </c>
      <c r="C47" s="67"/>
      <c r="D47" s="67"/>
      <c r="E47" s="67"/>
      <c r="F47" s="67"/>
      <c r="G47" s="67"/>
      <c r="H47" s="168"/>
      <c r="I47" s="67"/>
      <c r="J47" s="66"/>
      <c r="K47" s="66"/>
      <c r="L47" s="67"/>
      <c r="M47" s="69"/>
    </row>
    <row r="48" spans="1:13" x14ac:dyDescent="0.3">
      <c r="A48" s="65" t="s">
        <v>238</v>
      </c>
      <c r="B48" s="66" t="s">
        <v>116</v>
      </c>
      <c r="C48" s="67"/>
      <c r="D48" s="67"/>
      <c r="E48" s="67"/>
      <c r="F48" s="67"/>
      <c r="G48" s="67"/>
      <c r="H48" s="168"/>
      <c r="I48" s="67"/>
      <c r="J48" s="66"/>
      <c r="K48" s="66"/>
      <c r="L48" s="67"/>
      <c r="M48" s="69"/>
    </row>
    <row r="49" spans="1:13" x14ac:dyDescent="0.3">
      <c r="A49" s="65" t="s">
        <v>239</v>
      </c>
      <c r="B49" s="66" t="s">
        <v>118</v>
      </c>
      <c r="C49" s="67"/>
      <c r="D49" s="67"/>
      <c r="E49" s="92" t="s">
        <v>240</v>
      </c>
      <c r="F49" s="67"/>
      <c r="G49" s="67"/>
      <c r="H49" s="168"/>
      <c r="I49" s="67"/>
      <c r="J49" s="66"/>
      <c r="K49" s="66"/>
      <c r="L49" s="67"/>
      <c r="M49" s="69"/>
    </row>
    <row r="50" spans="1:13" x14ac:dyDescent="0.3">
      <c r="A50" s="65" t="s">
        <v>241</v>
      </c>
      <c r="B50" s="66" t="s">
        <v>120</v>
      </c>
      <c r="C50" s="67"/>
      <c r="D50" s="67"/>
      <c r="E50" s="67"/>
      <c r="F50" s="67"/>
      <c r="G50" s="67"/>
      <c r="H50" s="168"/>
      <c r="I50" s="67"/>
      <c r="J50" s="66"/>
      <c r="K50" s="66"/>
      <c r="L50" s="67"/>
      <c r="M50" s="69"/>
    </row>
    <row r="51" spans="1:13" x14ac:dyDescent="0.3">
      <c r="A51" s="65" t="s">
        <v>242</v>
      </c>
      <c r="B51" s="66" t="s">
        <v>122</v>
      </c>
      <c r="C51" s="67"/>
      <c r="D51" s="67"/>
      <c r="E51" s="67"/>
      <c r="F51" s="67"/>
      <c r="G51" s="67"/>
      <c r="H51" s="168"/>
      <c r="I51" s="67"/>
      <c r="J51" s="66"/>
      <c r="K51" s="66"/>
      <c r="L51" s="67"/>
      <c r="M51" s="69"/>
    </row>
    <row r="52" spans="1:13" ht="15.65" thickBot="1" x14ac:dyDescent="0.35">
      <c r="A52" s="93" t="s">
        <v>243</v>
      </c>
      <c r="B52" s="94" t="s">
        <v>124</v>
      </c>
      <c r="C52" s="95"/>
      <c r="D52" s="95"/>
      <c r="E52" s="95"/>
      <c r="F52" s="95"/>
      <c r="G52" s="95"/>
      <c r="H52" s="169"/>
      <c r="I52" s="95"/>
      <c r="J52" s="94"/>
      <c r="K52" s="94"/>
      <c r="L52" s="95"/>
      <c r="M52" s="96"/>
    </row>
    <row r="53" spans="1:13" x14ac:dyDescent="0.3">
      <c r="A53" s="1" t="s">
        <v>244</v>
      </c>
      <c r="B53" s="97" t="s">
        <v>128</v>
      </c>
      <c r="C53" s="3"/>
      <c r="D53" s="98"/>
      <c r="E53" s="3"/>
      <c r="F53" s="3"/>
      <c r="G53" s="3"/>
      <c r="H53" s="164" t="s">
        <v>245</v>
      </c>
      <c r="I53" s="3"/>
      <c r="J53" s="97"/>
      <c r="K53" s="97"/>
      <c r="L53" s="3"/>
      <c r="M53" s="6"/>
    </row>
    <row r="54" spans="1:13" x14ac:dyDescent="0.3">
      <c r="A54" s="7" t="s">
        <v>246</v>
      </c>
      <c r="B54" s="99" t="s">
        <v>130</v>
      </c>
      <c r="C54" s="9"/>
      <c r="D54" s="9"/>
      <c r="E54" s="9"/>
      <c r="F54" s="9"/>
      <c r="G54" s="9"/>
      <c r="H54" s="165"/>
      <c r="I54" s="9"/>
      <c r="J54" s="99"/>
      <c r="K54" s="99"/>
      <c r="L54" s="9"/>
      <c r="M54" s="11"/>
    </row>
    <row r="55" spans="1:13" x14ac:dyDescent="0.3">
      <c r="A55" s="7" t="s">
        <v>247</v>
      </c>
      <c r="B55" s="99" t="s">
        <v>132</v>
      </c>
      <c r="C55" s="9"/>
      <c r="D55" s="100" t="s">
        <v>248</v>
      </c>
      <c r="E55" s="9"/>
      <c r="F55" s="9"/>
      <c r="G55" s="9"/>
      <c r="H55" s="165"/>
      <c r="I55" s="9"/>
      <c r="J55" s="99"/>
      <c r="K55" s="99"/>
      <c r="L55" s="9"/>
      <c r="M55" s="11"/>
    </row>
    <row r="56" spans="1:13" x14ac:dyDescent="0.3">
      <c r="A56" s="7" t="s">
        <v>249</v>
      </c>
      <c r="B56" s="99" t="s">
        <v>134</v>
      </c>
      <c r="C56" s="9"/>
      <c r="D56" s="9"/>
      <c r="E56" s="9"/>
      <c r="F56" s="9"/>
      <c r="G56" s="9"/>
      <c r="H56" s="165"/>
      <c r="I56" s="9"/>
      <c r="J56" s="99"/>
      <c r="K56" s="99"/>
      <c r="L56" s="9"/>
      <c r="M56" s="11"/>
    </row>
    <row r="57" spans="1:13" x14ac:dyDescent="0.3">
      <c r="A57" s="7" t="s">
        <v>250</v>
      </c>
      <c r="B57" s="99" t="s">
        <v>136</v>
      </c>
      <c r="C57" s="9"/>
      <c r="D57" s="9"/>
      <c r="E57" s="9"/>
      <c r="F57" s="9"/>
      <c r="G57" s="9"/>
      <c r="H57" s="165"/>
      <c r="I57" s="9"/>
      <c r="J57" s="99"/>
      <c r="K57" s="99"/>
      <c r="L57" s="9"/>
      <c r="M57" s="11"/>
    </row>
    <row r="58" spans="1:13" x14ac:dyDescent="0.3">
      <c r="A58" s="46" t="s">
        <v>251</v>
      </c>
      <c r="B58" s="47" t="s">
        <v>140</v>
      </c>
      <c r="C58" s="48"/>
      <c r="D58" s="49"/>
      <c r="E58" s="48"/>
      <c r="F58" s="48"/>
      <c r="G58" s="48"/>
      <c r="H58" s="165"/>
      <c r="I58" s="48"/>
      <c r="J58" s="47"/>
      <c r="K58" s="47"/>
      <c r="L58" s="48"/>
      <c r="M58" s="51"/>
    </row>
    <row r="59" spans="1:13" x14ac:dyDescent="0.3">
      <c r="A59" s="46" t="s">
        <v>252</v>
      </c>
      <c r="B59" s="47" t="s">
        <v>142</v>
      </c>
      <c r="C59" s="48"/>
      <c r="D59" s="48"/>
      <c r="E59" s="48"/>
      <c r="F59" s="48"/>
      <c r="G59" s="48"/>
      <c r="H59" s="165"/>
      <c r="I59" s="48"/>
      <c r="J59" s="47"/>
      <c r="K59" s="47"/>
      <c r="L59" s="48"/>
      <c r="M59" s="51"/>
    </row>
    <row r="60" spans="1:13" x14ac:dyDescent="0.3">
      <c r="A60" s="46" t="s">
        <v>253</v>
      </c>
      <c r="B60" s="47" t="s">
        <v>144</v>
      </c>
      <c r="C60" s="48"/>
      <c r="D60" s="48"/>
      <c r="E60" s="48"/>
      <c r="F60" s="48"/>
      <c r="G60" s="48"/>
      <c r="H60" s="165"/>
      <c r="I60" s="48"/>
      <c r="J60" s="47"/>
      <c r="K60" s="47"/>
      <c r="L60" s="48"/>
      <c r="M60" s="51"/>
    </row>
    <row r="61" spans="1:13" x14ac:dyDescent="0.3">
      <c r="A61" s="46" t="s">
        <v>254</v>
      </c>
      <c r="B61" s="47" t="s">
        <v>146</v>
      </c>
      <c r="C61" s="48"/>
      <c r="D61" s="48"/>
      <c r="E61" s="48"/>
      <c r="F61" s="48"/>
      <c r="G61" s="48"/>
      <c r="H61" s="165"/>
      <c r="I61" s="48"/>
      <c r="J61" s="47"/>
      <c r="K61" s="47"/>
      <c r="L61" s="48"/>
      <c r="M61" s="51"/>
    </row>
    <row r="62" spans="1:13" x14ac:dyDescent="0.3">
      <c r="A62" s="46" t="s">
        <v>255</v>
      </c>
      <c r="B62" s="47" t="s">
        <v>148</v>
      </c>
      <c r="C62" s="48"/>
      <c r="D62" s="48"/>
      <c r="E62" s="48"/>
      <c r="F62" s="48"/>
      <c r="G62" s="48"/>
      <c r="H62" s="165"/>
      <c r="I62" s="48"/>
      <c r="J62" s="47"/>
      <c r="K62" s="47"/>
      <c r="L62" s="48"/>
      <c r="M62" s="51"/>
    </row>
    <row r="63" spans="1:13" x14ac:dyDescent="0.3">
      <c r="A63" s="46" t="s">
        <v>256</v>
      </c>
      <c r="B63" s="47" t="s">
        <v>149</v>
      </c>
      <c r="C63" s="48"/>
      <c r="D63" s="52" t="s">
        <v>257</v>
      </c>
      <c r="E63" s="48"/>
      <c r="F63" s="48"/>
      <c r="G63" s="48"/>
      <c r="H63" s="165"/>
      <c r="I63" s="48"/>
      <c r="J63" s="47"/>
      <c r="K63" s="47"/>
      <c r="L63" s="48"/>
      <c r="M63" s="51"/>
    </row>
    <row r="64" spans="1:13" x14ac:dyDescent="0.3">
      <c r="A64" s="46" t="s">
        <v>258</v>
      </c>
      <c r="B64" s="47" t="s">
        <v>150</v>
      </c>
      <c r="C64" s="48"/>
      <c r="D64" s="48"/>
      <c r="E64" s="48"/>
      <c r="F64" s="48"/>
      <c r="G64" s="48"/>
      <c r="H64" s="165"/>
      <c r="I64" s="48"/>
      <c r="J64" s="47"/>
      <c r="K64" s="47"/>
      <c r="L64" s="48"/>
      <c r="M64" s="51"/>
    </row>
    <row r="65" spans="1:13" x14ac:dyDescent="0.3">
      <c r="A65" s="46" t="s">
        <v>259</v>
      </c>
      <c r="B65" s="47" t="s">
        <v>152</v>
      </c>
      <c r="C65" s="48"/>
      <c r="D65" s="48"/>
      <c r="E65" s="48"/>
      <c r="F65" s="48"/>
      <c r="G65" s="48"/>
      <c r="H65" s="165"/>
      <c r="I65" s="48"/>
      <c r="J65" s="47"/>
      <c r="K65" s="47"/>
      <c r="L65" s="48"/>
      <c r="M65" s="51"/>
    </row>
    <row r="66" spans="1:13" x14ac:dyDescent="0.3">
      <c r="A66" s="46" t="s">
        <v>260</v>
      </c>
      <c r="B66" s="47" t="s">
        <v>154</v>
      </c>
      <c r="C66" s="48"/>
      <c r="D66" s="48"/>
      <c r="E66" s="48"/>
      <c r="F66" s="48"/>
      <c r="G66" s="48"/>
      <c r="H66" s="165"/>
      <c r="I66" s="48"/>
      <c r="J66" s="47"/>
      <c r="K66" s="47"/>
      <c r="L66" s="48"/>
      <c r="M66" s="51"/>
    </row>
    <row r="67" spans="1:13" x14ac:dyDescent="0.3">
      <c r="A67" s="46" t="s">
        <v>261</v>
      </c>
      <c r="B67" s="47" t="s">
        <v>156</v>
      </c>
      <c r="C67" s="48"/>
      <c r="D67" s="48"/>
      <c r="E67" s="48"/>
      <c r="F67" s="48"/>
      <c r="G67" s="48"/>
      <c r="H67" s="165"/>
      <c r="I67" s="48"/>
      <c r="J67" s="47"/>
      <c r="K67" s="47"/>
      <c r="L67" s="48"/>
      <c r="M67" s="51"/>
    </row>
    <row r="68" spans="1:13" x14ac:dyDescent="0.3">
      <c r="A68" s="46" t="s">
        <v>262</v>
      </c>
      <c r="B68" s="47" t="s">
        <v>158</v>
      </c>
      <c r="C68" s="48"/>
      <c r="D68" s="48"/>
      <c r="E68" s="48"/>
      <c r="F68" s="48"/>
      <c r="G68" s="48"/>
      <c r="H68" s="165"/>
      <c r="I68" s="48"/>
      <c r="J68" s="47"/>
      <c r="K68" s="47"/>
      <c r="L68" s="48"/>
      <c r="M68" s="51"/>
    </row>
    <row r="69" spans="1:13" x14ac:dyDescent="0.3">
      <c r="A69" s="46" t="s">
        <v>263</v>
      </c>
      <c r="B69" s="47" t="s">
        <v>160</v>
      </c>
      <c r="C69" s="48"/>
      <c r="D69" s="48"/>
      <c r="E69" s="48"/>
      <c r="F69" s="48"/>
      <c r="G69" s="48"/>
      <c r="H69" s="165"/>
      <c r="I69" s="48"/>
      <c r="J69" s="47"/>
      <c r="K69" s="47"/>
      <c r="L69" s="48"/>
      <c r="M69" s="51"/>
    </row>
    <row r="70" spans="1:13" ht="15.65" thickBot="1" x14ac:dyDescent="0.35">
      <c r="A70" s="53" t="s">
        <v>264</v>
      </c>
      <c r="B70" s="54" t="s">
        <v>162</v>
      </c>
      <c r="C70" s="55"/>
      <c r="D70" s="55"/>
      <c r="E70" s="55"/>
      <c r="F70" s="55"/>
      <c r="G70" s="55"/>
      <c r="H70" s="166"/>
      <c r="I70" s="55"/>
      <c r="J70" s="54"/>
      <c r="K70" s="54"/>
      <c r="L70" s="55"/>
      <c r="M70" s="57"/>
    </row>
    <row r="71" spans="1:13" x14ac:dyDescent="0.3">
      <c r="A71" s="101" t="s">
        <v>265</v>
      </c>
      <c r="B71" s="102" t="s">
        <v>166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266</v>
      </c>
      <c r="B72" s="102" t="s">
        <v>168</v>
      </c>
      <c r="C72" s="15"/>
      <c r="D72" s="15"/>
      <c r="E72" s="15"/>
      <c r="F72" s="15"/>
      <c r="G72" s="15"/>
      <c r="H72" s="107" t="s">
        <v>267</v>
      </c>
      <c r="I72" s="108"/>
      <c r="J72" s="109"/>
      <c r="K72" s="109"/>
      <c r="L72" s="15"/>
      <c r="M72" s="18"/>
    </row>
    <row r="73" spans="1:13" x14ac:dyDescent="0.3">
      <c r="A73" s="13" t="s">
        <v>268</v>
      </c>
      <c r="B73" s="102" t="s">
        <v>170</v>
      </c>
      <c r="C73" s="15"/>
      <c r="D73" s="21" t="s">
        <v>269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 x14ac:dyDescent="0.35">
      <c r="A74" s="110" t="s">
        <v>270</v>
      </c>
      <c r="B74" s="102" t="s">
        <v>172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 x14ac:dyDescent="0.35">
      <c r="A75" s="114" t="s">
        <v>271</v>
      </c>
      <c r="B75" s="115" t="s">
        <v>272</v>
      </c>
      <c r="C75" s="116"/>
      <c r="D75" s="117" t="s">
        <v>273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11"/>
  <sheetViews>
    <sheetView showGridLines="0" tabSelected="1" zoomScaleNormal="100" workbookViewId="0">
      <selection activeCell="M94" sqref="M94"/>
    </sheetView>
  </sheetViews>
  <sheetFormatPr defaultRowHeight="15.05" x14ac:dyDescent="0.3"/>
  <cols>
    <col min="1" max="1" width="43.33203125" style="122" customWidth="1"/>
    <col min="2" max="2" width="9.33203125" style="122" bestFit="1" customWidth="1"/>
    <col min="3" max="3" width="6.5546875" style="122" bestFit="1" customWidth="1"/>
    <col min="4" max="4" width="7.5546875" style="122" bestFit="1" customWidth="1"/>
    <col min="5" max="5" width="6.5546875" style="122" bestFit="1" customWidth="1"/>
    <col min="6" max="8" width="7.5546875" style="122" bestFit="1" customWidth="1"/>
    <col min="9" max="9" width="6.5546875" style="122" bestFit="1" customWidth="1"/>
    <col min="10" max="10" width="7.5546875" style="122" bestFit="1" customWidth="1"/>
    <col min="11" max="11" width="6.5546875" style="122" bestFit="1" customWidth="1"/>
    <col min="12" max="14" width="7.5546875" style="122" bestFit="1" customWidth="1"/>
    <col min="15" max="15" width="7.21875" style="122" customWidth="1"/>
    <col min="16" max="16" width="7" style="122" customWidth="1"/>
    <col min="17" max="17" width="24" style="122" bestFit="1" customWidth="1"/>
    <col min="18" max="18" width="11.6640625" style="122" customWidth="1"/>
    <col min="19" max="19" width="6.44140625" style="122" customWidth="1"/>
    <col min="20" max="16384" width="8.88671875" style="122"/>
  </cols>
  <sheetData>
    <row r="2" spans="1:21" ht="18.2" x14ac:dyDescent="0.3">
      <c r="A2" s="222" t="s">
        <v>295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120"/>
      <c r="S2" s="121"/>
      <c r="T2" s="121"/>
    </row>
    <row r="3" spans="1:21" ht="18.2" x14ac:dyDescent="0.3">
      <c r="A3" s="222" t="s">
        <v>296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120"/>
      <c r="S3" s="121"/>
      <c r="T3" s="121"/>
    </row>
    <row r="4" spans="1:21" ht="15.65" thickBot="1" x14ac:dyDescent="0.35">
      <c r="A4" s="160" t="s">
        <v>0</v>
      </c>
      <c r="B4" s="160"/>
      <c r="C4" s="160"/>
      <c r="D4" s="160"/>
      <c r="E4" s="160"/>
      <c r="F4" s="160"/>
      <c r="G4" s="123"/>
      <c r="H4" s="123"/>
      <c r="I4" s="123"/>
      <c r="J4" s="123"/>
      <c r="K4" s="123"/>
      <c r="L4" s="123"/>
      <c r="M4" s="160"/>
      <c r="N4" s="160"/>
      <c r="O4" s="160"/>
      <c r="P4" s="160"/>
      <c r="Q4" s="160"/>
      <c r="R4" s="161" t="s">
        <v>292</v>
      </c>
      <c r="S4" s="124"/>
    </row>
    <row r="5" spans="1:21" x14ac:dyDescent="0.3">
      <c r="A5" s="180" t="s">
        <v>274</v>
      </c>
      <c r="B5" s="192" t="s">
        <v>288</v>
      </c>
      <c r="C5" s="183" t="s">
        <v>282</v>
      </c>
      <c r="D5" s="196"/>
      <c r="E5" s="199" t="s">
        <v>293</v>
      </c>
      <c r="F5" s="200"/>
      <c r="G5" s="183" t="s">
        <v>283</v>
      </c>
      <c r="H5" s="205"/>
      <c r="I5" s="205"/>
      <c r="J5" s="205"/>
      <c r="K5" s="205"/>
      <c r="L5" s="205"/>
      <c r="M5" s="205"/>
      <c r="N5" s="196"/>
      <c r="O5" s="183" t="s">
        <v>289</v>
      </c>
      <c r="P5" s="184"/>
      <c r="Q5" s="180" t="s">
        <v>1</v>
      </c>
      <c r="R5" s="180"/>
      <c r="S5" s="124"/>
      <c r="T5" s="124"/>
      <c r="U5" s="124"/>
    </row>
    <row r="6" spans="1:21" x14ac:dyDescent="0.3">
      <c r="A6" s="181"/>
      <c r="B6" s="193"/>
      <c r="C6" s="185"/>
      <c r="D6" s="197"/>
      <c r="E6" s="201"/>
      <c r="F6" s="202"/>
      <c r="G6" s="187" t="s">
        <v>281</v>
      </c>
      <c r="H6" s="206"/>
      <c r="I6" s="206"/>
      <c r="J6" s="206"/>
      <c r="K6" s="206"/>
      <c r="L6" s="206"/>
      <c r="M6" s="206"/>
      <c r="N6" s="198"/>
      <c r="O6" s="185"/>
      <c r="P6" s="186"/>
      <c r="Q6" s="207"/>
      <c r="R6" s="207"/>
      <c r="S6" s="124"/>
      <c r="T6" s="124"/>
      <c r="U6" s="124"/>
    </row>
    <row r="7" spans="1:21" ht="82.05" customHeight="1" x14ac:dyDescent="0.3">
      <c r="A7" s="181"/>
      <c r="B7" s="194"/>
      <c r="C7" s="187"/>
      <c r="D7" s="198"/>
      <c r="E7" s="203"/>
      <c r="F7" s="204"/>
      <c r="G7" s="178" t="s">
        <v>294</v>
      </c>
      <c r="H7" s="179"/>
      <c r="I7" s="178" t="s">
        <v>286</v>
      </c>
      <c r="J7" s="179"/>
      <c r="K7" s="178" t="s">
        <v>290</v>
      </c>
      <c r="L7" s="179"/>
      <c r="M7" s="178" t="s">
        <v>287</v>
      </c>
      <c r="N7" s="211"/>
      <c r="O7" s="187"/>
      <c r="P7" s="188"/>
      <c r="Q7" s="207"/>
      <c r="R7" s="207"/>
      <c r="S7" s="124"/>
      <c r="T7" s="124"/>
      <c r="U7" s="124"/>
    </row>
    <row r="8" spans="1:21" s="130" customFormat="1" x14ac:dyDescent="0.3">
      <c r="A8" s="182"/>
      <c r="B8" s="195"/>
      <c r="C8" s="125">
        <v>1</v>
      </c>
      <c r="D8" s="125">
        <v>2</v>
      </c>
      <c r="E8" s="125">
        <v>1</v>
      </c>
      <c r="F8" s="125">
        <v>2</v>
      </c>
      <c r="G8" s="126">
        <v>1</v>
      </c>
      <c r="H8" s="126">
        <v>2</v>
      </c>
      <c r="I8" s="125">
        <v>1</v>
      </c>
      <c r="J8" s="125">
        <v>2</v>
      </c>
      <c r="K8" s="125">
        <v>1</v>
      </c>
      <c r="L8" s="126">
        <v>2</v>
      </c>
      <c r="M8" s="127">
        <v>1</v>
      </c>
      <c r="N8" s="126">
        <v>2</v>
      </c>
      <c r="O8" s="126">
        <v>1</v>
      </c>
      <c r="P8" s="128">
        <v>2</v>
      </c>
      <c r="Q8" s="208"/>
      <c r="R8" s="208"/>
      <c r="S8" s="129"/>
      <c r="T8" s="129"/>
      <c r="U8" s="129"/>
    </row>
    <row r="9" spans="1:21" x14ac:dyDescent="0.3">
      <c r="A9" s="213" t="s">
        <v>2</v>
      </c>
      <c r="B9" s="177">
        <f>SUM(B11,B19,B28,B33,B39,B46,B53,B60,B65,B72,B82,B89,B104)</f>
        <v>299647</v>
      </c>
      <c r="C9" s="189">
        <f>SUM(C11,C19,C28,C33,C39,C46,C53,C60,C65,C72,C82,C89,C104)</f>
        <v>83800</v>
      </c>
      <c r="D9" s="189">
        <f>SUM(D11,D19,D28,D33,D39,D46,D53,D60,D65,D72,D82,D89,D104)</f>
        <v>356158.43599999999</v>
      </c>
      <c r="E9" s="189">
        <f>SUM(E11,E19,E28,E33,E39,E46,E53,E60,E65,E72,E82,E89,E104)</f>
        <v>37884</v>
      </c>
      <c r="F9" s="189">
        <f>SUM(F11,F19,F28,F33,F39,F46,F53,F60,F65,F72,F82,F89,F104)</f>
        <v>80808.982000000004</v>
      </c>
      <c r="G9" s="189">
        <f t="shared" ref="G9:L9" si="0">SUM(G11,G19,G28,G33,G39,G46,G53,G60,G65,G72,G82,G89,G104)</f>
        <v>89773</v>
      </c>
      <c r="H9" s="189">
        <f t="shared" si="0"/>
        <v>244289.31100000007</v>
      </c>
      <c r="I9" s="189">
        <f t="shared" si="0"/>
        <v>49272</v>
      </c>
      <c r="J9" s="189">
        <f t="shared" si="0"/>
        <v>130388.48999999999</v>
      </c>
      <c r="K9" s="189">
        <f t="shared" si="0"/>
        <v>37797</v>
      </c>
      <c r="L9" s="189">
        <f t="shared" si="0"/>
        <v>94955.382000000027</v>
      </c>
      <c r="M9" s="189">
        <f>SUM(G9,I9,K9)</f>
        <v>176842</v>
      </c>
      <c r="N9" s="189">
        <f>SUM(H9,J9,L9)</f>
        <v>469633.18300000014</v>
      </c>
      <c r="O9" s="190">
        <f>SUM(O11,O19,O28,O33,O39,O46,O53,O60,O65,O72,O82,O89,O104)</f>
        <v>1121</v>
      </c>
      <c r="P9" s="191">
        <f>SUM(P11,P19,P28,P33,P39,P46,P53,P60,P65,P72,P82,P89,P104)</f>
        <v>2615.3929999999996</v>
      </c>
      <c r="Q9" s="209" t="s">
        <v>3</v>
      </c>
      <c r="R9" s="209"/>
      <c r="S9" s="131"/>
      <c r="T9" s="124"/>
      <c r="U9" s="124"/>
    </row>
    <row r="10" spans="1:21" x14ac:dyDescent="0.3">
      <c r="A10" s="214"/>
      <c r="B10" s="177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90"/>
      <c r="P10" s="191"/>
      <c r="Q10" s="210"/>
      <c r="R10" s="210"/>
      <c r="S10" s="131"/>
      <c r="T10" s="124"/>
      <c r="U10" s="124"/>
    </row>
    <row r="11" spans="1:21" x14ac:dyDescent="0.3">
      <c r="A11" s="218" t="s">
        <v>4</v>
      </c>
      <c r="B11" s="217">
        <f>SUM(B13:B18)</f>
        <v>37955</v>
      </c>
      <c r="C11" s="190">
        <f>SUM(C13:C18)</f>
        <v>5694</v>
      </c>
      <c r="D11" s="190">
        <f>SUM(D13:D18)</f>
        <v>13022.298000000001</v>
      </c>
      <c r="E11" s="190">
        <f t="shared" ref="E11:P11" si="1">SUM(E13:E18)</f>
        <v>3738</v>
      </c>
      <c r="F11" s="190">
        <f t="shared" si="1"/>
        <v>5375.0540000000001</v>
      </c>
      <c r="G11" s="190">
        <f t="shared" si="1"/>
        <v>22839</v>
      </c>
      <c r="H11" s="190">
        <f t="shared" si="1"/>
        <v>96556.619000000006</v>
      </c>
      <c r="I11" s="190">
        <f t="shared" si="1"/>
        <v>4739</v>
      </c>
      <c r="J11" s="190">
        <f t="shared" si="1"/>
        <v>14837.264999999999</v>
      </c>
      <c r="K11" s="190">
        <f t="shared" si="1"/>
        <v>933</v>
      </c>
      <c r="L11" s="190">
        <f t="shared" si="1"/>
        <v>2807.2889999999998</v>
      </c>
      <c r="M11" s="190">
        <f>SUM(G11,I11,K11)</f>
        <v>28511</v>
      </c>
      <c r="N11" s="190">
        <f>SUM(H11,J11,L11)</f>
        <v>114201.17300000001</v>
      </c>
      <c r="O11" s="190">
        <f t="shared" si="1"/>
        <v>12</v>
      </c>
      <c r="P11" s="191">
        <f t="shared" si="1"/>
        <v>34.130000000000003</v>
      </c>
      <c r="Q11" s="212" t="s">
        <v>5</v>
      </c>
      <c r="R11" s="212"/>
      <c r="S11" s="121"/>
      <c r="T11" s="124"/>
      <c r="U11" s="124"/>
    </row>
    <row r="12" spans="1:21" x14ac:dyDescent="0.3">
      <c r="A12" s="218"/>
      <c r="B12" s="217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1"/>
      <c r="Q12" s="212"/>
      <c r="R12" s="212"/>
      <c r="S12" s="121"/>
      <c r="T12" s="124"/>
      <c r="U12" s="124"/>
    </row>
    <row r="13" spans="1:21" x14ac:dyDescent="0.3">
      <c r="A13" s="132" t="s">
        <v>6</v>
      </c>
      <c r="B13" s="133">
        <f>SUM(C13,E13,G13,I13,K13,O13)</f>
        <v>3889</v>
      </c>
      <c r="C13" s="134">
        <v>1978</v>
      </c>
      <c r="D13" s="135">
        <v>3916.0230000000001</v>
      </c>
      <c r="E13" s="134">
        <v>970</v>
      </c>
      <c r="F13" s="162">
        <v>1062</v>
      </c>
      <c r="G13" s="134">
        <v>293</v>
      </c>
      <c r="H13" s="135">
        <v>574.29999999999995</v>
      </c>
      <c r="I13" s="134">
        <v>521</v>
      </c>
      <c r="J13" s="135">
        <v>1045.7</v>
      </c>
      <c r="K13" s="134">
        <v>126</v>
      </c>
      <c r="L13" s="135">
        <v>250.4</v>
      </c>
      <c r="M13" s="136" t="s">
        <v>291</v>
      </c>
      <c r="N13" s="137">
        <f>SUM(H13,J13,L13)</f>
        <v>1870.4</v>
      </c>
      <c r="O13" s="134">
        <v>1</v>
      </c>
      <c r="P13" s="138">
        <v>2</v>
      </c>
      <c r="Q13" s="139" t="s">
        <v>7</v>
      </c>
      <c r="R13" s="131"/>
      <c r="S13" s="131"/>
      <c r="T13" s="124"/>
      <c r="U13" s="124"/>
    </row>
    <row r="14" spans="1:21" x14ac:dyDescent="0.3">
      <c r="A14" s="132" t="s">
        <v>8</v>
      </c>
      <c r="B14" s="133">
        <f>SUM(C14,E14,G14,I14,K14,O14)</f>
        <v>22601</v>
      </c>
      <c r="C14" s="134">
        <v>196</v>
      </c>
      <c r="D14" s="135">
        <v>1037.75</v>
      </c>
      <c r="E14" s="134">
        <v>111</v>
      </c>
      <c r="F14" s="162">
        <v>251.798</v>
      </c>
      <c r="G14" s="134">
        <v>19649</v>
      </c>
      <c r="H14" s="135">
        <v>89831.8</v>
      </c>
      <c r="I14" s="134">
        <v>2220</v>
      </c>
      <c r="J14" s="135">
        <v>9364.65</v>
      </c>
      <c r="K14" s="134">
        <v>425</v>
      </c>
      <c r="L14" s="135">
        <v>1650.0509999999999</v>
      </c>
      <c r="M14" s="136" t="s">
        <v>291</v>
      </c>
      <c r="N14" s="137">
        <f>SUM(H14,J14,L14)</f>
        <v>100846.501</v>
      </c>
      <c r="O14" s="140" t="s">
        <v>291</v>
      </c>
      <c r="P14" s="138" t="s">
        <v>291</v>
      </c>
      <c r="Q14" s="139" t="s">
        <v>9</v>
      </c>
      <c r="R14" s="131"/>
      <c r="S14" s="131"/>
      <c r="T14" s="124"/>
      <c r="U14" s="124"/>
    </row>
    <row r="15" spans="1:21" x14ac:dyDescent="0.3">
      <c r="A15" s="132" t="s">
        <v>10</v>
      </c>
      <c r="B15" s="133">
        <f t="shared" ref="B15:B18" si="2">SUM(C15,E15,G15,I15,K15,O15)</f>
        <v>5343</v>
      </c>
      <c r="C15" s="134">
        <v>2135</v>
      </c>
      <c r="D15" s="135">
        <v>5200.4049999999997</v>
      </c>
      <c r="E15" s="134">
        <v>2216</v>
      </c>
      <c r="F15" s="162">
        <v>3363.9160000000002</v>
      </c>
      <c r="G15" s="134">
        <v>229</v>
      </c>
      <c r="H15" s="135">
        <v>623.33000000000004</v>
      </c>
      <c r="I15" s="134">
        <v>473</v>
      </c>
      <c r="J15" s="135">
        <v>1292.58</v>
      </c>
      <c r="K15" s="134">
        <v>279</v>
      </c>
      <c r="L15" s="135">
        <v>764.93799999999999</v>
      </c>
      <c r="M15" s="136" t="s">
        <v>291</v>
      </c>
      <c r="N15" s="137">
        <f t="shared" ref="N15:N18" si="3">SUM(H15,J15,L15)</f>
        <v>2680.848</v>
      </c>
      <c r="O15" s="134">
        <v>11</v>
      </c>
      <c r="P15" s="138">
        <v>32.130000000000003</v>
      </c>
      <c r="Q15" s="139" t="s">
        <v>11</v>
      </c>
      <c r="R15" s="131"/>
      <c r="S15" s="131"/>
      <c r="T15" s="124"/>
      <c r="U15" s="124"/>
    </row>
    <row r="16" spans="1:21" x14ac:dyDescent="0.3">
      <c r="A16" s="132" t="s">
        <v>12</v>
      </c>
      <c r="B16" s="133">
        <f t="shared" si="2"/>
        <v>24</v>
      </c>
      <c r="C16" s="134">
        <v>1</v>
      </c>
      <c r="D16" s="135">
        <v>4.2</v>
      </c>
      <c r="E16" s="134">
        <v>1</v>
      </c>
      <c r="F16" s="162">
        <v>3.4</v>
      </c>
      <c r="G16" s="134">
        <v>8</v>
      </c>
      <c r="H16" s="135">
        <v>12.7</v>
      </c>
      <c r="I16" s="134">
        <v>10</v>
      </c>
      <c r="J16" s="135">
        <v>16.399999999999999</v>
      </c>
      <c r="K16" s="140">
        <v>4</v>
      </c>
      <c r="L16" s="135">
        <v>7</v>
      </c>
      <c r="M16" s="136" t="s">
        <v>291</v>
      </c>
      <c r="N16" s="137">
        <f t="shared" si="3"/>
        <v>36.099999999999994</v>
      </c>
      <c r="O16" s="140" t="s">
        <v>291</v>
      </c>
      <c r="P16" s="138" t="s">
        <v>291</v>
      </c>
      <c r="Q16" s="139" t="s">
        <v>13</v>
      </c>
      <c r="R16" s="131"/>
      <c r="S16" s="131"/>
      <c r="T16" s="124"/>
      <c r="U16" s="124"/>
    </row>
    <row r="17" spans="1:21" x14ac:dyDescent="0.3">
      <c r="A17" s="132" t="s">
        <v>14</v>
      </c>
      <c r="B17" s="133">
        <f t="shared" si="2"/>
        <v>2481</v>
      </c>
      <c r="C17" s="134">
        <v>1211</v>
      </c>
      <c r="D17" s="135">
        <v>2232.9</v>
      </c>
      <c r="E17" s="134">
        <v>398</v>
      </c>
      <c r="F17" s="162">
        <v>600.85</v>
      </c>
      <c r="G17" s="134">
        <v>597</v>
      </c>
      <c r="H17" s="135">
        <v>973.45</v>
      </c>
      <c r="I17" s="134">
        <v>183</v>
      </c>
      <c r="J17" s="135">
        <v>317.60000000000002</v>
      </c>
      <c r="K17" s="134">
        <v>92</v>
      </c>
      <c r="L17" s="135">
        <v>120.7</v>
      </c>
      <c r="M17" s="136" t="s">
        <v>291</v>
      </c>
      <c r="N17" s="137">
        <f t="shared" si="3"/>
        <v>1411.7500000000002</v>
      </c>
      <c r="O17" s="140" t="s">
        <v>291</v>
      </c>
      <c r="P17" s="138" t="s">
        <v>291</v>
      </c>
      <c r="Q17" s="139" t="s">
        <v>15</v>
      </c>
      <c r="R17" s="131"/>
      <c r="S17" s="131"/>
      <c r="T17" s="124"/>
      <c r="U17" s="124"/>
    </row>
    <row r="18" spans="1:21" x14ac:dyDescent="0.3">
      <c r="A18" s="132" t="s">
        <v>16</v>
      </c>
      <c r="B18" s="133">
        <f t="shared" si="2"/>
        <v>3617</v>
      </c>
      <c r="C18" s="134">
        <v>173</v>
      </c>
      <c r="D18" s="135">
        <v>631.02</v>
      </c>
      <c r="E18" s="134">
        <v>42</v>
      </c>
      <c r="F18" s="162">
        <v>93.09</v>
      </c>
      <c r="G18" s="134">
        <v>2063</v>
      </c>
      <c r="H18" s="135">
        <v>4541.0389999999998</v>
      </c>
      <c r="I18" s="134">
        <v>1332</v>
      </c>
      <c r="J18" s="135">
        <v>2800.335</v>
      </c>
      <c r="K18" s="134">
        <v>7</v>
      </c>
      <c r="L18" s="135">
        <v>14.2</v>
      </c>
      <c r="M18" s="136" t="s">
        <v>291</v>
      </c>
      <c r="N18" s="137">
        <f t="shared" si="3"/>
        <v>7355.5739999999996</v>
      </c>
      <c r="O18" s="134" t="s">
        <v>291</v>
      </c>
      <c r="P18" s="138" t="s">
        <v>291</v>
      </c>
      <c r="Q18" s="139" t="s">
        <v>17</v>
      </c>
      <c r="R18" s="131"/>
      <c r="S18" s="131"/>
      <c r="T18" s="124"/>
      <c r="U18" s="124"/>
    </row>
    <row r="19" spans="1:21" x14ac:dyDescent="0.3">
      <c r="A19" s="216" t="s">
        <v>18</v>
      </c>
      <c r="B19" s="217">
        <f>SUM(B21:B27)</f>
        <v>22524</v>
      </c>
      <c r="C19" s="190">
        <f>SUM(C21:C27)</f>
        <v>9234</v>
      </c>
      <c r="D19" s="190">
        <f t="shared" ref="D19:K19" si="4">SUM(D21:D27)</f>
        <v>40658.61</v>
      </c>
      <c r="E19" s="190">
        <f t="shared" si="4"/>
        <v>4955</v>
      </c>
      <c r="F19" s="190">
        <f t="shared" si="4"/>
        <v>8238.7610000000004</v>
      </c>
      <c r="G19" s="190">
        <f t="shared" si="4"/>
        <v>3168</v>
      </c>
      <c r="H19" s="190">
        <f t="shared" si="4"/>
        <v>9914.3810000000012</v>
      </c>
      <c r="I19" s="190">
        <f t="shared" si="4"/>
        <v>1680</v>
      </c>
      <c r="J19" s="190">
        <f t="shared" si="4"/>
        <v>5219.6949999999997</v>
      </c>
      <c r="K19" s="190">
        <f t="shared" si="4"/>
        <v>3418</v>
      </c>
      <c r="L19" s="190">
        <f>SUM(L21:L27)</f>
        <v>10076.43</v>
      </c>
      <c r="M19" s="190">
        <f>SUM(G19,I19,K19)</f>
        <v>8266</v>
      </c>
      <c r="N19" s="190">
        <f>SUM(H19,J19,L19)</f>
        <v>25210.506000000001</v>
      </c>
      <c r="O19" s="190">
        <f>SUM(O21:O27)</f>
        <v>69</v>
      </c>
      <c r="P19" s="191">
        <f>SUM(P21:P27)</f>
        <v>177.2</v>
      </c>
      <c r="Q19" s="215" t="s">
        <v>19</v>
      </c>
      <c r="R19" s="215"/>
      <c r="S19" s="131"/>
      <c r="T19" s="124"/>
      <c r="U19" s="124"/>
    </row>
    <row r="20" spans="1:21" x14ac:dyDescent="0.3">
      <c r="A20" s="216"/>
      <c r="B20" s="217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1"/>
      <c r="Q20" s="215"/>
      <c r="R20" s="215"/>
      <c r="S20" s="131"/>
      <c r="T20" s="124"/>
      <c r="U20" s="124"/>
    </row>
    <row r="21" spans="1:21" x14ac:dyDescent="0.3">
      <c r="A21" s="132" t="s">
        <v>20</v>
      </c>
      <c r="B21" s="133">
        <f>SUM(C21,E21,G21,I21,K21,O21)</f>
        <v>5689</v>
      </c>
      <c r="C21" s="134">
        <v>3203</v>
      </c>
      <c r="D21" s="135">
        <v>15807.822</v>
      </c>
      <c r="E21" s="134">
        <v>1709</v>
      </c>
      <c r="F21" s="162">
        <v>3270.5909999999999</v>
      </c>
      <c r="G21" s="134">
        <v>516</v>
      </c>
      <c r="H21" s="135">
        <v>1087.7809999999999</v>
      </c>
      <c r="I21" s="134">
        <v>204</v>
      </c>
      <c r="J21" s="135">
        <v>505.21499999999997</v>
      </c>
      <c r="K21" s="134">
        <v>41</v>
      </c>
      <c r="L21" s="135">
        <v>96.2</v>
      </c>
      <c r="M21" s="136" t="s">
        <v>291</v>
      </c>
      <c r="N21" s="137">
        <f t="shared" ref="N21:N27" si="5">SUM(H21,J21,L21)</f>
        <v>1689.1959999999999</v>
      </c>
      <c r="O21" s="134">
        <v>16</v>
      </c>
      <c r="P21" s="138">
        <v>48</v>
      </c>
      <c r="Q21" s="139" t="s">
        <v>21</v>
      </c>
      <c r="R21" s="131"/>
      <c r="S21" s="131"/>
      <c r="T21" s="124"/>
      <c r="U21" s="124"/>
    </row>
    <row r="22" spans="1:21" x14ac:dyDescent="0.3">
      <c r="A22" s="132" t="s">
        <v>22</v>
      </c>
      <c r="B22" s="133">
        <f t="shared" ref="B22:B32" si="6">SUM(C22,E22,G22,I22,K22,O22)</f>
        <v>514</v>
      </c>
      <c r="C22" s="134">
        <v>151</v>
      </c>
      <c r="D22" s="135">
        <v>764.2</v>
      </c>
      <c r="E22" s="134">
        <v>54</v>
      </c>
      <c r="F22" s="162">
        <v>152.5</v>
      </c>
      <c r="G22" s="134">
        <v>91</v>
      </c>
      <c r="H22" s="135">
        <v>175.6</v>
      </c>
      <c r="I22" s="134">
        <v>175</v>
      </c>
      <c r="J22" s="135">
        <v>348.8</v>
      </c>
      <c r="K22" s="134">
        <v>36</v>
      </c>
      <c r="L22" s="135">
        <v>66.7</v>
      </c>
      <c r="M22" s="136" t="s">
        <v>291</v>
      </c>
      <c r="N22" s="137">
        <f t="shared" si="5"/>
        <v>591.1</v>
      </c>
      <c r="O22" s="134">
        <v>7</v>
      </c>
      <c r="P22" s="138">
        <v>13</v>
      </c>
      <c r="Q22" s="139" t="s">
        <v>23</v>
      </c>
      <c r="R22" s="131"/>
      <c r="S22" s="131"/>
      <c r="T22" s="124"/>
      <c r="U22" s="124"/>
    </row>
    <row r="23" spans="1:21" x14ac:dyDescent="0.3">
      <c r="A23" s="132" t="s">
        <v>24</v>
      </c>
      <c r="B23" s="133">
        <f t="shared" si="6"/>
        <v>1951</v>
      </c>
      <c r="C23" s="134">
        <v>1205</v>
      </c>
      <c r="D23" s="135">
        <v>3673.8</v>
      </c>
      <c r="E23" s="134">
        <v>194</v>
      </c>
      <c r="F23" s="162">
        <v>269.8</v>
      </c>
      <c r="G23" s="134">
        <v>200</v>
      </c>
      <c r="H23" s="135">
        <v>468.6</v>
      </c>
      <c r="I23" s="134">
        <v>85</v>
      </c>
      <c r="J23" s="135">
        <v>172</v>
      </c>
      <c r="K23" s="134">
        <v>261</v>
      </c>
      <c r="L23" s="135">
        <v>361.1</v>
      </c>
      <c r="M23" s="136" t="s">
        <v>291</v>
      </c>
      <c r="N23" s="137">
        <f t="shared" si="5"/>
        <v>1001.7</v>
      </c>
      <c r="O23" s="134">
        <v>6</v>
      </c>
      <c r="P23" s="138">
        <v>4.3499999999999996</v>
      </c>
      <c r="Q23" s="139" t="s">
        <v>25</v>
      </c>
      <c r="R23" s="131"/>
      <c r="S23" s="131"/>
      <c r="T23" s="124"/>
      <c r="U23" s="124"/>
    </row>
    <row r="24" spans="1:21" x14ac:dyDescent="0.3">
      <c r="A24" s="132" t="s">
        <v>26</v>
      </c>
      <c r="B24" s="133">
        <f t="shared" si="6"/>
        <v>5294</v>
      </c>
      <c r="C24" s="134">
        <v>1278</v>
      </c>
      <c r="D24" s="135">
        <v>7928.63</v>
      </c>
      <c r="E24" s="134">
        <v>556</v>
      </c>
      <c r="F24" s="162">
        <v>1388.7</v>
      </c>
      <c r="G24" s="134">
        <v>1871</v>
      </c>
      <c r="H24" s="135">
        <v>6934.72</v>
      </c>
      <c r="I24" s="134">
        <v>314</v>
      </c>
      <c r="J24" s="135">
        <v>1174.71</v>
      </c>
      <c r="K24" s="134">
        <v>1272</v>
      </c>
      <c r="L24" s="135">
        <v>4369.05</v>
      </c>
      <c r="M24" s="136" t="s">
        <v>291</v>
      </c>
      <c r="N24" s="137">
        <f t="shared" si="5"/>
        <v>12478.48</v>
      </c>
      <c r="O24" s="134">
        <v>3</v>
      </c>
      <c r="P24" s="138">
        <v>9.35</v>
      </c>
      <c r="Q24" s="139" t="s">
        <v>27</v>
      </c>
      <c r="R24" s="131"/>
      <c r="S24" s="131"/>
      <c r="T24" s="124"/>
      <c r="U24" s="124"/>
    </row>
    <row r="25" spans="1:21" x14ac:dyDescent="0.3">
      <c r="A25" s="132" t="s">
        <v>28</v>
      </c>
      <c r="B25" s="133">
        <f t="shared" si="6"/>
        <v>1974</v>
      </c>
      <c r="C25" s="134">
        <v>1223</v>
      </c>
      <c r="D25" s="135">
        <v>5920.9</v>
      </c>
      <c r="E25" s="134">
        <v>426</v>
      </c>
      <c r="F25" s="162">
        <v>802.59</v>
      </c>
      <c r="G25" s="134">
        <v>158</v>
      </c>
      <c r="H25" s="135">
        <v>391</v>
      </c>
      <c r="I25" s="134">
        <v>109</v>
      </c>
      <c r="J25" s="135">
        <v>233.2</v>
      </c>
      <c r="K25" s="134">
        <v>58</v>
      </c>
      <c r="L25" s="135">
        <v>113.7</v>
      </c>
      <c r="M25" s="136" t="s">
        <v>291</v>
      </c>
      <c r="N25" s="137">
        <f t="shared" si="5"/>
        <v>737.90000000000009</v>
      </c>
      <c r="O25" s="140" t="s">
        <v>291</v>
      </c>
      <c r="P25" s="138" t="s">
        <v>291</v>
      </c>
      <c r="Q25" s="139" t="s">
        <v>29</v>
      </c>
      <c r="R25" s="131"/>
      <c r="S25" s="131"/>
      <c r="T25" s="124"/>
      <c r="U25" s="124"/>
    </row>
    <row r="26" spans="1:21" x14ac:dyDescent="0.3">
      <c r="A26" s="132" t="s">
        <v>30</v>
      </c>
      <c r="B26" s="133">
        <f t="shared" si="6"/>
        <v>5538</v>
      </c>
      <c r="C26" s="134">
        <v>1557</v>
      </c>
      <c r="D26" s="135">
        <v>5531.7060000000001</v>
      </c>
      <c r="E26" s="134">
        <v>1342</v>
      </c>
      <c r="F26" s="162">
        <v>2041.48</v>
      </c>
      <c r="G26" s="134">
        <v>187</v>
      </c>
      <c r="H26" s="135">
        <v>643.28</v>
      </c>
      <c r="I26" s="134">
        <v>683</v>
      </c>
      <c r="J26" s="135">
        <v>2621.4749999999999</v>
      </c>
      <c r="K26" s="134">
        <v>1741</v>
      </c>
      <c r="L26" s="135">
        <v>5055.4799999999996</v>
      </c>
      <c r="M26" s="136" t="s">
        <v>291</v>
      </c>
      <c r="N26" s="137">
        <f t="shared" si="5"/>
        <v>8320.2350000000006</v>
      </c>
      <c r="O26" s="134">
        <v>28</v>
      </c>
      <c r="P26" s="138">
        <v>86.8</v>
      </c>
      <c r="Q26" s="139" t="s">
        <v>31</v>
      </c>
      <c r="R26" s="131"/>
      <c r="S26" s="131"/>
      <c r="T26" s="124"/>
      <c r="U26" s="124"/>
    </row>
    <row r="27" spans="1:21" x14ac:dyDescent="0.3">
      <c r="A27" s="132" t="s">
        <v>32</v>
      </c>
      <c r="B27" s="133">
        <f t="shared" si="6"/>
        <v>1564</v>
      </c>
      <c r="C27" s="134">
        <v>617</v>
      </c>
      <c r="D27" s="135">
        <v>1031.5519999999999</v>
      </c>
      <c r="E27" s="134">
        <v>674</v>
      </c>
      <c r="F27" s="162">
        <v>313.10000000000002</v>
      </c>
      <c r="G27" s="134">
        <v>145</v>
      </c>
      <c r="H27" s="135">
        <v>213.4</v>
      </c>
      <c r="I27" s="134">
        <v>110</v>
      </c>
      <c r="J27" s="135">
        <v>164.29499999999999</v>
      </c>
      <c r="K27" s="134">
        <v>9</v>
      </c>
      <c r="L27" s="135">
        <v>14.2</v>
      </c>
      <c r="M27" s="136" t="s">
        <v>291</v>
      </c>
      <c r="N27" s="137">
        <f t="shared" si="5"/>
        <v>391.89499999999998</v>
      </c>
      <c r="O27" s="134">
        <v>9</v>
      </c>
      <c r="P27" s="138">
        <v>15.7</v>
      </c>
      <c r="Q27" s="139" t="s">
        <v>33</v>
      </c>
      <c r="R27" s="131"/>
      <c r="S27" s="131"/>
      <c r="T27" s="124"/>
      <c r="U27" s="124"/>
    </row>
    <row r="28" spans="1:21" x14ac:dyDescent="0.3">
      <c r="A28" s="141" t="s">
        <v>284</v>
      </c>
      <c r="B28" s="142">
        <f>SUM(B29:B32)</f>
        <v>17248</v>
      </c>
      <c r="C28" s="143">
        <f>SUM(C29:C32)</f>
        <v>344</v>
      </c>
      <c r="D28" s="143">
        <f>SUM(D29:D32)</f>
        <v>855.577</v>
      </c>
      <c r="E28" s="143">
        <f t="shared" ref="E28:I28" si="7">SUM(E29:E32)</f>
        <v>700</v>
      </c>
      <c r="F28" s="143">
        <f t="shared" si="7"/>
        <v>1253.374</v>
      </c>
      <c r="G28" s="143">
        <f t="shared" si="7"/>
        <v>7904</v>
      </c>
      <c r="H28" s="143">
        <f t="shared" si="7"/>
        <v>24827.988000000001</v>
      </c>
      <c r="I28" s="143">
        <f t="shared" si="7"/>
        <v>6187</v>
      </c>
      <c r="J28" s="143">
        <f>SUM(J29:J32)</f>
        <v>21348.588</v>
      </c>
      <c r="K28" s="143">
        <f>SUM(K29:K32)</f>
        <v>2110</v>
      </c>
      <c r="L28" s="143">
        <f>SUM(L29:L32)</f>
        <v>6469.5770000000002</v>
      </c>
      <c r="M28" s="144">
        <f>SUM(G28,I28,K28)</f>
        <v>16201</v>
      </c>
      <c r="N28" s="145">
        <f>SUM(H28,J28,L28)</f>
        <v>52646.152999999998</v>
      </c>
      <c r="O28" s="143">
        <f t="shared" ref="O28:P28" si="8">SUM(O29:O32)</f>
        <v>3</v>
      </c>
      <c r="P28" s="146">
        <f t="shared" si="8"/>
        <v>5.32</v>
      </c>
      <c r="Q28" s="147" t="s">
        <v>285</v>
      </c>
      <c r="R28" s="129"/>
      <c r="S28" s="131"/>
      <c r="T28" s="124"/>
      <c r="U28" s="124"/>
    </row>
    <row r="29" spans="1:21" x14ac:dyDescent="0.3">
      <c r="A29" s="132" t="s">
        <v>34</v>
      </c>
      <c r="B29" s="133">
        <f t="shared" si="6"/>
        <v>10433</v>
      </c>
      <c r="C29" s="134">
        <v>103</v>
      </c>
      <c r="D29" s="135">
        <v>308.96300000000002</v>
      </c>
      <c r="E29" s="134">
        <v>228</v>
      </c>
      <c r="F29" s="162">
        <v>359.43200000000002</v>
      </c>
      <c r="G29" s="134">
        <v>4132</v>
      </c>
      <c r="H29" s="135">
        <v>12737.941000000001</v>
      </c>
      <c r="I29" s="134">
        <v>4140</v>
      </c>
      <c r="J29" s="135">
        <v>13938.067999999999</v>
      </c>
      <c r="K29" s="134">
        <v>1829</v>
      </c>
      <c r="L29" s="135">
        <v>5588.3019999999997</v>
      </c>
      <c r="M29" s="136" t="s">
        <v>291</v>
      </c>
      <c r="N29" s="137">
        <f t="shared" ref="N29:N32" si="9">SUM(H29,J29,L29)</f>
        <v>32264.310999999998</v>
      </c>
      <c r="O29" s="134">
        <v>1</v>
      </c>
      <c r="P29" s="138">
        <v>1.32</v>
      </c>
      <c r="Q29" s="139" t="s">
        <v>35</v>
      </c>
      <c r="R29" s="131"/>
      <c r="S29" s="131"/>
      <c r="T29" s="124"/>
      <c r="U29" s="124"/>
    </row>
    <row r="30" spans="1:21" x14ac:dyDescent="0.3">
      <c r="A30" s="132" t="s">
        <v>36</v>
      </c>
      <c r="B30" s="133">
        <f t="shared" si="6"/>
        <v>545</v>
      </c>
      <c r="C30" s="134">
        <v>45</v>
      </c>
      <c r="D30" s="135">
        <v>123</v>
      </c>
      <c r="E30" s="134">
        <v>180</v>
      </c>
      <c r="F30" s="162">
        <v>301.5</v>
      </c>
      <c r="G30" s="134">
        <v>176</v>
      </c>
      <c r="H30" s="135">
        <v>474.5</v>
      </c>
      <c r="I30" s="134">
        <v>63</v>
      </c>
      <c r="J30" s="135">
        <v>164.3</v>
      </c>
      <c r="K30" s="134">
        <v>80</v>
      </c>
      <c r="L30" s="135">
        <v>203.3</v>
      </c>
      <c r="M30" s="136" t="s">
        <v>291</v>
      </c>
      <c r="N30" s="137">
        <f t="shared" si="9"/>
        <v>842.09999999999991</v>
      </c>
      <c r="O30" s="134">
        <v>1</v>
      </c>
      <c r="P30" s="138">
        <v>2</v>
      </c>
      <c r="Q30" s="139" t="s">
        <v>37</v>
      </c>
      <c r="R30" s="131"/>
      <c r="S30" s="131"/>
      <c r="T30" s="124"/>
      <c r="U30" s="124"/>
    </row>
    <row r="31" spans="1:21" x14ac:dyDescent="0.3">
      <c r="A31" s="132" t="s">
        <v>38</v>
      </c>
      <c r="B31" s="133">
        <f t="shared" si="6"/>
        <v>2002</v>
      </c>
      <c r="C31" s="134">
        <v>107</v>
      </c>
      <c r="D31" s="135">
        <v>219</v>
      </c>
      <c r="E31" s="134">
        <v>159</v>
      </c>
      <c r="F31" s="162">
        <v>326.346</v>
      </c>
      <c r="G31" s="134">
        <v>1338</v>
      </c>
      <c r="H31" s="135">
        <v>2717</v>
      </c>
      <c r="I31" s="134">
        <v>391</v>
      </c>
      <c r="J31" s="135">
        <v>1173.5999999999999</v>
      </c>
      <c r="K31" s="134">
        <v>7</v>
      </c>
      <c r="L31" s="135">
        <v>14</v>
      </c>
      <c r="M31" s="136" t="s">
        <v>291</v>
      </c>
      <c r="N31" s="137">
        <f t="shared" si="9"/>
        <v>3904.6</v>
      </c>
      <c r="O31" s="134" t="s">
        <v>291</v>
      </c>
      <c r="P31" s="138" t="s">
        <v>291</v>
      </c>
      <c r="Q31" s="139" t="s">
        <v>39</v>
      </c>
      <c r="R31" s="131"/>
      <c r="S31" s="131"/>
      <c r="T31" s="124"/>
      <c r="U31" s="124"/>
    </row>
    <row r="32" spans="1:21" x14ac:dyDescent="0.3">
      <c r="A32" s="132" t="s">
        <v>40</v>
      </c>
      <c r="B32" s="133">
        <f t="shared" si="6"/>
        <v>4268</v>
      </c>
      <c r="C32" s="134">
        <v>89</v>
      </c>
      <c r="D32" s="135">
        <v>204.614</v>
      </c>
      <c r="E32" s="134">
        <v>133</v>
      </c>
      <c r="F32" s="162">
        <v>266.096</v>
      </c>
      <c r="G32" s="134">
        <v>2258</v>
      </c>
      <c r="H32" s="135">
        <v>8898.5470000000005</v>
      </c>
      <c r="I32" s="134">
        <v>1593</v>
      </c>
      <c r="J32" s="135">
        <v>6072.62</v>
      </c>
      <c r="K32" s="134">
        <v>194</v>
      </c>
      <c r="L32" s="135">
        <v>663.97500000000002</v>
      </c>
      <c r="M32" s="136" t="s">
        <v>291</v>
      </c>
      <c r="N32" s="137">
        <f t="shared" si="9"/>
        <v>15635.142000000002</v>
      </c>
      <c r="O32" s="134">
        <v>1</v>
      </c>
      <c r="P32" s="138">
        <v>2</v>
      </c>
      <c r="Q32" s="139" t="s">
        <v>41</v>
      </c>
      <c r="R32" s="131"/>
      <c r="S32" s="131"/>
      <c r="T32" s="124"/>
      <c r="U32" s="124"/>
    </row>
    <row r="33" spans="1:21" x14ac:dyDescent="0.3">
      <c r="A33" s="216" t="s">
        <v>42</v>
      </c>
      <c r="B33" s="217">
        <f>SUM(B35:B38)</f>
        <v>7625</v>
      </c>
      <c r="C33" s="190">
        <f>SUM(C35:C38)</f>
        <v>733</v>
      </c>
      <c r="D33" s="190">
        <f t="shared" ref="D33:P33" si="10">SUM(D35:D38)</f>
        <v>3125.79</v>
      </c>
      <c r="E33" s="190">
        <f t="shared" si="10"/>
        <v>369</v>
      </c>
      <c r="F33" s="190">
        <f t="shared" si="10"/>
        <v>945.61</v>
      </c>
      <c r="G33" s="190">
        <f t="shared" si="10"/>
        <v>3474</v>
      </c>
      <c r="H33" s="190">
        <f t="shared" si="10"/>
        <v>4946.6390000000001</v>
      </c>
      <c r="I33" s="190">
        <f t="shared" si="10"/>
        <v>2928</v>
      </c>
      <c r="J33" s="190">
        <f t="shared" si="10"/>
        <v>5891.95</v>
      </c>
      <c r="K33" s="190">
        <f t="shared" si="10"/>
        <v>116</v>
      </c>
      <c r="L33" s="190">
        <f>SUM(L35:L38)</f>
        <v>242</v>
      </c>
      <c r="M33" s="190">
        <f>SUM(G33,I33,K33)</f>
        <v>6518</v>
      </c>
      <c r="N33" s="190">
        <f>SUM(H33,J33,L33)</f>
        <v>11080.589</v>
      </c>
      <c r="O33" s="190">
        <f t="shared" si="10"/>
        <v>5</v>
      </c>
      <c r="P33" s="191">
        <f t="shared" si="10"/>
        <v>16</v>
      </c>
      <c r="Q33" s="219" t="s">
        <v>43</v>
      </c>
      <c r="R33" s="219"/>
      <c r="S33" s="131"/>
      <c r="T33" s="124"/>
      <c r="U33" s="124"/>
    </row>
    <row r="34" spans="1:21" x14ac:dyDescent="0.3">
      <c r="A34" s="216"/>
      <c r="B34" s="217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1"/>
      <c r="Q34" s="219"/>
      <c r="R34" s="219"/>
      <c r="S34" s="131"/>
      <c r="T34" s="124"/>
      <c r="U34" s="124"/>
    </row>
    <row r="35" spans="1:21" x14ac:dyDescent="0.3">
      <c r="A35" s="132" t="s">
        <v>44</v>
      </c>
      <c r="B35" s="133">
        <f>SUM(C35,E35,G35,I35,K35,O35)</f>
        <v>4399</v>
      </c>
      <c r="C35" s="134">
        <v>3</v>
      </c>
      <c r="D35" s="135">
        <v>13</v>
      </c>
      <c r="E35" s="134">
        <v>83</v>
      </c>
      <c r="F35" s="162">
        <v>177</v>
      </c>
      <c r="G35" s="134">
        <v>1569</v>
      </c>
      <c r="H35" s="135">
        <v>2587.8040000000001</v>
      </c>
      <c r="I35" s="134">
        <v>2723</v>
      </c>
      <c r="J35" s="135">
        <v>5237.6499999999996</v>
      </c>
      <c r="K35" s="134">
        <v>21</v>
      </c>
      <c r="L35" s="135">
        <v>33.200000000000003</v>
      </c>
      <c r="M35" s="136" t="s">
        <v>291</v>
      </c>
      <c r="N35" s="137">
        <f t="shared" ref="N35:N38" si="11">SUM(H35,J35,L35)</f>
        <v>7858.6539999999995</v>
      </c>
      <c r="O35" s="134" t="s">
        <v>291</v>
      </c>
      <c r="P35" s="138" t="s">
        <v>291</v>
      </c>
      <c r="Q35" s="139" t="s">
        <v>45</v>
      </c>
      <c r="R35" s="131"/>
      <c r="S35" s="131"/>
      <c r="T35" s="124"/>
      <c r="U35" s="124"/>
    </row>
    <row r="36" spans="1:21" x14ac:dyDescent="0.3">
      <c r="A36" s="132" t="s">
        <v>46</v>
      </c>
      <c r="B36" s="133">
        <f>SUM(C36,E36,G36,I36,K36,O36)</f>
        <v>1693</v>
      </c>
      <c r="C36" s="134">
        <v>34</v>
      </c>
      <c r="D36" s="135">
        <v>26.09</v>
      </c>
      <c r="E36" s="134">
        <v>18</v>
      </c>
      <c r="F36" s="162">
        <v>11.11</v>
      </c>
      <c r="G36" s="134">
        <v>1628</v>
      </c>
      <c r="H36" s="135">
        <v>1582.335</v>
      </c>
      <c r="I36" s="134">
        <v>13</v>
      </c>
      <c r="J36" s="135">
        <v>11.4</v>
      </c>
      <c r="K36" s="140" t="s">
        <v>291</v>
      </c>
      <c r="L36" s="135" t="s">
        <v>291</v>
      </c>
      <c r="M36" s="136" t="s">
        <v>291</v>
      </c>
      <c r="N36" s="137">
        <f t="shared" si="11"/>
        <v>1593.7350000000001</v>
      </c>
      <c r="O36" s="140" t="s">
        <v>291</v>
      </c>
      <c r="P36" s="138" t="s">
        <v>291</v>
      </c>
      <c r="Q36" s="139" t="s">
        <v>47</v>
      </c>
      <c r="R36" s="131"/>
      <c r="S36" s="131"/>
      <c r="T36" s="124"/>
      <c r="U36" s="124"/>
    </row>
    <row r="37" spans="1:21" x14ac:dyDescent="0.3">
      <c r="A37" s="132" t="s">
        <v>48</v>
      </c>
      <c r="B37" s="133">
        <f>SUM(C37,E37,G37,I37,K37,O37)</f>
        <v>673</v>
      </c>
      <c r="C37" s="134">
        <v>300</v>
      </c>
      <c r="D37" s="135">
        <v>1254.8</v>
      </c>
      <c r="E37" s="134">
        <v>88</v>
      </c>
      <c r="F37" s="162">
        <v>219</v>
      </c>
      <c r="G37" s="134">
        <v>166</v>
      </c>
      <c r="H37" s="135">
        <v>483</v>
      </c>
      <c r="I37" s="134">
        <v>107</v>
      </c>
      <c r="J37" s="135">
        <v>339.8</v>
      </c>
      <c r="K37" s="134">
        <v>7</v>
      </c>
      <c r="L37" s="135">
        <v>20</v>
      </c>
      <c r="M37" s="136" t="s">
        <v>291</v>
      </c>
      <c r="N37" s="137">
        <f t="shared" si="11"/>
        <v>842.8</v>
      </c>
      <c r="O37" s="134">
        <v>5</v>
      </c>
      <c r="P37" s="138">
        <v>16</v>
      </c>
      <c r="Q37" s="139" t="s">
        <v>49</v>
      </c>
      <c r="R37" s="131"/>
      <c r="S37" s="131"/>
      <c r="T37" s="124"/>
      <c r="U37" s="124"/>
    </row>
    <row r="38" spans="1:21" x14ac:dyDescent="0.3">
      <c r="A38" s="132" t="s">
        <v>50</v>
      </c>
      <c r="B38" s="133">
        <f>SUM(C38,E38,G38,I38,K38,O38)</f>
        <v>860</v>
      </c>
      <c r="C38" s="134">
        <v>396</v>
      </c>
      <c r="D38" s="135">
        <v>1831.9</v>
      </c>
      <c r="E38" s="134">
        <v>180</v>
      </c>
      <c r="F38" s="162">
        <v>538.5</v>
      </c>
      <c r="G38" s="134">
        <v>111</v>
      </c>
      <c r="H38" s="135">
        <v>293.5</v>
      </c>
      <c r="I38" s="134">
        <v>85</v>
      </c>
      <c r="J38" s="135">
        <v>303.10000000000002</v>
      </c>
      <c r="K38" s="134">
        <v>88</v>
      </c>
      <c r="L38" s="135">
        <v>188.8</v>
      </c>
      <c r="M38" s="136" t="s">
        <v>291</v>
      </c>
      <c r="N38" s="137">
        <f t="shared" si="11"/>
        <v>785.40000000000009</v>
      </c>
      <c r="O38" s="140" t="s">
        <v>291</v>
      </c>
      <c r="P38" s="138" t="s">
        <v>291</v>
      </c>
      <c r="Q38" s="139" t="s">
        <v>51</v>
      </c>
      <c r="R38" s="131"/>
      <c r="S38" s="131"/>
      <c r="T38" s="124"/>
      <c r="U38" s="124"/>
    </row>
    <row r="39" spans="1:21" x14ac:dyDescent="0.3">
      <c r="A39" s="216" t="s">
        <v>52</v>
      </c>
      <c r="B39" s="217">
        <f>SUM(B41:B45)</f>
        <v>17581</v>
      </c>
      <c r="C39" s="190">
        <f>SUM(C41:C45)</f>
        <v>6167</v>
      </c>
      <c r="D39" s="190">
        <f t="shared" ref="D39:P39" si="12">SUM(D41:D45)</f>
        <v>32713.160000000003</v>
      </c>
      <c r="E39" s="190">
        <f t="shared" si="12"/>
        <v>5603</v>
      </c>
      <c r="F39" s="190">
        <f t="shared" si="12"/>
        <v>14738.439999999999</v>
      </c>
      <c r="G39" s="190">
        <f t="shared" si="12"/>
        <v>1932</v>
      </c>
      <c r="H39" s="190">
        <f t="shared" si="12"/>
        <v>4443.6949999999997</v>
      </c>
      <c r="I39" s="190">
        <f t="shared" si="12"/>
        <v>2845</v>
      </c>
      <c r="J39" s="190">
        <f t="shared" si="12"/>
        <v>4985.7839999999997</v>
      </c>
      <c r="K39" s="190">
        <f t="shared" si="12"/>
        <v>1022</v>
      </c>
      <c r="L39" s="190">
        <f t="shared" si="12"/>
        <v>2773.3830000000003</v>
      </c>
      <c r="M39" s="190">
        <f>SUM(G39,I39,K39)</f>
        <v>5799</v>
      </c>
      <c r="N39" s="190">
        <f>SUM(H39,J39,L39)</f>
        <v>12202.861999999999</v>
      </c>
      <c r="O39" s="190">
        <f t="shared" si="12"/>
        <v>12</v>
      </c>
      <c r="P39" s="191">
        <f t="shared" si="12"/>
        <v>23.18</v>
      </c>
      <c r="Q39" s="219" t="s">
        <v>53</v>
      </c>
      <c r="R39" s="219"/>
      <c r="S39" s="131"/>
      <c r="T39" s="124"/>
      <c r="U39" s="124"/>
    </row>
    <row r="40" spans="1:21" x14ac:dyDescent="0.3">
      <c r="A40" s="216"/>
      <c r="B40" s="217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1"/>
      <c r="Q40" s="219"/>
      <c r="R40" s="219"/>
      <c r="S40" s="131"/>
      <c r="T40" s="124"/>
      <c r="U40" s="124"/>
    </row>
    <row r="41" spans="1:21" x14ac:dyDescent="0.3">
      <c r="A41" s="132" t="s">
        <v>54</v>
      </c>
      <c r="B41" s="133">
        <f t="shared" ref="B41:B45" si="13">SUM(C41,E41,G41,I41,K41,O41)</f>
        <v>5330</v>
      </c>
      <c r="C41" s="134">
        <v>3218</v>
      </c>
      <c r="D41" s="135">
        <v>18940.25</v>
      </c>
      <c r="E41" s="134">
        <v>348</v>
      </c>
      <c r="F41" s="162">
        <v>997.42</v>
      </c>
      <c r="G41" s="134">
        <v>669</v>
      </c>
      <c r="H41" s="135">
        <v>2037.58</v>
      </c>
      <c r="I41" s="134">
        <v>546</v>
      </c>
      <c r="J41" s="135">
        <v>1928.35</v>
      </c>
      <c r="K41" s="134">
        <v>545</v>
      </c>
      <c r="L41" s="135">
        <v>1902.585</v>
      </c>
      <c r="M41" s="136" t="s">
        <v>291</v>
      </c>
      <c r="N41" s="137">
        <f t="shared" ref="N41:N45" si="14">SUM(H41,J41,L41)</f>
        <v>5868.5149999999994</v>
      </c>
      <c r="O41" s="134">
        <v>4</v>
      </c>
      <c r="P41" s="138">
        <v>9</v>
      </c>
      <c r="Q41" s="139" t="s">
        <v>55</v>
      </c>
      <c r="R41" s="131"/>
      <c r="S41" s="131"/>
      <c r="T41" s="124"/>
      <c r="U41" s="124"/>
    </row>
    <row r="42" spans="1:21" x14ac:dyDescent="0.3">
      <c r="A42" s="132" t="s">
        <v>56</v>
      </c>
      <c r="B42" s="133">
        <f t="shared" si="13"/>
        <v>5020</v>
      </c>
      <c r="C42" s="134">
        <v>745</v>
      </c>
      <c r="D42" s="135">
        <v>3052.76</v>
      </c>
      <c r="E42" s="134">
        <v>2037</v>
      </c>
      <c r="F42" s="162">
        <v>6012.24</v>
      </c>
      <c r="G42" s="134">
        <v>498</v>
      </c>
      <c r="H42" s="135">
        <v>884.71500000000003</v>
      </c>
      <c r="I42" s="134">
        <v>1479</v>
      </c>
      <c r="J42" s="135">
        <v>1691.2840000000001</v>
      </c>
      <c r="K42" s="134">
        <v>261</v>
      </c>
      <c r="L42" s="135">
        <v>478.39800000000002</v>
      </c>
      <c r="M42" s="136" t="s">
        <v>291</v>
      </c>
      <c r="N42" s="137">
        <f t="shared" si="14"/>
        <v>3054.3970000000004</v>
      </c>
      <c r="O42" s="140" t="s">
        <v>291</v>
      </c>
      <c r="P42" s="138" t="s">
        <v>291</v>
      </c>
      <c r="Q42" s="139" t="s">
        <v>57</v>
      </c>
      <c r="R42" s="131"/>
      <c r="S42" s="131"/>
      <c r="T42" s="124"/>
      <c r="U42" s="124"/>
    </row>
    <row r="43" spans="1:21" x14ac:dyDescent="0.3">
      <c r="A43" s="132" t="s">
        <v>58</v>
      </c>
      <c r="B43" s="133">
        <f t="shared" si="13"/>
        <v>1014</v>
      </c>
      <c r="C43" s="134">
        <v>487</v>
      </c>
      <c r="D43" s="135">
        <v>2154</v>
      </c>
      <c r="E43" s="134">
        <v>341</v>
      </c>
      <c r="F43" s="162">
        <v>796.7</v>
      </c>
      <c r="G43" s="134">
        <v>78</v>
      </c>
      <c r="H43" s="135">
        <v>177.3</v>
      </c>
      <c r="I43" s="134">
        <v>54</v>
      </c>
      <c r="J43" s="135">
        <v>137.4</v>
      </c>
      <c r="K43" s="134">
        <v>53</v>
      </c>
      <c r="L43" s="135">
        <v>107.65</v>
      </c>
      <c r="M43" s="136" t="s">
        <v>291</v>
      </c>
      <c r="N43" s="137">
        <f t="shared" si="14"/>
        <v>422.35</v>
      </c>
      <c r="O43" s="134">
        <v>1</v>
      </c>
      <c r="P43" s="138">
        <v>2.1</v>
      </c>
      <c r="Q43" s="139" t="s">
        <v>59</v>
      </c>
      <c r="R43" s="131"/>
      <c r="S43" s="131"/>
      <c r="T43" s="124"/>
      <c r="U43" s="124"/>
    </row>
    <row r="44" spans="1:21" x14ac:dyDescent="0.3">
      <c r="A44" s="132" t="s">
        <v>60</v>
      </c>
      <c r="B44" s="133">
        <f t="shared" si="13"/>
        <v>3</v>
      </c>
      <c r="C44" s="134">
        <v>2</v>
      </c>
      <c r="D44" s="135">
        <v>7.4</v>
      </c>
      <c r="E44" s="134">
        <v>1</v>
      </c>
      <c r="F44" s="162">
        <v>2</v>
      </c>
      <c r="G44" s="134" t="s">
        <v>291</v>
      </c>
      <c r="H44" s="135" t="s">
        <v>291</v>
      </c>
      <c r="I44" s="134" t="s">
        <v>291</v>
      </c>
      <c r="J44" s="135" t="s">
        <v>291</v>
      </c>
      <c r="K44" s="140" t="s">
        <v>291</v>
      </c>
      <c r="L44" s="135" t="s">
        <v>291</v>
      </c>
      <c r="M44" s="136" t="s">
        <v>291</v>
      </c>
      <c r="N44" s="137">
        <f t="shared" si="14"/>
        <v>0</v>
      </c>
      <c r="O44" s="140" t="s">
        <v>291</v>
      </c>
      <c r="P44" s="138" t="s">
        <v>291</v>
      </c>
      <c r="Q44" s="220" t="s">
        <v>61</v>
      </c>
      <c r="R44" s="220"/>
      <c r="S44" s="131"/>
      <c r="T44" s="124"/>
      <c r="U44" s="124"/>
    </row>
    <row r="45" spans="1:21" x14ac:dyDescent="0.3">
      <c r="A45" s="132" t="s">
        <v>62</v>
      </c>
      <c r="B45" s="133">
        <f t="shared" si="13"/>
        <v>6214</v>
      </c>
      <c r="C45" s="134">
        <v>1715</v>
      </c>
      <c r="D45" s="135">
        <v>8558.75</v>
      </c>
      <c r="E45" s="134">
        <v>2876</v>
      </c>
      <c r="F45" s="162">
        <v>6930.08</v>
      </c>
      <c r="G45" s="134">
        <v>687</v>
      </c>
      <c r="H45" s="135">
        <v>1344.1</v>
      </c>
      <c r="I45" s="134">
        <v>766</v>
      </c>
      <c r="J45" s="135">
        <v>1228.75</v>
      </c>
      <c r="K45" s="134">
        <v>163</v>
      </c>
      <c r="L45" s="135">
        <v>284.75</v>
      </c>
      <c r="M45" s="136" t="s">
        <v>291</v>
      </c>
      <c r="N45" s="137">
        <f t="shared" si="14"/>
        <v>2857.6</v>
      </c>
      <c r="O45" s="134">
        <v>7</v>
      </c>
      <c r="P45" s="138">
        <v>12.08</v>
      </c>
      <c r="Q45" s="139" t="s">
        <v>63</v>
      </c>
      <c r="R45" s="131"/>
      <c r="S45" s="131"/>
      <c r="T45" s="124"/>
      <c r="U45" s="124"/>
    </row>
    <row r="46" spans="1:21" x14ac:dyDescent="0.3">
      <c r="A46" s="218" t="s">
        <v>64</v>
      </c>
      <c r="B46" s="217">
        <f>SUM(B48:B52)</f>
        <v>28254</v>
      </c>
      <c r="C46" s="190">
        <f>SUM(C48:C52)</f>
        <v>4926</v>
      </c>
      <c r="D46" s="190">
        <f t="shared" ref="D46:P46" si="15">SUM(D48:D52)</f>
        <v>23273.805</v>
      </c>
      <c r="E46" s="190">
        <f t="shared" si="15"/>
        <v>5320</v>
      </c>
      <c r="F46" s="190">
        <f t="shared" si="15"/>
        <v>14649.813999999998</v>
      </c>
      <c r="G46" s="190">
        <f t="shared" si="15"/>
        <v>4163</v>
      </c>
      <c r="H46" s="190">
        <f t="shared" si="15"/>
        <v>10151.336000000001</v>
      </c>
      <c r="I46" s="190">
        <f t="shared" si="15"/>
        <v>7538</v>
      </c>
      <c r="J46" s="190">
        <f t="shared" si="15"/>
        <v>24290.817000000003</v>
      </c>
      <c r="K46" s="190">
        <f t="shared" si="15"/>
        <v>6270</v>
      </c>
      <c r="L46" s="190">
        <f t="shared" si="15"/>
        <v>21503.232</v>
      </c>
      <c r="M46" s="190">
        <f>SUM(G46,I46,K46)</f>
        <v>17971</v>
      </c>
      <c r="N46" s="190">
        <f>SUM(H46,J46,L46)</f>
        <v>55945.385000000009</v>
      </c>
      <c r="O46" s="190">
        <f t="shared" si="15"/>
        <v>37</v>
      </c>
      <c r="P46" s="191">
        <f t="shared" si="15"/>
        <v>52.949999999999996</v>
      </c>
      <c r="Q46" s="221" t="s">
        <v>65</v>
      </c>
      <c r="R46" s="221"/>
      <c r="S46" s="131"/>
      <c r="T46" s="124"/>
      <c r="U46" s="124"/>
    </row>
    <row r="47" spans="1:21" x14ac:dyDescent="0.3">
      <c r="A47" s="218"/>
      <c r="B47" s="217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1"/>
      <c r="Q47" s="221"/>
      <c r="R47" s="221"/>
      <c r="S47" s="131"/>
      <c r="T47" s="124"/>
      <c r="U47" s="124"/>
    </row>
    <row r="48" spans="1:21" x14ac:dyDescent="0.3">
      <c r="A48" s="132" t="s">
        <v>66</v>
      </c>
      <c r="B48" s="133">
        <f t="shared" ref="B48:B52" si="16">SUM(C48,E48,G48,I48,K48,O48)</f>
        <v>4104</v>
      </c>
      <c r="C48" s="134">
        <v>568</v>
      </c>
      <c r="D48" s="135">
        <v>1850.175</v>
      </c>
      <c r="E48" s="134">
        <v>469</v>
      </c>
      <c r="F48" s="162">
        <v>988.36800000000005</v>
      </c>
      <c r="G48" s="134">
        <v>1224</v>
      </c>
      <c r="H48" s="135">
        <v>2856.7559999999999</v>
      </c>
      <c r="I48" s="134">
        <v>1360</v>
      </c>
      <c r="J48" s="135">
        <v>2779.59</v>
      </c>
      <c r="K48" s="134">
        <v>456</v>
      </c>
      <c r="L48" s="135">
        <v>741.26800000000003</v>
      </c>
      <c r="M48" s="136" t="s">
        <v>291</v>
      </c>
      <c r="N48" s="137">
        <f t="shared" ref="N48:N52" si="17">SUM(H48,J48,L48)</f>
        <v>6377.6139999999996</v>
      </c>
      <c r="O48" s="134">
        <v>27</v>
      </c>
      <c r="P48" s="138">
        <v>37.549999999999997</v>
      </c>
      <c r="Q48" s="139" t="s">
        <v>67</v>
      </c>
      <c r="R48" s="131"/>
      <c r="S48" s="131"/>
      <c r="T48" s="124"/>
      <c r="U48" s="124"/>
    </row>
    <row r="49" spans="1:21" x14ac:dyDescent="0.3">
      <c r="A49" s="132" t="s">
        <v>68</v>
      </c>
      <c r="B49" s="133">
        <f t="shared" si="16"/>
        <v>17339</v>
      </c>
      <c r="C49" s="134">
        <v>3131</v>
      </c>
      <c r="D49" s="135">
        <v>18473.3</v>
      </c>
      <c r="E49" s="134">
        <v>3832</v>
      </c>
      <c r="F49" s="162">
        <v>11432.016</v>
      </c>
      <c r="G49" s="134">
        <v>1072</v>
      </c>
      <c r="H49" s="135">
        <v>3528.3</v>
      </c>
      <c r="I49" s="134">
        <v>4758</v>
      </c>
      <c r="J49" s="135">
        <v>18558.577000000001</v>
      </c>
      <c r="K49" s="134">
        <v>4544</v>
      </c>
      <c r="L49" s="135">
        <v>17696.964</v>
      </c>
      <c r="M49" s="136" t="s">
        <v>291</v>
      </c>
      <c r="N49" s="137">
        <f t="shared" si="17"/>
        <v>39783.841</v>
      </c>
      <c r="O49" s="140">
        <v>2</v>
      </c>
      <c r="P49" s="138">
        <v>2</v>
      </c>
      <c r="Q49" s="139" t="s">
        <v>69</v>
      </c>
      <c r="R49" s="131"/>
      <c r="S49" s="131"/>
      <c r="T49" s="124"/>
      <c r="U49" s="124"/>
    </row>
    <row r="50" spans="1:21" x14ac:dyDescent="0.3">
      <c r="A50" s="132" t="s">
        <v>70</v>
      </c>
      <c r="B50" s="133">
        <f t="shared" si="16"/>
        <v>6209</v>
      </c>
      <c r="C50" s="134">
        <v>1211</v>
      </c>
      <c r="D50" s="135">
        <v>2904</v>
      </c>
      <c r="E50" s="134">
        <v>1007</v>
      </c>
      <c r="F50" s="162">
        <v>2216.38</v>
      </c>
      <c r="G50" s="134">
        <v>1789</v>
      </c>
      <c r="H50" s="135">
        <v>3612.88</v>
      </c>
      <c r="I50" s="134">
        <v>941</v>
      </c>
      <c r="J50" s="135">
        <v>2413.5</v>
      </c>
      <c r="K50" s="134">
        <v>1253</v>
      </c>
      <c r="L50" s="135">
        <v>3048</v>
      </c>
      <c r="M50" s="136" t="s">
        <v>291</v>
      </c>
      <c r="N50" s="137">
        <f t="shared" si="17"/>
        <v>9074.380000000001</v>
      </c>
      <c r="O50" s="134">
        <v>8</v>
      </c>
      <c r="P50" s="138">
        <v>13.4</v>
      </c>
      <c r="Q50" s="139" t="s">
        <v>71</v>
      </c>
      <c r="R50" s="131"/>
      <c r="S50" s="131"/>
      <c r="T50" s="124"/>
      <c r="U50" s="124"/>
    </row>
    <row r="51" spans="1:21" x14ac:dyDescent="0.3">
      <c r="A51" s="132" t="s">
        <v>72</v>
      </c>
      <c r="B51" s="133">
        <f t="shared" si="16"/>
        <v>306</v>
      </c>
      <c r="C51" s="134">
        <v>3</v>
      </c>
      <c r="D51" s="135">
        <v>0.83</v>
      </c>
      <c r="E51" s="134">
        <v>4</v>
      </c>
      <c r="F51" s="162">
        <v>0.75</v>
      </c>
      <c r="G51" s="140" t="s">
        <v>291</v>
      </c>
      <c r="H51" s="135" t="s">
        <v>291</v>
      </c>
      <c r="I51" s="134">
        <v>297</v>
      </c>
      <c r="J51" s="135">
        <v>292.5</v>
      </c>
      <c r="K51" s="140">
        <v>2</v>
      </c>
      <c r="L51" s="135">
        <v>2</v>
      </c>
      <c r="M51" s="136" t="s">
        <v>291</v>
      </c>
      <c r="N51" s="137">
        <f t="shared" si="17"/>
        <v>294.5</v>
      </c>
      <c r="O51" s="140" t="s">
        <v>291</v>
      </c>
      <c r="P51" s="138" t="s">
        <v>291</v>
      </c>
      <c r="Q51" s="139" t="s">
        <v>73</v>
      </c>
      <c r="R51" s="131"/>
      <c r="S51" s="131"/>
      <c r="T51" s="124"/>
      <c r="U51" s="124"/>
    </row>
    <row r="52" spans="1:21" x14ac:dyDescent="0.3">
      <c r="A52" s="132" t="s">
        <v>74</v>
      </c>
      <c r="B52" s="133">
        <f t="shared" si="16"/>
        <v>296</v>
      </c>
      <c r="C52" s="134">
        <v>13</v>
      </c>
      <c r="D52" s="135">
        <v>45.5</v>
      </c>
      <c r="E52" s="134">
        <v>8</v>
      </c>
      <c r="F52" s="162">
        <v>12.3</v>
      </c>
      <c r="G52" s="134">
        <v>78</v>
      </c>
      <c r="H52" s="135">
        <v>153.4</v>
      </c>
      <c r="I52" s="134">
        <v>182</v>
      </c>
      <c r="J52" s="135">
        <v>246.65</v>
      </c>
      <c r="K52" s="134">
        <v>15</v>
      </c>
      <c r="L52" s="135">
        <v>15</v>
      </c>
      <c r="M52" s="136" t="s">
        <v>291</v>
      </c>
      <c r="N52" s="137">
        <f t="shared" si="17"/>
        <v>415.05</v>
      </c>
      <c r="O52" s="140" t="s">
        <v>291</v>
      </c>
      <c r="P52" s="138" t="s">
        <v>291</v>
      </c>
      <c r="Q52" s="139" t="s">
        <v>75</v>
      </c>
      <c r="R52" s="131"/>
      <c r="S52" s="131"/>
      <c r="T52" s="124"/>
      <c r="U52" s="124"/>
    </row>
    <row r="53" spans="1:21" x14ac:dyDescent="0.3">
      <c r="A53" s="216" t="s">
        <v>76</v>
      </c>
      <c r="B53" s="217">
        <f>SUM(B55:B59)</f>
        <v>4247</v>
      </c>
      <c r="C53" s="190">
        <f>SUM(C55:C59)</f>
        <v>291</v>
      </c>
      <c r="D53" s="190">
        <f t="shared" ref="D53:P53" si="18">SUM(D55:D59)</f>
        <v>692.3</v>
      </c>
      <c r="E53" s="190">
        <f t="shared" si="18"/>
        <v>309</v>
      </c>
      <c r="F53" s="190">
        <f t="shared" si="18"/>
        <v>494.5</v>
      </c>
      <c r="G53" s="190">
        <f t="shared" si="18"/>
        <v>1501</v>
      </c>
      <c r="H53" s="190">
        <f t="shared" si="18"/>
        <v>1917.8389999999999</v>
      </c>
      <c r="I53" s="190">
        <f t="shared" si="18"/>
        <v>1762</v>
      </c>
      <c r="J53" s="190">
        <f t="shared" si="18"/>
        <v>1611.7460000000001</v>
      </c>
      <c r="K53" s="190">
        <f t="shared" si="18"/>
        <v>375</v>
      </c>
      <c r="L53" s="190">
        <f t="shared" si="18"/>
        <v>496.73</v>
      </c>
      <c r="M53" s="190">
        <f>SUM(G53,I53,K53)</f>
        <v>3638</v>
      </c>
      <c r="N53" s="190">
        <f>SUM(H53,J53,L53)</f>
        <v>4026.3150000000001</v>
      </c>
      <c r="O53" s="190">
        <f t="shared" si="18"/>
        <v>9</v>
      </c>
      <c r="P53" s="191">
        <f t="shared" si="18"/>
        <v>10.050000000000001</v>
      </c>
      <c r="Q53" s="219" t="s">
        <v>77</v>
      </c>
      <c r="R53" s="219"/>
      <c r="S53" s="131"/>
      <c r="T53" s="124"/>
      <c r="U53" s="124"/>
    </row>
    <row r="54" spans="1:21" x14ac:dyDescent="0.3">
      <c r="A54" s="216"/>
      <c r="B54" s="217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1"/>
      <c r="Q54" s="219"/>
      <c r="R54" s="219"/>
      <c r="S54" s="131"/>
      <c r="T54" s="124"/>
      <c r="U54" s="124"/>
    </row>
    <row r="55" spans="1:21" x14ac:dyDescent="0.3">
      <c r="A55" s="132" t="s">
        <v>78</v>
      </c>
      <c r="B55" s="133">
        <f t="shared" ref="B55:B59" si="19">SUM(C55,E55,G55,I55,K55,O55)</f>
        <v>2544</v>
      </c>
      <c r="C55" s="134">
        <v>28</v>
      </c>
      <c r="D55" s="135">
        <v>108.05</v>
      </c>
      <c r="E55" s="134">
        <v>28</v>
      </c>
      <c r="F55" s="162">
        <v>63.8</v>
      </c>
      <c r="G55" s="134">
        <v>828</v>
      </c>
      <c r="H55" s="135">
        <v>732.17</v>
      </c>
      <c r="I55" s="134">
        <v>1604</v>
      </c>
      <c r="J55" s="135">
        <v>1370.146</v>
      </c>
      <c r="K55" s="134">
        <v>53</v>
      </c>
      <c r="L55" s="135">
        <v>45.48</v>
      </c>
      <c r="M55" s="136" t="s">
        <v>291</v>
      </c>
      <c r="N55" s="137">
        <f>SUM(H55,J55,L55)</f>
        <v>2147.7959999999998</v>
      </c>
      <c r="O55" s="134">
        <v>3</v>
      </c>
      <c r="P55" s="138">
        <v>2.4500000000000002</v>
      </c>
      <c r="Q55" s="139" t="s">
        <v>79</v>
      </c>
      <c r="R55" s="131"/>
      <c r="S55" s="131"/>
      <c r="T55" s="124"/>
      <c r="U55" s="124"/>
    </row>
    <row r="56" spans="1:21" x14ac:dyDescent="0.3">
      <c r="A56" s="132" t="s">
        <v>80</v>
      </c>
      <c r="B56" s="133">
        <f t="shared" si="19"/>
        <v>546</v>
      </c>
      <c r="C56" s="134">
        <v>121</v>
      </c>
      <c r="D56" s="134">
        <v>188.1</v>
      </c>
      <c r="E56" s="134">
        <v>135</v>
      </c>
      <c r="F56" s="162">
        <v>166.3</v>
      </c>
      <c r="G56" s="134">
        <v>120</v>
      </c>
      <c r="H56" s="135">
        <v>153.4</v>
      </c>
      <c r="I56" s="134">
        <v>113</v>
      </c>
      <c r="J56" s="135">
        <v>141.4</v>
      </c>
      <c r="K56" s="134">
        <v>57</v>
      </c>
      <c r="L56" s="135">
        <v>70.3</v>
      </c>
      <c r="M56" s="136" t="s">
        <v>291</v>
      </c>
      <c r="N56" s="137">
        <f t="shared" ref="N56:N59" si="20">SUM(H56,J56,L56)</f>
        <v>365.1</v>
      </c>
      <c r="O56" s="140" t="s">
        <v>291</v>
      </c>
      <c r="P56" s="138" t="s">
        <v>291</v>
      </c>
      <c r="Q56" s="139" t="s">
        <v>81</v>
      </c>
      <c r="R56" s="131"/>
      <c r="S56" s="131"/>
      <c r="T56" s="124"/>
      <c r="U56" s="124"/>
    </row>
    <row r="57" spans="1:21" x14ac:dyDescent="0.3">
      <c r="A57" s="132" t="s">
        <v>82</v>
      </c>
      <c r="B57" s="133">
        <f t="shared" si="19"/>
        <v>15</v>
      </c>
      <c r="C57" s="134" t="s">
        <v>291</v>
      </c>
      <c r="D57" s="134" t="s">
        <v>291</v>
      </c>
      <c r="E57" s="134" t="s">
        <v>291</v>
      </c>
      <c r="F57" s="162" t="s">
        <v>291</v>
      </c>
      <c r="G57" s="134">
        <v>10</v>
      </c>
      <c r="H57" s="135">
        <v>8.9499999999999993</v>
      </c>
      <c r="I57" s="140" t="s">
        <v>291</v>
      </c>
      <c r="J57" s="135" t="s">
        <v>291</v>
      </c>
      <c r="K57" s="134">
        <v>5</v>
      </c>
      <c r="L57" s="135">
        <v>3.85</v>
      </c>
      <c r="M57" s="136" t="s">
        <v>291</v>
      </c>
      <c r="N57" s="137">
        <f t="shared" si="20"/>
        <v>12.799999999999999</v>
      </c>
      <c r="O57" s="140" t="s">
        <v>291</v>
      </c>
      <c r="P57" s="138" t="s">
        <v>291</v>
      </c>
      <c r="Q57" s="139" t="s">
        <v>83</v>
      </c>
      <c r="R57" s="131"/>
      <c r="S57" s="131"/>
      <c r="T57" s="124"/>
      <c r="U57" s="124"/>
    </row>
    <row r="58" spans="1:21" x14ac:dyDescent="0.3">
      <c r="A58" s="132" t="s">
        <v>84</v>
      </c>
      <c r="B58" s="133">
        <f t="shared" si="19"/>
        <v>1032</v>
      </c>
      <c r="C58" s="134">
        <v>135</v>
      </c>
      <c r="D58" s="134">
        <v>390.15</v>
      </c>
      <c r="E58" s="134">
        <v>142</v>
      </c>
      <c r="F58" s="162">
        <v>261.89999999999998</v>
      </c>
      <c r="G58" s="134">
        <v>451</v>
      </c>
      <c r="H58" s="135">
        <v>939.81899999999996</v>
      </c>
      <c r="I58" s="134">
        <v>45</v>
      </c>
      <c r="J58" s="135">
        <v>100.2</v>
      </c>
      <c r="K58" s="134">
        <v>253</v>
      </c>
      <c r="L58" s="135">
        <v>370.1</v>
      </c>
      <c r="M58" s="136" t="s">
        <v>291</v>
      </c>
      <c r="N58" s="137">
        <f t="shared" si="20"/>
        <v>1410.1190000000001</v>
      </c>
      <c r="O58" s="134">
        <v>6</v>
      </c>
      <c r="P58" s="138">
        <v>7.6</v>
      </c>
      <c r="Q58" s="139" t="s">
        <v>85</v>
      </c>
      <c r="R58" s="131"/>
      <c r="S58" s="131"/>
      <c r="T58" s="124"/>
      <c r="U58" s="124"/>
    </row>
    <row r="59" spans="1:21" x14ac:dyDescent="0.3">
      <c r="A59" s="132" t="s">
        <v>86</v>
      </c>
      <c r="B59" s="133">
        <f t="shared" si="19"/>
        <v>110</v>
      </c>
      <c r="C59" s="134">
        <v>7</v>
      </c>
      <c r="D59" s="134">
        <v>6</v>
      </c>
      <c r="E59" s="134">
        <v>4</v>
      </c>
      <c r="F59" s="162">
        <v>2.5</v>
      </c>
      <c r="G59" s="134">
        <v>92</v>
      </c>
      <c r="H59" s="135">
        <v>83.5</v>
      </c>
      <c r="I59" s="140" t="s">
        <v>291</v>
      </c>
      <c r="J59" s="135" t="s">
        <v>291</v>
      </c>
      <c r="K59" s="134">
        <v>7</v>
      </c>
      <c r="L59" s="135">
        <v>7</v>
      </c>
      <c r="M59" s="136" t="s">
        <v>291</v>
      </c>
      <c r="N59" s="137">
        <f t="shared" si="20"/>
        <v>90.5</v>
      </c>
      <c r="O59" s="140" t="s">
        <v>291</v>
      </c>
      <c r="P59" s="138" t="s">
        <v>291</v>
      </c>
      <c r="Q59" s="139" t="s">
        <v>87</v>
      </c>
      <c r="R59" s="131"/>
      <c r="S59" s="131"/>
      <c r="T59" s="124"/>
      <c r="U59" s="124"/>
    </row>
    <row r="60" spans="1:21" x14ac:dyDescent="0.3">
      <c r="A60" s="218" t="s">
        <v>88</v>
      </c>
      <c r="B60" s="217">
        <f>SUM(B62:B64)</f>
        <v>76347</v>
      </c>
      <c r="C60" s="190">
        <f>SUM(C62:C64)</f>
        <v>34141</v>
      </c>
      <c r="D60" s="190">
        <f t="shared" ref="D60:P60" si="21">SUM(D62:D64)</f>
        <v>163037.83000000002</v>
      </c>
      <c r="E60" s="190">
        <f t="shared" si="21"/>
        <v>6120</v>
      </c>
      <c r="F60" s="190">
        <f t="shared" si="21"/>
        <v>16077.904000000002</v>
      </c>
      <c r="G60" s="190">
        <f t="shared" si="21"/>
        <v>20673</v>
      </c>
      <c r="H60" s="190">
        <f t="shared" si="21"/>
        <v>43598.764999999999</v>
      </c>
      <c r="I60" s="190">
        <f t="shared" si="21"/>
        <v>2105</v>
      </c>
      <c r="J60" s="190">
        <f t="shared" si="21"/>
        <v>4306.5749999999998</v>
      </c>
      <c r="K60" s="190">
        <f t="shared" si="21"/>
        <v>12707</v>
      </c>
      <c r="L60" s="190">
        <f t="shared" si="21"/>
        <v>31639.286</v>
      </c>
      <c r="M60" s="190">
        <f>SUM(G60,I60,K60)</f>
        <v>35485</v>
      </c>
      <c r="N60" s="190">
        <f>SUM(H60,J60,L60)</f>
        <v>79544.625999999989</v>
      </c>
      <c r="O60" s="190">
        <f t="shared" si="21"/>
        <v>601</v>
      </c>
      <c r="P60" s="191">
        <f t="shared" si="21"/>
        <v>1634.502</v>
      </c>
      <c r="Q60" s="221" t="s">
        <v>89</v>
      </c>
      <c r="R60" s="221"/>
      <c r="S60" s="131"/>
      <c r="T60" s="124"/>
      <c r="U60" s="124"/>
    </row>
    <row r="61" spans="1:21" x14ac:dyDescent="0.3">
      <c r="A61" s="218"/>
      <c r="B61" s="217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1"/>
      <c r="Q61" s="221"/>
      <c r="R61" s="221"/>
      <c r="S61" s="131"/>
      <c r="T61" s="124"/>
      <c r="U61" s="124"/>
    </row>
    <row r="62" spans="1:21" x14ac:dyDescent="0.3">
      <c r="A62" s="132" t="s">
        <v>90</v>
      </c>
      <c r="B62" s="133">
        <f>SUM(C62,E62,G62,I62,K62,O62)</f>
        <v>16195</v>
      </c>
      <c r="C62" s="134">
        <v>4122</v>
      </c>
      <c r="D62" s="134">
        <v>17255.900000000001</v>
      </c>
      <c r="E62" s="134">
        <v>881</v>
      </c>
      <c r="F62" s="162">
        <v>1921.171</v>
      </c>
      <c r="G62" s="134">
        <v>6135</v>
      </c>
      <c r="H62" s="135">
        <v>15212.2</v>
      </c>
      <c r="I62" s="134">
        <v>801</v>
      </c>
      <c r="J62" s="135">
        <v>1952.8</v>
      </c>
      <c r="K62" s="134">
        <v>3975</v>
      </c>
      <c r="L62" s="135">
        <v>10335.299999999999</v>
      </c>
      <c r="M62" s="136" t="s">
        <v>291</v>
      </c>
      <c r="N62" s="137">
        <f t="shared" ref="N62:N64" si="22">SUM(H62,J62,L62)</f>
        <v>27500.3</v>
      </c>
      <c r="O62" s="134">
        <v>281</v>
      </c>
      <c r="P62" s="138">
        <v>707.4</v>
      </c>
      <c r="Q62" s="139" t="s">
        <v>91</v>
      </c>
      <c r="R62" s="131"/>
      <c r="S62" s="131"/>
      <c r="T62" s="124"/>
      <c r="U62" s="124"/>
    </row>
    <row r="63" spans="1:21" x14ac:dyDescent="0.3">
      <c r="A63" s="132" t="s">
        <v>92</v>
      </c>
      <c r="B63" s="133">
        <f>SUM(C63,E63,G63,I63,K63,O63)</f>
        <v>13548</v>
      </c>
      <c r="C63" s="134">
        <v>3110</v>
      </c>
      <c r="D63" s="134">
        <v>9747.9</v>
      </c>
      <c r="E63" s="134">
        <v>1180</v>
      </c>
      <c r="F63" s="162">
        <v>2181.4340000000002</v>
      </c>
      <c r="G63" s="134">
        <v>8603</v>
      </c>
      <c r="H63" s="135">
        <v>10656.995000000001</v>
      </c>
      <c r="I63" s="134">
        <v>641</v>
      </c>
      <c r="J63" s="135">
        <v>599.17499999999995</v>
      </c>
      <c r="K63" s="134">
        <v>14</v>
      </c>
      <c r="L63" s="135">
        <v>14</v>
      </c>
      <c r="M63" s="136" t="s">
        <v>291</v>
      </c>
      <c r="N63" s="137">
        <f t="shared" si="22"/>
        <v>11270.17</v>
      </c>
      <c r="O63" s="140" t="s">
        <v>291</v>
      </c>
      <c r="P63" s="138" t="s">
        <v>291</v>
      </c>
      <c r="Q63" s="220" t="s">
        <v>93</v>
      </c>
      <c r="R63" s="220"/>
      <c r="S63" s="131"/>
      <c r="T63" s="124"/>
      <c r="U63" s="124"/>
    </row>
    <row r="64" spans="1:21" x14ac:dyDescent="0.3">
      <c r="A64" s="132" t="s">
        <v>94</v>
      </c>
      <c r="B64" s="133">
        <f>SUM(C64,E64,G64,I64,K64,O64)</f>
        <v>46604</v>
      </c>
      <c r="C64" s="134">
        <v>26909</v>
      </c>
      <c r="D64" s="134">
        <v>136034.03</v>
      </c>
      <c r="E64" s="134">
        <v>4059</v>
      </c>
      <c r="F64" s="162">
        <v>11975.299000000001</v>
      </c>
      <c r="G64" s="134">
        <v>5935</v>
      </c>
      <c r="H64" s="135">
        <v>17729.57</v>
      </c>
      <c r="I64" s="134">
        <v>663</v>
      </c>
      <c r="J64" s="135">
        <v>1754.6</v>
      </c>
      <c r="K64" s="134">
        <v>8718</v>
      </c>
      <c r="L64" s="135">
        <v>21289.986000000001</v>
      </c>
      <c r="M64" s="136" t="s">
        <v>291</v>
      </c>
      <c r="N64" s="137">
        <f t="shared" si="22"/>
        <v>40774.156000000003</v>
      </c>
      <c r="O64" s="134">
        <v>320</v>
      </c>
      <c r="P64" s="138">
        <v>927.10199999999998</v>
      </c>
      <c r="Q64" s="139" t="s">
        <v>95</v>
      </c>
      <c r="R64" s="131"/>
      <c r="S64" s="131"/>
      <c r="T64" s="124"/>
      <c r="U64" s="124"/>
    </row>
    <row r="65" spans="1:21" x14ac:dyDescent="0.3">
      <c r="A65" s="218" t="s">
        <v>96</v>
      </c>
      <c r="B65" s="217">
        <f>SUM(B67:B71)</f>
        <v>27164</v>
      </c>
      <c r="C65" s="190">
        <f>SUM(C67:C71)</f>
        <v>8439</v>
      </c>
      <c r="D65" s="190">
        <f t="shared" ref="D65:P65" si="23">SUM(D67:D71)</f>
        <v>36432.599000000002</v>
      </c>
      <c r="E65" s="190">
        <f t="shared" si="23"/>
        <v>1993</v>
      </c>
      <c r="F65" s="190">
        <f t="shared" si="23"/>
        <v>4490.1049999999996</v>
      </c>
      <c r="G65" s="190">
        <f t="shared" si="23"/>
        <v>5595</v>
      </c>
      <c r="H65" s="190">
        <f t="shared" si="23"/>
        <v>14922.724999999999</v>
      </c>
      <c r="I65" s="190">
        <f t="shared" si="23"/>
        <v>7889</v>
      </c>
      <c r="J65" s="190">
        <f t="shared" si="23"/>
        <v>25117.174000000003</v>
      </c>
      <c r="K65" s="190">
        <f t="shared" si="23"/>
        <v>3058</v>
      </c>
      <c r="L65" s="190">
        <f t="shared" si="23"/>
        <v>7138.48</v>
      </c>
      <c r="M65" s="190">
        <f>SUM(G65,I65,K65)</f>
        <v>16542</v>
      </c>
      <c r="N65" s="190">
        <f>SUM(H65,J65,L65)</f>
        <v>47178.379000000001</v>
      </c>
      <c r="O65" s="190">
        <f t="shared" si="23"/>
        <v>190</v>
      </c>
      <c r="P65" s="191">
        <f t="shared" si="23"/>
        <v>415.82599999999996</v>
      </c>
      <c r="Q65" s="221" t="s">
        <v>97</v>
      </c>
      <c r="R65" s="221"/>
      <c r="S65" s="131"/>
      <c r="T65" s="124"/>
      <c r="U65" s="124"/>
    </row>
    <row r="66" spans="1:21" x14ac:dyDescent="0.3">
      <c r="A66" s="218"/>
      <c r="B66" s="217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1"/>
      <c r="Q66" s="221"/>
      <c r="R66" s="221"/>
      <c r="S66" s="131"/>
      <c r="T66" s="124"/>
      <c r="U66" s="124"/>
    </row>
    <row r="67" spans="1:21" x14ac:dyDescent="0.3">
      <c r="A67" s="132" t="s">
        <v>98</v>
      </c>
      <c r="B67" s="133">
        <f>SUM(C67,E67,G67,I67,K67,O67)</f>
        <v>5940</v>
      </c>
      <c r="C67" s="134">
        <v>122</v>
      </c>
      <c r="D67" s="134">
        <v>306.10000000000002</v>
      </c>
      <c r="E67" s="134">
        <v>109</v>
      </c>
      <c r="F67" s="162">
        <v>197.60900000000001</v>
      </c>
      <c r="G67" s="134">
        <v>43</v>
      </c>
      <c r="H67" s="135">
        <v>130</v>
      </c>
      <c r="I67" s="134">
        <v>5558</v>
      </c>
      <c r="J67" s="135">
        <v>18678.918000000001</v>
      </c>
      <c r="K67" s="134">
        <v>108</v>
      </c>
      <c r="L67" s="135">
        <v>323.5</v>
      </c>
      <c r="M67" s="136" t="s">
        <v>291</v>
      </c>
      <c r="N67" s="137">
        <f t="shared" ref="N67:N71" si="24">SUM(H67,J67,L67)</f>
        <v>19132.418000000001</v>
      </c>
      <c r="O67" s="140" t="s">
        <v>291</v>
      </c>
      <c r="P67" s="138" t="s">
        <v>291</v>
      </c>
      <c r="Q67" s="139" t="s">
        <v>99</v>
      </c>
      <c r="R67" s="131"/>
      <c r="S67" s="131"/>
      <c r="T67" s="124"/>
      <c r="U67" s="124"/>
    </row>
    <row r="68" spans="1:21" x14ac:dyDescent="0.3">
      <c r="A68" s="132" t="s">
        <v>100</v>
      </c>
      <c r="B68" s="133">
        <f t="shared" ref="B68:B71" si="25">SUM(C68,E68,G68,I68,K68,O68)</f>
        <v>2972</v>
      </c>
      <c r="C68" s="134">
        <v>367</v>
      </c>
      <c r="D68" s="134">
        <v>979.45</v>
      </c>
      <c r="E68" s="134">
        <v>468</v>
      </c>
      <c r="F68" s="162">
        <v>832.9</v>
      </c>
      <c r="G68" s="134">
        <v>815</v>
      </c>
      <c r="H68" s="135">
        <v>1810.7</v>
      </c>
      <c r="I68" s="134">
        <v>505</v>
      </c>
      <c r="J68" s="135">
        <v>1113.2</v>
      </c>
      <c r="K68" s="134">
        <v>813</v>
      </c>
      <c r="L68" s="135">
        <v>1620.46</v>
      </c>
      <c r="M68" s="136" t="s">
        <v>291</v>
      </c>
      <c r="N68" s="137">
        <f t="shared" si="24"/>
        <v>4544.3600000000006</v>
      </c>
      <c r="O68" s="134">
        <v>4</v>
      </c>
      <c r="P68" s="138">
        <v>4.9000000000000004</v>
      </c>
      <c r="Q68" s="139" t="s">
        <v>101</v>
      </c>
      <c r="R68" s="131"/>
      <c r="S68" s="131"/>
      <c r="T68" s="124"/>
      <c r="U68" s="124"/>
    </row>
    <row r="69" spans="1:21" x14ac:dyDescent="0.3">
      <c r="A69" s="132" t="s">
        <v>102</v>
      </c>
      <c r="B69" s="133">
        <f t="shared" si="25"/>
        <v>1159</v>
      </c>
      <c r="C69" s="134">
        <v>111</v>
      </c>
      <c r="D69" s="134">
        <v>320.11900000000003</v>
      </c>
      <c r="E69" s="134">
        <v>314</v>
      </c>
      <c r="F69" s="162">
        <v>779.80499999999995</v>
      </c>
      <c r="G69" s="134">
        <v>292</v>
      </c>
      <c r="H69" s="135">
        <v>872.09500000000003</v>
      </c>
      <c r="I69" s="134">
        <v>385</v>
      </c>
      <c r="J69" s="135">
        <v>1320.9159999999999</v>
      </c>
      <c r="K69" s="134">
        <v>57</v>
      </c>
      <c r="L69" s="135">
        <v>165.22</v>
      </c>
      <c r="M69" s="136" t="s">
        <v>291</v>
      </c>
      <c r="N69" s="137">
        <f t="shared" si="24"/>
        <v>2358.2309999999998</v>
      </c>
      <c r="O69" s="140" t="s">
        <v>291</v>
      </c>
      <c r="P69" s="138" t="s">
        <v>291</v>
      </c>
      <c r="Q69" s="139" t="s">
        <v>103</v>
      </c>
      <c r="R69" s="131"/>
      <c r="S69" s="131"/>
      <c r="T69" s="124"/>
      <c r="U69" s="124"/>
    </row>
    <row r="70" spans="1:21" x14ac:dyDescent="0.3">
      <c r="A70" s="132" t="s">
        <v>104</v>
      </c>
      <c r="B70" s="133">
        <f t="shared" si="25"/>
        <v>4569</v>
      </c>
      <c r="C70" s="134">
        <v>1471</v>
      </c>
      <c r="D70" s="134">
        <v>4865.1000000000004</v>
      </c>
      <c r="E70" s="134">
        <v>604</v>
      </c>
      <c r="F70" s="162">
        <v>1412.2909999999999</v>
      </c>
      <c r="G70" s="134">
        <v>725</v>
      </c>
      <c r="H70" s="135">
        <v>1717.97</v>
      </c>
      <c r="I70" s="134">
        <v>1080</v>
      </c>
      <c r="J70" s="135">
        <v>3136.75</v>
      </c>
      <c r="K70" s="134">
        <v>682</v>
      </c>
      <c r="L70" s="135">
        <v>1466.1</v>
      </c>
      <c r="M70" s="136" t="s">
        <v>291</v>
      </c>
      <c r="N70" s="137">
        <f t="shared" si="24"/>
        <v>6320.82</v>
      </c>
      <c r="O70" s="134">
        <v>7</v>
      </c>
      <c r="P70" s="138">
        <v>9</v>
      </c>
      <c r="Q70" s="139" t="s">
        <v>105</v>
      </c>
      <c r="R70" s="131"/>
      <c r="S70" s="131"/>
      <c r="T70" s="124"/>
      <c r="U70" s="124"/>
    </row>
    <row r="71" spans="1:21" x14ac:dyDescent="0.3">
      <c r="A71" s="132" t="s">
        <v>106</v>
      </c>
      <c r="B71" s="133">
        <f t="shared" si="25"/>
        <v>12524</v>
      </c>
      <c r="C71" s="134">
        <v>6368</v>
      </c>
      <c r="D71" s="134">
        <v>29961.83</v>
      </c>
      <c r="E71" s="134">
        <v>498</v>
      </c>
      <c r="F71" s="162">
        <v>1267.5</v>
      </c>
      <c r="G71" s="134">
        <v>3720</v>
      </c>
      <c r="H71" s="135">
        <v>10391.959999999999</v>
      </c>
      <c r="I71" s="134">
        <v>361</v>
      </c>
      <c r="J71" s="135">
        <v>867.39</v>
      </c>
      <c r="K71" s="134">
        <v>1398</v>
      </c>
      <c r="L71" s="135">
        <v>3563.2</v>
      </c>
      <c r="M71" s="136" t="s">
        <v>291</v>
      </c>
      <c r="N71" s="137">
        <f t="shared" si="24"/>
        <v>14822.55</v>
      </c>
      <c r="O71" s="134">
        <v>179</v>
      </c>
      <c r="P71" s="138">
        <v>401.92599999999999</v>
      </c>
      <c r="Q71" s="139" t="s">
        <v>107</v>
      </c>
      <c r="R71" s="131"/>
      <c r="S71" s="131"/>
      <c r="T71" s="124"/>
      <c r="U71" s="124"/>
    </row>
    <row r="72" spans="1:21" x14ac:dyDescent="0.3">
      <c r="A72" s="216" t="s">
        <v>108</v>
      </c>
      <c r="B72" s="217">
        <f>SUM(B74:B81)</f>
        <v>3094</v>
      </c>
      <c r="C72" s="190">
        <f>SUM(C74:C81)</f>
        <v>574</v>
      </c>
      <c r="D72" s="190">
        <f t="shared" ref="D72:P72" si="26">SUM(D74:D81)</f>
        <v>3030.855</v>
      </c>
      <c r="E72" s="190">
        <f t="shared" si="26"/>
        <v>1274</v>
      </c>
      <c r="F72" s="190">
        <f>SUM(F74:F81)</f>
        <v>3949.27</v>
      </c>
      <c r="G72" s="190">
        <f t="shared" si="26"/>
        <v>718</v>
      </c>
      <c r="H72" s="190">
        <f>SUM(H74:H81)</f>
        <v>1595</v>
      </c>
      <c r="I72" s="190">
        <f>SUM(I74:I81)</f>
        <v>296</v>
      </c>
      <c r="J72" s="190">
        <f t="shared" si="26"/>
        <v>680.89499999999998</v>
      </c>
      <c r="K72" s="190">
        <f>SUM(K74:K81)</f>
        <v>229</v>
      </c>
      <c r="L72" s="190">
        <f>SUM(L74:L81)</f>
        <v>567.38799999999992</v>
      </c>
      <c r="M72" s="190">
        <f>SUM(G72,I72,K72)</f>
        <v>1243</v>
      </c>
      <c r="N72" s="190">
        <f>SUM(H72,J72,L72)</f>
        <v>2843.2829999999999</v>
      </c>
      <c r="O72" s="190">
        <f t="shared" si="26"/>
        <v>3</v>
      </c>
      <c r="P72" s="191">
        <f t="shared" si="26"/>
        <v>6</v>
      </c>
      <c r="Q72" s="219" t="s">
        <v>109</v>
      </c>
      <c r="R72" s="219"/>
      <c r="S72" s="131"/>
      <c r="T72" s="124"/>
      <c r="U72" s="124"/>
    </row>
    <row r="73" spans="1:21" x14ac:dyDescent="0.3">
      <c r="A73" s="216"/>
      <c r="B73" s="217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1"/>
      <c r="Q73" s="219"/>
      <c r="R73" s="219"/>
      <c r="S73" s="131"/>
      <c r="T73" s="124"/>
      <c r="U73" s="124"/>
    </row>
    <row r="74" spans="1:21" x14ac:dyDescent="0.3">
      <c r="A74" s="148" t="s">
        <v>110</v>
      </c>
      <c r="B74" s="133">
        <f>SUM(C74,E74,G74,I74,K74,O74)</f>
        <v>0</v>
      </c>
      <c r="C74" s="134" t="s">
        <v>291</v>
      </c>
      <c r="D74" s="134" t="s">
        <v>291</v>
      </c>
      <c r="E74" s="134" t="s">
        <v>291</v>
      </c>
      <c r="F74" s="162" t="s">
        <v>291</v>
      </c>
      <c r="G74" s="134" t="s">
        <v>291</v>
      </c>
      <c r="H74" s="135" t="s">
        <v>291</v>
      </c>
      <c r="I74" s="134" t="s">
        <v>291</v>
      </c>
      <c r="J74" s="135" t="s">
        <v>291</v>
      </c>
      <c r="K74" s="134" t="s">
        <v>291</v>
      </c>
      <c r="L74" s="135" t="s">
        <v>291</v>
      </c>
      <c r="M74" s="136" t="s">
        <v>291</v>
      </c>
      <c r="N74" s="137">
        <f t="shared" ref="N74:N81" si="27">SUM(H74,J74,L74)</f>
        <v>0</v>
      </c>
      <c r="O74" s="134" t="s">
        <v>291</v>
      </c>
      <c r="P74" s="138" t="s">
        <v>291</v>
      </c>
      <c r="Q74" s="220" t="s">
        <v>111</v>
      </c>
      <c r="R74" s="220"/>
      <c r="S74" s="220"/>
      <c r="T74" s="124"/>
      <c r="U74" s="124"/>
    </row>
    <row r="75" spans="1:21" x14ac:dyDescent="0.3">
      <c r="A75" s="148" t="s">
        <v>112</v>
      </c>
      <c r="B75" s="133">
        <f>SUM(C75,E75,G75,I75,K75,O75)</f>
        <v>3</v>
      </c>
      <c r="C75" s="134">
        <v>2</v>
      </c>
      <c r="D75" s="134">
        <v>6.8</v>
      </c>
      <c r="E75" s="134">
        <v>1</v>
      </c>
      <c r="F75" s="162">
        <v>1.8</v>
      </c>
      <c r="G75" s="134" t="s">
        <v>291</v>
      </c>
      <c r="H75" s="135" t="s">
        <v>291</v>
      </c>
      <c r="I75" s="134" t="s">
        <v>291</v>
      </c>
      <c r="J75" s="135" t="s">
        <v>291</v>
      </c>
      <c r="K75" s="134" t="s">
        <v>291</v>
      </c>
      <c r="L75" s="135" t="s">
        <v>291</v>
      </c>
      <c r="M75" s="136" t="s">
        <v>291</v>
      </c>
      <c r="N75" s="137">
        <f t="shared" si="27"/>
        <v>0</v>
      </c>
      <c r="O75" s="134" t="s">
        <v>291</v>
      </c>
      <c r="P75" s="138" t="s">
        <v>291</v>
      </c>
      <c r="Q75" s="220" t="s">
        <v>113</v>
      </c>
      <c r="R75" s="220"/>
      <c r="S75" s="220"/>
      <c r="T75" s="124"/>
      <c r="U75" s="124"/>
    </row>
    <row r="76" spans="1:21" x14ac:dyDescent="0.3">
      <c r="A76" s="148" t="s">
        <v>275</v>
      </c>
      <c r="B76" s="133">
        <f>SUM(C76,E76,G76,I76,K76,O76)</f>
        <v>0</v>
      </c>
      <c r="C76" s="134" t="s">
        <v>291</v>
      </c>
      <c r="D76" s="134" t="s">
        <v>291</v>
      </c>
      <c r="E76" s="134" t="s">
        <v>291</v>
      </c>
      <c r="F76" s="162" t="s">
        <v>291</v>
      </c>
      <c r="G76" s="134" t="s">
        <v>291</v>
      </c>
      <c r="H76" s="135" t="s">
        <v>291</v>
      </c>
      <c r="I76" s="134" t="s">
        <v>291</v>
      </c>
      <c r="J76" s="135" t="s">
        <v>291</v>
      </c>
      <c r="K76" s="134" t="s">
        <v>291</v>
      </c>
      <c r="L76" s="135" t="s">
        <v>291</v>
      </c>
      <c r="M76" s="136" t="s">
        <v>291</v>
      </c>
      <c r="N76" s="137">
        <f t="shared" si="27"/>
        <v>0</v>
      </c>
      <c r="O76" s="134" t="s">
        <v>291</v>
      </c>
      <c r="P76" s="138" t="s">
        <v>291</v>
      </c>
      <c r="Q76" s="220" t="s">
        <v>115</v>
      </c>
      <c r="R76" s="220"/>
      <c r="S76" s="220"/>
      <c r="T76" s="124"/>
      <c r="U76" s="124"/>
    </row>
    <row r="77" spans="1:21" x14ac:dyDescent="0.3">
      <c r="A77" s="148" t="s">
        <v>276</v>
      </c>
      <c r="B77" s="133">
        <f>SUM(C77,E77,G77,I77,K77,O77)</f>
        <v>0</v>
      </c>
      <c r="C77" s="134" t="s">
        <v>291</v>
      </c>
      <c r="D77" s="134" t="s">
        <v>291</v>
      </c>
      <c r="E77" s="134" t="s">
        <v>291</v>
      </c>
      <c r="F77" s="162" t="s">
        <v>291</v>
      </c>
      <c r="G77" s="134" t="s">
        <v>291</v>
      </c>
      <c r="H77" s="135" t="s">
        <v>291</v>
      </c>
      <c r="I77" s="134" t="s">
        <v>291</v>
      </c>
      <c r="J77" s="135" t="s">
        <v>291</v>
      </c>
      <c r="K77" s="134" t="s">
        <v>291</v>
      </c>
      <c r="L77" s="135" t="s">
        <v>291</v>
      </c>
      <c r="M77" s="136" t="s">
        <v>291</v>
      </c>
      <c r="N77" s="137">
        <f t="shared" si="27"/>
        <v>0</v>
      </c>
      <c r="O77" s="134" t="s">
        <v>291</v>
      </c>
      <c r="P77" s="138" t="s">
        <v>291</v>
      </c>
      <c r="Q77" s="220" t="s">
        <v>117</v>
      </c>
      <c r="R77" s="220"/>
      <c r="S77" s="220"/>
      <c r="T77" s="124"/>
      <c r="U77" s="124"/>
    </row>
    <row r="78" spans="1:21" x14ac:dyDescent="0.3">
      <c r="A78" s="148" t="s">
        <v>277</v>
      </c>
      <c r="B78" s="133">
        <f t="shared" ref="B78:B81" si="28">SUM(C78,E78,G78,I78,K78,O78)</f>
        <v>363</v>
      </c>
      <c r="C78" s="134">
        <v>63</v>
      </c>
      <c r="D78" s="134">
        <v>280.64999999999998</v>
      </c>
      <c r="E78" s="134">
        <v>54</v>
      </c>
      <c r="F78" s="162">
        <v>109.88</v>
      </c>
      <c r="G78" s="134">
        <v>46</v>
      </c>
      <c r="H78" s="135">
        <v>131.4</v>
      </c>
      <c r="I78" s="134">
        <v>124</v>
      </c>
      <c r="J78" s="135">
        <v>294.89499999999998</v>
      </c>
      <c r="K78" s="134">
        <v>74</v>
      </c>
      <c r="L78" s="135">
        <v>193.18799999999999</v>
      </c>
      <c r="M78" s="136" t="s">
        <v>291</v>
      </c>
      <c r="N78" s="137">
        <f t="shared" si="27"/>
        <v>619.48299999999995</v>
      </c>
      <c r="O78" s="134">
        <v>2</v>
      </c>
      <c r="P78" s="138">
        <v>4</v>
      </c>
      <c r="Q78" s="220" t="s">
        <v>119</v>
      </c>
      <c r="R78" s="220"/>
      <c r="S78" s="220"/>
      <c r="T78" s="124"/>
      <c r="U78" s="124"/>
    </row>
    <row r="79" spans="1:21" x14ac:dyDescent="0.3">
      <c r="A79" s="148" t="s">
        <v>278</v>
      </c>
      <c r="B79" s="133">
        <f t="shared" si="28"/>
        <v>1727</v>
      </c>
      <c r="C79" s="134">
        <v>353</v>
      </c>
      <c r="D79" s="134">
        <v>2266.605</v>
      </c>
      <c r="E79" s="134">
        <v>1085</v>
      </c>
      <c r="F79" s="162">
        <v>3515.29</v>
      </c>
      <c r="G79" s="134">
        <v>68</v>
      </c>
      <c r="H79" s="135">
        <v>202.6</v>
      </c>
      <c r="I79" s="134">
        <v>65</v>
      </c>
      <c r="J79" s="135">
        <v>167</v>
      </c>
      <c r="K79" s="134">
        <v>155</v>
      </c>
      <c r="L79" s="135">
        <v>374.2</v>
      </c>
      <c r="M79" s="136" t="s">
        <v>291</v>
      </c>
      <c r="N79" s="137">
        <f t="shared" si="27"/>
        <v>743.8</v>
      </c>
      <c r="O79" s="134">
        <v>1</v>
      </c>
      <c r="P79" s="138">
        <v>2</v>
      </c>
      <c r="Q79" s="220" t="s">
        <v>121</v>
      </c>
      <c r="R79" s="220"/>
      <c r="S79" s="220"/>
      <c r="T79" s="124"/>
      <c r="U79" s="124"/>
    </row>
    <row r="80" spans="1:21" x14ac:dyDescent="0.3">
      <c r="A80" s="148" t="s">
        <v>279</v>
      </c>
      <c r="B80" s="133">
        <f t="shared" si="28"/>
        <v>0</v>
      </c>
      <c r="C80" s="134" t="s">
        <v>291</v>
      </c>
      <c r="D80" s="134" t="s">
        <v>291</v>
      </c>
      <c r="E80" s="134" t="s">
        <v>291</v>
      </c>
      <c r="F80" s="162" t="s">
        <v>291</v>
      </c>
      <c r="G80" s="134" t="s">
        <v>291</v>
      </c>
      <c r="H80" s="135" t="s">
        <v>291</v>
      </c>
      <c r="I80" s="134" t="s">
        <v>291</v>
      </c>
      <c r="J80" s="135" t="s">
        <v>291</v>
      </c>
      <c r="K80" s="134" t="s">
        <v>291</v>
      </c>
      <c r="L80" s="135" t="s">
        <v>291</v>
      </c>
      <c r="M80" s="136" t="s">
        <v>291</v>
      </c>
      <c r="N80" s="137">
        <f t="shared" si="27"/>
        <v>0</v>
      </c>
      <c r="O80" s="134" t="s">
        <v>291</v>
      </c>
      <c r="P80" s="138" t="s">
        <v>291</v>
      </c>
      <c r="Q80" s="220" t="s">
        <v>123</v>
      </c>
      <c r="R80" s="220"/>
      <c r="S80" s="220"/>
      <c r="T80" s="124"/>
      <c r="U80" s="124"/>
    </row>
    <row r="81" spans="1:21" x14ac:dyDescent="0.3">
      <c r="A81" s="148" t="s">
        <v>280</v>
      </c>
      <c r="B81" s="133">
        <f t="shared" si="28"/>
        <v>1001</v>
      </c>
      <c r="C81" s="134">
        <v>156</v>
      </c>
      <c r="D81" s="134">
        <v>476.8</v>
      </c>
      <c r="E81" s="134">
        <v>134</v>
      </c>
      <c r="F81" s="162">
        <v>322.3</v>
      </c>
      <c r="G81" s="134">
        <v>604</v>
      </c>
      <c r="H81" s="135">
        <v>1261</v>
      </c>
      <c r="I81" s="134">
        <v>107</v>
      </c>
      <c r="J81" s="135">
        <v>219</v>
      </c>
      <c r="K81" s="140" t="s">
        <v>291</v>
      </c>
      <c r="L81" s="135" t="s">
        <v>291</v>
      </c>
      <c r="M81" s="136" t="s">
        <v>291</v>
      </c>
      <c r="N81" s="137">
        <f t="shared" si="27"/>
        <v>1480</v>
      </c>
      <c r="O81" s="140" t="s">
        <v>291</v>
      </c>
      <c r="P81" s="138" t="s">
        <v>291</v>
      </c>
      <c r="Q81" s="220" t="s">
        <v>125</v>
      </c>
      <c r="R81" s="220"/>
      <c r="S81" s="220"/>
      <c r="T81" s="124"/>
      <c r="U81" s="124"/>
    </row>
    <row r="82" spans="1:21" x14ac:dyDescent="0.3">
      <c r="A82" s="216" t="s">
        <v>126</v>
      </c>
      <c r="B82" s="217">
        <f>SUM(B84:B88)</f>
        <v>7616</v>
      </c>
      <c r="C82" s="190">
        <f>SUM(C84:C88)</f>
        <v>1574</v>
      </c>
      <c r="D82" s="190">
        <f>SUM(D84:D88)</f>
        <v>4151.835</v>
      </c>
      <c r="E82" s="190">
        <f t="shared" ref="E82:J82" si="29">SUM(E84:E88)</f>
        <v>1287</v>
      </c>
      <c r="F82" s="190">
        <f t="shared" si="29"/>
        <v>1981.62</v>
      </c>
      <c r="G82" s="190">
        <f t="shared" si="29"/>
        <v>2788</v>
      </c>
      <c r="H82" s="190">
        <f t="shared" si="29"/>
        <v>4640.07</v>
      </c>
      <c r="I82" s="190">
        <f t="shared" si="29"/>
        <v>1038</v>
      </c>
      <c r="J82" s="190">
        <f t="shared" si="29"/>
        <v>1589.1499999999999</v>
      </c>
      <c r="K82" s="190">
        <f t="shared" ref="K82:P82" si="30">SUM(K84:K88)</f>
        <v>916</v>
      </c>
      <c r="L82" s="190">
        <f t="shared" si="30"/>
        <v>1319.41</v>
      </c>
      <c r="M82" s="190">
        <f>SUM(G82,I82,K82)</f>
        <v>4742</v>
      </c>
      <c r="N82" s="190">
        <f>SUM(H82,J82,L82)</f>
        <v>7548.6299999999992</v>
      </c>
      <c r="O82" s="190">
        <f t="shared" si="30"/>
        <v>13</v>
      </c>
      <c r="P82" s="191">
        <f t="shared" si="30"/>
        <v>10.350000000000001</v>
      </c>
      <c r="Q82" s="221" t="s">
        <v>127</v>
      </c>
      <c r="R82" s="221"/>
      <c r="S82" s="131"/>
      <c r="T82" s="124"/>
      <c r="U82" s="124"/>
    </row>
    <row r="83" spans="1:21" x14ac:dyDescent="0.3">
      <c r="A83" s="216"/>
      <c r="B83" s="217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1"/>
      <c r="Q83" s="221"/>
      <c r="R83" s="221"/>
      <c r="S83" s="131"/>
      <c r="T83" s="124"/>
      <c r="U83" s="124"/>
    </row>
    <row r="84" spans="1:21" x14ac:dyDescent="0.3">
      <c r="A84" s="132" t="s">
        <v>128</v>
      </c>
      <c r="B84" s="133">
        <f t="shared" ref="B84:B88" si="31">SUM(C84,E84,G84,I84,K84,O84)</f>
        <v>3221</v>
      </c>
      <c r="C84" s="134">
        <v>914</v>
      </c>
      <c r="D84" s="134">
        <v>2812.8049999999998</v>
      </c>
      <c r="E84" s="134">
        <v>668</v>
      </c>
      <c r="F84" s="162">
        <v>1127.45</v>
      </c>
      <c r="G84" s="134">
        <v>914</v>
      </c>
      <c r="H84" s="135">
        <v>1736.9</v>
      </c>
      <c r="I84" s="134">
        <v>481</v>
      </c>
      <c r="J84" s="135">
        <v>908.1</v>
      </c>
      <c r="K84" s="134">
        <v>244</v>
      </c>
      <c r="L84" s="135">
        <v>444.6</v>
      </c>
      <c r="M84" s="136" t="s">
        <v>291</v>
      </c>
      <c r="N84" s="137">
        <f t="shared" ref="N84:N88" si="32">SUM(H84,J84,L84)</f>
        <v>3089.6</v>
      </c>
      <c r="O84" s="140" t="s">
        <v>291</v>
      </c>
      <c r="P84" s="138" t="s">
        <v>291</v>
      </c>
      <c r="Q84" s="139" t="s">
        <v>129</v>
      </c>
      <c r="R84" s="131"/>
      <c r="S84" s="131"/>
      <c r="T84" s="124"/>
      <c r="U84" s="124"/>
    </row>
    <row r="85" spans="1:21" x14ac:dyDescent="0.3">
      <c r="A85" s="132" t="s">
        <v>130</v>
      </c>
      <c r="B85" s="133">
        <f t="shared" si="31"/>
        <v>332</v>
      </c>
      <c r="C85" s="134">
        <v>27</v>
      </c>
      <c r="D85" s="134">
        <v>67.5</v>
      </c>
      <c r="E85" s="134">
        <v>28</v>
      </c>
      <c r="F85" s="162">
        <v>19.600000000000001</v>
      </c>
      <c r="G85" s="134">
        <v>174</v>
      </c>
      <c r="H85" s="135">
        <v>313.2</v>
      </c>
      <c r="I85" s="134">
        <v>93</v>
      </c>
      <c r="J85" s="135">
        <v>167.4</v>
      </c>
      <c r="K85" s="134">
        <v>9</v>
      </c>
      <c r="L85" s="135">
        <v>16.2</v>
      </c>
      <c r="M85" s="136" t="s">
        <v>291</v>
      </c>
      <c r="N85" s="137">
        <f t="shared" si="32"/>
        <v>496.8</v>
      </c>
      <c r="O85" s="134">
        <v>1</v>
      </c>
      <c r="P85" s="138">
        <v>0.3</v>
      </c>
      <c r="Q85" s="139" t="s">
        <v>131</v>
      </c>
      <c r="R85" s="131"/>
      <c r="S85" s="131"/>
      <c r="T85" s="124"/>
      <c r="U85" s="124"/>
    </row>
    <row r="86" spans="1:21" x14ac:dyDescent="0.3">
      <c r="A86" s="132" t="s">
        <v>132</v>
      </c>
      <c r="B86" s="133">
        <f t="shared" si="31"/>
        <v>232</v>
      </c>
      <c r="C86" s="134">
        <v>47</v>
      </c>
      <c r="D86" s="134">
        <v>178.28</v>
      </c>
      <c r="E86" s="134">
        <v>105</v>
      </c>
      <c r="F86" s="162">
        <v>156.88</v>
      </c>
      <c r="G86" s="134">
        <v>63</v>
      </c>
      <c r="H86" s="135">
        <v>160.31</v>
      </c>
      <c r="I86" s="134">
        <v>15</v>
      </c>
      <c r="J86" s="135">
        <v>26.35</v>
      </c>
      <c r="K86" s="134">
        <v>2</v>
      </c>
      <c r="L86" s="135">
        <v>5.0599999999999996</v>
      </c>
      <c r="M86" s="136" t="s">
        <v>291</v>
      </c>
      <c r="N86" s="137">
        <f t="shared" si="32"/>
        <v>191.72</v>
      </c>
      <c r="O86" s="140" t="s">
        <v>291</v>
      </c>
      <c r="P86" s="138" t="s">
        <v>291</v>
      </c>
      <c r="Q86" s="139" t="s">
        <v>133</v>
      </c>
      <c r="R86" s="131"/>
      <c r="S86" s="131"/>
      <c r="T86" s="124"/>
      <c r="U86" s="124"/>
    </row>
    <row r="87" spans="1:21" x14ac:dyDescent="0.3">
      <c r="A87" s="132" t="s">
        <v>134</v>
      </c>
      <c r="B87" s="133">
        <f t="shared" si="31"/>
        <v>448</v>
      </c>
      <c r="C87" s="134">
        <v>62</v>
      </c>
      <c r="D87" s="134">
        <v>114.8</v>
      </c>
      <c r="E87" s="134">
        <v>42</v>
      </c>
      <c r="F87" s="162">
        <v>58.7</v>
      </c>
      <c r="G87" s="134">
        <v>203</v>
      </c>
      <c r="H87" s="135">
        <v>400.9</v>
      </c>
      <c r="I87" s="134">
        <v>15</v>
      </c>
      <c r="J87" s="135">
        <v>24.8</v>
      </c>
      <c r="K87" s="134">
        <v>117</v>
      </c>
      <c r="L87" s="135">
        <v>174.6</v>
      </c>
      <c r="M87" s="136" t="s">
        <v>291</v>
      </c>
      <c r="N87" s="137">
        <f t="shared" si="32"/>
        <v>600.29999999999995</v>
      </c>
      <c r="O87" s="134">
        <v>9</v>
      </c>
      <c r="P87" s="138">
        <v>9</v>
      </c>
      <c r="Q87" s="139" t="s">
        <v>135</v>
      </c>
      <c r="R87" s="131"/>
      <c r="S87" s="131"/>
      <c r="T87" s="124"/>
      <c r="U87" s="124"/>
    </row>
    <row r="88" spans="1:21" x14ac:dyDescent="0.3">
      <c r="A88" s="132" t="s">
        <v>136</v>
      </c>
      <c r="B88" s="133">
        <f t="shared" si="31"/>
        <v>3383</v>
      </c>
      <c r="C88" s="134">
        <v>524</v>
      </c>
      <c r="D88" s="134">
        <v>978.45</v>
      </c>
      <c r="E88" s="134">
        <v>444</v>
      </c>
      <c r="F88" s="162">
        <v>618.99</v>
      </c>
      <c r="G88" s="134">
        <v>1434</v>
      </c>
      <c r="H88" s="135">
        <v>2028.76</v>
      </c>
      <c r="I88" s="134">
        <v>434</v>
      </c>
      <c r="J88" s="135">
        <v>462.5</v>
      </c>
      <c r="K88" s="134">
        <v>544</v>
      </c>
      <c r="L88" s="135">
        <v>678.95</v>
      </c>
      <c r="M88" s="136" t="s">
        <v>291</v>
      </c>
      <c r="N88" s="137">
        <f t="shared" si="32"/>
        <v>3170.21</v>
      </c>
      <c r="O88" s="134">
        <v>3</v>
      </c>
      <c r="P88" s="138">
        <v>1.05</v>
      </c>
      <c r="Q88" s="139" t="s">
        <v>137</v>
      </c>
      <c r="R88" s="131"/>
      <c r="S88" s="131"/>
      <c r="T88" s="124"/>
      <c r="U88" s="124"/>
    </row>
    <row r="89" spans="1:21" x14ac:dyDescent="0.3">
      <c r="A89" s="216" t="s">
        <v>138</v>
      </c>
      <c r="B89" s="217">
        <f>SUM(B91:B103)</f>
        <v>19393</v>
      </c>
      <c r="C89" s="190">
        <f>SUM(C91:C103)</f>
        <v>6311</v>
      </c>
      <c r="D89" s="190">
        <f t="shared" ref="D89:P89" si="33">SUM(D91:D103)</f>
        <v>25479.434000000001</v>
      </c>
      <c r="E89" s="190">
        <f t="shared" si="33"/>
        <v>2112</v>
      </c>
      <c r="F89" s="190">
        <f t="shared" si="33"/>
        <v>2358.2000000000003</v>
      </c>
      <c r="G89" s="190">
        <f t="shared" si="33"/>
        <v>7316</v>
      </c>
      <c r="H89" s="190">
        <f t="shared" si="33"/>
        <v>16203.746999999999</v>
      </c>
      <c r="I89" s="190">
        <f t="shared" si="33"/>
        <v>373</v>
      </c>
      <c r="J89" s="190">
        <f t="shared" si="33"/>
        <v>504.59999999999991</v>
      </c>
      <c r="K89" s="190">
        <f t="shared" si="33"/>
        <v>3194</v>
      </c>
      <c r="L89" s="190">
        <f t="shared" si="33"/>
        <v>6108.4860000000008</v>
      </c>
      <c r="M89" s="190">
        <f>SUM(G89,I89,K89)</f>
        <v>10883</v>
      </c>
      <c r="N89" s="190">
        <f>SUM(H89,J89,L89)</f>
        <v>22816.832999999999</v>
      </c>
      <c r="O89" s="190">
        <f t="shared" si="33"/>
        <v>87</v>
      </c>
      <c r="P89" s="191">
        <f t="shared" si="33"/>
        <v>136.51499999999999</v>
      </c>
      <c r="Q89" s="215" t="s">
        <v>139</v>
      </c>
      <c r="R89" s="215"/>
      <c r="S89" s="131"/>
      <c r="T89" s="124"/>
      <c r="U89" s="124"/>
    </row>
    <row r="90" spans="1:21" x14ac:dyDescent="0.3">
      <c r="A90" s="216"/>
      <c r="B90" s="217"/>
      <c r="C90" s="190"/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1"/>
      <c r="Q90" s="215"/>
      <c r="R90" s="215"/>
      <c r="S90" s="131"/>
      <c r="T90" s="124"/>
      <c r="U90" s="124"/>
    </row>
    <row r="91" spans="1:21" x14ac:dyDescent="0.3">
      <c r="A91" s="132" t="s">
        <v>140</v>
      </c>
      <c r="B91" s="133">
        <f t="shared" ref="B91:B103" si="34">SUM(C91,E91,G91,I91,K91,O91)</f>
        <v>703</v>
      </c>
      <c r="C91" s="134">
        <v>43</v>
      </c>
      <c r="D91" s="134">
        <v>41.5</v>
      </c>
      <c r="E91" s="134">
        <v>51</v>
      </c>
      <c r="F91" s="162">
        <v>48</v>
      </c>
      <c r="G91" s="134">
        <v>482</v>
      </c>
      <c r="H91" s="135">
        <v>964</v>
      </c>
      <c r="I91" s="140" t="s">
        <v>291</v>
      </c>
      <c r="J91" s="135" t="s">
        <v>291</v>
      </c>
      <c r="K91" s="134">
        <v>127</v>
      </c>
      <c r="L91" s="135">
        <v>127</v>
      </c>
      <c r="M91" s="136" t="s">
        <v>291</v>
      </c>
      <c r="N91" s="137">
        <f t="shared" ref="N91:N103" si="35">SUM(H91,J91,L91)</f>
        <v>1091</v>
      </c>
      <c r="O91" s="140" t="s">
        <v>291</v>
      </c>
      <c r="P91" s="138" t="s">
        <v>291</v>
      </c>
      <c r="Q91" s="139" t="s">
        <v>141</v>
      </c>
      <c r="R91" s="131"/>
      <c r="S91" s="131"/>
      <c r="T91" s="124"/>
      <c r="U91" s="124"/>
    </row>
    <row r="92" spans="1:21" x14ac:dyDescent="0.3">
      <c r="A92" s="132" t="s">
        <v>142</v>
      </c>
      <c r="B92" s="133">
        <f t="shared" si="34"/>
        <v>1043</v>
      </c>
      <c r="C92" s="134">
        <v>55</v>
      </c>
      <c r="D92" s="134">
        <v>55.3</v>
      </c>
      <c r="E92" s="134">
        <v>56</v>
      </c>
      <c r="F92" s="162">
        <v>46.15</v>
      </c>
      <c r="G92" s="134">
        <v>576</v>
      </c>
      <c r="H92" s="135">
        <v>998.6</v>
      </c>
      <c r="I92" s="134">
        <v>203</v>
      </c>
      <c r="J92" s="135">
        <v>279.5</v>
      </c>
      <c r="K92" s="134">
        <v>153</v>
      </c>
      <c r="L92" s="135">
        <v>147.30000000000001</v>
      </c>
      <c r="M92" s="136" t="s">
        <v>291</v>
      </c>
      <c r="N92" s="137">
        <f t="shared" si="35"/>
        <v>1425.3999999999999</v>
      </c>
      <c r="O92" s="140" t="s">
        <v>291</v>
      </c>
      <c r="P92" s="138" t="s">
        <v>291</v>
      </c>
      <c r="Q92" s="139" t="s">
        <v>143</v>
      </c>
      <c r="R92" s="131"/>
      <c r="S92" s="131"/>
      <c r="T92" s="124"/>
      <c r="U92" s="124"/>
    </row>
    <row r="93" spans="1:21" x14ac:dyDescent="0.3">
      <c r="A93" s="132" t="s">
        <v>144</v>
      </c>
      <c r="B93" s="133">
        <f t="shared" si="34"/>
        <v>828</v>
      </c>
      <c r="C93" s="134">
        <v>61</v>
      </c>
      <c r="D93" s="134">
        <v>32.700000000000003</v>
      </c>
      <c r="E93" s="134">
        <v>137</v>
      </c>
      <c r="F93" s="162">
        <v>64.349999999999994</v>
      </c>
      <c r="G93" s="134">
        <v>511</v>
      </c>
      <c r="H93" s="135">
        <v>273</v>
      </c>
      <c r="I93" s="140" t="s">
        <v>291</v>
      </c>
      <c r="J93" s="135" t="s">
        <v>291</v>
      </c>
      <c r="K93" s="134">
        <v>117</v>
      </c>
      <c r="L93" s="135">
        <v>74.900000000000006</v>
      </c>
      <c r="M93" s="136" t="s">
        <v>291</v>
      </c>
      <c r="N93" s="137">
        <f t="shared" si="35"/>
        <v>347.9</v>
      </c>
      <c r="O93" s="140">
        <v>2</v>
      </c>
      <c r="P93" s="138">
        <v>1</v>
      </c>
      <c r="Q93" s="139" t="s">
        <v>145</v>
      </c>
      <c r="R93" s="131"/>
      <c r="S93" s="131"/>
      <c r="T93" s="124"/>
      <c r="U93" s="124"/>
    </row>
    <row r="94" spans="1:21" x14ac:dyDescent="0.3">
      <c r="A94" s="132" t="s">
        <v>146</v>
      </c>
      <c r="B94" s="133">
        <f t="shared" si="34"/>
        <v>345</v>
      </c>
      <c r="C94" s="134">
        <v>44</v>
      </c>
      <c r="D94" s="134">
        <v>65</v>
      </c>
      <c r="E94" s="134">
        <v>83</v>
      </c>
      <c r="F94" s="162">
        <v>93</v>
      </c>
      <c r="G94" s="134">
        <v>130</v>
      </c>
      <c r="H94" s="135">
        <v>264.95</v>
      </c>
      <c r="I94" s="140" t="s">
        <v>291</v>
      </c>
      <c r="J94" s="135" t="s">
        <v>291</v>
      </c>
      <c r="K94" s="134">
        <v>73</v>
      </c>
      <c r="L94" s="135">
        <v>85.35</v>
      </c>
      <c r="M94" s="136" t="s">
        <v>291</v>
      </c>
      <c r="N94" s="137">
        <f t="shared" si="35"/>
        <v>350.29999999999995</v>
      </c>
      <c r="O94" s="134">
        <v>15</v>
      </c>
      <c r="P94" s="138">
        <v>10.5</v>
      </c>
      <c r="Q94" s="139" t="s">
        <v>147</v>
      </c>
      <c r="R94" s="131"/>
      <c r="S94" s="131"/>
      <c r="T94" s="124"/>
      <c r="U94" s="124"/>
    </row>
    <row r="95" spans="1:21" x14ac:dyDescent="0.3">
      <c r="A95" s="132" t="s">
        <v>297</v>
      </c>
      <c r="B95" s="133">
        <f t="shared" si="34"/>
        <v>139</v>
      </c>
      <c r="C95" s="134">
        <v>11</v>
      </c>
      <c r="D95" s="134">
        <v>10.5</v>
      </c>
      <c r="E95" s="140">
        <v>14</v>
      </c>
      <c r="F95" s="162">
        <v>12</v>
      </c>
      <c r="G95" s="134">
        <v>73</v>
      </c>
      <c r="H95" s="135">
        <v>155.49700000000001</v>
      </c>
      <c r="I95" s="140" t="s">
        <v>291</v>
      </c>
      <c r="J95" s="135" t="s">
        <v>291</v>
      </c>
      <c r="K95" s="134">
        <v>36</v>
      </c>
      <c r="L95" s="135">
        <v>89.286000000000001</v>
      </c>
      <c r="M95" s="136" t="s">
        <v>291</v>
      </c>
      <c r="N95" s="137">
        <f t="shared" si="35"/>
        <v>244.78300000000002</v>
      </c>
      <c r="O95" s="140">
        <v>5</v>
      </c>
      <c r="P95" s="138">
        <v>1</v>
      </c>
      <c r="Q95" s="139" t="s">
        <v>299</v>
      </c>
      <c r="R95" s="131"/>
      <c r="S95" s="131"/>
      <c r="T95" s="124"/>
      <c r="U95" s="124"/>
    </row>
    <row r="96" spans="1:21" x14ac:dyDescent="0.3">
      <c r="A96" s="132" t="s">
        <v>298</v>
      </c>
      <c r="B96" s="133">
        <f t="shared" si="34"/>
        <v>205</v>
      </c>
      <c r="C96" s="134">
        <v>41</v>
      </c>
      <c r="D96" s="134">
        <v>102.5</v>
      </c>
      <c r="E96" s="134">
        <v>53</v>
      </c>
      <c r="F96" s="162">
        <v>77.599999999999994</v>
      </c>
      <c r="G96" s="134">
        <v>29</v>
      </c>
      <c r="H96" s="135">
        <v>72.5</v>
      </c>
      <c r="I96" s="134">
        <v>38</v>
      </c>
      <c r="J96" s="135">
        <v>57</v>
      </c>
      <c r="K96" s="134">
        <v>44</v>
      </c>
      <c r="L96" s="135">
        <v>88</v>
      </c>
      <c r="M96" s="136" t="s">
        <v>291</v>
      </c>
      <c r="N96" s="137">
        <f t="shared" si="35"/>
        <v>217.5</v>
      </c>
      <c r="O96" s="140" t="s">
        <v>291</v>
      </c>
      <c r="P96" s="138" t="s">
        <v>291</v>
      </c>
      <c r="Q96" s="139" t="s">
        <v>300</v>
      </c>
      <c r="R96" s="131"/>
      <c r="S96" s="131"/>
      <c r="T96" s="124"/>
      <c r="U96" s="124"/>
    </row>
    <row r="97" spans="1:21" x14ac:dyDescent="0.3">
      <c r="A97" s="132" t="s">
        <v>150</v>
      </c>
      <c r="B97" s="133">
        <f t="shared" si="34"/>
        <v>4560</v>
      </c>
      <c r="C97" s="134">
        <v>2400</v>
      </c>
      <c r="D97" s="134">
        <v>9070</v>
      </c>
      <c r="E97" s="134">
        <v>670</v>
      </c>
      <c r="F97" s="162">
        <v>926.1</v>
      </c>
      <c r="G97" s="134">
        <v>1040</v>
      </c>
      <c r="H97" s="135">
        <v>2993.02</v>
      </c>
      <c r="I97" s="134" t="s">
        <v>291</v>
      </c>
      <c r="J97" s="135" t="s">
        <v>291</v>
      </c>
      <c r="K97" s="134">
        <v>450</v>
      </c>
      <c r="L97" s="135">
        <v>762.5</v>
      </c>
      <c r="M97" s="136" t="s">
        <v>291</v>
      </c>
      <c r="N97" s="137">
        <f t="shared" si="35"/>
        <v>3755.52</v>
      </c>
      <c r="O97" s="134" t="s">
        <v>291</v>
      </c>
      <c r="P97" s="138" t="s">
        <v>291</v>
      </c>
      <c r="Q97" s="139" t="s">
        <v>151</v>
      </c>
      <c r="R97" s="131"/>
      <c r="S97" s="131"/>
      <c r="T97" s="124"/>
      <c r="U97" s="124"/>
    </row>
    <row r="98" spans="1:21" x14ac:dyDescent="0.3">
      <c r="A98" s="132" t="s">
        <v>152</v>
      </c>
      <c r="B98" s="133">
        <f t="shared" si="34"/>
        <v>2091</v>
      </c>
      <c r="C98" s="134">
        <v>954</v>
      </c>
      <c r="D98" s="134">
        <v>710.9</v>
      </c>
      <c r="E98" s="134">
        <v>687</v>
      </c>
      <c r="F98" s="162">
        <v>452.1</v>
      </c>
      <c r="G98" s="134">
        <v>316</v>
      </c>
      <c r="H98" s="135">
        <v>722.3</v>
      </c>
      <c r="I98" s="134">
        <v>31</v>
      </c>
      <c r="J98" s="135">
        <v>33.4</v>
      </c>
      <c r="K98" s="134">
        <v>103</v>
      </c>
      <c r="L98" s="135">
        <v>113.8</v>
      </c>
      <c r="M98" s="136" t="s">
        <v>291</v>
      </c>
      <c r="N98" s="137">
        <f t="shared" si="35"/>
        <v>869.49999999999989</v>
      </c>
      <c r="O98" s="140" t="s">
        <v>291</v>
      </c>
      <c r="P98" s="138" t="s">
        <v>291</v>
      </c>
      <c r="Q98" s="139" t="s">
        <v>153</v>
      </c>
      <c r="R98" s="131"/>
      <c r="S98" s="131"/>
      <c r="T98" s="124"/>
      <c r="U98" s="124"/>
    </row>
    <row r="99" spans="1:21" x14ac:dyDescent="0.3">
      <c r="A99" s="132" t="s">
        <v>154</v>
      </c>
      <c r="B99" s="133">
        <f t="shared" si="34"/>
        <v>19</v>
      </c>
      <c r="C99" s="134" t="s">
        <v>291</v>
      </c>
      <c r="D99" s="134" t="s">
        <v>291</v>
      </c>
      <c r="E99" s="134" t="s">
        <v>291</v>
      </c>
      <c r="F99" s="162" t="s">
        <v>291</v>
      </c>
      <c r="G99" s="134">
        <v>9</v>
      </c>
      <c r="H99" s="135">
        <v>18</v>
      </c>
      <c r="I99" s="140" t="s">
        <v>291</v>
      </c>
      <c r="J99" s="135" t="s">
        <v>291</v>
      </c>
      <c r="K99" s="134">
        <v>10</v>
      </c>
      <c r="L99" s="135">
        <v>15</v>
      </c>
      <c r="M99" s="136" t="s">
        <v>291</v>
      </c>
      <c r="N99" s="137">
        <f t="shared" si="35"/>
        <v>33</v>
      </c>
      <c r="O99" s="140" t="s">
        <v>291</v>
      </c>
      <c r="P99" s="138" t="s">
        <v>291</v>
      </c>
      <c r="Q99" s="139" t="s">
        <v>155</v>
      </c>
      <c r="R99" s="131"/>
      <c r="S99" s="131"/>
      <c r="T99" s="124"/>
      <c r="U99" s="124"/>
    </row>
    <row r="100" spans="1:21" x14ac:dyDescent="0.3">
      <c r="A100" s="132" t="s">
        <v>156</v>
      </c>
      <c r="B100" s="133">
        <f t="shared" si="34"/>
        <v>3833</v>
      </c>
      <c r="C100" s="134">
        <v>54</v>
      </c>
      <c r="D100" s="134">
        <v>88</v>
      </c>
      <c r="E100" s="134">
        <v>37</v>
      </c>
      <c r="F100" s="162">
        <v>54.2</v>
      </c>
      <c r="G100" s="134">
        <v>2375</v>
      </c>
      <c r="H100" s="135">
        <v>5438.1</v>
      </c>
      <c r="I100" s="134">
        <v>8</v>
      </c>
      <c r="J100" s="135">
        <v>13.2</v>
      </c>
      <c r="K100" s="134">
        <v>1302</v>
      </c>
      <c r="L100" s="135">
        <v>3451.4</v>
      </c>
      <c r="M100" s="136" t="s">
        <v>291</v>
      </c>
      <c r="N100" s="137">
        <f t="shared" si="35"/>
        <v>8902.7000000000007</v>
      </c>
      <c r="O100" s="134">
        <v>57</v>
      </c>
      <c r="P100" s="138">
        <v>107.015</v>
      </c>
      <c r="Q100" s="139" t="s">
        <v>157</v>
      </c>
      <c r="R100" s="131"/>
      <c r="S100" s="131"/>
      <c r="T100" s="124"/>
      <c r="U100" s="124"/>
    </row>
    <row r="101" spans="1:21" x14ac:dyDescent="0.3">
      <c r="A101" s="132" t="s">
        <v>158</v>
      </c>
      <c r="B101" s="133">
        <f t="shared" si="34"/>
        <v>208</v>
      </c>
      <c r="C101" s="134">
        <v>17</v>
      </c>
      <c r="D101" s="134">
        <v>47.6</v>
      </c>
      <c r="E101" s="134">
        <v>18</v>
      </c>
      <c r="F101" s="162">
        <v>27</v>
      </c>
      <c r="G101" s="134">
        <v>144</v>
      </c>
      <c r="H101" s="135">
        <v>450.4</v>
      </c>
      <c r="I101" s="134">
        <v>5</v>
      </c>
      <c r="J101" s="135">
        <v>15.9</v>
      </c>
      <c r="K101" s="134">
        <v>20</v>
      </c>
      <c r="L101" s="135">
        <v>54</v>
      </c>
      <c r="M101" s="136" t="s">
        <v>291</v>
      </c>
      <c r="N101" s="137">
        <f t="shared" si="35"/>
        <v>520.29999999999995</v>
      </c>
      <c r="O101" s="134">
        <v>4</v>
      </c>
      <c r="P101" s="138">
        <v>9</v>
      </c>
      <c r="Q101" s="139" t="s">
        <v>159</v>
      </c>
      <c r="R101" s="131"/>
      <c r="S101" s="131"/>
      <c r="T101" s="124"/>
      <c r="U101" s="124"/>
    </row>
    <row r="102" spans="1:21" x14ac:dyDescent="0.3">
      <c r="A102" s="132" t="s">
        <v>160</v>
      </c>
      <c r="B102" s="133">
        <f t="shared" si="34"/>
        <v>4828</v>
      </c>
      <c r="C102" s="134">
        <v>2577</v>
      </c>
      <c r="D102" s="134">
        <v>15147.433999999999</v>
      </c>
      <c r="E102" s="134">
        <v>258</v>
      </c>
      <c r="F102" s="162">
        <v>509.7</v>
      </c>
      <c r="G102" s="134">
        <v>1304</v>
      </c>
      <c r="H102" s="135">
        <v>3137.98</v>
      </c>
      <c r="I102" s="134">
        <v>76</v>
      </c>
      <c r="J102" s="135">
        <v>91.2</v>
      </c>
      <c r="K102" s="134">
        <v>609</v>
      </c>
      <c r="L102" s="135">
        <v>866.85</v>
      </c>
      <c r="M102" s="136" t="s">
        <v>291</v>
      </c>
      <c r="N102" s="137">
        <f t="shared" si="35"/>
        <v>4096.03</v>
      </c>
      <c r="O102" s="134">
        <v>4</v>
      </c>
      <c r="P102" s="138">
        <v>8</v>
      </c>
      <c r="Q102" s="139" t="s">
        <v>161</v>
      </c>
      <c r="R102" s="131"/>
      <c r="S102" s="131"/>
      <c r="T102" s="124"/>
      <c r="U102" s="124"/>
    </row>
    <row r="103" spans="1:21" x14ac:dyDescent="0.3">
      <c r="A103" s="132" t="s">
        <v>162</v>
      </c>
      <c r="B103" s="133">
        <f t="shared" si="34"/>
        <v>591</v>
      </c>
      <c r="C103" s="134">
        <v>54</v>
      </c>
      <c r="D103" s="134">
        <v>108</v>
      </c>
      <c r="E103" s="134">
        <v>48</v>
      </c>
      <c r="F103" s="162">
        <v>48</v>
      </c>
      <c r="G103" s="134">
        <v>327</v>
      </c>
      <c r="H103" s="135">
        <v>715.4</v>
      </c>
      <c r="I103" s="134">
        <v>12</v>
      </c>
      <c r="J103" s="135">
        <v>14.4</v>
      </c>
      <c r="K103" s="134">
        <v>150</v>
      </c>
      <c r="L103" s="135">
        <v>233.1</v>
      </c>
      <c r="M103" s="136" t="s">
        <v>291</v>
      </c>
      <c r="N103" s="137">
        <f t="shared" si="35"/>
        <v>962.9</v>
      </c>
      <c r="O103" s="140" t="s">
        <v>291</v>
      </c>
      <c r="P103" s="138" t="s">
        <v>291</v>
      </c>
      <c r="Q103" s="139" t="s">
        <v>163</v>
      </c>
      <c r="R103" s="131"/>
      <c r="S103" s="131"/>
      <c r="T103" s="124"/>
      <c r="U103" s="124"/>
    </row>
    <row r="104" spans="1:21" x14ac:dyDescent="0.3">
      <c r="A104" s="216" t="s">
        <v>164</v>
      </c>
      <c r="B104" s="217">
        <f>SUM(B106:B109)</f>
        <v>30599</v>
      </c>
      <c r="C104" s="190">
        <f>SUM(C106:C109)</f>
        <v>5372</v>
      </c>
      <c r="D104" s="190">
        <f t="shared" ref="D104:P104" si="36">SUM(D106:D109)</f>
        <v>9684.3430000000008</v>
      </c>
      <c r="E104" s="190">
        <f t="shared" si="36"/>
        <v>4104</v>
      </c>
      <c r="F104" s="190">
        <f t="shared" si="36"/>
        <v>6256.33</v>
      </c>
      <c r="G104" s="190">
        <f t="shared" si="36"/>
        <v>7702</v>
      </c>
      <c r="H104" s="190">
        <f t="shared" si="36"/>
        <v>10570.507</v>
      </c>
      <c r="I104" s="190">
        <f t="shared" si="36"/>
        <v>9892</v>
      </c>
      <c r="J104" s="190">
        <f t="shared" si="36"/>
        <v>20004.251</v>
      </c>
      <c r="K104" s="190">
        <f t="shared" si="36"/>
        <v>3449</v>
      </c>
      <c r="L104" s="190">
        <f t="shared" si="36"/>
        <v>3813.6909999999998</v>
      </c>
      <c r="M104" s="190">
        <f>SUM(G104,I104,K104)</f>
        <v>21043</v>
      </c>
      <c r="N104" s="190">
        <f>SUM(H104,J104,L104)</f>
        <v>34388.449000000001</v>
      </c>
      <c r="O104" s="190">
        <f t="shared" si="36"/>
        <v>80</v>
      </c>
      <c r="P104" s="191">
        <f t="shared" si="36"/>
        <v>93.37</v>
      </c>
      <c r="Q104" s="219" t="s">
        <v>165</v>
      </c>
      <c r="R104" s="219"/>
      <c r="S104" s="131"/>
      <c r="T104" s="124"/>
      <c r="U104" s="124"/>
    </row>
    <row r="105" spans="1:21" x14ac:dyDescent="0.3">
      <c r="A105" s="216"/>
      <c r="B105" s="217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1"/>
      <c r="Q105" s="219"/>
      <c r="R105" s="219"/>
      <c r="S105" s="131"/>
      <c r="T105" s="124"/>
      <c r="U105" s="124"/>
    </row>
    <row r="106" spans="1:21" x14ac:dyDescent="0.3">
      <c r="A106" s="132" t="s">
        <v>166</v>
      </c>
      <c r="B106" s="133">
        <f>SUM(C106,E106,G106,I106,K106,O106)</f>
        <v>11545</v>
      </c>
      <c r="C106" s="134">
        <v>2477</v>
      </c>
      <c r="D106" s="134">
        <v>2714.08</v>
      </c>
      <c r="E106" s="134">
        <v>2081</v>
      </c>
      <c r="F106" s="162">
        <v>2481.44</v>
      </c>
      <c r="G106" s="134">
        <v>2665</v>
      </c>
      <c r="H106" s="135">
        <v>3465.5140000000001</v>
      </c>
      <c r="I106" s="134">
        <v>2642</v>
      </c>
      <c r="J106" s="135">
        <v>3563.855</v>
      </c>
      <c r="K106" s="134">
        <v>1623</v>
      </c>
      <c r="L106" s="135">
        <v>1870.4269999999999</v>
      </c>
      <c r="M106" s="136" t="s">
        <v>291</v>
      </c>
      <c r="N106" s="137">
        <f t="shared" ref="N106:N109" si="37">SUM(H106,J106,L106)</f>
        <v>8899.7960000000003</v>
      </c>
      <c r="O106" s="134">
        <v>57</v>
      </c>
      <c r="P106" s="138">
        <v>58</v>
      </c>
      <c r="Q106" s="139" t="s">
        <v>167</v>
      </c>
      <c r="R106" s="131"/>
      <c r="S106" s="131"/>
      <c r="T106" s="124"/>
      <c r="U106" s="124"/>
    </row>
    <row r="107" spans="1:21" x14ac:dyDescent="0.3">
      <c r="A107" s="132" t="s">
        <v>168</v>
      </c>
      <c r="B107" s="133">
        <f>SUM(C107,E107,G107,I107,K107,O107)</f>
        <v>6181</v>
      </c>
      <c r="C107" s="134">
        <v>183</v>
      </c>
      <c r="D107" s="134">
        <v>452.72699999999998</v>
      </c>
      <c r="E107" s="134">
        <v>148</v>
      </c>
      <c r="F107" s="162">
        <v>284.86200000000002</v>
      </c>
      <c r="G107" s="134">
        <v>662</v>
      </c>
      <c r="H107" s="135">
        <v>1416.653</v>
      </c>
      <c r="I107" s="134">
        <v>4815</v>
      </c>
      <c r="J107" s="135">
        <v>13597.585999999999</v>
      </c>
      <c r="K107" s="134">
        <v>361</v>
      </c>
      <c r="L107" s="135">
        <v>412.94</v>
      </c>
      <c r="M107" s="136" t="s">
        <v>291</v>
      </c>
      <c r="N107" s="137">
        <f t="shared" si="37"/>
        <v>15427.179</v>
      </c>
      <c r="O107" s="134">
        <v>12</v>
      </c>
      <c r="P107" s="138">
        <v>21.75</v>
      </c>
      <c r="Q107" s="139" t="s">
        <v>169</v>
      </c>
      <c r="R107" s="131"/>
      <c r="S107" s="131"/>
      <c r="T107" s="124"/>
      <c r="U107" s="124"/>
    </row>
    <row r="108" spans="1:21" x14ac:dyDescent="0.3">
      <c r="A108" s="132" t="s">
        <v>170</v>
      </c>
      <c r="B108" s="133">
        <f>SUM(C108,E108,G108,I108,K108,O108)</f>
        <v>2657</v>
      </c>
      <c r="C108" s="134">
        <v>420</v>
      </c>
      <c r="D108" s="134">
        <v>1067.92</v>
      </c>
      <c r="E108" s="134">
        <v>291</v>
      </c>
      <c r="F108" s="162">
        <v>567.20000000000005</v>
      </c>
      <c r="G108" s="134">
        <v>1062</v>
      </c>
      <c r="H108" s="135">
        <v>1979.41</v>
      </c>
      <c r="I108" s="134">
        <v>640</v>
      </c>
      <c r="J108" s="135">
        <v>919.86</v>
      </c>
      <c r="K108" s="134">
        <v>241</v>
      </c>
      <c r="L108" s="135">
        <v>299.274</v>
      </c>
      <c r="M108" s="136" t="s">
        <v>291</v>
      </c>
      <c r="N108" s="137">
        <f t="shared" si="37"/>
        <v>3198.5439999999999</v>
      </c>
      <c r="O108" s="140">
        <v>3</v>
      </c>
      <c r="P108" s="138">
        <v>5.5</v>
      </c>
      <c r="Q108" s="139" t="s">
        <v>171</v>
      </c>
      <c r="R108" s="131"/>
      <c r="S108" s="131"/>
      <c r="T108" s="124"/>
      <c r="U108" s="124"/>
    </row>
    <row r="109" spans="1:21" ht="15.65" thickBot="1" x14ac:dyDescent="0.35">
      <c r="A109" s="149" t="s">
        <v>172</v>
      </c>
      <c r="B109" s="150">
        <f>SUM(C109,E109,G109,I109,K109,O109)</f>
        <v>10216</v>
      </c>
      <c r="C109" s="151">
        <v>2292</v>
      </c>
      <c r="D109" s="151">
        <v>5449.616</v>
      </c>
      <c r="E109" s="151">
        <v>1584</v>
      </c>
      <c r="F109" s="163">
        <v>2922.828</v>
      </c>
      <c r="G109" s="151">
        <v>3313</v>
      </c>
      <c r="H109" s="152">
        <v>3708.93</v>
      </c>
      <c r="I109" s="151">
        <v>1795</v>
      </c>
      <c r="J109" s="152">
        <v>1922.95</v>
      </c>
      <c r="K109" s="151">
        <v>1224</v>
      </c>
      <c r="L109" s="152">
        <v>1231.05</v>
      </c>
      <c r="M109" s="153" t="s">
        <v>291</v>
      </c>
      <c r="N109" s="154">
        <f t="shared" si="37"/>
        <v>6862.93</v>
      </c>
      <c r="O109" s="151">
        <v>8</v>
      </c>
      <c r="P109" s="155">
        <v>8.1199999999999992</v>
      </c>
      <c r="Q109" s="156" t="s">
        <v>173</v>
      </c>
      <c r="R109" s="157"/>
      <c r="S109" s="131"/>
      <c r="T109" s="124"/>
      <c r="U109" s="124"/>
    </row>
    <row r="110" spans="1:21" x14ac:dyDescent="0.3">
      <c r="A110" s="158" t="s">
        <v>174</v>
      </c>
      <c r="L110" s="131"/>
      <c r="N110" s="131"/>
      <c r="O110" s="131"/>
      <c r="P110" s="223" t="s">
        <v>175</v>
      </c>
      <c r="Q110" s="224"/>
      <c r="R110" s="224"/>
    </row>
    <row r="111" spans="1:21" x14ac:dyDescent="0.3">
      <c r="A111" s="159"/>
    </row>
  </sheetData>
  <mergeCells count="246">
    <mergeCell ref="A2:Q2"/>
    <mergeCell ref="A3:Q3"/>
    <mergeCell ref="P110:R110"/>
    <mergeCell ref="K7:L7"/>
    <mergeCell ref="Q104:R105"/>
    <mergeCell ref="M82:M83"/>
    <mergeCell ref="N82:N83"/>
    <mergeCell ref="O82:O83"/>
    <mergeCell ref="P72:P73"/>
    <mergeCell ref="Q72:R73"/>
    <mergeCell ref="K104:K105"/>
    <mergeCell ref="L104:L105"/>
    <mergeCell ref="Q89:R90"/>
    <mergeCell ref="P82:P83"/>
    <mergeCell ref="Q82:R83"/>
    <mergeCell ref="Q81:S81"/>
    <mergeCell ref="Q75:S75"/>
    <mergeCell ref="Q76:S76"/>
    <mergeCell ref="P104:P105"/>
    <mergeCell ref="P89:P90"/>
    <mergeCell ref="K82:K83"/>
    <mergeCell ref="L82:L83"/>
    <mergeCell ref="Q77:S77"/>
    <mergeCell ref="Q78:S78"/>
    <mergeCell ref="Q79:S79"/>
    <mergeCell ref="Q80:S80"/>
    <mergeCell ref="J104:J105"/>
    <mergeCell ref="M104:M105"/>
    <mergeCell ref="O89:O90"/>
    <mergeCell ref="K89:K90"/>
    <mergeCell ref="L89:L90"/>
    <mergeCell ref="M89:M90"/>
    <mergeCell ref="N89:N90"/>
    <mergeCell ref="J82:J83"/>
    <mergeCell ref="N104:N105"/>
    <mergeCell ref="O104:O105"/>
    <mergeCell ref="J89:J90"/>
    <mergeCell ref="H89:H90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A72:A73"/>
    <mergeCell ref="B72:B73"/>
    <mergeCell ref="C72:C73"/>
    <mergeCell ref="D72:D73"/>
    <mergeCell ref="E72:E73"/>
    <mergeCell ref="F72:F73"/>
    <mergeCell ref="A82:A83"/>
    <mergeCell ref="B82:B83"/>
    <mergeCell ref="C82:C83"/>
    <mergeCell ref="D82:D83"/>
    <mergeCell ref="E82:E83"/>
    <mergeCell ref="F82:F83"/>
    <mergeCell ref="I89:I90"/>
    <mergeCell ref="G82:G83"/>
    <mergeCell ref="H82:H83"/>
    <mergeCell ref="I82:I83"/>
    <mergeCell ref="A89:A90"/>
    <mergeCell ref="B89:B90"/>
    <mergeCell ref="C89:C90"/>
    <mergeCell ref="D89:D90"/>
    <mergeCell ref="E89:E90"/>
    <mergeCell ref="F89:F90"/>
    <mergeCell ref="G89:G90"/>
    <mergeCell ref="Q74:S74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H60:H61"/>
    <mergeCell ref="I60:I61"/>
    <mergeCell ref="Q63:R63"/>
    <mergeCell ref="A65:A66"/>
    <mergeCell ref="B65:B66"/>
    <mergeCell ref="C65:C66"/>
    <mergeCell ref="D65:D66"/>
    <mergeCell ref="E65:E66"/>
    <mergeCell ref="P65:P66"/>
    <mergeCell ref="Q65:R66"/>
    <mergeCell ref="F65:F66"/>
    <mergeCell ref="G65:G66"/>
    <mergeCell ref="M60:M61"/>
    <mergeCell ref="N65:N66"/>
    <mergeCell ref="O65:O66"/>
    <mergeCell ref="H65:H66"/>
    <mergeCell ref="I65:I66"/>
    <mergeCell ref="J65:J66"/>
    <mergeCell ref="K65:K66"/>
    <mergeCell ref="L65:L66"/>
    <mergeCell ref="M65:M66"/>
    <mergeCell ref="N60:N61"/>
    <mergeCell ref="O60:O61"/>
    <mergeCell ref="J53:J54"/>
    <mergeCell ref="J60:J61"/>
    <mergeCell ref="K60:K61"/>
    <mergeCell ref="L60:L61"/>
    <mergeCell ref="P60:P61"/>
    <mergeCell ref="Q60:R61"/>
    <mergeCell ref="A53:A54"/>
    <mergeCell ref="B53:B54"/>
    <mergeCell ref="C53:C54"/>
    <mergeCell ref="D53:D54"/>
    <mergeCell ref="E53:E54"/>
    <mergeCell ref="F53:F54"/>
    <mergeCell ref="A60:A61"/>
    <mergeCell ref="B60:B61"/>
    <mergeCell ref="C60:C61"/>
    <mergeCell ref="D60:D61"/>
    <mergeCell ref="E60:E61"/>
    <mergeCell ref="F60:F61"/>
    <mergeCell ref="G60:G61"/>
    <mergeCell ref="I53:I54"/>
    <mergeCell ref="G53:G54"/>
    <mergeCell ref="H53:H54"/>
    <mergeCell ref="O53:O54"/>
    <mergeCell ref="P53:P54"/>
    <mergeCell ref="I39:I40"/>
    <mergeCell ref="J39:J40"/>
    <mergeCell ref="K39:K40"/>
    <mergeCell ref="Q44:R44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P46:P47"/>
    <mergeCell ref="Q46:R47"/>
    <mergeCell ref="K46:K47"/>
    <mergeCell ref="L46:L47"/>
    <mergeCell ref="M46:M47"/>
    <mergeCell ref="N46:N47"/>
    <mergeCell ref="O46:O47"/>
    <mergeCell ref="J46:J47"/>
    <mergeCell ref="L39:L40"/>
    <mergeCell ref="M39:M40"/>
    <mergeCell ref="A39:A40"/>
    <mergeCell ref="Q53:R54"/>
    <mergeCell ref="K53:K54"/>
    <mergeCell ref="N39:N40"/>
    <mergeCell ref="O39:O40"/>
    <mergeCell ref="P39:P40"/>
    <mergeCell ref="Q39:R40"/>
    <mergeCell ref="L53:L54"/>
    <mergeCell ref="M53:M54"/>
    <mergeCell ref="N53:N54"/>
    <mergeCell ref="B39:B40"/>
    <mergeCell ref="C39:C40"/>
    <mergeCell ref="D39:D40"/>
    <mergeCell ref="E39:E40"/>
    <mergeCell ref="G33:G34"/>
    <mergeCell ref="H33:H34"/>
    <mergeCell ref="A33:A34"/>
    <mergeCell ref="B33:B34"/>
    <mergeCell ref="C33:C34"/>
    <mergeCell ref="D33:D34"/>
    <mergeCell ref="E33:E34"/>
    <mergeCell ref="F33:F34"/>
    <mergeCell ref="F39:F40"/>
    <mergeCell ref="G39:G40"/>
    <mergeCell ref="H39:H40"/>
    <mergeCell ref="M33:M34"/>
    <mergeCell ref="N33:N34"/>
    <mergeCell ref="I33:I34"/>
    <mergeCell ref="J33:J34"/>
    <mergeCell ref="K33:K34"/>
    <mergeCell ref="L33:L34"/>
    <mergeCell ref="O33:O34"/>
    <mergeCell ref="P33:P34"/>
    <mergeCell ref="Q33:R34"/>
    <mergeCell ref="L19:L20"/>
    <mergeCell ref="M19:M20"/>
    <mergeCell ref="N19:N20"/>
    <mergeCell ref="M11:M12"/>
    <mergeCell ref="N11:N12"/>
    <mergeCell ref="A9:A10"/>
    <mergeCell ref="O19:O20"/>
    <mergeCell ref="P19:P20"/>
    <mergeCell ref="Q19:R20"/>
    <mergeCell ref="H19:H20"/>
    <mergeCell ref="I19:I20"/>
    <mergeCell ref="J19:J20"/>
    <mergeCell ref="K19:K20"/>
    <mergeCell ref="A19:A20"/>
    <mergeCell ref="B19:B20"/>
    <mergeCell ref="C19:C20"/>
    <mergeCell ref="D19:D20"/>
    <mergeCell ref="E19:E20"/>
    <mergeCell ref="G11:G12"/>
    <mergeCell ref="F19:F20"/>
    <mergeCell ref="G19:G20"/>
    <mergeCell ref="A11:A12"/>
    <mergeCell ref="B11:B12"/>
    <mergeCell ref="C11:C12"/>
    <mergeCell ref="Q5:R8"/>
    <mergeCell ref="Q9:R10"/>
    <mergeCell ref="G9:G10"/>
    <mergeCell ref="H9:H10"/>
    <mergeCell ref="I7:J7"/>
    <mergeCell ref="M7:N7"/>
    <mergeCell ref="D11:D12"/>
    <mergeCell ref="E11:E12"/>
    <mergeCell ref="F11:F12"/>
    <mergeCell ref="O11:O12"/>
    <mergeCell ref="P11:P12"/>
    <mergeCell ref="Q11:R12"/>
    <mergeCell ref="H11:H12"/>
    <mergeCell ref="I11:I12"/>
    <mergeCell ref="K11:K12"/>
    <mergeCell ref="L11:L12"/>
    <mergeCell ref="J11:J12"/>
    <mergeCell ref="B9:B10"/>
    <mergeCell ref="G7:H7"/>
    <mergeCell ref="A5:A8"/>
    <mergeCell ref="O5:P7"/>
    <mergeCell ref="L9:L10"/>
    <mergeCell ref="M9:M10"/>
    <mergeCell ref="N9:N10"/>
    <mergeCell ref="O9:O10"/>
    <mergeCell ref="P9:P10"/>
    <mergeCell ref="I9:I10"/>
    <mergeCell ref="J9:J10"/>
    <mergeCell ref="K9:K10"/>
    <mergeCell ref="B5:B8"/>
    <mergeCell ref="F9:F10"/>
    <mergeCell ref="C5:D7"/>
    <mergeCell ref="E5:F7"/>
    <mergeCell ref="G5:N5"/>
    <mergeCell ref="G6:N6"/>
    <mergeCell ref="C9:C10"/>
    <mergeCell ref="D9:D10"/>
    <mergeCell ref="E9:E10"/>
  </mergeCells>
  <pageMargins left="0.7" right="0.7" top="0.75" bottom="0.75" header="0.3" footer="0.3"/>
  <pageSetup paperSize="9" orientation="portrait" horizontalDpi="200" verticalDpi="200" r:id="rId1"/>
  <ignoredErrors>
    <ignoredError sqref="B29:B32 B84:B88 B15:B18 B22:B27 B106:B109 B35:B38 B41:B45 B48:B52 B55:B59 B62:B64 B68:B71 B91:B103" unlockedFormula="1"/>
    <ignoredError sqref="B2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2015-05-06T08:57:43Z</cp:lastPrinted>
  <dcterms:created xsi:type="dcterms:W3CDTF">2015-05-06T07:17:17Z</dcterms:created>
  <dcterms:modified xsi:type="dcterms:W3CDTF">2021-06-04T09:16:13Z</dcterms:modified>
</cp:coreProperties>
</file>