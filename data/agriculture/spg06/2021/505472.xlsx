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168C9A5B-E4DE-41C0-816F-3D0158D850A9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5" i="2"/>
  <c r="B17" i="2"/>
  <c r="B18" i="2"/>
  <c r="B19" i="2"/>
  <c r="B14" i="2"/>
  <c r="O105" i="2"/>
  <c r="P105" i="2"/>
  <c r="O90" i="2"/>
  <c r="P90" i="2"/>
  <c r="O83" i="2"/>
  <c r="P83" i="2"/>
  <c r="O73" i="2"/>
  <c r="P73" i="2"/>
  <c r="O66" i="2"/>
  <c r="P66" i="2"/>
  <c r="O61" i="2"/>
  <c r="P61" i="2"/>
  <c r="O54" i="2"/>
  <c r="P54" i="2"/>
  <c r="O47" i="2"/>
  <c r="P47" i="2"/>
  <c r="O40" i="2"/>
  <c r="P40" i="2"/>
  <c r="O34" i="2"/>
  <c r="P34" i="2"/>
  <c r="O29" i="2"/>
  <c r="P29" i="2"/>
  <c r="O20" i="2"/>
  <c r="P20" i="2"/>
  <c r="O12" i="2"/>
  <c r="P12" i="2"/>
  <c r="P10" i="2" l="1"/>
  <c r="O10" i="2"/>
  <c r="D20" i="2" l="1"/>
  <c r="C12" i="2"/>
  <c r="D12" i="2"/>
  <c r="D29" i="2"/>
  <c r="E29" i="2"/>
  <c r="F29" i="2"/>
  <c r="G29" i="2"/>
  <c r="H29" i="2"/>
  <c r="I29" i="2"/>
  <c r="J29" i="2"/>
  <c r="K29" i="2"/>
  <c r="L29" i="2"/>
  <c r="M29" i="2"/>
  <c r="N29" i="2"/>
  <c r="Q29" i="2"/>
  <c r="R29" i="2"/>
  <c r="C29" i="2"/>
  <c r="G20" i="2"/>
  <c r="F20" i="2"/>
  <c r="E20" i="2"/>
  <c r="H20" i="2"/>
  <c r="I20" i="2"/>
  <c r="J20" i="2"/>
  <c r="K20" i="2"/>
  <c r="L20" i="2"/>
  <c r="M20" i="2"/>
  <c r="N20" i="2"/>
  <c r="Q20" i="2"/>
  <c r="R20" i="2"/>
  <c r="C20" i="2"/>
  <c r="R105" i="2"/>
  <c r="Q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R90" i="2"/>
  <c r="Q90" i="2"/>
  <c r="N90" i="2"/>
  <c r="M90" i="2"/>
  <c r="L90" i="2"/>
  <c r="K90" i="2"/>
  <c r="J90" i="2"/>
  <c r="I90" i="2"/>
  <c r="H90" i="2"/>
  <c r="G90" i="2"/>
  <c r="F90" i="2"/>
  <c r="E90" i="2"/>
  <c r="D90" i="2"/>
  <c r="C90" i="2"/>
  <c r="R83" i="2"/>
  <c r="Q83" i="2"/>
  <c r="N83" i="2"/>
  <c r="M83" i="2"/>
  <c r="L83" i="2"/>
  <c r="K83" i="2"/>
  <c r="J83" i="2"/>
  <c r="I83" i="2"/>
  <c r="H83" i="2"/>
  <c r="G83" i="2"/>
  <c r="F83" i="2"/>
  <c r="E83" i="2"/>
  <c r="D83" i="2"/>
  <c r="C83" i="2"/>
  <c r="R73" i="2"/>
  <c r="Q73" i="2"/>
  <c r="N73" i="2"/>
  <c r="M73" i="2"/>
  <c r="L73" i="2"/>
  <c r="K73" i="2"/>
  <c r="J73" i="2"/>
  <c r="I73" i="2"/>
  <c r="H73" i="2"/>
  <c r="G73" i="2"/>
  <c r="F73" i="2"/>
  <c r="E73" i="2"/>
  <c r="D73" i="2"/>
  <c r="C73" i="2"/>
  <c r="R66" i="2"/>
  <c r="Q66" i="2"/>
  <c r="N66" i="2"/>
  <c r="M66" i="2"/>
  <c r="L66" i="2"/>
  <c r="K66" i="2"/>
  <c r="J66" i="2"/>
  <c r="I66" i="2"/>
  <c r="H66" i="2"/>
  <c r="G66" i="2"/>
  <c r="F66" i="2"/>
  <c r="E66" i="2"/>
  <c r="D66" i="2"/>
  <c r="C66" i="2"/>
  <c r="R61" i="2"/>
  <c r="Q61" i="2"/>
  <c r="N61" i="2"/>
  <c r="M61" i="2"/>
  <c r="L61" i="2"/>
  <c r="K61" i="2"/>
  <c r="J61" i="2"/>
  <c r="I61" i="2"/>
  <c r="H61" i="2"/>
  <c r="G61" i="2"/>
  <c r="F61" i="2"/>
  <c r="E61" i="2"/>
  <c r="D61" i="2"/>
  <c r="C61" i="2"/>
  <c r="R54" i="2"/>
  <c r="Q54" i="2"/>
  <c r="N54" i="2"/>
  <c r="M54" i="2"/>
  <c r="L54" i="2"/>
  <c r="K54" i="2"/>
  <c r="J54" i="2"/>
  <c r="I54" i="2"/>
  <c r="H54" i="2"/>
  <c r="G54" i="2"/>
  <c r="F54" i="2"/>
  <c r="E54" i="2"/>
  <c r="D54" i="2"/>
  <c r="C54" i="2"/>
  <c r="R47" i="2"/>
  <c r="Q47" i="2"/>
  <c r="N47" i="2"/>
  <c r="M47" i="2"/>
  <c r="L47" i="2"/>
  <c r="K47" i="2"/>
  <c r="J47" i="2"/>
  <c r="I47" i="2"/>
  <c r="H47" i="2"/>
  <c r="G47" i="2"/>
  <c r="F47" i="2"/>
  <c r="E47" i="2"/>
  <c r="D47" i="2"/>
  <c r="C47" i="2"/>
  <c r="R40" i="2"/>
  <c r="Q40" i="2"/>
  <c r="N40" i="2"/>
  <c r="M40" i="2"/>
  <c r="L40" i="2"/>
  <c r="K40" i="2"/>
  <c r="J40" i="2"/>
  <c r="I40" i="2"/>
  <c r="H40" i="2"/>
  <c r="G40" i="2"/>
  <c r="F40" i="2"/>
  <c r="E40" i="2"/>
  <c r="D40" i="2"/>
  <c r="C40" i="2"/>
  <c r="R34" i="2"/>
  <c r="Q34" i="2"/>
  <c r="N34" i="2"/>
  <c r="M34" i="2"/>
  <c r="L34" i="2"/>
  <c r="K34" i="2"/>
  <c r="J34" i="2"/>
  <c r="I34" i="2"/>
  <c r="H34" i="2"/>
  <c r="G34" i="2"/>
  <c r="F34" i="2"/>
  <c r="E34" i="2"/>
  <c r="D34" i="2"/>
  <c r="C34" i="2"/>
  <c r="R12" i="2"/>
  <c r="Q12" i="2"/>
  <c r="N12" i="2"/>
  <c r="M12" i="2"/>
  <c r="L12" i="2"/>
  <c r="K12" i="2"/>
  <c r="J12" i="2"/>
  <c r="I12" i="2"/>
  <c r="H12" i="2"/>
  <c r="G12" i="2"/>
  <c r="F12" i="2"/>
  <c r="E12" i="2"/>
  <c r="B73" i="2" l="1"/>
  <c r="B34" i="2"/>
  <c r="B47" i="2"/>
  <c r="B90" i="2"/>
  <c r="E10" i="2"/>
  <c r="G10" i="2"/>
  <c r="B29" i="2"/>
  <c r="B105" i="2"/>
  <c r="B66" i="2"/>
  <c r="B54" i="2"/>
  <c r="B40" i="2"/>
  <c r="B20" i="2"/>
  <c r="B12" i="2"/>
  <c r="B83" i="2"/>
  <c r="B61" i="2"/>
  <c r="I10" i="2"/>
  <c r="K10" i="2"/>
  <c r="M10" i="2"/>
  <c r="Q10" i="2"/>
  <c r="C10" i="2"/>
  <c r="F10" i="2"/>
  <c r="H10" i="2"/>
  <c r="J10" i="2"/>
  <c r="L10" i="2"/>
  <c r="N10" i="2"/>
  <c r="R10" i="2"/>
  <c r="D10" i="2"/>
  <c r="B10" i="2" l="1"/>
</calcChain>
</file>

<file path=xl/sharedStrings.xml><?xml version="1.0" encoding="utf-8"?>
<sst xmlns="http://schemas.openxmlformats.org/spreadsheetml/2006/main" count="562" uniqueCount="297">
  <si>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</si>
  <si>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</si>
  <si>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</si>
  <si>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</si>
  <si>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</si>
  <si>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</si>
  <si>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</si>
  <si>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</si>
  <si>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</si>
  <si>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</si>
  <si>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</si>
  <si>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</si>
  <si>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</si>
  <si>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</si>
  <si>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</si>
  <si>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</si>
  <si>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</si>
  <si>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</si>
  <si>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</si>
  <si>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</si>
  <si>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</si>
  <si>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</si>
  <si>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</si>
  <si>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</si>
  <si>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</si>
  <si>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</si>
  <si>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</si>
  <si>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</si>
  <si>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</si>
  <si>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</si>
  <si>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</si>
  <si>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</si>
  <si>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</si>
  <si>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</si>
  <si>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</si>
  <si>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</si>
  <si>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</si>
  <si>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</si>
  <si>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</si>
  <si>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</si>
  <si>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</si>
  <si>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</si>
  <si>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</si>
  <si>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</si>
  <si>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</si>
  <si>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</si>
  <si>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</si>
  <si>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</si>
  <si>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</si>
  <si>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</si>
  <si>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</si>
  <si>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</si>
  <si>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</si>
  <si>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</si>
  <si>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</si>
  <si>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</si>
  <si>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</si>
  <si>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</si>
  <si>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</si>
  <si>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</si>
  <si>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</si>
  <si>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</si>
  <si>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</si>
  <si>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</si>
  <si>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</si>
  <si>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</si>
  <si>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</si>
  <si>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</si>
  <si>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</si>
  <si>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</si>
  <si>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</si>
  <si>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</si>
  <si>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</si>
  <si>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</si>
  <si>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</si>
  <si>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</si>
  <si>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</si>
  <si>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</si>
  <si>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</si>
  <si>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</si>
  <si>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</si>
  <si>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</si>
  <si>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</si>
  <si>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</si>
  <si>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</si>
  <si>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</si>
  <si>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</si>
  <si>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</si>
  <si>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</si>
  <si>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</si>
  <si>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</si>
  <si>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</si>
  <si>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</si>
  <si>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</si>
  <si>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</si>
  <si>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</si>
  <si>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</si>
  <si>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</si>
  <si>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</si>
  <si>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</si>
  <si>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</si>
  <si>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</si>
  <si>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</si>
  <si>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</si>
  <si>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</si>
  <si>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</si>
  <si>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</si>
  <si>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</si>
  <si>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</si>
  <si>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</si>
  <si>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</si>
  <si>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</si>
  <si>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</si>
  <si>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</si>
  <si>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</si>
  <si>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</si>
  <si>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</si>
  <si>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</si>
  <si>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</si>
  <si>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</si>
  <si>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</si>
  <si>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</si>
  <si>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</si>
  <si>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</si>
  <si>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</si>
  <si>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</si>
  <si>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</si>
  <si>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</si>
  <si>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</si>
  <si>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</si>
  <si>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</si>
  <si>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</si>
  <si>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</si>
  <si>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</si>
  <si>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</si>
  <si>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</si>
  <si>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</si>
  <si>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</si>
  <si>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</si>
  <si>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</si>
  <si>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</si>
  <si>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</si>
  <si>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</si>
  <si>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</si>
  <si>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</si>
  <si>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</si>
  <si>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</si>
  <si>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</si>
  <si>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</si>
  <si>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</si>
  <si>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</si>
  <si>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</si>
  <si>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</si>
  <si>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</si>
  <si>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</si>
  <si>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</si>
  <si>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</si>
  <si>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</si>
  <si>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</si>
  <si>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</si>
  <si>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</si>
  <si>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</si>
  <si>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</si>
  <si>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</si>
  <si>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</si>
  <si>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</si>
  <si>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</si>
  <si>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</si>
  <si>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</si>
  <si>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</si>
  <si>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</si>
  <si>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</si>
  <si>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</si>
  <si>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</si>
  <si>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</si>
  <si>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</si>
  <si>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</si>
  <si>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</si>
  <si>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</si>
  <si>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</si>
  <si>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</si>
  <si>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</si>
  <si>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</si>
  <si>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</si>
  <si>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</si>
  <si>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</si>
  <si>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</si>
  <si>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</si>
  <si>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</si>
  <si>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</si>
  <si>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</si>
  <si>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</si>
  <si>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</si>
  <si>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</si>
  <si>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</si>
  <si>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</si>
  <si>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</si>
  <si>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</si>
  <si>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</si>
  <si>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</si>
  <si>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</si>
  <si>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</si>
  <si>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</si>
  <si>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</si>
  <si>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</si>
  <si>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</si>
  <si>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</si>
  <si>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</si>
  <si>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</si>
  <si>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</si>
  <si>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</si>
  <si>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</si>
  <si>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</si>
  <si>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</si>
  <si>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</si>
  <si>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</si>
  <si>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</si>
  <si>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</si>
  <si>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</si>
  <si>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</si>
  <si>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</si>
  <si>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</si>
  <si>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</si>
  <si>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</si>
  <si>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</si>
  <si>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</si>
  <si>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</si>
  <si>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</si>
  <si>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</si>
  <si>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</si>
  <si>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</si>
  <si>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</si>
  <si>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</si>
  <si>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</si>
  <si>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</si>
  <si>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</si>
  <si>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</si>
  <si>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</si>
  <si>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</si>
  <si>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</si>
  <si>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</si>
  <si>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</si>
  <si>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</si>
  <si>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</si>
  <si>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</si>
  <si>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</si>
  <si>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</si>
  <si>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</si>
  <si>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</si>
  <si>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</si>
  <si>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</si>
  <si>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</si>
  <si>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</si>
  <si>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</si>
  <si>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</si>
  <si>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</si>
  <si>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</si>
  <si>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</si>
  <si>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</si>
  <si>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</si>
  <si>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</si>
  <si>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</si>
  <si>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</si>
  <si>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</si>
  <si>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</si>
  <si>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</si>
  <si>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</si>
  <si>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</si>
  <si>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</si>
  <si>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</si>
  <si>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</si>
  <si>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</si>
  <si>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</si>
  <si>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</si>
  <si>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</si>
  <si>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</si>
  <si>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</si>
  <si>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</si>
  <si>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</si>
  <si>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Περιφέρειες και Περιφερειακές Ενότητες</t>
  </si>
  <si>
    <t>Περιφέρεια Δυτικής Μακεδονίας</t>
  </si>
  <si>
    <t>Region of Western Macedonia</t>
  </si>
  <si>
    <t>Ετήσια
Annual</t>
  </si>
  <si>
    <t>Σύνολο
Εκτάσεων
Total
Area</t>
  </si>
  <si>
    <t>Πολυετή 
(μηδική, κλπ.) 
Multiannual
(alfalfa, etc)</t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</si>
  <si>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</si>
  <si>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</si>
  <si>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Πίνακας 2ε. Κτηνοτροφικά φυτά για σανό. Εκτάσεις και παραγωγή, κατά Περιφέρεια και Περιφερειακή Ενότητα, 2021</t>
  </si>
  <si>
    <t>Table 2e. Fodder plants for hey. Areas and production, by Region and Regional Unities, 2021</t>
  </si>
  <si>
    <t>—</t>
  </si>
  <si>
    <t xml:space="preserve"> Κριθάρι
Barley for hay</t>
  </si>
  <si>
    <t>Βρώμη
Oats for hay</t>
  </si>
  <si>
    <t>Βίκος
Veltch for hay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</si>
  <si>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Low land meadows for hey</t>
    </r>
    <r>
      <rPr>
        <vertAlign val="superscript"/>
        <sz val="11"/>
        <rFont val="Calibri"/>
        <family val="2"/>
        <charset val="161"/>
        <scheme val="minor"/>
      </rPr>
      <t>(1)</t>
    </r>
  </si>
  <si>
    <t>(1) Η παραγωγή αναφέρεται σε σανό αυτοφυούς χόρτου (κοφτολίβαδων και χόρτου αγραναπαύσεων)</t>
  </si>
  <si>
    <t>Αραβόσιτος χλωρός
Maize</t>
  </si>
  <si>
    <t>(2) Σόργο χλωρό, ρόβη, λαθούρι, μπιζέλια, φακή κλπ.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</si>
</sst>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1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4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0" xfId="0" applyNumberFormat="1" applyAlignment="1" applyProtection="1">
      <alignment horizontal="left" wrapText="1" indent="2"/>
      <protection locked="0"/>
    </xf>
    <xf numFmtId="49" fontId="0" fillId="0" borderId="7" xfId="0" applyNumberForma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3" fillId="0" borderId="7" xfId="0" applyFont="1" applyBorder="1" applyProtection="1">
      <protection locked="0"/>
    </xf>
    <xf numFmtId="0" fontId="15" fillId="0" borderId="0" xfId="0" applyFont="1" applyAlignment="1" applyProtection="1">
      <alignment vertical="center" wrapText="1"/>
      <protection locked="0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Protection="1"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5" fillId="0" borderId="15" xfId="0" applyNumberFormat="1" applyFont="1" applyBorder="1" applyAlignment="1">
      <alignment horizontal="right" vertical="center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right"/>
      <protection locked="0"/>
    </xf>
    <xf numFmtId="3" fontId="15" fillId="0" borderId="21" xfId="0" applyNumberFormat="1" applyFont="1" applyBorder="1" applyAlignment="1">
      <alignment horizontal="right" vertical="center"/>
    </xf>
    <xf numFmtId="0" fontId="0" fillId="0" borderId="4" xfId="0" applyBorder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wrapText="1" indent="1"/>
      <protection locked="0"/>
    </xf>
    <xf numFmtId="3" fontId="15" fillId="0" borderId="3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0" fontId="15" fillId="0" borderId="31" xfId="0" applyFont="1" applyBorder="1" applyAlignment="1" applyProtection="1">
      <alignment vertical="center" wrapText="1"/>
      <protection locked="0"/>
    </xf>
    <xf numFmtId="0" fontId="15" fillId="0" borderId="26" xfId="0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3" fontId="15" fillId="0" borderId="25" xfId="0" applyNumberFormat="1" applyFont="1" applyBorder="1" applyAlignment="1">
      <alignment horizontal="right" vertical="center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>
      <alignment horizontal="right" vertical="center"/>
    </xf>
    <xf numFmtId="3" fontId="15" fillId="0" borderId="16" xfId="0" applyNumberFormat="1" applyFont="1" applyBorder="1" applyAlignment="1">
      <alignment horizontal="right" vertical="center"/>
    </xf>
    <xf numFmtId="3" fontId="15" fillId="0" borderId="4" xfId="0" applyNumberFormat="1" applyFont="1" applyBorder="1" applyAlignment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3" fontId="15" fillId="0" borderId="31" xfId="0" applyNumberFormat="1" applyFont="1" applyBorder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0" fillId="0" borderId="28" xfId="0" applyBorder="1"/>
    <xf numFmtId="0" fontId="0" fillId="0" borderId="21" xfId="0" applyBorder="1"/>
    <xf numFmtId="0" fontId="0" fillId="0" borderId="16" xfId="0" applyBorder="1"/>
    <xf numFmtId="0" fontId="0" fillId="0" borderId="24" xfId="0" applyBorder="1"/>
    <xf numFmtId="0" fontId="0" fillId="0" borderId="17" xfId="0" applyBorder="1"/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15" fillId="0" borderId="24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15" fillId="0" borderId="36" xfId="0" applyNumberFormat="1" applyFont="1" applyBorder="1" applyAlignment="1">
      <alignment horizontal="right" vertical="center"/>
    </xf>
    <xf numFmtId="3" fontId="15" fillId="15" borderId="16" xfId="0" applyNumberFormat="1" applyFont="1" applyFill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59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0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2" t="s">
        <v>7</v>
      </c>
      <c r="E3" s="162"/>
      <c r="F3" s="162"/>
      <c r="G3" s="162"/>
      <c r="H3" s="160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0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0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0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0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0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0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0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0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0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0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0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0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0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0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0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0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0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1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3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4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4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4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4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4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4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4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4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5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6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67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7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67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67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67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7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67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67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67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7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67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68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59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0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0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0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0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0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0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1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6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57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7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57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57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57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57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57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57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57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7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57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57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57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57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57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57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58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zoomScaleNormal="100" workbookViewId="0">
      <selection activeCell="D32" sqref="D32"/>
    </sheetView>
  </sheetViews>
  <sheetFormatPr defaultRowHeight="13.8" x14ac:dyDescent="0.3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8" width="7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4" width="7.5546875" style="120" bestFit="1" customWidth="1"/>
    <col min="15" max="15" width="7.5546875" style="120" customWidth="1"/>
    <col min="16" max="16" width="10" style="120" customWidth="1"/>
    <col min="17" max="18" width="7.5546875" style="120" bestFit="1" customWidth="1"/>
    <col min="19" max="19" width="11" style="120" customWidth="1"/>
    <col min="20" max="20" width="12.77734375" style="120" customWidth="1"/>
    <col min="21" max="21" width="11.77734375" style="120" customWidth="1"/>
    <col min="22" max="22" width="6.44140625" style="120" customWidth="1"/>
    <col min="23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22" ht="18" x14ac:dyDescent="0.3">
      <c r="A2" s="196" t="s">
        <v>287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</row>
    <row r="3" spans="1:22" ht="18" x14ac:dyDescent="0.3">
      <c r="A3" s="196" t="s">
        <v>288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2" s="124" customFormat="1" ht="15" thickBot="1" x14ac:dyDescent="0.35">
      <c r="A5" s="147" t="s">
        <v>170</v>
      </c>
      <c r="B5" s="147"/>
      <c r="C5" s="147"/>
      <c r="D5" s="147"/>
      <c r="E5" s="147"/>
      <c r="F5" s="147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50"/>
      <c r="T5" s="150"/>
      <c r="U5" s="151" t="s">
        <v>286</v>
      </c>
    </row>
    <row r="6" spans="1:22" s="124" customFormat="1" ht="14.4" customHeight="1" x14ac:dyDescent="0.3">
      <c r="A6" s="217" t="s">
        <v>279</v>
      </c>
      <c r="B6" s="220" t="s">
        <v>283</v>
      </c>
      <c r="C6" s="197" t="s">
        <v>290</v>
      </c>
      <c r="D6" s="216"/>
      <c r="E6" s="223" t="s">
        <v>291</v>
      </c>
      <c r="F6" s="224"/>
      <c r="G6" s="197" t="s">
        <v>292</v>
      </c>
      <c r="H6" s="203"/>
      <c r="I6" s="197" t="s">
        <v>276</v>
      </c>
      <c r="J6" s="198"/>
      <c r="K6" s="198"/>
      <c r="L6" s="216"/>
      <c r="M6" s="197" t="s">
        <v>293</v>
      </c>
      <c r="N6" s="216"/>
      <c r="O6" s="197" t="s">
        <v>295</v>
      </c>
      <c r="P6" s="216"/>
      <c r="Q6" s="197" t="s">
        <v>285</v>
      </c>
      <c r="R6" s="198"/>
      <c r="S6" s="208" t="s">
        <v>171</v>
      </c>
      <c r="T6" s="209"/>
      <c r="U6" s="209"/>
      <c r="V6" s="155"/>
    </row>
    <row r="7" spans="1:22" s="124" customFormat="1" ht="10.199999999999999" customHeight="1" x14ac:dyDescent="0.3">
      <c r="A7" s="218"/>
      <c r="B7" s="221"/>
      <c r="C7" s="199"/>
      <c r="D7" s="215"/>
      <c r="E7" s="225"/>
      <c r="F7" s="226"/>
      <c r="G7" s="204"/>
      <c r="H7" s="205"/>
      <c r="I7" s="201"/>
      <c r="J7" s="202"/>
      <c r="K7" s="202"/>
      <c r="L7" s="214"/>
      <c r="M7" s="199"/>
      <c r="N7" s="215"/>
      <c r="O7" s="199"/>
      <c r="P7" s="215"/>
      <c r="Q7" s="199"/>
      <c r="R7" s="200"/>
      <c r="S7" s="210"/>
      <c r="T7" s="211"/>
      <c r="U7" s="211"/>
    </row>
    <row r="8" spans="1:22" s="124" customFormat="1" ht="67.650000000000006" customHeight="1" x14ac:dyDescent="0.3">
      <c r="A8" s="218"/>
      <c r="B8" s="210"/>
      <c r="C8" s="201"/>
      <c r="D8" s="214"/>
      <c r="E8" s="227"/>
      <c r="F8" s="228"/>
      <c r="G8" s="206"/>
      <c r="H8" s="207"/>
      <c r="I8" s="201" t="s">
        <v>284</v>
      </c>
      <c r="J8" s="214"/>
      <c r="K8" s="201" t="s">
        <v>282</v>
      </c>
      <c r="L8" s="215"/>
      <c r="M8" s="201"/>
      <c r="N8" s="214"/>
      <c r="O8" s="201"/>
      <c r="P8" s="214"/>
      <c r="Q8" s="201"/>
      <c r="R8" s="202"/>
      <c r="S8" s="210"/>
      <c r="T8" s="211"/>
      <c r="U8" s="211"/>
    </row>
    <row r="9" spans="1:22" s="124" customFormat="1" ht="14.4" x14ac:dyDescent="0.3">
      <c r="A9" s="219"/>
      <c r="B9" s="222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/>
      <c r="P9" s="126"/>
      <c r="Q9" s="126">
        <v>1</v>
      </c>
      <c r="R9" s="127">
        <v>2</v>
      </c>
      <c r="S9" s="212"/>
      <c r="T9" s="213"/>
      <c r="U9" s="213"/>
    </row>
    <row r="10" spans="1:22" s="124" customFormat="1" ht="14.4" x14ac:dyDescent="0.3">
      <c r="A10" s="193" t="s">
        <v>172</v>
      </c>
      <c r="B10" s="195">
        <f>SUM(B12,B20,B29,B34,B40,B47,B54,B61,B66,B73,B83,B90,B105)</f>
        <v>4200807</v>
      </c>
      <c r="C10" s="188">
        <f>SUM(C12,C20,C29,C34,C40,C47,C54,C61,C66,C73,C83,C90,C105)</f>
        <v>129095</v>
      </c>
      <c r="D10" s="188">
        <f>SUM(D12,D20,D29,D34,D40,D47,D54,D61,D66,D73,D83,D90,D105)</f>
        <v>42290.105000000003</v>
      </c>
      <c r="E10" s="188">
        <f>SUM(E12,E20,E29,E34,E40,E47,E54,E61,E66,E73,E83,E90,E105)</f>
        <v>211987</v>
      </c>
      <c r="F10" s="188">
        <f t="shared" ref="F10:R10" si="0">SUM(F12,F20,F29,F34,F40,F47,F54,F61,F66,F73,F83,F90,F105)</f>
        <v>81493.36099999999</v>
      </c>
      <c r="G10" s="188">
        <f>SUM(G12,G20,G29,G34,G40,G47,G54,G61,G66,G73,G83,G90,G105)</f>
        <v>239909</v>
      </c>
      <c r="H10" s="188">
        <f t="shared" si="0"/>
        <v>102004.88900000001</v>
      </c>
      <c r="I10" s="188">
        <f t="shared" si="0"/>
        <v>1690986</v>
      </c>
      <c r="J10" s="188">
        <f t="shared" si="0"/>
        <v>1901653.5310000002</v>
      </c>
      <c r="K10" s="188">
        <f t="shared" si="0"/>
        <v>385025</v>
      </c>
      <c r="L10" s="188">
        <f t="shared" si="0"/>
        <v>408940.09399999992</v>
      </c>
      <c r="M10" s="188">
        <f t="shared" si="0"/>
        <v>897951</v>
      </c>
      <c r="N10" s="180">
        <f t="shared" si="0"/>
        <v>341077.26</v>
      </c>
      <c r="O10" s="188">
        <f t="shared" ref="O10:P10" si="1">SUM(O12,O20,O29,O34,O40,O47,O54,O61,O66,O73,O83,O90,O105)</f>
        <v>307541</v>
      </c>
      <c r="P10" s="229">
        <f t="shared" si="1"/>
        <v>1301091.4649999999</v>
      </c>
      <c r="Q10" s="188">
        <f t="shared" si="0"/>
        <v>338313</v>
      </c>
      <c r="R10" s="180">
        <f t="shared" si="0"/>
        <v>168203.94400000002</v>
      </c>
      <c r="S10" s="182" t="s">
        <v>173</v>
      </c>
      <c r="T10" s="183"/>
      <c r="U10" s="183"/>
    </row>
    <row r="11" spans="1:22" s="124" customFormat="1" ht="10.050000000000001" customHeight="1" x14ac:dyDescent="0.3">
      <c r="A11" s="194"/>
      <c r="B11" s="192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77"/>
      <c r="O11" s="169"/>
      <c r="P11" s="191"/>
      <c r="Q11" s="169"/>
      <c r="R11" s="177"/>
      <c r="S11" s="184"/>
      <c r="T11" s="185"/>
      <c r="U11" s="185"/>
    </row>
    <row r="12" spans="1:22" s="124" customFormat="1" ht="14.4" x14ac:dyDescent="0.3">
      <c r="A12" s="189" t="s">
        <v>174</v>
      </c>
      <c r="B12" s="192">
        <f>SUM(B14:B19)</f>
        <v>718830</v>
      </c>
      <c r="C12" s="169">
        <f>SUM(C14:C19)</f>
        <v>10581</v>
      </c>
      <c r="D12" s="181">
        <f>SUM(D14:D19)</f>
        <v>4033.4049999999993</v>
      </c>
      <c r="E12" s="169">
        <f t="shared" ref="E12:R12" si="2">SUM(E14:E19)</f>
        <v>2431</v>
      </c>
      <c r="F12" s="181">
        <f t="shared" si="2"/>
        <v>962.10599999999999</v>
      </c>
      <c r="G12" s="169">
        <f t="shared" si="2"/>
        <v>20532</v>
      </c>
      <c r="H12" s="181">
        <f t="shared" si="2"/>
        <v>6720.13</v>
      </c>
      <c r="I12" s="169">
        <f t="shared" si="2"/>
        <v>299193</v>
      </c>
      <c r="J12" s="181">
        <f t="shared" si="2"/>
        <v>338532.64100000006</v>
      </c>
      <c r="K12" s="169">
        <f t="shared" si="2"/>
        <v>56199</v>
      </c>
      <c r="L12" s="181">
        <f t="shared" si="2"/>
        <v>43050.614000000001</v>
      </c>
      <c r="M12" s="169">
        <f t="shared" si="2"/>
        <v>273484</v>
      </c>
      <c r="N12" s="181">
        <f t="shared" si="2"/>
        <v>96302.189000000013</v>
      </c>
      <c r="O12" s="169">
        <f t="shared" ref="O12:P12" si="3">SUM(O14:O19)</f>
        <v>40401</v>
      </c>
      <c r="P12" s="181">
        <f t="shared" si="3"/>
        <v>139842.78599999999</v>
      </c>
      <c r="Q12" s="169">
        <f t="shared" si="2"/>
        <v>16009</v>
      </c>
      <c r="R12" s="181">
        <f t="shared" si="2"/>
        <v>7627.67</v>
      </c>
      <c r="S12" s="186" t="s">
        <v>175</v>
      </c>
      <c r="T12" s="187"/>
      <c r="U12" s="187"/>
      <c r="V12" s="148"/>
    </row>
    <row r="13" spans="1:22" s="124" customFormat="1" ht="14.4" x14ac:dyDescent="0.3">
      <c r="A13" s="189"/>
      <c r="B13" s="192"/>
      <c r="C13" s="169"/>
      <c r="D13" s="181"/>
      <c r="E13" s="169"/>
      <c r="F13" s="181"/>
      <c r="G13" s="169"/>
      <c r="H13" s="181"/>
      <c r="I13" s="169"/>
      <c r="J13" s="181"/>
      <c r="K13" s="169"/>
      <c r="L13" s="181"/>
      <c r="M13" s="169"/>
      <c r="N13" s="181"/>
      <c r="O13" s="169"/>
      <c r="P13" s="181"/>
      <c r="Q13" s="169"/>
      <c r="R13" s="181"/>
      <c r="S13" s="186"/>
      <c r="T13" s="187"/>
      <c r="U13" s="187"/>
      <c r="V13" s="148"/>
    </row>
    <row r="14" spans="1:22" s="124" customFormat="1" ht="14.4" x14ac:dyDescent="0.3">
      <c r="A14" s="129" t="s">
        <v>1</v>
      </c>
      <c r="B14" s="130">
        <f>SUM(C14,E14,G14,I14,K14,M14,O14,Q14)</f>
        <v>182967</v>
      </c>
      <c r="C14" s="131">
        <v>3526</v>
      </c>
      <c r="D14" s="132">
        <v>1420.7429999999999</v>
      </c>
      <c r="E14" s="131">
        <v>633</v>
      </c>
      <c r="F14" s="132">
        <v>237.53</v>
      </c>
      <c r="G14" s="131">
        <v>3039</v>
      </c>
      <c r="H14" s="132">
        <v>1110.8800000000001</v>
      </c>
      <c r="I14" s="131">
        <v>19600</v>
      </c>
      <c r="J14" s="132">
        <v>15921.445</v>
      </c>
      <c r="K14" s="131">
        <v>27515</v>
      </c>
      <c r="L14" s="132">
        <v>17181.235000000001</v>
      </c>
      <c r="M14" s="131">
        <v>118398</v>
      </c>
      <c r="N14" s="132">
        <v>47232.338000000003</v>
      </c>
      <c r="O14" s="131">
        <v>7118</v>
      </c>
      <c r="P14" s="132">
        <v>26206.87</v>
      </c>
      <c r="Q14" s="131">
        <v>3138</v>
      </c>
      <c r="R14" s="132">
        <v>1367.5060000000001</v>
      </c>
      <c r="S14" s="152" t="s">
        <v>176</v>
      </c>
    </row>
    <row r="15" spans="1:22" s="124" customFormat="1" ht="14.4" x14ac:dyDescent="0.3">
      <c r="A15" s="129" t="s">
        <v>4</v>
      </c>
      <c r="B15" s="130">
        <f t="shared" ref="B15:B19" si="4">SUM(C15,E15,G15,I15,K15,M15,O15,Q15)</f>
        <v>121278</v>
      </c>
      <c r="C15" s="131">
        <v>1859</v>
      </c>
      <c r="D15" s="132">
        <v>839.85799999999995</v>
      </c>
      <c r="E15" s="131">
        <v>1150</v>
      </c>
      <c r="F15" s="132">
        <v>439.55799999999999</v>
      </c>
      <c r="G15" s="131">
        <v>4100</v>
      </c>
      <c r="H15" s="132">
        <v>1601.77</v>
      </c>
      <c r="I15" s="131">
        <v>52957</v>
      </c>
      <c r="J15" s="132">
        <v>47605.21</v>
      </c>
      <c r="K15" s="131">
        <v>10053</v>
      </c>
      <c r="L15" s="132">
        <v>9208.4879999999994</v>
      </c>
      <c r="M15" s="131">
        <v>31785</v>
      </c>
      <c r="N15" s="132">
        <v>11030.429</v>
      </c>
      <c r="O15" s="131">
        <v>12735</v>
      </c>
      <c r="P15" s="132">
        <v>42444.44</v>
      </c>
      <c r="Q15" s="131">
        <v>6639</v>
      </c>
      <c r="R15" s="132">
        <v>2378.8809999999999</v>
      </c>
      <c r="S15" s="152" t="s">
        <v>177</v>
      </c>
    </row>
    <row r="16" spans="1:22" s="124" customFormat="1" ht="14.4" x14ac:dyDescent="0.3">
      <c r="A16" s="129" t="s">
        <v>6</v>
      </c>
      <c r="B16" s="130">
        <f>SUM(C16,E16,G16,I16,K16,M16,O16,Q16)</f>
        <v>311718</v>
      </c>
      <c r="C16" s="131">
        <v>2396</v>
      </c>
      <c r="D16" s="132">
        <v>868.89</v>
      </c>
      <c r="E16" s="131">
        <v>164</v>
      </c>
      <c r="F16" s="132">
        <v>77.504999999999995</v>
      </c>
      <c r="G16" s="131">
        <v>2561</v>
      </c>
      <c r="H16" s="132">
        <v>1446.8320000000001</v>
      </c>
      <c r="I16" s="131">
        <v>190856</v>
      </c>
      <c r="J16" s="132">
        <v>237205.40400000001</v>
      </c>
      <c r="K16" s="131">
        <v>4798</v>
      </c>
      <c r="L16" s="132">
        <v>1803.7860000000001</v>
      </c>
      <c r="M16" s="131">
        <v>101458</v>
      </c>
      <c r="N16" s="132">
        <v>30239.794999999998</v>
      </c>
      <c r="O16" s="131">
        <v>6784</v>
      </c>
      <c r="P16" s="132">
        <v>22739.268</v>
      </c>
      <c r="Q16" s="131">
        <v>2701</v>
      </c>
      <c r="R16" s="132">
        <v>1145.854</v>
      </c>
      <c r="S16" s="152" t="s">
        <v>178</v>
      </c>
    </row>
    <row r="17" spans="1:21" s="124" customFormat="1" ht="14.4" x14ac:dyDescent="0.3">
      <c r="A17" s="129" t="s">
        <v>9</v>
      </c>
      <c r="B17" s="130">
        <f t="shared" si="4"/>
        <v>229</v>
      </c>
      <c r="C17" s="131">
        <v>54</v>
      </c>
      <c r="D17" s="132">
        <v>15.7</v>
      </c>
      <c r="E17" s="131">
        <v>20</v>
      </c>
      <c r="F17" s="132">
        <v>8</v>
      </c>
      <c r="G17" s="131" t="s">
        <v>289</v>
      </c>
      <c r="H17" s="132" t="s">
        <v>289</v>
      </c>
      <c r="I17" s="131">
        <v>42</v>
      </c>
      <c r="J17" s="132">
        <v>44.2</v>
      </c>
      <c r="K17" s="131">
        <v>9</v>
      </c>
      <c r="L17" s="132">
        <v>5.5</v>
      </c>
      <c r="M17" s="131">
        <v>92</v>
      </c>
      <c r="N17" s="132">
        <v>34.35</v>
      </c>
      <c r="O17" s="131" t="s">
        <v>289</v>
      </c>
      <c r="P17" s="132" t="s">
        <v>289</v>
      </c>
      <c r="Q17" s="131">
        <v>12</v>
      </c>
      <c r="R17" s="132">
        <v>6.6959999999999997</v>
      </c>
      <c r="S17" s="152" t="s">
        <v>179</v>
      </c>
    </row>
    <row r="18" spans="1:21" s="124" customFormat="1" ht="14.4" x14ac:dyDescent="0.3">
      <c r="A18" s="129" t="s">
        <v>12</v>
      </c>
      <c r="B18" s="130">
        <f t="shared" si="4"/>
        <v>29612</v>
      </c>
      <c r="C18" s="131">
        <v>842</v>
      </c>
      <c r="D18" s="132">
        <v>279.88099999999997</v>
      </c>
      <c r="E18" s="131">
        <v>339</v>
      </c>
      <c r="F18" s="132">
        <v>155.5</v>
      </c>
      <c r="G18" s="131">
        <v>2492</v>
      </c>
      <c r="H18" s="132">
        <v>1108.8900000000001</v>
      </c>
      <c r="I18" s="131">
        <v>12120</v>
      </c>
      <c r="J18" s="132">
        <v>13023.28</v>
      </c>
      <c r="K18" s="131">
        <v>8780</v>
      </c>
      <c r="L18" s="132">
        <v>10546.44</v>
      </c>
      <c r="M18" s="131">
        <v>2488</v>
      </c>
      <c r="N18" s="132">
        <v>1318.5640000000001</v>
      </c>
      <c r="O18" s="131">
        <v>1806</v>
      </c>
      <c r="P18" s="132">
        <v>4448.8900000000003</v>
      </c>
      <c r="Q18" s="131">
        <v>745</v>
      </c>
      <c r="R18" s="132">
        <v>716.48400000000004</v>
      </c>
      <c r="S18" s="152" t="s">
        <v>180</v>
      </c>
    </row>
    <row r="19" spans="1:21" s="124" customFormat="1" ht="14.4" x14ac:dyDescent="0.3">
      <c r="A19" s="129" t="s">
        <v>14</v>
      </c>
      <c r="B19" s="130">
        <f t="shared" si="4"/>
        <v>73026</v>
      </c>
      <c r="C19" s="131">
        <v>1904</v>
      </c>
      <c r="D19" s="132">
        <v>608.33299999999997</v>
      </c>
      <c r="E19" s="131">
        <v>125</v>
      </c>
      <c r="F19" s="132">
        <v>44.012999999999998</v>
      </c>
      <c r="G19" s="131">
        <v>8340</v>
      </c>
      <c r="H19" s="132">
        <v>1451.758</v>
      </c>
      <c r="I19" s="131">
        <v>23618</v>
      </c>
      <c r="J19" s="132">
        <v>24733.101999999999</v>
      </c>
      <c r="K19" s="131">
        <v>5044</v>
      </c>
      <c r="L19" s="132">
        <v>4305.165</v>
      </c>
      <c r="M19" s="131">
        <v>19263</v>
      </c>
      <c r="N19" s="132">
        <v>6446.7129999999997</v>
      </c>
      <c r="O19" s="131">
        <v>11958</v>
      </c>
      <c r="P19" s="132">
        <v>44003.317999999999</v>
      </c>
      <c r="Q19" s="131">
        <v>2774</v>
      </c>
      <c r="R19" s="132">
        <v>2012.249</v>
      </c>
      <c r="S19" s="152" t="s">
        <v>181</v>
      </c>
    </row>
    <row r="20" spans="1:21" s="124" customFormat="1" ht="14.4" x14ac:dyDescent="0.3">
      <c r="A20" s="189" t="s">
        <v>182</v>
      </c>
      <c r="B20" s="190">
        <f t="shared" ref="B20:G20" si="5">SUM(B22:B28)</f>
        <v>741526</v>
      </c>
      <c r="C20" s="169">
        <f t="shared" si="5"/>
        <v>29226</v>
      </c>
      <c r="D20" s="169">
        <f>SUM(D22:D28)</f>
        <v>9386.9129999999986</v>
      </c>
      <c r="E20" s="169">
        <f t="shared" si="5"/>
        <v>16013</v>
      </c>
      <c r="F20" s="169">
        <f t="shared" si="5"/>
        <v>5122.0219999999999</v>
      </c>
      <c r="G20" s="169">
        <f t="shared" si="5"/>
        <v>57934</v>
      </c>
      <c r="H20" s="169">
        <f t="shared" ref="H20:R20" si="6">SUM(H22:H28)</f>
        <v>24440.653999999999</v>
      </c>
      <c r="I20" s="169">
        <f t="shared" si="6"/>
        <v>397178</v>
      </c>
      <c r="J20" s="169">
        <f t="shared" si="6"/>
        <v>442405.02100000001</v>
      </c>
      <c r="K20" s="169">
        <f t="shared" si="6"/>
        <v>78008</v>
      </c>
      <c r="L20" s="169">
        <f t="shared" si="6"/>
        <v>82116.857000000004</v>
      </c>
      <c r="M20" s="169">
        <f t="shared" si="6"/>
        <v>22705</v>
      </c>
      <c r="N20" s="177">
        <f t="shared" si="6"/>
        <v>10153.526</v>
      </c>
      <c r="O20" s="169">
        <f t="shared" ref="O20:P20" si="7">SUM(O22:O28)</f>
        <v>83978</v>
      </c>
      <c r="P20" s="191">
        <f t="shared" si="7"/>
        <v>389411.58100000001</v>
      </c>
      <c r="Q20" s="169">
        <f t="shared" si="6"/>
        <v>56484</v>
      </c>
      <c r="R20" s="177">
        <f t="shared" si="6"/>
        <v>34963.154999999999</v>
      </c>
      <c r="S20" s="172" t="s">
        <v>183</v>
      </c>
      <c r="T20" s="173"/>
      <c r="U20" s="173"/>
    </row>
    <row r="21" spans="1:21" s="124" customFormat="1" ht="14.4" x14ac:dyDescent="0.3">
      <c r="A21" s="189"/>
      <c r="B21" s="190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77"/>
      <c r="O21" s="169"/>
      <c r="P21" s="191"/>
      <c r="Q21" s="169"/>
      <c r="R21" s="177"/>
      <c r="S21" s="172"/>
      <c r="T21" s="173"/>
      <c r="U21" s="173"/>
    </row>
    <row r="22" spans="1:21" s="124" customFormat="1" ht="14.4" x14ac:dyDescent="0.3">
      <c r="A22" s="129" t="s">
        <v>16</v>
      </c>
      <c r="B22" s="130">
        <f t="shared" ref="B22:B28" si="8">SUM(C22,E22,G22,I22,K22,M22,O22,Q22)</f>
        <v>153054</v>
      </c>
      <c r="C22" s="131">
        <v>7092</v>
      </c>
      <c r="D22" s="132">
        <v>1900.4490000000001</v>
      </c>
      <c r="E22" s="131">
        <v>3494</v>
      </c>
      <c r="F22" s="132">
        <v>1049.501</v>
      </c>
      <c r="G22" s="131">
        <v>15942</v>
      </c>
      <c r="H22" s="132">
        <v>5799.5259999999998</v>
      </c>
      <c r="I22" s="131">
        <v>76945</v>
      </c>
      <c r="J22" s="132">
        <v>84598.687999999995</v>
      </c>
      <c r="K22" s="131">
        <v>11084</v>
      </c>
      <c r="L22" s="132">
        <v>7572.0479999999998</v>
      </c>
      <c r="M22" s="131">
        <v>4534</v>
      </c>
      <c r="N22" s="132">
        <v>1082.8989999999999</v>
      </c>
      <c r="O22" s="131">
        <v>17229</v>
      </c>
      <c r="P22" s="132">
        <v>92713.471999999994</v>
      </c>
      <c r="Q22" s="131">
        <v>16734</v>
      </c>
      <c r="R22" s="132">
        <v>6083.1229999999996</v>
      </c>
      <c r="S22" s="152" t="s">
        <v>184</v>
      </c>
    </row>
    <row r="23" spans="1:21" s="124" customFormat="1" ht="14.4" x14ac:dyDescent="0.3">
      <c r="A23" s="129" t="s">
        <v>18</v>
      </c>
      <c r="B23" s="130">
        <f t="shared" si="8"/>
        <v>41676</v>
      </c>
      <c r="C23" s="131">
        <v>1063</v>
      </c>
      <c r="D23" s="132">
        <v>329.64</v>
      </c>
      <c r="E23" s="131">
        <v>236</v>
      </c>
      <c r="F23" s="132">
        <v>71.8</v>
      </c>
      <c r="G23" s="131">
        <v>503</v>
      </c>
      <c r="H23" s="132">
        <v>183.1</v>
      </c>
      <c r="I23" s="131">
        <v>5182</v>
      </c>
      <c r="J23" s="132">
        <v>5115.55</v>
      </c>
      <c r="K23" s="131">
        <v>7095</v>
      </c>
      <c r="L23" s="132">
        <v>6823.6</v>
      </c>
      <c r="M23" s="131">
        <v>3508</v>
      </c>
      <c r="N23" s="132">
        <v>1312.89</v>
      </c>
      <c r="O23" s="131">
        <v>17733</v>
      </c>
      <c r="P23" s="132">
        <v>81260.38</v>
      </c>
      <c r="Q23" s="131">
        <v>6356</v>
      </c>
      <c r="R23" s="132">
        <v>1896.1510000000001</v>
      </c>
      <c r="S23" s="152" t="s">
        <v>185</v>
      </c>
    </row>
    <row r="24" spans="1:21" s="124" customFormat="1" ht="14.4" x14ac:dyDescent="0.3">
      <c r="A24" s="129" t="s">
        <v>20</v>
      </c>
      <c r="B24" s="130">
        <f t="shared" si="8"/>
        <v>141207</v>
      </c>
      <c r="C24" s="131">
        <v>9208</v>
      </c>
      <c r="D24" s="132">
        <v>3192.6419999999998</v>
      </c>
      <c r="E24" s="131">
        <v>1958</v>
      </c>
      <c r="F24" s="132">
        <v>603.27</v>
      </c>
      <c r="G24" s="131">
        <v>1983</v>
      </c>
      <c r="H24" s="132">
        <v>570.46</v>
      </c>
      <c r="I24" s="131">
        <v>105021</v>
      </c>
      <c r="J24" s="132">
        <v>91104.312000000005</v>
      </c>
      <c r="K24" s="131">
        <v>2271</v>
      </c>
      <c r="L24" s="132">
        <v>1839.2</v>
      </c>
      <c r="M24" s="131">
        <v>1505</v>
      </c>
      <c r="N24" s="132">
        <v>819.55100000000004</v>
      </c>
      <c r="O24" s="131">
        <v>9202</v>
      </c>
      <c r="P24" s="132">
        <v>23523.642</v>
      </c>
      <c r="Q24" s="131">
        <v>10059</v>
      </c>
      <c r="R24" s="132">
        <v>3909.3290000000002</v>
      </c>
      <c r="S24" s="152" t="s">
        <v>186</v>
      </c>
    </row>
    <row r="25" spans="1:21" s="124" customFormat="1" ht="14.4" x14ac:dyDescent="0.3">
      <c r="A25" s="129" t="s">
        <v>22</v>
      </c>
      <c r="B25" s="130">
        <f t="shared" si="8"/>
        <v>80872</v>
      </c>
      <c r="C25" s="131">
        <v>2927</v>
      </c>
      <c r="D25" s="132">
        <v>1204.8430000000001</v>
      </c>
      <c r="E25" s="131">
        <v>1094</v>
      </c>
      <c r="F25" s="132">
        <v>453.70600000000002</v>
      </c>
      <c r="G25" s="131">
        <v>1107</v>
      </c>
      <c r="H25" s="132">
        <v>464.43299999999999</v>
      </c>
      <c r="I25" s="131">
        <v>23490</v>
      </c>
      <c r="J25" s="132">
        <v>31548.45</v>
      </c>
      <c r="K25" s="131">
        <v>22980</v>
      </c>
      <c r="L25" s="132">
        <v>30649.93</v>
      </c>
      <c r="M25" s="131">
        <v>4452</v>
      </c>
      <c r="N25" s="132">
        <v>3116.74</v>
      </c>
      <c r="O25" s="131">
        <v>20346</v>
      </c>
      <c r="P25" s="132">
        <v>96206.925000000003</v>
      </c>
      <c r="Q25" s="131">
        <v>4476</v>
      </c>
      <c r="R25" s="132">
        <v>10664.053</v>
      </c>
      <c r="S25" s="152" t="s">
        <v>187</v>
      </c>
    </row>
    <row r="26" spans="1:21" s="124" customFormat="1" ht="14.4" x14ac:dyDescent="0.3">
      <c r="A26" s="129" t="s">
        <v>24</v>
      </c>
      <c r="B26" s="130">
        <f t="shared" si="8"/>
        <v>66503</v>
      </c>
      <c r="C26" s="131">
        <v>2220</v>
      </c>
      <c r="D26" s="132">
        <v>790.654</v>
      </c>
      <c r="E26" s="131">
        <v>2310</v>
      </c>
      <c r="F26" s="132">
        <v>877.37</v>
      </c>
      <c r="G26" s="131">
        <v>6089</v>
      </c>
      <c r="H26" s="132">
        <v>2451.8000000000002</v>
      </c>
      <c r="I26" s="131">
        <v>25339</v>
      </c>
      <c r="J26" s="132">
        <v>31519.217000000001</v>
      </c>
      <c r="K26" s="131">
        <v>7621</v>
      </c>
      <c r="L26" s="132">
        <v>6974.4849999999997</v>
      </c>
      <c r="M26" s="131">
        <v>4105</v>
      </c>
      <c r="N26" s="132">
        <v>2121.585</v>
      </c>
      <c r="O26" s="131">
        <v>11432</v>
      </c>
      <c r="P26" s="132">
        <v>61489.951999999997</v>
      </c>
      <c r="Q26" s="131">
        <v>7387</v>
      </c>
      <c r="R26" s="132">
        <v>4687.66</v>
      </c>
      <c r="S26" s="152" t="s">
        <v>188</v>
      </c>
    </row>
    <row r="27" spans="1:21" s="124" customFormat="1" ht="14.4" x14ac:dyDescent="0.3">
      <c r="A27" s="129" t="s">
        <v>27</v>
      </c>
      <c r="B27" s="130">
        <f t="shared" si="8"/>
        <v>182049</v>
      </c>
      <c r="C27" s="131">
        <v>2932</v>
      </c>
      <c r="D27" s="132">
        <v>938.93799999999999</v>
      </c>
      <c r="E27" s="131">
        <v>349</v>
      </c>
      <c r="F27" s="132">
        <v>131.26</v>
      </c>
      <c r="G27" s="131">
        <v>1987</v>
      </c>
      <c r="H27" s="132">
        <v>762.66</v>
      </c>
      <c r="I27" s="131">
        <v>135210</v>
      </c>
      <c r="J27" s="132">
        <v>178500.658</v>
      </c>
      <c r="K27" s="131">
        <v>22019</v>
      </c>
      <c r="L27" s="132">
        <v>24394.569</v>
      </c>
      <c r="M27" s="131">
        <v>3194</v>
      </c>
      <c r="N27" s="132">
        <v>1243.5129999999999</v>
      </c>
      <c r="O27" s="131">
        <v>7946</v>
      </c>
      <c r="P27" s="132">
        <v>33831.21</v>
      </c>
      <c r="Q27" s="131">
        <v>8412</v>
      </c>
      <c r="R27" s="132">
        <v>6766.0829999999996</v>
      </c>
      <c r="S27" s="152" t="s">
        <v>189</v>
      </c>
    </row>
    <row r="28" spans="1:21" s="124" customFormat="1" ht="14.4" x14ac:dyDescent="0.3">
      <c r="A28" s="129" t="s">
        <v>29</v>
      </c>
      <c r="B28" s="130">
        <f t="shared" si="8"/>
        <v>76165</v>
      </c>
      <c r="C28" s="131">
        <v>3784</v>
      </c>
      <c r="D28" s="132">
        <v>1029.7470000000001</v>
      </c>
      <c r="E28" s="131">
        <v>6572</v>
      </c>
      <c r="F28" s="132">
        <v>1935.115</v>
      </c>
      <c r="G28" s="131">
        <v>30323</v>
      </c>
      <c r="H28" s="132">
        <v>14208.674999999999</v>
      </c>
      <c r="I28" s="131">
        <v>25991</v>
      </c>
      <c r="J28" s="132">
        <v>20018.146000000001</v>
      </c>
      <c r="K28" s="131">
        <v>4938</v>
      </c>
      <c r="L28" s="132">
        <v>3863.0250000000001</v>
      </c>
      <c r="M28" s="131">
        <v>1407</v>
      </c>
      <c r="N28" s="132">
        <v>456.34800000000001</v>
      </c>
      <c r="O28" s="131">
        <v>90</v>
      </c>
      <c r="P28" s="132">
        <v>386</v>
      </c>
      <c r="Q28" s="131">
        <v>3060</v>
      </c>
      <c r="R28" s="132">
        <v>956.75599999999997</v>
      </c>
      <c r="S28" s="152" t="s">
        <v>190</v>
      </c>
    </row>
    <row r="29" spans="1:21" s="136" customFormat="1" ht="19.95" customHeight="1" x14ac:dyDescent="0.3">
      <c r="A29" s="133" t="s">
        <v>280</v>
      </c>
      <c r="B29" s="134">
        <f>SUM(B30:B33)</f>
        <v>591171</v>
      </c>
      <c r="C29" s="135">
        <f>SUM(C30:C33)</f>
        <v>34791</v>
      </c>
      <c r="D29" s="135">
        <f t="shared" ref="D29:R29" si="9">SUM(D30:D33)</f>
        <v>10079.976999999999</v>
      </c>
      <c r="E29" s="135">
        <f t="shared" si="9"/>
        <v>8279</v>
      </c>
      <c r="F29" s="135">
        <f t="shared" si="9"/>
        <v>2893.3510000000001</v>
      </c>
      <c r="G29" s="135">
        <f t="shared" si="9"/>
        <v>9987</v>
      </c>
      <c r="H29" s="135">
        <f t="shared" si="9"/>
        <v>3188.576</v>
      </c>
      <c r="I29" s="135">
        <f t="shared" si="9"/>
        <v>278419</v>
      </c>
      <c r="J29" s="135">
        <f t="shared" si="9"/>
        <v>237216.85800000001</v>
      </c>
      <c r="K29" s="135">
        <f t="shared" si="9"/>
        <v>26519</v>
      </c>
      <c r="L29" s="135">
        <f t="shared" si="9"/>
        <v>19515.900000000001</v>
      </c>
      <c r="M29" s="135">
        <f t="shared" si="9"/>
        <v>158137</v>
      </c>
      <c r="N29" s="149">
        <f t="shared" si="9"/>
        <v>53442.807999999997</v>
      </c>
      <c r="O29" s="135">
        <f t="shared" si="9"/>
        <v>42422</v>
      </c>
      <c r="P29" s="230">
        <f t="shared" si="9"/>
        <v>205577.67099999997</v>
      </c>
      <c r="Q29" s="135">
        <f t="shared" si="9"/>
        <v>32617</v>
      </c>
      <c r="R29" s="149">
        <f t="shared" si="9"/>
        <v>13554.429</v>
      </c>
      <c r="S29" s="153" t="s">
        <v>281</v>
      </c>
    </row>
    <row r="30" spans="1:21" s="124" customFormat="1" ht="14.4" x14ac:dyDescent="0.3">
      <c r="A30" s="129" t="s">
        <v>31</v>
      </c>
      <c r="B30" s="130">
        <f t="shared" ref="B30:B33" si="10">SUM(C30,E30,G30,I30,K30,M30,O30,Q30)</f>
        <v>177402</v>
      </c>
      <c r="C30" s="131">
        <v>8296</v>
      </c>
      <c r="D30" s="132">
        <v>2954.9169999999999</v>
      </c>
      <c r="E30" s="131">
        <v>1930</v>
      </c>
      <c r="F30" s="132">
        <v>666.82899999999995</v>
      </c>
      <c r="G30" s="131">
        <v>6488</v>
      </c>
      <c r="H30" s="132">
        <v>1991.6120000000001</v>
      </c>
      <c r="I30" s="131">
        <v>92973</v>
      </c>
      <c r="J30" s="132">
        <v>77431.097999999998</v>
      </c>
      <c r="K30" s="131">
        <v>9648</v>
      </c>
      <c r="L30" s="132">
        <v>7266.9210000000003</v>
      </c>
      <c r="M30" s="131">
        <v>26333</v>
      </c>
      <c r="N30" s="132">
        <v>7276.59</v>
      </c>
      <c r="O30" s="131">
        <v>25959</v>
      </c>
      <c r="P30" s="132">
        <v>141409.511</v>
      </c>
      <c r="Q30" s="131">
        <v>5775</v>
      </c>
      <c r="R30" s="132">
        <v>2125.1219999999998</v>
      </c>
      <c r="S30" s="152" t="s">
        <v>191</v>
      </c>
    </row>
    <row r="31" spans="1:21" s="124" customFormat="1" ht="14.4" x14ac:dyDescent="0.3">
      <c r="A31" s="129" t="s">
        <v>33</v>
      </c>
      <c r="B31" s="130">
        <f t="shared" si="10"/>
        <v>175102</v>
      </c>
      <c r="C31" s="131">
        <v>24166</v>
      </c>
      <c r="D31" s="132">
        <v>6275.82</v>
      </c>
      <c r="E31" s="131">
        <v>4704</v>
      </c>
      <c r="F31" s="132">
        <v>1594.117</v>
      </c>
      <c r="G31" s="131">
        <v>2182</v>
      </c>
      <c r="H31" s="132">
        <v>706.76800000000003</v>
      </c>
      <c r="I31" s="131">
        <v>90639</v>
      </c>
      <c r="J31" s="132">
        <v>65106.188000000002</v>
      </c>
      <c r="K31" s="131">
        <v>5347</v>
      </c>
      <c r="L31" s="132">
        <v>2782.34</v>
      </c>
      <c r="M31" s="131">
        <v>27432</v>
      </c>
      <c r="N31" s="132">
        <v>9648.9699999999993</v>
      </c>
      <c r="O31" s="131">
        <v>2169</v>
      </c>
      <c r="P31" s="132">
        <v>7722.6180000000004</v>
      </c>
      <c r="Q31" s="131">
        <v>18463</v>
      </c>
      <c r="R31" s="132">
        <v>7934.384</v>
      </c>
      <c r="S31" s="152" t="s">
        <v>192</v>
      </c>
    </row>
    <row r="32" spans="1:21" s="124" customFormat="1" ht="14.4" x14ac:dyDescent="0.3">
      <c r="A32" s="129" t="s">
        <v>35</v>
      </c>
      <c r="B32" s="130">
        <f t="shared" si="10"/>
        <v>77400</v>
      </c>
      <c r="C32" s="131">
        <v>1358</v>
      </c>
      <c r="D32" s="132">
        <v>542.60599999999999</v>
      </c>
      <c r="E32" s="131">
        <v>148</v>
      </c>
      <c r="F32" s="132">
        <v>69.8</v>
      </c>
      <c r="G32" s="131">
        <v>26</v>
      </c>
      <c r="H32" s="132">
        <v>13</v>
      </c>
      <c r="I32" s="131">
        <v>27334</v>
      </c>
      <c r="J32" s="132">
        <v>20013.43</v>
      </c>
      <c r="K32" s="131">
        <v>8463</v>
      </c>
      <c r="L32" s="132">
        <v>6255.4</v>
      </c>
      <c r="M32" s="131">
        <v>36575</v>
      </c>
      <c r="N32" s="132">
        <v>15558.271000000001</v>
      </c>
      <c r="O32" s="131">
        <v>1708</v>
      </c>
      <c r="P32" s="132">
        <v>4435</v>
      </c>
      <c r="Q32" s="131">
        <v>1788</v>
      </c>
      <c r="R32" s="132">
        <v>821.58100000000002</v>
      </c>
      <c r="S32" s="152" t="s">
        <v>193</v>
      </c>
    </row>
    <row r="33" spans="1:21" s="124" customFormat="1" ht="14.4" x14ac:dyDescent="0.3">
      <c r="A33" s="129" t="s">
        <v>37</v>
      </c>
      <c r="B33" s="130">
        <f t="shared" si="10"/>
        <v>161267</v>
      </c>
      <c r="C33" s="131">
        <v>971</v>
      </c>
      <c r="D33" s="132">
        <v>306.63400000000001</v>
      </c>
      <c r="E33" s="131">
        <v>1497</v>
      </c>
      <c r="F33" s="132">
        <v>562.60500000000002</v>
      </c>
      <c r="G33" s="131">
        <v>1291</v>
      </c>
      <c r="H33" s="132">
        <v>477.19600000000003</v>
      </c>
      <c r="I33" s="131">
        <v>67473</v>
      </c>
      <c r="J33" s="132">
        <v>74666.142000000007</v>
      </c>
      <c r="K33" s="131">
        <v>3061</v>
      </c>
      <c r="L33" s="132">
        <v>3211.239</v>
      </c>
      <c r="M33" s="131">
        <v>67797</v>
      </c>
      <c r="N33" s="132">
        <v>20958.976999999999</v>
      </c>
      <c r="O33" s="131">
        <v>12586</v>
      </c>
      <c r="P33" s="132">
        <v>52010.542000000001</v>
      </c>
      <c r="Q33" s="131">
        <v>6591</v>
      </c>
      <c r="R33" s="132">
        <v>2673.3420000000001</v>
      </c>
      <c r="S33" s="152" t="s">
        <v>194</v>
      </c>
    </row>
    <row r="34" spans="1:21" s="124" customFormat="1" ht="14.4" x14ac:dyDescent="0.3">
      <c r="A34" s="189" t="s">
        <v>195</v>
      </c>
      <c r="B34" s="190">
        <f>SUM(B36:B39)</f>
        <v>241504</v>
      </c>
      <c r="C34" s="169">
        <f>SUM(C36:C39)</f>
        <v>708</v>
      </c>
      <c r="D34" s="169">
        <f t="shared" ref="D34:R34" si="11">SUM(D36:D39)</f>
        <v>250.55699999999999</v>
      </c>
      <c r="E34" s="169">
        <f t="shared" si="11"/>
        <v>6581</v>
      </c>
      <c r="F34" s="169">
        <f t="shared" si="11"/>
        <v>2070.2820000000002</v>
      </c>
      <c r="G34" s="191">
        <f t="shared" si="11"/>
        <v>435</v>
      </c>
      <c r="H34" s="169">
        <f t="shared" si="11"/>
        <v>232.97</v>
      </c>
      <c r="I34" s="169">
        <f t="shared" si="11"/>
        <v>82425</v>
      </c>
      <c r="J34" s="169">
        <f t="shared" si="11"/>
        <v>78767.532000000007</v>
      </c>
      <c r="K34" s="169">
        <f t="shared" si="11"/>
        <v>44140</v>
      </c>
      <c r="L34" s="169">
        <f t="shared" si="11"/>
        <v>48535.972999999998</v>
      </c>
      <c r="M34" s="169">
        <f t="shared" si="11"/>
        <v>87650</v>
      </c>
      <c r="N34" s="177">
        <f t="shared" si="11"/>
        <v>36556.596999999994</v>
      </c>
      <c r="O34" s="169">
        <f t="shared" ref="O34:P34" si="12">SUM(O36:O39)</f>
        <v>14906</v>
      </c>
      <c r="P34" s="191">
        <f t="shared" si="12"/>
        <v>31452.538</v>
      </c>
      <c r="Q34" s="169">
        <f t="shared" si="11"/>
        <v>4659</v>
      </c>
      <c r="R34" s="177">
        <f t="shared" si="11"/>
        <v>2880.174</v>
      </c>
      <c r="S34" s="174" t="s">
        <v>196</v>
      </c>
      <c r="T34" s="175"/>
      <c r="U34" s="175"/>
    </row>
    <row r="35" spans="1:21" s="124" customFormat="1" ht="14.4" x14ac:dyDescent="0.3">
      <c r="A35" s="189"/>
      <c r="B35" s="190"/>
      <c r="C35" s="169"/>
      <c r="D35" s="169"/>
      <c r="E35" s="169"/>
      <c r="F35" s="169"/>
      <c r="G35" s="191"/>
      <c r="H35" s="169"/>
      <c r="I35" s="169"/>
      <c r="J35" s="169"/>
      <c r="K35" s="169"/>
      <c r="L35" s="169"/>
      <c r="M35" s="169"/>
      <c r="N35" s="177"/>
      <c r="O35" s="169"/>
      <c r="P35" s="191"/>
      <c r="Q35" s="169"/>
      <c r="R35" s="177"/>
      <c r="S35" s="174"/>
      <c r="T35" s="175"/>
      <c r="U35" s="175"/>
    </row>
    <row r="36" spans="1:21" s="124" customFormat="1" ht="14.4" x14ac:dyDescent="0.3">
      <c r="A36" s="129" t="s">
        <v>39</v>
      </c>
      <c r="B36" s="130">
        <f t="shared" ref="B36:B39" si="13">SUM(C36,E36,G36,I36,K36,M36,O36,Q36)</f>
        <v>75973</v>
      </c>
      <c r="C36" s="131">
        <v>231</v>
      </c>
      <c r="D36" s="132">
        <v>90.629000000000005</v>
      </c>
      <c r="E36" s="131">
        <v>330</v>
      </c>
      <c r="F36" s="132">
        <v>164.66300000000001</v>
      </c>
      <c r="G36" s="131">
        <v>183</v>
      </c>
      <c r="H36" s="132">
        <v>110</v>
      </c>
      <c r="I36" s="131">
        <v>31065</v>
      </c>
      <c r="J36" s="132">
        <v>27407.591</v>
      </c>
      <c r="K36" s="131">
        <v>2034</v>
      </c>
      <c r="L36" s="132">
        <v>1527.2909999999999</v>
      </c>
      <c r="M36" s="131">
        <v>40275</v>
      </c>
      <c r="N36" s="132">
        <v>15253.004999999999</v>
      </c>
      <c r="O36" s="131">
        <v>1088</v>
      </c>
      <c r="P36" s="132">
        <v>2555.84</v>
      </c>
      <c r="Q36" s="131">
        <v>767</v>
      </c>
      <c r="R36" s="132">
        <v>890.5</v>
      </c>
      <c r="S36" s="152" t="s">
        <v>197</v>
      </c>
    </row>
    <row r="37" spans="1:21" s="124" customFormat="1" ht="14.4" x14ac:dyDescent="0.3">
      <c r="A37" s="129" t="s">
        <v>41</v>
      </c>
      <c r="B37" s="130">
        <f t="shared" si="13"/>
        <v>34237</v>
      </c>
      <c r="C37" s="131">
        <v>200</v>
      </c>
      <c r="D37" s="132">
        <v>89.003</v>
      </c>
      <c r="E37" s="131">
        <v>298</v>
      </c>
      <c r="F37" s="132">
        <v>142.05000000000001</v>
      </c>
      <c r="G37" s="131">
        <v>105</v>
      </c>
      <c r="H37" s="132">
        <v>51.87</v>
      </c>
      <c r="I37" s="131">
        <v>16543</v>
      </c>
      <c r="J37" s="132">
        <v>16594.964</v>
      </c>
      <c r="K37" s="131">
        <v>9668</v>
      </c>
      <c r="L37" s="132">
        <v>9771.8819999999996</v>
      </c>
      <c r="M37" s="131">
        <v>4821</v>
      </c>
      <c r="N37" s="132">
        <v>1283.2149999999999</v>
      </c>
      <c r="O37" s="131">
        <v>2185</v>
      </c>
      <c r="P37" s="132">
        <v>2260.4369999999999</v>
      </c>
      <c r="Q37" s="131">
        <v>417</v>
      </c>
      <c r="R37" s="132">
        <v>230.85</v>
      </c>
      <c r="S37" s="152" t="s">
        <v>198</v>
      </c>
    </row>
    <row r="38" spans="1:21" s="124" customFormat="1" ht="14.4" x14ac:dyDescent="0.3">
      <c r="A38" s="129" t="s">
        <v>43</v>
      </c>
      <c r="B38" s="130">
        <f t="shared" si="13"/>
        <v>50321</v>
      </c>
      <c r="C38" s="131">
        <v>74</v>
      </c>
      <c r="D38" s="132">
        <v>22.2</v>
      </c>
      <c r="E38" s="131">
        <v>1271</v>
      </c>
      <c r="F38" s="132">
        <v>490.7</v>
      </c>
      <c r="G38" s="131">
        <v>100</v>
      </c>
      <c r="H38" s="132">
        <v>59.2</v>
      </c>
      <c r="I38" s="131">
        <v>16001</v>
      </c>
      <c r="J38" s="132">
        <v>15511.427</v>
      </c>
      <c r="K38" s="131">
        <v>5958</v>
      </c>
      <c r="L38" s="132">
        <v>5791.4</v>
      </c>
      <c r="M38" s="131">
        <v>24448</v>
      </c>
      <c r="N38" s="132">
        <v>12420.222</v>
      </c>
      <c r="O38" s="131">
        <v>71</v>
      </c>
      <c r="P38" s="132">
        <v>106.6</v>
      </c>
      <c r="Q38" s="131">
        <v>2398</v>
      </c>
      <c r="R38" s="132">
        <v>1094.7670000000001</v>
      </c>
      <c r="S38" s="152" t="s">
        <v>199</v>
      </c>
    </row>
    <row r="39" spans="1:21" s="124" customFormat="1" ht="14.4" x14ac:dyDescent="0.3">
      <c r="A39" s="129" t="s">
        <v>46</v>
      </c>
      <c r="B39" s="130">
        <f t="shared" si="13"/>
        <v>80973</v>
      </c>
      <c r="C39" s="131">
        <v>203</v>
      </c>
      <c r="D39" s="132">
        <v>48.725000000000001</v>
      </c>
      <c r="E39" s="131">
        <v>4682</v>
      </c>
      <c r="F39" s="132">
        <v>1272.8689999999999</v>
      </c>
      <c r="G39" s="131">
        <v>47</v>
      </c>
      <c r="H39" s="132">
        <v>11.9</v>
      </c>
      <c r="I39" s="131">
        <v>18816</v>
      </c>
      <c r="J39" s="132">
        <v>19253.55</v>
      </c>
      <c r="K39" s="131">
        <v>26480</v>
      </c>
      <c r="L39" s="132">
        <v>31445.4</v>
      </c>
      <c r="M39" s="131">
        <v>18106</v>
      </c>
      <c r="N39" s="132">
        <v>7600.1549999999997</v>
      </c>
      <c r="O39" s="131">
        <v>11562</v>
      </c>
      <c r="P39" s="132">
        <v>26529.661</v>
      </c>
      <c r="Q39" s="131">
        <v>1077</v>
      </c>
      <c r="R39" s="132">
        <v>664.05700000000002</v>
      </c>
      <c r="S39" s="152" t="s">
        <v>200</v>
      </c>
    </row>
    <row r="40" spans="1:21" s="124" customFormat="1" ht="14.4" x14ac:dyDescent="0.3">
      <c r="A40" s="189" t="s">
        <v>201</v>
      </c>
      <c r="B40" s="190">
        <f>SUM(B42:B46)</f>
        <v>666882</v>
      </c>
      <c r="C40" s="169">
        <f>SUM(C42:C46)</f>
        <v>20097</v>
      </c>
      <c r="D40" s="169">
        <f t="shared" ref="D40:R40" si="14">SUM(D42:D46)</f>
        <v>7429.3889999999992</v>
      </c>
      <c r="E40" s="169">
        <f t="shared" si="14"/>
        <v>21990</v>
      </c>
      <c r="F40" s="169">
        <f t="shared" si="14"/>
        <v>9174.0060000000012</v>
      </c>
      <c r="G40" s="191">
        <f t="shared" si="14"/>
        <v>41671</v>
      </c>
      <c r="H40" s="169">
        <f t="shared" si="14"/>
        <v>20322.164999999997</v>
      </c>
      <c r="I40" s="169">
        <f t="shared" si="14"/>
        <v>277256</v>
      </c>
      <c r="J40" s="169">
        <f t="shared" si="14"/>
        <v>360075.81299999997</v>
      </c>
      <c r="K40" s="169">
        <f t="shared" si="14"/>
        <v>51650</v>
      </c>
      <c r="L40" s="169">
        <f t="shared" si="14"/>
        <v>56462.764999999999</v>
      </c>
      <c r="M40" s="169">
        <f t="shared" si="14"/>
        <v>146080</v>
      </c>
      <c r="N40" s="177">
        <f t="shared" si="14"/>
        <v>72311.673999999999</v>
      </c>
      <c r="O40" s="169">
        <f t="shared" ref="O40:P40" si="15">SUM(O42:O46)</f>
        <v>58228</v>
      </c>
      <c r="P40" s="191">
        <f t="shared" si="15"/>
        <v>244698.60599999997</v>
      </c>
      <c r="Q40" s="169">
        <f t="shared" si="14"/>
        <v>49910</v>
      </c>
      <c r="R40" s="177">
        <f t="shared" si="14"/>
        <v>33095.191999999995</v>
      </c>
      <c r="S40" s="174" t="s">
        <v>202</v>
      </c>
      <c r="T40" s="175"/>
      <c r="U40" s="175"/>
    </row>
    <row r="41" spans="1:21" s="124" customFormat="1" ht="14.4" x14ac:dyDescent="0.3">
      <c r="A41" s="189"/>
      <c r="B41" s="190"/>
      <c r="C41" s="169"/>
      <c r="D41" s="169"/>
      <c r="E41" s="169"/>
      <c r="F41" s="169"/>
      <c r="G41" s="191"/>
      <c r="H41" s="169"/>
      <c r="I41" s="169"/>
      <c r="J41" s="169"/>
      <c r="K41" s="169"/>
      <c r="L41" s="169"/>
      <c r="M41" s="169"/>
      <c r="N41" s="177"/>
      <c r="O41" s="169"/>
      <c r="P41" s="191"/>
      <c r="Q41" s="169"/>
      <c r="R41" s="177"/>
      <c r="S41" s="174"/>
      <c r="T41" s="175"/>
      <c r="U41" s="175"/>
    </row>
    <row r="42" spans="1:21" s="124" customFormat="1" ht="14.4" x14ac:dyDescent="0.3">
      <c r="A42" s="129" t="s">
        <v>48</v>
      </c>
      <c r="B42" s="130">
        <f t="shared" ref="B42:B46" si="16">SUM(C42,E42,G42,I42,K42,M42,O42,Q42)</f>
        <v>244784</v>
      </c>
      <c r="C42" s="131">
        <v>8316</v>
      </c>
      <c r="D42" s="132">
        <v>3186.9879999999998</v>
      </c>
      <c r="E42" s="131">
        <v>12229</v>
      </c>
      <c r="F42" s="132">
        <v>5049.5870000000004</v>
      </c>
      <c r="G42" s="131">
        <v>10081</v>
      </c>
      <c r="H42" s="132">
        <v>4426.9390000000003</v>
      </c>
      <c r="I42" s="131">
        <v>103450</v>
      </c>
      <c r="J42" s="132">
        <v>133164.745</v>
      </c>
      <c r="K42" s="131">
        <v>17635</v>
      </c>
      <c r="L42" s="132">
        <v>22408.909</v>
      </c>
      <c r="M42" s="131">
        <v>56583</v>
      </c>
      <c r="N42" s="132">
        <v>29994.235000000001</v>
      </c>
      <c r="O42" s="131">
        <v>10515</v>
      </c>
      <c r="P42" s="132">
        <v>42992.152000000002</v>
      </c>
      <c r="Q42" s="131">
        <v>25975</v>
      </c>
      <c r="R42" s="132">
        <v>20052.350999999999</v>
      </c>
      <c r="S42" s="152" t="s">
        <v>203</v>
      </c>
    </row>
    <row r="43" spans="1:21" s="124" customFormat="1" ht="14.4" x14ac:dyDescent="0.3">
      <c r="A43" s="129" t="s">
        <v>51</v>
      </c>
      <c r="B43" s="130">
        <f t="shared" si="16"/>
        <v>155395</v>
      </c>
      <c r="C43" s="131">
        <v>1272</v>
      </c>
      <c r="D43" s="132">
        <v>467.089</v>
      </c>
      <c r="E43" s="131">
        <v>1836</v>
      </c>
      <c r="F43" s="132">
        <v>604.08399999999995</v>
      </c>
      <c r="G43" s="131">
        <v>10433</v>
      </c>
      <c r="H43" s="132">
        <v>3400.7959999999998</v>
      </c>
      <c r="I43" s="131">
        <v>77651</v>
      </c>
      <c r="J43" s="132">
        <v>78445.224000000002</v>
      </c>
      <c r="K43" s="131">
        <v>10658</v>
      </c>
      <c r="L43" s="132">
        <v>4712.4380000000001</v>
      </c>
      <c r="M43" s="131">
        <v>30801</v>
      </c>
      <c r="N43" s="132">
        <v>6456.4610000000002</v>
      </c>
      <c r="O43" s="131">
        <v>20525</v>
      </c>
      <c r="P43" s="132">
        <v>65077.519</v>
      </c>
      <c r="Q43" s="131">
        <v>2219</v>
      </c>
      <c r="R43" s="132">
        <v>779.48400000000004</v>
      </c>
      <c r="S43" s="152" t="s">
        <v>204</v>
      </c>
    </row>
    <row r="44" spans="1:21" s="124" customFormat="1" ht="14.4" x14ac:dyDescent="0.3">
      <c r="A44" s="129" t="s">
        <v>53</v>
      </c>
      <c r="B44" s="130">
        <f t="shared" si="16"/>
        <v>81084</v>
      </c>
      <c r="C44" s="131">
        <v>5680</v>
      </c>
      <c r="D44" s="132">
        <v>1883.0360000000001</v>
      </c>
      <c r="E44" s="131">
        <v>2539</v>
      </c>
      <c r="F44" s="132">
        <v>1072.7239999999999</v>
      </c>
      <c r="G44" s="131">
        <v>14051</v>
      </c>
      <c r="H44" s="132">
        <v>9040.99</v>
      </c>
      <c r="I44" s="131">
        <v>31162</v>
      </c>
      <c r="J44" s="132">
        <v>67471.210999999996</v>
      </c>
      <c r="K44" s="131">
        <v>3687</v>
      </c>
      <c r="L44" s="132">
        <v>5824.8680000000004</v>
      </c>
      <c r="M44" s="131">
        <v>4110</v>
      </c>
      <c r="N44" s="132">
        <v>1990.53</v>
      </c>
      <c r="O44" s="131">
        <v>806</v>
      </c>
      <c r="P44" s="132">
        <v>1697.2</v>
      </c>
      <c r="Q44" s="131">
        <v>19049</v>
      </c>
      <c r="R44" s="132">
        <v>10554.297</v>
      </c>
      <c r="S44" s="152" t="s">
        <v>205</v>
      </c>
    </row>
    <row r="45" spans="1:21" s="124" customFormat="1" ht="14.4" x14ac:dyDescent="0.3">
      <c r="A45" s="129" t="s">
        <v>56</v>
      </c>
      <c r="B45" s="130">
        <f t="shared" si="16"/>
        <v>10</v>
      </c>
      <c r="C45" s="131">
        <v>1</v>
      </c>
      <c r="D45" s="132">
        <v>0.25</v>
      </c>
      <c r="E45" s="131" t="s">
        <v>289</v>
      </c>
      <c r="F45" s="132" t="s">
        <v>289</v>
      </c>
      <c r="G45" s="131" t="s">
        <v>289</v>
      </c>
      <c r="H45" s="132" t="s">
        <v>289</v>
      </c>
      <c r="I45" s="131" t="s">
        <v>289</v>
      </c>
      <c r="J45" s="132" t="s">
        <v>289</v>
      </c>
      <c r="K45" s="137" t="s">
        <v>289</v>
      </c>
      <c r="L45" s="132" t="s">
        <v>289</v>
      </c>
      <c r="M45" s="137">
        <v>9</v>
      </c>
      <c r="N45" s="132">
        <v>3.1360000000000001</v>
      </c>
      <c r="O45" s="131" t="s">
        <v>289</v>
      </c>
      <c r="P45" s="132" t="s">
        <v>289</v>
      </c>
      <c r="Q45" s="137" t="s">
        <v>289</v>
      </c>
      <c r="R45" s="132" t="s">
        <v>289</v>
      </c>
      <c r="S45" s="178" t="s">
        <v>206</v>
      </c>
      <c r="T45" s="179"/>
      <c r="U45" s="179"/>
    </row>
    <row r="46" spans="1:21" s="124" customFormat="1" ht="14.4" x14ac:dyDescent="0.3">
      <c r="A46" s="129" t="s">
        <v>58</v>
      </c>
      <c r="B46" s="130">
        <f t="shared" si="16"/>
        <v>185609</v>
      </c>
      <c r="C46" s="131">
        <v>4828</v>
      </c>
      <c r="D46" s="132">
        <v>1892.0260000000001</v>
      </c>
      <c r="E46" s="131">
        <v>5386</v>
      </c>
      <c r="F46" s="132">
        <v>2447.6109999999999</v>
      </c>
      <c r="G46" s="131">
        <v>7106</v>
      </c>
      <c r="H46" s="132">
        <v>3453.44</v>
      </c>
      <c r="I46" s="131">
        <v>64993</v>
      </c>
      <c r="J46" s="132">
        <v>80994.633000000002</v>
      </c>
      <c r="K46" s="131">
        <v>19670</v>
      </c>
      <c r="L46" s="132">
        <v>23516.55</v>
      </c>
      <c r="M46" s="131">
        <v>54577</v>
      </c>
      <c r="N46" s="132">
        <v>33867.311999999998</v>
      </c>
      <c r="O46" s="131">
        <v>26382</v>
      </c>
      <c r="P46" s="132">
        <v>134931.73499999999</v>
      </c>
      <c r="Q46" s="131">
        <v>2667</v>
      </c>
      <c r="R46" s="132">
        <v>1709.06</v>
      </c>
      <c r="S46" s="152" t="s">
        <v>207</v>
      </c>
    </row>
    <row r="47" spans="1:21" s="124" customFormat="1" ht="14.4" x14ac:dyDescent="0.3">
      <c r="A47" s="189" t="s">
        <v>208</v>
      </c>
      <c r="B47" s="190">
        <f>SUM(B49:B53)</f>
        <v>364414</v>
      </c>
      <c r="C47" s="169">
        <f>SUM(C49:C53)</f>
        <v>7200</v>
      </c>
      <c r="D47" s="169">
        <f t="shared" ref="D47:R47" si="17">SUM(D49:D53)</f>
        <v>2486.3999999999996</v>
      </c>
      <c r="E47" s="169">
        <f t="shared" si="17"/>
        <v>12704</v>
      </c>
      <c r="F47" s="169">
        <f t="shared" si="17"/>
        <v>5172.49</v>
      </c>
      <c r="G47" s="191">
        <f t="shared" si="17"/>
        <v>20871</v>
      </c>
      <c r="H47" s="169">
        <f t="shared" si="17"/>
        <v>9725.9740000000002</v>
      </c>
      <c r="I47" s="169">
        <f t="shared" si="17"/>
        <v>178385</v>
      </c>
      <c r="J47" s="169">
        <f t="shared" si="17"/>
        <v>223810.1</v>
      </c>
      <c r="K47" s="169">
        <f t="shared" si="17"/>
        <v>35164</v>
      </c>
      <c r="L47" s="169">
        <f t="shared" si="17"/>
        <v>40521.819999999992</v>
      </c>
      <c r="M47" s="169">
        <f t="shared" si="17"/>
        <v>42990</v>
      </c>
      <c r="N47" s="177">
        <f t="shared" si="17"/>
        <v>18158.344000000001</v>
      </c>
      <c r="O47" s="169">
        <f t="shared" ref="O47:P47" si="18">SUM(O49:O53)</f>
        <v>24641</v>
      </c>
      <c r="P47" s="191">
        <f t="shared" si="18"/>
        <v>98392.225000000006</v>
      </c>
      <c r="Q47" s="169">
        <f t="shared" si="17"/>
        <v>42459</v>
      </c>
      <c r="R47" s="177">
        <f t="shared" si="17"/>
        <v>20746.54</v>
      </c>
      <c r="S47" s="170" t="s">
        <v>209</v>
      </c>
      <c r="T47" s="171"/>
      <c r="U47" s="171"/>
    </row>
    <row r="48" spans="1:21" s="124" customFormat="1" ht="14.4" x14ac:dyDescent="0.3">
      <c r="A48" s="189"/>
      <c r="B48" s="190"/>
      <c r="C48" s="169"/>
      <c r="D48" s="169"/>
      <c r="E48" s="169"/>
      <c r="F48" s="169"/>
      <c r="G48" s="191"/>
      <c r="H48" s="169"/>
      <c r="I48" s="169"/>
      <c r="J48" s="169"/>
      <c r="K48" s="169"/>
      <c r="L48" s="169"/>
      <c r="M48" s="169"/>
      <c r="N48" s="177"/>
      <c r="O48" s="169"/>
      <c r="P48" s="191"/>
      <c r="Q48" s="169"/>
      <c r="R48" s="177"/>
      <c r="S48" s="170"/>
      <c r="T48" s="171"/>
      <c r="U48" s="171"/>
    </row>
    <row r="49" spans="1:21" s="124" customFormat="1" ht="14.4" x14ac:dyDescent="0.3">
      <c r="A49" s="129" t="s">
        <v>60</v>
      </c>
      <c r="B49" s="130">
        <f t="shared" ref="B49:B53" si="19">SUM(C49,E49,G49,I49,K49,M49,O49,Q49)</f>
        <v>184183</v>
      </c>
      <c r="C49" s="131">
        <v>2792</v>
      </c>
      <c r="D49" s="132">
        <v>799.53</v>
      </c>
      <c r="E49" s="131">
        <v>3352</v>
      </c>
      <c r="F49" s="132">
        <v>1086.739</v>
      </c>
      <c r="G49" s="131">
        <v>10479</v>
      </c>
      <c r="H49" s="132">
        <v>4224.0469999999996</v>
      </c>
      <c r="I49" s="131">
        <v>96581</v>
      </c>
      <c r="J49" s="132">
        <v>121175.67</v>
      </c>
      <c r="K49" s="131">
        <v>28700</v>
      </c>
      <c r="L49" s="132">
        <v>32502.952000000001</v>
      </c>
      <c r="M49" s="131">
        <v>10622</v>
      </c>
      <c r="N49" s="132">
        <v>3594.09</v>
      </c>
      <c r="O49" s="131">
        <v>12774</v>
      </c>
      <c r="P49" s="132">
        <v>36416.027000000002</v>
      </c>
      <c r="Q49" s="131">
        <v>18883</v>
      </c>
      <c r="R49" s="132">
        <v>8560.8880000000008</v>
      </c>
      <c r="S49" s="152" t="s">
        <v>210</v>
      </c>
    </row>
    <row r="50" spans="1:21" s="124" customFormat="1" ht="14.4" x14ac:dyDescent="0.3">
      <c r="A50" s="129" t="s">
        <v>62</v>
      </c>
      <c r="B50" s="130">
        <f t="shared" si="19"/>
        <v>108201</v>
      </c>
      <c r="C50" s="131">
        <v>1444</v>
      </c>
      <c r="D50" s="132">
        <v>538.57299999999998</v>
      </c>
      <c r="E50" s="131">
        <v>3899</v>
      </c>
      <c r="F50" s="132">
        <v>1977.5170000000001</v>
      </c>
      <c r="G50" s="131">
        <v>2999</v>
      </c>
      <c r="H50" s="132">
        <v>2056.3270000000002</v>
      </c>
      <c r="I50" s="131">
        <v>71024</v>
      </c>
      <c r="J50" s="132">
        <v>89991.432000000001</v>
      </c>
      <c r="K50" s="131">
        <v>2466</v>
      </c>
      <c r="L50" s="132">
        <v>3393.3980000000001</v>
      </c>
      <c r="M50" s="131">
        <v>190</v>
      </c>
      <c r="N50" s="132">
        <v>61.283999999999999</v>
      </c>
      <c r="O50" s="131">
        <v>10702</v>
      </c>
      <c r="P50" s="132">
        <v>58911.618000000002</v>
      </c>
      <c r="Q50" s="131">
        <v>15477</v>
      </c>
      <c r="R50" s="132">
        <v>7791.5320000000002</v>
      </c>
      <c r="S50" s="152" t="s">
        <v>211</v>
      </c>
    </row>
    <row r="51" spans="1:21" s="124" customFormat="1" ht="14.4" x14ac:dyDescent="0.3">
      <c r="A51" s="129" t="s">
        <v>64</v>
      </c>
      <c r="B51" s="130">
        <f t="shared" si="19"/>
        <v>54027</v>
      </c>
      <c r="C51" s="131">
        <v>2889</v>
      </c>
      <c r="D51" s="132">
        <v>1124.146</v>
      </c>
      <c r="E51" s="131">
        <v>3435</v>
      </c>
      <c r="F51" s="132">
        <v>1411.394</v>
      </c>
      <c r="G51" s="131">
        <v>6391</v>
      </c>
      <c r="H51" s="132">
        <v>2803.75</v>
      </c>
      <c r="I51" s="131">
        <v>4223</v>
      </c>
      <c r="J51" s="132">
        <v>2557.0479999999998</v>
      </c>
      <c r="K51" s="131">
        <v>2120</v>
      </c>
      <c r="L51" s="132">
        <v>1008.02</v>
      </c>
      <c r="M51" s="131">
        <v>27811</v>
      </c>
      <c r="N51" s="132">
        <v>11812.43</v>
      </c>
      <c r="O51" s="131">
        <v>793</v>
      </c>
      <c r="P51" s="132">
        <v>1884.23</v>
      </c>
      <c r="Q51" s="131">
        <v>6365</v>
      </c>
      <c r="R51" s="132">
        <v>2873.5509999999999</v>
      </c>
      <c r="S51" s="152" t="s">
        <v>212</v>
      </c>
    </row>
    <row r="52" spans="1:21" s="124" customFormat="1" ht="14.4" x14ac:dyDescent="0.3">
      <c r="A52" s="129" t="s">
        <v>67</v>
      </c>
      <c r="B52" s="130">
        <f t="shared" si="19"/>
        <v>3397</v>
      </c>
      <c r="C52" s="131" t="s">
        <v>289</v>
      </c>
      <c r="D52" s="132" t="s">
        <v>289</v>
      </c>
      <c r="E52" s="131">
        <v>556</v>
      </c>
      <c r="F52" s="132">
        <v>185.15</v>
      </c>
      <c r="G52" s="131">
        <v>106</v>
      </c>
      <c r="H52" s="132">
        <v>40.25</v>
      </c>
      <c r="I52" s="131">
        <v>614</v>
      </c>
      <c r="J52" s="132">
        <v>350.15</v>
      </c>
      <c r="K52" s="131">
        <v>160</v>
      </c>
      <c r="L52" s="132">
        <v>101.64</v>
      </c>
      <c r="M52" s="131">
        <v>1230</v>
      </c>
      <c r="N52" s="132">
        <v>337.4</v>
      </c>
      <c r="O52" s="131">
        <v>5</v>
      </c>
      <c r="P52" s="132">
        <v>5.35</v>
      </c>
      <c r="Q52" s="131">
        <v>726</v>
      </c>
      <c r="R52" s="132">
        <v>399.89</v>
      </c>
      <c r="S52" s="152" t="s">
        <v>213</v>
      </c>
    </row>
    <row r="53" spans="1:21" s="124" customFormat="1" ht="14.4" x14ac:dyDescent="0.3">
      <c r="A53" s="129" t="s">
        <v>69</v>
      </c>
      <c r="B53" s="130">
        <f t="shared" si="19"/>
        <v>14606</v>
      </c>
      <c r="C53" s="131">
        <v>75</v>
      </c>
      <c r="D53" s="132">
        <v>24.151</v>
      </c>
      <c r="E53" s="131">
        <v>1462</v>
      </c>
      <c r="F53" s="132">
        <v>511.69</v>
      </c>
      <c r="G53" s="131">
        <v>896</v>
      </c>
      <c r="H53" s="132">
        <v>601.6</v>
      </c>
      <c r="I53" s="131">
        <v>5943</v>
      </c>
      <c r="J53" s="132">
        <v>9735.7999999999993</v>
      </c>
      <c r="K53" s="131">
        <v>1718</v>
      </c>
      <c r="L53" s="132">
        <v>3515.81</v>
      </c>
      <c r="M53" s="131">
        <v>3137</v>
      </c>
      <c r="N53" s="132">
        <v>2353.14</v>
      </c>
      <c r="O53" s="131">
        <v>367</v>
      </c>
      <c r="P53" s="132">
        <v>1175</v>
      </c>
      <c r="Q53" s="131">
        <v>1008</v>
      </c>
      <c r="R53" s="132">
        <v>1120.6790000000001</v>
      </c>
      <c r="S53" s="152" t="s">
        <v>214</v>
      </c>
    </row>
    <row r="54" spans="1:21" s="124" customFormat="1" ht="14.4" x14ac:dyDescent="0.3">
      <c r="A54" s="189" t="s">
        <v>215</v>
      </c>
      <c r="B54" s="190">
        <f>SUM(B56:B60)</f>
        <v>13445</v>
      </c>
      <c r="C54" s="169">
        <f>SUM(C56:C60)</f>
        <v>207</v>
      </c>
      <c r="D54" s="169">
        <f t="shared" ref="D54:R54" si="20">SUM(D56:D60)</f>
        <v>69.39</v>
      </c>
      <c r="E54" s="169">
        <f t="shared" si="20"/>
        <v>2067</v>
      </c>
      <c r="F54" s="169">
        <f t="shared" si="20"/>
        <v>1216.0450000000001</v>
      </c>
      <c r="G54" s="191">
        <f t="shared" si="20"/>
        <v>1135</v>
      </c>
      <c r="H54" s="169">
        <f t="shared" si="20"/>
        <v>833.54500000000007</v>
      </c>
      <c r="I54" s="169">
        <f t="shared" si="20"/>
        <v>1535</v>
      </c>
      <c r="J54" s="169">
        <f t="shared" si="20"/>
        <v>1199.0369999999998</v>
      </c>
      <c r="K54" s="169">
        <f t="shared" si="20"/>
        <v>2474</v>
      </c>
      <c r="L54" s="169">
        <f t="shared" si="20"/>
        <v>1969.0350000000001</v>
      </c>
      <c r="M54" s="169">
        <f t="shared" si="20"/>
        <v>4902</v>
      </c>
      <c r="N54" s="177">
        <f t="shared" si="20"/>
        <v>2711.4719999999998</v>
      </c>
      <c r="O54" s="169">
        <f t="shared" ref="O54:P54" si="21">SUM(O56:O60)</f>
        <v>89</v>
      </c>
      <c r="P54" s="191">
        <f t="shared" si="21"/>
        <v>150.46199999999999</v>
      </c>
      <c r="Q54" s="169">
        <f t="shared" si="20"/>
        <v>1036</v>
      </c>
      <c r="R54" s="177">
        <f t="shared" si="20"/>
        <v>553.6</v>
      </c>
      <c r="S54" s="174" t="s">
        <v>216</v>
      </c>
      <c r="T54" s="175"/>
      <c r="U54" s="175"/>
    </row>
    <row r="55" spans="1:21" s="124" customFormat="1" ht="14.4" x14ac:dyDescent="0.3">
      <c r="A55" s="189"/>
      <c r="B55" s="190"/>
      <c r="C55" s="169"/>
      <c r="D55" s="169"/>
      <c r="E55" s="169"/>
      <c r="F55" s="169"/>
      <c r="G55" s="191"/>
      <c r="H55" s="169"/>
      <c r="I55" s="169"/>
      <c r="J55" s="169"/>
      <c r="K55" s="169"/>
      <c r="L55" s="169"/>
      <c r="M55" s="169"/>
      <c r="N55" s="177"/>
      <c r="O55" s="169"/>
      <c r="P55" s="191"/>
      <c r="Q55" s="169"/>
      <c r="R55" s="177"/>
      <c r="S55" s="174"/>
      <c r="T55" s="175"/>
      <c r="U55" s="175"/>
    </row>
    <row r="56" spans="1:21" s="124" customFormat="1" ht="14.4" x14ac:dyDescent="0.3">
      <c r="A56" s="129" t="s">
        <v>71</v>
      </c>
      <c r="B56" s="130">
        <f t="shared" ref="B56:B60" si="22">SUM(C56,E56,G56,I56,K56,M56,O56,Q56)</f>
        <v>871</v>
      </c>
      <c r="C56" s="131">
        <v>26</v>
      </c>
      <c r="D56" s="132">
        <v>9.6</v>
      </c>
      <c r="E56" s="131">
        <v>23</v>
      </c>
      <c r="F56" s="132">
        <v>9.6329999999999991</v>
      </c>
      <c r="G56" s="131">
        <v>17</v>
      </c>
      <c r="H56" s="132">
        <v>16.350000000000001</v>
      </c>
      <c r="I56" s="131">
        <v>532</v>
      </c>
      <c r="J56" s="132">
        <v>486.01499999999999</v>
      </c>
      <c r="K56" s="131">
        <v>164</v>
      </c>
      <c r="L56" s="132">
        <v>136.35</v>
      </c>
      <c r="M56" s="131">
        <v>8</v>
      </c>
      <c r="N56" s="132">
        <v>4</v>
      </c>
      <c r="O56" s="131">
        <v>81</v>
      </c>
      <c r="P56" s="132">
        <v>146.46199999999999</v>
      </c>
      <c r="Q56" s="131">
        <v>20</v>
      </c>
      <c r="R56" s="132">
        <v>18.5</v>
      </c>
      <c r="S56" s="152" t="s">
        <v>217</v>
      </c>
    </row>
    <row r="57" spans="1:21" s="124" customFormat="1" ht="14.4" x14ac:dyDescent="0.3">
      <c r="A57" s="129" t="s">
        <v>74</v>
      </c>
      <c r="B57" s="130">
        <f t="shared" si="22"/>
        <v>1979</v>
      </c>
      <c r="C57" s="131" t="s">
        <v>289</v>
      </c>
      <c r="D57" s="132" t="s">
        <v>289</v>
      </c>
      <c r="E57" s="131">
        <v>80</v>
      </c>
      <c r="F57" s="132">
        <v>37.231999999999999</v>
      </c>
      <c r="G57" s="131">
        <v>121</v>
      </c>
      <c r="H57" s="132">
        <v>52.715000000000003</v>
      </c>
      <c r="I57" s="131">
        <v>196</v>
      </c>
      <c r="J57" s="132">
        <v>139.12200000000001</v>
      </c>
      <c r="K57" s="131">
        <v>103</v>
      </c>
      <c r="L57" s="132">
        <v>59.5</v>
      </c>
      <c r="M57" s="131">
        <v>678</v>
      </c>
      <c r="N57" s="132">
        <v>392.5</v>
      </c>
      <c r="O57" s="131" t="s">
        <v>289</v>
      </c>
      <c r="P57" s="132" t="s">
        <v>289</v>
      </c>
      <c r="Q57" s="131">
        <v>801</v>
      </c>
      <c r="R57" s="132">
        <v>389.1</v>
      </c>
      <c r="S57" s="152" t="s">
        <v>218</v>
      </c>
    </row>
    <row r="58" spans="1:21" s="124" customFormat="1" ht="14.4" x14ac:dyDescent="0.3">
      <c r="A58" s="129" t="s">
        <v>76</v>
      </c>
      <c r="B58" s="130">
        <f t="shared" si="22"/>
        <v>42</v>
      </c>
      <c r="C58" s="131">
        <v>30</v>
      </c>
      <c r="D58" s="132">
        <v>4.5</v>
      </c>
      <c r="E58" s="131">
        <v>9</v>
      </c>
      <c r="F58" s="132">
        <v>2.25</v>
      </c>
      <c r="G58" s="131" t="s">
        <v>289</v>
      </c>
      <c r="H58" s="132" t="s">
        <v>289</v>
      </c>
      <c r="I58" s="137" t="s">
        <v>289</v>
      </c>
      <c r="J58" s="132" t="s">
        <v>289</v>
      </c>
      <c r="K58" s="137">
        <v>2</v>
      </c>
      <c r="L58" s="132">
        <v>0.2</v>
      </c>
      <c r="M58" s="131">
        <v>1</v>
      </c>
      <c r="N58" s="132">
        <v>0.1</v>
      </c>
      <c r="O58" s="131" t="s">
        <v>289</v>
      </c>
      <c r="P58" s="132" t="s">
        <v>289</v>
      </c>
      <c r="Q58" s="131" t="s">
        <v>289</v>
      </c>
      <c r="R58" s="132" t="s">
        <v>289</v>
      </c>
      <c r="S58" s="152" t="s">
        <v>219</v>
      </c>
    </row>
    <row r="59" spans="1:21" s="124" customFormat="1" ht="14.4" x14ac:dyDescent="0.3">
      <c r="A59" s="129" t="s">
        <v>79</v>
      </c>
      <c r="B59" s="130">
        <f t="shared" si="22"/>
        <v>10242</v>
      </c>
      <c r="C59" s="131">
        <v>137</v>
      </c>
      <c r="D59" s="132">
        <v>50.49</v>
      </c>
      <c r="E59" s="131">
        <v>1845</v>
      </c>
      <c r="F59" s="132">
        <v>1123.43</v>
      </c>
      <c r="G59" s="131">
        <v>982</v>
      </c>
      <c r="H59" s="132">
        <v>759.48</v>
      </c>
      <c r="I59" s="131">
        <v>748</v>
      </c>
      <c r="J59" s="132">
        <v>552.4</v>
      </c>
      <c r="K59" s="131">
        <v>2181</v>
      </c>
      <c r="L59" s="132">
        <v>1759.7850000000001</v>
      </c>
      <c r="M59" s="137">
        <v>4134</v>
      </c>
      <c r="N59" s="132">
        <v>2272.172</v>
      </c>
      <c r="O59" s="131" t="s">
        <v>289</v>
      </c>
      <c r="P59" s="132" t="s">
        <v>289</v>
      </c>
      <c r="Q59" s="131">
        <v>215</v>
      </c>
      <c r="R59" s="132">
        <v>146</v>
      </c>
      <c r="S59" s="152" t="s">
        <v>220</v>
      </c>
    </row>
    <row r="60" spans="1:21" s="124" customFormat="1" ht="14.4" x14ac:dyDescent="0.3">
      <c r="A60" s="129" t="s">
        <v>81</v>
      </c>
      <c r="B60" s="130">
        <f t="shared" si="22"/>
        <v>311</v>
      </c>
      <c r="C60" s="137">
        <v>14</v>
      </c>
      <c r="D60" s="132">
        <v>4.8</v>
      </c>
      <c r="E60" s="131">
        <v>110</v>
      </c>
      <c r="F60" s="132">
        <v>43.5</v>
      </c>
      <c r="G60" s="131">
        <v>15</v>
      </c>
      <c r="H60" s="132">
        <v>5</v>
      </c>
      <c r="I60" s="131">
        <v>59</v>
      </c>
      <c r="J60" s="132">
        <v>21.5</v>
      </c>
      <c r="K60" s="131">
        <v>24</v>
      </c>
      <c r="L60" s="132">
        <v>13.2</v>
      </c>
      <c r="M60" s="131">
        <v>81</v>
      </c>
      <c r="N60" s="132">
        <v>42.7</v>
      </c>
      <c r="O60" s="131">
        <v>8</v>
      </c>
      <c r="P60" s="132">
        <v>4</v>
      </c>
      <c r="Q60" s="137" t="s">
        <v>289</v>
      </c>
      <c r="R60" s="132" t="s">
        <v>289</v>
      </c>
      <c r="S60" s="152" t="s">
        <v>221</v>
      </c>
    </row>
    <row r="61" spans="1:21" s="124" customFormat="1" ht="14.4" x14ac:dyDescent="0.3">
      <c r="A61" s="189" t="s">
        <v>222</v>
      </c>
      <c r="B61" s="190">
        <f>SUM(B63:B65)</f>
        <v>564792</v>
      </c>
      <c r="C61" s="169">
        <f>SUM(C63:C65)</f>
        <v>7581</v>
      </c>
      <c r="D61" s="169">
        <f t="shared" ref="D61:R61" si="23">SUM(D63:D65)</f>
        <v>2516.893</v>
      </c>
      <c r="E61" s="169">
        <f t="shared" si="23"/>
        <v>100128</v>
      </c>
      <c r="F61" s="169">
        <f t="shared" si="23"/>
        <v>39103.79</v>
      </c>
      <c r="G61" s="191">
        <f t="shared" si="23"/>
        <v>26959</v>
      </c>
      <c r="H61" s="169">
        <f t="shared" si="23"/>
        <v>11553.165000000001</v>
      </c>
      <c r="I61" s="169">
        <f t="shared" si="23"/>
        <v>158442</v>
      </c>
      <c r="J61" s="169">
        <f t="shared" si="23"/>
        <v>199956.36900000001</v>
      </c>
      <c r="K61" s="169">
        <f t="shared" si="23"/>
        <v>62656</v>
      </c>
      <c r="L61" s="169">
        <f t="shared" si="23"/>
        <v>87357.528000000006</v>
      </c>
      <c r="M61" s="169">
        <f t="shared" si="23"/>
        <v>120012</v>
      </c>
      <c r="N61" s="177">
        <f t="shared" si="23"/>
        <v>38495.18</v>
      </c>
      <c r="O61" s="169">
        <f t="shared" ref="O61:P61" si="24">SUM(O63:O65)</f>
        <v>36521</v>
      </c>
      <c r="P61" s="191">
        <f t="shared" si="24"/>
        <v>179954.747</v>
      </c>
      <c r="Q61" s="169">
        <f t="shared" si="23"/>
        <v>52493</v>
      </c>
      <c r="R61" s="177">
        <f t="shared" si="23"/>
        <v>25882.351999999999</v>
      </c>
      <c r="S61" s="170" t="s">
        <v>223</v>
      </c>
      <c r="T61" s="171"/>
      <c r="U61" s="171"/>
    </row>
    <row r="62" spans="1:21" s="124" customFormat="1" ht="14.4" x14ac:dyDescent="0.3">
      <c r="A62" s="189"/>
      <c r="B62" s="190"/>
      <c r="C62" s="169"/>
      <c r="D62" s="169"/>
      <c r="E62" s="169"/>
      <c r="F62" s="169"/>
      <c r="G62" s="191"/>
      <c r="H62" s="169"/>
      <c r="I62" s="169"/>
      <c r="J62" s="169"/>
      <c r="K62" s="169"/>
      <c r="L62" s="169"/>
      <c r="M62" s="169"/>
      <c r="N62" s="177"/>
      <c r="O62" s="169"/>
      <c r="P62" s="191"/>
      <c r="Q62" s="169"/>
      <c r="R62" s="177"/>
      <c r="S62" s="170"/>
      <c r="T62" s="171"/>
      <c r="U62" s="171"/>
    </row>
    <row r="63" spans="1:21" s="124" customFormat="1" ht="14.4" x14ac:dyDescent="0.3">
      <c r="A63" s="129" t="s">
        <v>83</v>
      </c>
      <c r="B63" s="130">
        <f t="shared" ref="B63:B65" si="25">SUM(C63,E63,G63,I63,K63,M63,O63,Q63)</f>
        <v>100606</v>
      </c>
      <c r="C63" s="131">
        <v>1005</v>
      </c>
      <c r="D63" s="132">
        <v>252.72800000000001</v>
      </c>
      <c r="E63" s="131">
        <v>9314</v>
      </c>
      <c r="F63" s="132">
        <v>3110.4949999999999</v>
      </c>
      <c r="G63" s="131">
        <v>3425</v>
      </c>
      <c r="H63" s="132">
        <v>1469.24</v>
      </c>
      <c r="I63" s="131">
        <v>7736</v>
      </c>
      <c r="J63" s="132">
        <v>7742.5630000000001</v>
      </c>
      <c r="K63" s="131">
        <v>3603</v>
      </c>
      <c r="L63" s="132">
        <v>3302.0320000000002</v>
      </c>
      <c r="M63" s="131">
        <v>51520</v>
      </c>
      <c r="N63" s="132">
        <v>17063.594000000001</v>
      </c>
      <c r="O63" s="131">
        <v>3305</v>
      </c>
      <c r="P63" s="132">
        <v>12087.557000000001</v>
      </c>
      <c r="Q63" s="131">
        <v>20698</v>
      </c>
      <c r="R63" s="132">
        <v>5745.375</v>
      </c>
      <c r="S63" s="152" t="s">
        <v>224</v>
      </c>
    </row>
    <row r="64" spans="1:21" s="124" customFormat="1" ht="14.4" x14ac:dyDescent="0.3">
      <c r="A64" s="129" t="s">
        <v>85</v>
      </c>
      <c r="B64" s="130">
        <f t="shared" si="25"/>
        <v>293458</v>
      </c>
      <c r="C64" s="131">
        <v>2893</v>
      </c>
      <c r="D64" s="132">
        <v>1033.212</v>
      </c>
      <c r="E64" s="131">
        <v>51892</v>
      </c>
      <c r="F64" s="132">
        <v>21667.395</v>
      </c>
      <c r="G64" s="131">
        <v>7389</v>
      </c>
      <c r="H64" s="132">
        <v>3100.5</v>
      </c>
      <c r="I64" s="131">
        <v>136992</v>
      </c>
      <c r="J64" s="132">
        <v>167508.117</v>
      </c>
      <c r="K64" s="131">
        <v>15978</v>
      </c>
      <c r="L64" s="132">
        <v>14448.646000000001</v>
      </c>
      <c r="M64" s="131">
        <v>47193</v>
      </c>
      <c r="N64" s="132">
        <v>14760.877</v>
      </c>
      <c r="O64" s="131">
        <v>24606</v>
      </c>
      <c r="P64" s="132">
        <v>127198.40399999999</v>
      </c>
      <c r="Q64" s="131">
        <v>6515</v>
      </c>
      <c r="R64" s="132">
        <v>6639.7579999999998</v>
      </c>
      <c r="S64" s="178" t="s">
        <v>225</v>
      </c>
      <c r="T64" s="179"/>
      <c r="U64" s="179"/>
    </row>
    <row r="65" spans="1:22" s="124" customFormat="1" ht="14.4" x14ac:dyDescent="0.3">
      <c r="A65" s="129" t="s">
        <v>88</v>
      </c>
      <c r="B65" s="130">
        <f t="shared" si="25"/>
        <v>170728</v>
      </c>
      <c r="C65" s="131">
        <v>3683</v>
      </c>
      <c r="D65" s="132">
        <v>1230.953</v>
      </c>
      <c r="E65" s="131">
        <v>38922</v>
      </c>
      <c r="F65" s="132">
        <v>14325.9</v>
      </c>
      <c r="G65" s="131">
        <v>16145</v>
      </c>
      <c r="H65" s="132">
        <v>6983.4250000000002</v>
      </c>
      <c r="I65" s="131">
        <v>13714</v>
      </c>
      <c r="J65" s="132">
        <v>24705.688999999998</v>
      </c>
      <c r="K65" s="131">
        <v>43075</v>
      </c>
      <c r="L65" s="132">
        <v>69606.850000000006</v>
      </c>
      <c r="M65" s="131">
        <v>21299</v>
      </c>
      <c r="N65" s="132">
        <v>6670.7089999999998</v>
      </c>
      <c r="O65" s="131">
        <v>8610</v>
      </c>
      <c r="P65" s="132">
        <v>40668.786</v>
      </c>
      <c r="Q65" s="131">
        <v>25280</v>
      </c>
      <c r="R65" s="132">
        <v>13497.218999999999</v>
      </c>
      <c r="S65" s="152" t="s">
        <v>226</v>
      </c>
    </row>
    <row r="66" spans="1:22" s="124" customFormat="1" ht="14.4" x14ac:dyDescent="0.3">
      <c r="A66" s="189" t="s">
        <v>227</v>
      </c>
      <c r="B66" s="190">
        <f>SUM(B68:B72)</f>
        <v>110018</v>
      </c>
      <c r="C66" s="169">
        <f>SUM(C68:C72)</f>
        <v>5829</v>
      </c>
      <c r="D66" s="169">
        <f t="shared" ref="D66:R66" si="26">SUM(D68:D72)</f>
        <v>1914.4</v>
      </c>
      <c r="E66" s="169">
        <f t="shared" si="26"/>
        <v>18424</v>
      </c>
      <c r="F66" s="169">
        <f t="shared" si="26"/>
        <v>6913.65</v>
      </c>
      <c r="G66" s="191">
        <f t="shared" si="26"/>
        <v>11403</v>
      </c>
      <c r="H66" s="169">
        <f t="shared" si="26"/>
        <v>4592.0050000000001</v>
      </c>
      <c r="I66" s="169">
        <f t="shared" si="26"/>
        <v>7330</v>
      </c>
      <c r="J66" s="169">
        <f t="shared" si="26"/>
        <v>7990.0720000000001</v>
      </c>
      <c r="K66" s="169">
        <f t="shared" si="26"/>
        <v>19596</v>
      </c>
      <c r="L66" s="169">
        <f t="shared" si="26"/>
        <v>21274.135000000002</v>
      </c>
      <c r="M66" s="169">
        <f t="shared" si="26"/>
        <v>23503</v>
      </c>
      <c r="N66" s="177">
        <f t="shared" si="26"/>
        <v>6394.3630000000003</v>
      </c>
      <c r="O66" s="169">
        <f t="shared" ref="O66:P66" si="27">SUM(O68:O72)</f>
        <v>4511</v>
      </c>
      <c r="P66" s="191">
        <f t="shared" si="27"/>
        <v>9171.8619999999992</v>
      </c>
      <c r="Q66" s="169">
        <f t="shared" si="26"/>
        <v>19422</v>
      </c>
      <c r="R66" s="177">
        <f t="shared" si="26"/>
        <v>6603.4870000000001</v>
      </c>
      <c r="S66" s="170" t="s">
        <v>228</v>
      </c>
      <c r="T66" s="171"/>
      <c r="U66" s="171"/>
    </row>
    <row r="67" spans="1:22" s="124" customFormat="1" ht="14.4" x14ac:dyDescent="0.3">
      <c r="A67" s="189"/>
      <c r="B67" s="190"/>
      <c r="C67" s="169"/>
      <c r="D67" s="169"/>
      <c r="E67" s="169"/>
      <c r="F67" s="169"/>
      <c r="G67" s="191"/>
      <c r="H67" s="169"/>
      <c r="I67" s="169"/>
      <c r="J67" s="169"/>
      <c r="K67" s="169"/>
      <c r="L67" s="169"/>
      <c r="M67" s="169"/>
      <c r="N67" s="177"/>
      <c r="O67" s="169"/>
      <c r="P67" s="191"/>
      <c r="Q67" s="169"/>
      <c r="R67" s="177"/>
      <c r="S67" s="170"/>
      <c r="T67" s="171"/>
      <c r="U67" s="171"/>
    </row>
    <row r="68" spans="1:22" s="124" customFormat="1" ht="14.4" x14ac:dyDescent="0.3">
      <c r="A68" s="129" t="s">
        <v>90</v>
      </c>
      <c r="B68" s="130">
        <f t="shared" ref="B68:B72" si="28">SUM(C68,E68,G68,I68,K68,M68,O68,Q68)</f>
        <v>35566</v>
      </c>
      <c r="C68" s="131">
        <v>2730</v>
      </c>
      <c r="D68" s="132">
        <v>818.14</v>
      </c>
      <c r="E68" s="131">
        <v>5666</v>
      </c>
      <c r="F68" s="132">
        <v>1646.587</v>
      </c>
      <c r="G68" s="131">
        <v>5299</v>
      </c>
      <c r="H68" s="132">
        <v>1727.92</v>
      </c>
      <c r="I68" s="131">
        <v>1005</v>
      </c>
      <c r="J68" s="132">
        <v>882.53099999999995</v>
      </c>
      <c r="K68" s="131">
        <v>3776</v>
      </c>
      <c r="L68" s="132">
        <v>4212.6239999999998</v>
      </c>
      <c r="M68" s="131">
        <v>4471</v>
      </c>
      <c r="N68" s="132">
        <v>1354.364</v>
      </c>
      <c r="O68" s="131">
        <v>2837</v>
      </c>
      <c r="P68" s="132">
        <v>5404.55</v>
      </c>
      <c r="Q68" s="131">
        <v>9782</v>
      </c>
      <c r="R68" s="132">
        <v>3226.5230000000001</v>
      </c>
      <c r="S68" s="152" t="s">
        <v>229</v>
      </c>
    </row>
    <row r="69" spans="1:22" s="124" customFormat="1" ht="14.4" x14ac:dyDescent="0.3">
      <c r="A69" s="129" t="s">
        <v>92</v>
      </c>
      <c r="B69" s="130">
        <f t="shared" si="28"/>
        <v>14227</v>
      </c>
      <c r="C69" s="131">
        <v>636</v>
      </c>
      <c r="D69" s="132">
        <v>241.92400000000001</v>
      </c>
      <c r="E69" s="131">
        <v>5197</v>
      </c>
      <c r="F69" s="132">
        <v>1932.768</v>
      </c>
      <c r="G69" s="131">
        <v>550</v>
      </c>
      <c r="H69" s="132">
        <v>224.83699999999999</v>
      </c>
      <c r="I69" s="131">
        <v>574</v>
      </c>
      <c r="J69" s="132">
        <v>573.25</v>
      </c>
      <c r="K69" s="131">
        <v>1095</v>
      </c>
      <c r="L69" s="132">
        <v>2654.8</v>
      </c>
      <c r="M69" s="131">
        <v>499</v>
      </c>
      <c r="N69" s="132">
        <v>170.21600000000001</v>
      </c>
      <c r="O69" s="131">
        <v>420</v>
      </c>
      <c r="P69" s="132">
        <v>884.75</v>
      </c>
      <c r="Q69" s="137">
        <v>5256</v>
      </c>
      <c r="R69" s="132">
        <v>1373.42</v>
      </c>
      <c r="S69" s="152" t="s">
        <v>230</v>
      </c>
    </row>
    <row r="70" spans="1:22" s="124" customFormat="1" ht="14.4" x14ac:dyDescent="0.3">
      <c r="A70" s="129" t="s">
        <v>94</v>
      </c>
      <c r="B70" s="130">
        <f t="shared" si="28"/>
        <v>14753</v>
      </c>
      <c r="C70" s="131">
        <v>497</v>
      </c>
      <c r="D70" s="132">
        <v>193.08</v>
      </c>
      <c r="E70" s="131">
        <v>1398</v>
      </c>
      <c r="F70" s="132">
        <v>619.54999999999995</v>
      </c>
      <c r="G70" s="131">
        <v>474</v>
      </c>
      <c r="H70" s="132">
        <v>201.48</v>
      </c>
      <c r="I70" s="131">
        <v>785</v>
      </c>
      <c r="J70" s="132">
        <v>827.56</v>
      </c>
      <c r="K70" s="131">
        <v>6658</v>
      </c>
      <c r="L70" s="132">
        <v>6274.5640000000003</v>
      </c>
      <c r="M70" s="131">
        <v>1805</v>
      </c>
      <c r="N70" s="132">
        <v>990.9</v>
      </c>
      <c r="O70" s="131">
        <v>389</v>
      </c>
      <c r="P70" s="132">
        <v>606.30399999999997</v>
      </c>
      <c r="Q70" s="131">
        <v>2747</v>
      </c>
      <c r="R70" s="132">
        <v>1180.6079999999999</v>
      </c>
      <c r="S70" s="152" t="s">
        <v>231</v>
      </c>
    </row>
    <row r="71" spans="1:22" s="124" customFormat="1" ht="14.4" x14ac:dyDescent="0.3">
      <c r="A71" s="129" t="s">
        <v>97</v>
      </c>
      <c r="B71" s="130">
        <f t="shared" si="28"/>
        <v>11848</v>
      </c>
      <c r="C71" s="131">
        <v>1320</v>
      </c>
      <c r="D71" s="132">
        <v>470.11599999999999</v>
      </c>
      <c r="E71" s="131">
        <v>3473</v>
      </c>
      <c r="F71" s="132">
        <v>1796.0260000000001</v>
      </c>
      <c r="G71" s="131">
        <v>1478</v>
      </c>
      <c r="H71" s="132">
        <v>1170.23</v>
      </c>
      <c r="I71" s="131">
        <v>1473</v>
      </c>
      <c r="J71" s="132">
        <v>2028.586</v>
      </c>
      <c r="K71" s="131">
        <v>2671</v>
      </c>
      <c r="L71" s="132">
        <v>3754.69</v>
      </c>
      <c r="M71" s="131">
        <v>332</v>
      </c>
      <c r="N71" s="132">
        <v>240.005</v>
      </c>
      <c r="O71" s="131">
        <v>763</v>
      </c>
      <c r="P71" s="132">
        <v>2109.8029999999999</v>
      </c>
      <c r="Q71" s="131">
        <v>338</v>
      </c>
      <c r="R71" s="132">
        <v>200.19200000000001</v>
      </c>
      <c r="S71" s="152" t="s">
        <v>232</v>
      </c>
    </row>
    <row r="72" spans="1:22" s="124" customFormat="1" ht="14.4" x14ac:dyDescent="0.3">
      <c r="A72" s="129" t="s">
        <v>99</v>
      </c>
      <c r="B72" s="130">
        <f t="shared" si="28"/>
        <v>33624</v>
      </c>
      <c r="C72" s="131">
        <v>646</v>
      </c>
      <c r="D72" s="132">
        <v>191.14</v>
      </c>
      <c r="E72" s="131">
        <v>2690</v>
      </c>
      <c r="F72" s="132">
        <v>918.71900000000005</v>
      </c>
      <c r="G72" s="131">
        <v>3602</v>
      </c>
      <c r="H72" s="132">
        <v>1267.538</v>
      </c>
      <c r="I72" s="131">
        <v>3493</v>
      </c>
      <c r="J72" s="132">
        <v>3678.145</v>
      </c>
      <c r="K72" s="131">
        <v>5396</v>
      </c>
      <c r="L72" s="132">
        <v>4377.4570000000003</v>
      </c>
      <c r="M72" s="131">
        <v>16396</v>
      </c>
      <c r="N72" s="132">
        <v>3638.8780000000002</v>
      </c>
      <c r="O72" s="131">
        <v>102</v>
      </c>
      <c r="P72" s="132">
        <v>166.45500000000001</v>
      </c>
      <c r="Q72" s="131">
        <v>1299</v>
      </c>
      <c r="R72" s="132">
        <v>622.74400000000003</v>
      </c>
      <c r="S72" s="152" t="s">
        <v>233</v>
      </c>
    </row>
    <row r="73" spans="1:22" s="124" customFormat="1" ht="14.4" x14ac:dyDescent="0.3">
      <c r="A73" s="189" t="s">
        <v>234</v>
      </c>
      <c r="B73" s="190">
        <f>SUM(B75:B82)</f>
        <v>3734</v>
      </c>
      <c r="C73" s="169">
        <f>SUM(C75:C82)</f>
        <v>617</v>
      </c>
      <c r="D73" s="169">
        <f t="shared" ref="D73:R73" si="29">SUM(D75:D82)</f>
        <v>209.53200000000001</v>
      </c>
      <c r="E73" s="169">
        <f t="shared" si="29"/>
        <v>664</v>
      </c>
      <c r="F73" s="169">
        <f t="shared" si="29"/>
        <v>258.63599999999997</v>
      </c>
      <c r="G73" s="191">
        <f t="shared" si="29"/>
        <v>1283</v>
      </c>
      <c r="H73" s="169">
        <f t="shared" si="29"/>
        <v>522.27800000000002</v>
      </c>
      <c r="I73" s="169">
        <f t="shared" si="29"/>
        <v>373</v>
      </c>
      <c r="J73" s="169">
        <f t="shared" si="29"/>
        <v>654.81700000000001</v>
      </c>
      <c r="K73" s="169">
        <f t="shared" si="29"/>
        <v>624</v>
      </c>
      <c r="L73" s="169">
        <f t="shared" si="29"/>
        <v>779.47</v>
      </c>
      <c r="M73" s="169">
        <f t="shared" si="29"/>
        <v>112</v>
      </c>
      <c r="N73" s="177">
        <f t="shared" si="29"/>
        <v>81.45</v>
      </c>
      <c r="O73" s="169">
        <f t="shared" ref="O73:P73" si="30">SUM(O75:O82)</f>
        <v>8</v>
      </c>
      <c r="P73" s="191">
        <f t="shared" si="30"/>
        <v>32.65</v>
      </c>
      <c r="Q73" s="169">
        <f t="shared" si="29"/>
        <v>53</v>
      </c>
      <c r="R73" s="177">
        <f t="shared" si="29"/>
        <v>22.861000000000001</v>
      </c>
      <c r="S73" s="174" t="s">
        <v>235</v>
      </c>
      <c r="T73" s="175"/>
      <c r="U73" s="175"/>
    </row>
    <row r="74" spans="1:22" s="124" customFormat="1" ht="14.4" x14ac:dyDescent="0.3">
      <c r="A74" s="189"/>
      <c r="B74" s="190"/>
      <c r="C74" s="169"/>
      <c r="D74" s="169"/>
      <c r="E74" s="169"/>
      <c r="F74" s="169"/>
      <c r="G74" s="191"/>
      <c r="H74" s="169"/>
      <c r="I74" s="169"/>
      <c r="J74" s="169"/>
      <c r="K74" s="169"/>
      <c r="L74" s="169"/>
      <c r="M74" s="169"/>
      <c r="N74" s="177"/>
      <c r="O74" s="169"/>
      <c r="P74" s="191"/>
      <c r="Q74" s="169"/>
      <c r="R74" s="177"/>
      <c r="S74" s="174"/>
      <c r="T74" s="175"/>
      <c r="U74" s="175"/>
    </row>
    <row r="75" spans="1:22" s="124" customFormat="1" ht="14.4" x14ac:dyDescent="0.3">
      <c r="A75" s="138" t="s">
        <v>273</v>
      </c>
      <c r="B75" s="130">
        <f t="shared" ref="B75:B82" si="31">SUM(C75,E75,G75,I75,K75,M75,O75,Q75)</f>
        <v>0</v>
      </c>
      <c r="C75" s="131" t="s">
        <v>289</v>
      </c>
      <c r="D75" s="132" t="s">
        <v>289</v>
      </c>
      <c r="E75" s="131" t="s">
        <v>289</v>
      </c>
      <c r="F75" s="132" t="s">
        <v>289</v>
      </c>
      <c r="G75" s="131" t="s">
        <v>289</v>
      </c>
      <c r="H75" s="132" t="s">
        <v>289</v>
      </c>
      <c r="I75" s="131" t="s">
        <v>289</v>
      </c>
      <c r="J75" s="132" t="s">
        <v>289</v>
      </c>
      <c r="K75" s="131" t="s">
        <v>289</v>
      </c>
      <c r="L75" s="132" t="s">
        <v>289</v>
      </c>
      <c r="M75" s="131" t="s">
        <v>289</v>
      </c>
      <c r="N75" s="132" t="s">
        <v>289</v>
      </c>
      <c r="O75" s="131" t="s">
        <v>289</v>
      </c>
      <c r="P75" s="132" t="s">
        <v>289</v>
      </c>
      <c r="Q75" s="131" t="s">
        <v>289</v>
      </c>
      <c r="R75" s="132" t="s">
        <v>289</v>
      </c>
      <c r="S75" s="178" t="s">
        <v>236</v>
      </c>
      <c r="T75" s="179"/>
      <c r="U75" s="179"/>
      <c r="V75" s="179"/>
    </row>
    <row r="76" spans="1:22" s="124" customFormat="1" ht="14.4" x14ac:dyDescent="0.3">
      <c r="A76" s="139" t="s">
        <v>274</v>
      </c>
      <c r="B76" s="130">
        <f t="shared" si="31"/>
        <v>9</v>
      </c>
      <c r="C76" s="131" t="s">
        <v>289</v>
      </c>
      <c r="D76" s="132" t="s">
        <v>289</v>
      </c>
      <c r="E76" s="131" t="s">
        <v>289</v>
      </c>
      <c r="F76" s="132" t="s">
        <v>289</v>
      </c>
      <c r="G76" s="131" t="s">
        <v>289</v>
      </c>
      <c r="H76" s="132" t="s">
        <v>289</v>
      </c>
      <c r="I76" s="131">
        <v>9</v>
      </c>
      <c r="J76" s="132">
        <v>9</v>
      </c>
      <c r="K76" s="131" t="s">
        <v>289</v>
      </c>
      <c r="L76" s="132" t="s">
        <v>289</v>
      </c>
      <c r="M76" s="131" t="s">
        <v>289</v>
      </c>
      <c r="N76" s="132" t="s">
        <v>289</v>
      </c>
      <c r="O76" s="131" t="s">
        <v>289</v>
      </c>
      <c r="P76" s="132" t="s">
        <v>289</v>
      </c>
      <c r="Q76" s="131" t="s">
        <v>289</v>
      </c>
      <c r="R76" s="132" t="s">
        <v>289</v>
      </c>
      <c r="S76" s="178" t="s">
        <v>237</v>
      </c>
      <c r="T76" s="179"/>
      <c r="U76" s="179"/>
      <c r="V76" s="179"/>
    </row>
    <row r="77" spans="1:22" s="124" customFormat="1" ht="14.4" x14ac:dyDescent="0.3">
      <c r="A77" s="129" t="s">
        <v>106</v>
      </c>
      <c r="B77" s="130">
        <f t="shared" si="31"/>
        <v>0</v>
      </c>
      <c r="C77" s="131" t="s">
        <v>289</v>
      </c>
      <c r="D77" s="132" t="s">
        <v>289</v>
      </c>
      <c r="E77" s="131" t="s">
        <v>289</v>
      </c>
      <c r="F77" s="132" t="s">
        <v>289</v>
      </c>
      <c r="G77" s="131" t="s">
        <v>289</v>
      </c>
      <c r="H77" s="132" t="s">
        <v>289</v>
      </c>
      <c r="I77" s="131" t="s">
        <v>289</v>
      </c>
      <c r="J77" s="132" t="s">
        <v>289</v>
      </c>
      <c r="K77" s="131" t="s">
        <v>289</v>
      </c>
      <c r="L77" s="132" t="s">
        <v>289</v>
      </c>
      <c r="M77" s="131" t="s">
        <v>289</v>
      </c>
      <c r="N77" s="132" t="s">
        <v>289</v>
      </c>
      <c r="O77" s="131" t="s">
        <v>289</v>
      </c>
      <c r="P77" s="132" t="s">
        <v>289</v>
      </c>
      <c r="Q77" s="131" t="s">
        <v>289</v>
      </c>
      <c r="R77" s="132" t="s">
        <v>289</v>
      </c>
      <c r="S77" s="178" t="s">
        <v>238</v>
      </c>
      <c r="T77" s="179"/>
      <c r="U77" s="179"/>
      <c r="V77" s="179"/>
    </row>
    <row r="78" spans="1:22" s="124" customFormat="1" ht="14.4" x14ac:dyDescent="0.3">
      <c r="A78" s="129" t="s">
        <v>108</v>
      </c>
      <c r="B78" s="130">
        <f t="shared" si="31"/>
        <v>0</v>
      </c>
      <c r="C78" s="131" t="s">
        <v>289</v>
      </c>
      <c r="D78" s="132" t="s">
        <v>289</v>
      </c>
      <c r="E78" s="131" t="s">
        <v>289</v>
      </c>
      <c r="F78" s="132" t="s">
        <v>289</v>
      </c>
      <c r="G78" s="131" t="s">
        <v>289</v>
      </c>
      <c r="H78" s="132" t="s">
        <v>289</v>
      </c>
      <c r="I78" s="131" t="s">
        <v>289</v>
      </c>
      <c r="J78" s="132" t="s">
        <v>289</v>
      </c>
      <c r="K78" s="131" t="s">
        <v>289</v>
      </c>
      <c r="L78" s="132" t="s">
        <v>289</v>
      </c>
      <c r="M78" s="131" t="s">
        <v>289</v>
      </c>
      <c r="N78" s="132" t="s">
        <v>289</v>
      </c>
      <c r="O78" s="131" t="s">
        <v>289</v>
      </c>
      <c r="P78" s="132" t="s">
        <v>289</v>
      </c>
      <c r="Q78" s="131" t="s">
        <v>289</v>
      </c>
      <c r="R78" s="132" t="s">
        <v>289</v>
      </c>
      <c r="S78" s="178" t="s">
        <v>239</v>
      </c>
      <c r="T78" s="179"/>
      <c r="U78" s="179"/>
      <c r="V78" s="179"/>
    </row>
    <row r="79" spans="1:22" s="124" customFormat="1" ht="14.4" x14ac:dyDescent="0.3">
      <c r="A79" s="129" t="s">
        <v>110</v>
      </c>
      <c r="B79" s="130">
        <f t="shared" si="31"/>
        <v>1872</v>
      </c>
      <c r="C79" s="131">
        <v>106</v>
      </c>
      <c r="D79" s="132">
        <v>31.103999999999999</v>
      </c>
      <c r="E79" s="131">
        <v>170</v>
      </c>
      <c r="F79" s="132">
        <v>57.65</v>
      </c>
      <c r="G79" s="131">
        <v>832</v>
      </c>
      <c r="H79" s="132">
        <v>261.24599999999998</v>
      </c>
      <c r="I79" s="131">
        <v>66</v>
      </c>
      <c r="J79" s="132">
        <v>140.31700000000001</v>
      </c>
      <c r="K79" s="131">
        <v>574</v>
      </c>
      <c r="L79" s="132">
        <v>733.97</v>
      </c>
      <c r="M79" s="131">
        <v>92</v>
      </c>
      <c r="N79" s="132">
        <v>65.45</v>
      </c>
      <c r="O79" s="131">
        <v>8</v>
      </c>
      <c r="P79" s="132">
        <v>32.65</v>
      </c>
      <c r="Q79" s="137">
        <v>24</v>
      </c>
      <c r="R79" s="132">
        <v>8.5609999999999999</v>
      </c>
      <c r="S79" s="178" t="s">
        <v>240</v>
      </c>
      <c r="T79" s="179"/>
      <c r="U79" s="179"/>
      <c r="V79" s="179"/>
    </row>
    <row r="80" spans="1:22" s="124" customFormat="1" ht="14.4" x14ac:dyDescent="0.3">
      <c r="A80" s="129" t="s">
        <v>113</v>
      </c>
      <c r="B80" s="130">
        <f t="shared" si="31"/>
        <v>1201</v>
      </c>
      <c r="C80" s="131">
        <v>403</v>
      </c>
      <c r="D80" s="132">
        <v>139.4</v>
      </c>
      <c r="E80" s="131">
        <v>267</v>
      </c>
      <c r="F80" s="132">
        <v>106.8</v>
      </c>
      <c r="G80" s="131">
        <v>332</v>
      </c>
      <c r="H80" s="132">
        <v>178.5</v>
      </c>
      <c r="I80" s="137">
        <v>100</v>
      </c>
      <c r="J80" s="132">
        <v>200</v>
      </c>
      <c r="K80" s="131">
        <v>50</v>
      </c>
      <c r="L80" s="132">
        <v>45.5</v>
      </c>
      <c r="M80" s="137">
        <v>20</v>
      </c>
      <c r="N80" s="132">
        <v>16</v>
      </c>
      <c r="O80" s="131" t="s">
        <v>289</v>
      </c>
      <c r="P80" s="132" t="s">
        <v>289</v>
      </c>
      <c r="Q80" s="131">
        <v>29</v>
      </c>
      <c r="R80" s="132">
        <v>14.3</v>
      </c>
      <c r="S80" s="178" t="s">
        <v>241</v>
      </c>
      <c r="T80" s="179"/>
      <c r="U80" s="179"/>
      <c r="V80" s="179"/>
    </row>
    <row r="81" spans="1:22" s="124" customFormat="1" ht="14.4" x14ac:dyDescent="0.3">
      <c r="A81" s="129" t="s">
        <v>115</v>
      </c>
      <c r="B81" s="130">
        <f t="shared" si="31"/>
        <v>0</v>
      </c>
      <c r="C81" s="131" t="s">
        <v>289</v>
      </c>
      <c r="D81" s="132" t="s">
        <v>289</v>
      </c>
      <c r="E81" s="131" t="s">
        <v>289</v>
      </c>
      <c r="F81" s="132" t="s">
        <v>289</v>
      </c>
      <c r="G81" s="131" t="s">
        <v>289</v>
      </c>
      <c r="H81" s="132" t="s">
        <v>289</v>
      </c>
      <c r="I81" s="137" t="s">
        <v>289</v>
      </c>
      <c r="J81" s="132" t="s">
        <v>289</v>
      </c>
      <c r="K81" s="131" t="s">
        <v>289</v>
      </c>
      <c r="L81" s="132" t="s">
        <v>289</v>
      </c>
      <c r="M81" s="137" t="s">
        <v>289</v>
      </c>
      <c r="N81" s="132" t="s">
        <v>289</v>
      </c>
      <c r="O81" s="131" t="s">
        <v>289</v>
      </c>
      <c r="P81" s="132" t="s">
        <v>289</v>
      </c>
      <c r="Q81" s="131" t="s">
        <v>289</v>
      </c>
      <c r="R81" s="132" t="s">
        <v>289</v>
      </c>
      <c r="S81" s="178" t="s">
        <v>242</v>
      </c>
      <c r="T81" s="179"/>
      <c r="U81" s="179"/>
      <c r="V81" s="179"/>
    </row>
    <row r="82" spans="1:22" s="124" customFormat="1" ht="14.4" x14ac:dyDescent="0.3">
      <c r="A82" s="129" t="s">
        <v>117</v>
      </c>
      <c r="B82" s="130">
        <f t="shared" si="31"/>
        <v>652</v>
      </c>
      <c r="C82" s="131">
        <v>108</v>
      </c>
      <c r="D82" s="132">
        <v>39.027999999999999</v>
      </c>
      <c r="E82" s="131">
        <v>227</v>
      </c>
      <c r="F82" s="132">
        <v>94.186000000000007</v>
      </c>
      <c r="G82" s="131">
        <v>119</v>
      </c>
      <c r="H82" s="132">
        <v>82.531999999999996</v>
      </c>
      <c r="I82" s="131">
        <v>198</v>
      </c>
      <c r="J82" s="132">
        <v>305.5</v>
      </c>
      <c r="K82" s="137" t="s">
        <v>289</v>
      </c>
      <c r="L82" s="132" t="s">
        <v>289</v>
      </c>
      <c r="M82" s="137" t="s">
        <v>289</v>
      </c>
      <c r="N82" s="132" t="s">
        <v>289</v>
      </c>
      <c r="O82" s="131" t="s">
        <v>289</v>
      </c>
      <c r="P82" s="132" t="s">
        <v>289</v>
      </c>
      <c r="Q82" s="137" t="s">
        <v>289</v>
      </c>
      <c r="R82" s="132" t="s">
        <v>289</v>
      </c>
      <c r="S82" s="178" t="s">
        <v>243</v>
      </c>
      <c r="T82" s="179"/>
      <c r="U82" s="179"/>
      <c r="V82" s="179"/>
    </row>
    <row r="83" spans="1:22" s="124" customFormat="1" ht="14.4" x14ac:dyDescent="0.3">
      <c r="A83" s="189" t="s">
        <v>244</v>
      </c>
      <c r="B83" s="190">
        <f>SUM(B85:B89)</f>
        <v>37422</v>
      </c>
      <c r="C83" s="169">
        <f>SUM(C85:C89)</f>
        <v>1264</v>
      </c>
      <c r="D83" s="169">
        <f t="shared" ref="D83:R83" si="32">SUM(D85:D89)</f>
        <v>454.56699999999995</v>
      </c>
      <c r="E83" s="169">
        <f t="shared" si="32"/>
        <v>9725</v>
      </c>
      <c r="F83" s="169">
        <f t="shared" si="32"/>
        <v>4010.6990000000001</v>
      </c>
      <c r="G83" s="191">
        <f t="shared" si="32"/>
        <v>6432</v>
      </c>
      <c r="H83" s="169">
        <f t="shared" si="32"/>
        <v>2959.03</v>
      </c>
      <c r="I83" s="169">
        <f t="shared" si="32"/>
        <v>4769</v>
      </c>
      <c r="J83" s="169">
        <f t="shared" si="32"/>
        <v>5568.65</v>
      </c>
      <c r="K83" s="169">
        <f t="shared" si="32"/>
        <v>3656</v>
      </c>
      <c r="L83" s="169">
        <f t="shared" si="32"/>
        <v>3869.6</v>
      </c>
      <c r="M83" s="169">
        <f t="shared" si="32"/>
        <v>5432</v>
      </c>
      <c r="N83" s="177">
        <f t="shared" si="32"/>
        <v>1279.8420000000001</v>
      </c>
      <c r="O83" s="169">
        <f t="shared" ref="O83:P83" si="33">SUM(O85:O89)</f>
        <v>206</v>
      </c>
      <c r="P83" s="191">
        <f t="shared" si="33"/>
        <v>375.5</v>
      </c>
      <c r="Q83" s="169">
        <f t="shared" si="32"/>
        <v>5938</v>
      </c>
      <c r="R83" s="177">
        <f t="shared" si="32"/>
        <v>2131.998</v>
      </c>
      <c r="S83" s="170" t="s">
        <v>245</v>
      </c>
      <c r="T83" s="171"/>
      <c r="U83" s="171"/>
    </row>
    <row r="84" spans="1:22" s="124" customFormat="1" ht="14.4" x14ac:dyDescent="0.3">
      <c r="A84" s="189"/>
      <c r="B84" s="190"/>
      <c r="C84" s="169"/>
      <c r="D84" s="169"/>
      <c r="E84" s="169"/>
      <c r="F84" s="169"/>
      <c r="G84" s="191"/>
      <c r="H84" s="169"/>
      <c r="I84" s="169"/>
      <c r="J84" s="169"/>
      <c r="K84" s="169"/>
      <c r="L84" s="169"/>
      <c r="M84" s="169"/>
      <c r="N84" s="177"/>
      <c r="O84" s="169"/>
      <c r="P84" s="191"/>
      <c r="Q84" s="169"/>
      <c r="R84" s="177"/>
      <c r="S84" s="170"/>
      <c r="T84" s="171"/>
      <c r="U84" s="171"/>
    </row>
    <row r="85" spans="1:22" s="124" customFormat="1" ht="14.4" x14ac:dyDescent="0.3">
      <c r="A85" s="129" t="s">
        <v>119</v>
      </c>
      <c r="B85" s="130">
        <f t="shared" ref="B85:B89" si="34">SUM(C85,E85,G85,I85,K85,M85,O85,Q85)</f>
        <v>21177</v>
      </c>
      <c r="C85" s="131">
        <v>1091</v>
      </c>
      <c r="D85" s="132">
        <v>406.02800000000002</v>
      </c>
      <c r="E85" s="131">
        <v>6753</v>
      </c>
      <c r="F85" s="132">
        <v>2889.723</v>
      </c>
      <c r="G85" s="131">
        <v>3994</v>
      </c>
      <c r="H85" s="132">
        <v>1764.3</v>
      </c>
      <c r="I85" s="131">
        <v>3863</v>
      </c>
      <c r="J85" s="132">
        <v>3981.5</v>
      </c>
      <c r="K85" s="131">
        <v>2113</v>
      </c>
      <c r="L85" s="132">
        <v>2113</v>
      </c>
      <c r="M85" s="131">
        <v>760</v>
      </c>
      <c r="N85" s="132">
        <v>560</v>
      </c>
      <c r="O85" s="131">
        <v>180</v>
      </c>
      <c r="P85" s="132">
        <v>349.5</v>
      </c>
      <c r="Q85" s="131">
        <v>2423</v>
      </c>
      <c r="R85" s="132">
        <v>1098.1980000000001</v>
      </c>
      <c r="S85" s="152" t="s">
        <v>246</v>
      </c>
    </row>
    <row r="86" spans="1:22" s="124" customFormat="1" ht="14.4" x14ac:dyDescent="0.3">
      <c r="A86" s="129" t="s">
        <v>122</v>
      </c>
      <c r="B86" s="130">
        <f t="shared" si="34"/>
        <v>4989</v>
      </c>
      <c r="C86" s="131">
        <v>38</v>
      </c>
      <c r="D86" s="132">
        <v>11.4</v>
      </c>
      <c r="E86" s="131">
        <v>92</v>
      </c>
      <c r="F86" s="132">
        <v>38.799999999999997</v>
      </c>
      <c r="G86" s="131">
        <v>76</v>
      </c>
      <c r="H86" s="132">
        <v>38</v>
      </c>
      <c r="I86" s="131">
        <v>16</v>
      </c>
      <c r="J86" s="132">
        <v>16</v>
      </c>
      <c r="K86" s="131">
        <v>16</v>
      </c>
      <c r="L86" s="132">
        <v>19.2</v>
      </c>
      <c r="M86" s="131">
        <v>4598</v>
      </c>
      <c r="N86" s="132">
        <v>697.64200000000005</v>
      </c>
      <c r="O86" s="131" t="s">
        <v>289</v>
      </c>
      <c r="P86" s="132" t="s">
        <v>289</v>
      </c>
      <c r="Q86" s="131">
        <v>153</v>
      </c>
      <c r="R86" s="132">
        <v>91.8</v>
      </c>
      <c r="S86" s="152" t="s">
        <v>247</v>
      </c>
    </row>
    <row r="87" spans="1:22" s="124" customFormat="1" ht="14.4" x14ac:dyDescent="0.3">
      <c r="A87" s="129" t="s">
        <v>124</v>
      </c>
      <c r="B87" s="130">
        <f t="shared" si="34"/>
        <v>10598</v>
      </c>
      <c r="C87" s="131">
        <v>49</v>
      </c>
      <c r="D87" s="132">
        <v>15.154999999999999</v>
      </c>
      <c r="E87" s="131">
        <v>2746</v>
      </c>
      <c r="F87" s="132">
        <v>1055</v>
      </c>
      <c r="G87" s="131">
        <v>2277</v>
      </c>
      <c r="H87" s="132">
        <v>1138.5</v>
      </c>
      <c r="I87" s="131">
        <v>870</v>
      </c>
      <c r="J87" s="132">
        <v>1566</v>
      </c>
      <c r="K87" s="131">
        <v>1420</v>
      </c>
      <c r="L87" s="132">
        <v>1706.4</v>
      </c>
      <c r="M87" s="137" t="s">
        <v>289</v>
      </c>
      <c r="N87" s="132" t="s">
        <v>289</v>
      </c>
      <c r="O87" s="131">
        <v>26</v>
      </c>
      <c r="P87" s="132">
        <v>26</v>
      </c>
      <c r="Q87" s="131">
        <v>3210</v>
      </c>
      <c r="R87" s="132">
        <v>910.62</v>
      </c>
      <c r="S87" s="152" t="s">
        <v>248</v>
      </c>
    </row>
    <row r="88" spans="1:22" s="124" customFormat="1" ht="14.4" x14ac:dyDescent="0.3">
      <c r="A88" s="129" t="s">
        <v>127</v>
      </c>
      <c r="B88" s="130">
        <f t="shared" si="34"/>
        <v>448</v>
      </c>
      <c r="C88" s="131">
        <v>55</v>
      </c>
      <c r="D88" s="132">
        <v>16.225999999999999</v>
      </c>
      <c r="E88" s="131">
        <v>109</v>
      </c>
      <c r="F88" s="132">
        <v>21.54</v>
      </c>
      <c r="G88" s="131">
        <v>85</v>
      </c>
      <c r="H88" s="132">
        <v>18.23</v>
      </c>
      <c r="I88" s="137" t="s">
        <v>289</v>
      </c>
      <c r="J88" s="132" t="s">
        <v>289</v>
      </c>
      <c r="K88" s="131">
        <v>87</v>
      </c>
      <c r="L88" s="132">
        <v>18</v>
      </c>
      <c r="M88" s="137">
        <v>74</v>
      </c>
      <c r="N88" s="132">
        <v>22.2</v>
      </c>
      <c r="O88" s="131" t="s">
        <v>289</v>
      </c>
      <c r="P88" s="132" t="s">
        <v>289</v>
      </c>
      <c r="Q88" s="131">
        <v>38</v>
      </c>
      <c r="R88" s="132">
        <v>7.9</v>
      </c>
      <c r="S88" s="152" t="s">
        <v>249</v>
      </c>
    </row>
    <row r="89" spans="1:22" s="124" customFormat="1" ht="14.4" x14ac:dyDescent="0.3">
      <c r="A89" s="129" t="s">
        <v>129</v>
      </c>
      <c r="B89" s="130">
        <f t="shared" si="34"/>
        <v>210</v>
      </c>
      <c r="C89" s="131">
        <v>31</v>
      </c>
      <c r="D89" s="132">
        <v>5.758</v>
      </c>
      <c r="E89" s="131">
        <v>25</v>
      </c>
      <c r="F89" s="132">
        <v>5.6360000000000001</v>
      </c>
      <c r="G89" s="131" t="s">
        <v>289</v>
      </c>
      <c r="H89" s="132" t="s">
        <v>289</v>
      </c>
      <c r="I89" s="131">
        <v>20</v>
      </c>
      <c r="J89" s="132">
        <v>5.15</v>
      </c>
      <c r="K89" s="131">
        <v>20</v>
      </c>
      <c r="L89" s="132">
        <v>13</v>
      </c>
      <c r="M89" s="137" t="s">
        <v>289</v>
      </c>
      <c r="N89" s="132" t="s">
        <v>289</v>
      </c>
      <c r="O89" s="131" t="s">
        <v>289</v>
      </c>
      <c r="P89" s="132" t="s">
        <v>289</v>
      </c>
      <c r="Q89" s="131">
        <v>114</v>
      </c>
      <c r="R89" s="132">
        <v>23.48</v>
      </c>
      <c r="S89" s="152" t="s">
        <v>250</v>
      </c>
    </row>
    <row r="90" spans="1:22" s="124" customFormat="1" ht="14.4" x14ac:dyDescent="0.3">
      <c r="A90" s="189" t="s">
        <v>251</v>
      </c>
      <c r="B90" s="190">
        <f>SUM(B92:B104)</f>
        <v>60994</v>
      </c>
      <c r="C90" s="169">
        <f>SUM(C92:C104)</f>
        <v>7899</v>
      </c>
      <c r="D90" s="169">
        <f t="shared" ref="D90:R90" si="35">SUM(D92:D104)</f>
        <v>2430.2800000000002</v>
      </c>
      <c r="E90" s="169">
        <f t="shared" si="35"/>
        <v>3634</v>
      </c>
      <c r="F90" s="169">
        <f t="shared" si="35"/>
        <v>1137.501</v>
      </c>
      <c r="G90" s="191">
        <f t="shared" si="35"/>
        <v>3068</v>
      </c>
      <c r="H90" s="169">
        <f t="shared" si="35"/>
        <v>1039.9549999999999</v>
      </c>
      <c r="I90" s="169">
        <f t="shared" si="35"/>
        <v>1403</v>
      </c>
      <c r="J90" s="169">
        <f t="shared" si="35"/>
        <v>1466.5550000000001</v>
      </c>
      <c r="K90" s="169">
        <f t="shared" si="35"/>
        <v>573</v>
      </c>
      <c r="L90" s="169">
        <f t="shared" si="35"/>
        <v>356.8</v>
      </c>
      <c r="M90" s="169">
        <f t="shared" si="35"/>
        <v>2524</v>
      </c>
      <c r="N90" s="177">
        <f t="shared" si="35"/>
        <v>588.53499999999985</v>
      </c>
      <c r="O90" s="169">
        <f t="shared" ref="O90:P90" si="36">SUM(O92:O104)</f>
        <v>680</v>
      </c>
      <c r="P90" s="191">
        <f t="shared" si="36"/>
        <v>1015.299</v>
      </c>
      <c r="Q90" s="169">
        <f t="shared" si="35"/>
        <v>41213</v>
      </c>
      <c r="R90" s="177">
        <f t="shared" si="35"/>
        <v>13460.392</v>
      </c>
      <c r="S90" s="172" t="s">
        <v>252</v>
      </c>
      <c r="T90" s="173"/>
      <c r="U90" s="173"/>
    </row>
    <row r="91" spans="1:22" s="124" customFormat="1" ht="14.4" x14ac:dyDescent="0.3">
      <c r="A91" s="189"/>
      <c r="B91" s="190"/>
      <c r="C91" s="169"/>
      <c r="D91" s="169"/>
      <c r="E91" s="169"/>
      <c r="F91" s="169"/>
      <c r="G91" s="191"/>
      <c r="H91" s="169"/>
      <c r="I91" s="169"/>
      <c r="J91" s="169"/>
      <c r="K91" s="169"/>
      <c r="L91" s="169"/>
      <c r="M91" s="169"/>
      <c r="N91" s="177"/>
      <c r="O91" s="169"/>
      <c r="P91" s="191"/>
      <c r="Q91" s="169"/>
      <c r="R91" s="177"/>
      <c r="S91" s="172"/>
      <c r="T91" s="173"/>
      <c r="U91" s="173"/>
    </row>
    <row r="92" spans="1:22" s="124" customFormat="1" ht="14.4" x14ac:dyDescent="0.3">
      <c r="A92" s="129" t="s">
        <v>131</v>
      </c>
      <c r="B92" s="130">
        <f t="shared" ref="B92:B104" si="37">SUM(C92,E92,G92,I92,K92,M92,O92,Q92)</f>
        <v>355</v>
      </c>
      <c r="C92" s="131">
        <v>14</v>
      </c>
      <c r="D92" s="132">
        <v>4.0119999999999996</v>
      </c>
      <c r="E92" s="131" t="s">
        <v>289</v>
      </c>
      <c r="F92" s="132" t="s">
        <v>289</v>
      </c>
      <c r="G92" s="137" t="s">
        <v>289</v>
      </c>
      <c r="H92" s="132" t="s">
        <v>289</v>
      </c>
      <c r="I92" s="131" t="s">
        <v>289</v>
      </c>
      <c r="J92" s="132" t="s">
        <v>289</v>
      </c>
      <c r="K92" s="137">
        <v>4</v>
      </c>
      <c r="L92" s="132">
        <v>1.5</v>
      </c>
      <c r="M92" s="137" t="s">
        <v>289</v>
      </c>
      <c r="N92" s="132" t="s">
        <v>289</v>
      </c>
      <c r="O92" s="131">
        <v>1</v>
      </c>
      <c r="P92" s="132">
        <v>1.3</v>
      </c>
      <c r="Q92" s="137">
        <v>336</v>
      </c>
      <c r="R92" s="132">
        <v>68.549000000000007</v>
      </c>
      <c r="S92" s="152" t="s">
        <v>253</v>
      </c>
    </row>
    <row r="93" spans="1:22" s="124" customFormat="1" ht="14.4" x14ac:dyDescent="0.3">
      <c r="A93" s="129" t="s">
        <v>133</v>
      </c>
      <c r="B93" s="130">
        <f t="shared" si="37"/>
        <v>8411</v>
      </c>
      <c r="C93" s="131">
        <v>767</v>
      </c>
      <c r="D93" s="132">
        <v>135.01</v>
      </c>
      <c r="E93" s="131">
        <v>713</v>
      </c>
      <c r="F93" s="132">
        <v>123.379</v>
      </c>
      <c r="G93" s="131">
        <v>380</v>
      </c>
      <c r="H93" s="132">
        <v>71.744</v>
      </c>
      <c r="I93" s="131">
        <v>3</v>
      </c>
      <c r="J93" s="132">
        <v>2.645</v>
      </c>
      <c r="K93" s="131">
        <v>50</v>
      </c>
      <c r="L93" s="132">
        <v>34.4</v>
      </c>
      <c r="M93" s="137">
        <v>1419</v>
      </c>
      <c r="N93" s="132">
        <v>331.68299999999999</v>
      </c>
      <c r="O93" s="131">
        <v>31</v>
      </c>
      <c r="P93" s="132">
        <v>75.299000000000007</v>
      </c>
      <c r="Q93" s="131">
        <v>5048</v>
      </c>
      <c r="R93" s="132">
        <v>969.46900000000005</v>
      </c>
      <c r="S93" s="152" t="s">
        <v>254</v>
      </c>
    </row>
    <row r="94" spans="1:22" s="124" customFormat="1" ht="14.4" x14ac:dyDescent="0.3">
      <c r="A94" s="129" t="s">
        <v>135</v>
      </c>
      <c r="B94" s="130">
        <f t="shared" si="37"/>
        <v>1381</v>
      </c>
      <c r="C94" s="131">
        <v>415</v>
      </c>
      <c r="D94" s="132">
        <v>123.467</v>
      </c>
      <c r="E94" s="131" t="s">
        <v>289</v>
      </c>
      <c r="F94" s="132" t="s">
        <v>289</v>
      </c>
      <c r="G94" s="131">
        <v>62</v>
      </c>
      <c r="H94" s="132">
        <v>31</v>
      </c>
      <c r="I94" s="137">
        <v>15</v>
      </c>
      <c r="J94" s="132">
        <v>12</v>
      </c>
      <c r="K94" s="137" t="s">
        <v>289</v>
      </c>
      <c r="L94" s="132" t="s">
        <v>289</v>
      </c>
      <c r="M94" s="137" t="s">
        <v>289</v>
      </c>
      <c r="N94" s="132" t="s">
        <v>289</v>
      </c>
      <c r="O94" s="131">
        <v>10</v>
      </c>
      <c r="P94" s="132">
        <v>10</v>
      </c>
      <c r="Q94" s="137">
        <v>879</v>
      </c>
      <c r="R94" s="132">
        <v>202.49799999999999</v>
      </c>
      <c r="S94" s="152" t="s">
        <v>255</v>
      </c>
    </row>
    <row r="95" spans="1:22" s="124" customFormat="1" ht="14.4" x14ac:dyDescent="0.3">
      <c r="A95" s="129" t="s">
        <v>137</v>
      </c>
      <c r="B95" s="130">
        <f t="shared" si="37"/>
        <v>2944</v>
      </c>
      <c r="C95" s="131">
        <v>431</v>
      </c>
      <c r="D95" s="132">
        <v>130.85</v>
      </c>
      <c r="E95" s="131">
        <v>88</v>
      </c>
      <c r="F95" s="132">
        <v>26.05</v>
      </c>
      <c r="G95" s="131">
        <v>22</v>
      </c>
      <c r="H95" s="132">
        <v>9.02</v>
      </c>
      <c r="I95" s="137">
        <v>31</v>
      </c>
      <c r="J95" s="132">
        <v>38.700000000000003</v>
      </c>
      <c r="K95" s="131">
        <v>10</v>
      </c>
      <c r="L95" s="132">
        <v>3</v>
      </c>
      <c r="M95" s="137">
        <v>346</v>
      </c>
      <c r="N95" s="132">
        <v>73.581999999999994</v>
      </c>
      <c r="O95" s="131" t="s">
        <v>289</v>
      </c>
      <c r="P95" s="132" t="s">
        <v>289</v>
      </c>
      <c r="Q95" s="131">
        <v>2016</v>
      </c>
      <c r="R95" s="132">
        <v>997.98699999999997</v>
      </c>
      <c r="S95" s="152" t="s">
        <v>256</v>
      </c>
    </row>
    <row r="96" spans="1:22" s="124" customFormat="1" ht="14.4" x14ac:dyDescent="0.3">
      <c r="A96" s="129" t="s">
        <v>139</v>
      </c>
      <c r="B96" s="130">
        <f t="shared" si="37"/>
        <v>1459</v>
      </c>
      <c r="C96" s="131" t="s">
        <v>289</v>
      </c>
      <c r="D96" s="132" t="s">
        <v>289</v>
      </c>
      <c r="E96" s="131">
        <v>139</v>
      </c>
      <c r="F96" s="132">
        <v>59.771999999999998</v>
      </c>
      <c r="G96" s="131" t="s">
        <v>289</v>
      </c>
      <c r="H96" s="132" t="s">
        <v>289</v>
      </c>
      <c r="I96" s="131">
        <v>206</v>
      </c>
      <c r="J96" s="132">
        <v>148.05000000000001</v>
      </c>
      <c r="K96" s="131">
        <v>10</v>
      </c>
      <c r="L96" s="132">
        <v>6</v>
      </c>
      <c r="M96" s="137">
        <v>343</v>
      </c>
      <c r="N96" s="132">
        <v>77.132999999999996</v>
      </c>
      <c r="O96" s="131" t="s">
        <v>289</v>
      </c>
      <c r="P96" s="132" t="s">
        <v>289</v>
      </c>
      <c r="Q96" s="131">
        <v>761</v>
      </c>
      <c r="R96" s="132">
        <v>353.47</v>
      </c>
      <c r="S96" s="152" t="s">
        <v>257</v>
      </c>
    </row>
    <row r="97" spans="1:22" s="124" customFormat="1" ht="14.4" x14ac:dyDescent="0.3">
      <c r="A97" s="129" t="s">
        <v>141</v>
      </c>
      <c r="B97" s="130">
        <f t="shared" si="37"/>
        <v>7917</v>
      </c>
      <c r="C97" s="131">
        <v>4067</v>
      </c>
      <c r="D97" s="132">
        <v>1604.16</v>
      </c>
      <c r="E97" s="131">
        <v>2153</v>
      </c>
      <c r="F97" s="132">
        <v>799.93</v>
      </c>
      <c r="G97" s="131">
        <v>104</v>
      </c>
      <c r="H97" s="132">
        <v>41.6</v>
      </c>
      <c r="I97" s="137" t="s">
        <v>289</v>
      </c>
      <c r="J97" s="132" t="s">
        <v>289</v>
      </c>
      <c r="K97" s="131">
        <v>92</v>
      </c>
      <c r="L97" s="132">
        <v>41.4</v>
      </c>
      <c r="M97" s="137" t="s">
        <v>289</v>
      </c>
      <c r="N97" s="132" t="s">
        <v>289</v>
      </c>
      <c r="O97" s="131">
        <v>52</v>
      </c>
      <c r="P97" s="132">
        <v>78</v>
      </c>
      <c r="Q97" s="131">
        <v>1449</v>
      </c>
      <c r="R97" s="132">
        <v>490.363</v>
      </c>
      <c r="S97" s="152" t="s">
        <v>258</v>
      </c>
    </row>
    <row r="98" spans="1:22" s="124" customFormat="1" ht="14.4" x14ac:dyDescent="0.3">
      <c r="A98" s="129" t="s">
        <v>144</v>
      </c>
      <c r="B98" s="130">
        <f t="shared" si="37"/>
        <v>10701</v>
      </c>
      <c r="C98" s="131">
        <v>119</v>
      </c>
      <c r="D98" s="132">
        <v>42.136000000000003</v>
      </c>
      <c r="E98" s="131">
        <v>67</v>
      </c>
      <c r="F98" s="132">
        <v>22.14</v>
      </c>
      <c r="G98" s="131" t="s">
        <v>289</v>
      </c>
      <c r="H98" s="132" t="s">
        <v>289</v>
      </c>
      <c r="I98" s="131">
        <v>394</v>
      </c>
      <c r="J98" s="132">
        <v>389.76</v>
      </c>
      <c r="K98" s="131">
        <v>150</v>
      </c>
      <c r="L98" s="132">
        <v>150</v>
      </c>
      <c r="M98" s="137">
        <v>326</v>
      </c>
      <c r="N98" s="132">
        <v>77.465000000000003</v>
      </c>
      <c r="O98" s="131">
        <v>410</v>
      </c>
      <c r="P98" s="132">
        <v>790</v>
      </c>
      <c r="Q98" s="137">
        <v>9235</v>
      </c>
      <c r="R98" s="132">
        <v>3498.3739999999998</v>
      </c>
      <c r="S98" s="152" t="s">
        <v>259</v>
      </c>
    </row>
    <row r="99" spans="1:22" s="124" customFormat="1" ht="14.4" x14ac:dyDescent="0.3">
      <c r="A99" s="129" t="s">
        <v>146</v>
      </c>
      <c r="B99" s="130">
        <f t="shared" si="37"/>
        <v>4968</v>
      </c>
      <c r="C99" s="131">
        <v>1922</v>
      </c>
      <c r="D99" s="132">
        <v>335.839</v>
      </c>
      <c r="E99" s="131">
        <v>321</v>
      </c>
      <c r="F99" s="132">
        <v>54.999000000000002</v>
      </c>
      <c r="G99" s="131">
        <v>414</v>
      </c>
      <c r="H99" s="132">
        <v>60.625999999999998</v>
      </c>
      <c r="I99" s="131">
        <v>10</v>
      </c>
      <c r="J99" s="132">
        <v>5.8</v>
      </c>
      <c r="K99" s="137" t="s">
        <v>289</v>
      </c>
      <c r="L99" s="132" t="s">
        <v>289</v>
      </c>
      <c r="M99" s="137">
        <v>77</v>
      </c>
      <c r="N99" s="132">
        <v>20.372</v>
      </c>
      <c r="O99" s="131" t="s">
        <v>289</v>
      </c>
      <c r="P99" s="132" t="s">
        <v>289</v>
      </c>
      <c r="Q99" s="131">
        <v>2224</v>
      </c>
      <c r="R99" s="132">
        <v>393.23500000000001</v>
      </c>
      <c r="S99" s="152" t="s">
        <v>260</v>
      </c>
    </row>
    <row r="100" spans="1:22" s="124" customFormat="1" ht="14.4" x14ac:dyDescent="0.3">
      <c r="A100" s="129" t="s">
        <v>148</v>
      </c>
      <c r="B100" s="130">
        <f t="shared" si="37"/>
        <v>1161</v>
      </c>
      <c r="C100" s="131" t="s">
        <v>289</v>
      </c>
      <c r="D100" s="132" t="s">
        <v>289</v>
      </c>
      <c r="E100" s="131" t="s">
        <v>289</v>
      </c>
      <c r="F100" s="132" t="s">
        <v>289</v>
      </c>
      <c r="G100" s="137" t="s">
        <v>289</v>
      </c>
      <c r="H100" s="132" t="s">
        <v>289</v>
      </c>
      <c r="I100" s="137" t="s">
        <v>289</v>
      </c>
      <c r="J100" s="132" t="s">
        <v>289</v>
      </c>
      <c r="K100" s="137">
        <v>8</v>
      </c>
      <c r="L100" s="132">
        <v>6.4</v>
      </c>
      <c r="M100" s="137" t="s">
        <v>289</v>
      </c>
      <c r="N100" s="132" t="s">
        <v>289</v>
      </c>
      <c r="O100" s="131" t="s">
        <v>289</v>
      </c>
      <c r="P100" s="132" t="s">
        <v>289</v>
      </c>
      <c r="Q100" s="137">
        <v>1153</v>
      </c>
      <c r="R100" s="132">
        <v>207.54</v>
      </c>
      <c r="S100" s="152" t="s">
        <v>261</v>
      </c>
    </row>
    <row r="101" spans="1:22" s="124" customFormat="1" ht="14.4" x14ac:dyDescent="0.3">
      <c r="A101" s="129" t="s">
        <v>150</v>
      </c>
      <c r="B101" s="130">
        <f t="shared" si="37"/>
        <v>8849</v>
      </c>
      <c r="C101" s="131">
        <v>17</v>
      </c>
      <c r="D101" s="132">
        <v>6.1260000000000003</v>
      </c>
      <c r="E101" s="131">
        <v>29</v>
      </c>
      <c r="F101" s="132">
        <v>8.7509999999999994</v>
      </c>
      <c r="G101" s="131">
        <v>477</v>
      </c>
      <c r="H101" s="132">
        <v>177.29499999999999</v>
      </c>
      <c r="I101" s="137">
        <v>34</v>
      </c>
      <c r="J101" s="132">
        <v>26.2</v>
      </c>
      <c r="K101" s="131">
        <v>195</v>
      </c>
      <c r="L101" s="132">
        <v>84.9</v>
      </c>
      <c r="M101" s="137" t="s">
        <v>289</v>
      </c>
      <c r="N101" s="132" t="s">
        <v>289</v>
      </c>
      <c r="O101" s="131">
        <v>150</v>
      </c>
      <c r="P101" s="132">
        <v>42.2</v>
      </c>
      <c r="Q101" s="131">
        <v>7947</v>
      </c>
      <c r="R101" s="132">
        <v>1986.173</v>
      </c>
      <c r="S101" s="152" t="s">
        <v>262</v>
      </c>
    </row>
    <row r="102" spans="1:22" s="124" customFormat="1" ht="14.4" x14ac:dyDescent="0.3">
      <c r="A102" s="129" t="s">
        <v>152</v>
      </c>
      <c r="B102" s="130">
        <f t="shared" si="37"/>
        <v>3104</v>
      </c>
      <c r="C102" s="131">
        <v>55</v>
      </c>
      <c r="D102" s="132">
        <v>16.829999999999998</v>
      </c>
      <c r="E102" s="131">
        <v>36</v>
      </c>
      <c r="F102" s="132">
        <v>11.88</v>
      </c>
      <c r="G102" s="131" t="s">
        <v>289</v>
      </c>
      <c r="H102" s="132" t="s">
        <v>289</v>
      </c>
      <c r="I102" s="137" t="s">
        <v>289</v>
      </c>
      <c r="J102" s="132" t="s">
        <v>289</v>
      </c>
      <c r="K102" s="131">
        <v>4</v>
      </c>
      <c r="L102" s="132">
        <v>3.2</v>
      </c>
      <c r="M102" s="137">
        <v>6</v>
      </c>
      <c r="N102" s="132">
        <v>4.8</v>
      </c>
      <c r="O102" s="131">
        <v>1</v>
      </c>
      <c r="P102" s="132">
        <v>1</v>
      </c>
      <c r="Q102" s="137">
        <v>3002</v>
      </c>
      <c r="R102" s="132">
        <v>770.20799999999997</v>
      </c>
      <c r="S102" s="152" t="s">
        <v>263</v>
      </c>
    </row>
    <row r="103" spans="1:22" s="124" customFormat="1" ht="14.4" x14ac:dyDescent="0.3">
      <c r="A103" s="129" t="s">
        <v>154</v>
      </c>
      <c r="B103" s="130">
        <f t="shared" si="37"/>
        <v>9166</v>
      </c>
      <c r="C103" s="131">
        <v>85</v>
      </c>
      <c r="D103" s="132">
        <v>29.75</v>
      </c>
      <c r="E103" s="131">
        <v>65</v>
      </c>
      <c r="F103" s="132">
        <v>22.55</v>
      </c>
      <c r="G103" s="131">
        <v>1609</v>
      </c>
      <c r="H103" s="132">
        <v>648.66999999999996</v>
      </c>
      <c r="I103" s="131">
        <v>683</v>
      </c>
      <c r="J103" s="132">
        <v>819.6</v>
      </c>
      <c r="K103" s="131">
        <v>29</v>
      </c>
      <c r="L103" s="132">
        <v>11.6</v>
      </c>
      <c r="M103" s="131" t="s">
        <v>289</v>
      </c>
      <c r="N103" s="132" t="s">
        <v>289</v>
      </c>
      <c r="O103" s="131">
        <v>25</v>
      </c>
      <c r="P103" s="132">
        <v>17.5</v>
      </c>
      <c r="Q103" s="131">
        <v>6670</v>
      </c>
      <c r="R103" s="132">
        <v>3335.6</v>
      </c>
      <c r="S103" s="152" t="s">
        <v>264</v>
      </c>
    </row>
    <row r="104" spans="1:22" s="124" customFormat="1" ht="14.4" x14ac:dyDescent="0.3">
      <c r="A104" s="129" t="s">
        <v>156</v>
      </c>
      <c r="B104" s="130">
        <f t="shared" si="37"/>
        <v>578</v>
      </c>
      <c r="C104" s="131">
        <v>7</v>
      </c>
      <c r="D104" s="132">
        <v>2.1</v>
      </c>
      <c r="E104" s="131">
        <v>23</v>
      </c>
      <c r="F104" s="132">
        <v>8.0500000000000007</v>
      </c>
      <c r="G104" s="131" t="s">
        <v>289</v>
      </c>
      <c r="H104" s="132" t="s">
        <v>289</v>
      </c>
      <c r="I104" s="131">
        <v>27</v>
      </c>
      <c r="J104" s="132">
        <v>23.8</v>
      </c>
      <c r="K104" s="137">
        <v>21</v>
      </c>
      <c r="L104" s="132">
        <v>14.4</v>
      </c>
      <c r="M104" s="137">
        <v>7</v>
      </c>
      <c r="N104" s="132">
        <v>3.5</v>
      </c>
      <c r="O104" s="131" t="s">
        <v>289</v>
      </c>
      <c r="P104" s="132" t="s">
        <v>289</v>
      </c>
      <c r="Q104" s="137">
        <v>493</v>
      </c>
      <c r="R104" s="132">
        <v>186.92599999999999</v>
      </c>
      <c r="S104" s="152" t="s">
        <v>265</v>
      </c>
    </row>
    <row r="105" spans="1:22" s="124" customFormat="1" ht="14.4" x14ac:dyDescent="0.3">
      <c r="A105" s="189" t="s">
        <v>266</v>
      </c>
      <c r="B105" s="190">
        <f>SUM(B107:B110)</f>
        <v>86075</v>
      </c>
      <c r="C105" s="169">
        <f>SUM(C107:C110)</f>
        <v>3095</v>
      </c>
      <c r="D105" s="169">
        <f t="shared" ref="D105:R105" si="38">SUM(D107:D110)</f>
        <v>1028.402</v>
      </c>
      <c r="E105" s="169">
        <f t="shared" si="38"/>
        <v>9347</v>
      </c>
      <c r="F105" s="169">
        <f t="shared" si="38"/>
        <v>3458.7830000000004</v>
      </c>
      <c r="G105" s="191">
        <f t="shared" si="38"/>
        <v>38199</v>
      </c>
      <c r="H105" s="169">
        <f t="shared" si="38"/>
        <v>15874.441999999999</v>
      </c>
      <c r="I105" s="169">
        <f t="shared" si="38"/>
        <v>4278</v>
      </c>
      <c r="J105" s="169">
        <f t="shared" si="38"/>
        <v>4010.0659999999998</v>
      </c>
      <c r="K105" s="169">
        <f t="shared" si="38"/>
        <v>3766</v>
      </c>
      <c r="L105" s="169">
        <f t="shared" si="38"/>
        <v>3129.5969999999998</v>
      </c>
      <c r="M105" s="169">
        <f t="shared" si="38"/>
        <v>10420</v>
      </c>
      <c r="N105" s="177">
        <f t="shared" si="38"/>
        <v>4601.2800000000007</v>
      </c>
      <c r="O105" s="169">
        <f t="shared" ref="O105:P105" si="39">SUM(O107:O110)</f>
        <v>950</v>
      </c>
      <c r="P105" s="191">
        <f t="shared" si="39"/>
        <v>1015.538</v>
      </c>
      <c r="Q105" s="169">
        <f t="shared" si="38"/>
        <v>16020</v>
      </c>
      <c r="R105" s="177">
        <f t="shared" si="38"/>
        <v>6682.0940000000001</v>
      </c>
      <c r="S105" s="174" t="s">
        <v>267</v>
      </c>
      <c r="T105" s="175"/>
      <c r="U105" s="175"/>
    </row>
    <row r="106" spans="1:22" s="124" customFormat="1" ht="14.4" x14ac:dyDescent="0.3">
      <c r="A106" s="189"/>
      <c r="B106" s="190"/>
      <c r="C106" s="169"/>
      <c r="D106" s="169"/>
      <c r="E106" s="169"/>
      <c r="F106" s="169"/>
      <c r="G106" s="191"/>
      <c r="H106" s="169"/>
      <c r="I106" s="169"/>
      <c r="J106" s="169"/>
      <c r="K106" s="169"/>
      <c r="L106" s="169"/>
      <c r="M106" s="169"/>
      <c r="N106" s="177"/>
      <c r="O106" s="169"/>
      <c r="P106" s="191"/>
      <c r="Q106" s="169"/>
      <c r="R106" s="177"/>
      <c r="S106" s="174"/>
      <c r="T106" s="175"/>
      <c r="U106" s="175"/>
    </row>
    <row r="107" spans="1:22" s="124" customFormat="1" ht="14.4" x14ac:dyDescent="0.3">
      <c r="A107" s="129" t="s">
        <v>158</v>
      </c>
      <c r="B107" s="130">
        <f t="shared" ref="B107:B110" si="40">SUM(C107,E107,G107,I107,K107,M107,O107,Q107)</f>
        <v>26056</v>
      </c>
      <c r="C107" s="131">
        <v>2791</v>
      </c>
      <c r="D107" s="132">
        <v>903.82500000000005</v>
      </c>
      <c r="E107" s="131">
        <v>2221</v>
      </c>
      <c r="F107" s="132">
        <v>829.79300000000001</v>
      </c>
      <c r="G107" s="131">
        <v>6638</v>
      </c>
      <c r="H107" s="132">
        <v>3017.2719999999999</v>
      </c>
      <c r="I107" s="131">
        <v>1759</v>
      </c>
      <c r="J107" s="132">
        <v>1329.008</v>
      </c>
      <c r="K107" s="131">
        <v>1444</v>
      </c>
      <c r="L107" s="132">
        <v>891.11199999999997</v>
      </c>
      <c r="M107" s="131">
        <v>7913</v>
      </c>
      <c r="N107" s="132">
        <v>3800.4</v>
      </c>
      <c r="O107" s="131">
        <v>214</v>
      </c>
      <c r="P107" s="132">
        <v>228.398</v>
      </c>
      <c r="Q107" s="131">
        <v>3076</v>
      </c>
      <c r="R107" s="132">
        <v>1453.2339999999999</v>
      </c>
      <c r="S107" s="152" t="s">
        <v>268</v>
      </c>
    </row>
    <row r="108" spans="1:22" s="124" customFormat="1" ht="14.4" x14ac:dyDescent="0.3">
      <c r="A108" s="129" t="s">
        <v>160</v>
      </c>
      <c r="B108" s="130">
        <f t="shared" si="40"/>
        <v>1327</v>
      </c>
      <c r="C108" s="131">
        <v>103</v>
      </c>
      <c r="D108" s="132">
        <v>35.475999999999999</v>
      </c>
      <c r="E108" s="131">
        <v>203</v>
      </c>
      <c r="F108" s="132">
        <v>88.346000000000004</v>
      </c>
      <c r="G108" s="131">
        <v>180</v>
      </c>
      <c r="H108" s="132">
        <v>119.833</v>
      </c>
      <c r="I108" s="131">
        <v>64</v>
      </c>
      <c r="J108" s="132">
        <v>51.1</v>
      </c>
      <c r="K108" s="131">
        <v>31</v>
      </c>
      <c r="L108" s="132">
        <v>21.2</v>
      </c>
      <c r="M108" s="131">
        <v>454</v>
      </c>
      <c r="N108" s="132">
        <v>161.59899999999999</v>
      </c>
      <c r="O108" s="131" t="s">
        <v>289</v>
      </c>
      <c r="P108" s="132" t="s">
        <v>289</v>
      </c>
      <c r="Q108" s="131">
        <v>292</v>
      </c>
      <c r="R108" s="132">
        <v>101.36499999999999</v>
      </c>
      <c r="S108" s="152" t="s">
        <v>269</v>
      </c>
    </row>
    <row r="109" spans="1:22" s="124" customFormat="1" ht="14.4" x14ac:dyDescent="0.3">
      <c r="A109" s="129" t="s">
        <v>163</v>
      </c>
      <c r="B109" s="130">
        <f t="shared" si="40"/>
        <v>50135</v>
      </c>
      <c r="C109" s="131">
        <v>170</v>
      </c>
      <c r="D109" s="132">
        <v>80.923000000000002</v>
      </c>
      <c r="E109" s="131">
        <v>5720</v>
      </c>
      <c r="F109" s="132">
        <v>2219.9870000000001</v>
      </c>
      <c r="G109" s="131">
        <v>29306</v>
      </c>
      <c r="H109" s="132">
        <v>12043.8</v>
      </c>
      <c r="I109" s="131">
        <v>769</v>
      </c>
      <c r="J109" s="132">
        <v>937.99800000000005</v>
      </c>
      <c r="K109" s="131">
        <v>608</v>
      </c>
      <c r="L109" s="132">
        <v>584.33000000000004</v>
      </c>
      <c r="M109" s="131">
        <v>1483</v>
      </c>
      <c r="N109" s="132">
        <v>365.2</v>
      </c>
      <c r="O109" s="131">
        <v>140</v>
      </c>
      <c r="P109" s="132">
        <v>212.8</v>
      </c>
      <c r="Q109" s="131">
        <v>11939</v>
      </c>
      <c r="R109" s="132">
        <v>4603.55</v>
      </c>
      <c r="S109" s="152" t="s">
        <v>270</v>
      </c>
    </row>
    <row r="110" spans="1:22" s="124" customFormat="1" ht="15" thickBot="1" x14ac:dyDescent="0.35">
      <c r="A110" s="140" t="s">
        <v>166</v>
      </c>
      <c r="B110" s="141">
        <f t="shared" si="40"/>
        <v>8557</v>
      </c>
      <c r="C110" s="142">
        <v>31</v>
      </c>
      <c r="D110" s="143">
        <v>8.1780000000000008</v>
      </c>
      <c r="E110" s="142">
        <v>1203</v>
      </c>
      <c r="F110" s="143">
        <v>320.65699999999998</v>
      </c>
      <c r="G110" s="142">
        <v>2075</v>
      </c>
      <c r="H110" s="143">
        <v>693.53700000000003</v>
      </c>
      <c r="I110" s="142">
        <v>1686</v>
      </c>
      <c r="J110" s="143">
        <v>1691.96</v>
      </c>
      <c r="K110" s="142">
        <v>1683</v>
      </c>
      <c r="L110" s="143">
        <v>1632.9549999999999</v>
      </c>
      <c r="M110" s="142">
        <v>570</v>
      </c>
      <c r="N110" s="143">
        <v>274.08100000000002</v>
      </c>
      <c r="O110" s="142">
        <v>596</v>
      </c>
      <c r="P110" s="143">
        <v>574.34</v>
      </c>
      <c r="Q110" s="142">
        <v>713</v>
      </c>
      <c r="R110" s="143">
        <v>523.94500000000005</v>
      </c>
      <c r="S110" s="154" t="s">
        <v>271</v>
      </c>
      <c r="T110" s="144"/>
      <c r="U110" s="144"/>
      <c r="V110" s="144"/>
    </row>
    <row r="111" spans="1:22" s="124" customFormat="1" ht="14.4" x14ac:dyDescent="0.3">
      <c r="A111" s="145" t="s">
        <v>272</v>
      </c>
      <c r="L111" s="124" t="s">
        <v>275</v>
      </c>
      <c r="S111" s="176"/>
      <c r="T111" s="176"/>
      <c r="U111" s="176"/>
    </row>
    <row r="112" spans="1:22" s="124" customFormat="1" ht="14.4" x14ac:dyDescent="0.3">
      <c r="A112" s="146" t="s">
        <v>294</v>
      </c>
      <c r="L112" s="124" t="s">
        <v>277</v>
      </c>
    </row>
    <row r="113" spans="1:12" s="124" customFormat="1" ht="14.4" x14ac:dyDescent="0.3">
      <c r="A113" s="124" t="s">
        <v>296</v>
      </c>
      <c r="L113" s="124" t="s">
        <v>278</v>
      </c>
    </row>
    <row r="114" spans="1:12" s="124" customFormat="1" ht="14.4" x14ac:dyDescent="0.3"/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</sheetData>
  <mergeCells count="272">
    <mergeCell ref="O6:P8"/>
    <mergeCell ref="P61:P62"/>
    <mergeCell ref="O66:O67"/>
    <mergeCell ref="P66:P67"/>
    <mergeCell ref="O73:O74"/>
    <mergeCell ref="P73:P74"/>
    <mergeCell ref="O83:O84"/>
    <mergeCell ref="P83:P84"/>
    <mergeCell ref="O90:O91"/>
    <mergeCell ref="P90:P91"/>
    <mergeCell ref="O10:O11"/>
    <mergeCell ref="P10:P11"/>
    <mergeCell ref="O12:O13"/>
    <mergeCell ref="P12:P13"/>
    <mergeCell ref="O20:O21"/>
    <mergeCell ref="P20:P21"/>
    <mergeCell ref="O34:O35"/>
    <mergeCell ref="P34:P35"/>
    <mergeCell ref="O40:O41"/>
    <mergeCell ref="P40:P41"/>
    <mergeCell ref="A2:U2"/>
    <mergeCell ref="A3:U3"/>
    <mergeCell ref="L10:L11"/>
    <mergeCell ref="A34:A35"/>
    <mergeCell ref="B34:B35"/>
    <mergeCell ref="I34:I35"/>
    <mergeCell ref="J34:J35"/>
    <mergeCell ref="Q6:R8"/>
    <mergeCell ref="G6:H8"/>
    <mergeCell ref="S6:U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M34:M35"/>
    <mergeCell ref="C34:C35"/>
    <mergeCell ref="D34:D35"/>
    <mergeCell ref="E34:E35"/>
    <mergeCell ref="F34:F35"/>
    <mergeCell ref="Q20:Q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M83:M84"/>
    <mergeCell ref="N83:N84"/>
    <mergeCell ref="Q83:Q84"/>
    <mergeCell ref="R83:R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M90:M91"/>
    <mergeCell ref="N90:N91"/>
    <mergeCell ref="E90:E91"/>
    <mergeCell ref="F90:F91"/>
    <mergeCell ref="G90:G91"/>
    <mergeCell ref="H90:H91"/>
    <mergeCell ref="Q90:Q91"/>
    <mergeCell ref="R90:R91"/>
    <mergeCell ref="L90:L91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105:M106"/>
    <mergeCell ref="N105:N106"/>
    <mergeCell ref="Q105:Q106"/>
    <mergeCell ref="R105:R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O105:O106"/>
    <mergeCell ref="P105:P106"/>
    <mergeCell ref="N54:N55"/>
    <mergeCell ref="Q54:Q55"/>
    <mergeCell ref="R54:R55"/>
    <mergeCell ref="N40:N41"/>
    <mergeCell ref="Q40:Q41"/>
    <mergeCell ref="S82:V82"/>
    <mergeCell ref="S78:V78"/>
    <mergeCell ref="S40:U41"/>
    <mergeCell ref="S45:U45"/>
    <mergeCell ref="S47:U48"/>
    <mergeCell ref="S54:U55"/>
    <mergeCell ref="S79:V79"/>
    <mergeCell ref="S75:V75"/>
    <mergeCell ref="S73:U74"/>
    <mergeCell ref="S80:V80"/>
    <mergeCell ref="R40:R41"/>
    <mergeCell ref="S64:U64"/>
    <mergeCell ref="S66:U67"/>
    <mergeCell ref="S81:V81"/>
    <mergeCell ref="O47:O48"/>
    <mergeCell ref="P47:P48"/>
    <mergeCell ref="O54:O55"/>
    <mergeCell ref="P54:P55"/>
    <mergeCell ref="O61:O62"/>
    <mergeCell ref="S34:U35"/>
    <mergeCell ref="R20:R21"/>
    <mergeCell ref="R10:R11"/>
    <mergeCell ref="Q73:Q74"/>
    <mergeCell ref="R73:R74"/>
    <mergeCell ref="Q61:Q62"/>
    <mergeCell ref="R61:R62"/>
    <mergeCell ref="S61:U62"/>
    <mergeCell ref="Q12:Q13"/>
    <mergeCell ref="R12:R13"/>
    <mergeCell ref="S10:U11"/>
    <mergeCell ref="S12:U13"/>
    <mergeCell ref="S20:U21"/>
    <mergeCell ref="Q10:Q11"/>
    <mergeCell ref="H73:H74"/>
    <mergeCell ref="H61:H62"/>
    <mergeCell ref="S83:U84"/>
    <mergeCell ref="S90:U91"/>
    <mergeCell ref="S105:U106"/>
    <mergeCell ref="S111:U111"/>
    <mergeCell ref="N20:N21"/>
    <mergeCell ref="Q47:Q48"/>
    <mergeCell ref="R47:R48"/>
    <mergeCell ref="Q34:Q35"/>
    <mergeCell ref="R34:R35"/>
    <mergeCell ref="S76:V76"/>
    <mergeCell ref="S77:V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Q66:Q67"/>
    <mergeCell ref="R66:R67"/>
  </mergeCells>
  <pageMargins left="0.7" right="0.7" top="0.75" bottom="0.75" header="0.3" footer="0.3"/>
  <pageSetup paperSize="9" orientation="portrait" horizontalDpi="200" verticalDpi="200" r:id="rId1"/>
  <ignoredErrors>
    <ignoredError sqref="B11 C90:C91 C83:C84 C73:C74 C66:C67 C61:C62 C54:C55 C47:C48 C40:C41 C34:C35 C21 Q29:R29 Q21:R21 Q34:R35 Q40:R41 Q47:R48 Q54:R55 Q61:R62 Q66:R67 Q73:R74 Q83:R84 Q105:R106 Q90:R91 C20 Q20:R20 E20:N20 D90:N91 C105:N106 D83:N84 D73:N74 D66:N67 D61:N62 D54:N55 D47:N48 D40:N41 D34:N35 D21:N21 C29:N29 B14:B28 B30:B11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2015-05-06T10:25:36Z</cp:lastPrinted>
  <dcterms:created xsi:type="dcterms:W3CDTF">2015-05-05T09:33:52Z</dcterms:created>
  <dcterms:modified xsi:type="dcterms:W3CDTF">2023-08-23T13:46:45Z</dcterms:modified>
</cp:coreProperties>
</file>