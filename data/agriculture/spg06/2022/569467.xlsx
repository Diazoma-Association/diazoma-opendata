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DB74F776-7C18-4DEF-804F-38B4DAC2B776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customWorkbookViews>
    <customWorkbookView name="moniakix - Personal View" guid="{3B8AE0B5-3991-45B4-BEBB-44B75A6AF669}" mergeInterval="0" personalView="1" maximized="1" xWindow="1" yWindow="1" windowWidth="1280" windowHeight="7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G48" i="1"/>
  <c r="G42" i="1"/>
  <c r="G36" i="1"/>
  <c r="G31" i="1"/>
  <c r="G18" i="1"/>
  <c r="F11" i="1"/>
  <c r="D31" i="1"/>
  <c r="D36" i="1"/>
  <c r="E26" i="1"/>
  <c r="E18" i="1"/>
  <c r="D11" i="1"/>
  <c r="B12" i="1"/>
  <c r="C93" i="1"/>
  <c r="G79" i="1"/>
  <c r="E79" i="1"/>
  <c r="C79" i="1"/>
  <c r="C73" i="1"/>
  <c r="E73" i="1"/>
  <c r="H64" i="1"/>
  <c r="G64" i="1"/>
  <c r="E64" i="1"/>
  <c r="D58" i="1"/>
  <c r="D54" i="1"/>
  <c r="F48" i="1"/>
  <c r="F42" i="1"/>
  <c r="D42" i="1"/>
  <c r="F36" i="1"/>
  <c r="C31" i="1"/>
  <c r="C26" i="1"/>
  <c r="D18" i="1"/>
  <c r="C18" i="1"/>
  <c r="H11" i="1"/>
  <c r="G11" i="1"/>
  <c r="E11" i="1"/>
  <c r="C11" i="1"/>
  <c r="B65" i="1"/>
  <c r="B13" i="1"/>
  <c r="F18" i="1"/>
  <c r="B27" i="1"/>
  <c r="B83" i="1"/>
  <c r="C4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2" i="1"/>
  <c r="B81" i="1"/>
  <c r="B80" i="1"/>
  <c r="B78" i="1"/>
  <c r="B77" i="1"/>
  <c r="B76" i="1"/>
  <c r="B75" i="1"/>
  <c r="B74" i="1"/>
  <c r="B72" i="1"/>
  <c r="B71" i="1"/>
  <c r="B70" i="1"/>
  <c r="B69" i="1"/>
  <c r="B68" i="1"/>
  <c r="B67" i="1"/>
  <c r="B66" i="1"/>
  <c r="B63" i="1"/>
  <c r="B62" i="1"/>
  <c r="B61" i="1"/>
  <c r="B60" i="1"/>
  <c r="B59" i="1"/>
  <c r="B57" i="1"/>
  <c r="B56" i="1"/>
  <c r="B55" i="1"/>
  <c r="B53" i="1"/>
  <c r="B52" i="1"/>
  <c r="B51" i="1"/>
  <c r="B50" i="1"/>
  <c r="B49" i="1"/>
  <c r="B47" i="1"/>
  <c r="B46" i="1"/>
  <c r="B45" i="1"/>
  <c r="B44" i="1"/>
  <c r="B43" i="1"/>
  <c r="B41" i="1"/>
  <c r="B40" i="1"/>
  <c r="B39" i="1"/>
  <c r="B38" i="1"/>
  <c r="B37" i="1"/>
  <c r="B35" i="1"/>
  <c r="B34" i="1"/>
  <c r="B33" i="1"/>
  <c r="B32" i="1"/>
  <c r="B30" i="1"/>
  <c r="B29" i="1"/>
  <c r="B28" i="1"/>
  <c r="B25" i="1"/>
  <c r="B24" i="1"/>
  <c r="B23" i="1"/>
  <c r="B22" i="1"/>
  <c r="B21" i="1"/>
  <c r="B20" i="1"/>
  <c r="B19" i="1"/>
  <c r="B17" i="1"/>
  <c r="B16" i="1"/>
  <c r="B15" i="1"/>
  <c r="H93" i="1"/>
  <c r="H79" i="1"/>
  <c r="H73" i="1"/>
  <c r="H58" i="1"/>
  <c r="H54" i="1"/>
  <c r="H48" i="1"/>
  <c r="H42" i="1"/>
  <c r="H36" i="1"/>
  <c r="H31" i="1"/>
  <c r="H26" i="1"/>
  <c r="H18" i="1"/>
  <c r="G26" i="1"/>
  <c r="F26" i="1"/>
  <c r="D26" i="1"/>
  <c r="C36" i="1"/>
  <c r="C42" i="1"/>
  <c r="C54" i="1"/>
  <c r="C58" i="1"/>
  <c r="C64" i="1"/>
  <c r="G93" i="1"/>
  <c r="F93" i="1"/>
  <c r="E93" i="1"/>
  <c r="D93" i="1"/>
  <c r="F79" i="1"/>
  <c r="D79" i="1"/>
  <c r="G73" i="1"/>
  <c r="F73" i="1"/>
  <c r="D73" i="1"/>
  <c r="F64" i="1"/>
  <c r="D64" i="1"/>
  <c r="G58" i="1"/>
  <c r="F58" i="1"/>
  <c r="E58" i="1"/>
  <c r="G54" i="1"/>
  <c r="F54" i="1"/>
  <c r="E54" i="1"/>
  <c r="E48" i="1"/>
  <c r="D48" i="1"/>
  <c r="E42" i="1"/>
  <c r="E36" i="1"/>
  <c r="F31" i="1"/>
  <c r="E31" i="1"/>
  <c r="C10" i="1" l="1"/>
  <c r="B18" i="1"/>
  <c r="B31" i="1"/>
  <c r="B64" i="1"/>
  <c r="G10" i="1"/>
  <c r="B73" i="1"/>
  <c r="B58" i="1"/>
  <c r="F10" i="1"/>
  <c r="D10" i="1"/>
  <c r="B48" i="1"/>
  <c r="B42" i="1"/>
  <c r="B54" i="1"/>
  <c r="B93" i="1"/>
  <c r="B79" i="1"/>
  <c r="B36" i="1"/>
  <c r="B26" i="1"/>
  <c r="E10" i="1"/>
  <c r="B11" i="1"/>
  <c r="H10" i="1"/>
  <c r="B10" i="1" l="1"/>
</calcChain>
</file>

<file path=xl/sharedStrings.xml><?xml version="1.0" encoding="utf-8"?>
<sst xmlns="http://schemas.openxmlformats.org/spreadsheetml/2006/main" count="224" uniqueCount="196">
  <si>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</si>
  <si>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</si>
  <si>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</si>
  <si>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</si>
  <si>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</si>
  <si>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</si>
  <si>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</si>
  <si>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</si>
  <si>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</si>
  <si>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</si>
  <si>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</si>
  <si>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</si>
  <si>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</si>
  <si>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</si>
  <si>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</si>
  <si>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</si>
  <si>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</si>
  <si>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</si>
  <si>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</si>
  <si>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</si>
  <si>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</si>
  <si>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</si>
  <si>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</si>
  <si>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</si>
  <si>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</si>
  <si>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</si>
  <si>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</si>
  <si>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</si>
  <si>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</si>
  <si>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</si>
  <si>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</si>
  <si>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</si>
  <si>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</si>
  <si>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</si>
  <si>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</si>
  <si>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</si>
  <si>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</si>
  <si>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</si>
  <si>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</si>
  <si>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</si>
  <si>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</si>
  <si>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</si>
  <si>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</si>
  <si>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</si>
  <si>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</si>
  <si>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</si>
  <si>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</si>
  <si>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</si>
  <si>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</si>
  <si>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</si>
  <si>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</si>
  <si>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</si>
  <si>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</si>
  <si>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</si>
  <si>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</si>
  <si>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</si>
  <si>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</si>
  <si>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</si>
  <si>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</si>
  <si>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</si>
  <si>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</si>
  <si>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</si>
  <si>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</si>
  <si>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</si>
  <si>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</si>
  <si>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</si>
  <si>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</si>
  <si>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</si>
  <si>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</si>
  <si>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</si>
  <si>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</si>
  <si>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</si>
  <si>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</si>
  <si>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</si>
  <si>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</si>
  <si>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</si>
  <si>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</si>
  <si>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</si>
  <si>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</si>
  <si>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</si>
  <si>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</si>
  <si>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</si>
  <si>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</si>
  <si>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</si>
  <si>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</si>
  <si>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</si>
  <si>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</si>
  <si>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</si>
  <si>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</si>
  <si>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</si>
  <si>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</si>
  <si>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</si>
  <si>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</si>
  <si>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</si>
  <si>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</si>
  <si>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</si>
  <si>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</si>
  <si>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</si>
  <si>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</si>
  <si>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</si>
  <si>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</si>
  <si>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</si>
  <si>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</si>
  <si>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</si>
  <si>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</si>
  <si>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</si>
  <si>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</si>
  <si>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</si>
  <si>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</si>
  <si>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</si>
  <si>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</si>
  <si>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</si>
  <si>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</si>
  <si>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</si>
  <si>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</si>
  <si>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</si>
  <si>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</si>
  <si>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</si>
  <si>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</si>
  <si>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</si>
  <si>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</si>
  <si>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</si>
  <si>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</si>
  <si>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</si>
  <si>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</si>
  <si>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</si>
  <si>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</si>
  <si>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</si>
  <si>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</si>
  <si>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</si>
  <si>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</si>
  <si>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</si>
  <si>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</si>
  <si>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</si>
  <si>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</si>
  <si>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</si>
  <si>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</si>
  <si>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</si>
  <si>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</si>
  <si>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</si>
  <si>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</si>
  <si>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</si>
  <si>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</si>
  <si>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</si>
  <si>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</si>
  <si>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</si>
  <si>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</si>
  <si>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</si>
  <si>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</si>
  <si>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</si>
  <si>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</si>
  <si>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</si>
  <si>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</si>
  <si>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</si>
  <si>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</si>
  <si>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</si>
  <si>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</si>
  <si>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</si>
  <si>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</si>
  <si>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</si>
  <si>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</si>
  <si>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</si>
  <si>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</si>
  <si>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</si>
  <si>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</si>
  <si>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</si>
  <si>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</si>
  <si>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</si>
  <si>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</si>
  <si>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</si>
  <si>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</si>
  <si>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</si>
  <si>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1. Κατηγορίες εκτάσεων - Categories of crop areas</t>
  </si>
  <si>
    <t>Εκτάσεις σε στρέμματα</t>
  </si>
  <si>
    <t>Καλλιέργειες - Crops</t>
  </si>
  <si>
    <t>Δενδρώδεις Areas under trees (compact plantations)</t>
  </si>
  <si>
    <t>Περιφέρεια Δυτικής Μακεδονίας</t>
  </si>
  <si>
    <t>Αροτραίες
Crops on arable land</t>
  </si>
  <si>
    <t>Region of Western Macedonia</t>
  </si>
  <si>
    <t>Αγρανάπαυση 
(1 - 5) ετών
Fallow land 
(1 - 5 years)</t>
  </si>
  <si>
    <t>(2) Αναφέρεται σε εκτάσεις που διατηρούνται σε καλή γεωργική και περιβαλλοντική κατάσταση, παραμένουν σε αγρανάπαυση και είναι επιλέξιμες για καταβολή επιδοτήσεων</t>
  </si>
  <si>
    <t>(2) Refers to land preserved in sound agricultural and environmental condition, remain fallow and is eligible for the payment of subsidies</t>
  </si>
  <si>
    <t>Σύνολο καλλιεργούμενης γεωργικής γης και αγρανάπαυσης
Total cultivated agricultural and fallow land</t>
  </si>
  <si>
    <t>Αμπέλια και σταφιδάμπελα 
Vines (grapes and raisins)</t>
  </si>
  <si>
    <t>Areas in stremmas (1 stremma = 0.1 ha)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</si>
  <si>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Garden area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</si>
  <si>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Εκ των οποίων εκτάσεις που είναι επιλέξιμες για καταβολή επιδοτήσεων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  <r>
      <rPr>
        <i/>
        <sz val="11"/>
        <color theme="1"/>
        <rFont val="Calibri"/>
        <family val="2"/>
        <charset val="161"/>
        <scheme val="minor"/>
      </rPr>
      <t xml:space="preserve">
Of which land eligible for the payment of subsidies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</si>
  <si>
    <t>(1) Καθαρή έκταση κηπευτικών (χωρίς διαδοχικές/δευτερεύουσες καλλιέργειες) Αναφέρεται στα καλλιεργούμενα είδη των πινάκων 3α και 3β.</t>
  </si>
  <si>
    <t>(1) Net area of horticulture crops (i.e. secondary/successive crops not included). 
Refers to cultivated crops of tables 3a and 3b.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</si>
  <si>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</si>
  <si>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</si>
  <si>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</si>
  <si>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</si>
  <si>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</si>
  <si>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Πίνακας 1α. Εκτάσεις καλλιεργειών και αγρανάπαυσης, κατά κατηγορία, Περιφέρεια και Περιφερειακή Ενότητα, 2022</t>
  </si>
  <si>
    <t>Table 1a. Crop areas and fallow land, by category,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</si>
</sst>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i/>
      <vertAlign val="superscript"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3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16" xfId="0" applyNumberFormat="1" applyFont="1" applyBorder="1" applyAlignment="1" applyProtection="1">
      <alignment vertical="center"/>
      <protection locked="0"/>
    </xf>
    <xf numFmtId="3" fontId="2" fillId="0" borderId="15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0" fontId="2" fillId="0" borderId="16" xfId="0" applyFont="1" applyBorder="1" applyAlignment="1" applyProtection="1">
      <alignment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3" fontId="2" fillId="0" borderId="24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3" fontId="3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 applyProtection="1">
      <alignment horizontal="left" indent="1"/>
      <protection locked="0"/>
    </xf>
    <xf numFmtId="3" fontId="0" fillId="0" borderId="0" xfId="0" applyNumberFormat="1" applyProtection="1"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3" fontId="2" fillId="0" borderId="11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3" fontId="7" fillId="2" borderId="11" xfId="0" applyNumberFormat="1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 vertical="center" wrapText="1"/>
    </xf>
    <xf numFmtId="3" fontId="7" fillId="2" borderId="20" xfId="0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3" fontId="7" fillId="2" borderId="13" xfId="0" applyNumberFormat="1" applyFont="1" applyFill="1" applyBorder="1" applyAlignment="1">
      <alignment horizontal="right" vertical="center" wrapText="1"/>
    </xf>
    <xf numFmtId="0" fontId="2" fillId="0" borderId="0" xfId="0" applyFont="1" applyAlignment="1" applyProtection="1">
      <alignment horizontal="left" vertical="center" indent="1"/>
      <protection locked="0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3" fontId="3" fillId="0" borderId="12" xfId="0" applyNumberFormat="1" applyFont="1" applyBorder="1" applyAlignment="1">
      <alignment horizontal="right" vertical="center" wrapText="1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 wrapText="1"/>
      <protection locked="0"/>
    </xf>
    <xf numFmtId="3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 indent="2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3" fontId="12" fillId="0" borderId="0" xfId="0" applyNumberFormat="1" applyFont="1" applyAlignment="1">
      <alignment horizontal="right" vertical="top"/>
    </xf>
    <xf numFmtId="3" fontId="12" fillId="0" borderId="2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right" vertical="top"/>
    </xf>
    <xf numFmtId="3" fontId="12" fillId="0" borderId="13" xfId="0" applyNumberFormat="1" applyFont="1" applyBorder="1" applyAlignment="1">
      <alignment horizontal="right" vertical="top"/>
    </xf>
    <xf numFmtId="0" fontId="12" fillId="0" borderId="13" xfId="0" applyFont="1" applyBorder="1" applyAlignment="1">
      <alignment horizontal="right" vertical="top"/>
    </xf>
    <xf numFmtId="0" fontId="12" fillId="0" borderId="0" xfId="0" applyFont="1" applyAlignment="1">
      <alignment horizontal="right" vertical="top"/>
    </xf>
    <xf numFmtId="3" fontId="12" fillId="0" borderId="25" xfId="0" applyNumberFormat="1" applyFont="1" applyBorder="1" applyAlignment="1">
      <alignment horizontal="right" vertical="top"/>
    </xf>
    <xf numFmtId="3" fontId="12" fillId="0" borderId="1" xfId="0" applyNumberFormat="1" applyFont="1" applyBorder="1" applyAlignment="1">
      <alignment horizontal="right" vertical="top"/>
    </xf>
    <xf numFmtId="3" fontId="12" fillId="0" borderId="28" xfId="0" applyNumberFormat="1" applyFont="1" applyBorder="1" applyAlignment="1">
      <alignment horizontal="right" vertical="top"/>
    </xf>
    <xf numFmtId="49" fontId="8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Alignment="1" applyProtection="1">
      <alignment horizontal="right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left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23" xfId="0" applyFont="1" applyBorder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23"/>
  <sheetViews>
    <sheetView showGridLines="0" tabSelected="1" zoomScaleNormal="100" workbookViewId="0">
      <selection activeCell="N9" sqref="N9"/>
    </sheetView>
  </sheetViews>
  <sheetFormatPr defaultRowHeight="14.4" x14ac:dyDescent="0.3"/>
  <cols>
    <col min="1" max="1" width="43.6640625" style="2" customWidth="1"/>
    <col min="2" max="2" width="17" style="2" customWidth="1"/>
    <col min="3" max="3" width="10.6640625" style="2" customWidth="1"/>
    <col min="4" max="4" width="14.6640625" style="2" customWidth="1"/>
    <col min="5" max="5" width="12.6640625" style="2" customWidth="1"/>
    <col min="6" max="6" width="15.21875" style="2" bestFit="1" customWidth="1"/>
    <col min="7" max="7" width="12.6640625" style="2" bestFit="1" customWidth="1"/>
    <col min="8" max="8" width="14.6640625" style="2" bestFit="1" customWidth="1"/>
    <col min="9" max="9" width="9.33203125" style="2" customWidth="1"/>
    <col min="10" max="10" width="11.6640625" style="2" customWidth="1"/>
    <col min="11" max="11" width="12.109375" style="2" customWidth="1"/>
    <col min="12" max="12" width="10.109375" style="2" bestFit="1" customWidth="1"/>
    <col min="13" max="13" width="8.88671875" style="2"/>
    <col min="14" max="14" width="10.109375" style="2" bestFit="1" customWidth="1"/>
    <col min="15" max="16384" width="8.88671875" style="2"/>
  </cols>
  <sheetData>
    <row r="2" spans="1:14" ht="18" x14ac:dyDescent="0.3">
      <c r="A2" s="61" t="s">
        <v>172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1"/>
    </row>
    <row r="3" spans="1:14" ht="18" x14ac:dyDescent="0.3">
      <c r="A3" s="71" t="s">
        <v>194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3"/>
    </row>
    <row r="4" spans="1:14" ht="18" x14ac:dyDescent="0.3">
      <c r="A4" s="71" t="s">
        <v>195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3"/>
    </row>
    <row r="5" spans="1:14" ht="15" thickBot="1" x14ac:dyDescent="0.35">
      <c r="A5" s="49" t="s">
        <v>173</v>
      </c>
      <c r="B5" s="4"/>
      <c r="C5" s="4"/>
      <c r="D5" s="4"/>
      <c r="E5" s="4"/>
      <c r="F5" s="4"/>
      <c r="I5" s="89" t="s">
        <v>184</v>
      </c>
      <c r="J5" s="89"/>
      <c r="K5" s="89"/>
      <c r="L5" s="5"/>
    </row>
    <row r="6" spans="1:14" x14ac:dyDescent="0.3">
      <c r="A6" s="90" t="s">
        <v>0</v>
      </c>
      <c r="B6" s="93" t="s">
        <v>182</v>
      </c>
      <c r="C6" s="96" t="s">
        <v>174</v>
      </c>
      <c r="D6" s="97"/>
      <c r="E6" s="97"/>
      <c r="F6" s="97"/>
      <c r="G6" s="62" t="s">
        <v>179</v>
      </c>
      <c r="H6" s="67" t="s">
        <v>186</v>
      </c>
      <c r="I6" s="81" t="s">
        <v>1</v>
      </c>
      <c r="J6" s="82"/>
      <c r="K6" s="82"/>
    </row>
    <row r="7" spans="1:14" x14ac:dyDescent="0.3">
      <c r="A7" s="91"/>
      <c r="B7" s="94"/>
      <c r="C7" s="98"/>
      <c r="D7" s="99"/>
      <c r="E7" s="99"/>
      <c r="F7" s="99"/>
      <c r="G7" s="63"/>
      <c r="H7" s="68"/>
      <c r="I7" s="83"/>
      <c r="J7" s="84"/>
      <c r="K7" s="84"/>
    </row>
    <row r="8" spans="1:14" x14ac:dyDescent="0.3">
      <c r="A8" s="91"/>
      <c r="B8" s="94"/>
      <c r="C8" s="66" t="s">
        <v>177</v>
      </c>
      <c r="D8" s="66" t="s">
        <v>185</v>
      </c>
      <c r="E8" s="100" t="s">
        <v>175</v>
      </c>
      <c r="F8" s="66" t="s">
        <v>183</v>
      </c>
      <c r="G8" s="63"/>
      <c r="H8" s="68"/>
      <c r="I8" s="83"/>
      <c r="J8" s="84"/>
      <c r="K8" s="84"/>
    </row>
    <row r="9" spans="1:14" s="6" customFormat="1" ht="100.2" customHeight="1" x14ac:dyDescent="0.3">
      <c r="A9" s="92"/>
      <c r="B9" s="95"/>
      <c r="C9" s="64"/>
      <c r="D9" s="64"/>
      <c r="E9" s="98"/>
      <c r="F9" s="64"/>
      <c r="G9" s="64"/>
      <c r="H9" s="69"/>
      <c r="I9" s="85"/>
      <c r="J9" s="86"/>
      <c r="K9" s="86"/>
    </row>
    <row r="10" spans="1:14" s="3" customFormat="1" ht="27.6" customHeight="1" x14ac:dyDescent="0.3">
      <c r="A10" s="7" t="s">
        <v>2</v>
      </c>
      <c r="B10" s="8">
        <f>SUM(B11,B18,B26,B31,B36,B42,B48,B54,B58,B64,B73,B79,B93)</f>
        <v>28959662</v>
      </c>
      <c r="C10" s="9">
        <f>SUM(C11,C18,C26,C31,C36,C42,C48,C54,C58,C64,C73,C79,C93)</f>
        <v>16381631</v>
      </c>
      <c r="D10" s="9">
        <f t="shared" ref="D10:G10" si="0">SUM(D11,D18,D26,D31,D36,D42,D48,D54,D58,D64,D73,D79,D93)</f>
        <v>451021</v>
      </c>
      <c r="E10" s="10">
        <f t="shared" si="0"/>
        <v>9660271</v>
      </c>
      <c r="F10" s="9">
        <f t="shared" si="0"/>
        <v>687860</v>
      </c>
      <c r="G10" s="9">
        <f t="shared" si="0"/>
        <v>1778879</v>
      </c>
      <c r="H10" s="11">
        <f t="shared" ref="H10" si="1">SUM(H11,H18,H26,H31,H36,H42,H48,H54,H58,H64,H73,H79,H93)</f>
        <v>1198992</v>
      </c>
      <c r="I10" s="12" t="s">
        <v>3</v>
      </c>
      <c r="J10" s="12"/>
      <c r="K10" s="12"/>
      <c r="N10" s="1"/>
    </row>
    <row r="11" spans="1:14" ht="23.25" customHeight="1" x14ac:dyDescent="0.3">
      <c r="A11" s="13" t="s">
        <v>4</v>
      </c>
      <c r="B11" s="14">
        <f t="shared" ref="B11:H11" si="2">SUM(B12:B17)</f>
        <v>3669695</v>
      </c>
      <c r="C11" s="15">
        <f t="shared" si="2"/>
        <v>3073172</v>
      </c>
      <c r="D11" s="15">
        <f>SUM(D12:D17)</f>
        <v>41837</v>
      </c>
      <c r="E11" s="15">
        <f t="shared" si="2"/>
        <v>279846</v>
      </c>
      <c r="F11" s="15">
        <f>SUM(F12:F17)</f>
        <v>46279</v>
      </c>
      <c r="G11" s="15">
        <f t="shared" si="2"/>
        <v>228561</v>
      </c>
      <c r="H11" s="16">
        <f t="shared" si="2"/>
        <v>157303</v>
      </c>
      <c r="I11" s="17" t="s">
        <v>5</v>
      </c>
      <c r="J11" s="17"/>
      <c r="K11" s="17"/>
    </row>
    <row r="12" spans="1:14" x14ac:dyDescent="0.3">
      <c r="A12" s="18" t="s">
        <v>6</v>
      </c>
      <c r="B12" s="19">
        <f>SUM(C12:G12)</f>
        <v>818551</v>
      </c>
      <c r="C12" s="51">
        <v>724966</v>
      </c>
      <c r="D12" s="50">
        <v>8684</v>
      </c>
      <c r="E12" s="51">
        <v>40419</v>
      </c>
      <c r="F12" s="51">
        <v>3158</v>
      </c>
      <c r="G12" s="51">
        <v>41324</v>
      </c>
      <c r="H12" s="53">
        <v>40053</v>
      </c>
      <c r="I12" s="20" t="s">
        <v>7</v>
      </c>
      <c r="J12" s="4"/>
      <c r="K12" s="4"/>
    </row>
    <row r="13" spans="1:14" x14ac:dyDescent="0.3">
      <c r="A13" s="18" t="s">
        <v>8</v>
      </c>
      <c r="B13" s="19">
        <f>SUM(C13:G13)</f>
        <v>505370</v>
      </c>
      <c r="C13" s="51">
        <v>457245</v>
      </c>
      <c r="D13" s="50">
        <v>3500</v>
      </c>
      <c r="E13" s="51">
        <v>14856</v>
      </c>
      <c r="F13" s="51">
        <v>7159</v>
      </c>
      <c r="G13" s="51">
        <v>22610</v>
      </c>
      <c r="H13" s="53">
        <v>21901</v>
      </c>
      <c r="I13" s="20" t="s">
        <v>9</v>
      </c>
      <c r="J13" s="4"/>
      <c r="K13" s="4"/>
    </row>
    <row r="14" spans="1:14" x14ac:dyDescent="0.3">
      <c r="A14" s="18" t="s">
        <v>10</v>
      </c>
      <c r="B14" s="19">
        <f>SUM(C14:G14)</f>
        <v>1503609</v>
      </c>
      <c r="C14" s="51">
        <v>1306798</v>
      </c>
      <c r="D14" s="50">
        <v>15463</v>
      </c>
      <c r="E14" s="51">
        <v>72178</v>
      </c>
      <c r="F14" s="51">
        <v>5967</v>
      </c>
      <c r="G14" s="51">
        <v>103203</v>
      </c>
      <c r="H14" s="53">
        <v>53261</v>
      </c>
      <c r="I14" s="20" t="s">
        <v>11</v>
      </c>
      <c r="J14" s="4"/>
      <c r="K14" s="4"/>
      <c r="N14" s="87"/>
    </row>
    <row r="15" spans="1:14" x14ac:dyDescent="0.3">
      <c r="A15" s="18" t="s">
        <v>12</v>
      </c>
      <c r="B15" s="19">
        <f t="shared" ref="B15:B17" si="3">SUM(C15:G15)</f>
        <v>42061</v>
      </c>
      <c r="C15" s="51">
        <v>181</v>
      </c>
      <c r="D15" s="50">
        <v>18</v>
      </c>
      <c r="E15" s="51">
        <v>41293</v>
      </c>
      <c r="F15" s="51">
        <v>68</v>
      </c>
      <c r="G15" s="51">
        <v>501</v>
      </c>
      <c r="H15" s="53">
        <v>334</v>
      </c>
      <c r="I15" s="20" t="s">
        <v>13</v>
      </c>
      <c r="J15" s="4"/>
      <c r="K15" s="4"/>
      <c r="N15" s="88"/>
    </row>
    <row r="16" spans="1:14" x14ac:dyDescent="0.3">
      <c r="A16" s="18" t="s">
        <v>14</v>
      </c>
      <c r="B16" s="19">
        <f t="shared" si="3"/>
        <v>397053</v>
      </c>
      <c r="C16" s="51">
        <v>245264</v>
      </c>
      <c r="D16" s="50">
        <v>8227</v>
      </c>
      <c r="E16" s="51">
        <v>81983</v>
      </c>
      <c r="F16" s="51">
        <v>28636</v>
      </c>
      <c r="G16" s="51">
        <v>32943</v>
      </c>
      <c r="H16" s="53">
        <v>31377</v>
      </c>
      <c r="I16" s="20" t="s">
        <v>15</v>
      </c>
      <c r="J16" s="4"/>
      <c r="K16" s="4"/>
      <c r="N16" s="21"/>
    </row>
    <row r="17" spans="1:14" x14ac:dyDescent="0.3">
      <c r="A17" s="18" t="s">
        <v>16</v>
      </c>
      <c r="B17" s="19">
        <f t="shared" si="3"/>
        <v>403051</v>
      </c>
      <c r="C17" s="51">
        <v>338718</v>
      </c>
      <c r="D17" s="50">
        <v>5945</v>
      </c>
      <c r="E17" s="51">
        <v>29117</v>
      </c>
      <c r="F17" s="51">
        <v>1291</v>
      </c>
      <c r="G17" s="51">
        <v>27980</v>
      </c>
      <c r="H17" s="53">
        <v>10377</v>
      </c>
      <c r="I17" s="20" t="s">
        <v>17</v>
      </c>
      <c r="J17" s="4"/>
      <c r="K17" s="4"/>
      <c r="N17" s="21"/>
    </row>
    <row r="18" spans="1:14" ht="23.4" customHeight="1" x14ac:dyDescent="0.3">
      <c r="A18" s="22" t="s">
        <v>18</v>
      </c>
      <c r="B18" s="23">
        <f t="shared" ref="B18:G18" si="4">SUM(B19:B25)</f>
        <v>6327493</v>
      </c>
      <c r="C18" s="15">
        <f t="shared" si="4"/>
        <v>4587212</v>
      </c>
      <c r="D18" s="15">
        <f t="shared" si="4"/>
        <v>98373</v>
      </c>
      <c r="E18" s="24">
        <f t="shared" si="4"/>
        <v>1172142</v>
      </c>
      <c r="F18" s="15">
        <f t="shared" si="4"/>
        <v>55288</v>
      </c>
      <c r="G18" s="15">
        <f t="shared" si="4"/>
        <v>414478</v>
      </c>
      <c r="H18" s="25">
        <f t="shared" ref="H18" si="5">SUM(H19:H25)</f>
        <v>322520</v>
      </c>
      <c r="I18" s="17" t="s">
        <v>19</v>
      </c>
      <c r="J18" s="26"/>
      <c r="K18" s="26"/>
      <c r="N18" s="21"/>
    </row>
    <row r="19" spans="1:14" x14ac:dyDescent="0.3">
      <c r="A19" s="18" t="s">
        <v>20</v>
      </c>
      <c r="B19" s="19">
        <f t="shared" ref="B19:B25" si="6">SUM(C19:G19)</f>
        <v>1275361</v>
      </c>
      <c r="C19" s="51">
        <v>1129411</v>
      </c>
      <c r="D19" s="50">
        <v>26046</v>
      </c>
      <c r="E19" s="51">
        <v>37188</v>
      </c>
      <c r="F19" s="51">
        <v>10731</v>
      </c>
      <c r="G19" s="51">
        <v>71985</v>
      </c>
      <c r="H19" s="53">
        <v>21284</v>
      </c>
      <c r="I19" s="20" t="s">
        <v>21</v>
      </c>
      <c r="J19" s="4"/>
      <c r="K19" s="4"/>
      <c r="N19" s="21"/>
    </row>
    <row r="20" spans="1:14" x14ac:dyDescent="0.3">
      <c r="A20" s="18" t="s">
        <v>22</v>
      </c>
      <c r="B20" s="19">
        <f t="shared" si="6"/>
        <v>582988</v>
      </c>
      <c r="C20" s="51">
        <v>323842</v>
      </c>
      <c r="D20" s="50">
        <v>13259</v>
      </c>
      <c r="E20" s="51">
        <v>217569</v>
      </c>
      <c r="F20" s="51">
        <v>6363</v>
      </c>
      <c r="G20" s="51">
        <v>21955</v>
      </c>
      <c r="H20" s="53">
        <v>11561</v>
      </c>
      <c r="I20" s="20" t="s">
        <v>23</v>
      </c>
      <c r="J20" s="4"/>
      <c r="K20" s="4"/>
    </row>
    <row r="21" spans="1:14" x14ac:dyDescent="0.3">
      <c r="A21" s="18" t="s">
        <v>24</v>
      </c>
      <c r="B21" s="19">
        <f t="shared" si="6"/>
        <v>988709</v>
      </c>
      <c r="C21" s="51">
        <v>881754</v>
      </c>
      <c r="D21" s="50">
        <v>8221</v>
      </c>
      <c r="E21" s="51">
        <v>26689</v>
      </c>
      <c r="F21" s="51">
        <v>7239</v>
      </c>
      <c r="G21" s="51">
        <v>64806</v>
      </c>
      <c r="H21" s="53">
        <v>64628</v>
      </c>
      <c r="I21" s="20" t="s">
        <v>25</v>
      </c>
      <c r="J21" s="4"/>
      <c r="K21" s="4"/>
      <c r="N21" s="21"/>
    </row>
    <row r="22" spans="1:14" x14ac:dyDescent="0.3">
      <c r="A22" s="18" t="s">
        <v>26</v>
      </c>
      <c r="B22" s="19">
        <f t="shared" si="6"/>
        <v>797018</v>
      </c>
      <c r="C22" s="51">
        <v>337140</v>
      </c>
      <c r="D22" s="50">
        <v>20385</v>
      </c>
      <c r="E22" s="51">
        <v>384826</v>
      </c>
      <c r="F22" s="51">
        <v>6328</v>
      </c>
      <c r="G22" s="51">
        <v>48339</v>
      </c>
      <c r="H22" s="53">
        <v>43104</v>
      </c>
      <c r="I22" s="20" t="s">
        <v>27</v>
      </c>
      <c r="J22" s="4"/>
      <c r="K22" s="4"/>
    </row>
    <row r="23" spans="1:14" x14ac:dyDescent="0.3">
      <c r="A23" s="18" t="s">
        <v>28</v>
      </c>
      <c r="B23" s="19">
        <f t="shared" si="6"/>
        <v>515821</v>
      </c>
      <c r="C23" s="51">
        <v>353315</v>
      </c>
      <c r="D23" s="50">
        <v>6805</v>
      </c>
      <c r="E23" s="51">
        <v>105337</v>
      </c>
      <c r="F23" s="51">
        <v>7026</v>
      </c>
      <c r="G23" s="51">
        <v>43338</v>
      </c>
      <c r="H23" s="53">
        <v>18791</v>
      </c>
      <c r="I23" s="20" t="s">
        <v>29</v>
      </c>
      <c r="J23" s="4"/>
      <c r="K23" s="4"/>
    </row>
    <row r="24" spans="1:14" x14ac:dyDescent="0.3">
      <c r="A24" s="18" t="s">
        <v>30</v>
      </c>
      <c r="B24" s="19">
        <f t="shared" si="6"/>
        <v>1446868</v>
      </c>
      <c r="C24" s="51">
        <v>1207619</v>
      </c>
      <c r="D24" s="50">
        <v>14933</v>
      </c>
      <c r="E24" s="51">
        <v>108236</v>
      </c>
      <c r="F24" s="51">
        <v>7284</v>
      </c>
      <c r="G24" s="51">
        <v>108796</v>
      </c>
      <c r="H24" s="53">
        <v>108711</v>
      </c>
      <c r="I24" s="20" t="s">
        <v>31</v>
      </c>
      <c r="J24" s="4"/>
      <c r="K24" s="4"/>
    </row>
    <row r="25" spans="1:14" x14ac:dyDescent="0.3">
      <c r="A25" s="18" t="s">
        <v>32</v>
      </c>
      <c r="B25" s="19">
        <f t="shared" si="6"/>
        <v>720728</v>
      </c>
      <c r="C25" s="51">
        <v>354131</v>
      </c>
      <c r="D25" s="50">
        <v>8724</v>
      </c>
      <c r="E25" s="51">
        <v>292297</v>
      </c>
      <c r="F25" s="51">
        <v>10317</v>
      </c>
      <c r="G25" s="51">
        <v>55259</v>
      </c>
      <c r="H25" s="53">
        <v>54441</v>
      </c>
      <c r="I25" s="20" t="s">
        <v>33</v>
      </c>
      <c r="J25" s="4"/>
      <c r="K25" s="4"/>
    </row>
    <row r="26" spans="1:14" ht="25.05" customHeight="1" x14ac:dyDescent="0.3">
      <c r="A26" s="27" t="s">
        <v>176</v>
      </c>
      <c r="B26" s="28">
        <f t="shared" ref="B26:H26" si="7">SUM(B27:B30)</f>
        <v>1920903</v>
      </c>
      <c r="C26" s="29">
        <f>SUM(C27:C30)</f>
        <v>1642578</v>
      </c>
      <c r="D26" s="29">
        <f t="shared" si="7"/>
        <v>17626</v>
      </c>
      <c r="E26" s="30">
        <f>SUM(E27:E30)</f>
        <v>110511</v>
      </c>
      <c r="F26" s="31">
        <f t="shared" si="7"/>
        <v>17842</v>
      </c>
      <c r="G26" s="29">
        <f t="shared" si="7"/>
        <v>132346</v>
      </c>
      <c r="H26" s="32">
        <f t="shared" si="7"/>
        <v>101893</v>
      </c>
      <c r="I26" s="33" t="s">
        <v>178</v>
      </c>
      <c r="J26" s="4"/>
      <c r="K26" s="4"/>
    </row>
    <row r="27" spans="1:14" x14ac:dyDescent="0.3">
      <c r="A27" s="18" t="s">
        <v>34</v>
      </c>
      <c r="B27" s="19">
        <f>SUM(C27:G27)</f>
        <v>814936</v>
      </c>
      <c r="C27" s="51">
        <v>677990</v>
      </c>
      <c r="D27" s="50">
        <v>5975</v>
      </c>
      <c r="E27" s="51">
        <v>45130</v>
      </c>
      <c r="F27" s="51">
        <v>4410</v>
      </c>
      <c r="G27" s="51">
        <v>81431</v>
      </c>
      <c r="H27" s="53">
        <v>55052</v>
      </c>
      <c r="I27" s="20" t="s">
        <v>35</v>
      </c>
      <c r="J27" s="4"/>
      <c r="K27" s="4"/>
    </row>
    <row r="28" spans="1:14" x14ac:dyDescent="0.3">
      <c r="A28" s="18" t="s">
        <v>36</v>
      </c>
      <c r="B28" s="19">
        <f t="shared" ref="B28:B30" si="8">SUM(C28:G28)</f>
        <v>420787</v>
      </c>
      <c r="C28" s="51">
        <v>381368</v>
      </c>
      <c r="D28" s="50">
        <v>2653</v>
      </c>
      <c r="E28" s="51">
        <v>14903</v>
      </c>
      <c r="F28" s="51">
        <v>1367</v>
      </c>
      <c r="G28" s="51">
        <v>20496</v>
      </c>
      <c r="H28" s="53">
        <v>20464</v>
      </c>
      <c r="I28" s="20" t="s">
        <v>37</v>
      </c>
      <c r="J28" s="4"/>
      <c r="K28" s="4"/>
    </row>
    <row r="29" spans="1:14" x14ac:dyDescent="0.3">
      <c r="A29" s="18" t="s">
        <v>38</v>
      </c>
      <c r="B29" s="19">
        <f t="shared" si="8"/>
        <v>241231</v>
      </c>
      <c r="C29" s="51">
        <v>203779</v>
      </c>
      <c r="D29" s="50">
        <v>2126</v>
      </c>
      <c r="E29" s="51">
        <v>22053</v>
      </c>
      <c r="F29" s="51">
        <v>1189</v>
      </c>
      <c r="G29" s="51">
        <v>12084</v>
      </c>
      <c r="H29" s="53">
        <v>12069</v>
      </c>
      <c r="I29" s="20" t="s">
        <v>39</v>
      </c>
      <c r="J29" s="4"/>
      <c r="K29" s="4"/>
    </row>
    <row r="30" spans="1:14" x14ac:dyDescent="0.3">
      <c r="A30" s="18" t="s">
        <v>40</v>
      </c>
      <c r="B30" s="19">
        <f t="shared" si="8"/>
        <v>443949</v>
      </c>
      <c r="C30" s="51">
        <v>379441</v>
      </c>
      <c r="D30" s="50">
        <v>6872</v>
      </c>
      <c r="E30" s="51">
        <v>28425</v>
      </c>
      <c r="F30" s="51">
        <v>10876</v>
      </c>
      <c r="G30" s="51">
        <v>18335</v>
      </c>
      <c r="H30" s="53">
        <v>14308</v>
      </c>
      <c r="I30" s="20" t="s">
        <v>41</v>
      </c>
      <c r="J30" s="4"/>
      <c r="K30" s="4"/>
    </row>
    <row r="31" spans="1:14" ht="26.25" customHeight="1" x14ac:dyDescent="0.3">
      <c r="A31" s="13" t="s">
        <v>42</v>
      </c>
      <c r="B31" s="23">
        <f t="shared" ref="B31:H31" si="9">SUM(B32:B35)</f>
        <v>577241</v>
      </c>
      <c r="C31" s="15">
        <f>SUM(C32:C35)</f>
        <v>284894</v>
      </c>
      <c r="D31" s="15">
        <f>SUM(D32:D35)</f>
        <v>7054</v>
      </c>
      <c r="E31" s="24">
        <f t="shared" si="9"/>
        <v>252713</v>
      </c>
      <c r="F31" s="15">
        <f t="shared" si="9"/>
        <v>3717</v>
      </c>
      <c r="G31" s="15">
        <f>SUM(G32:G35)</f>
        <v>28863</v>
      </c>
      <c r="H31" s="25">
        <f t="shared" si="9"/>
        <v>17743</v>
      </c>
      <c r="I31" s="17" t="s">
        <v>43</v>
      </c>
      <c r="J31" s="17"/>
      <c r="K31" s="17"/>
    </row>
    <row r="32" spans="1:14" x14ac:dyDescent="0.3">
      <c r="A32" s="18" t="s">
        <v>44</v>
      </c>
      <c r="B32" s="19">
        <f t="shared" ref="B32:B72" si="10">SUM(C32:G32)</f>
        <v>101244</v>
      </c>
      <c r="C32" s="51">
        <v>92553</v>
      </c>
      <c r="D32" s="50">
        <v>1101</v>
      </c>
      <c r="E32" s="51">
        <v>2975</v>
      </c>
      <c r="F32" s="51">
        <v>2545</v>
      </c>
      <c r="G32" s="51">
        <v>2070</v>
      </c>
      <c r="H32" s="53">
        <v>1268</v>
      </c>
      <c r="I32" s="20" t="s">
        <v>45</v>
      </c>
      <c r="J32" s="4"/>
      <c r="K32" s="4"/>
    </row>
    <row r="33" spans="1:12" x14ac:dyDescent="0.3">
      <c r="A33" s="18" t="s">
        <v>46</v>
      </c>
      <c r="B33" s="19">
        <f t="shared" si="10"/>
        <v>161663</v>
      </c>
      <c r="C33" s="51">
        <v>43333</v>
      </c>
      <c r="D33" s="50">
        <v>2559</v>
      </c>
      <c r="E33" s="51">
        <v>102685</v>
      </c>
      <c r="F33" s="51">
        <v>352</v>
      </c>
      <c r="G33" s="51">
        <v>12734</v>
      </c>
      <c r="H33" s="53">
        <v>11589</v>
      </c>
      <c r="I33" s="20" t="s">
        <v>47</v>
      </c>
      <c r="J33" s="4"/>
      <c r="K33" s="4"/>
    </row>
    <row r="34" spans="1:12" x14ac:dyDescent="0.3">
      <c r="A34" s="18" t="s">
        <v>48</v>
      </c>
      <c r="B34" s="19">
        <f t="shared" si="10"/>
        <v>140418</v>
      </c>
      <c r="C34" s="51">
        <v>57795</v>
      </c>
      <c r="D34" s="50">
        <v>1001</v>
      </c>
      <c r="E34" s="51">
        <v>72850</v>
      </c>
      <c r="F34" s="51">
        <v>497</v>
      </c>
      <c r="G34" s="51">
        <v>8275</v>
      </c>
      <c r="H34" s="53">
        <v>1676</v>
      </c>
      <c r="I34" s="20" t="s">
        <v>49</v>
      </c>
      <c r="J34" s="4"/>
      <c r="K34" s="4"/>
    </row>
    <row r="35" spans="1:12" x14ac:dyDescent="0.3">
      <c r="A35" s="18" t="s">
        <v>50</v>
      </c>
      <c r="B35" s="19">
        <f t="shared" si="10"/>
        <v>173916</v>
      </c>
      <c r="C35" s="51">
        <v>91213</v>
      </c>
      <c r="D35" s="50">
        <v>2393</v>
      </c>
      <c r="E35" s="51">
        <v>74203</v>
      </c>
      <c r="F35" s="51">
        <v>323</v>
      </c>
      <c r="G35" s="51">
        <v>5784</v>
      </c>
      <c r="H35" s="53">
        <v>3210</v>
      </c>
      <c r="I35" s="20" t="s">
        <v>51</v>
      </c>
      <c r="J35" s="4"/>
      <c r="K35" s="4"/>
    </row>
    <row r="36" spans="1:12" ht="23.25" customHeight="1" x14ac:dyDescent="0.3">
      <c r="A36" s="13" t="s">
        <v>52</v>
      </c>
      <c r="B36" s="23">
        <f t="shared" ref="B36:H36" si="11">SUM(B37:B41)</f>
        <v>4210316</v>
      </c>
      <c r="C36" s="15">
        <f t="shared" si="11"/>
        <v>3350816</v>
      </c>
      <c r="D36" s="15">
        <f>SUM(D37:D41)</f>
        <v>51547</v>
      </c>
      <c r="E36" s="24">
        <f t="shared" si="11"/>
        <v>583335</v>
      </c>
      <c r="F36" s="15">
        <f>SUM(F37:F41)</f>
        <v>43943</v>
      </c>
      <c r="G36" s="15">
        <f>SUM(G37:G41)</f>
        <v>180675</v>
      </c>
      <c r="H36" s="25">
        <f t="shared" si="11"/>
        <v>100861</v>
      </c>
      <c r="I36" s="17" t="s">
        <v>53</v>
      </c>
      <c r="J36" s="17"/>
      <c r="K36" s="17"/>
    </row>
    <row r="37" spans="1:12" x14ac:dyDescent="0.3">
      <c r="A37" s="18" t="s">
        <v>54</v>
      </c>
      <c r="B37" s="19">
        <f t="shared" si="10"/>
        <v>2189064</v>
      </c>
      <c r="C37" s="51">
        <v>1729073</v>
      </c>
      <c r="D37" s="50">
        <v>29778</v>
      </c>
      <c r="E37" s="51">
        <v>303428</v>
      </c>
      <c r="F37" s="51">
        <v>30438</v>
      </c>
      <c r="G37" s="51">
        <v>96347</v>
      </c>
      <c r="H37" s="53">
        <v>45975</v>
      </c>
      <c r="I37" s="20" t="s">
        <v>55</v>
      </c>
      <c r="J37" s="4"/>
      <c r="K37" s="4"/>
    </row>
    <row r="38" spans="1:12" x14ac:dyDescent="0.3">
      <c r="A38" s="18" t="s">
        <v>56</v>
      </c>
      <c r="B38" s="19">
        <f t="shared" si="10"/>
        <v>904411</v>
      </c>
      <c r="C38" s="51">
        <v>847431</v>
      </c>
      <c r="D38" s="50">
        <v>9520</v>
      </c>
      <c r="E38" s="51">
        <v>9082</v>
      </c>
      <c r="F38" s="51">
        <v>3920</v>
      </c>
      <c r="G38" s="51">
        <v>34458</v>
      </c>
      <c r="H38" s="53">
        <v>26056</v>
      </c>
      <c r="I38" s="20" t="s">
        <v>57</v>
      </c>
      <c r="J38" s="4"/>
      <c r="K38" s="4"/>
    </row>
    <row r="39" spans="1:12" x14ac:dyDescent="0.3">
      <c r="A39" s="18" t="s">
        <v>58</v>
      </c>
      <c r="B39" s="19">
        <f t="shared" si="10"/>
        <v>599141</v>
      </c>
      <c r="C39" s="51">
        <v>340839</v>
      </c>
      <c r="D39" s="50">
        <v>6604</v>
      </c>
      <c r="E39" s="51">
        <v>217894</v>
      </c>
      <c r="F39" s="51">
        <v>4031</v>
      </c>
      <c r="G39" s="51">
        <v>29773</v>
      </c>
      <c r="H39" s="53">
        <v>12677</v>
      </c>
      <c r="I39" s="20" t="s">
        <v>59</v>
      </c>
      <c r="J39" s="4"/>
      <c r="K39" s="4"/>
    </row>
    <row r="40" spans="1:12" x14ac:dyDescent="0.3">
      <c r="A40" s="18" t="s">
        <v>60</v>
      </c>
      <c r="B40" s="19">
        <f t="shared" si="10"/>
        <v>14198</v>
      </c>
      <c r="C40" s="51">
        <v>141</v>
      </c>
      <c r="D40" s="50">
        <v>53</v>
      </c>
      <c r="E40" s="51">
        <v>13503</v>
      </c>
      <c r="F40" s="51">
        <v>98</v>
      </c>
      <c r="G40" s="51">
        <v>403</v>
      </c>
      <c r="H40" s="53" t="s">
        <v>193</v>
      </c>
      <c r="I40" s="20" t="s">
        <v>61</v>
      </c>
      <c r="J40" s="4"/>
      <c r="K40" s="4"/>
    </row>
    <row r="41" spans="1:12" x14ac:dyDescent="0.3">
      <c r="A41" s="18" t="s">
        <v>62</v>
      </c>
      <c r="B41" s="19">
        <f t="shared" si="10"/>
        <v>503502</v>
      </c>
      <c r="C41" s="51">
        <v>433332</v>
      </c>
      <c r="D41" s="50">
        <v>5592</v>
      </c>
      <c r="E41" s="51">
        <v>39428</v>
      </c>
      <c r="F41" s="51">
        <v>5456</v>
      </c>
      <c r="G41" s="51">
        <v>19694</v>
      </c>
      <c r="H41" s="53">
        <v>16153</v>
      </c>
      <c r="I41" s="20" t="s">
        <v>63</v>
      </c>
      <c r="J41" s="4"/>
      <c r="K41" s="4"/>
    </row>
    <row r="42" spans="1:12" ht="22.5" customHeight="1" x14ac:dyDescent="0.3">
      <c r="A42" s="13" t="s">
        <v>64</v>
      </c>
      <c r="B42" s="23">
        <f t="shared" ref="B42:H42" si="12">SUM(B43:B47)</f>
        <v>2761818</v>
      </c>
      <c r="C42" s="15">
        <f t="shared" si="12"/>
        <v>1491831</v>
      </c>
      <c r="D42" s="15">
        <f>SUM(D43:D47)</f>
        <v>61461</v>
      </c>
      <c r="E42" s="24">
        <f t="shared" si="12"/>
        <v>884677</v>
      </c>
      <c r="F42" s="15">
        <f>SUM(F43:F47)</f>
        <v>48917</v>
      </c>
      <c r="G42" s="15">
        <f>SUM(G43:G47)</f>
        <v>274932</v>
      </c>
      <c r="H42" s="25">
        <f t="shared" si="12"/>
        <v>213435</v>
      </c>
      <c r="I42" s="17" t="s">
        <v>65</v>
      </c>
      <c r="J42" s="17"/>
      <c r="K42" s="17"/>
    </row>
    <row r="43" spans="1:12" x14ac:dyDescent="0.3">
      <c r="A43" s="18" t="s">
        <v>66</v>
      </c>
      <c r="B43" s="19">
        <f t="shared" si="10"/>
        <v>1302180</v>
      </c>
      <c r="C43" s="51">
        <v>741517</v>
      </c>
      <c r="D43" s="50">
        <v>13682</v>
      </c>
      <c r="E43" s="51">
        <v>409311</v>
      </c>
      <c r="F43" s="51">
        <v>10362</v>
      </c>
      <c r="G43" s="51">
        <v>127308</v>
      </c>
      <c r="H43" s="53">
        <v>118006</v>
      </c>
      <c r="I43" s="20" t="s">
        <v>67</v>
      </c>
      <c r="J43" s="4"/>
      <c r="K43" s="4"/>
    </row>
    <row r="44" spans="1:12" x14ac:dyDescent="0.3">
      <c r="A44" s="18" t="s">
        <v>68</v>
      </c>
      <c r="B44" s="19">
        <f t="shared" si="10"/>
        <v>869908</v>
      </c>
      <c r="C44" s="51">
        <v>587724</v>
      </c>
      <c r="D44" s="50">
        <v>30467</v>
      </c>
      <c r="E44" s="51">
        <v>143545</v>
      </c>
      <c r="F44" s="51">
        <v>28476</v>
      </c>
      <c r="G44" s="51">
        <v>79696</v>
      </c>
      <c r="H44" s="53">
        <v>38465</v>
      </c>
      <c r="I44" s="20" t="s">
        <v>69</v>
      </c>
      <c r="J44" s="4"/>
      <c r="K44" s="4"/>
    </row>
    <row r="45" spans="1:12" x14ac:dyDescent="0.3">
      <c r="A45" s="18" t="s">
        <v>70</v>
      </c>
      <c r="B45" s="19">
        <f t="shared" si="10"/>
        <v>495159</v>
      </c>
      <c r="C45" s="51">
        <v>130577</v>
      </c>
      <c r="D45" s="50">
        <v>16522</v>
      </c>
      <c r="E45" s="51">
        <v>278900</v>
      </c>
      <c r="F45" s="51">
        <v>8788</v>
      </c>
      <c r="G45" s="51">
        <v>60372</v>
      </c>
      <c r="H45" s="53">
        <v>55101</v>
      </c>
      <c r="I45" s="20" t="s">
        <v>71</v>
      </c>
      <c r="J45" s="4"/>
      <c r="K45" s="4"/>
    </row>
    <row r="46" spans="1:12" x14ac:dyDescent="0.3">
      <c r="A46" s="18" t="s">
        <v>72</v>
      </c>
      <c r="B46" s="19">
        <f t="shared" si="10"/>
        <v>9379</v>
      </c>
      <c r="C46" s="51">
        <v>4065</v>
      </c>
      <c r="D46" s="50">
        <v>59</v>
      </c>
      <c r="E46" s="51">
        <v>4538</v>
      </c>
      <c r="F46" s="51">
        <v>39</v>
      </c>
      <c r="G46" s="51">
        <v>678</v>
      </c>
      <c r="H46" s="53">
        <v>89</v>
      </c>
      <c r="I46" s="20" t="s">
        <v>73</v>
      </c>
      <c r="J46" s="4"/>
      <c r="K46" s="4"/>
    </row>
    <row r="47" spans="1:12" x14ac:dyDescent="0.3">
      <c r="A47" s="18" t="s">
        <v>74</v>
      </c>
      <c r="B47" s="19">
        <f t="shared" si="10"/>
        <v>85192</v>
      </c>
      <c r="C47" s="51">
        <v>27948</v>
      </c>
      <c r="D47" s="50">
        <v>731</v>
      </c>
      <c r="E47" s="51">
        <v>48383</v>
      </c>
      <c r="F47" s="51">
        <v>1252</v>
      </c>
      <c r="G47" s="51">
        <v>6878</v>
      </c>
      <c r="H47" s="53">
        <v>1774</v>
      </c>
      <c r="I47" s="20" t="s">
        <v>75</v>
      </c>
      <c r="J47" s="4"/>
      <c r="K47" s="4"/>
    </row>
    <row r="48" spans="1:12" ht="20.7" customHeight="1" x14ac:dyDescent="0.3">
      <c r="A48" s="13" t="s">
        <v>76</v>
      </c>
      <c r="B48" s="23">
        <f t="shared" ref="B48:H48" si="13">SUM(B49:B53)</f>
        <v>337838</v>
      </c>
      <c r="C48" s="15">
        <f t="shared" si="13"/>
        <v>28255</v>
      </c>
      <c r="D48" s="15">
        <f t="shared" si="13"/>
        <v>1226</v>
      </c>
      <c r="E48" s="24">
        <f t="shared" si="13"/>
        <v>276734</v>
      </c>
      <c r="F48" s="15">
        <f>SUM(F49:F53)</f>
        <v>23096</v>
      </c>
      <c r="G48" s="15">
        <f>SUM(G49:G53)</f>
        <v>8527</v>
      </c>
      <c r="H48" s="25">
        <f t="shared" si="13"/>
        <v>5971</v>
      </c>
      <c r="I48" s="17" t="s">
        <v>77</v>
      </c>
      <c r="J48" s="17"/>
      <c r="K48" s="17"/>
      <c r="L48" s="60"/>
    </row>
    <row r="49" spans="1:11" x14ac:dyDescent="0.3">
      <c r="A49" s="18" t="s">
        <v>78</v>
      </c>
      <c r="B49" s="19">
        <f t="shared" si="10"/>
        <v>138741</v>
      </c>
      <c r="C49" s="51">
        <v>891</v>
      </c>
      <c r="D49" s="50">
        <v>279</v>
      </c>
      <c r="E49" s="51">
        <v>133428</v>
      </c>
      <c r="F49" s="51">
        <v>2255</v>
      </c>
      <c r="G49" s="51">
        <v>1888</v>
      </c>
      <c r="H49" s="54">
        <v>9</v>
      </c>
      <c r="I49" s="20" t="s">
        <v>79</v>
      </c>
      <c r="J49" s="4"/>
      <c r="K49" s="4"/>
    </row>
    <row r="50" spans="1:11" x14ac:dyDescent="0.3">
      <c r="A50" s="18" t="s">
        <v>80</v>
      </c>
      <c r="B50" s="19">
        <f t="shared" si="10"/>
        <v>112745</v>
      </c>
      <c r="C50" s="51">
        <v>17440</v>
      </c>
      <c r="D50" s="50">
        <v>246</v>
      </c>
      <c r="E50" s="51">
        <v>79429</v>
      </c>
      <c r="F50" s="51">
        <v>14333</v>
      </c>
      <c r="G50" s="51">
        <v>1297</v>
      </c>
      <c r="H50" s="53">
        <v>679</v>
      </c>
      <c r="I50" s="20" t="s">
        <v>81</v>
      </c>
      <c r="J50" s="4"/>
      <c r="K50" s="4"/>
    </row>
    <row r="51" spans="1:11" x14ac:dyDescent="0.3">
      <c r="A51" s="18" t="s">
        <v>82</v>
      </c>
      <c r="B51" s="19">
        <f t="shared" si="10"/>
        <v>3418</v>
      </c>
      <c r="C51" s="51">
        <v>42</v>
      </c>
      <c r="D51" s="50">
        <v>8</v>
      </c>
      <c r="E51" s="51">
        <v>3009</v>
      </c>
      <c r="F51" s="51">
        <v>33</v>
      </c>
      <c r="G51" s="51">
        <v>326</v>
      </c>
      <c r="H51" s="54">
        <v>267</v>
      </c>
      <c r="I51" s="20" t="s">
        <v>83</v>
      </c>
      <c r="J51" s="4"/>
      <c r="K51" s="4"/>
    </row>
    <row r="52" spans="1:11" x14ac:dyDescent="0.3">
      <c r="A52" s="18" t="s">
        <v>84</v>
      </c>
      <c r="B52" s="19">
        <f t="shared" si="10"/>
        <v>33221</v>
      </c>
      <c r="C52" s="51">
        <v>7972</v>
      </c>
      <c r="D52" s="50">
        <v>472</v>
      </c>
      <c r="E52" s="51">
        <v>21846</v>
      </c>
      <c r="F52" s="51">
        <v>2931</v>
      </c>
      <c r="G52" s="51" t="s">
        <v>193</v>
      </c>
      <c r="H52" s="53" t="s">
        <v>193</v>
      </c>
      <c r="I52" s="20" t="s">
        <v>85</v>
      </c>
      <c r="J52" s="4"/>
      <c r="K52" s="4"/>
    </row>
    <row r="53" spans="1:11" x14ac:dyDescent="0.3">
      <c r="A53" s="18" t="s">
        <v>86</v>
      </c>
      <c r="B53" s="19">
        <f t="shared" si="10"/>
        <v>49713</v>
      </c>
      <c r="C53" s="51">
        <v>1910</v>
      </c>
      <c r="D53" s="50">
        <v>221</v>
      </c>
      <c r="E53" s="51">
        <v>39022</v>
      </c>
      <c r="F53" s="51">
        <v>3544</v>
      </c>
      <c r="G53" s="51">
        <v>5016</v>
      </c>
      <c r="H53" s="53">
        <v>5016</v>
      </c>
      <c r="I53" s="20" t="s">
        <v>87</v>
      </c>
      <c r="J53" s="4"/>
      <c r="K53" s="4"/>
    </row>
    <row r="54" spans="1:11" ht="20.399999999999999" customHeight="1" x14ac:dyDescent="0.3">
      <c r="A54" s="13" t="s">
        <v>88</v>
      </c>
      <c r="B54" s="23">
        <f t="shared" ref="B54:H54" si="14">SUM(B55:B57)</f>
        <v>2560492</v>
      </c>
      <c r="C54" s="15">
        <f t="shared" si="14"/>
        <v>1121455</v>
      </c>
      <c r="D54" s="15">
        <f>SUM(D55:D57)</f>
        <v>61014</v>
      </c>
      <c r="E54" s="24">
        <f t="shared" si="14"/>
        <v>1113819</v>
      </c>
      <c r="F54" s="15">
        <f t="shared" si="14"/>
        <v>100348</v>
      </c>
      <c r="G54" s="15">
        <f t="shared" si="14"/>
        <v>163856</v>
      </c>
      <c r="H54" s="25">
        <f t="shared" si="14"/>
        <v>94782</v>
      </c>
      <c r="I54" s="17" t="s">
        <v>89</v>
      </c>
      <c r="J54" s="17"/>
      <c r="K54" s="17"/>
    </row>
    <row r="55" spans="1:11" x14ac:dyDescent="0.3">
      <c r="A55" s="18" t="s">
        <v>90</v>
      </c>
      <c r="B55" s="19">
        <f t="shared" si="10"/>
        <v>633006</v>
      </c>
      <c r="C55" s="51">
        <v>267754</v>
      </c>
      <c r="D55" s="50">
        <v>15150</v>
      </c>
      <c r="E55" s="51">
        <v>234603</v>
      </c>
      <c r="F55" s="51">
        <v>65385</v>
      </c>
      <c r="G55" s="51">
        <v>50114</v>
      </c>
      <c r="H55" s="53">
        <v>26890</v>
      </c>
      <c r="I55" s="20" t="s">
        <v>91</v>
      </c>
      <c r="J55" s="4"/>
      <c r="K55" s="4"/>
    </row>
    <row r="56" spans="1:11" x14ac:dyDescent="0.3">
      <c r="A56" s="18" t="s">
        <v>92</v>
      </c>
      <c r="B56" s="19">
        <f t="shared" si="10"/>
        <v>940985</v>
      </c>
      <c r="C56" s="51">
        <v>472022</v>
      </c>
      <c r="D56" s="50">
        <v>9323</v>
      </c>
      <c r="E56" s="51">
        <v>425258</v>
      </c>
      <c r="F56" s="51">
        <v>3857</v>
      </c>
      <c r="G56" s="51">
        <v>30525</v>
      </c>
      <c r="H56" s="54">
        <v>10399</v>
      </c>
      <c r="I56" s="20" t="s">
        <v>93</v>
      </c>
      <c r="J56" s="4"/>
      <c r="K56" s="4"/>
    </row>
    <row r="57" spans="1:11" x14ac:dyDescent="0.3">
      <c r="A57" s="18" t="s">
        <v>94</v>
      </c>
      <c r="B57" s="19">
        <f t="shared" si="10"/>
        <v>986501</v>
      </c>
      <c r="C57" s="51">
        <v>381679</v>
      </c>
      <c r="D57" s="50">
        <v>36541</v>
      </c>
      <c r="E57" s="51">
        <v>453958</v>
      </c>
      <c r="F57" s="51">
        <v>31106</v>
      </c>
      <c r="G57" s="51">
        <v>83217</v>
      </c>
      <c r="H57" s="53">
        <v>57493</v>
      </c>
      <c r="I57" s="20" t="s">
        <v>95</v>
      </c>
      <c r="J57" s="4"/>
      <c r="K57" s="4"/>
    </row>
    <row r="58" spans="1:11" ht="20.100000000000001" customHeight="1" x14ac:dyDescent="0.3">
      <c r="A58" s="13" t="s">
        <v>96</v>
      </c>
      <c r="B58" s="23">
        <f t="shared" ref="B58:H58" si="15">SUM(B59:B63)</f>
        <v>2891276</v>
      </c>
      <c r="C58" s="15">
        <f t="shared" si="15"/>
        <v>296190</v>
      </c>
      <c r="D58" s="15">
        <f>SUM(D59:D63)</f>
        <v>36580</v>
      </c>
      <c r="E58" s="24">
        <f t="shared" si="15"/>
        <v>2252498</v>
      </c>
      <c r="F58" s="15">
        <f t="shared" si="15"/>
        <v>159661</v>
      </c>
      <c r="G58" s="15">
        <f t="shared" si="15"/>
        <v>146347</v>
      </c>
      <c r="H58" s="25">
        <f t="shared" si="15"/>
        <v>72403</v>
      </c>
      <c r="I58" s="17" t="s">
        <v>97</v>
      </c>
      <c r="J58" s="17"/>
      <c r="K58" s="17"/>
    </row>
    <row r="59" spans="1:11" x14ac:dyDescent="0.3">
      <c r="A59" s="18" t="s">
        <v>98</v>
      </c>
      <c r="B59" s="19">
        <f t="shared" si="10"/>
        <v>330330</v>
      </c>
      <c r="C59" s="51">
        <v>110764</v>
      </c>
      <c r="D59" s="50">
        <v>7762</v>
      </c>
      <c r="E59" s="51">
        <v>154813</v>
      </c>
      <c r="F59" s="51">
        <v>11604</v>
      </c>
      <c r="G59" s="51">
        <v>45387</v>
      </c>
      <c r="H59" s="53">
        <v>19399</v>
      </c>
      <c r="I59" s="20" t="s">
        <v>99</v>
      </c>
      <c r="J59" s="4"/>
      <c r="K59" s="4"/>
    </row>
    <row r="60" spans="1:11" x14ac:dyDescent="0.3">
      <c r="A60" s="18" t="s">
        <v>100</v>
      </c>
      <c r="B60" s="19">
        <f t="shared" si="10"/>
        <v>465655</v>
      </c>
      <c r="C60" s="51">
        <v>44494</v>
      </c>
      <c r="D60" s="50">
        <v>9929</v>
      </c>
      <c r="E60" s="51">
        <v>378086</v>
      </c>
      <c r="F60" s="51">
        <v>6211</v>
      </c>
      <c r="G60" s="51">
        <v>26935</v>
      </c>
      <c r="H60" s="53">
        <v>22191</v>
      </c>
      <c r="I60" s="20" t="s">
        <v>101</v>
      </c>
      <c r="J60" s="4"/>
      <c r="K60" s="4"/>
    </row>
    <row r="61" spans="1:11" x14ac:dyDescent="0.3">
      <c r="A61" s="18" t="s">
        <v>102</v>
      </c>
      <c r="B61" s="19">
        <f t="shared" si="10"/>
        <v>473394</v>
      </c>
      <c r="C61" s="51">
        <v>68669</v>
      </c>
      <c r="D61" s="50">
        <v>10045</v>
      </c>
      <c r="E61" s="51">
        <v>241245</v>
      </c>
      <c r="F61" s="51">
        <v>117866</v>
      </c>
      <c r="G61" s="51">
        <v>35569</v>
      </c>
      <c r="H61" s="53">
        <v>17929</v>
      </c>
      <c r="I61" s="20" t="s">
        <v>103</v>
      </c>
      <c r="J61" s="4"/>
      <c r="K61" s="4"/>
    </row>
    <row r="62" spans="1:11" x14ac:dyDescent="0.3">
      <c r="A62" s="18" t="s">
        <v>104</v>
      </c>
      <c r="B62" s="19">
        <f t="shared" si="10"/>
        <v>773478</v>
      </c>
      <c r="C62" s="51">
        <v>29488</v>
      </c>
      <c r="D62" s="50">
        <v>2913</v>
      </c>
      <c r="E62" s="51">
        <v>714476</v>
      </c>
      <c r="F62" s="51">
        <v>4005</v>
      </c>
      <c r="G62" s="51">
        <v>22596</v>
      </c>
      <c r="H62" s="53">
        <v>6155</v>
      </c>
      <c r="I62" s="20" t="s">
        <v>105</v>
      </c>
      <c r="J62" s="4"/>
      <c r="K62" s="4"/>
    </row>
    <row r="63" spans="1:11" x14ac:dyDescent="0.3">
      <c r="A63" s="18" t="s">
        <v>106</v>
      </c>
      <c r="B63" s="19">
        <f t="shared" si="10"/>
        <v>848419</v>
      </c>
      <c r="C63" s="51">
        <v>42775</v>
      </c>
      <c r="D63" s="50">
        <v>5931</v>
      </c>
      <c r="E63" s="51">
        <v>763878</v>
      </c>
      <c r="F63" s="51">
        <v>19975</v>
      </c>
      <c r="G63" s="51">
        <v>15860</v>
      </c>
      <c r="H63" s="53">
        <v>6729</v>
      </c>
      <c r="I63" s="20" t="s">
        <v>107</v>
      </c>
      <c r="J63" s="4"/>
      <c r="K63" s="4"/>
    </row>
    <row r="64" spans="1:11" ht="23.25" customHeight="1" x14ac:dyDescent="0.3">
      <c r="A64" s="13" t="s">
        <v>108</v>
      </c>
      <c r="B64" s="23">
        <f t="shared" ref="B64:F64" si="16">SUM(B65:B72)</f>
        <v>246493</v>
      </c>
      <c r="C64" s="15">
        <f t="shared" si="16"/>
        <v>63675</v>
      </c>
      <c r="D64" s="15">
        <f t="shared" si="16"/>
        <v>15583</v>
      </c>
      <c r="E64" s="24">
        <f>SUM(E65:E72)</f>
        <v>113693</v>
      </c>
      <c r="F64" s="15">
        <f t="shared" si="16"/>
        <v>27595</v>
      </c>
      <c r="G64" s="15">
        <f>SUM(G65:G72)</f>
        <v>25947</v>
      </c>
      <c r="H64" s="25">
        <f>SUM(H65:H72)</f>
        <v>19986</v>
      </c>
      <c r="I64" s="17" t="s">
        <v>109</v>
      </c>
      <c r="J64" s="17"/>
      <c r="K64" s="17"/>
    </row>
    <row r="65" spans="1:11" x14ac:dyDescent="0.3">
      <c r="A65" s="59" t="s">
        <v>110</v>
      </c>
      <c r="B65" s="19">
        <f t="shared" si="10"/>
        <v>0</v>
      </c>
      <c r="C65" s="51" t="s">
        <v>193</v>
      </c>
      <c r="D65" s="50" t="s">
        <v>193</v>
      </c>
      <c r="E65" s="51" t="s">
        <v>193</v>
      </c>
      <c r="F65" s="51" t="s">
        <v>193</v>
      </c>
      <c r="G65" s="51" t="s">
        <v>193</v>
      </c>
      <c r="H65" s="53" t="s">
        <v>193</v>
      </c>
      <c r="I65" s="20" t="s">
        <v>111</v>
      </c>
      <c r="J65" s="4"/>
      <c r="K65" s="4"/>
    </row>
    <row r="66" spans="1:11" x14ac:dyDescent="0.3">
      <c r="A66" s="59" t="s">
        <v>112</v>
      </c>
      <c r="B66" s="19">
        <f t="shared" si="10"/>
        <v>2558</v>
      </c>
      <c r="C66" s="51">
        <v>9</v>
      </c>
      <c r="D66" s="50">
        <v>48</v>
      </c>
      <c r="E66" s="51">
        <v>54</v>
      </c>
      <c r="F66" s="51">
        <v>68</v>
      </c>
      <c r="G66" s="52">
        <v>2379</v>
      </c>
      <c r="H66" s="54" t="s">
        <v>193</v>
      </c>
      <c r="I66" s="20" t="s">
        <v>113</v>
      </c>
      <c r="J66" s="4"/>
      <c r="K66" s="4"/>
    </row>
    <row r="67" spans="1:11" x14ac:dyDescent="0.3">
      <c r="A67" s="59" t="s">
        <v>114</v>
      </c>
      <c r="B67" s="19">
        <f t="shared" si="10"/>
        <v>1016</v>
      </c>
      <c r="C67" s="52">
        <v>141</v>
      </c>
      <c r="D67" s="50" t="s">
        <v>193</v>
      </c>
      <c r="E67" s="51">
        <v>197</v>
      </c>
      <c r="F67" s="52">
        <v>48</v>
      </c>
      <c r="G67" s="52">
        <v>630</v>
      </c>
      <c r="H67" s="54">
        <v>584</v>
      </c>
      <c r="I67" s="20" t="s">
        <v>115</v>
      </c>
      <c r="J67" s="4"/>
      <c r="K67" s="4"/>
    </row>
    <row r="68" spans="1:11" x14ac:dyDescent="0.3">
      <c r="A68" s="59" t="s">
        <v>116</v>
      </c>
      <c r="B68" s="19">
        <f t="shared" si="10"/>
        <v>0</v>
      </c>
      <c r="C68" s="52" t="s">
        <v>193</v>
      </c>
      <c r="D68" s="50" t="s">
        <v>193</v>
      </c>
      <c r="E68" s="51" t="s">
        <v>193</v>
      </c>
      <c r="F68" s="52" t="s">
        <v>193</v>
      </c>
      <c r="G68" s="52" t="s">
        <v>193</v>
      </c>
      <c r="H68" s="54" t="s">
        <v>193</v>
      </c>
      <c r="I68" s="20" t="s">
        <v>117</v>
      </c>
      <c r="J68" s="4"/>
      <c r="K68" s="4"/>
    </row>
    <row r="69" spans="1:11" x14ac:dyDescent="0.3">
      <c r="A69" s="59" t="s">
        <v>118</v>
      </c>
      <c r="B69" s="19">
        <f t="shared" si="10"/>
        <v>97211</v>
      </c>
      <c r="C69" s="51">
        <v>21452</v>
      </c>
      <c r="D69" s="50">
        <v>10284</v>
      </c>
      <c r="E69" s="51">
        <v>34316</v>
      </c>
      <c r="F69" s="51">
        <v>16060</v>
      </c>
      <c r="G69" s="51">
        <v>15099</v>
      </c>
      <c r="H69" s="53">
        <v>14431</v>
      </c>
      <c r="I69" s="20" t="s">
        <v>119</v>
      </c>
      <c r="J69" s="4"/>
      <c r="K69" s="4"/>
    </row>
    <row r="70" spans="1:11" x14ac:dyDescent="0.3">
      <c r="A70" s="59" t="s">
        <v>120</v>
      </c>
      <c r="B70" s="19">
        <f t="shared" si="10"/>
        <v>79332</v>
      </c>
      <c r="C70" s="51">
        <v>35661</v>
      </c>
      <c r="D70" s="50">
        <v>1880</v>
      </c>
      <c r="E70" s="51">
        <v>23328</v>
      </c>
      <c r="F70" s="51">
        <v>10624</v>
      </c>
      <c r="G70" s="51">
        <v>7839</v>
      </c>
      <c r="H70" s="53">
        <v>4971</v>
      </c>
      <c r="I70" s="20" t="s">
        <v>121</v>
      </c>
      <c r="J70" s="4"/>
      <c r="K70" s="4"/>
    </row>
    <row r="71" spans="1:11" x14ac:dyDescent="0.3">
      <c r="A71" s="59" t="s">
        <v>122</v>
      </c>
      <c r="B71" s="19">
        <f t="shared" si="10"/>
        <v>1</v>
      </c>
      <c r="C71" s="52" t="s">
        <v>193</v>
      </c>
      <c r="D71" s="55" t="s">
        <v>193</v>
      </c>
      <c r="E71" s="52">
        <v>1</v>
      </c>
      <c r="F71" s="52" t="s">
        <v>193</v>
      </c>
      <c r="G71" s="52" t="s">
        <v>193</v>
      </c>
      <c r="H71" s="54" t="s">
        <v>193</v>
      </c>
      <c r="I71" s="20" t="s">
        <v>123</v>
      </c>
      <c r="J71" s="4"/>
      <c r="K71" s="4"/>
    </row>
    <row r="72" spans="1:11" x14ac:dyDescent="0.3">
      <c r="A72" s="59" t="s">
        <v>124</v>
      </c>
      <c r="B72" s="19">
        <f t="shared" si="10"/>
        <v>66375</v>
      </c>
      <c r="C72" s="51">
        <v>6412</v>
      </c>
      <c r="D72" s="50">
        <v>3371</v>
      </c>
      <c r="E72" s="51">
        <v>55797</v>
      </c>
      <c r="F72" s="51">
        <v>795</v>
      </c>
      <c r="G72" s="51" t="s">
        <v>193</v>
      </c>
      <c r="H72" s="54" t="s">
        <v>193</v>
      </c>
      <c r="I72" s="20" t="s">
        <v>125</v>
      </c>
      <c r="J72" s="4"/>
      <c r="K72" s="4"/>
    </row>
    <row r="73" spans="1:11" ht="25.65" customHeight="1" x14ac:dyDescent="0.3">
      <c r="A73" s="13" t="s">
        <v>126</v>
      </c>
      <c r="B73" s="23">
        <f>SUM(B74:B78)</f>
        <v>678694</v>
      </c>
      <c r="C73" s="15">
        <f>SUM(C74:C78)</f>
        <v>128084</v>
      </c>
      <c r="D73" s="15">
        <f t="shared" ref="D73:H73" si="17">SUM(D74:D78)</f>
        <v>5012</v>
      </c>
      <c r="E73" s="24">
        <f>SUM(E74:E78)</f>
        <v>500144</v>
      </c>
      <c r="F73" s="15">
        <f t="shared" si="17"/>
        <v>18109</v>
      </c>
      <c r="G73" s="15">
        <f t="shared" si="17"/>
        <v>27345</v>
      </c>
      <c r="H73" s="25">
        <f t="shared" si="17"/>
        <v>9755</v>
      </c>
      <c r="I73" s="17" t="s">
        <v>127</v>
      </c>
      <c r="J73" s="17"/>
      <c r="K73" s="17"/>
    </row>
    <row r="74" spans="1:11" x14ac:dyDescent="0.3">
      <c r="A74" s="18" t="s">
        <v>128</v>
      </c>
      <c r="B74" s="19">
        <f t="shared" ref="B74:B92" si="18">SUM(C74:G74)</f>
        <v>416524</v>
      </c>
      <c r="C74" s="51">
        <v>25121</v>
      </c>
      <c r="D74" s="50">
        <v>1778</v>
      </c>
      <c r="E74" s="51">
        <v>384223</v>
      </c>
      <c r="F74" s="51">
        <v>1535</v>
      </c>
      <c r="G74" s="51">
        <v>3867</v>
      </c>
      <c r="H74" s="53">
        <v>918</v>
      </c>
      <c r="I74" s="20" t="s">
        <v>129</v>
      </c>
      <c r="J74" s="4"/>
      <c r="K74" s="4"/>
    </row>
    <row r="75" spans="1:11" x14ac:dyDescent="0.3">
      <c r="A75" s="18" t="s">
        <v>130</v>
      </c>
      <c r="B75" s="19">
        <f t="shared" si="18"/>
        <v>27208</v>
      </c>
      <c r="C75" s="51">
        <v>8656</v>
      </c>
      <c r="D75" s="50">
        <v>910</v>
      </c>
      <c r="E75" s="51">
        <v>10021</v>
      </c>
      <c r="F75" s="51">
        <v>2614</v>
      </c>
      <c r="G75" s="51">
        <v>5007</v>
      </c>
      <c r="H75" s="53">
        <v>3307</v>
      </c>
      <c r="I75" s="20" t="s">
        <v>131</v>
      </c>
      <c r="J75" s="4"/>
      <c r="K75" s="4"/>
    </row>
    <row r="76" spans="1:11" x14ac:dyDescent="0.3">
      <c r="A76" s="18" t="s">
        <v>132</v>
      </c>
      <c r="B76" s="19">
        <f t="shared" si="18"/>
        <v>109611</v>
      </c>
      <c r="C76" s="51">
        <v>89022</v>
      </c>
      <c r="D76" s="50">
        <v>1314</v>
      </c>
      <c r="E76" s="51">
        <v>1853</v>
      </c>
      <c r="F76" s="51">
        <v>4955</v>
      </c>
      <c r="G76" s="51">
        <v>12467</v>
      </c>
      <c r="H76" s="53">
        <v>5</v>
      </c>
      <c r="I76" s="20" t="s">
        <v>133</v>
      </c>
      <c r="J76" s="4"/>
      <c r="K76" s="4"/>
    </row>
    <row r="77" spans="1:11" x14ac:dyDescent="0.3">
      <c r="A77" s="18" t="s">
        <v>134</v>
      </c>
      <c r="B77" s="19">
        <f t="shared" si="18"/>
        <v>69188</v>
      </c>
      <c r="C77" s="51">
        <v>2777</v>
      </c>
      <c r="D77" s="50">
        <v>565</v>
      </c>
      <c r="E77" s="51">
        <v>55922</v>
      </c>
      <c r="F77" s="51">
        <v>8498</v>
      </c>
      <c r="G77" s="51">
        <v>1426</v>
      </c>
      <c r="H77" s="53">
        <v>1139</v>
      </c>
      <c r="I77" s="20" t="s">
        <v>135</v>
      </c>
      <c r="J77" s="4"/>
      <c r="K77" s="4"/>
    </row>
    <row r="78" spans="1:11" x14ac:dyDescent="0.3">
      <c r="A78" s="18" t="s">
        <v>136</v>
      </c>
      <c r="B78" s="19">
        <f t="shared" si="18"/>
        <v>56163</v>
      </c>
      <c r="C78" s="51">
        <v>2508</v>
      </c>
      <c r="D78" s="50">
        <v>445</v>
      </c>
      <c r="E78" s="51">
        <v>48125</v>
      </c>
      <c r="F78" s="51">
        <v>507</v>
      </c>
      <c r="G78" s="51">
        <v>4578</v>
      </c>
      <c r="H78" s="53">
        <v>4386</v>
      </c>
      <c r="I78" s="20" t="s">
        <v>137</v>
      </c>
      <c r="J78" s="4"/>
      <c r="K78" s="4"/>
    </row>
    <row r="79" spans="1:11" ht="20.7" customHeight="1" x14ac:dyDescent="0.3">
      <c r="A79" s="13" t="s">
        <v>138</v>
      </c>
      <c r="B79" s="23">
        <f t="shared" ref="B79:H79" si="19">SUM(B80:B92)</f>
        <v>348176</v>
      </c>
      <c r="C79" s="15">
        <f>SUM(C80:C92)</f>
        <v>124777</v>
      </c>
      <c r="D79" s="15">
        <f t="shared" si="19"/>
        <v>7166</v>
      </c>
      <c r="E79" s="24">
        <f>SUM(E80:E92)</f>
        <v>133905</v>
      </c>
      <c r="F79" s="15">
        <f t="shared" si="19"/>
        <v>23741</v>
      </c>
      <c r="G79" s="15">
        <f>SUM(G80:G92)</f>
        <v>58587</v>
      </c>
      <c r="H79" s="25">
        <f t="shared" si="19"/>
        <v>38079</v>
      </c>
      <c r="I79" s="17" t="s">
        <v>139</v>
      </c>
      <c r="J79" s="17"/>
      <c r="K79" s="17"/>
    </row>
    <row r="80" spans="1:11" x14ac:dyDescent="0.3">
      <c r="A80" s="18" t="s">
        <v>140</v>
      </c>
      <c r="B80" s="19">
        <f t="shared" si="18"/>
        <v>2585</v>
      </c>
      <c r="C80" s="51">
        <v>1495</v>
      </c>
      <c r="D80" s="50">
        <v>287</v>
      </c>
      <c r="E80" s="51">
        <v>224</v>
      </c>
      <c r="F80" s="51">
        <v>152</v>
      </c>
      <c r="G80" s="51">
        <v>427</v>
      </c>
      <c r="H80" s="54" t="s">
        <v>193</v>
      </c>
      <c r="I80" s="20" t="s">
        <v>141</v>
      </c>
      <c r="J80" s="4"/>
      <c r="K80" s="4"/>
    </row>
    <row r="81" spans="1:11" x14ac:dyDescent="0.3">
      <c r="A81" s="18" t="s">
        <v>142</v>
      </c>
      <c r="B81" s="19">
        <f t="shared" si="18"/>
        <v>21481</v>
      </c>
      <c r="C81" s="51">
        <v>10390</v>
      </c>
      <c r="D81" s="50">
        <v>869</v>
      </c>
      <c r="E81" s="51">
        <v>4880</v>
      </c>
      <c r="F81" s="51">
        <v>752</v>
      </c>
      <c r="G81" s="51">
        <v>4590</v>
      </c>
      <c r="H81" s="53">
        <v>4090</v>
      </c>
      <c r="I81" s="20" t="s">
        <v>143</v>
      </c>
      <c r="J81" s="4"/>
      <c r="K81" s="4"/>
    </row>
    <row r="82" spans="1:11" x14ac:dyDescent="0.3">
      <c r="A82" s="18" t="s">
        <v>144</v>
      </c>
      <c r="B82" s="19">
        <f t="shared" si="18"/>
        <v>34143</v>
      </c>
      <c r="C82" s="51">
        <v>6451</v>
      </c>
      <c r="D82" s="50">
        <v>766</v>
      </c>
      <c r="E82" s="51">
        <v>7779</v>
      </c>
      <c r="F82" s="51">
        <v>13052</v>
      </c>
      <c r="G82" s="51">
        <v>6095</v>
      </c>
      <c r="H82" s="53">
        <v>4885</v>
      </c>
      <c r="I82" s="20" t="s">
        <v>145</v>
      </c>
      <c r="J82" s="4"/>
      <c r="K82" s="4"/>
    </row>
    <row r="83" spans="1:11" x14ac:dyDescent="0.3">
      <c r="A83" s="18" t="s">
        <v>146</v>
      </c>
      <c r="B83" s="19">
        <f>SUM(C83:G83)</f>
        <v>14858</v>
      </c>
      <c r="C83" s="51">
        <v>5288</v>
      </c>
      <c r="D83" s="50">
        <v>712</v>
      </c>
      <c r="E83" s="51">
        <v>2427</v>
      </c>
      <c r="F83" s="51">
        <v>251</v>
      </c>
      <c r="G83" s="51">
        <v>6180</v>
      </c>
      <c r="H83" s="54">
        <v>4540</v>
      </c>
      <c r="I83" s="20" t="s">
        <v>147</v>
      </c>
      <c r="J83" s="4"/>
      <c r="K83" s="4"/>
    </row>
    <row r="84" spans="1:11" x14ac:dyDescent="0.3">
      <c r="A84" s="18" t="s">
        <v>189</v>
      </c>
      <c r="B84" s="19">
        <f t="shared" si="18"/>
        <v>9781</v>
      </c>
      <c r="C84" s="51">
        <v>2067</v>
      </c>
      <c r="D84" s="50">
        <v>40</v>
      </c>
      <c r="E84" s="51">
        <v>5060</v>
      </c>
      <c r="F84" s="51">
        <v>131</v>
      </c>
      <c r="G84" s="51">
        <v>2483</v>
      </c>
      <c r="H84" s="53">
        <v>2474</v>
      </c>
      <c r="I84" s="20" t="s">
        <v>191</v>
      </c>
      <c r="J84" s="4"/>
      <c r="K84" s="4"/>
    </row>
    <row r="85" spans="1:11" x14ac:dyDescent="0.3">
      <c r="A85" s="18" t="s">
        <v>190</v>
      </c>
      <c r="B85" s="19">
        <f t="shared" si="18"/>
        <v>18390</v>
      </c>
      <c r="C85" s="51">
        <v>8002</v>
      </c>
      <c r="D85" s="50">
        <v>171</v>
      </c>
      <c r="E85" s="51">
        <v>3623</v>
      </c>
      <c r="F85" s="51">
        <v>380</v>
      </c>
      <c r="G85" s="51">
        <v>6214</v>
      </c>
      <c r="H85" s="53" t="s">
        <v>193</v>
      </c>
      <c r="I85" s="20" t="s">
        <v>192</v>
      </c>
      <c r="J85" s="4"/>
      <c r="K85" s="4"/>
    </row>
    <row r="86" spans="1:11" x14ac:dyDescent="0.3">
      <c r="A86" s="18" t="s">
        <v>148</v>
      </c>
      <c r="B86" s="19">
        <f t="shared" si="18"/>
        <v>30005</v>
      </c>
      <c r="C86" s="51">
        <v>16155</v>
      </c>
      <c r="D86" s="50">
        <v>883</v>
      </c>
      <c r="E86" s="51">
        <v>10978</v>
      </c>
      <c r="F86" s="51">
        <v>491</v>
      </c>
      <c r="G86" s="51">
        <v>1498</v>
      </c>
      <c r="H86" s="53" t="s">
        <v>193</v>
      </c>
      <c r="I86" s="20" t="s">
        <v>149</v>
      </c>
      <c r="J86" s="4"/>
      <c r="K86" s="4"/>
    </row>
    <row r="87" spans="1:11" x14ac:dyDescent="0.3">
      <c r="A87" s="18" t="s">
        <v>150</v>
      </c>
      <c r="B87" s="19">
        <f t="shared" si="18"/>
        <v>13390</v>
      </c>
      <c r="C87" s="51">
        <v>4970</v>
      </c>
      <c r="D87" s="50">
        <v>494</v>
      </c>
      <c r="E87" s="51">
        <v>4257</v>
      </c>
      <c r="F87" s="51">
        <v>365</v>
      </c>
      <c r="G87" s="51">
        <v>3304</v>
      </c>
      <c r="H87" s="53">
        <v>1468</v>
      </c>
      <c r="I87" s="20" t="s">
        <v>151</v>
      </c>
      <c r="J87" s="4"/>
      <c r="K87" s="4"/>
    </row>
    <row r="88" spans="1:11" x14ac:dyDescent="0.3">
      <c r="A88" s="18" t="s">
        <v>152</v>
      </c>
      <c r="B88" s="19">
        <f t="shared" si="18"/>
        <v>2779</v>
      </c>
      <c r="C88" s="51">
        <v>1997</v>
      </c>
      <c r="D88" s="50">
        <v>11</v>
      </c>
      <c r="E88" s="51">
        <v>15</v>
      </c>
      <c r="F88" s="51">
        <v>58</v>
      </c>
      <c r="G88" s="51">
        <v>698</v>
      </c>
      <c r="H88" s="54" t="s">
        <v>193</v>
      </c>
      <c r="I88" s="20" t="s">
        <v>153</v>
      </c>
      <c r="J88" s="4"/>
      <c r="K88" s="4"/>
    </row>
    <row r="89" spans="1:11" x14ac:dyDescent="0.3">
      <c r="A89" s="18" t="s">
        <v>154</v>
      </c>
      <c r="B89" s="19">
        <f t="shared" si="18"/>
        <v>46158</v>
      </c>
      <c r="C89" s="51">
        <v>31849</v>
      </c>
      <c r="D89" s="50">
        <v>644</v>
      </c>
      <c r="E89" s="51">
        <v>8264</v>
      </c>
      <c r="F89" s="51">
        <v>1059</v>
      </c>
      <c r="G89" s="51">
        <v>4342</v>
      </c>
      <c r="H89" s="53">
        <v>1909</v>
      </c>
      <c r="I89" s="20" t="s">
        <v>155</v>
      </c>
      <c r="J89" s="4"/>
      <c r="K89" s="4"/>
    </row>
    <row r="90" spans="1:11" x14ac:dyDescent="0.3">
      <c r="A90" s="18" t="s">
        <v>156</v>
      </c>
      <c r="B90" s="19">
        <f t="shared" si="18"/>
        <v>17027</v>
      </c>
      <c r="C90" s="51">
        <v>8831</v>
      </c>
      <c r="D90" s="50">
        <v>458</v>
      </c>
      <c r="E90" s="51">
        <v>3778</v>
      </c>
      <c r="F90" s="51">
        <v>1802</v>
      </c>
      <c r="G90" s="51">
        <v>2158</v>
      </c>
      <c r="H90" s="54">
        <v>2158</v>
      </c>
      <c r="I90" s="20" t="s">
        <v>157</v>
      </c>
      <c r="J90" s="4"/>
      <c r="K90" s="4"/>
    </row>
    <row r="91" spans="1:11" x14ac:dyDescent="0.3">
      <c r="A91" s="18" t="s">
        <v>158</v>
      </c>
      <c r="B91" s="19">
        <f t="shared" si="18"/>
        <v>129066</v>
      </c>
      <c r="C91" s="51">
        <v>25257</v>
      </c>
      <c r="D91" s="50">
        <v>1600</v>
      </c>
      <c r="E91" s="51">
        <v>80968</v>
      </c>
      <c r="F91" s="51">
        <v>4588</v>
      </c>
      <c r="G91" s="51">
        <v>16653</v>
      </c>
      <c r="H91" s="53">
        <v>16555</v>
      </c>
      <c r="I91" s="20" t="s">
        <v>159</v>
      </c>
      <c r="J91" s="4"/>
      <c r="K91" s="4"/>
    </row>
    <row r="92" spans="1:11" x14ac:dyDescent="0.3">
      <c r="A92" s="18" t="s">
        <v>160</v>
      </c>
      <c r="B92" s="19">
        <f t="shared" si="18"/>
        <v>8513</v>
      </c>
      <c r="C92" s="51">
        <v>2025</v>
      </c>
      <c r="D92" s="50">
        <v>231</v>
      </c>
      <c r="E92" s="51">
        <v>1652</v>
      </c>
      <c r="F92" s="51">
        <v>660</v>
      </c>
      <c r="G92" s="51">
        <v>3945</v>
      </c>
      <c r="H92" s="54" t="s">
        <v>193</v>
      </c>
      <c r="I92" s="20" t="s">
        <v>161</v>
      </c>
      <c r="J92" s="4"/>
      <c r="K92" s="4"/>
    </row>
    <row r="93" spans="1:11" x14ac:dyDescent="0.3">
      <c r="A93" s="13" t="s">
        <v>162</v>
      </c>
      <c r="B93" s="23">
        <f t="shared" ref="B93:H93" si="20">SUM(B94:B97)</f>
        <v>2429227</v>
      </c>
      <c r="C93" s="15">
        <f>SUM(C94:C97)</f>
        <v>188692</v>
      </c>
      <c r="D93" s="15">
        <f t="shared" si="20"/>
        <v>46542</v>
      </c>
      <c r="E93" s="24">
        <f t="shared" si="20"/>
        <v>1986254</v>
      </c>
      <c r="F93" s="15">
        <f t="shared" si="20"/>
        <v>119324</v>
      </c>
      <c r="G93" s="15">
        <f t="shared" si="20"/>
        <v>88415</v>
      </c>
      <c r="H93" s="25">
        <f t="shared" si="20"/>
        <v>44261</v>
      </c>
      <c r="I93" s="17" t="s">
        <v>163</v>
      </c>
      <c r="J93" s="17"/>
      <c r="K93" s="17"/>
    </row>
    <row r="94" spans="1:11" x14ac:dyDescent="0.3">
      <c r="A94" s="18" t="s">
        <v>164</v>
      </c>
      <c r="B94" s="19">
        <f t="shared" ref="B94:B97" si="21">SUM(C94:G94)</f>
        <v>1185892</v>
      </c>
      <c r="C94" s="51">
        <v>72359</v>
      </c>
      <c r="D94" s="50">
        <v>17246</v>
      </c>
      <c r="E94" s="51">
        <v>959243</v>
      </c>
      <c r="F94" s="51">
        <v>91507</v>
      </c>
      <c r="G94" s="51">
        <v>45537</v>
      </c>
      <c r="H94" s="53">
        <v>17804</v>
      </c>
      <c r="I94" s="20" t="s">
        <v>165</v>
      </c>
      <c r="J94" s="4"/>
      <c r="K94" s="4"/>
    </row>
    <row r="95" spans="1:11" x14ac:dyDescent="0.3">
      <c r="A95" s="18" t="s">
        <v>166</v>
      </c>
      <c r="B95" s="19">
        <f t="shared" si="21"/>
        <v>386929</v>
      </c>
      <c r="C95" s="51">
        <v>22586</v>
      </c>
      <c r="D95" s="50">
        <v>16600</v>
      </c>
      <c r="E95" s="51">
        <v>317474</v>
      </c>
      <c r="F95" s="51">
        <v>9578</v>
      </c>
      <c r="G95" s="51">
        <v>20691</v>
      </c>
      <c r="H95" s="53">
        <v>19543</v>
      </c>
      <c r="I95" s="20" t="s">
        <v>167</v>
      </c>
      <c r="J95" s="4"/>
      <c r="K95" s="4"/>
    </row>
    <row r="96" spans="1:11" x14ac:dyDescent="0.3">
      <c r="A96" s="18" t="s">
        <v>168</v>
      </c>
      <c r="B96" s="19">
        <f t="shared" si="21"/>
        <v>424990</v>
      </c>
      <c r="C96" s="51">
        <v>78041</v>
      </c>
      <c r="D96" s="50">
        <v>4779</v>
      </c>
      <c r="E96" s="51">
        <v>322571</v>
      </c>
      <c r="F96" s="51">
        <v>9430</v>
      </c>
      <c r="G96" s="51">
        <v>10169</v>
      </c>
      <c r="H96" s="53">
        <v>2919</v>
      </c>
      <c r="I96" s="20" t="s">
        <v>169</v>
      </c>
      <c r="J96" s="4"/>
      <c r="K96" s="4"/>
    </row>
    <row r="97" spans="1:12" ht="15" thickBot="1" x14ac:dyDescent="0.35">
      <c r="A97" s="34" t="s">
        <v>170</v>
      </c>
      <c r="B97" s="35">
        <f t="shared" si="21"/>
        <v>431416</v>
      </c>
      <c r="C97" s="56">
        <v>15706</v>
      </c>
      <c r="D97" s="57">
        <v>7917</v>
      </c>
      <c r="E97" s="56">
        <v>386966</v>
      </c>
      <c r="F97" s="56">
        <v>8809</v>
      </c>
      <c r="G97" s="56">
        <v>12018</v>
      </c>
      <c r="H97" s="58">
        <v>3995</v>
      </c>
      <c r="I97" s="36" t="s">
        <v>171</v>
      </c>
      <c r="J97" s="37"/>
      <c r="K97" s="37"/>
    </row>
    <row r="98" spans="1:12" ht="4.3499999999999996" customHeight="1" x14ac:dyDescent="0.3">
      <c r="A98" s="38"/>
      <c r="B98" s="39"/>
      <c r="C98" s="40"/>
      <c r="D98" s="40"/>
      <c r="E98" s="40"/>
      <c r="F98" s="40"/>
      <c r="G98" s="40"/>
      <c r="H98" s="40"/>
      <c r="I98" s="5"/>
      <c r="J98" s="4"/>
      <c r="K98" s="4"/>
    </row>
    <row r="99" spans="1:12" s="3" customFormat="1" ht="38.25" customHeight="1" x14ac:dyDescent="0.3">
      <c r="A99" s="65" t="s">
        <v>187</v>
      </c>
      <c r="B99" s="65"/>
      <c r="C99" s="65"/>
      <c r="F99" s="72" t="s">
        <v>188</v>
      </c>
      <c r="G99" s="72"/>
      <c r="H99" s="72"/>
      <c r="I99" s="72"/>
      <c r="J99" s="72"/>
      <c r="K99" s="72"/>
      <c r="L99" s="72"/>
    </row>
    <row r="100" spans="1:12" ht="48.45" customHeight="1" x14ac:dyDescent="0.3">
      <c r="A100" s="73" t="s">
        <v>180</v>
      </c>
      <c r="B100" s="73"/>
      <c r="C100" s="73"/>
      <c r="F100" s="73" t="s">
        <v>181</v>
      </c>
      <c r="G100" s="73"/>
      <c r="H100" s="73"/>
      <c r="I100" s="73"/>
      <c r="J100" s="73"/>
      <c r="K100" s="73"/>
      <c r="L100" s="73"/>
    </row>
    <row r="112" spans="1:12" x14ac:dyDescent="0.3">
      <c r="A112" s="41"/>
    </row>
    <row r="113" spans="1:8" x14ac:dyDescent="0.3">
      <c r="A113" s="79"/>
      <c r="B113" s="79"/>
      <c r="C113" s="79"/>
      <c r="D113" s="79"/>
      <c r="E113" s="79"/>
      <c r="F113" s="79"/>
      <c r="G113" s="80"/>
      <c r="H113" s="42"/>
    </row>
    <row r="114" spans="1:8" x14ac:dyDescent="0.3">
      <c r="A114" s="79"/>
      <c r="B114" s="79"/>
      <c r="C114" s="79"/>
      <c r="D114" s="79"/>
      <c r="E114" s="79"/>
      <c r="F114" s="79"/>
      <c r="G114" s="80"/>
      <c r="H114" s="42"/>
    </row>
    <row r="115" spans="1:8" x14ac:dyDescent="0.3">
      <c r="A115" s="79"/>
      <c r="B115" s="79"/>
      <c r="C115" s="79"/>
      <c r="D115" s="79"/>
      <c r="E115" s="79"/>
      <c r="F115" s="79"/>
      <c r="G115" s="80"/>
      <c r="H115" s="42"/>
    </row>
    <row r="116" spans="1:8" x14ac:dyDescent="0.3">
      <c r="A116" s="41"/>
      <c r="F116" s="76"/>
      <c r="G116" s="76"/>
      <c r="H116" s="43"/>
    </row>
    <row r="117" spans="1:8" x14ac:dyDescent="0.3">
      <c r="A117" s="77"/>
      <c r="B117" s="77"/>
      <c r="C117" s="78"/>
      <c r="D117" s="78"/>
      <c r="E117" s="78"/>
      <c r="F117" s="77"/>
      <c r="G117" s="77"/>
      <c r="H117" s="44"/>
    </row>
    <row r="118" spans="1:8" x14ac:dyDescent="0.3">
      <c r="A118" s="77"/>
      <c r="B118" s="78"/>
      <c r="C118" s="78"/>
      <c r="D118" s="78"/>
      <c r="E118" s="78"/>
      <c r="F118" s="77"/>
      <c r="G118" s="77"/>
      <c r="H118" s="44"/>
    </row>
    <row r="119" spans="1:8" x14ac:dyDescent="0.3">
      <c r="A119" s="77"/>
      <c r="B119" s="77"/>
      <c r="C119" s="77"/>
      <c r="D119" s="77"/>
      <c r="E119" s="77"/>
      <c r="F119" s="77"/>
      <c r="G119" s="77"/>
      <c r="H119" s="44"/>
    </row>
    <row r="120" spans="1:8" x14ac:dyDescent="0.3">
      <c r="A120" s="77"/>
      <c r="B120" s="45"/>
      <c r="C120" s="45"/>
      <c r="D120" s="45"/>
      <c r="E120" s="45"/>
      <c r="F120" s="45"/>
      <c r="G120" s="45"/>
      <c r="H120" s="45"/>
    </row>
    <row r="121" spans="1:8" x14ac:dyDescent="0.3">
      <c r="A121" s="46"/>
    </row>
    <row r="122" spans="1:8" x14ac:dyDescent="0.3">
      <c r="A122" s="47"/>
    </row>
    <row r="123" spans="1:8" x14ac:dyDescent="0.3">
      <c r="A123" s="74"/>
      <c r="B123" s="75"/>
      <c r="C123" s="75"/>
      <c r="D123" s="75"/>
      <c r="E123" s="75"/>
      <c r="F123" s="75"/>
      <c r="G123" s="75"/>
      <c r="H123" s="48"/>
    </row>
    <row r="124" spans="1:8" x14ac:dyDescent="0.3">
      <c r="A124" s="74"/>
      <c r="B124" s="75"/>
      <c r="C124" s="75"/>
      <c r="D124" s="75"/>
      <c r="E124" s="75"/>
      <c r="F124" s="75"/>
      <c r="G124" s="75"/>
      <c r="H124" s="48"/>
    </row>
    <row r="125" spans="1:8" x14ac:dyDescent="0.3">
      <c r="A125" s="74"/>
      <c r="B125" s="75"/>
      <c r="C125" s="75"/>
      <c r="D125" s="75"/>
      <c r="E125" s="75"/>
      <c r="F125" s="75"/>
      <c r="G125" s="75"/>
      <c r="H125" s="48"/>
    </row>
    <row r="126" spans="1:8" x14ac:dyDescent="0.3">
      <c r="A126" s="47"/>
      <c r="F126" s="5"/>
      <c r="G126" s="5"/>
      <c r="H126" s="5"/>
    </row>
    <row r="127" spans="1:8" x14ac:dyDescent="0.3">
      <c r="A127" s="47"/>
      <c r="F127" s="5"/>
      <c r="G127" s="5"/>
      <c r="H127" s="5"/>
    </row>
    <row r="128" spans="1:8" x14ac:dyDescent="0.3">
      <c r="A128" s="47"/>
      <c r="F128" s="5"/>
      <c r="G128" s="5"/>
      <c r="H128" s="5"/>
    </row>
    <row r="129" spans="1:8" x14ac:dyDescent="0.3">
      <c r="A129" s="47"/>
      <c r="F129" s="5"/>
      <c r="G129" s="5"/>
      <c r="H129" s="5"/>
    </row>
    <row r="130" spans="1:8" x14ac:dyDescent="0.3">
      <c r="A130" s="47"/>
      <c r="F130" s="5"/>
      <c r="G130" s="5"/>
      <c r="H130" s="5"/>
    </row>
    <row r="131" spans="1:8" x14ac:dyDescent="0.3">
      <c r="A131" s="47"/>
      <c r="F131" s="5"/>
      <c r="G131" s="5"/>
      <c r="H131" s="5"/>
    </row>
    <row r="132" spans="1:8" x14ac:dyDescent="0.3">
      <c r="A132" s="74"/>
    </row>
    <row r="133" spans="1:8" x14ac:dyDescent="0.3">
      <c r="A133" s="74"/>
    </row>
    <row r="134" spans="1:8" x14ac:dyDescent="0.3">
      <c r="A134" s="47"/>
      <c r="F134" s="5"/>
      <c r="G134" s="5"/>
      <c r="H134" s="5"/>
    </row>
    <row r="135" spans="1:8" x14ac:dyDescent="0.3">
      <c r="A135" s="47"/>
      <c r="F135" s="5"/>
      <c r="G135" s="5"/>
      <c r="H135" s="5"/>
    </row>
    <row r="136" spans="1:8" x14ac:dyDescent="0.3">
      <c r="A136" s="47"/>
      <c r="F136" s="5"/>
      <c r="G136" s="5"/>
      <c r="H136" s="5"/>
    </row>
    <row r="137" spans="1:8" x14ac:dyDescent="0.3">
      <c r="A137" s="47"/>
      <c r="F137" s="5"/>
      <c r="G137" s="5"/>
      <c r="H137" s="5"/>
    </row>
    <row r="138" spans="1:8" x14ac:dyDescent="0.3">
      <c r="A138" s="47"/>
      <c r="F138" s="5"/>
      <c r="G138" s="5"/>
      <c r="H138" s="5"/>
    </row>
    <row r="139" spans="1:8" x14ac:dyDescent="0.3">
      <c r="A139" s="47"/>
      <c r="F139" s="5"/>
      <c r="G139" s="5"/>
      <c r="H139" s="5"/>
    </row>
    <row r="140" spans="1:8" x14ac:dyDescent="0.3">
      <c r="A140" s="47"/>
      <c r="F140" s="5"/>
      <c r="G140" s="5"/>
      <c r="H140" s="5"/>
    </row>
    <row r="141" spans="1:8" x14ac:dyDescent="0.3">
      <c r="A141" s="47"/>
      <c r="F141" s="5"/>
      <c r="G141" s="5"/>
      <c r="H141" s="5"/>
    </row>
    <row r="142" spans="1:8" x14ac:dyDescent="0.3">
      <c r="A142" s="47"/>
      <c r="F142" s="5"/>
      <c r="G142" s="5"/>
      <c r="H142" s="5"/>
    </row>
    <row r="143" spans="1:8" x14ac:dyDescent="0.3">
      <c r="A143" s="47"/>
      <c r="F143" s="5"/>
      <c r="G143" s="5"/>
      <c r="H143" s="5"/>
    </row>
    <row r="144" spans="1:8" x14ac:dyDescent="0.3">
      <c r="A144" s="47"/>
      <c r="F144" s="5"/>
      <c r="G144" s="5"/>
      <c r="H144" s="5"/>
    </row>
    <row r="145" spans="1:8" x14ac:dyDescent="0.3">
      <c r="A145" s="70"/>
    </row>
    <row r="146" spans="1:8" x14ac:dyDescent="0.3">
      <c r="A146" s="70"/>
    </row>
    <row r="147" spans="1:8" x14ac:dyDescent="0.3">
      <c r="A147" s="47"/>
      <c r="F147" s="5"/>
      <c r="G147" s="5"/>
      <c r="H147" s="5"/>
    </row>
    <row r="148" spans="1:8" x14ac:dyDescent="0.3">
      <c r="A148" s="47"/>
      <c r="F148" s="5"/>
      <c r="G148" s="5"/>
      <c r="H148" s="5"/>
    </row>
    <row r="149" spans="1:8" x14ac:dyDescent="0.3">
      <c r="A149" s="47"/>
      <c r="F149" s="5"/>
      <c r="G149" s="5"/>
      <c r="H149" s="5"/>
    </row>
    <row r="150" spans="1:8" x14ac:dyDescent="0.3">
      <c r="A150" s="47"/>
      <c r="F150" s="5"/>
      <c r="G150" s="5"/>
      <c r="H150" s="5"/>
    </row>
    <row r="151" spans="1:8" x14ac:dyDescent="0.3">
      <c r="A151" s="70"/>
    </row>
    <row r="152" spans="1:8" x14ac:dyDescent="0.3">
      <c r="A152" s="70"/>
    </row>
    <row r="153" spans="1:8" x14ac:dyDescent="0.3">
      <c r="A153" s="47"/>
      <c r="F153" s="5"/>
      <c r="G153" s="5"/>
      <c r="H153" s="5"/>
    </row>
    <row r="154" spans="1:8" x14ac:dyDescent="0.3">
      <c r="A154" s="47"/>
      <c r="F154" s="5"/>
      <c r="G154" s="5"/>
      <c r="H154" s="5"/>
    </row>
    <row r="155" spans="1:8" x14ac:dyDescent="0.3">
      <c r="A155" s="47"/>
      <c r="F155" s="5"/>
      <c r="G155" s="5"/>
      <c r="H155" s="5"/>
    </row>
    <row r="156" spans="1:8" x14ac:dyDescent="0.3">
      <c r="A156" s="47"/>
      <c r="F156" s="5"/>
      <c r="G156" s="5"/>
      <c r="H156" s="5"/>
    </row>
    <row r="157" spans="1:8" x14ac:dyDescent="0.3">
      <c r="A157" s="47"/>
      <c r="F157" s="5"/>
      <c r="G157" s="5"/>
      <c r="H157" s="5"/>
    </row>
    <row r="158" spans="1:8" x14ac:dyDescent="0.3">
      <c r="A158" s="70"/>
    </row>
    <row r="159" spans="1:8" x14ac:dyDescent="0.3">
      <c r="A159" s="70"/>
    </row>
    <row r="160" spans="1:8" x14ac:dyDescent="0.3">
      <c r="A160" s="47"/>
      <c r="F160" s="5"/>
      <c r="G160" s="5"/>
      <c r="H160" s="5"/>
    </row>
    <row r="161" spans="1:8" x14ac:dyDescent="0.3">
      <c r="A161" s="47"/>
      <c r="F161" s="5"/>
      <c r="G161" s="5"/>
      <c r="H161" s="5"/>
    </row>
    <row r="162" spans="1:8" x14ac:dyDescent="0.3">
      <c r="A162" s="47"/>
      <c r="F162" s="5"/>
      <c r="G162" s="5"/>
      <c r="H162" s="5"/>
    </row>
    <row r="163" spans="1:8" x14ac:dyDescent="0.3">
      <c r="A163" s="47"/>
      <c r="F163" s="5"/>
      <c r="G163" s="5"/>
      <c r="H163" s="5"/>
    </row>
    <row r="164" spans="1:8" x14ac:dyDescent="0.3">
      <c r="A164" s="47"/>
      <c r="F164" s="5"/>
      <c r="G164" s="5"/>
      <c r="H164" s="5"/>
    </row>
    <row r="165" spans="1:8" x14ac:dyDescent="0.3">
      <c r="A165" s="70"/>
    </row>
    <row r="166" spans="1:8" x14ac:dyDescent="0.3">
      <c r="A166" s="70"/>
    </row>
    <row r="167" spans="1:8" x14ac:dyDescent="0.3">
      <c r="A167" s="47"/>
      <c r="F167" s="5"/>
      <c r="G167" s="5"/>
      <c r="H167" s="5"/>
    </row>
    <row r="168" spans="1:8" x14ac:dyDescent="0.3">
      <c r="A168" s="47"/>
      <c r="F168" s="5"/>
      <c r="G168" s="5"/>
      <c r="H168" s="5"/>
    </row>
    <row r="169" spans="1:8" x14ac:dyDescent="0.3">
      <c r="A169" s="47"/>
      <c r="F169" s="5"/>
      <c r="G169" s="5"/>
      <c r="H169" s="5"/>
    </row>
    <row r="170" spans="1:8" x14ac:dyDescent="0.3">
      <c r="A170" s="47"/>
      <c r="F170" s="5"/>
      <c r="G170" s="5"/>
      <c r="H170" s="5"/>
    </row>
    <row r="171" spans="1:8" x14ac:dyDescent="0.3">
      <c r="A171" s="47"/>
      <c r="F171" s="5"/>
      <c r="G171" s="5"/>
      <c r="H171" s="5"/>
    </row>
    <row r="172" spans="1:8" x14ac:dyDescent="0.3">
      <c r="A172" s="70"/>
    </row>
    <row r="173" spans="1:8" x14ac:dyDescent="0.3">
      <c r="A173" s="70"/>
    </row>
    <row r="174" spans="1:8" x14ac:dyDescent="0.3">
      <c r="A174" s="47"/>
      <c r="F174" s="5"/>
      <c r="G174" s="5"/>
      <c r="H174" s="5"/>
    </row>
    <row r="175" spans="1:8" x14ac:dyDescent="0.3">
      <c r="A175" s="47"/>
      <c r="F175" s="5"/>
      <c r="G175" s="5"/>
      <c r="H175" s="5"/>
    </row>
    <row r="176" spans="1:8" x14ac:dyDescent="0.3">
      <c r="A176" s="47"/>
      <c r="F176" s="5"/>
      <c r="G176" s="5"/>
      <c r="H176" s="5"/>
    </row>
    <row r="177" spans="1:8" x14ac:dyDescent="0.3">
      <c r="A177" s="70"/>
    </row>
    <row r="178" spans="1:8" x14ac:dyDescent="0.3">
      <c r="A178" s="70"/>
    </row>
    <row r="179" spans="1:8" x14ac:dyDescent="0.3">
      <c r="A179" s="47"/>
      <c r="F179" s="5"/>
      <c r="G179" s="5"/>
      <c r="H179" s="5"/>
    </row>
    <row r="180" spans="1:8" x14ac:dyDescent="0.3">
      <c r="A180" s="47"/>
      <c r="F180" s="5"/>
      <c r="G180" s="5"/>
      <c r="H180" s="5"/>
    </row>
    <row r="181" spans="1:8" x14ac:dyDescent="0.3">
      <c r="A181" s="47"/>
      <c r="F181" s="5"/>
      <c r="G181" s="5"/>
      <c r="H181" s="5"/>
    </row>
    <row r="182" spans="1:8" x14ac:dyDescent="0.3">
      <c r="A182" s="47"/>
      <c r="F182" s="5"/>
      <c r="G182" s="5"/>
      <c r="H182" s="5"/>
    </row>
    <row r="183" spans="1:8" x14ac:dyDescent="0.3">
      <c r="A183" s="47"/>
      <c r="F183" s="5"/>
      <c r="G183" s="5"/>
      <c r="H183" s="5"/>
    </row>
    <row r="184" spans="1:8" x14ac:dyDescent="0.3">
      <c r="A184" s="70"/>
    </row>
    <row r="185" spans="1:8" x14ac:dyDescent="0.3">
      <c r="A185" s="70"/>
    </row>
    <row r="186" spans="1:8" x14ac:dyDescent="0.3">
      <c r="A186" s="47"/>
      <c r="F186" s="5"/>
      <c r="G186" s="5"/>
      <c r="H186" s="5"/>
    </row>
    <row r="187" spans="1:8" x14ac:dyDescent="0.3">
      <c r="A187" s="47"/>
      <c r="F187" s="5"/>
      <c r="G187" s="5"/>
      <c r="H187" s="5"/>
    </row>
    <row r="188" spans="1:8" x14ac:dyDescent="0.3">
      <c r="A188" s="47"/>
      <c r="F188" s="5"/>
      <c r="G188" s="5"/>
      <c r="H188" s="5"/>
    </row>
    <row r="189" spans="1:8" x14ac:dyDescent="0.3">
      <c r="A189" s="47"/>
      <c r="F189" s="5"/>
      <c r="G189" s="5"/>
      <c r="H189" s="5"/>
    </row>
    <row r="190" spans="1:8" x14ac:dyDescent="0.3">
      <c r="A190" s="47"/>
      <c r="F190" s="5"/>
      <c r="G190" s="5"/>
      <c r="H190" s="5"/>
    </row>
    <row r="191" spans="1:8" x14ac:dyDescent="0.3">
      <c r="A191" s="47"/>
      <c r="F191" s="5"/>
      <c r="G191" s="5"/>
      <c r="H191" s="5"/>
    </row>
    <row r="192" spans="1:8" x14ac:dyDescent="0.3">
      <c r="A192" s="47"/>
      <c r="F192" s="5"/>
      <c r="G192" s="5"/>
      <c r="H192" s="5"/>
    </row>
    <row r="193" spans="1:8" x14ac:dyDescent="0.3">
      <c r="A193" s="47"/>
      <c r="F193" s="5"/>
      <c r="G193" s="5"/>
      <c r="H193" s="5"/>
    </row>
    <row r="194" spans="1:8" x14ac:dyDescent="0.3">
      <c r="A194" s="70"/>
    </row>
    <row r="195" spans="1:8" x14ac:dyDescent="0.3">
      <c r="A195" s="70"/>
    </row>
    <row r="196" spans="1:8" x14ac:dyDescent="0.3">
      <c r="A196" s="47"/>
      <c r="F196" s="5"/>
      <c r="G196" s="5"/>
      <c r="H196" s="5"/>
    </row>
    <row r="197" spans="1:8" x14ac:dyDescent="0.3">
      <c r="A197" s="47"/>
      <c r="F197" s="5"/>
      <c r="G197" s="5"/>
      <c r="H197" s="5"/>
    </row>
    <row r="198" spans="1:8" x14ac:dyDescent="0.3">
      <c r="A198" s="47"/>
      <c r="F198" s="5"/>
      <c r="G198" s="5"/>
      <c r="H198" s="5"/>
    </row>
    <row r="199" spans="1:8" x14ac:dyDescent="0.3">
      <c r="A199" s="47"/>
      <c r="F199" s="5"/>
      <c r="G199" s="5"/>
      <c r="H199" s="5"/>
    </row>
    <row r="200" spans="1:8" x14ac:dyDescent="0.3">
      <c r="A200" s="47"/>
      <c r="F200" s="5"/>
      <c r="G200" s="5"/>
      <c r="H200" s="5"/>
    </row>
    <row r="201" spans="1:8" x14ac:dyDescent="0.3">
      <c r="A201" s="70"/>
    </row>
    <row r="202" spans="1:8" x14ac:dyDescent="0.3">
      <c r="A202" s="70"/>
    </row>
    <row r="203" spans="1:8" x14ac:dyDescent="0.3">
      <c r="A203" s="47"/>
      <c r="F203" s="5"/>
      <c r="G203" s="5"/>
      <c r="H203" s="5"/>
    </row>
    <row r="204" spans="1:8" x14ac:dyDescent="0.3">
      <c r="A204" s="47"/>
      <c r="F204" s="5"/>
      <c r="G204" s="5"/>
      <c r="H204" s="5"/>
    </row>
    <row r="205" spans="1:8" x14ac:dyDescent="0.3">
      <c r="A205" s="47"/>
      <c r="F205" s="5"/>
      <c r="G205" s="5"/>
      <c r="H205" s="5"/>
    </row>
    <row r="206" spans="1:8" x14ac:dyDescent="0.3">
      <c r="A206" s="47"/>
      <c r="F206" s="5"/>
      <c r="G206" s="5"/>
      <c r="H206" s="5"/>
    </row>
    <row r="207" spans="1:8" x14ac:dyDescent="0.3">
      <c r="A207" s="47"/>
      <c r="F207" s="5"/>
      <c r="G207" s="5"/>
      <c r="H207" s="5"/>
    </row>
    <row r="208" spans="1:8" x14ac:dyDescent="0.3">
      <c r="A208" s="47"/>
      <c r="F208" s="5"/>
      <c r="G208" s="5"/>
      <c r="H208" s="5"/>
    </row>
    <row r="209" spans="1:8" x14ac:dyDescent="0.3">
      <c r="A209" s="47"/>
      <c r="F209" s="5"/>
      <c r="G209" s="5"/>
      <c r="H209" s="5"/>
    </row>
    <row r="210" spans="1:8" x14ac:dyDescent="0.3">
      <c r="A210" s="47"/>
      <c r="F210" s="5"/>
      <c r="G210" s="5"/>
      <c r="H210" s="5"/>
    </row>
    <row r="211" spans="1:8" x14ac:dyDescent="0.3">
      <c r="A211" s="47"/>
      <c r="F211" s="5"/>
      <c r="G211" s="5"/>
      <c r="H211" s="5"/>
    </row>
    <row r="212" spans="1:8" x14ac:dyDescent="0.3">
      <c r="A212" s="47"/>
      <c r="F212" s="5"/>
      <c r="G212" s="5"/>
      <c r="H212" s="5"/>
    </row>
    <row r="213" spans="1:8" x14ac:dyDescent="0.3">
      <c r="A213" s="47"/>
      <c r="F213" s="5"/>
      <c r="G213" s="5"/>
      <c r="H213" s="5"/>
    </row>
    <row r="214" spans="1:8" x14ac:dyDescent="0.3">
      <c r="A214" s="47"/>
      <c r="F214" s="5"/>
      <c r="G214" s="5"/>
      <c r="H214" s="5"/>
    </row>
    <row r="215" spans="1:8" x14ac:dyDescent="0.3">
      <c r="A215" s="47"/>
      <c r="F215" s="5"/>
      <c r="G215" s="5"/>
      <c r="H215" s="5"/>
    </row>
    <row r="216" spans="1:8" x14ac:dyDescent="0.3">
      <c r="A216" s="70"/>
    </row>
    <row r="217" spans="1:8" x14ac:dyDescent="0.3">
      <c r="A217" s="70"/>
    </row>
    <row r="218" spans="1:8" x14ac:dyDescent="0.3">
      <c r="A218" s="47"/>
      <c r="F218" s="5"/>
      <c r="G218" s="5"/>
      <c r="H218" s="5"/>
    </row>
    <row r="219" spans="1:8" x14ac:dyDescent="0.3">
      <c r="A219" s="47"/>
      <c r="F219" s="5"/>
      <c r="G219" s="5"/>
      <c r="H219" s="5"/>
    </row>
    <row r="220" spans="1:8" x14ac:dyDescent="0.3">
      <c r="A220" s="47"/>
      <c r="F220" s="5"/>
      <c r="G220" s="5"/>
      <c r="H220" s="5"/>
    </row>
    <row r="221" spans="1:8" x14ac:dyDescent="0.3">
      <c r="A221" s="47"/>
      <c r="F221" s="5"/>
      <c r="G221" s="5"/>
      <c r="H221" s="5"/>
    </row>
    <row r="222" spans="1:8" x14ac:dyDescent="0.3">
      <c r="A222" s="47"/>
    </row>
    <row r="223" spans="1:8" x14ac:dyDescent="0.3">
      <c r="A223" s="47"/>
    </row>
  </sheetData>
  <customSheetViews>
    <customSheetView guid="{3B8AE0B5-3991-45B4-BEBB-44B75A6AF669}" scale="120" showGridLines="0" topLeftCell="B1">
      <selection activeCell="M16" sqref="M16:M22"/>
      <pageMargins left="0.7" right="0.7" top="0.75" bottom="0.75" header="0.3" footer="0.3"/>
      <pageSetup paperSize="9" orientation="portrait" horizontalDpi="200" verticalDpi="200" r:id="rId1"/>
    </customSheetView>
  </customSheetViews>
  <mergeCells count="45">
    <mergeCell ref="A113:F115"/>
    <mergeCell ref="G113:G115"/>
    <mergeCell ref="I6:K9"/>
    <mergeCell ref="N14:N15"/>
    <mergeCell ref="I5:K5"/>
    <mergeCell ref="A6:A9"/>
    <mergeCell ref="B6:B9"/>
    <mergeCell ref="C6:F7"/>
    <mergeCell ref="A100:C100"/>
    <mergeCell ref="E8:E9"/>
    <mergeCell ref="F123:F125"/>
    <mergeCell ref="F116:G116"/>
    <mergeCell ref="A117:A120"/>
    <mergeCell ref="B117:E118"/>
    <mergeCell ref="F117:G119"/>
    <mergeCell ref="B119:C119"/>
    <mergeCell ref="D119:E119"/>
    <mergeCell ref="A123:A125"/>
    <mergeCell ref="B123:B125"/>
    <mergeCell ref="C123:C125"/>
    <mergeCell ref="D123:D125"/>
    <mergeCell ref="E123:E125"/>
    <mergeCell ref="A201:A202"/>
    <mergeCell ref="A216:A217"/>
    <mergeCell ref="A3:K3"/>
    <mergeCell ref="A4:K4"/>
    <mergeCell ref="A177:A178"/>
    <mergeCell ref="A184:A185"/>
    <mergeCell ref="A194:A195"/>
    <mergeCell ref="A158:A159"/>
    <mergeCell ref="A165:A166"/>
    <mergeCell ref="F99:L99"/>
    <mergeCell ref="F100:L100"/>
    <mergeCell ref="A172:A173"/>
    <mergeCell ref="A132:A133"/>
    <mergeCell ref="A145:A146"/>
    <mergeCell ref="A151:A152"/>
    <mergeCell ref="G123:G125"/>
    <mergeCell ref="A2:K2"/>
    <mergeCell ref="G6:G9"/>
    <mergeCell ref="A99:C99"/>
    <mergeCell ref="F8:F9"/>
    <mergeCell ref="D8:D9"/>
    <mergeCell ref="C8:C9"/>
    <mergeCell ref="H6:H9"/>
  </mergeCells>
  <pageMargins left="0.7" right="0.7" top="0.75" bottom="0.75" header="0.3" footer="0.3"/>
  <pageSetup paperSize="9" orientation="portrait" horizontalDpi="200" verticalDpi="200" r:id="rId2"/>
  <ignoredErrors>
    <ignoredError sqref="H10 F18 E10:F10" unlockedFormula="1"/>
    <ignoredError sqref="B85:B88 B84 B91:B92 B89:B90 B83 C64:D64 B17 B15:B16 H18 D26 E31:F31 C36 C42 C48:E48 C54 C58 D73 D79 B94:B97 F93:H93 B59:B63 B55:B57 B49:B53 B43:B47 B37:B41 B32:B35 B19:B25 B80 B81:B82 B74 B75:B78 B68 B67 B71 B70 B72 B66 B69 B28:B30 B27 E36 H36 E42 H42 H48 E54:H54 E58:H58 F64 F73:H73 F79 H79 F26:H26 H31" formulaRange="1" unlockedFormula="1"/>
    <ignoredError sqref="B36 B18" formula="1"/>
    <ignoredError sqref="B26 B31" formula="1" unlockedFormula="1"/>
    <ignoredError sqref="B12:B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2015-05-14T13:30:18Z</cp:lastPrinted>
  <dcterms:created xsi:type="dcterms:W3CDTF">2015-05-14T12:26:18Z</dcterms:created>
  <dcterms:modified xsi:type="dcterms:W3CDTF">2024-06-03T09:49:25Z</dcterms:modified>
</cp:coreProperties>
</file>