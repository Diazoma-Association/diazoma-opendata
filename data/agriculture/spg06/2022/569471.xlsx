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8_{30023A46-5A61-40AF-ADAA-9A8935A1074D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  <c r="B94" i="1"/>
  <c r="B93" i="1"/>
  <c r="B92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6" i="1"/>
  <c r="B75" i="1"/>
  <c r="B74" i="1"/>
  <c r="B73" i="1"/>
  <c r="B72" i="1"/>
  <c r="B70" i="1"/>
  <c r="B69" i="1"/>
  <c r="B68" i="1"/>
  <c r="B67" i="1"/>
  <c r="B66" i="1"/>
  <c r="B65" i="1"/>
  <c r="B64" i="1"/>
  <c r="B63" i="1"/>
  <c r="B61" i="1"/>
  <c r="B60" i="1"/>
  <c r="B59" i="1"/>
  <c r="B58" i="1"/>
  <c r="B57" i="1"/>
  <c r="B55" i="1"/>
  <c r="B54" i="1"/>
  <c r="B53" i="1"/>
  <c r="B51" i="1"/>
  <c r="B50" i="1"/>
  <c r="B49" i="1"/>
  <c r="B48" i="1"/>
  <c r="B47" i="1"/>
  <c r="B45" i="1"/>
  <c r="B44" i="1"/>
  <c r="B43" i="1"/>
  <c r="B42" i="1"/>
  <c r="B41" i="1"/>
  <c r="B39" i="1"/>
  <c r="B38" i="1"/>
  <c r="B37" i="1"/>
  <c r="B36" i="1"/>
  <c r="B35" i="1"/>
  <c r="B33" i="1"/>
  <c r="B32" i="1"/>
  <c r="B31" i="1"/>
  <c r="B30" i="1"/>
  <c r="B28" i="1"/>
  <c r="B27" i="1"/>
  <c r="B26" i="1"/>
  <c r="B25" i="1"/>
  <c r="B23" i="1"/>
  <c r="B22" i="1"/>
  <c r="B21" i="1"/>
  <c r="B20" i="1"/>
  <c r="B19" i="1"/>
  <c r="B18" i="1"/>
  <c r="B17" i="1"/>
  <c r="B11" i="1"/>
  <c r="B12" i="1"/>
  <c r="B13" i="1"/>
  <c r="B14" i="1"/>
  <c r="B15" i="1"/>
  <c r="B10" i="1"/>
  <c r="K91" i="1"/>
  <c r="L91" i="1"/>
  <c r="M91" i="1"/>
  <c r="N91" i="1"/>
  <c r="O91" i="1"/>
  <c r="P91" i="1"/>
  <c r="K77" i="1"/>
  <c r="L77" i="1"/>
  <c r="M77" i="1"/>
  <c r="N77" i="1"/>
  <c r="O77" i="1"/>
  <c r="P77" i="1"/>
  <c r="K71" i="1"/>
  <c r="L71" i="1"/>
  <c r="M71" i="1"/>
  <c r="N71" i="1"/>
  <c r="O71" i="1"/>
  <c r="P71" i="1"/>
  <c r="K62" i="1"/>
  <c r="L62" i="1"/>
  <c r="M62" i="1"/>
  <c r="N62" i="1"/>
  <c r="O62" i="1"/>
  <c r="P62" i="1"/>
  <c r="K56" i="1"/>
  <c r="L56" i="1"/>
  <c r="M56" i="1"/>
  <c r="N56" i="1"/>
  <c r="O56" i="1"/>
  <c r="P56" i="1"/>
  <c r="K52" i="1"/>
  <c r="L52" i="1"/>
  <c r="M52" i="1"/>
  <c r="N52" i="1"/>
  <c r="O52" i="1"/>
  <c r="P52" i="1"/>
  <c r="K46" i="1"/>
  <c r="L46" i="1"/>
  <c r="M46" i="1"/>
  <c r="N46" i="1"/>
  <c r="O46" i="1"/>
  <c r="P46" i="1"/>
  <c r="K40" i="1"/>
  <c r="L40" i="1"/>
  <c r="M40" i="1"/>
  <c r="N40" i="1"/>
  <c r="O40" i="1"/>
  <c r="P40" i="1"/>
  <c r="K34" i="1"/>
  <c r="L34" i="1"/>
  <c r="M34" i="1"/>
  <c r="N34" i="1"/>
  <c r="O34" i="1"/>
  <c r="P34" i="1"/>
  <c r="K29" i="1"/>
  <c r="L29" i="1"/>
  <c r="M29" i="1"/>
  <c r="N29" i="1"/>
  <c r="O29" i="1"/>
  <c r="P29" i="1"/>
  <c r="K24" i="1"/>
  <c r="L24" i="1"/>
  <c r="M24" i="1"/>
  <c r="N24" i="1"/>
  <c r="O24" i="1"/>
  <c r="P24" i="1"/>
  <c r="K16" i="1"/>
  <c r="L16" i="1"/>
  <c r="M16" i="1"/>
  <c r="N16" i="1"/>
  <c r="O16" i="1"/>
  <c r="P16" i="1"/>
  <c r="K9" i="1"/>
  <c r="L9" i="1"/>
  <c r="M9" i="1"/>
  <c r="N9" i="1"/>
  <c r="O9" i="1"/>
  <c r="P9" i="1"/>
  <c r="J9" i="1"/>
  <c r="T91" i="1"/>
  <c r="T77" i="1"/>
  <c r="T71" i="1"/>
  <c r="R62" i="1"/>
  <c r="Q62" i="1"/>
  <c r="T62" i="1"/>
  <c r="C62" i="1"/>
  <c r="D62" i="1"/>
  <c r="E62" i="1"/>
  <c r="F62" i="1"/>
  <c r="G62" i="1"/>
  <c r="H62" i="1"/>
  <c r="I62" i="1"/>
  <c r="J62" i="1"/>
  <c r="S62" i="1"/>
  <c r="T56" i="1"/>
  <c r="T52" i="1"/>
  <c r="T46" i="1"/>
  <c r="T40" i="1"/>
  <c r="T34" i="1"/>
  <c r="T29" i="1"/>
  <c r="T24" i="1"/>
  <c r="T16" i="1"/>
  <c r="T9" i="1"/>
  <c r="C16" i="1"/>
  <c r="D16" i="1"/>
  <c r="E16" i="1"/>
  <c r="F16" i="1"/>
  <c r="G16" i="1"/>
  <c r="H16" i="1"/>
  <c r="I16" i="1"/>
  <c r="J16" i="1"/>
  <c r="S16" i="1"/>
  <c r="Q16" i="1"/>
  <c r="R16" i="1"/>
  <c r="B9" i="1" l="1"/>
  <c r="B91" i="1"/>
  <c r="M8" i="1"/>
  <c r="B77" i="1"/>
  <c r="N8" i="1"/>
  <c r="K8" i="1"/>
  <c r="L8" i="1"/>
  <c r="P8" i="1"/>
  <c r="O8" i="1"/>
  <c r="T8" i="1"/>
  <c r="C71" i="1" l="1"/>
  <c r="D71" i="1"/>
  <c r="E71" i="1"/>
  <c r="F71" i="1"/>
  <c r="G71" i="1"/>
  <c r="H71" i="1"/>
  <c r="I71" i="1"/>
  <c r="J71" i="1"/>
  <c r="S71" i="1"/>
  <c r="Q71" i="1"/>
  <c r="R71" i="1"/>
  <c r="B62" i="1" l="1"/>
  <c r="B16" i="1"/>
  <c r="C9" i="1"/>
  <c r="D9" i="1"/>
  <c r="E9" i="1"/>
  <c r="F9" i="1"/>
  <c r="G9" i="1"/>
  <c r="H9" i="1"/>
  <c r="I9" i="1"/>
  <c r="S9" i="1"/>
  <c r="Q9" i="1"/>
  <c r="R9" i="1"/>
  <c r="B24" i="1"/>
  <c r="C24" i="1"/>
  <c r="D24" i="1"/>
  <c r="E24" i="1"/>
  <c r="F24" i="1"/>
  <c r="G24" i="1"/>
  <c r="H24" i="1"/>
  <c r="I24" i="1"/>
  <c r="J24" i="1"/>
  <c r="S24" i="1"/>
  <c r="Q24" i="1"/>
  <c r="R24" i="1"/>
  <c r="B29" i="1"/>
  <c r="C29" i="1"/>
  <c r="D29" i="1"/>
  <c r="E29" i="1"/>
  <c r="F29" i="1"/>
  <c r="G29" i="1"/>
  <c r="H29" i="1"/>
  <c r="I29" i="1"/>
  <c r="J29" i="1"/>
  <c r="S29" i="1"/>
  <c r="Q29" i="1"/>
  <c r="R29" i="1"/>
  <c r="B34" i="1"/>
  <c r="C34" i="1"/>
  <c r="D34" i="1"/>
  <c r="E34" i="1"/>
  <c r="F34" i="1"/>
  <c r="G34" i="1"/>
  <c r="H34" i="1"/>
  <c r="I34" i="1"/>
  <c r="J34" i="1"/>
  <c r="S34" i="1"/>
  <c r="Q34" i="1"/>
  <c r="R34" i="1"/>
  <c r="B40" i="1"/>
  <c r="C40" i="1"/>
  <c r="D40" i="1"/>
  <c r="E40" i="1"/>
  <c r="F40" i="1"/>
  <c r="G40" i="1"/>
  <c r="H40" i="1"/>
  <c r="I40" i="1"/>
  <c r="J40" i="1"/>
  <c r="S40" i="1"/>
  <c r="Q40" i="1"/>
  <c r="R40" i="1"/>
  <c r="B46" i="1"/>
  <c r="C46" i="1"/>
  <c r="D46" i="1"/>
  <c r="E46" i="1"/>
  <c r="F46" i="1"/>
  <c r="G46" i="1"/>
  <c r="H46" i="1"/>
  <c r="I46" i="1"/>
  <c r="J46" i="1"/>
  <c r="S46" i="1"/>
  <c r="Q46" i="1"/>
  <c r="R46" i="1"/>
  <c r="B52" i="1"/>
  <c r="C52" i="1"/>
  <c r="D52" i="1"/>
  <c r="E52" i="1"/>
  <c r="F52" i="1"/>
  <c r="G52" i="1"/>
  <c r="H52" i="1"/>
  <c r="I52" i="1"/>
  <c r="J52" i="1"/>
  <c r="S52" i="1"/>
  <c r="Q52" i="1"/>
  <c r="R52" i="1"/>
  <c r="B56" i="1"/>
  <c r="C56" i="1"/>
  <c r="D56" i="1"/>
  <c r="E56" i="1"/>
  <c r="F56" i="1"/>
  <c r="G56" i="1"/>
  <c r="H56" i="1"/>
  <c r="I56" i="1"/>
  <c r="J56" i="1"/>
  <c r="S56" i="1"/>
  <c r="Q56" i="1"/>
  <c r="R56" i="1"/>
  <c r="B71" i="1"/>
  <c r="C77" i="1"/>
  <c r="D77" i="1"/>
  <c r="E77" i="1"/>
  <c r="F77" i="1"/>
  <c r="G77" i="1"/>
  <c r="H77" i="1"/>
  <c r="I77" i="1"/>
  <c r="J77" i="1"/>
  <c r="S77" i="1"/>
  <c r="Q77" i="1"/>
  <c r="R77" i="1"/>
  <c r="C91" i="1"/>
  <c r="D91" i="1"/>
  <c r="E91" i="1"/>
  <c r="F91" i="1"/>
  <c r="G91" i="1"/>
  <c r="H91" i="1"/>
  <c r="I91" i="1"/>
  <c r="J91" i="1"/>
  <c r="S91" i="1"/>
  <c r="Q91" i="1"/>
  <c r="R91" i="1"/>
  <c r="B8" i="1" l="1"/>
  <c r="J8" i="1"/>
  <c r="Q8" i="1"/>
  <c r="R8" i="1"/>
  <c r="H8" i="1"/>
  <c r="F8" i="1"/>
  <c r="D8" i="1"/>
  <c r="S8" i="1"/>
  <c r="I8" i="1"/>
  <c r="G8" i="1"/>
  <c r="E8" i="1"/>
  <c r="C8" i="1"/>
</calcChain>
</file>

<file path=xl/sharedStrings.xml><?xml version="1.0" encoding="utf-8"?>
<sst xmlns="http://schemas.openxmlformats.org/spreadsheetml/2006/main" count="953" uniqueCount="198">
  <si>
    <t>Εκτάσεις σε στρέμματα, παραγωγή σε τόνους</t>
  </si>
  <si>
    <t>Περιφέρειες και Περιφερειακές Ενότητες</t>
  </si>
  <si>
    <t>Σύνολο Εκτάσεων 
Total Area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</si>
  <si>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</si>
  <si>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</si>
  <si>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</si>
  <si>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</si>
  <si>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</si>
  <si>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</si>
  <si>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</si>
  <si>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</si>
  <si>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</si>
  <si>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</si>
  <si>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</si>
  <si>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</si>
  <si>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</si>
  <si>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</si>
  <si>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</si>
  <si>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</si>
  <si>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</si>
  <si>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</si>
  <si>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</si>
  <si>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</si>
  <si>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>Περιφέρεια Δυτικής Μακεδονίας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</si>
  <si>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</si>
  <si>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</si>
  <si>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</si>
  <si>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</si>
  <si>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</si>
  <si>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</si>
  <si>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</si>
  <si>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</si>
  <si>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</si>
  <si>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</si>
  <si>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</si>
  <si>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</si>
  <si>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</si>
  <si>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</si>
  <si>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</si>
  <si>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</si>
  <si>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</si>
  <si>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</si>
  <si>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</si>
  <si>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</si>
  <si>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</si>
  <si>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</si>
  <si>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</si>
  <si>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</si>
  <si>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</si>
  <si>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</si>
  <si>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</si>
  <si>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</si>
  <si>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</si>
  <si>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</si>
  <si>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</si>
  <si>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</si>
  <si>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</si>
  <si>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</si>
  <si>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</si>
  <si>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</si>
  <si>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</si>
  <si>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</si>
  <si>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</si>
  <si>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</si>
  <si>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</si>
  <si>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</si>
  <si>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</si>
  <si>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</si>
  <si>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</si>
  <si>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</si>
  <si>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</si>
  <si>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</si>
  <si>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</si>
  <si>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</si>
  <si>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</si>
  <si>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</si>
  <si>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</si>
  <si>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</si>
  <si>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</si>
  <si>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</si>
  <si>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</si>
  <si>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</si>
  <si>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</si>
  <si>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</si>
  <si>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</si>
  <si>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</si>
  <si>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</si>
  <si>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</si>
  <si>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</si>
  <si>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</si>
  <si>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</si>
  <si>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</si>
  <si>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</si>
  <si>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</si>
  <si>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</si>
  <si>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</si>
  <si>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</si>
  <si>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</si>
  <si>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</si>
  <si>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</si>
  <si>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1=areas  2=production</t>
  </si>
  <si>
    <t>(1) Peas, Broad beans, lentil and other fodder plants for seed</t>
  </si>
  <si>
    <t>―</t>
  </si>
  <si>
    <t>Region of Western Macedonia</t>
  </si>
  <si>
    <t>Βίκος
Veltch</t>
  </si>
  <si>
    <t>Ρόβι
Bitter Veltch</t>
  </si>
  <si>
    <t>(1) Μπιζέλια, κουκιά, φακή και λοιπά κτηνοτροφικά φυτά για καρπό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</si>
  <si>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</si>
  <si>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</si>
  <si>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</si>
  <si>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</si>
  <si>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</si>
  <si>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</si>
  <si>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</si>
  <si>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</si>
  <si>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</si>
  <si>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</si>
  <si>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</si>
  <si>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</si>
  <si>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</si>
  <si>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</si>
  <si>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</si>
  <si>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</si>
  <si>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</si>
  <si>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</si>
  <si>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</si>
  <si>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</si>
  <si>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</si>
  <si>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</si>
  <si>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</si>
  <si>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</si>
  <si>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</si>
  <si>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</si>
  <si>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</si>
  <si>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</si>
  <si>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</si>
  <si>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</si>
  <si>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</si>
  <si>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</si>
  <si>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</si>
  <si>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</si>
  <si>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</si>
  <si>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</si>
  <si>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</si>
  <si>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</si>
  <si>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</si>
  <si>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</si>
  <si>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</si>
  <si>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</si>
  <si>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</si>
  <si>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</si>
  <si>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</si>
  <si>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</si>
  <si>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</si>
  <si>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</si>
  <si>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</si>
  <si>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</si>
  <si>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</si>
  <si>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</si>
  <si>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</si>
  <si>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</si>
  <si>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</si>
  <si>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</si>
  <si>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</si>
  <si>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</si>
  <si>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</si>
  <si>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</si>
  <si>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</si>
  <si>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</si>
  <si>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</si>
  <si>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</si>
  <si>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</si>
  <si>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</si>
  <si>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</si>
  <si>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</si>
  <si>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</si>
  <si>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</si>
  <si>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</si>
  <si>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</si>
  <si>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 xml:space="preserve">  Athens South Section</t>
  </si>
  <si>
    <t xml:space="preserve">  Athens West Section</t>
  </si>
  <si>
    <t xml:space="preserve">  Athens North Section</t>
  </si>
  <si>
    <t xml:space="preserve">  Athens Central Section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</si>
  <si>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Other</t>
    </r>
    <r>
      <rPr>
        <vertAlign val="superscript"/>
        <sz val="11"/>
        <rFont val="Calibri"/>
        <family val="2"/>
        <charset val="161"/>
        <scheme val="minor"/>
      </rPr>
      <t>(1)</t>
    </r>
  </si>
  <si>
    <t>Areas in stremmas (1 stremma = 0.1 ha), production in tons</t>
  </si>
  <si>
    <t xml:space="preserve">   Καρπάθου - Ηρωικής Νήσου Κάσου</t>
  </si>
  <si>
    <t xml:space="preserve">  Karpathos - Heroic Island of Kasos</t>
  </si>
  <si>
    <t>Κέας - Κύθνου</t>
  </si>
  <si>
    <t xml:space="preserve">  Kea - Kythnos</t>
  </si>
  <si>
    <t>Σπόρος τριφυλλιών
(Clover seeds)</t>
  </si>
  <si>
    <t>Λαθούρια 
Veltching</t>
  </si>
  <si>
    <t>Λούπινα
Lupin</t>
  </si>
  <si>
    <t>Μπιζέλια κτηνοτροφικά (Fodder Peas)</t>
  </si>
  <si>
    <t>Κουκιά κτηνοτροφικά (Fodder Broad beans)</t>
  </si>
  <si>
    <t>Φακή κτηνοτροφική (Fodder Lentils)</t>
  </si>
  <si>
    <t>—</t>
  </si>
  <si>
    <t>Πίνακας 2δ. Κτηνοτροφικά όσπρια. Εκτάσεις και παραγωγή, κατά Περιφέρεια και Περιφερειακή Ενότητα, 2022</t>
  </si>
  <si>
    <t>Table 2d. Fodder pulses. Areas and production, by Region and Regional Unities,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</si>
</sst>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161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 applyProtection="1">
      <alignment horizontal="centerContinuous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Continuous"/>
      <protection locked="0"/>
    </xf>
    <xf numFmtId="0" fontId="4" fillId="0" borderId="0" xfId="0" applyFont="1" applyAlignment="1" applyProtection="1">
      <alignment horizontal="centerContinuous" vertical="center" wrapText="1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49" fontId="6" fillId="0" borderId="15" xfId="0" applyNumberFormat="1" applyFont="1" applyBorder="1" applyAlignment="1" applyProtection="1">
      <alignment horizontal="left" vertical="center"/>
      <protection locked="0"/>
    </xf>
    <xf numFmtId="3" fontId="6" fillId="0" borderId="7" xfId="0" applyNumberFormat="1" applyFont="1" applyBorder="1" applyAlignment="1">
      <alignment horizontal="right" vertical="center"/>
    </xf>
    <xf numFmtId="3" fontId="6" fillId="0" borderId="4" xfId="0" applyNumberFormat="1" applyFont="1" applyBorder="1" applyAlignment="1">
      <alignment horizontal="right" vertical="center"/>
    </xf>
    <xf numFmtId="3" fontId="6" fillId="0" borderId="8" xfId="0" applyNumberFormat="1" applyFont="1" applyBorder="1" applyAlignment="1">
      <alignment horizontal="right" vertical="center"/>
    </xf>
    <xf numFmtId="0" fontId="2" fillId="0" borderId="3" xfId="0" applyFont="1" applyBorder="1" applyAlignment="1" applyProtection="1">
      <alignment vertical="center" wrapText="1"/>
      <protection locked="0"/>
    </xf>
    <xf numFmtId="49" fontId="6" fillId="0" borderId="16" xfId="0" applyNumberFormat="1" applyFont="1" applyBorder="1" applyAlignment="1" applyProtection="1">
      <alignment horizontal="left" vertical="center" wrapText="1"/>
      <protection locked="0"/>
    </xf>
    <xf numFmtId="3" fontId="6" fillId="0" borderId="9" xfId="0" applyNumberFormat="1" applyFont="1" applyBorder="1" applyAlignment="1">
      <alignment horizontal="right" vertical="center"/>
    </xf>
    <xf numFmtId="3" fontId="6" fillId="0" borderId="5" xfId="0" applyNumberFormat="1" applyFont="1" applyBorder="1" applyAlignment="1">
      <alignment horizontal="right" vertical="center"/>
    </xf>
    <xf numFmtId="3" fontId="6" fillId="0" borderId="10" xfId="0" applyNumberFormat="1" applyFont="1" applyBorder="1" applyAlignment="1">
      <alignment horizontal="right" vertical="center"/>
    </xf>
    <xf numFmtId="0" fontId="2" fillId="0" borderId="0" xfId="0" applyFont="1" applyAlignment="1" applyProtection="1">
      <alignment horizontal="left" vertical="center" wrapText="1"/>
      <protection locked="0"/>
    </xf>
    <xf numFmtId="49" fontId="3" fillId="0" borderId="16" xfId="0" applyNumberFormat="1" applyFont="1" applyBorder="1" applyAlignment="1" applyProtection="1">
      <alignment horizontal="left" wrapText="1" indent="1"/>
      <protection locked="0"/>
    </xf>
    <xf numFmtId="3" fontId="3" fillId="0" borderId="9" xfId="0" applyNumberFormat="1" applyFont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left" indent="1"/>
      <protection locked="0"/>
    </xf>
    <xf numFmtId="3" fontId="4" fillId="0" borderId="0" xfId="0" applyNumberFormat="1" applyFont="1"/>
    <xf numFmtId="3" fontId="3" fillId="0" borderId="0" xfId="0" applyNumberFormat="1" applyFont="1" applyProtection="1">
      <protection locked="0"/>
    </xf>
    <xf numFmtId="3" fontId="6" fillId="0" borderId="9" xfId="0" applyNumberFormat="1" applyFont="1" applyBorder="1" applyAlignment="1" applyProtection="1">
      <alignment horizontal="right" vertical="center"/>
      <protection locked="0"/>
    </xf>
    <xf numFmtId="3" fontId="6" fillId="0" borderId="5" xfId="0" applyNumberFormat="1" applyFont="1" applyBorder="1" applyAlignment="1" applyProtection="1">
      <alignment horizontal="right" vertical="center"/>
      <protection locked="0"/>
    </xf>
    <xf numFmtId="3" fontId="6" fillId="0" borderId="10" xfId="0" applyNumberFormat="1" applyFont="1" applyBorder="1" applyAlignment="1" applyProtection="1">
      <alignment horizontal="right" vertical="center"/>
      <protection locked="0"/>
    </xf>
    <xf numFmtId="0" fontId="6" fillId="0" borderId="0" xfId="0" applyFont="1" applyAlignment="1" applyProtection="1">
      <alignment vertical="center" wrapText="1"/>
      <protection locked="0"/>
    </xf>
    <xf numFmtId="3" fontId="6" fillId="0" borderId="0" xfId="0" applyNumberFormat="1" applyFont="1" applyAlignment="1" applyProtection="1">
      <alignment vertical="center" wrapText="1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wrapText="1" indent="1"/>
      <protection locked="0"/>
    </xf>
    <xf numFmtId="0" fontId="3" fillId="0" borderId="0" xfId="0" applyFont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9" fontId="1" fillId="0" borderId="16" xfId="0" applyNumberFormat="1" applyFont="1" applyBorder="1" applyAlignment="1" applyProtection="1">
      <alignment horizontal="left" indent="1"/>
      <protection locked="0"/>
    </xf>
    <xf numFmtId="49" fontId="1" fillId="0" borderId="16" xfId="0" applyNumberFormat="1" applyFont="1" applyBorder="1" applyAlignment="1" applyProtection="1">
      <alignment horizontal="left" wrapText="1" indent="1"/>
      <protection locked="0"/>
    </xf>
    <xf numFmtId="49" fontId="3" fillId="0" borderId="16" xfId="0" applyNumberFormat="1" applyFont="1" applyBorder="1" applyAlignment="1" applyProtection="1">
      <alignment horizontal="left" indent="1"/>
      <protection locked="0"/>
    </xf>
    <xf numFmtId="3" fontId="7" fillId="0" borderId="5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49" fontId="3" fillId="0" borderId="17" xfId="0" applyNumberFormat="1" applyFont="1" applyBorder="1" applyAlignment="1" applyProtection="1">
      <alignment horizontal="left" wrapText="1" indent="1"/>
      <protection locked="0"/>
    </xf>
    <xf numFmtId="3" fontId="7" fillId="0" borderId="11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 applyProtection="1">
      <alignment horizontal="left" indent="1"/>
      <protection locked="0"/>
    </xf>
    <xf numFmtId="49" fontId="3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horizontal="left"/>
      <protection locked="0"/>
    </xf>
    <xf numFmtId="49" fontId="3" fillId="0" borderId="0" xfId="0" applyNumberFormat="1" applyFont="1" applyProtection="1">
      <protection locked="0"/>
    </xf>
    <xf numFmtId="0" fontId="9" fillId="0" borderId="1" xfId="0" applyFont="1" applyBorder="1" applyAlignment="1" applyProtection="1">
      <alignment horizontal="left"/>
      <protection locked="0"/>
    </xf>
    <xf numFmtId="3" fontId="7" fillId="0" borderId="10" xfId="0" applyNumberFormat="1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1" xfId="0" applyFont="1" applyBorder="1" applyAlignment="1">
      <alignment horizontal="right" vertical="top"/>
    </xf>
    <xf numFmtId="3" fontId="7" fillId="0" borderId="20" xfId="0" applyNumberFormat="1" applyFont="1" applyBorder="1" applyAlignment="1">
      <alignment horizontal="right" vertical="top"/>
    </xf>
    <xf numFmtId="49" fontId="3" fillId="0" borderId="16" xfId="0" applyNumberFormat="1" applyFont="1" applyBorder="1" applyAlignment="1" applyProtection="1">
      <alignment horizontal="left" wrapText="1"/>
      <protection locked="0"/>
    </xf>
    <xf numFmtId="3" fontId="6" fillId="0" borderId="0" xfId="0" applyNumberFormat="1" applyFont="1" applyProtection="1">
      <protection locked="0"/>
    </xf>
    <xf numFmtId="0" fontId="9" fillId="0" borderId="1" xfId="0" applyFont="1" applyBorder="1" applyProtection="1"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7" fillId="0" borderId="16" xfId="0" applyFont="1" applyBorder="1" applyAlignment="1">
      <alignment horizontal="right" vertical="top"/>
    </xf>
    <xf numFmtId="3" fontId="7" fillId="0" borderId="16" xfId="0" applyNumberFormat="1" applyFont="1" applyBorder="1" applyAlignment="1">
      <alignment horizontal="right" vertical="top"/>
    </xf>
    <xf numFmtId="3" fontId="7" fillId="0" borderId="10" xfId="0" applyNumberFormat="1" applyFont="1" applyBorder="1"/>
    <xf numFmtId="0" fontId="7" fillId="0" borderId="9" xfId="0" applyFont="1" applyBorder="1" applyAlignment="1">
      <alignment horizontal="right" vertical="top"/>
    </xf>
    <xf numFmtId="0" fontId="7" fillId="0" borderId="27" xfId="0" applyFont="1" applyBorder="1" applyAlignment="1">
      <alignment horizontal="right" vertical="top"/>
    </xf>
    <xf numFmtId="0" fontId="7" fillId="0" borderId="17" xfId="0" applyFont="1" applyBorder="1" applyAlignment="1">
      <alignment horizontal="right" vertical="top"/>
    </xf>
    <xf numFmtId="3" fontId="3" fillId="0" borderId="28" xfId="0" applyNumberFormat="1" applyFont="1" applyBorder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wrapText="1" inden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2" fillId="0" borderId="25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114"/>
  <sheetViews>
    <sheetView showGridLines="0" tabSelected="1" zoomScaleNormal="100" workbookViewId="0">
      <selection activeCell="R12" sqref="R12"/>
    </sheetView>
  </sheetViews>
  <sheetFormatPr defaultRowHeight="14.4" x14ac:dyDescent="0.3"/>
  <cols>
    <col min="1" max="1" width="43.33203125" style="3" customWidth="1"/>
    <col min="2" max="2" width="11.109375" style="3" customWidth="1"/>
    <col min="3" max="3" width="7.5546875" style="3" bestFit="1" customWidth="1"/>
    <col min="4" max="4" width="6.5546875" style="3" bestFit="1" customWidth="1"/>
    <col min="5" max="5" width="5.5546875" style="3" bestFit="1" customWidth="1"/>
    <col min="6" max="6" width="5.21875" style="3" customWidth="1"/>
    <col min="7" max="7" width="7.5546875" style="3" bestFit="1" customWidth="1"/>
    <col min="8" max="8" width="6.5546875" style="3" bestFit="1" customWidth="1"/>
    <col min="9" max="10" width="5.5546875" style="3" bestFit="1" customWidth="1"/>
    <col min="11" max="11" width="7.5546875" style="3" bestFit="1" customWidth="1"/>
    <col min="12" max="12" width="6.5546875" style="3" customWidth="1"/>
    <col min="13" max="13" width="6.5546875" style="3" bestFit="1" customWidth="1"/>
    <col min="14" max="14" width="7.33203125" style="3" customWidth="1"/>
    <col min="15" max="15" width="7.77734375" style="3" customWidth="1"/>
    <col min="16" max="16" width="6" style="3" customWidth="1"/>
    <col min="17" max="17" width="7.5546875" style="3" bestFit="1" customWidth="1"/>
    <col min="18" max="19" width="6.5546875" style="3" bestFit="1" customWidth="1"/>
    <col min="20" max="20" width="5.5546875" style="3" bestFit="1" customWidth="1"/>
    <col min="21" max="21" width="40.33203125" style="3" bestFit="1" customWidth="1"/>
    <col min="22" max="22" width="7.6640625" style="3" customWidth="1"/>
    <col min="23" max="24" width="6.44140625" style="3" customWidth="1"/>
    <col min="25" max="25" width="7.5546875" style="3" bestFit="1" customWidth="1"/>
    <col min="26" max="26" width="6.109375" style="3" customWidth="1"/>
    <col min="27" max="27" width="2.109375" style="3" bestFit="1" customWidth="1"/>
    <col min="28" max="28" width="6.44140625" style="3" customWidth="1"/>
    <col min="29" max="16384" width="8.88671875" style="3"/>
  </cols>
  <sheetData>
    <row r="2" spans="1:27" ht="18" customHeight="1" x14ac:dyDescent="0.3">
      <c r="A2" s="75" t="s">
        <v>196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1"/>
      <c r="W2" s="1"/>
      <c r="X2" s="2"/>
      <c r="Y2" s="2"/>
      <c r="Z2" s="2"/>
      <c r="AA2" s="2"/>
    </row>
    <row r="3" spans="1:27" ht="18" customHeight="1" x14ac:dyDescent="0.3">
      <c r="A3" s="75" t="s">
        <v>197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1"/>
      <c r="W3" s="1"/>
      <c r="X3" s="2"/>
      <c r="Y3" s="2"/>
      <c r="Z3" s="2"/>
      <c r="AA3" s="2"/>
    </row>
    <row r="4" spans="1:27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2"/>
      <c r="Y4" s="2"/>
      <c r="Z4" s="2"/>
      <c r="AA4" s="2"/>
    </row>
    <row r="5" spans="1:27" ht="15" customHeight="1" thickBot="1" x14ac:dyDescent="0.35">
      <c r="A5" s="49" t="s">
        <v>0</v>
      </c>
      <c r="B5" s="5"/>
      <c r="C5" s="5"/>
      <c r="D5" s="5"/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R5" s="56"/>
      <c r="S5" s="6"/>
      <c r="T5" s="6"/>
      <c r="U5" s="56" t="s">
        <v>184</v>
      </c>
      <c r="V5" s="7"/>
      <c r="W5" s="7"/>
      <c r="Y5" s="6"/>
      <c r="Z5" s="6"/>
      <c r="AA5" s="6"/>
    </row>
    <row r="6" spans="1:27" ht="63.15" customHeight="1" x14ac:dyDescent="0.3">
      <c r="A6" s="76" t="s">
        <v>1</v>
      </c>
      <c r="B6" s="68" t="s">
        <v>2</v>
      </c>
      <c r="C6" s="66" t="s">
        <v>104</v>
      </c>
      <c r="D6" s="70"/>
      <c r="E6" s="66" t="s">
        <v>105</v>
      </c>
      <c r="F6" s="70"/>
      <c r="G6" s="66" t="s">
        <v>191</v>
      </c>
      <c r="H6" s="70"/>
      <c r="I6" s="66" t="s">
        <v>190</v>
      </c>
      <c r="J6" s="70"/>
      <c r="K6" s="66" t="s">
        <v>192</v>
      </c>
      <c r="L6" s="70"/>
      <c r="M6" s="66" t="s">
        <v>193</v>
      </c>
      <c r="N6" s="70"/>
      <c r="O6" s="66" t="s">
        <v>194</v>
      </c>
      <c r="P6" s="70"/>
      <c r="Q6" s="66" t="s">
        <v>183</v>
      </c>
      <c r="R6" s="67"/>
      <c r="S6" s="71" t="s">
        <v>189</v>
      </c>
      <c r="T6" s="72"/>
      <c r="U6" s="73" t="s">
        <v>3</v>
      </c>
      <c r="V6" s="8"/>
      <c r="W6" s="8"/>
    </row>
    <row r="7" spans="1:27" x14ac:dyDescent="0.3">
      <c r="A7" s="77"/>
      <c r="B7" s="69"/>
      <c r="C7" s="9">
        <v>1</v>
      </c>
      <c r="D7" s="9">
        <v>2</v>
      </c>
      <c r="E7" s="9">
        <v>1</v>
      </c>
      <c r="F7" s="9">
        <v>2</v>
      </c>
      <c r="G7" s="9">
        <v>1</v>
      </c>
      <c r="H7" s="9">
        <v>2</v>
      </c>
      <c r="I7" s="9">
        <v>1</v>
      </c>
      <c r="J7" s="9">
        <v>2</v>
      </c>
      <c r="K7" s="9">
        <v>1</v>
      </c>
      <c r="L7" s="9">
        <v>2</v>
      </c>
      <c r="M7" s="9">
        <v>1</v>
      </c>
      <c r="N7" s="9">
        <v>2</v>
      </c>
      <c r="O7" s="9">
        <v>1</v>
      </c>
      <c r="P7" s="9">
        <v>2</v>
      </c>
      <c r="Q7" s="9">
        <v>1</v>
      </c>
      <c r="R7" s="10">
        <v>2</v>
      </c>
      <c r="S7" s="57">
        <v>1</v>
      </c>
      <c r="T7" s="10">
        <v>2</v>
      </c>
      <c r="U7" s="74"/>
      <c r="V7" s="8"/>
      <c r="W7" s="8"/>
    </row>
    <row r="8" spans="1:27" ht="23.85" customHeight="1" x14ac:dyDescent="0.3">
      <c r="A8" s="11" t="s">
        <v>4</v>
      </c>
      <c r="B8" s="12">
        <f>SUM(B9,B16,B24,B29,B34,B40,B46,B52,B56,B62,B71,B77,B91)</f>
        <v>837690</v>
      </c>
      <c r="C8" s="13">
        <f t="shared" ref="C8:S8" si="0">SUM(C9,C16,C24,C29,C34,C40,C46,C52,C56,C62,C71,C77,C91)</f>
        <v>432292</v>
      </c>
      <c r="D8" s="13">
        <f t="shared" si="0"/>
        <v>79168.491999999998</v>
      </c>
      <c r="E8" s="13">
        <f t="shared" si="0"/>
        <v>1087</v>
      </c>
      <c r="F8" s="13">
        <f t="shared" si="0"/>
        <v>118.28099999999999</v>
      </c>
      <c r="G8" s="13">
        <f t="shared" si="0"/>
        <v>114373</v>
      </c>
      <c r="H8" s="13">
        <f t="shared" si="0"/>
        <v>19555.458999999988</v>
      </c>
      <c r="I8" s="13">
        <f t="shared" si="0"/>
        <v>6827</v>
      </c>
      <c r="J8" s="13">
        <f>SUM(J9,J16,J24,J29,J34,J40,J46,J52,J56,J62,J71,J77,J91)</f>
        <v>1250.625</v>
      </c>
      <c r="K8" s="13">
        <f t="shared" ref="K8:P8" si="1">SUM(K9,K16,K24,K29,K34,K40,K46,K52,K56,K62,K71,K77,K91)</f>
        <v>119209</v>
      </c>
      <c r="L8" s="13">
        <f t="shared" si="1"/>
        <v>23918.126999999997</v>
      </c>
      <c r="M8" s="13">
        <f t="shared" si="1"/>
        <v>27777</v>
      </c>
      <c r="N8" s="13">
        <f t="shared" si="1"/>
        <v>4902.125</v>
      </c>
      <c r="O8" s="13">
        <f t="shared" si="1"/>
        <v>701</v>
      </c>
      <c r="P8" s="13">
        <f t="shared" si="1"/>
        <v>103.63</v>
      </c>
      <c r="Q8" s="13">
        <f>SUM(Q9,Q16,Q24,Q29,Q34,Q40,Q46,Q52,Q56,Q62,Q71,Q77,Q91)</f>
        <v>135424</v>
      </c>
      <c r="R8" s="14">
        <f>SUM(R9,R16,R24,R29,R34,R40,R46,R52,R56,R62,R71,R77,R91)</f>
        <v>27622.969999999998</v>
      </c>
      <c r="S8" s="12">
        <f t="shared" si="0"/>
        <v>28381</v>
      </c>
      <c r="T8" s="14">
        <f>SUM(T9,T16,T24,T29,T34,T40,T46,T52,T56,T62,T71,T77,T91)</f>
        <v>2145.8830000000003</v>
      </c>
      <c r="U8" s="15" t="s">
        <v>5</v>
      </c>
      <c r="V8" s="2"/>
      <c r="W8" s="2"/>
    </row>
    <row r="9" spans="1:27" ht="20.7" customHeight="1" x14ac:dyDescent="0.3">
      <c r="A9" s="16" t="s">
        <v>6</v>
      </c>
      <c r="B9" s="17">
        <f>SUM(B10:B15)</f>
        <v>61213</v>
      </c>
      <c r="C9" s="18">
        <f>SUM(C10:C15)</f>
        <v>45831</v>
      </c>
      <c r="D9" s="18">
        <f t="shared" ref="D9:S9" si="2">SUM(D10:D15)</f>
        <v>8687.6369999999988</v>
      </c>
      <c r="E9" s="18">
        <f t="shared" si="2"/>
        <v>0</v>
      </c>
      <c r="F9" s="18">
        <f t="shared" si="2"/>
        <v>0</v>
      </c>
      <c r="G9" s="18">
        <f t="shared" si="2"/>
        <v>212</v>
      </c>
      <c r="H9" s="18">
        <f t="shared" si="2"/>
        <v>38.299999999999997</v>
      </c>
      <c r="I9" s="18">
        <f t="shared" si="2"/>
        <v>111</v>
      </c>
      <c r="J9" s="18">
        <f>SUM(J10:J15)</f>
        <v>16.649999999999999</v>
      </c>
      <c r="K9" s="18">
        <f t="shared" ref="K9:P9" si="3">SUM(K10:K15)</f>
        <v>3354</v>
      </c>
      <c r="L9" s="18">
        <f t="shared" si="3"/>
        <v>726.04899999999998</v>
      </c>
      <c r="M9" s="18">
        <f t="shared" si="3"/>
        <v>1491</v>
      </c>
      <c r="N9" s="18">
        <f t="shared" si="3"/>
        <v>280.3</v>
      </c>
      <c r="O9" s="18">
        <f t="shared" si="3"/>
        <v>0</v>
      </c>
      <c r="P9" s="18">
        <f t="shared" si="3"/>
        <v>0</v>
      </c>
      <c r="Q9" s="18">
        <f>SUM(Q10:Q15)</f>
        <v>10214</v>
      </c>
      <c r="R9" s="19">
        <f>SUM(R10:R15)</f>
        <v>2244.527</v>
      </c>
      <c r="S9" s="17">
        <f t="shared" si="2"/>
        <v>160</v>
      </c>
      <c r="T9" s="19">
        <f>SUM(T10:T15)</f>
        <v>23.22</v>
      </c>
      <c r="U9" s="20" t="s">
        <v>7</v>
      </c>
      <c r="V9" s="20"/>
      <c r="W9" s="20"/>
      <c r="X9" s="2"/>
    </row>
    <row r="10" spans="1:27" x14ac:dyDescent="0.3">
      <c r="A10" s="21" t="s">
        <v>107</v>
      </c>
      <c r="B10" s="22">
        <f>SUM(C10,E10,G10,I10,K10,M10,O10,Q10)</f>
        <v>1531</v>
      </c>
      <c r="C10" s="41">
        <v>1228</v>
      </c>
      <c r="D10" s="40">
        <v>229.87899999999999</v>
      </c>
      <c r="E10" s="51" t="s">
        <v>195</v>
      </c>
      <c r="F10" s="40" t="s">
        <v>195</v>
      </c>
      <c r="G10" s="41">
        <v>2</v>
      </c>
      <c r="H10" s="40">
        <v>0.46</v>
      </c>
      <c r="I10" s="51" t="s">
        <v>195</v>
      </c>
      <c r="J10" s="40" t="s">
        <v>195</v>
      </c>
      <c r="K10" s="40">
        <v>204</v>
      </c>
      <c r="L10" s="40">
        <v>64.14</v>
      </c>
      <c r="M10" s="40">
        <v>28</v>
      </c>
      <c r="N10" s="40">
        <v>7.99</v>
      </c>
      <c r="O10" s="40" t="s">
        <v>195</v>
      </c>
      <c r="P10" s="40" t="s">
        <v>195</v>
      </c>
      <c r="Q10" s="41">
        <v>69</v>
      </c>
      <c r="R10" s="50">
        <v>17.202999999999999</v>
      </c>
      <c r="S10" s="58" t="s">
        <v>195</v>
      </c>
      <c r="T10" s="50" t="s">
        <v>195</v>
      </c>
      <c r="U10" s="23" t="s">
        <v>8</v>
      </c>
    </row>
    <row r="11" spans="1:27" x14ac:dyDescent="0.3">
      <c r="A11" s="21" t="s">
        <v>108</v>
      </c>
      <c r="B11" s="22">
        <f t="shared" ref="B11:B74" si="4">SUM(C11,E11,G11,I11,K11,M11,O11,Q11)</f>
        <v>20427</v>
      </c>
      <c r="C11" s="41">
        <v>15568</v>
      </c>
      <c r="D11" s="40">
        <v>2963.181</v>
      </c>
      <c r="E11" s="51" t="s">
        <v>195</v>
      </c>
      <c r="F11" s="40" t="s">
        <v>195</v>
      </c>
      <c r="G11" s="41">
        <v>114</v>
      </c>
      <c r="H11" s="40">
        <v>20.56</v>
      </c>
      <c r="I11" s="51" t="s">
        <v>195</v>
      </c>
      <c r="J11" s="40" t="s">
        <v>195</v>
      </c>
      <c r="K11" s="40">
        <v>1875</v>
      </c>
      <c r="L11" s="40">
        <v>400.55</v>
      </c>
      <c r="M11" s="40">
        <v>863</v>
      </c>
      <c r="N11" s="40">
        <v>155.34</v>
      </c>
      <c r="O11" s="40" t="s">
        <v>195</v>
      </c>
      <c r="P11" s="40" t="s">
        <v>195</v>
      </c>
      <c r="Q11" s="41">
        <v>2007</v>
      </c>
      <c r="R11" s="50">
        <v>440.23399999999998</v>
      </c>
      <c r="S11" s="58" t="s">
        <v>195</v>
      </c>
      <c r="T11" s="50" t="s">
        <v>195</v>
      </c>
      <c r="U11" s="23" t="s">
        <v>9</v>
      </c>
    </row>
    <row r="12" spans="1:27" x14ac:dyDescent="0.3">
      <c r="A12" s="21" t="s">
        <v>109</v>
      </c>
      <c r="B12" s="22">
        <f t="shared" si="4"/>
        <v>7937</v>
      </c>
      <c r="C12" s="41">
        <v>5980</v>
      </c>
      <c r="D12" s="40">
        <v>1150.8820000000001</v>
      </c>
      <c r="E12" s="51" t="s">
        <v>195</v>
      </c>
      <c r="F12" s="40" t="s">
        <v>195</v>
      </c>
      <c r="G12" s="41">
        <v>96</v>
      </c>
      <c r="H12" s="40">
        <v>17.28</v>
      </c>
      <c r="I12" s="41" t="s">
        <v>195</v>
      </c>
      <c r="J12" s="40" t="s">
        <v>195</v>
      </c>
      <c r="K12" s="40">
        <v>873</v>
      </c>
      <c r="L12" s="40">
        <v>186.29599999999999</v>
      </c>
      <c r="M12" s="40">
        <v>575</v>
      </c>
      <c r="N12" s="40">
        <v>113.22</v>
      </c>
      <c r="O12" s="40" t="s">
        <v>195</v>
      </c>
      <c r="P12" s="40" t="s">
        <v>195</v>
      </c>
      <c r="Q12" s="41">
        <v>413</v>
      </c>
      <c r="R12" s="50">
        <v>93.299000000000007</v>
      </c>
      <c r="S12" s="59">
        <v>160</v>
      </c>
      <c r="T12" s="50">
        <v>23.22</v>
      </c>
      <c r="U12" s="23" t="s">
        <v>10</v>
      </c>
      <c r="Z12" s="24"/>
    </row>
    <row r="13" spans="1:27" x14ac:dyDescent="0.3">
      <c r="A13" s="21" t="s">
        <v>110</v>
      </c>
      <c r="B13" s="22">
        <f t="shared" si="4"/>
        <v>0</v>
      </c>
      <c r="C13" s="41" t="s">
        <v>195</v>
      </c>
      <c r="D13" s="40" t="s">
        <v>195</v>
      </c>
      <c r="E13" s="51" t="s">
        <v>195</v>
      </c>
      <c r="F13" s="40" t="s">
        <v>195</v>
      </c>
      <c r="G13" s="41" t="s">
        <v>195</v>
      </c>
      <c r="H13" s="40" t="s">
        <v>195</v>
      </c>
      <c r="I13" s="41" t="s">
        <v>195</v>
      </c>
      <c r="J13" s="40" t="s">
        <v>195</v>
      </c>
      <c r="K13" s="40" t="s">
        <v>195</v>
      </c>
      <c r="L13" s="40" t="s">
        <v>195</v>
      </c>
      <c r="M13" s="40" t="s">
        <v>195</v>
      </c>
      <c r="N13" s="40" t="s">
        <v>195</v>
      </c>
      <c r="O13" s="40" t="s">
        <v>195</v>
      </c>
      <c r="P13" s="40" t="s">
        <v>195</v>
      </c>
      <c r="Q13" s="41" t="s">
        <v>195</v>
      </c>
      <c r="R13" s="50" t="s">
        <v>195</v>
      </c>
      <c r="S13" s="59" t="s">
        <v>195</v>
      </c>
      <c r="T13" s="50" t="s">
        <v>195</v>
      </c>
      <c r="U13" s="23" t="s">
        <v>11</v>
      </c>
    </row>
    <row r="14" spans="1:27" x14ac:dyDescent="0.3">
      <c r="A14" s="21" t="s">
        <v>111</v>
      </c>
      <c r="B14" s="22">
        <f t="shared" si="4"/>
        <v>10391</v>
      </c>
      <c r="C14" s="41">
        <v>2735</v>
      </c>
      <c r="D14" s="40">
        <v>549.03399999999999</v>
      </c>
      <c r="E14" s="51" t="s">
        <v>195</v>
      </c>
      <c r="F14" s="40" t="s">
        <v>195</v>
      </c>
      <c r="G14" s="41" t="s">
        <v>195</v>
      </c>
      <c r="H14" s="40" t="s">
        <v>195</v>
      </c>
      <c r="I14" s="51" t="s">
        <v>195</v>
      </c>
      <c r="J14" s="40" t="s">
        <v>195</v>
      </c>
      <c r="K14" s="40">
        <v>111</v>
      </c>
      <c r="L14" s="40">
        <v>25.738</v>
      </c>
      <c r="M14" s="40" t="s">
        <v>195</v>
      </c>
      <c r="N14" s="40" t="s">
        <v>195</v>
      </c>
      <c r="O14" s="40" t="s">
        <v>195</v>
      </c>
      <c r="P14" s="40" t="s">
        <v>195</v>
      </c>
      <c r="Q14" s="41">
        <v>7545</v>
      </c>
      <c r="R14" s="50">
        <v>1643.145</v>
      </c>
      <c r="S14" s="58" t="s">
        <v>195</v>
      </c>
      <c r="T14" s="50" t="s">
        <v>195</v>
      </c>
      <c r="U14" s="23" t="s">
        <v>12</v>
      </c>
      <c r="V14" s="25"/>
    </row>
    <row r="15" spans="1:27" x14ac:dyDescent="0.3">
      <c r="A15" s="21" t="s">
        <v>112</v>
      </c>
      <c r="B15" s="22">
        <f t="shared" si="4"/>
        <v>20927</v>
      </c>
      <c r="C15" s="41">
        <v>20320</v>
      </c>
      <c r="D15" s="40">
        <v>3794.6610000000001</v>
      </c>
      <c r="E15" s="51" t="s">
        <v>195</v>
      </c>
      <c r="F15" s="40" t="s">
        <v>195</v>
      </c>
      <c r="G15" s="51" t="s">
        <v>195</v>
      </c>
      <c r="H15" s="40" t="s">
        <v>195</v>
      </c>
      <c r="I15" s="51">
        <v>111</v>
      </c>
      <c r="J15" s="40">
        <v>16.649999999999999</v>
      </c>
      <c r="K15" s="40">
        <v>291</v>
      </c>
      <c r="L15" s="40">
        <v>49.325000000000003</v>
      </c>
      <c r="M15" s="40">
        <v>25</v>
      </c>
      <c r="N15" s="40">
        <v>3.75</v>
      </c>
      <c r="O15" s="40" t="s">
        <v>195</v>
      </c>
      <c r="P15" s="40" t="s">
        <v>195</v>
      </c>
      <c r="Q15" s="41">
        <v>180</v>
      </c>
      <c r="R15" s="50">
        <v>50.646000000000001</v>
      </c>
      <c r="S15" s="58" t="s">
        <v>195</v>
      </c>
      <c r="T15" s="50" t="s">
        <v>195</v>
      </c>
      <c r="U15" s="23" t="s">
        <v>13</v>
      </c>
      <c r="V15" s="25"/>
    </row>
    <row r="16" spans="1:27" s="31" customFormat="1" ht="25.8" customHeight="1" x14ac:dyDescent="0.3">
      <c r="A16" s="16" t="s">
        <v>14</v>
      </c>
      <c r="B16" s="26">
        <f>SUM(B17:B23)</f>
        <v>424443</v>
      </c>
      <c r="C16" s="27">
        <f t="shared" ref="C16:S16" si="5">SUM(C17:C23)</f>
        <v>182747</v>
      </c>
      <c r="D16" s="27">
        <f t="shared" si="5"/>
        <v>32539.093999999997</v>
      </c>
      <c r="E16" s="27">
        <f t="shared" si="5"/>
        <v>9</v>
      </c>
      <c r="F16" s="27">
        <f t="shared" si="5"/>
        <v>0.99</v>
      </c>
      <c r="G16" s="27">
        <f>SUM(G17:G23)</f>
        <v>111027</v>
      </c>
      <c r="H16" s="27">
        <f t="shared" si="5"/>
        <v>18871.519999999997</v>
      </c>
      <c r="I16" s="27">
        <f t="shared" si="5"/>
        <v>556</v>
      </c>
      <c r="J16" s="27">
        <f t="shared" si="5"/>
        <v>100.015</v>
      </c>
      <c r="K16" s="27">
        <f t="shared" si="5"/>
        <v>59121</v>
      </c>
      <c r="L16" s="27">
        <f t="shared" si="5"/>
        <v>10802.982</v>
      </c>
      <c r="M16" s="27">
        <f t="shared" si="5"/>
        <v>15825</v>
      </c>
      <c r="N16" s="27">
        <f t="shared" si="5"/>
        <v>2456.1349999999998</v>
      </c>
      <c r="O16" s="27">
        <f t="shared" si="5"/>
        <v>0</v>
      </c>
      <c r="P16" s="27">
        <f t="shared" si="5"/>
        <v>0</v>
      </c>
      <c r="Q16" s="27">
        <f>SUM(Q17:Q23)</f>
        <v>55158</v>
      </c>
      <c r="R16" s="28">
        <f>SUM(R17:R23)</f>
        <v>10322.851000000001</v>
      </c>
      <c r="S16" s="26">
        <f t="shared" si="5"/>
        <v>8234</v>
      </c>
      <c r="T16" s="28">
        <f>SUM(T17:T23)</f>
        <v>725.01800000000003</v>
      </c>
      <c r="U16" s="29" t="s">
        <v>15</v>
      </c>
      <c r="V16" s="30"/>
      <c r="W16" s="29"/>
      <c r="Y16" s="55"/>
    </row>
    <row r="17" spans="1:23" x14ac:dyDescent="0.3">
      <c r="A17" s="21" t="s">
        <v>113</v>
      </c>
      <c r="B17" s="22">
        <f t="shared" si="4"/>
        <v>177541</v>
      </c>
      <c r="C17" s="41">
        <v>64962</v>
      </c>
      <c r="D17" s="40">
        <v>10490.862999999999</v>
      </c>
      <c r="E17" s="51">
        <v>9</v>
      </c>
      <c r="F17" s="40">
        <v>0.99</v>
      </c>
      <c r="G17" s="41">
        <v>44510</v>
      </c>
      <c r="H17" s="40">
        <v>7246.4719999999998</v>
      </c>
      <c r="I17" s="41">
        <v>38</v>
      </c>
      <c r="J17" s="40">
        <v>6.726</v>
      </c>
      <c r="K17" s="40">
        <v>18783</v>
      </c>
      <c r="L17" s="40">
        <v>3276.605</v>
      </c>
      <c r="M17" s="40">
        <v>1874</v>
      </c>
      <c r="N17" s="40">
        <v>307.50200000000001</v>
      </c>
      <c r="O17" s="40" t="s">
        <v>195</v>
      </c>
      <c r="P17" s="40" t="s">
        <v>195</v>
      </c>
      <c r="Q17" s="41">
        <v>47365</v>
      </c>
      <c r="R17" s="50">
        <v>8853.5059999999994</v>
      </c>
      <c r="S17" s="59">
        <v>151</v>
      </c>
      <c r="T17" s="50">
        <v>18.613</v>
      </c>
      <c r="U17" s="23" t="s">
        <v>16</v>
      </c>
    </row>
    <row r="18" spans="1:23" x14ac:dyDescent="0.3">
      <c r="A18" s="21" t="s">
        <v>114</v>
      </c>
      <c r="B18" s="22">
        <f t="shared" si="4"/>
        <v>2869</v>
      </c>
      <c r="C18" s="41">
        <v>2247</v>
      </c>
      <c r="D18" s="40">
        <v>481.94799999999998</v>
      </c>
      <c r="E18" s="51" t="s">
        <v>195</v>
      </c>
      <c r="F18" s="40" t="s">
        <v>195</v>
      </c>
      <c r="G18" s="41" t="s">
        <v>195</v>
      </c>
      <c r="H18" s="40" t="s">
        <v>195</v>
      </c>
      <c r="I18" s="41" t="s">
        <v>195</v>
      </c>
      <c r="J18" s="40" t="s">
        <v>195</v>
      </c>
      <c r="K18" s="40">
        <v>106</v>
      </c>
      <c r="L18" s="40">
        <v>16.63</v>
      </c>
      <c r="M18" s="40">
        <v>91</v>
      </c>
      <c r="N18" s="40">
        <v>15.47</v>
      </c>
      <c r="O18" s="40" t="s">
        <v>195</v>
      </c>
      <c r="P18" s="40" t="s">
        <v>195</v>
      </c>
      <c r="Q18" s="41">
        <v>425</v>
      </c>
      <c r="R18" s="50">
        <v>88.56</v>
      </c>
      <c r="S18" s="59">
        <v>35</v>
      </c>
      <c r="T18" s="50">
        <v>2.8</v>
      </c>
      <c r="U18" s="23" t="s">
        <v>17</v>
      </c>
    </row>
    <row r="19" spans="1:23" x14ac:dyDescent="0.3">
      <c r="A19" s="21" t="s">
        <v>115</v>
      </c>
      <c r="B19" s="22">
        <f t="shared" si="4"/>
        <v>119301</v>
      </c>
      <c r="C19" s="41">
        <v>49020</v>
      </c>
      <c r="D19" s="40">
        <v>9778.3629999999994</v>
      </c>
      <c r="E19" s="41" t="s">
        <v>195</v>
      </c>
      <c r="F19" s="40" t="s">
        <v>195</v>
      </c>
      <c r="G19" s="41">
        <v>36213</v>
      </c>
      <c r="H19" s="40">
        <v>6796.674</v>
      </c>
      <c r="I19" s="41">
        <v>452</v>
      </c>
      <c r="J19" s="40">
        <v>83.605000000000004</v>
      </c>
      <c r="K19" s="40">
        <v>25745</v>
      </c>
      <c r="L19" s="40">
        <v>4756.192</v>
      </c>
      <c r="M19" s="40">
        <v>4353</v>
      </c>
      <c r="N19" s="40">
        <v>763.13499999999999</v>
      </c>
      <c r="O19" s="40" t="s">
        <v>195</v>
      </c>
      <c r="P19" s="40" t="s">
        <v>195</v>
      </c>
      <c r="Q19" s="41">
        <v>3518</v>
      </c>
      <c r="R19" s="50">
        <v>694.85</v>
      </c>
      <c r="S19" s="59">
        <v>6915</v>
      </c>
      <c r="T19" s="50">
        <v>589.60599999999999</v>
      </c>
      <c r="U19" s="23" t="s">
        <v>18</v>
      </c>
      <c r="V19" s="25"/>
    </row>
    <row r="20" spans="1:23" x14ac:dyDescent="0.3">
      <c r="A20" s="21" t="s">
        <v>116</v>
      </c>
      <c r="B20" s="22">
        <f t="shared" si="4"/>
        <v>8997</v>
      </c>
      <c r="C20" s="41">
        <v>7307</v>
      </c>
      <c r="D20" s="40">
        <v>1352.2170000000001</v>
      </c>
      <c r="E20" s="51" t="s">
        <v>195</v>
      </c>
      <c r="F20" s="40" t="s">
        <v>195</v>
      </c>
      <c r="G20" s="41">
        <v>10</v>
      </c>
      <c r="H20" s="40">
        <v>1.55</v>
      </c>
      <c r="I20" s="51" t="s">
        <v>195</v>
      </c>
      <c r="J20" s="40" t="s">
        <v>195</v>
      </c>
      <c r="K20" s="40">
        <v>1565</v>
      </c>
      <c r="L20" s="40">
        <v>487.16500000000002</v>
      </c>
      <c r="M20" s="40">
        <v>79</v>
      </c>
      <c r="N20" s="40">
        <v>16.07</v>
      </c>
      <c r="O20" s="40" t="s">
        <v>195</v>
      </c>
      <c r="P20" s="40" t="s">
        <v>195</v>
      </c>
      <c r="Q20" s="41">
        <v>36</v>
      </c>
      <c r="R20" s="50">
        <v>7.25</v>
      </c>
      <c r="S20" s="58" t="s">
        <v>195</v>
      </c>
      <c r="T20" s="50" t="s">
        <v>195</v>
      </c>
      <c r="U20" s="23" t="s">
        <v>19</v>
      </c>
    </row>
    <row r="21" spans="1:23" x14ac:dyDescent="0.3">
      <c r="A21" s="21" t="s">
        <v>117</v>
      </c>
      <c r="B21" s="22">
        <f t="shared" si="4"/>
        <v>9229</v>
      </c>
      <c r="C21" s="41">
        <v>8180</v>
      </c>
      <c r="D21" s="40">
        <v>1795.2370000000001</v>
      </c>
      <c r="E21" s="51" t="s">
        <v>195</v>
      </c>
      <c r="F21" s="40" t="s">
        <v>195</v>
      </c>
      <c r="G21" s="41">
        <v>166</v>
      </c>
      <c r="H21" s="40">
        <v>27.648</v>
      </c>
      <c r="I21" s="51">
        <v>27</v>
      </c>
      <c r="J21" s="40">
        <v>3.8340000000000001</v>
      </c>
      <c r="K21" s="40">
        <v>521</v>
      </c>
      <c r="L21" s="40">
        <v>126.42</v>
      </c>
      <c r="M21" s="40">
        <v>282</v>
      </c>
      <c r="N21" s="40">
        <v>45.5</v>
      </c>
      <c r="O21" s="40" t="s">
        <v>195</v>
      </c>
      <c r="P21" s="40" t="s">
        <v>195</v>
      </c>
      <c r="Q21" s="41">
        <v>53</v>
      </c>
      <c r="R21" s="50">
        <v>13.25</v>
      </c>
      <c r="S21" s="59">
        <v>99</v>
      </c>
      <c r="T21" s="60">
        <v>4.95</v>
      </c>
      <c r="U21" s="23" t="s">
        <v>20</v>
      </c>
    </row>
    <row r="22" spans="1:23" x14ac:dyDescent="0.3">
      <c r="A22" s="21" t="s">
        <v>118</v>
      </c>
      <c r="B22" s="22">
        <f t="shared" si="4"/>
        <v>24283</v>
      </c>
      <c r="C22" s="41">
        <v>11881</v>
      </c>
      <c r="D22" s="40">
        <v>2306.3690000000001</v>
      </c>
      <c r="E22" s="51" t="s">
        <v>195</v>
      </c>
      <c r="F22" s="40" t="s">
        <v>195</v>
      </c>
      <c r="G22" s="41">
        <v>6429</v>
      </c>
      <c r="H22" s="40">
        <v>1930.864</v>
      </c>
      <c r="I22" s="51">
        <v>39</v>
      </c>
      <c r="J22" s="40">
        <v>5.85</v>
      </c>
      <c r="K22" s="40">
        <v>3060</v>
      </c>
      <c r="L22" s="40">
        <v>675.83100000000002</v>
      </c>
      <c r="M22" s="40">
        <v>495</v>
      </c>
      <c r="N22" s="40">
        <v>128.6</v>
      </c>
      <c r="O22" s="40" t="s">
        <v>195</v>
      </c>
      <c r="P22" s="40" t="s">
        <v>195</v>
      </c>
      <c r="Q22" s="41">
        <v>2379</v>
      </c>
      <c r="R22" s="50">
        <v>458.40499999999997</v>
      </c>
      <c r="S22" s="59" t="s">
        <v>195</v>
      </c>
      <c r="T22" s="60" t="s">
        <v>195</v>
      </c>
      <c r="U22" s="23" t="s">
        <v>21</v>
      </c>
    </row>
    <row r="23" spans="1:23" x14ac:dyDescent="0.3">
      <c r="A23" s="21" t="s">
        <v>119</v>
      </c>
      <c r="B23" s="22">
        <f t="shared" si="4"/>
        <v>82223</v>
      </c>
      <c r="C23" s="41">
        <v>39150</v>
      </c>
      <c r="D23" s="40">
        <v>6334.0969999999998</v>
      </c>
      <c r="E23" s="41" t="s">
        <v>195</v>
      </c>
      <c r="F23" s="40" t="s">
        <v>195</v>
      </c>
      <c r="G23" s="41">
        <v>23699</v>
      </c>
      <c r="H23" s="40">
        <v>2868.3119999999999</v>
      </c>
      <c r="I23" s="51" t="s">
        <v>195</v>
      </c>
      <c r="J23" s="40" t="s">
        <v>195</v>
      </c>
      <c r="K23" s="40">
        <v>9341</v>
      </c>
      <c r="L23" s="40">
        <v>1464.1389999999999</v>
      </c>
      <c r="M23" s="40">
        <v>8651</v>
      </c>
      <c r="N23" s="40">
        <v>1179.8579999999999</v>
      </c>
      <c r="O23" s="40" t="s">
        <v>195</v>
      </c>
      <c r="P23" s="40" t="s">
        <v>195</v>
      </c>
      <c r="Q23" s="41">
        <v>1382</v>
      </c>
      <c r="R23" s="50">
        <v>207.03</v>
      </c>
      <c r="S23" s="58">
        <v>1034</v>
      </c>
      <c r="T23" s="50">
        <v>109.04900000000001</v>
      </c>
      <c r="U23" s="23" t="s">
        <v>22</v>
      </c>
    </row>
    <row r="24" spans="1:23" ht="22.2" customHeight="1" x14ac:dyDescent="0.3">
      <c r="A24" s="16" t="s">
        <v>23</v>
      </c>
      <c r="B24" s="26">
        <f>SUM(B25:B28)</f>
        <v>65425</v>
      </c>
      <c r="C24" s="27">
        <f>SUM(C25:C28)</f>
        <v>14105</v>
      </c>
      <c r="D24" s="27">
        <f t="shared" ref="D24:S24" si="6">SUM(D25:D28)</f>
        <v>2230.0169999999998</v>
      </c>
      <c r="E24" s="27">
        <f t="shared" si="6"/>
        <v>282</v>
      </c>
      <c r="F24" s="27">
        <f t="shared" si="6"/>
        <v>24.494</v>
      </c>
      <c r="G24" s="27">
        <f t="shared" si="6"/>
        <v>1195</v>
      </c>
      <c r="H24" s="27">
        <f t="shared" si="6"/>
        <v>209.19200000000001</v>
      </c>
      <c r="I24" s="27">
        <f t="shared" si="6"/>
        <v>89</v>
      </c>
      <c r="J24" s="27">
        <f t="shared" si="6"/>
        <v>17</v>
      </c>
      <c r="K24" s="27">
        <f t="shared" si="6"/>
        <v>20352</v>
      </c>
      <c r="L24" s="27">
        <f t="shared" si="6"/>
        <v>3166.5089999999996</v>
      </c>
      <c r="M24" s="27">
        <f t="shared" si="6"/>
        <v>262</v>
      </c>
      <c r="N24" s="27">
        <f t="shared" si="6"/>
        <v>43.231999999999999</v>
      </c>
      <c r="O24" s="27">
        <f t="shared" si="6"/>
        <v>458</v>
      </c>
      <c r="P24" s="27">
        <f t="shared" si="6"/>
        <v>68.63000000000001</v>
      </c>
      <c r="Q24" s="27">
        <f>SUM(Q25:Q28)</f>
        <v>28682</v>
      </c>
      <c r="R24" s="28">
        <f>SUM(R25:R28)</f>
        <v>5746.3720000000003</v>
      </c>
      <c r="S24" s="26">
        <f t="shared" si="6"/>
        <v>8575</v>
      </c>
      <c r="T24" s="28">
        <f>SUM(T25:T28)</f>
        <v>559.99800000000005</v>
      </c>
      <c r="U24" s="32" t="s">
        <v>103</v>
      </c>
    </row>
    <row r="25" spans="1:23" x14ac:dyDescent="0.3">
      <c r="A25" s="21" t="s">
        <v>120</v>
      </c>
      <c r="B25" s="22">
        <f t="shared" si="4"/>
        <v>31469</v>
      </c>
      <c r="C25" s="41">
        <v>12058</v>
      </c>
      <c r="D25" s="40">
        <v>1949.1310000000001</v>
      </c>
      <c r="E25" s="41">
        <v>167</v>
      </c>
      <c r="F25" s="40">
        <v>13.337999999999999</v>
      </c>
      <c r="G25" s="41">
        <v>331</v>
      </c>
      <c r="H25" s="40">
        <v>36.573999999999998</v>
      </c>
      <c r="I25" s="41">
        <v>19</v>
      </c>
      <c r="J25" s="40">
        <v>3.4</v>
      </c>
      <c r="K25" s="40">
        <v>6911</v>
      </c>
      <c r="L25" s="40">
        <v>1187.8489999999999</v>
      </c>
      <c r="M25" s="40">
        <v>149</v>
      </c>
      <c r="N25" s="40">
        <v>19.481999999999999</v>
      </c>
      <c r="O25" s="40">
        <v>451</v>
      </c>
      <c r="P25" s="40">
        <v>67.650000000000006</v>
      </c>
      <c r="Q25" s="41">
        <v>11383</v>
      </c>
      <c r="R25" s="50">
        <v>2150.8420000000001</v>
      </c>
      <c r="S25" s="59">
        <v>78</v>
      </c>
      <c r="T25" s="50">
        <v>7.024</v>
      </c>
      <c r="U25" s="23" t="s">
        <v>24</v>
      </c>
    </row>
    <row r="26" spans="1:23" x14ac:dyDescent="0.3">
      <c r="A26" s="21" t="s">
        <v>121</v>
      </c>
      <c r="B26" s="22">
        <f t="shared" si="4"/>
        <v>29281</v>
      </c>
      <c r="C26" s="41">
        <v>1097</v>
      </c>
      <c r="D26" s="40">
        <v>137.32</v>
      </c>
      <c r="E26" s="41">
        <v>115</v>
      </c>
      <c r="F26" s="40">
        <v>11.156000000000001</v>
      </c>
      <c r="G26" s="41">
        <v>618</v>
      </c>
      <c r="H26" s="40">
        <v>103.048</v>
      </c>
      <c r="I26" s="41">
        <v>70</v>
      </c>
      <c r="J26" s="40">
        <v>13.6</v>
      </c>
      <c r="K26" s="40">
        <v>11746</v>
      </c>
      <c r="L26" s="40">
        <v>1536.202</v>
      </c>
      <c r="M26" s="40">
        <v>29</v>
      </c>
      <c r="N26" s="40">
        <v>3.79</v>
      </c>
      <c r="O26" s="40" t="s">
        <v>195</v>
      </c>
      <c r="P26" s="40" t="s">
        <v>195</v>
      </c>
      <c r="Q26" s="41">
        <v>15606</v>
      </c>
      <c r="R26" s="50">
        <v>3205.2739999999999</v>
      </c>
      <c r="S26" s="59">
        <v>8497</v>
      </c>
      <c r="T26" s="50">
        <v>552.97400000000005</v>
      </c>
      <c r="U26" s="23" t="s">
        <v>25</v>
      </c>
    </row>
    <row r="27" spans="1:23" x14ac:dyDescent="0.3">
      <c r="A27" s="21" t="s">
        <v>122</v>
      </c>
      <c r="B27" s="22">
        <f t="shared" si="4"/>
        <v>2779</v>
      </c>
      <c r="C27" s="41">
        <v>950</v>
      </c>
      <c r="D27" s="40">
        <v>143.566</v>
      </c>
      <c r="E27" s="51" t="s">
        <v>195</v>
      </c>
      <c r="F27" s="40" t="s">
        <v>195</v>
      </c>
      <c r="G27" s="51">
        <v>42</v>
      </c>
      <c r="H27" s="40">
        <v>9.4</v>
      </c>
      <c r="I27" s="51" t="s">
        <v>195</v>
      </c>
      <c r="J27" s="40" t="s">
        <v>195</v>
      </c>
      <c r="K27" s="40">
        <v>270</v>
      </c>
      <c r="L27" s="40">
        <v>43.527999999999999</v>
      </c>
      <c r="M27" s="40">
        <v>30</v>
      </c>
      <c r="N27" s="40">
        <v>3</v>
      </c>
      <c r="O27" s="40" t="s">
        <v>195</v>
      </c>
      <c r="P27" s="40" t="s">
        <v>195</v>
      </c>
      <c r="Q27" s="41">
        <v>1487</v>
      </c>
      <c r="R27" s="50">
        <v>337.25400000000002</v>
      </c>
      <c r="S27" s="58" t="s">
        <v>195</v>
      </c>
      <c r="T27" s="50" t="s">
        <v>195</v>
      </c>
      <c r="U27" s="23" t="s">
        <v>26</v>
      </c>
    </row>
    <row r="28" spans="1:23" x14ac:dyDescent="0.3">
      <c r="A28" s="21" t="s">
        <v>123</v>
      </c>
      <c r="B28" s="22">
        <f t="shared" si="4"/>
        <v>1896</v>
      </c>
      <c r="C28" s="41" t="s">
        <v>195</v>
      </c>
      <c r="D28" s="40" t="s">
        <v>195</v>
      </c>
      <c r="E28" s="51" t="s">
        <v>195</v>
      </c>
      <c r="F28" s="40" t="s">
        <v>195</v>
      </c>
      <c r="G28" s="41">
        <v>204</v>
      </c>
      <c r="H28" s="40">
        <v>60.17</v>
      </c>
      <c r="I28" s="51" t="s">
        <v>195</v>
      </c>
      <c r="J28" s="40" t="s">
        <v>195</v>
      </c>
      <c r="K28" s="40">
        <v>1425</v>
      </c>
      <c r="L28" s="40">
        <v>398.93</v>
      </c>
      <c r="M28" s="40">
        <v>54</v>
      </c>
      <c r="N28" s="40">
        <v>16.96</v>
      </c>
      <c r="O28" s="40">
        <v>7</v>
      </c>
      <c r="P28" s="40">
        <v>0.98</v>
      </c>
      <c r="Q28" s="41">
        <v>206</v>
      </c>
      <c r="R28" s="50">
        <v>53.002000000000002</v>
      </c>
      <c r="S28" s="58" t="s">
        <v>195</v>
      </c>
      <c r="T28" s="50" t="s">
        <v>195</v>
      </c>
      <c r="U28" s="23" t="s">
        <v>27</v>
      </c>
    </row>
    <row r="29" spans="1:23" ht="22.8" customHeight="1" x14ac:dyDescent="0.3">
      <c r="A29" s="16" t="s">
        <v>28</v>
      </c>
      <c r="B29" s="26">
        <f>SUM(B30:B33)</f>
        <v>2557</v>
      </c>
      <c r="C29" s="27">
        <f t="shared" ref="C29:S29" si="7">SUM(C30:C33)</f>
        <v>661</v>
      </c>
      <c r="D29" s="27">
        <f t="shared" si="7"/>
        <v>108.90299999999999</v>
      </c>
      <c r="E29" s="27">
        <f t="shared" si="7"/>
        <v>0</v>
      </c>
      <c r="F29" s="27">
        <f t="shared" si="7"/>
        <v>0</v>
      </c>
      <c r="G29" s="27">
        <f t="shared" si="7"/>
        <v>5</v>
      </c>
      <c r="H29" s="27">
        <f t="shared" si="7"/>
        <v>1.1000000000000001</v>
      </c>
      <c r="I29" s="27">
        <f t="shared" si="7"/>
        <v>0</v>
      </c>
      <c r="J29" s="27">
        <f t="shared" si="7"/>
        <v>0</v>
      </c>
      <c r="K29" s="27">
        <f t="shared" si="7"/>
        <v>123</v>
      </c>
      <c r="L29" s="27">
        <f t="shared" si="7"/>
        <v>30.710999999999999</v>
      </c>
      <c r="M29" s="27">
        <f t="shared" si="7"/>
        <v>0</v>
      </c>
      <c r="N29" s="27">
        <f t="shared" si="7"/>
        <v>0</v>
      </c>
      <c r="O29" s="27">
        <f t="shared" si="7"/>
        <v>0</v>
      </c>
      <c r="P29" s="27">
        <f t="shared" si="7"/>
        <v>0</v>
      </c>
      <c r="Q29" s="27">
        <f>SUM(Q30:Q33)</f>
        <v>1768</v>
      </c>
      <c r="R29" s="28">
        <f>SUM(R30:R33)</f>
        <v>548.31100000000004</v>
      </c>
      <c r="S29" s="26">
        <f t="shared" si="7"/>
        <v>0</v>
      </c>
      <c r="T29" s="28">
        <f>SUM(T30:T33)</f>
        <v>0</v>
      </c>
      <c r="U29" s="33" t="s">
        <v>29</v>
      </c>
      <c r="V29" s="33"/>
      <c r="W29" s="33"/>
    </row>
    <row r="30" spans="1:23" x14ac:dyDescent="0.3">
      <c r="A30" s="21" t="s">
        <v>124</v>
      </c>
      <c r="B30" s="22">
        <f t="shared" si="4"/>
        <v>962</v>
      </c>
      <c r="C30" s="41">
        <v>542</v>
      </c>
      <c r="D30" s="40">
        <v>87.221999999999994</v>
      </c>
      <c r="E30" s="51" t="s">
        <v>195</v>
      </c>
      <c r="F30" s="40" t="s">
        <v>195</v>
      </c>
      <c r="G30" s="41" t="s">
        <v>195</v>
      </c>
      <c r="H30" s="40" t="s">
        <v>195</v>
      </c>
      <c r="I30" s="51" t="s">
        <v>195</v>
      </c>
      <c r="J30" s="40" t="s">
        <v>195</v>
      </c>
      <c r="K30" s="40">
        <v>123</v>
      </c>
      <c r="L30" s="40">
        <v>30.710999999999999</v>
      </c>
      <c r="M30" s="40" t="s">
        <v>195</v>
      </c>
      <c r="N30" s="40" t="s">
        <v>195</v>
      </c>
      <c r="O30" s="40" t="s">
        <v>195</v>
      </c>
      <c r="P30" s="40" t="s">
        <v>195</v>
      </c>
      <c r="Q30" s="41">
        <v>297</v>
      </c>
      <c r="R30" s="50">
        <v>67.733999999999995</v>
      </c>
      <c r="S30" s="58" t="s">
        <v>195</v>
      </c>
      <c r="T30" s="50" t="s">
        <v>195</v>
      </c>
      <c r="U30" s="23" t="s">
        <v>30</v>
      </c>
    </row>
    <row r="31" spans="1:23" x14ac:dyDescent="0.3">
      <c r="A31" s="21" t="s">
        <v>125</v>
      </c>
      <c r="B31" s="22">
        <f t="shared" si="4"/>
        <v>177</v>
      </c>
      <c r="C31" s="51">
        <v>92</v>
      </c>
      <c r="D31" s="40">
        <v>16.367999999999999</v>
      </c>
      <c r="E31" s="51" t="s">
        <v>195</v>
      </c>
      <c r="F31" s="40" t="s">
        <v>195</v>
      </c>
      <c r="G31" s="41">
        <v>5</v>
      </c>
      <c r="H31" s="40">
        <v>1.1000000000000001</v>
      </c>
      <c r="I31" s="51" t="s">
        <v>195</v>
      </c>
      <c r="J31" s="40" t="s">
        <v>195</v>
      </c>
      <c r="K31" s="40" t="s">
        <v>195</v>
      </c>
      <c r="L31" s="40" t="s">
        <v>195</v>
      </c>
      <c r="M31" s="40" t="s">
        <v>195</v>
      </c>
      <c r="N31" s="40" t="s">
        <v>195</v>
      </c>
      <c r="O31" s="40" t="s">
        <v>195</v>
      </c>
      <c r="P31" s="40" t="s">
        <v>195</v>
      </c>
      <c r="Q31" s="41">
        <v>80</v>
      </c>
      <c r="R31" s="50">
        <v>15.881</v>
      </c>
      <c r="S31" s="58" t="s">
        <v>195</v>
      </c>
      <c r="T31" s="50" t="s">
        <v>195</v>
      </c>
      <c r="U31" s="23" t="s">
        <v>31</v>
      </c>
    </row>
    <row r="32" spans="1:23" x14ac:dyDescent="0.3">
      <c r="A32" s="21" t="s">
        <v>126</v>
      </c>
      <c r="B32" s="22">
        <f t="shared" si="4"/>
        <v>74</v>
      </c>
      <c r="C32" s="41">
        <v>4</v>
      </c>
      <c r="D32" s="40">
        <v>1</v>
      </c>
      <c r="E32" s="51" t="s">
        <v>195</v>
      </c>
      <c r="F32" s="40" t="s">
        <v>195</v>
      </c>
      <c r="G32" s="51" t="s">
        <v>195</v>
      </c>
      <c r="H32" s="40" t="s">
        <v>195</v>
      </c>
      <c r="I32" s="51" t="s">
        <v>195</v>
      </c>
      <c r="J32" s="40" t="s">
        <v>195</v>
      </c>
      <c r="K32" s="40" t="s">
        <v>195</v>
      </c>
      <c r="L32" s="40" t="s">
        <v>195</v>
      </c>
      <c r="M32" s="40" t="s">
        <v>195</v>
      </c>
      <c r="N32" s="40" t="s">
        <v>195</v>
      </c>
      <c r="O32" s="40" t="s">
        <v>195</v>
      </c>
      <c r="P32" s="40" t="s">
        <v>195</v>
      </c>
      <c r="Q32" s="41">
        <v>70</v>
      </c>
      <c r="R32" s="50">
        <v>16.088000000000001</v>
      </c>
      <c r="S32" s="58" t="s">
        <v>195</v>
      </c>
      <c r="T32" s="50" t="s">
        <v>195</v>
      </c>
      <c r="U32" s="23" t="s">
        <v>32</v>
      </c>
    </row>
    <row r="33" spans="1:23" x14ac:dyDescent="0.3">
      <c r="A33" s="21" t="s">
        <v>127</v>
      </c>
      <c r="B33" s="22">
        <f t="shared" si="4"/>
        <v>1344</v>
      </c>
      <c r="C33" s="41">
        <v>23</v>
      </c>
      <c r="D33" s="40">
        <v>4.3129999999999997</v>
      </c>
      <c r="E33" s="51" t="s">
        <v>195</v>
      </c>
      <c r="F33" s="40" t="s">
        <v>195</v>
      </c>
      <c r="G33" s="51" t="s">
        <v>195</v>
      </c>
      <c r="H33" s="40" t="s">
        <v>195</v>
      </c>
      <c r="I33" s="51" t="s">
        <v>195</v>
      </c>
      <c r="J33" s="40" t="s">
        <v>195</v>
      </c>
      <c r="K33" s="40" t="s">
        <v>195</v>
      </c>
      <c r="L33" s="40" t="s">
        <v>195</v>
      </c>
      <c r="M33" s="40" t="s">
        <v>195</v>
      </c>
      <c r="N33" s="40" t="s">
        <v>195</v>
      </c>
      <c r="O33" s="40" t="s">
        <v>195</v>
      </c>
      <c r="P33" s="40" t="s">
        <v>195</v>
      </c>
      <c r="Q33" s="41">
        <v>1321</v>
      </c>
      <c r="R33" s="50">
        <v>448.608</v>
      </c>
      <c r="S33" s="59" t="s">
        <v>195</v>
      </c>
      <c r="T33" s="50" t="s">
        <v>195</v>
      </c>
      <c r="U33" s="23" t="s">
        <v>33</v>
      </c>
    </row>
    <row r="34" spans="1:23" ht="25.8" customHeight="1" x14ac:dyDescent="0.3">
      <c r="A34" s="16" t="s">
        <v>34</v>
      </c>
      <c r="B34" s="26">
        <f>SUM(B35:B39)</f>
        <v>124487</v>
      </c>
      <c r="C34" s="27">
        <f t="shared" ref="C34:S34" si="8">SUM(C35:C39)</f>
        <v>66699</v>
      </c>
      <c r="D34" s="27">
        <f t="shared" si="8"/>
        <v>14058.198999999999</v>
      </c>
      <c r="E34" s="27">
        <f t="shared" si="8"/>
        <v>0</v>
      </c>
      <c r="F34" s="27">
        <f t="shared" si="8"/>
        <v>0</v>
      </c>
      <c r="G34" s="27">
        <f t="shared" si="8"/>
        <v>580</v>
      </c>
      <c r="H34" s="27">
        <f t="shared" si="8"/>
        <v>137.64400000000001</v>
      </c>
      <c r="I34" s="27">
        <f t="shared" si="8"/>
        <v>1016</v>
      </c>
      <c r="J34" s="27">
        <f t="shared" si="8"/>
        <v>145.19999999999999</v>
      </c>
      <c r="K34" s="27">
        <f t="shared" si="8"/>
        <v>27531</v>
      </c>
      <c r="L34" s="27">
        <f t="shared" si="8"/>
        <v>7188.9189999999999</v>
      </c>
      <c r="M34" s="27">
        <f t="shared" si="8"/>
        <v>5968</v>
      </c>
      <c r="N34" s="27">
        <f t="shared" si="8"/>
        <v>1275.97</v>
      </c>
      <c r="O34" s="27">
        <f t="shared" si="8"/>
        <v>241</v>
      </c>
      <c r="P34" s="27">
        <f t="shared" si="8"/>
        <v>34.68</v>
      </c>
      <c r="Q34" s="27">
        <f>SUM(Q35:Q39)</f>
        <v>22452</v>
      </c>
      <c r="R34" s="28">
        <f>SUM(R35:R39)</f>
        <v>5316.201</v>
      </c>
      <c r="S34" s="26">
        <f t="shared" si="8"/>
        <v>8144</v>
      </c>
      <c r="T34" s="28">
        <f>SUM(T35:T39)</f>
        <v>533.84299999999996</v>
      </c>
      <c r="U34" s="33" t="s">
        <v>35</v>
      </c>
      <c r="V34" s="33"/>
      <c r="W34" s="33"/>
    </row>
    <row r="35" spans="1:23" x14ac:dyDescent="0.3">
      <c r="A35" s="21" t="s">
        <v>128</v>
      </c>
      <c r="B35" s="22">
        <f t="shared" si="4"/>
        <v>77915</v>
      </c>
      <c r="C35" s="41">
        <v>45154</v>
      </c>
      <c r="D35" s="40">
        <v>9941.2019999999993</v>
      </c>
      <c r="E35" s="51" t="s">
        <v>195</v>
      </c>
      <c r="F35" s="40" t="s">
        <v>195</v>
      </c>
      <c r="G35" s="41">
        <v>80</v>
      </c>
      <c r="H35" s="40">
        <v>20.844000000000001</v>
      </c>
      <c r="I35" s="41">
        <v>1001</v>
      </c>
      <c r="J35" s="40">
        <v>141.75</v>
      </c>
      <c r="K35" s="40">
        <v>14110</v>
      </c>
      <c r="L35" s="40">
        <v>3498.6210000000001</v>
      </c>
      <c r="M35" s="40">
        <v>4493</v>
      </c>
      <c r="N35" s="40">
        <v>954.86</v>
      </c>
      <c r="O35" s="40">
        <v>82</v>
      </c>
      <c r="P35" s="40">
        <v>3.28</v>
      </c>
      <c r="Q35" s="41">
        <v>12995</v>
      </c>
      <c r="R35" s="50">
        <v>3061.0740000000001</v>
      </c>
      <c r="S35" s="59">
        <v>1479</v>
      </c>
      <c r="T35" s="50">
        <v>122.07599999999999</v>
      </c>
      <c r="U35" s="23" t="s">
        <v>36</v>
      </c>
    </row>
    <row r="36" spans="1:23" x14ac:dyDescent="0.3">
      <c r="A36" s="21" t="s">
        <v>129</v>
      </c>
      <c r="B36" s="22">
        <f t="shared" si="4"/>
        <v>22336</v>
      </c>
      <c r="C36" s="41">
        <v>16027</v>
      </c>
      <c r="D36" s="40">
        <v>3037.607</v>
      </c>
      <c r="E36" s="41" t="s">
        <v>195</v>
      </c>
      <c r="F36" s="40" t="s">
        <v>195</v>
      </c>
      <c r="G36" s="51" t="s">
        <v>195</v>
      </c>
      <c r="H36" s="40" t="s">
        <v>195</v>
      </c>
      <c r="I36" s="41">
        <v>15</v>
      </c>
      <c r="J36" s="40">
        <v>3.45</v>
      </c>
      <c r="K36" s="40">
        <v>3276</v>
      </c>
      <c r="L36" s="40">
        <v>744.96500000000003</v>
      </c>
      <c r="M36" s="40">
        <v>648</v>
      </c>
      <c r="N36" s="40">
        <v>117.01</v>
      </c>
      <c r="O36" s="40" t="s">
        <v>195</v>
      </c>
      <c r="P36" s="40" t="s">
        <v>195</v>
      </c>
      <c r="Q36" s="41">
        <v>2370</v>
      </c>
      <c r="R36" s="50">
        <v>575.37800000000004</v>
      </c>
      <c r="S36" s="59">
        <v>4430</v>
      </c>
      <c r="T36" s="50">
        <v>186.52199999999999</v>
      </c>
      <c r="U36" s="23" t="s">
        <v>37</v>
      </c>
    </row>
    <row r="37" spans="1:23" x14ac:dyDescent="0.3">
      <c r="A37" s="21" t="s">
        <v>130</v>
      </c>
      <c r="B37" s="22">
        <f t="shared" si="4"/>
        <v>10932</v>
      </c>
      <c r="C37" s="41">
        <v>2791</v>
      </c>
      <c r="D37" s="40">
        <v>517.53200000000004</v>
      </c>
      <c r="E37" s="51" t="s">
        <v>195</v>
      </c>
      <c r="F37" s="40" t="s">
        <v>195</v>
      </c>
      <c r="G37" s="41">
        <v>457</v>
      </c>
      <c r="H37" s="40">
        <v>106.05</v>
      </c>
      <c r="I37" s="41" t="s">
        <v>195</v>
      </c>
      <c r="J37" s="40" t="s">
        <v>195</v>
      </c>
      <c r="K37" s="40">
        <v>4628</v>
      </c>
      <c r="L37" s="40">
        <v>1080.396</v>
      </c>
      <c r="M37" s="40">
        <v>822</v>
      </c>
      <c r="N37" s="40">
        <v>203</v>
      </c>
      <c r="O37" s="40">
        <v>145</v>
      </c>
      <c r="P37" s="40">
        <v>29</v>
      </c>
      <c r="Q37" s="41">
        <v>2089</v>
      </c>
      <c r="R37" s="50">
        <v>422.709</v>
      </c>
      <c r="S37" s="58">
        <v>2161</v>
      </c>
      <c r="T37" s="50">
        <v>220.06299999999999</v>
      </c>
      <c r="U37" s="23" t="s">
        <v>38</v>
      </c>
    </row>
    <row r="38" spans="1:23" x14ac:dyDescent="0.3">
      <c r="A38" s="21" t="s">
        <v>131</v>
      </c>
      <c r="B38" s="22">
        <f t="shared" si="4"/>
        <v>0</v>
      </c>
      <c r="C38" s="41" t="s">
        <v>195</v>
      </c>
      <c r="D38" s="40" t="s">
        <v>195</v>
      </c>
      <c r="E38" s="51" t="s">
        <v>195</v>
      </c>
      <c r="F38" s="40" t="s">
        <v>195</v>
      </c>
      <c r="G38" s="51" t="s">
        <v>195</v>
      </c>
      <c r="H38" s="40" t="s">
        <v>195</v>
      </c>
      <c r="I38" s="51" t="s">
        <v>195</v>
      </c>
      <c r="J38" s="40" t="s">
        <v>195</v>
      </c>
      <c r="K38" s="40" t="s">
        <v>195</v>
      </c>
      <c r="L38" s="40" t="s">
        <v>195</v>
      </c>
      <c r="M38" s="40" t="s">
        <v>195</v>
      </c>
      <c r="N38" s="40" t="s">
        <v>195</v>
      </c>
      <c r="O38" s="40" t="s">
        <v>195</v>
      </c>
      <c r="P38" s="40" t="s">
        <v>195</v>
      </c>
      <c r="Q38" s="41" t="s">
        <v>195</v>
      </c>
      <c r="R38" s="50" t="s">
        <v>195</v>
      </c>
      <c r="S38" s="58" t="s">
        <v>195</v>
      </c>
      <c r="T38" s="50" t="s">
        <v>195</v>
      </c>
      <c r="U38" s="34" t="s">
        <v>39</v>
      </c>
      <c r="V38" s="35"/>
      <c r="W38" s="35"/>
    </row>
    <row r="39" spans="1:23" x14ac:dyDescent="0.3">
      <c r="A39" s="21" t="s">
        <v>132</v>
      </c>
      <c r="B39" s="22">
        <f t="shared" si="4"/>
        <v>13304</v>
      </c>
      <c r="C39" s="41">
        <v>2727</v>
      </c>
      <c r="D39" s="40">
        <v>561.85799999999995</v>
      </c>
      <c r="E39" s="41" t="s">
        <v>195</v>
      </c>
      <c r="F39" s="40" t="s">
        <v>195</v>
      </c>
      <c r="G39" s="51">
        <v>43</v>
      </c>
      <c r="H39" s="40">
        <v>10.75</v>
      </c>
      <c r="I39" s="51" t="s">
        <v>195</v>
      </c>
      <c r="J39" s="40" t="s">
        <v>195</v>
      </c>
      <c r="K39" s="40">
        <v>5517</v>
      </c>
      <c r="L39" s="40">
        <v>1864.9369999999999</v>
      </c>
      <c r="M39" s="40">
        <v>5</v>
      </c>
      <c r="N39" s="40">
        <v>1.1000000000000001</v>
      </c>
      <c r="O39" s="40">
        <v>14</v>
      </c>
      <c r="P39" s="40">
        <v>2.4</v>
      </c>
      <c r="Q39" s="41">
        <v>4998</v>
      </c>
      <c r="R39" s="50">
        <v>1257.04</v>
      </c>
      <c r="S39" s="59">
        <v>74</v>
      </c>
      <c r="T39" s="50">
        <v>5.1820000000000004</v>
      </c>
      <c r="U39" s="23" t="s">
        <v>40</v>
      </c>
    </row>
    <row r="40" spans="1:23" ht="26.4" customHeight="1" x14ac:dyDescent="0.3">
      <c r="A40" s="16" t="s">
        <v>41</v>
      </c>
      <c r="B40" s="26">
        <f>SUM(B41:B45)</f>
        <v>57147</v>
      </c>
      <c r="C40" s="27">
        <f t="shared" ref="C40:S40" si="9">SUM(C41:C45)</f>
        <v>43088</v>
      </c>
      <c r="D40" s="27">
        <f t="shared" si="9"/>
        <v>8495.0429999999997</v>
      </c>
      <c r="E40" s="27">
        <f t="shared" si="9"/>
        <v>20</v>
      </c>
      <c r="F40" s="27">
        <f t="shared" si="9"/>
        <v>1.6</v>
      </c>
      <c r="G40" s="27">
        <f t="shared" si="9"/>
        <v>407</v>
      </c>
      <c r="H40" s="27">
        <f t="shared" si="9"/>
        <v>80.67</v>
      </c>
      <c r="I40" s="27">
        <f t="shared" si="9"/>
        <v>260</v>
      </c>
      <c r="J40" s="27">
        <f t="shared" si="9"/>
        <v>46.795000000000002</v>
      </c>
      <c r="K40" s="27">
        <f t="shared" si="9"/>
        <v>5843</v>
      </c>
      <c r="L40" s="27">
        <f t="shared" si="9"/>
        <v>1144.9879999999998</v>
      </c>
      <c r="M40" s="27">
        <f t="shared" si="9"/>
        <v>2559</v>
      </c>
      <c r="N40" s="27">
        <f t="shared" si="9"/>
        <v>507.37000000000006</v>
      </c>
      <c r="O40" s="27">
        <f t="shared" si="9"/>
        <v>0</v>
      </c>
      <c r="P40" s="27">
        <f t="shared" si="9"/>
        <v>0</v>
      </c>
      <c r="Q40" s="27">
        <f>SUM(Q41:Q45)</f>
        <v>4970</v>
      </c>
      <c r="R40" s="28">
        <f>SUM(R41:R45)</f>
        <v>967.54900000000009</v>
      </c>
      <c r="S40" s="26">
        <f t="shared" si="9"/>
        <v>3145</v>
      </c>
      <c r="T40" s="28">
        <f>SUM(T41:T45)</f>
        <v>296.92900000000003</v>
      </c>
      <c r="U40" s="36" t="s">
        <v>42</v>
      </c>
      <c r="V40" s="36"/>
      <c r="W40" s="36"/>
    </row>
    <row r="41" spans="1:23" x14ac:dyDescent="0.3">
      <c r="A41" s="21" t="s">
        <v>133</v>
      </c>
      <c r="B41" s="22">
        <f t="shared" si="4"/>
        <v>29846</v>
      </c>
      <c r="C41" s="41">
        <v>22185</v>
      </c>
      <c r="D41" s="40">
        <v>4616.4840000000004</v>
      </c>
      <c r="E41" s="41" t="s">
        <v>195</v>
      </c>
      <c r="F41" s="40" t="s">
        <v>195</v>
      </c>
      <c r="G41" s="41">
        <v>316</v>
      </c>
      <c r="H41" s="40">
        <v>46.95</v>
      </c>
      <c r="I41" s="41">
        <v>149</v>
      </c>
      <c r="J41" s="40">
        <v>23.61</v>
      </c>
      <c r="K41" s="40">
        <v>3223</v>
      </c>
      <c r="L41" s="40">
        <v>807.03099999999995</v>
      </c>
      <c r="M41" s="40">
        <v>1285</v>
      </c>
      <c r="N41" s="40">
        <v>318.40600000000001</v>
      </c>
      <c r="O41" s="40" t="s">
        <v>195</v>
      </c>
      <c r="P41" s="40" t="s">
        <v>195</v>
      </c>
      <c r="Q41" s="41">
        <v>2688</v>
      </c>
      <c r="R41" s="50">
        <v>540.73099999999999</v>
      </c>
      <c r="S41" s="59">
        <v>2817</v>
      </c>
      <c r="T41" s="50">
        <v>261.74099999999999</v>
      </c>
      <c r="U41" s="23" t="s">
        <v>43</v>
      </c>
    </row>
    <row r="42" spans="1:23" x14ac:dyDescent="0.3">
      <c r="A42" s="21" t="s">
        <v>134</v>
      </c>
      <c r="B42" s="22">
        <f t="shared" si="4"/>
        <v>15789</v>
      </c>
      <c r="C42" s="41">
        <v>13602</v>
      </c>
      <c r="D42" s="40">
        <v>2730.79</v>
      </c>
      <c r="E42" s="51" t="s">
        <v>195</v>
      </c>
      <c r="F42" s="40" t="s">
        <v>195</v>
      </c>
      <c r="G42" s="41">
        <v>4</v>
      </c>
      <c r="H42" s="40">
        <v>1.52</v>
      </c>
      <c r="I42" s="41">
        <v>10</v>
      </c>
      <c r="J42" s="40">
        <v>2.4</v>
      </c>
      <c r="K42" s="40">
        <v>511</v>
      </c>
      <c r="L42" s="40">
        <v>84.840999999999994</v>
      </c>
      <c r="M42" s="40">
        <v>123</v>
      </c>
      <c r="N42" s="40">
        <v>26.302</v>
      </c>
      <c r="O42" s="40" t="s">
        <v>195</v>
      </c>
      <c r="P42" s="40" t="s">
        <v>195</v>
      </c>
      <c r="Q42" s="41">
        <v>1539</v>
      </c>
      <c r="R42" s="50">
        <v>275.18</v>
      </c>
      <c r="S42" s="59">
        <v>30</v>
      </c>
      <c r="T42" s="50">
        <v>3.6</v>
      </c>
      <c r="U42" s="23" t="s">
        <v>44</v>
      </c>
    </row>
    <row r="43" spans="1:23" x14ac:dyDescent="0.3">
      <c r="A43" s="21" t="s">
        <v>135</v>
      </c>
      <c r="B43" s="22">
        <f t="shared" si="4"/>
        <v>10515</v>
      </c>
      <c r="C43" s="41">
        <v>6562</v>
      </c>
      <c r="D43" s="40">
        <v>1014.196</v>
      </c>
      <c r="E43" s="41">
        <v>20</v>
      </c>
      <c r="F43" s="40">
        <v>1.6</v>
      </c>
      <c r="G43" s="41" t="s">
        <v>195</v>
      </c>
      <c r="H43" s="40" t="s">
        <v>195</v>
      </c>
      <c r="I43" s="41">
        <v>78</v>
      </c>
      <c r="J43" s="40">
        <v>16.14</v>
      </c>
      <c r="K43" s="40">
        <v>2055</v>
      </c>
      <c r="L43" s="40">
        <v>243.084</v>
      </c>
      <c r="M43" s="40">
        <v>1073</v>
      </c>
      <c r="N43" s="40">
        <v>143.56200000000001</v>
      </c>
      <c r="O43" s="40" t="s">
        <v>195</v>
      </c>
      <c r="P43" s="40" t="s">
        <v>195</v>
      </c>
      <c r="Q43" s="41">
        <v>727</v>
      </c>
      <c r="R43" s="50">
        <v>147.78200000000001</v>
      </c>
      <c r="S43" s="61">
        <v>298</v>
      </c>
      <c r="T43" s="62">
        <v>31.588000000000001</v>
      </c>
      <c r="U43" s="23" t="s">
        <v>45</v>
      </c>
    </row>
    <row r="44" spans="1:23" x14ac:dyDescent="0.3">
      <c r="A44" s="21" t="s">
        <v>136</v>
      </c>
      <c r="B44" s="22">
        <f t="shared" si="4"/>
        <v>98</v>
      </c>
      <c r="C44" s="51">
        <v>63</v>
      </c>
      <c r="D44" s="40">
        <v>11.88</v>
      </c>
      <c r="E44" s="51" t="s">
        <v>195</v>
      </c>
      <c r="F44" s="40" t="s">
        <v>195</v>
      </c>
      <c r="G44" s="41">
        <v>35</v>
      </c>
      <c r="H44" s="40">
        <v>13.5</v>
      </c>
      <c r="I44" s="51" t="s">
        <v>195</v>
      </c>
      <c r="J44" s="40" t="s">
        <v>195</v>
      </c>
      <c r="K44" s="40" t="s">
        <v>195</v>
      </c>
      <c r="L44" s="40" t="s">
        <v>195</v>
      </c>
      <c r="M44" s="40" t="s">
        <v>195</v>
      </c>
      <c r="N44" s="40" t="s">
        <v>195</v>
      </c>
      <c r="O44" s="40" t="s">
        <v>195</v>
      </c>
      <c r="P44" s="40" t="s">
        <v>195</v>
      </c>
      <c r="Q44" s="41" t="s">
        <v>195</v>
      </c>
      <c r="R44" s="50" t="s">
        <v>195</v>
      </c>
      <c r="S44" s="58" t="s">
        <v>195</v>
      </c>
      <c r="T44" s="50" t="s">
        <v>195</v>
      </c>
      <c r="U44" s="23" t="s">
        <v>46</v>
      </c>
    </row>
    <row r="45" spans="1:23" x14ac:dyDescent="0.3">
      <c r="A45" s="21" t="s">
        <v>137</v>
      </c>
      <c r="B45" s="22">
        <f t="shared" si="4"/>
        <v>899</v>
      </c>
      <c r="C45" s="41">
        <v>676</v>
      </c>
      <c r="D45" s="40">
        <v>121.693</v>
      </c>
      <c r="E45" s="51" t="s">
        <v>195</v>
      </c>
      <c r="F45" s="40" t="s">
        <v>195</v>
      </c>
      <c r="G45" s="41">
        <v>52</v>
      </c>
      <c r="H45" s="40">
        <v>18.7</v>
      </c>
      <c r="I45" s="41">
        <v>23</v>
      </c>
      <c r="J45" s="40">
        <v>4.6449999999999996</v>
      </c>
      <c r="K45" s="40">
        <v>54</v>
      </c>
      <c r="L45" s="40">
        <v>10.032</v>
      </c>
      <c r="M45" s="40">
        <v>78</v>
      </c>
      <c r="N45" s="40">
        <v>19.100000000000001</v>
      </c>
      <c r="O45" s="40" t="s">
        <v>195</v>
      </c>
      <c r="P45" s="40" t="s">
        <v>195</v>
      </c>
      <c r="Q45" s="41">
        <v>16</v>
      </c>
      <c r="R45" s="50">
        <v>3.8559999999999999</v>
      </c>
      <c r="S45" s="59" t="s">
        <v>195</v>
      </c>
      <c r="T45" s="50" t="s">
        <v>195</v>
      </c>
      <c r="U45" s="23" t="s">
        <v>47</v>
      </c>
    </row>
    <row r="46" spans="1:23" ht="30" customHeight="1" x14ac:dyDescent="0.3">
      <c r="A46" s="16" t="s">
        <v>48</v>
      </c>
      <c r="B46" s="26">
        <f t="shared" ref="B46:T46" si="10">SUM(B47:B51)</f>
        <v>357</v>
      </c>
      <c r="C46" s="27">
        <f t="shared" si="10"/>
        <v>356</v>
      </c>
      <c r="D46" s="27">
        <f t="shared" si="10"/>
        <v>64.537000000000006</v>
      </c>
      <c r="E46" s="27">
        <f t="shared" si="10"/>
        <v>0</v>
      </c>
      <c r="F46" s="27">
        <f t="shared" si="10"/>
        <v>0</v>
      </c>
      <c r="G46" s="27">
        <f t="shared" si="10"/>
        <v>0</v>
      </c>
      <c r="H46" s="27">
        <f t="shared" si="10"/>
        <v>0</v>
      </c>
      <c r="I46" s="27">
        <f t="shared" si="10"/>
        <v>1</v>
      </c>
      <c r="J46" s="27">
        <f t="shared" si="10"/>
        <v>0.15</v>
      </c>
      <c r="K46" s="27">
        <f t="shared" si="10"/>
        <v>0</v>
      </c>
      <c r="L46" s="27">
        <f t="shared" si="10"/>
        <v>0</v>
      </c>
      <c r="M46" s="27">
        <f t="shared" si="10"/>
        <v>0</v>
      </c>
      <c r="N46" s="27">
        <f t="shared" si="10"/>
        <v>0</v>
      </c>
      <c r="O46" s="27">
        <f t="shared" si="10"/>
        <v>0</v>
      </c>
      <c r="P46" s="27">
        <f t="shared" si="10"/>
        <v>0</v>
      </c>
      <c r="Q46" s="27">
        <f>SUM(Q47:Q51)</f>
        <v>0</v>
      </c>
      <c r="R46" s="28">
        <f>SUM(R47:R51)</f>
        <v>0</v>
      </c>
      <c r="S46" s="26">
        <f t="shared" si="10"/>
        <v>0</v>
      </c>
      <c r="T46" s="28">
        <f t="shared" si="10"/>
        <v>0</v>
      </c>
      <c r="U46" s="33" t="s">
        <v>49</v>
      </c>
      <c r="V46" s="33"/>
      <c r="W46" s="33"/>
    </row>
    <row r="47" spans="1:23" x14ac:dyDescent="0.3">
      <c r="A47" s="21" t="s">
        <v>138</v>
      </c>
      <c r="B47" s="22">
        <f t="shared" si="4"/>
        <v>0</v>
      </c>
      <c r="C47" s="41" t="s">
        <v>195</v>
      </c>
      <c r="D47" s="40" t="s">
        <v>195</v>
      </c>
      <c r="E47" s="51" t="s">
        <v>195</v>
      </c>
      <c r="F47" s="40" t="s">
        <v>195</v>
      </c>
      <c r="G47" s="51" t="s">
        <v>195</v>
      </c>
      <c r="H47" s="40" t="s">
        <v>195</v>
      </c>
      <c r="I47" s="41" t="s">
        <v>195</v>
      </c>
      <c r="J47" s="40" t="s">
        <v>195</v>
      </c>
      <c r="K47" s="40" t="s">
        <v>195</v>
      </c>
      <c r="L47" s="40" t="s">
        <v>195</v>
      </c>
      <c r="M47" s="40" t="s">
        <v>195</v>
      </c>
      <c r="N47" s="40" t="s">
        <v>195</v>
      </c>
      <c r="O47" s="40" t="s">
        <v>195</v>
      </c>
      <c r="P47" s="40" t="s">
        <v>195</v>
      </c>
      <c r="Q47" s="41" t="s">
        <v>195</v>
      </c>
      <c r="R47" s="50" t="s">
        <v>195</v>
      </c>
      <c r="S47" s="58" t="s">
        <v>195</v>
      </c>
      <c r="T47" s="50" t="s">
        <v>195</v>
      </c>
      <c r="U47" s="23" t="s">
        <v>50</v>
      </c>
    </row>
    <row r="48" spans="1:23" x14ac:dyDescent="0.3">
      <c r="A48" s="21" t="s">
        <v>139</v>
      </c>
      <c r="B48" s="22">
        <f t="shared" si="4"/>
        <v>314</v>
      </c>
      <c r="C48" s="41">
        <v>313</v>
      </c>
      <c r="D48" s="40">
        <v>60.027000000000001</v>
      </c>
      <c r="E48" s="51" t="s">
        <v>195</v>
      </c>
      <c r="F48" s="40" t="s">
        <v>195</v>
      </c>
      <c r="G48" s="51" t="s">
        <v>195</v>
      </c>
      <c r="H48" s="40" t="s">
        <v>195</v>
      </c>
      <c r="I48" s="51">
        <v>1</v>
      </c>
      <c r="J48" s="40">
        <v>0.15</v>
      </c>
      <c r="K48" s="40" t="s">
        <v>195</v>
      </c>
      <c r="L48" s="40" t="s">
        <v>195</v>
      </c>
      <c r="M48" s="40" t="s">
        <v>195</v>
      </c>
      <c r="N48" s="40" t="s">
        <v>195</v>
      </c>
      <c r="O48" s="40" t="s">
        <v>195</v>
      </c>
      <c r="P48" s="40" t="s">
        <v>195</v>
      </c>
      <c r="Q48" s="41" t="s">
        <v>195</v>
      </c>
      <c r="R48" s="50" t="s">
        <v>195</v>
      </c>
      <c r="S48" s="58" t="s">
        <v>195</v>
      </c>
      <c r="T48" s="50" t="s">
        <v>195</v>
      </c>
      <c r="U48" s="23" t="s">
        <v>51</v>
      </c>
    </row>
    <row r="49" spans="1:25" x14ac:dyDescent="0.3">
      <c r="A49" s="21" t="s">
        <v>140</v>
      </c>
      <c r="B49" s="22">
        <f t="shared" si="4"/>
        <v>0</v>
      </c>
      <c r="C49" s="41" t="s">
        <v>195</v>
      </c>
      <c r="D49" s="40" t="s">
        <v>195</v>
      </c>
      <c r="E49" s="51" t="s">
        <v>195</v>
      </c>
      <c r="F49" s="40" t="s">
        <v>195</v>
      </c>
      <c r="G49" s="51" t="s">
        <v>195</v>
      </c>
      <c r="H49" s="40" t="s">
        <v>195</v>
      </c>
      <c r="I49" s="51" t="s">
        <v>195</v>
      </c>
      <c r="J49" s="40" t="s">
        <v>195</v>
      </c>
      <c r="K49" s="40" t="s">
        <v>195</v>
      </c>
      <c r="L49" s="40" t="s">
        <v>195</v>
      </c>
      <c r="M49" s="40" t="s">
        <v>195</v>
      </c>
      <c r="N49" s="40" t="s">
        <v>195</v>
      </c>
      <c r="O49" s="40" t="s">
        <v>195</v>
      </c>
      <c r="P49" s="40" t="s">
        <v>195</v>
      </c>
      <c r="Q49" s="41" t="s">
        <v>195</v>
      </c>
      <c r="R49" s="50" t="s">
        <v>195</v>
      </c>
      <c r="S49" s="58" t="s">
        <v>195</v>
      </c>
      <c r="T49" s="50" t="s">
        <v>195</v>
      </c>
      <c r="U49" s="23" t="s">
        <v>52</v>
      </c>
    </row>
    <row r="50" spans="1:25" x14ac:dyDescent="0.3">
      <c r="A50" s="21" t="s">
        <v>141</v>
      </c>
      <c r="B50" s="22">
        <f t="shared" si="4"/>
        <v>0</v>
      </c>
      <c r="C50" s="41" t="s">
        <v>195</v>
      </c>
      <c r="D50" s="40" t="s">
        <v>195</v>
      </c>
      <c r="E50" s="51" t="s">
        <v>195</v>
      </c>
      <c r="F50" s="40" t="s">
        <v>195</v>
      </c>
      <c r="G50" s="51" t="s">
        <v>195</v>
      </c>
      <c r="H50" s="40" t="s">
        <v>195</v>
      </c>
      <c r="I50" s="51" t="s">
        <v>195</v>
      </c>
      <c r="J50" s="40" t="s">
        <v>195</v>
      </c>
      <c r="K50" s="40" t="s">
        <v>195</v>
      </c>
      <c r="L50" s="40" t="s">
        <v>195</v>
      </c>
      <c r="M50" s="40" t="s">
        <v>195</v>
      </c>
      <c r="N50" s="40" t="s">
        <v>195</v>
      </c>
      <c r="O50" s="40" t="s">
        <v>195</v>
      </c>
      <c r="P50" s="40" t="s">
        <v>195</v>
      </c>
      <c r="Q50" s="41" t="s">
        <v>195</v>
      </c>
      <c r="R50" s="50" t="s">
        <v>195</v>
      </c>
      <c r="S50" s="58" t="s">
        <v>195</v>
      </c>
      <c r="T50" s="50" t="s">
        <v>195</v>
      </c>
      <c r="U50" s="23" t="s">
        <v>53</v>
      </c>
    </row>
    <row r="51" spans="1:25" x14ac:dyDescent="0.3">
      <c r="A51" s="21" t="s">
        <v>142</v>
      </c>
      <c r="B51" s="22">
        <f t="shared" si="4"/>
        <v>43</v>
      </c>
      <c r="C51" s="41">
        <v>43</v>
      </c>
      <c r="D51" s="40">
        <v>4.51</v>
      </c>
      <c r="E51" s="51" t="s">
        <v>195</v>
      </c>
      <c r="F51" s="40" t="s">
        <v>195</v>
      </c>
      <c r="G51" s="51" t="s">
        <v>195</v>
      </c>
      <c r="H51" s="40" t="s">
        <v>195</v>
      </c>
      <c r="I51" s="51" t="s">
        <v>195</v>
      </c>
      <c r="J51" s="40" t="s">
        <v>195</v>
      </c>
      <c r="K51" s="40" t="s">
        <v>195</v>
      </c>
      <c r="L51" s="40" t="s">
        <v>195</v>
      </c>
      <c r="M51" s="40" t="s">
        <v>195</v>
      </c>
      <c r="N51" s="40" t="s">
        <v>195</v>
      </c>
      <c r="O51" s="40" t="s">
        <v>195</v>
      </c>
      <c r="P51" s="40" t="s">
        <v>195</v>
      </c>
      <c r="Q51" s="41" t="s">
        <v>195</v>
      </c>
      <c r="R51" s="50" t="s">
        <v>195</v>
      </c>
      <c r="S51" s="58" t="s">
        <v>195</v>
      </c>
      <c r="T51" s="50" t="s">
        <v>195</v>
      </c>
      <c r="U51" s="23" t="s">
        <v>54</v>
      </c>
    </row>
    <row r="52" spans="1:25" ht="27" customHeight="1" x14ac:dyDescent="0.3">
      <c r="A52" s="16" t="s">
        <v>55</v>
      </c>
      <c r="B52" s="26">
        <f>SUM(B53:B55)</f>
        <v>37949</v>
      </c>
      <c r="C52" s="27">
        <f t="shared" ref="C52:S52" si="11">SUM(C53:C55)</f>
        <v>30811</v>
      </c>
      <c r="D52" s="27">
        <f t="shared" si="11"/>
        <v>4749.3060000000005</v>
      </c>
      <c r="E52" s="27">
        <f t="shared" si="11"/>
        <v>2</v>
      </c>
      <c r="F52" s="27">
        <f t="shared" si="11"/>
        <v>0.24</v>
      </c>
      <c r="G52" s="27">
        <f t="shared" si="11"/>
        <v>305</v>
      </c>
      <c r="H52" s="27">
        <f t="shared" si="11"/>
        <v>62.975999999999999</v>
      </c>
      <c r="I52" s="27">
        <f t="shared" si="11"/>
        <v>252</v>
      </c>
      <c r="J52" s="27">
        <f t="shared" si="11"/>
        <v>47.528999999999996</v>
      </c>
      <c r="K52" s="27">
        <f t="shared" si="11"/>
        <v>284</v>
      </c>
      <c r="L52" s="27">
        <f t="shared" si="11"/>
        <v>46.761000000000003</v>
      </c>
      <c r="M52" s="27">
        <f t="shared" si="11"/>
        <v>133</v>
      </c>
      <c r="N52" s="27">
        <f t="shared" si="11"/>
        <v>18.837</v>
      </c>
      <c r="O52" s="27">
        <f t="shared" si="11"/>
        <v>0</v>
      </c>
      <c r="P52" s="27">
        <f t="shared" si="11"/>
        <v>0</v>
      </c>
      <c r="Q52" s="27">
        <f>SUM(Q53:Q55)</f>
        <v>6162</v>
      </c>
      <c r="R52" s="28">
        <f>SUM(R53:R55)</f>
        <v>1454.605</v>
      </c>
      <c r="S52" s="26">
        <f t="shared" si="11"/>
        <v>25</v>
      </c>
      <c r="T52" s="28">
        <f>SUM(T53:T55)</f>
        <v>1</v>
      </c>
      <c r="U52" s="36" t="s">
        <v>56</v>
      </c>
      <c r="V52" s="36"/>
      <c r="W52" s="36"/>
    </row>
    <row r="53" spans="1:25" x14ac:dyDescent="0.3">
      <c r="A53" s="21" t="s">
        <v>143</v>
      </c>
      <c r="B53" s="22">
        <f t="shared" si="4"/>
        <v>10185</v>
      </c>
      <c r="C53" s="41">
        <v>8586</v>
      </c>
      <c r="D53" s="40">
        <v>1291.924</v>
      </c>
      <c r="E53" s="51" t="s">
        <v>195</v>
      </c>
      <c r="F53" s="40" t="s">
        <v>195</v>
      </c>
      <c r="G53" s="41">
        <v>75</v>
      </c>
      <c r="H53" s="40">
        <v>18.396000000000001</v>
      </c>
      <c r="I53" s="41">
        <v>198</v>
      </c>
      <c r="J53" s="40">
        <v>37.183999999999997</v>
      </c>
      <c r="K53" s="40">
        <v>141</v>
      </c>
      <c r="L53" s="40">
        <v>22.116</v>
      </c>
      <c r="M53" s="40">
        <v>107</v>
      </c>
      <c r="N53" s="40">
        <v>14.946999999999999</v>
      </c>
      <c r="O53" s="40" t="s">
        <v>195</v>
      </c>
      <c r="P53" s="40" t="s">
        <v>195</v>
      </c>
      <c r="Q53" s="41">
        <v>1078</v>
      </c>
      <c r="R53" s="50">
        <v>275.55599999999998</v>
      </c>
      <c r="S53" s="61" t="s">
        <v>195</v>
      </c>
      <c r="T53" s="62" t="s">
        <v>195</v>
      </c>
      <c r="U53" s="23" t="s">
        <v>57</v>
      </c>
    </row>
    <row r="54" spans="1:25" x14ac:dyDescent="0.3">
      <c r="A54" s="21" t="s">
        <v>144</v>
      </c>
      <c r="B54" s="22">
        <f t="shared" si="4"/>
        <v>11651</v>
      </c>
      <c r="C54" s="41">
        <v>8356</v>
      </c>
      <c r="D54" s="40">
        <v>1194.6410000000001</v>
      </c>
      <c r="E54" s="41">
        <v>2</v>
      </c>
      <c r="F54" s="40">
        <v>0.24</v>
      </c>
      <c r="G54" s="41">
        <v>71</v>
      </c>
      <c r="H54" s="40">
        <v>14.84</v>
      </c>
      <c r="I54" s="51">
        <v>37</v>
      </c>
      <c r="J54" s="40">
        <v>7.03</v>
      </c>
      <c r="K54" s="40">
        <v>93</v>
      </c>
      <c r="L54" s="40">
        <v>17.600000000000001</v>
      </c>
      <c r="M54" s="40" t="s">
        <v>195</v>
      </c>
      <c r="N54" s="40" t="s">
        <v>195</v>
      </c>
      <c r="O54" s="40" t="s">
        <v>195</v>
      </c>
      <c r="P54" s="40" t="s">
        <v>195</v>
      </c>
      <c r="Q54" s="41">
        <v>3092</v>
      </c>
      <c r="R54" s="50">
        <v>588.79300000000001</v>
      </c>
      <c r="S54" s="59" t="s">
        <v>195</v>
      </c>
      <c r="T54" s="50" t="s">
        <v>195</v>
      </c>
      <c r="U54" s="34" t="s">
        <v>58</v>
      </c>
      <c r="V54" s="35"/>
      <c r="W54" s="35"/>
    </row>
    <row r="55" spans="1:25" x14ac:dyDescent="0.3">
      <c r="A55" s="21" t="s">
        <v>145</v>
      </c>
      <c r="B55" s="22">
        <f t="shared" si="4"/>
        <v>16113</v>
      </c>
      <c r="C55" s="41">
        <v>13869</v>
      </c>
      <c r="D55" s="40">
        <v>2262.741</v>
      </c>
      <c r="E55" s="51" t="s">
        <v>195</v>
      </c>
      <c r="F55" s="40" t="s">
        <v>195</v>
      </c>
      <c r="G55" s="41">
        <v>159</v>
      </c>
      <c r="H55" s="40">
        <v>29.74</v>
      </c>
      <c r="I55" s="41">
        <v>17</v>
      </c>
      <c r="J55" s="40">
        <v>3.3149999999999999</v>
      </c>
      <c r="K55" s="40">
        <v>50</v>
      </c>
      <c r="L55" s="40">
        <v>7.0449999999999999</v>
      </c>
      <c r="M55" s="40">
        <v>26</v>
      </c>
      <c r="N55" s="40">
        <v>3.89</v>
      </c>
      <c r="O55" s="40" t="s">
        <v>195</v>
      </c>
      <c r="P55" s="40" t="s">
        <v>195</v>
      </c>
      <c r="Q55" s="41">
        <v>1992</v>
      </c>
      <c r="R55" s="50">
        <v>590.25599999999997</v>
      </c>
      <c r="S55" s="59">
        <v>25</v>
      </c>
      <c r="T55" s="50">
        <v>1</v>
      </c>
      <c r="U55" s="23" t="s">
        <v>59</v>
      </c>
    </row>
    <row r="56" spans="1:25" ht="25.8" customHeight="1" x14ac:dyDescent="0.3">
      <c r="A56" s="16" t="s">
        <v>60</v>
      </c>
      <c r="B56" s="26">
        <f>SUM(B57:B61)</f>
        <v>22371</v>
      </c>
      <c r="C56" s="27">
        <f t="shared" ref="C56:S56" si="12">SUM(C57:C61)</f>
        <v>16732</v>
      </c>
      <c r="D56" s="27">
        <f t="shared" si="12"/>
        <v>2911.125</v>
      </c>
      <c r="E56" s="27">
        <f t="shared" si="12"/>
        <v>0</v>
      </c>
      <c r="F56" s="27">
        <f t="shared" si="12"/>
        <v>0</v>
      </c>
      <c r="G56" s="27">
        <f t="shared" si="12"/>
        <v>540</v>
      </c>
      <c r="H56" s="27">
        <f t="shared" si="12"/>
        <v>135.857</v>
      </c>
      <c r="I56" s="27">
        <f t="shared" si="12"/>
        <v>3139</v>
      </c>
      <c r="J56" s="27">
        <f t="shared" si="12"/>
        <v>712.61500000000001</v>
      </c>
      <c r="K56" s="27">
        <f t="shared" si="12"/>
        <v>447</v>
      </c>
      <c r="L56" s="27">
        <f t="shared" si="12"/>
        <v>100.71799999999999</v>
      </c>
      <c r="M56" s="27">
        <f t="shared" si="12"/>
        <v>253</v>
      </c>
      <c r="N56" s="27">
        <f t="shared" si="12"/>
        <v>51.218000000000004</v>
      </c>
      <c r="O56" s="27">
        <f t="shared" si="12"/>
        <v>0</v>
      </c>
      <c r="P56" s="27">
        <f t="shared" si="12"/>
        <v>0</v>
      </c>
      <c r="Q56" s="27">
        <f>SUM(Q57:Q61)</f>
        <v>1260</v>
      </c>
      <c r="R56" s="28">
        <f>SUM(R57:R61)</f>
        <v>334.51000000000005</v>
      </c>
      <c r="S56" s="26">
        <f t="shared" si="12"/>
        <v>15</v>
      </c>
      <c r="T56" s="28">
        <f>SUM(T57:T61)</f>
        <v>1.575</v>
      </c>
      <c r="U56" s="36" t="s">
        <v>61</v>
      </c>
      <c r="V56" s="36"/>
      <c r="W56" s="36"/>
    </row>
    <row r="57" spans="1:25" x14ac:dyDescent="0.3">
      <c r="A57" s="21" t="s">
        <v>146</v>
      </c>
      <c r="B57" s="22">
        <f t="shared" si="4"/>
        <v>5977</v>
      </c>
      <c r="C57" s="41">
        <v>4726</v>
      </c>
      <c r="D57" s="40">
        <v>698.16600000000005</v>
      </c>
      <c r="E57" s="51" t="s">
        <v>195</v>
      </c>
      <c r="F57" s="40" t="s">
        <v>195</v>
      </c>
      <c r="G57" s="41">
        <v>485</v>
      </c>
      <c r="H57" s="40">
        <v>127.15</v>
      </c>
      <c r="I57" s="41">
        <v>54</v>
      </c>
      <c r="J57" s="40">
        <v>10.9</v>
      </c>
      <c r="K57" s="40">
        <v>102</v>
      </c>
      <c r="L57" s="40">
        <v>22.378</v>
      </c>
      <c r="M57" s="40">
        <v>88</v>
      </c>
      <c r="N57" s="40">
        <v>18.489000000000001</v>
      </c>
      <c r="O57" s="40" t="s">
        <v>195</v>
      </c>
      <c r="P57" s="40" t="s">
        <v>195</v>
      </c>
      <c r="Q57" s="41">
        <v>522</v>
      </c>
      <c r="R57" s="50">
        <v>126.871</v>
      </c>
      <c r="S57" s="59" t="s">
        <v>195</v>
      </c>
      <c r="T57" s="50" t="s">
        <v>195</v>
      </c>
      <c r="U57" s="23" t="s">
        <v>62</v>
      </c>
    </row>
    <row r="58" spans="1:25" x14ac:dyDescent="0.3">
      <c r="A58" s="21" t="s">
        <v>147</v>
      </c>
      <c r="B58" s="22">
        <f t="shared" si="4"/>
        <v>4021</v>
      </c>
      <c r="C58" s="41">
        <v>3391</v>
      </c>
      <c r="D58" s="40">
        <v>544.94799999999998</v>
      </c>
      <c r="E58" s="51" t="s">
        <v>195</v>
      </c>
      <c r="F58" s="40" t="s">
        <v>195</v>
      </c>
      <c r="G58" s="41" t="s">
        <v>195</v>
      </c>
      <c r="H58" s="40" t="s">
        <v>195</v>
      </c>
      <c r="I58" s="51">
        <v>525</v>
      </c>
      <c r="J58" s="40">
        <v>79.575000000000003</v>
      </c>
      <c r="K58" s="40">
        <v>6</v>
      </c>
      <c r="L58" s="40">
        <v>1.32</v>
      </c>
      <c r="M58" s="40">
        <v>64</v>
      </c>
      <c r="N58" s="40">
        <v>10.694000000000001</v>
      </c>
      <c r="O58" s="40" t="s">
        <v>195</v>
      </c>
      <c r="P58" s="40" t="s">
        <v>195</v>
      </c>
      <c r="Q58" s="41">
        <v>35</v>
      </c>
      <c r="R58" s="50">
        <v>9.4849999999999994</v>
      </c>
      <c r="S58" s="58" t="s">
        <v>195</v>
      </c>
      <c r="T58" s="50" t="s">
        <v>195</v>
      </c>
      <c r="U58" s="23" t="s">
        <v>63</v>
      </c>
    </row>
    <row r="59" spans="1:25" x14ac:dyDescent="0.3">
      <c r="A59" s="21" t="s">
        <v>148</v>
      </c>
      <c r="B59" s="22">
        <f t="shared" si="4"/>
        <v>8354</v>
      </c>
      <c r="C59" s="41">
        <v>5352</v>
      </c>
      <c r="D59" s="40">
        <v>1080.4100000000001</v>
      </c>
      <c r="E59" s="51" t="s">
        <v>195</v>
      </c>
      <c r="F59" s="40" t="s">
        <v>195</v>
      </c>
      <c r="G59" s="51" t="s">
        <v>195</v>
      </c>
      <c r="H59" s="40" t="s">
        <v>195</v>
      </c>
      <c r="I59" s="41">
        <v>2560</v>
      </c>
      <c r="J59" s="40">
        <v>622.14</v>
      </c>
      <c r="K59" s="40">
        <v>307</v>
      </c>
      <c r="L59" s="40">
        <v>67.42</v>
      </c>
      <c r="M59" s="40">
        <v>58</v>
      </c>
      <c r="N59" s="40">
        <v>12.1</v>
      </c>
      <c r="O59" s="40" t="s">
        <v>195</v>
      </c>
      <c r="P59" s="40" t="s">
        <v>195</v>
      </c>
      <c r="Q59" s="41">
        <v>77</v>
      </c>
      <c r="R59" s="50">
        <v>18.899999999999999</v>
      </c>
      <c r="S59" s="59">
        <v>15</v>
      </c>
      <c r="T59" s="50">
        <v>1.575</v>
      </c>
      <c r="U59" s="23" t="s">
        <v>64</v>
      </c>
    </row>
    <row r="60" spans="1:25" x14ac:dyDescent="0.3">
      <c r="A60" s="21" t="s">
        <v>149</v>
      </c>
      <c r="B60" s="22">
        <f t="shared" si="4"/>
        <v>2574</v>
      </c>
      <c r="C60" s="41">
        <v>1928</v>
      </c>
      <c r="D60" s="40">
        <v>347.80500000000001</v>
      </c>
      <c r="E60" s="51" t="s">
        <v>195</v>
      </c>
      <c r="F60" s="40" t="s">
        <v>195</v>
      </c>
      <c r="G60" s="41">
        <v>33</v>
      </c>
      <c r="H60" s="40">
        <v>5.7210000000000001</v>
      </c>
      <c r="I60" s="51" t="s">
        <v>195</v>
      </c>
      <c r="J60" s="40" t="s">
        <v>195</v>
      </c>
      <c r="K60" s="40" t="s">
        <v>195</v>
      </c>
      <c r="L60" s="40" t="s">
        <v>195</v>
      </c>
      <c r="M60" s="40">
        <v>25</v>
      </c>
      <c r="N60" s="40">
        <v>5.0599999999999996</v>
      </c>
      <c r="O60" s="40" t="s">
        <v>195</v>
      </c>
      <c r="P60" s="40" t="s">
        <v>195</v>
      </c>
      <c r="Q60" s="41">
        <v>588</v>
      </c>
      <c r="R60" s="50">
        <v>172.06</v>
      </c>
      <c r="S60" s="58" t="s">
        <v>195</v>
      </c>
      <c r="T60" s="50" t="s">
        <v>195</v>
      </c>
      <c r="U60" s="23" t="s">
        <v>65</v>
      </c>
    </row>
    <row r="61" spans="1:25" x14ac:dyDescent="0.3">
      <c r="A61" s="21" t="s">
        <v>150</v>
      </c>
      <c r="B61" s="22">
        <f t="shared" si="4"/>
        <v>1445</v>
      </c>
      <c r="C61" s="41">
        <v>1335</v>
      </c>
      <c r="D61" s="40">
        <v>239.79599999999999</v>
      </c>
      <c r="E61" s="51" t="s">
        <v>195</v>
      </c>
      <c r="F61" s="40" t="s">
        <v>195</v>
      </c>
      <c r="G61" s="41">
        <v>22</v>
      </c>
      <c r="H61" s="40">
        <v>2.9860000000000002</v>
      </c>
      <c r="I61" s="51" t="s">
        <v>195</v>
      </c>
      <c r="J61" s="40" t="s">
        <v>195</v>
      </c>
      <c r="K61" s="40">
        <v>32</v>
      </c>
      <c r="L61" s="40">
        <v>9.6</v>
      </c>
      <c r="M61" s="40">
        <v>18</v>
      </c>
      <c r="N61" s="40">
        <v>4.875</v>
      </c>
      <c r="O61" s="40" t="s">
        <v>195</v>
      </c>
      <c r="P61" s="40" t="s">
        <v>195</v>
      </c>
      <c r="Q61" s="41">
        <v>38</v>
      </c>
      <c r="R61" s="50">
        <v>7.194</v>
      </c>
      <c r="S61" s="58" t="s">
        <v>195</v>
      </c>
      <c r="T61" s="50" t="s">
        <v>195</v>
      </c>
      <c r="U61" s="23" t="s">
        <v>66</v>
      </c>
    </row>
    <row r="62" spans="1:25" ht="27.6" customHeight="1" x14ac:dyDescent="0.3">
      <c r="A62" s="16" t="s">
        <v>67</v>
      </c>
      <c r="B62" s="26">
        <f t="shared" ref="B62:P62" si="13">SUM(B63:B70)</f>
        <v>2734</v>
      </c>
      <c r="C62" s="27">
        <f t="shared" si="13"/>
        <v>2432</v>
      </c>
      <c r="D62" s="27">
        <f t="shared" si="13"/>
        <v>383.81200000000001</v>
      </c>
      <c r="E62" s="27">
        <f t="shared" si="13"/>
        <v>0</v>
      </c>
      <c r="F62" s="27">
        <f t="shared" si="13"/>
        <v>0</v>
      </c>
      <c r="G62" s="27">
        <f t="shared" si="13"/>
        <v>0</v>
      </c>
      <c r="H62" s="27">
        <f t="shared" si="13"/>
        <v>0</v>
      </c>
      <c r="I62" s="27">
        <f t="shared" si="13"/>
        <v>60</v>
      </c>
      <c r="J62" s="27">
        <f t="shared" si="13"/>
        <v>7.55</v>
      </c>
      <c r="K62" s="27">
        <f t="shared" si="13"/>
        <v>35</v>
      </c>
      <c r="L62" s="27">
        <f t="shared" si="13"/>
        <v>10.3</v>
      </c>
      <c r="M62" s="27">
        <f t="shared" si="13"/>
        <v>109</v>
      </c>
      <c r="N62" s="27">
        <f t="shared" si="13"/>
        <v>15.46</v>
      </c>
      <c r="O62" s="27">
        <f t="shared" si="13"/>
        <v>0</v>
      </c>
      <c r="P62" s="27">
        <f t="shared" si="13"/>
        <v>0</v>
      </c>
      <c r="Q62" s="27">
        <f>SUM(Q63:Q70)</f>
        <v>98</v>
      </c>
      <c r="R62" s="28">
        <f>SUM(R63:R70)</f>
        <v>21</v>
      </c>
      <c r="S62" s="26">
        <f>SUM(S63:S70)</f>
        <v>0</v>
      </c>
      <c r="T62" s="28">
        <f t="shared" ref="T62" si="14">SUM(T63:T70)</f>
        <v>0</v>
      </c>
      <c r="U62" s="33" t="s">
        <v>68</v>
      </c>
      <c r="V62" s="33"/>
      <c r="W62" s="33"/>
    </row>
    <row r="63" spans="1:25" x14ac:dyDescent="0.3">
      <c r="A63" s="37" t="s">
        <v>151</v>
      </c>
      <c r="B63" s="22">
        <f t="shared" si="4"/>
        <v>0</v>
      </c>
      <c r="C63" s="41" t="s">
        <v>195</v>
      </c>
      <c r="D63" s="40" t="s">
        <v>195</v>
      </c>
      <c r="E63" s="51" t="s">
        <v>195</v>
      </c>
      <c r="F63" s="40" t="s">
        <v>195</v>
      </c>
      <c r="G63" s="41" t="s">
        <v>195</v>
      </c>
      <c r="H63" s="40" t="s">
        <v>195</v>
      </c>
      <c r="I63" s="51" t="s">
        <v>195</v>
      </c>
      <c r="J63" s="40" t="s">
        <v>195</v>
      </c>
      <c r="K63" s="40" t="s">
        <v>195</v>
      </c>
      <c r="L63" s="40" t="s">
        <v>195</v>
      </c>
      <c r="M63" s="40" t="s">
        <v>195</v>
      </c>
      <c r="N63" s="40" t="s">
        <v>195</v>
      </c>
      <c r="O63" s="40" t="s">
        <v>195</v>
      </c>
      <c r="P63" s="40" t="s">
        <v>195</v>
      </c>
      <c r="Q63" s="41" t="s">
        <v>195</v>
      </c>
      <c r="R63" s="50" t="s">
        <v>195</v>
      </c>
      <c r="S63" s="58" t="s">
        <v>195</v>
      </c>
      <c r="T63" s="50" t="s">
        <v>195</v>
      </c>
      <c r="U63" s="34" t="s">
        <v>182</v>
      </c>
      <c r="V63" s="65"/>
      <c r="W63" s="65"/>
      <c r="X63" s="65"/>
      <c r="Y63" s="65"/>
    </row>
    <row r="64" spans="1:25" x14ac:dyDescent="0.3">
      <c r="A64" s="38" t="s">
        <v>152</v>
      </c>
      <c r="B64" s="22">
        <f t="shared" si="4"/>
        <v>0</v>
      </c>
      <c r="C64" s="41" t="s">
        <v>195</v>
      </c>
      <c r="D64" s="40" t="s">
        <v>195</v>
      </c>
      <c r="E64" s="51" t="s">
        <v>195</v>
      </c>
      <c r="F64" s="40" t="s">
        <v>195</v>
      </c>
      <c r="G64" s="41" t="s">
        <v>195</v>
      </c>
      <c r="H64" s="40" t="s">
        <v>195</v>
      </c>
      <c r="I64" s="51" t="s">
        <v>195</v>
      </c>
      <c r="J64" s="40" t="s">
        <v>195</v>
      </c>
      <c r="K64" s="40" t="s">
        <v>195</v>
      </c>
      <c r="L64" s="40" t="s">
        <v>195</v>
      </c>
      <c r="M64" s="40" t="s">
        <v>195</v>
      </c>
      <c r="N64" s="40" t="s">
        <v>195</v>
      </c>
      <c r="O64" s="40" t="s">
        <v>195</v>
      </c>
      <c r="P64" s="40" t="s">
        <v>195</v>
      </c>
      <c r="Q64" s="41" t="s">
        <v>195</v>
      </c>
      <c r="R64" s="50" t="s">
        <v>195</v>
      </c>
      <c r="S64" s="58" t="s">
        <v>195</v>
      </c>
      <c r="T64" s="50" t="s">
        <v>195</v>
      </c>
      <c r="U64" s="34" t="s">
        <v>181</v>
      </c>
      <c r="V64" s="65"/>
      <c r="W64" s="65"/>
      <c r="X64" s="65"/>
      <c r="Y64" s="65"/>
    </row>
    <row r="65" spans="1:25" x14ac:dyDescent="0.3">
      <c r="A65" s="37" t="s">
        <v>153</v>
      </c>
      <c r="B65" s="22">
        <f t="shared" si="4"/>
        <v>0</v>
      </c>
      <c r="C65" s="41" t="s">
        <v>195</v>
      </c>
      <c r="D65" s="40" t="s">
        <v>195</v>
      </c>
      <c r="E65" s="51" t="s">
        <v>195</v>
      </c>
      <c r="F65" s="40" t="s">
        <v>195</v>
      </c>
      <c r="G65" s="41" t="s">
        <v>195</v>
      </c>
      <c r="H65" s="40" t="s">
        <v>195</v>
      </c>
      <c r="I65" s="51" t="s">
        <v>195</v>
      </c>
      <c r="J65" s="40" t="s">
        <v>195</v>
      </c>
      <c r="K65" s="40" t="s">
        <v>195</v>
      </c>
      <c r="L65" s="40" t="s">
        <v>195</v>
      </c>
      <c r="M65" s="40" t="s">
        <v>195</v>
      </c>
      <c r="N65" s="40" t="s">
        <v>195</v>
      </c>
      <c r="O65" s="40" t="s">
        <v>195</v>
      </c>
      <c r="P65" s="40" t="s">
        <v>195</v>
      </c>
      <c r="Q65" s="41" t="s">
        <v>195</v>
      </c>
      <c r="R65" s="50" t="s">
        <v>195</v>
      </c>
      <c r="S65" s="58" t="s">
        <v>195</v>
      </c>
      <c r="T65" s="50" t="s">
        <v>195</v>
      </c>
      <c r="U65" s="34" t="s">
        <v>180</v>
      </c>
      <c r="V65" s="65"/>
      <c r="W65" s="65"/>
      <c r="X65" s="65"/>
      <c r="Y65" s="65"/>
    </row>
    <row r="66" spans="1:25" x14ac:dyDescent="0.3">
      <c r="A66" s="37" t="s">
        <v>154</v>
      </c>
      <c r="B66" s="22">
        <f t="shared" si="4"/>
        <v>0</v>
      </c>
      <c r="C66" s="41" t="s">
        <v>195</v>
      </c>
      <c r="D66" s="40" t="s">
        <v>195</v>
      </c>
      <c r="E66" s="51" t="s">
        <v>195</v>
      </c>
      <c r="F66" s="40" t="s">
        <v>195</v>
      </c>
      <c r="G66" s="41" t="s">
        <v>195</v>
      </c>
      <c r="H66" s="40" t="s">
        <v>195</v>
      </c>
      <c r="I66" s="51" t="s">
        <v>195</v>
      </c>
      <c r="J66" s="40" t="s">
        <v>195</v>
      </c>
      <c r="K66" s="40" t="s">
        <v>195</v>
      </c>
      <c r="L66" s="40" t="s">
        <v>195</v>
      </c>
      <c r="M66" s="40" t="s">
        <v>195</v>
      </c>
      <c r="N66" s="40" t="s">
        <v>195</v>
      </c>
      <c r="O66" s="40" t="s">
        <v>195</v>
      </c>
      <c r="P66" s="40" t="s">
        <v>195</v>
      </c>
      <c r="Q66" s="41" t="s">
        <v>195</v>
      </c>
      <c r="R66" s="50" t="s">
        <v>195</v>
      </c>
      <c r="S66" s="58" t="s">
        <v>195</v>
      </c>
      <c r="T66" s="50" t="s">
        <v>195</v>
      </c>
      <c r="U66" s="34" t="s">
        <v>179</v>
      </c>
      <c r="V66" s="65"/>
      <c r="W66" s="65"/>
      <c r="X66" s="65"/>
      <c r="Y66" s="65"/>
    </row>
    <row r="67" spans="1:25" x14ac:dyDescent="0.3">
      <c r="A67" s="39" t="s">
        <v>155</v>
      </c>
      <c r="B67" s="22">
        <f t="shared" si="4"/>
        <v>1414</v>
      </c>
      <c r="C67" s="41">
        <v>1201</v>
      </c>
      <c r="D67" s="40">
        <v>203.24</v>
      </c>
      <c r="E67" s="51" t="s">
        <v>195</v>
      </c>
      <c r="F67" s="40" t="s">
        <v>195</v>
      </c>
      <c r="G67" s="51" t="s">
        <v>195</v>
      </c>
      <c r="H67" s="40" t="s">
        <v>195</v>
      </c>
      <c r="I67" s="41">
        <v>35</v>
      </c>
      <c r="J67" s="40">
        <v>4.3</v>
      </c>
      <c r="K67" s="40">
        <v>26</v>
      </c>
      <c r="L67" s="40">
        <v>7.6</v>
      </c>
      <c r="M67" s="40">
        <v>54</v>
      </c>
      <c r="N67" s="40">
        <v>9.9600000000000009</v>
      </c>
      <c r="O67" s="40" t="s">
        <v>195</v>
      </c>
      <c r="P67" s="40" t="s">
        <v>195</v>
      </c>
      <c r="Q67" s="41">
        <v>98</v>
      </c>
      <c r="R67" s="50">
        <v>21</v>
      </c>
      <c r="S67" s="58" t="s">
        <v>195</v>
      </c>
      <c r="T67" s="50" t="s">
        <v>195</v>
      </c>
      <c r="U67" s="34" t="s">
        <v>69</v>
      </c>
      <c r="V67" s="65"/>
      <c r="W67" s="65"/>
      <c r="X67" s="65"/>
      <c r="Y67" s="65"/>
    </row>
    <row r="68" spans="1:25" x14ac:dyDescent="0.3">
      <c r="A68" s="39" t="s">
        <v>156</v>
      </c>
      <c r="B68" s="22">
        <f t="shared" si="4"/>
        <v>849</v>
      </c>
      <c r="C68" s="41">
        <v>760</v>
      </c>
      <c r="D68" s="40">
        <v>110.2</v>
      </c>
      <c r="E68" s="51" t="s">
        <v>195</v>
      </c>
      <c r="F68" s="40" t="s">
        <v>195</v>
      </c>
      <c r="G68" s="51" t="s">
        <v>195</v>
      </c>
      <c r="H68" s="40" t="s">
        <v>195</v>
      </c>
      <c r="I68" s="51">
        <v>25</v>
      </c>
      <c r="J68" s="40">
        <v>3.25</v>
      </c>
      <c r="K68" s="40">
        <v>9</v>
      </c>
      <c r="L68" s="40">
        <v>2.7</v>
      </c>
      <c r="M68" s="40">
        <v>55</v>
      </c>
      <c r="N68" s="40">
        <v>5.5</v>
      </c>
      <c r="O68" s="40" t="s">
        <v>195</v>
      </c>
      <c r="P68" s="40" t="s">
        <v>195</v>
      </c>
      <c r="Q68" s="41" t="s">
        <v>195</v>
      </c>
      <c r="R68" s="50" t="s">
        <v>195</v>
      </c>
      <c r="S68" s="58" t="s">
        <v>195</v>
      </c>
      <c r="T68" s="50" t="s">
        <v>195</v>
      </c>
      <c r="U68" s="34" t="s">
        <v>70</v>
      </c>
      <c r="V68" s="35"/>
      <c r="W68" s="35"/>
      <c r="X68" s="35"/>
    </row>
    <row r="69" spans="1:25" x14ac:dyDescent="0.3">
      <c r="A69" s="39" t="s">
        <v>157</v>
      </c>
      <c r="B69" s="22">
        <f t="shared" si="4"/>
        <v>0</v>
      </c>
      <c r="C69" s="41" t="s">
        <v>195</v>
      </c>
      <c r="D69" s="40" t="s">
        <v>195</v>
      </c>
      <c r="E69" s="51" t="s">
        <v>195</v>
      </c>
      <c r="F69" s="40" t="s">
        <v>195</v>
      </c>
      <c r="G69" s="51" t="s">
        <v>195</v>
      </c>
      <c r="H69" s="40" t="s">
        <v>195</v>
      </c>
      <c r="I69" s="51" t="s">
        <v>195</v>
      </c>
      <c r="J69" s="40" t="s">
        <v>195</v>
      </c>
      <c r="K69" s="40" t="s">
        <v>195</v>
      </c>
      <c r="L69" s="40" t="s">
        <v>195</v>
      </c>
      <c r="M69" s="40" t="s">
        <v>195</v>
      </c>
      <c r="N69" s="40" t="s">
        <v>195</v>
      </c>
      <c r="O69" s="40" t="s">
        <v>195</v>
      </c>
      <c r="P69" s="40" t="s">
        <v>195</v>
      </c>
      <c r="Q69" s="41" t="s">
        <v>195</v>
      </c>
      <c r="R69" s="50" t="s">
        <v>195</v>
      </c>
      <c r="S69" s="58" t="s">
        <v>195</v>
      </c>
      <c r="T69" s="50" t="s">
        <v>195</v>
      </c>
      <c r="U69" s="34" t="s">
        <v>71</v>
      </c>
      <c r="V69" s="35"/>
      <c r="W69" s="35"/>
      <c r="X69" s="35"/>
    </row>
    <row r="70" spans="1:25" x14ac:dyDescent="0.3">
      <c r="A70" s="39" t="s">
        <v>158</v>
      </c>
      <c r="B70" s="22">
        <f t="shared" si="4"/>
        <v>471</v>
      </c>
      <c r="C70" s="41">
        <v>471</v>
      </c>
      <c r="D70" s="40">
        <v>70.372</v>
      </c>
      <c r="E70" s="51" t="s">
        <v>195</v>
      </c>
      <c r="F70" s="40" t="s">
        <v>195</v>
      </c>
      <c r="G70" s="51" t="s">
        <v>195</v>
      </c>
      <c r="H70" s="40" t="s">
        <v>195</v>
      </c>
      <c r="I70" s="51" t="s">
        <v>195</v>
      </c>
      <c r="J70" s="40" t="s">
        <v>195</v>
      </c>
      <c r="K70" s="40" t="s">
        <v>195</v>
      </c>
      <c r="L70" s="40" t="s">
        <v>195</v>
      </c>
      <c r="M70" s="40" t="s">
        <v>195</v>
      </c>
      <c r="N70" s="40" t="s">
        <v>195</v>
      </c>
      <c r="O70" s="40" t="s">
        <v>195</v>
      </c>
      <c r="P70" s="40" t="s">
        <v>195</v>
      </c>
      <c r="Q70" s="41" t="s">
        <v>195</v>
      </c>
      <c r="R70" s="50" t="s">
        <v>195</v>
      </c>
      <c r="S70" s="58" t="s">
        <v>195</v>
      </c>
      <c r="T70" s="50" t="s">
        <v>195</v>
      </c>
      <c r="U70" s="34" t="s">
        <v>72</v>
      </c>
      <c r="V70" s="35"/>
      <c r="W70" s="35"/>
      <c r="X70" s="35"/>
    </row>
    <row r="71" spans="1:25" ht="28.2" customHeight="1" x14ac:dyDescent="0.3">
      <c r="A71" s="16" t="s">
        <v>73</v>
      </c>
      <c r="B71" s="26">
        <f>SUM(B72:B76)</f>
        <v>4525</v>
      </c>
      <c r="C71" s="27">
        <f t="shared" ref="C71:S71" si="15">SUM(C72:C76)</f>
        <v>863</v>
      </c>
      <c r="D71" s="27">
        <f t="shared" si="15"/>
        <v>158.20500000000001</v>
      </c>
      <c r="E71" s="27">
        <f t="shared" si="15"/>
        <v>0</v>
      </c>
      <c r="F71" s="27">
        <f t="shared" si="15"/>
        <v>0</v>
      </c>
      <c r="G71" s="27">
        <f t="shared" si="15"/>
        <v>44</v>
      </c>
      <c r="H71" s="27">
        <f t="shared" si="15"/>
        <v>8.6</v>
      </c>
      <c r="I71" s="27">
        <f t="shared" si="15"/>
        <v>0</v>
      </c>
      <c r="J71" s="27">
        <f t="shared" si="15"/>
        <v>0</v>
      </c>
      <c r="K71" s="27">
        <f t="shared" si="15"/>
        <v>1322</v>
      </c>
      <c r="L71" s="27">
        <f t="shared" si="15"/>
        <v>491.57</v>
      </c>
      <c r="M71" s="27">
        <f t="shared" si="15"/>
        <v>661</v>
      </c>
      <c r="N71" s="27">
        <f t="shared" si="15"/>
        <v>162.16</v>
      </c>
      <c r="O71" s="27">
        <f t="shared" si="15"/>
        <v>0</v>
      </c>
      <c r="P71" s="27">
        <f t="shared" si="15"/>
        <v>0</v>
      </c>
      <c r="Q71" s="27">
        <f>SUM(Q72:Q76)</f>
        <v>1635</v>
      </c>
      <c r="R71" s="28">
        <f>SUM(R72:R76)</f>
        <v>320.7</v>
      </c>
      <c r="S71" s="26">
        <f t="shared" si="15"/>
        <v>80</v>
      </c>
      <c r="T71" s="28">
        <f>SUM(T72:T76)</f>
        <v>4</v>
      </c>
      <c r="U71" s="36" t="s">
        <v>74</v>
      </c>
      <c r="V71" s="36"/>
      <c r="W71" s="36"/>
    </row>
    <row r="72" spans="1:25" x14ac:dyDescent="0.3">
      <c r="A72" s="21" t="s">
        <v>159</v>
      </c>
      <c r="B72" s="22">
        <f t="shared" si="4"/>
        <v>1316</v>
      </c>
      <c r="C72" s="41">
        <v>837</v>
      </c>
      <c r="D72" s="40">
        <v>154.45500000000001</v>
      </c>
      <c r="E72" s="51" t="s">
        <v>195</v>
      </c>
      <c r="F72" s="40" t="s">
        <v>195</v>
      </c>
      <c r="G72" s="51" t="s">
        <v>195</v>
      </c>
      <c r="H72" s="40" t="s">
        <v>195</v>
      </c>
      <c r="I72" s="51" t="s">
        <v>195</v>
      </c>
      <c r="J72" s="40" t="s">
        <v>195</v>
      </c>
      <c r="K72" s="40">
        <v>272</v>
      </c>
      <c r="L72" s="40">
        <v>85.1</v>
      </c>
      <c r="M72" s="40">
        <v>37</v>
      </c>
      <c r="N72" s="40">
        <v>9.4</v>
      </c>
      <c r="O72" s="40" t="s">
        <v>195</v>
      </c>
      <c r="P72" s="40" t="s">
        <v>195</v>
      </c>
      <c r="Q72" s="41">
        <v>170</v>
      </c>
      <c r="R72" s="50">
        <v>27.96</v>
      </c>
      <c r="S72" s="59">
        <v>80</v>
      </c>
      <c r="T72" s="50">
        <v>4</v>
      </c>
      <c r="U72" s="23" t="s">
        <v>75</v>
      </c>
    </row>
    <row r="73" spans="1:25" x14ac:dyDescent="0.3">
      <c r="A73" s="21" t="s">
        <v>160</v>
      </c>
      <c r="B73" s="22">
        <f t="shared" si="4"/>
        <v>0</v>
      </c>
      <c r="C73" s="41" t="s">
        <v>195</v>
      </c>
      <c r="D73" s="40" t="s">
        <v>195</v>
      </c>
      <c r="E73" s="51" t="s">
        <v>195</v>
      </c>
      <c r="F73" s="40" t="s">
        <v>195</v>
      </c>
      <c r="G73" s="51" t="s">
        <v>195</v>
      </c>
      <c r="H73" s="40" t="s">
        <v>195</v>
      </c>
      <c r="I73" s="51" t="s">
        <v>195</v>
      </c>
      <c r="J73" s="40" t="s">
        <v>195</v>
      </c>
      <c r="K73" s="40" t="s">
        <v>195</v>
      </c>
      <c r="L73" s="40" t="s">
        <v>195</v>
      </c>
      <c r="M73" s="40" t="s">
        <v>195</v>
      </c>
      <c r="N73" s="40" t="s">
        <v>195</v>
      </c>
      <c r="O73" s="40" t="s">
        <v>195</v>
      </c>
      <c r="P73" s="40" t="s">
        <v>195</v>
      </c>
      <c r="Q73" s="41" t="s">
        <v>195</v>
      </c>
      <c r="R73" s="50" t="s">
        <v>195</v>
      </c>
      <c r="S73" s="59" t="s">
        <v>195</v>
      </c>
      <c r="T73" s="50" t="s">
        <v>195</v>
      </c>
      <c r="U73" s="23" t="s">
        <v>76</v>
      </c>
    </row>
    <row r="74" spans="1:25" x14ac:dyDescent="0.3">
      <c r="A74" s="21" t="s">
        <v>161</v>
      </c>
      <c r="B74" s="22">
        <f t="shared" si="4"/>
        <v>3036</v>
      </c>
      <c r="C74" s="41" t="s">
        <v>195</v>
      </c>
      <c r="D74" s="40" t="s">
        <v>195</v>
      </c>
      <c r="E74" s="51" t="s">
        <v>195</v>
      </c>
      <c r="F74" s="40" t="s">
        <v>195</v>
      </c>
      <c r="G74" s="41">
        <v>44</v>
      </c>
      <c r="H74" s="40">
        <v>8.6</v>
      </c>
      <c r="I74" s="41" t="s">
        <v>195</v>
      </c>
      <c r="J74" s="40" t="s">
        <v>195</v>
      </c>
      <c r="K74" s="40">
        <v>949</v>
      </c>
      <c r="L74" s="40">
        <v>379.6</v>
      </c>
      <c r="M74" s="40">
        <v>583</v>
      </c>
      <c r="N74" s="40">
        <v>145.75</v>
      </c>
      <c r="O74" s="40" t="s">
        <v>195</v>
      </c>
      <c r="P74" s="40" t="s">
        <v>195</v>
      </c>
      <c r="Q74" s="41">
        <v>1460</v>
      </c>
      <c r="R74" s="50">
        <v>292</v>
      </c>
      <c r="S74" s="58" t="s">
        <v>195</v>
      </c>
      <c r="T74" s="50" t="s">
        <v>195</v>
      </c>
      <c r="U74" s="23" t="s">
        <v>77</v>
      </c>
    </row>
    <row r="75" spans="1:25" x14ac:dyDescent="0.3">
      <c r="A75" s="21" t="s">
        <v>162</v>
      </c>
      <c r="B75" s="22">
        <f t="shared" ref="B75:B76" si="16">SUM(C75,E75,G75,I75,K75,M75,O75,Q75)</f>
        <v>47</v>
      </c>
      <c r="C75" s="41" t="s">
        <v>195</v>
      </c>
      <c r="D75" s="40" t="s">
        <v>195</v>
      </c>
      <c r="E75" s="51" t="s">
        <v>195</v>
      </c>
      <c r="F75" s="40" t="s">
        <v>195</v>
      </c>
      <c r="G75" s="51" t="s">
        <v>195</v>
      </c>
      <c r="H75" s="40" t="s">
        <v>195</v>
      </c>
      <c r="I75" s="51" t="s">
        <v>195</v>
      </c>
      <c r="J75" s="40" t="s">
        <v>195</v>
      </c>
      <c r="K75" s="40">
        <v>47</v>
      </c>
      <c r="L75" s="40">
        <v>5.53</v>
      </c>
      <c r="M75" s="40" t="s">
        <v>195</v>
      </c>
      <c r="N75" s="40" t="s">
        <v>195</v>
      </c>
      <c r="O75" s="40" t="s">
        <v>195</v>
      </c>
      <c r="P75" s="40" t="s">
        <v>195</v>
      </c>
      <c r="Q75" s="41" t="s">
        <v>195</v>
      </c>
      <c r="R75" s="50" t="s">
        <v>195</v>
      </c>
      <c r="S75" s="58" t="s">
        <v>195</v>
      </c>
      <c r="T75" s="50" t="s">
        <v>195</v>
      </c>
      <c r="U75" s="23" t="s">
        <v>78</v>
      </c>
    </row>
    <row r="76" spans="1:25" x14ac:dyDescent="0.3">
      <c r="A76" s="21" t="s">
        <v>163</v>
      </c>
      <c r="B76" s="22">
        <f t="shared" si="16"/>
        <v>126</v>
      </c>
      <c r="C76" s="41">
        <v>26</v>
      </c>
      <c r="D76" s="40">
        <v>3.75</v>
      </c>
      <c r="E76" s="41" t="s">
        <v>195</v>
      </c>
      <c r="F76" s="40" t="s">
        <v>195</v>
      </c>
      <c r="G76" s="41" t="s">
        <v>195</v>
      </c>
      <c r="H76" s="40" t="s">
        <v>195</v>
      </c>
      <c r="I76" s="41" t="s">
        <v>195</v>
      </c>
      <c r="J76" s="40" t="s">
        <v>195</v>
      </c>
      <c r="K76" s="40">
        <v>54</v>
      </c>
      <c r="L76" s="40">
        <v>21.34</v>
      </c>
      <c r="M76" s="40">
        <v>41</v>
      </c>
      <c r="N76" s="40">
        <v>7.01</v>
      </c>
      <c r="O76" s="40" t="s">
        <v>195</v>
      </c>
      <c r="P76" s="40" t="s">
        <v>195</v>
      </c>
      <c r="Q76" s="41">
        <v>5</v>
      </c>
      <c r="R76" s="50">
        <v>0.74</v>
      </c>
      <c r="S76" s="58" t="s">
        <v>195</v>
      </c>
      <c r="T76" s="50" t="s">
        <v>195</v>
      </c>
      <c r="U76" s="23" t="s">
        <v>79</v>
      </c>
    </row>
    <row r="77" spans="1:25" ht="25.2" customHeight="1" x14ac:dyDescent="0.3">
      <c r="A77" s="16" t="s">
        <v>80</v>
      </c>
      <c r="B77" s="26">
        <f>SUM(B78:B90)</f>
        <v>2780</v>
      </c>
      <c r="C77" s="27">
        <f t="shared" ref="C77:S77" si="17">SUM(C78:C90)</f>
        <v>2067</v>
      </c>
      <c r="D77" s="27">
        <f t="shared" si="17"/>
        <v>252.87899999999999</v>
      </c>
      <c r="E77" s="27">
        <f t="shared" si="17"/>
        <v>0</v>
      </c>
      <c r="F77" s="27">
        <f t="shared" si="17"/>
        <v>0</v>
      </c>
      <c r="G77" s="27">
        <f t="shared" si="17"/>
        <v>15</v>
      </c>
      <c r="H77" s="27">
        <f t="shared" si="17"/>
        <v>2</v>
      </c>
      <c r="I77" s="27">
        <f t="shared" si="17"/>
        <v>5</v>
      </c>
      <c r="J77" s="27">
        <f t="shared" si="17"/>
        <v>0.65</v>
      </c>
      <c r="K77" s="27">
        <f t="shared" si="17"/>
        <v>520</v>
      </c>
      <c r="L77" s="27">
        <f t="shared" si="17"/>
        <v>168.71</v>
      </c>
      <c r="M77" s="27">
        <f t="shared" si="17"/>
        <v>97</v>
      </c>
      <c r="N77" s="27">
        <f t="shared" si="17"/>
        <v>14.549999999999999</v>
      </c>
      <c r="O77" s="27">
        <f t="shared" si="17"/>
        <v>2</v>
      </c>
      <c r="P77" s="27">
        <f t="shared" si="17"/>
        <v>0.32</v>
      </c>
      <c r="Q77" s="27">
        <f>SUM(Q78:Q90)</f>
        <v>74</v>
      </c>
      <c r="R77" s="28">
        <f>SUM(R78:R90)</f>
        <v>10.850000000000001</v>
      </c>
      <c r="S77" s="26">
        <f t="shared" si="17"/>
        <v>0</v>
      </c>
      <c r="T77" s="28">
        <f>SUM(T78:T90)</f>
        <v>0</v>
      </c>
      <c r="U77" s="29" t="s">
        <v>81</v>
      </c>
      <c r="V77" s="29"/>
      <c r="W77" s="29"/>
    </row>
    <row r="78" spans="1:25" x14ac:dyDescent="0.3">
      <c r="A78" s="21" t="s">
        <v>164</v>
      </c>
      <c r="B78" s="22">
        <f t="shared" ref="B78:B90" si="18">SUM(C78,E78,G78,I78,K78,M78,O78,Q78)</f>
        <v>15</v>
      </c>
      <c r="C78" s="41" t="s">
        <v>195</v>
      </c>
      <c r="D78" s="40" t="s">
        <v>195</v>
      </c>
      <c r="E78" s="41" t="s">
        <v>195</v>
      </c>
      <c r="F78" s="40" t="s">
        <v>195</v>
      </c>
      <c r="G78" s="41" t="s">
        <v>195</v>
      </c>
      <c r="H78" s="40" t="s">
        <v>195</v>
      </c>
      <c r="I78" s="41" t="s">
        <v>195</v>
      </c>
      <c r="J78" s="40" t="s">
        <v>195</v>
      </c>
      <c r="K78" s="40" t="s">
        <v>195</v>
      </c>
      <c r="L78" s="40" t="s">
        <v>195</v>
      </c>
      <c r="M78" s="40">
        <v>15</v>
      </c>
      <c r="N78" s="40">
        <v>2.25</v>
      </c>
      <c r="O78" s="40" t="s">
        <v>195</v>
      </c>
      <c r="P78" s="40" t="s">
        <v>195</v>
      </c>
      <c r="Q78" s="41" t="s">
        <v>195</v>
      </c>
      <c r="R78" s="50" t="s">
        <v>195</v>
      </c>
      <c r="S78" s="58" t="s">
        <v>195</v>
      </c>
      <c r="T78" s="50" t="s">
        <v>195</v>
      </c>
      <c r="U78" s="23" t="s">
        <v>82</v>
      </c>
    </row>
    <row r="79" spans="1:25" x14ac:dyDescent="0.3">
      <c r="A79" s="21" t="s">
        <v>165</v>
      </c>
      <c r="B79" s="22">
        <f t="shared" si="18"/>
        <v>344</v>
      </c>
      <c r="C79" s="51">
        <v>283</v>
      </c>
      <c r="D79" s="40">
        <v>35.49</v>
      </c>
      <c r="E79" s="51" t="s">
        <v>195</v>
      </c>
      <c r="F79" s="40" t="s">
        <v>195</v>
      </c>
      <c r="G79" s="51" t="s">
        <v>195</v>
      </c>
      <c r="H79" s="40" t="s">
        <v>195</v>
      </c>
      <c r="I79" s="51" t="s">
        <v>195</v>
      </c>
      <c r="J79" s="40" t="s">
        <v>195</v>
      </c>
      <c r="K79" s="40" t="s">
        <v>195</v>
      </c>
      <c r="L79" s="40" t="s">
        <v>195</v>
      </c>
      <c r="M79" s="40" t="s">
        <v>195</v>
      </c>
      <c r="N79" s="40" t="s">
        <v>195</v>
      </c>
      <c r="O79" s="40" t="s">
        <v>195</v>
      </c>
      <c r="P79" s="40" t="s">
        <v>195</v>
      </c>
      <c r="Q79" s="41">
        <v>61</v>
      </c>
      <c r="R79" s="50">
        <v>9.15</v>
      </c>
      <c r="S79" s="58" t="s">
        <v>195</v>
      </c>
      <c r="T79" s="50" t="s">
        <v>195</v>
      </c>
      <c r="U79" s="23" t="s">
        <v>83</v>
      </c>
    </row>
    <row r="80" spans="1:25" x14ac:dyDescent="0.3">
      <c r="A80" s="21" t="s">
        <v>166</v>
      </c>
      <c r="B80" s="22">
        <f t="shared" si="18"/>
        <v>6</v>
      </c>
      <c r="C80" s="41">
        <v>6</v>
      </c>
      <c r="D80" s="40">
        <v>0.9</v>
      </c>
      <c r="E80" s="51" t="s">
        <v>195</v>
      </c>
      <c r="F80" s="40" t="s">
        <v>195</v>
      </c>
      <c r="G80" s="51" t="s">
        <v>195</v>
      </c>
      <c r="H80" s="40" t="s">
        <v>195</v>
      </c>
      <c r="I80" s="51" t="s">
        <v>195</v>
      </c>
      <c r="J80" s="40" t="s">
        <v>195</v>
      </c>
      <c r="K80" s="40" t="s">
        <v>195</v>
      </c>
      <c r="L80" s="40" t="s">
        <v>195</v>
      </c>
      <c r="M80" s="40" t="s">
        <v>195</v>
      </c>
      <c r="N80" s="40" t="s">
        <v>195</v>
      </c>
      <c r="O80" s="40" t="s">
        <v>195</v>
      </c>
      <c r="P80" s="40" t="s">
        <v>195</v>
      </c>
      <c r="Q80" s="41" t="s">
        <v>195</v>
      </c>
      <c r="R80" s="50" t="s">
        <v>195</v>
      </c>
      <c r="S80" s="59" t="s">
        <v>195</v>
      </c>
      <c r="T80" s="50" t="s">
        <v>195</v>
      </c>
      <c r="U80" s="23" t="s">
        <v>84</v>
      </c>
    </row>
    <row r="81" spans="1:23" x14ac:dyDescent="0.3">
      <c r="A81" s="21" t="s">
        <v>167</v>
      </c>
      <c r="B81" s="22">
        <f t="shared" si="18"/>
        <v>77</v>
      </c>
      <c r="C81" s="51">
        <v>77</v>
      </c>
      <c r="D81" s="40">
        <v>12.32</v>
      </c>
      <c r="E81" s="51" t="s">
        <v>195</v>
      </c>
      <c r="F81" s="40" t="s">
        <v>195</v>
      </c>
      <c r="G81" s="51" t="s">
        <v>195</v>
      </c>
      <c r="H81" s="40" t="s">
        <v>195</v>
      </c>
      <c r="I81" s="41" t="s">
        <v>195</v>
      </c>
      <c r="J81" s="40" t="s">
        <v>195</v>
      </c>
      <c r="K81" s="40" t="s">
        <v>195</v>
      </c>
      <c r="L81" s="40" t="s">
        <v>195</v>
      </c>
      <c r="M81" s="40" t="s">
        <v>195</v>
      </c>
      <c r="N81" s="40" t="s">
        <v>195</v>
      </c>
      <c r="O81" s="40" t="s">
        <v>195</v>
      </c>
      <c r="P81" s="40" t="s">
        <v>195</v>
      </c>
      <c r="Q81" s="41" t="s">
        <v>195</v>
      </c>
      <c r="R81" s="50" t="s">
        <v>195</v>
      </c>
      <c r="S81" s="58" t="s">
        <v>195</v>
      </c>
      <c r="T81" s="50" t="s">
        <v>195</v>
      </c>
      <c r="U81" s="23" t="s">
        <v>85</v>
      </c>
    </row>
    <row r="82" spans="1:23" x14ac:dyDescent="0.3">
      <c r="A82" s="54" t="s">
        <v>185</v>
      </c>
      <c r="B82" s="22">
        <f t="shared" si="18"/>
        <v>56</v>
      </c>
      <c r="C82" s="41" t="s">
        <v>195</v>
      </c>
      <c r="D82" s="40" t="s">
        <v>195</v>
      </c>
      <c r="E82" s="51" t="s">
        <v>195</v>
      </c>
      <c r="F82" s="40" t="s">
        <v>195</v>
      </c>
      <c r="G82" s="51" t="s">
        <v>195</v>
      </c>
      <c r="H82" s="40" t="s">
        <v>195</v>
      </c>
      <c r="I82" s="51">
        <v>2</v>
      </c>
      <c r="J82" s="40">
        <v>0.2</v>
      </c>
      <c r="K82" s="40">
        <v>34</v>
      </c>
      <c r="L82" s="40">
        <v>8.5</v>
      </c>
      <c r="M82" s="40">
        <v>20</v>
      </c>
      <c r="N82" s="40">
        <v>5.0999999999999996</v>
      </c>
      <c r="O82" s="40" t="s">
        <v>195</v>
      </c>
      <c r="P82" s="40" t="s">
        <v>195</v>
      </c>
      <c r="Q82" s="41" t="s">
        <v>195</v>
      </c>
      <c r="R82" s="50" t="s">
        <v>195</v>
      </c>
      <c r="S82" s="58" t="s">
        <v>195</v>
      </c>
      <c r="T82" s="50" t="s">
        <v>195</v>
      </c>
      <c r="U82" s="23" t="s">
        <v>186</v>
      </c>
    </row>
    <row r="83" spans="1:23" x14ac:dyDescent="0.3">
      <c r="A83" s="21" t="s">
        <v>187</v>
      </c>
      <c r="B83" s="22">
        <f t="shared" si="18"/>
        <v>36</v>
      </c>
      <c r="C83" s="41">
        <v>28</v>
      </c>
      <c r="D83" s="40">
        <v>2.8</v>
      </c>
      <c r="E83" s="51" t="s">
        <v>195</v>
      </c>
      <c r="F83" s="40" t="s">
        <v>195</v>
      </c>
      <c r="G83" s="51" t="s">
        <v>195</v>
      </c>
      <c r="H83" s="40" t="s">
        <v>195</v>
      </c>
      <c r="I83" s="51" t="s">
        <v>195</v>
      </c>
      <c r="J83" s="40" t="s">
        <v>195</v>
      </c>
      <c r="K83" s="40" t="s">
        <v>195</v>
      </c>
      <c r="L83" s="40" t="s">
        <v>195</v>
      </c>
      <c r="M83" s="40" t="s">
        <v>195</v>
      </c>
      <c r="N83" s="40" t="s">
        <v>195</v>
      </c>
      <c r="O83" s="40" t="s">
        <v>195</v>
      </c>
      <c r="P83" s="40" t="s">
        <v>195</v>
      </c>
      <c r="Q83" s="41">
        <v>8</v>
      </c>
      <c r="R83" s="50">
        <v>0.8</v>
      </c>
      <c r="S83" s="58" t="s">
        <v>195</v>
      </c>
      <c r="T83" s="50" t="s">
        <v>195</v>
      </c>
      <c r="U83" s="23" t="s">
        <v>188</v>
      </c>
    </row>
    <row r="84" spans="1:23" x14ac:dyDescent="0.3">
      <c r="A84" s="21" t="s">
        <v>168</v>
      </c>
      <c r="B84" s="22">
        <f t="shared" si="18"/>
        <v>420</v>
      </c>
      <c r="C84" s="41">
        <v>355</v>
      </c>
      <c r="D84" s="40">
        <v>37.779000000000003</v>
      </c>
      <c r="E84" s="51" t="s">
        <v>195</v>
      </c>
      <c r="F84" s="40" t="s">
        <v>195</v>
      </c>
      <c r="G84" s="51">
        <v>5</v>
      </c>
      <c r="H84" s="40">
        <v>0.5</v>
      </c>
      <c r="I84" s="51" t="s">
        <v>195</v>
      </c>
      <c r="J84" s="40" t="s">
        <v>195</v>
      </c>
      <c r="K84" s="40">
        <v>10</v>
      </c>
      <c r="L84" s="40">
        <v>1</v>
      </c>
      <c r="M84" s="40">
        <v>50</v>
      </c>
      <c r="N84" s="40">
        <v>5</v>
      </c>
      <c r="O84" s="40" t="s">
        <v>195</v>
      </c>
      <c r="P84" s="40" t="s">
        <v>195</v>
      </c>
      <c r="Q84" s="41" t="s">
        <v>195</v>
      </c>
      <c r="R84" s="50" t="s">
        <v>195</v>
      </c>
      <c r="S84" s="58" t="s">
        <v>195</v>
      </c>
      <c r="T84" s="50" t="s">
        <v>195</v>
      </c>
      <c r="U84" s="23" t="s">
        <v>86</v>
      </c>
    </row>
    <row r="85" spans="1:23" x14ac:dyDescent="0.3">
      <c r="A85" s="21" t="s">
        <v>169</v>
      </c>
      <c r="B85" s="22">
        <f t="shared" si="18"/>
        <v>250</v>
      </c>
      <c r="C85" s="41">
        <v>223</v>
      </c>
      <c r="D85" s="40">
        <v>24.09</v>
      </c>
      <c r="E85" s="51" t="s">
        <v>195</v>
      </c>
      <c r="F85" s="40" t="s">
        <v>195</v>
      </c>
      <c r="G85" s="51" t="s">
        <v>195</v>
      </c>
      <c r="H85" s="40" t="s">
        <v>195</v>
      </c>
      <c r="I85" s="51">
        <v>1</v>
      </c>
      <c r="J85" s="40">
        <v>0.25</v>
      </c>
      <c r="K85" s="40">
        <v>14</v>
      </c>
      <c r="L85" s="40">
        <v>1.96</v>
      </c>
      <c r="M85" s="40">
        <v>8</v>
      </c>
      <c r="N85" s="40">
        <v>1.2</v>
      </c>
      <c r="O85" s="40">
        <v>2</v>
      </c>
      <c r="P85" s="40">
        <v>0.32</v>
      </c>
      <c r="Q85" s="41">
        <v>2</v>
      </c>
      <c r="R85" s="50">
        <v>0.3</v>
      </c>
      <c r="S85" s="58" t="s">
        <v>195</v>
      </c>
      <c r="T85" s="50" t="s">
        <v>195</v>
      </c>
      <c r="U85" s="23" t="s">
        <v>87</v>
      </c>
    </row>
    <row r="86" spans="1:23" x14ac:dyDescent="0.3">
      <c r="A86" s="21" t="s">
        <v>170</v>
      </c>
      <c r="B86" s="22">
        <f t="shared" si="18"/>
        <v>389</v>
      </c>
      <c r="C86" s="41">
        <v>389</v>
      </c>
      <c r="D86" s="40">
        <v>38.9</v>
      </c>
      <c r="E86" s="51" t="s">
        <v>195</v>
      </c>
      <c r="F86" s="40" t="s">
        <v>195</v>
      </c>
      <c r="G86" s="51" t="s">
        <v>195</v>
      </c>
      <c r="H86" s="40" t="s">
        <v>195</v>
      </c>
      <c r="I86" s="51" t="s">
        <v>195</v>
      </c>
      <c r="J86" s="40" t="s">
        <v>195</v>
      </c>
      <c r="K86" s="40" t="s">
        <v>195</v>
      </c>
      <c r="L86" s="40" t="s">
        <v>195</v>
      </c>
      <c r="M86" s="40" t="s">
        <v>195</v>
      </c>
      <c r="N86" s="40" t="s">
        <v>195</v>
      </c>
      <c r="O86" s="40" t="s">
        <v>195</v>
      </c>
      <c r="P86" s="40" t="s">
        <v>195</v>
      </c>
      <c r="Q86" s="41" t="s">
        <v>195</v>
      </c>
      <c r="R86" s="50" t="s">
        <v>195</v>
      </c>
      <c r="S86" s="58" t="s">
        <v>195</v>
      </c>
      <c r="T86" s="50" t="s">
        <v>195</v>
      </c>
      <c r="U86" s="23" t="s">
        <v>88</v>
      </c>
    </row>
    <row r="87" spans="1:23" x14ac:dyDescent="0.3">
      <c r="A87" s="21" t="s">
        <v>171</v>
      </c>
      <c r="B87" s="22">
        <f t="shared" si="18"/>
        <v>0</v>
      </c>
      <c r="C87" s="41" t="s">
        <v>195</v>
      </c>
      <c r="D87" s="40" t="s">
        <v>195</v>
      </c>
      <c r="E87" s="51" t="s">
        <v>195</v>
      </c>
      <c r="F87" s="40" t="s">
        <v>195</v>
      </c>
      <c r="G87" s="51" t="s">
        <v>195</v>
      </c>
      <c r="H87" s="40" t="s">
        <v>195</v>
      </c>
      <c r="I87" s="51" t="s">
        <v>195</v>
      </c>
      <c r="J87" s="40" t="s">
        <v>195</v>
      </c>
      <c r="K87" s="40" t="s">
        <v>195</v>
      </c>
      <c r="L87" s="40" t="s">
        <v>195</v>
      </c>
      <c r="M87" s="40" t="s">
        <v>195</v>
      </c>
      <c r="N87" s="40" t="s">
        <v>195</v>
      </c>
      <c r="O87" s="40" t="s">
        <v>195</v>
      </c>
      <c r="P87" s="40" t="s">
        <v>195</v>
      </c>
      <c r="Q87" s="41" t="s">
        <v>195</v>
      </c>
      <c r="R87" s="50" t="s">
        <v>195</v>
      </c>
      <c r="S87" s="58" t="s">
        <v>195</v>
      </c>
      <c r="T87" s="50" t="s">
        <v>195</v>
      </c>
      <c r="U87" s="23" t="s">
        <v>89</v>
      </c>
    </row>
    <row r="88" spans="1:23" x14ac:dyDescent="0.3">
      <c r="A88" s="21" t="s">
        <v>172</v>
      </c>
      <c r="B88" s="22">
        <f t="shared" si="18"/>
        <v>609</v>
      </c>
      <c r="C88" s="41">
        <v>600</v>
      </c>
      <c r="D88" s="40">
        <v>90</v>
      </c>
      <c r="E88" s="51" t="s">
        <v>195</v>
      </c>
      <c r="F88" s="40" t="s">
        <v>195</v>
      </c>
      <c r="G88" s="51" t="s">
        <v>195</v>
      </c>
      <c r="H88" s="40" t="s">
        <v>195</v>
      </c>
      <c r="I88" s="51">
        <v>2</v>
      </c>
      <c r="J88" s="40">
        <v>0.2</v>
      </c>
      <c r="K88" s="40">
        <v>2</v>
      </c>
      <c r="L88" s="40">
        <v>0.4</v>
      </c>
      <c r="M88" s="40">
        <v>2</v>
      </c>
      <c r="N88" s="40">
        <v>0.4</v>
      </c>
      <c r="O88" s="40" t="s">
        <v>195</v>
      </c>
      <c r="P88" s="40" t="s">
        <v>195</v>
      </c>
      <c r="Q88" s="41">
        <v>3</v>
      </c>
      <c r="R88" s="50">
        <v>0.6</v>
      </c>
      <c r="S88" s="58" t="s">
        <v>195</v>
      </c>
      <c r="T88" s="50" t="s">
        <v>195</v>
      </c>
      <c r="U88" s="23" t="s">
        <v>90</v>
      </c>
    </row>
    <row r="89" spans="1:23" x14ac:dyDescent="0.3">
      <c r="A89" s="21" t="s">
        <v>173</v>
      </c>
      <c r="B89" s="22">
        <f t="shared" si="18"/>
        <v>430</v>
      </c>
      <c r="C89" s="41" t="s">
        <v>195</v>
      </c>
      <c r="D89" s="40" t="s">
        <v>195</v>
      </c>
      <c r="E89" s="51" t="s">
        <v>195</v>
      </c>
      <c r="F89" s="40" t="s">
        <v>195</v>
      </c>
      <c r="G89" s="51" t="s">
        <v>195</v>
      </c>
      <c r="H89" s="40" t="s">
        <v>195</v>
      </c>
      <c r="I89" s="51" t="s">
        <v>195</v>
      </c>
      <c r="J89" s="40" t="s">
        <v>195</v>
      </c>
      <c r="K89" s="40">
        <v>428</v>
      </c>
      <c r="L89" s="40">
        <v>152.25</v>
      </c>
      <c r="M89" s="40">
        <v>2</v>
      </c>
      <c r="N89" s="40">
        <v>0.6</v>
      </c>
      <c r="O89" s="40" t="s">
        <v>195</v>
      </c>
      <c r="P89" s="40" t="s">
        <v>195</v>
      </c>
      <c r="Q89" s="41" t="s">
        <v>195</v>
      </c>
      <c r="R89" s="50" t="s">
        <v>195</v>
      </c>
      <c r="S89" s="58" t="s">
        <v>195</v>
      </c>
      <c r="T89" s="50" t="s">
        <v>195</v>
      </c>
      <c r="U89" s="23" t="s">
        <v>91</v>
      </c>
    </row>
    <row r="90" spans="1:23" x14ac:dyDescent="0.3">
      <c r="A90" s="21" t="s">
        <v>174</v>
      </c>
      <c r="B90" s="22">
        <f t="shared" si="18"/>
        <v>148</v>
      </c>
      <c r="C90" s="41">
        <v>106</v>
      </c>
      <c r="D90" s="40">
        <v>10.6</v>
      </c>
      <c r="E90" s="51" t="s">
        <v>195</v>
      </c>
      <c r="F90" s="40" t="s">
        <v>195</v>
      </c>
      <c r="G90" s="51">
        <v>10</v>
      </c>
      <c r="H90" s="40">
        <v>1.5</v>
      </c>
      <c r="I90" s="51" t="s">
        <v>195</v>
      </c>
      <c r="J90" s="40" t="s">
        <v>195</v>
      </c>
      <c r="K90" s="40">
        <v>32</v>
      </c>
      <c r="L90" s="40">
        <v>4.5999999999999996</v>
      </c>
      <c r="M90" s="40" t="s">
        <v>195</v>
      </c>
      <c r="N90" s="40" t="s">
        <v>195</v>
      </c>
      <c r="O90" s="40" t="s">
        <v>195</v>
      </c>
      <c r="P90" s="40" t="s">
        <v>195</v>
      </c>
      <c r="Q90" s="41" t="s">
        <v>195</v>
      </c>
      <c r="R90" s="50" t="s">
        <v>195</v>
      </c>
      <c r="S90" s="58" t="s">
        <v>195</v>
      </c>
      <c r="T90" s="50" t="s">
        <v>195</v>
      </c>
      <c r="U90" s="23" t="s">
        <v>92</v>
      </c>
    </row>
    <row r="91" spans="1:23" ht="25.8" customHeight="1" x14ac:dyDescent="0.3">
      <c r="A91" s="16" t="s">
        <v>93</v>
      </c>
      <c r="B91" s="26">
        <f>SUM(B92:B95)</f>
        <v>31702</v>
      </c>
      <c r="C91" s="27">
        <f t="shared" ref="C91:S91" si="19">SUM(C92:C95)</f>
        <v>25900</v>
      </c>
      <c r="D91" s="27">
        <f t="shared" si="19"/>
        <v>4529.7349999999997</v>
      </c>
      <c r="E91" s="27">
        <f t="shared" si="19"/>
        <v>774</v>
      </c>
      <c r="F91" s="27">
        <f t="shared" si="19"/>
        <v>90.956999999999994</v>
      </c>
      <c r="G91" s="27">
        <f t="shared" si="19"/>
        <v>43</v>
      </c>
      <c r="H91" s="27">
        <f t="shared" si="19"/>
        <v>7.6</v>
      </c>
      <c r="I91" s="27">
        <f t="shared" si="19"/>
        <v>1338</v>
      </c>
      <c r="J91" s="27">
        <f t="shared" si="19"/>
        <v>156.471</v>
      </c>
      <c r="K91" s="27">
        <f t="shared" si="19"/>
        <v>277</v>
      </c>
      <c r="L91" s="27">
        <f t="shared" si="19"/>
        <v>39.909999999999997</v>
      </c>
      <c r="M91" s="27">
        <f t="shared" si="19"/>
        <v>419</v>
      </c>
      <c r="N91" s="27">
        <f t="shared" si="19"/>
        <v>76.893000000000001</v>
      </c>
      <c r="O91" s="27">
        <f t="shared" si="19"/>
        <v>0</v>
      </c>
      <c r="P91" s="27">
        <f t="shared" si="19"/>
        <v>0</v>
      </c>
      <c r="Q91" s="27">
        <f>SUM(Q92:Q95)</f>
        <v>2951</v>
      </c>
      <c r="R91" s="28">
        <f>SUM(R92:R95)</f>
        <v>335.49399999999997</v>
      </c>
      <c r="S91" s="26">
        <f t="shared" si="19"/>
        <v>3</v>
      </c>
      <c r="T91" s="28">
        <f>SUM(T92:T95)</f>
        <v>0.3</v>
      </c>
      <c r="U91" s="33" t="s">
        <v>94</v>
      </c>
      <c r="V91" s="33"/>
      <c r="W91" s="33"/>
    </row>
    <row r="92" spans="1:23" x14ac:dyDescent="0.3">
      <c r="A92" s="21" t="s">
        <v>175</v>
      </c>
      <c r="B92" s="22">
        <f t="shared" ref="B92:B95" si="20">SUM(C92,E92,G92,I92,K92,M92,O92,Q92)</f>
        <v>17387</v>
      </c>
      <c r="C92" s="41">
        <v>12480</v>
      </c>
      <c r="D92" s="40">
        <v>1639.0740000000001</v>
      </c>
      <c r="E92" s="41">
        <v>452</v>
      </c>
      <c r="F92" s="40">
        <v>47.576999999999998</v>
      </c>
      <c r="G92" s="41">
        <v>1</v>
      </c>
      <c r="H92" s="40">
        <v>0.18</v>
      </c>
      <c r="I92" s="41">
        <v>1259</v>
      </c>
      <c r="J92" s="40">
        <v>145.56100000000001</v>
      </c>
      <c r="K92" s="40">
        <v>160</v>
      </c>
      <c r="L92" s="40">
        <v>15.16</v>
      </c>
      <c r="M92" s="40">
        <v>242</v>
      </c>
      <c r="N92" s="40">
        <v>40.31</v>
      </c>
      <c r="O92" s="40" t="s">
        <v>195</v>
      </c>
      <c r="P92" s="40" t="s">
        <v>195</v>
      </c>
      <c r="Q92" s="41">
        <v>2793</v>
      </c>
      <c r="R92" s="50">
        <v>301.24799999999999</v>
      </c>
      <c r="S92" s="59" t="s">
        <v>195</v>
      </c>
      <c r="T92" s="50" t="s">
        <v>195</v>
      </c>
      <c r="U92" s="23" t="s">
        <v>95</v>
      </c>
    </row>
    <row r="93" spans="1:23" x14ac:dyDescent="0.3">
      <c r="A93" s="21" t="s">
        <v>176</v>
      </c>
      <c r="B93" s="22">
        <f t="shared" si="20"/>
        <v>767</v>
      </c>
      <c r="C93" s="41">
        <v>515</v>
      </c>
      <c r="D93" s="40">
        <v>92.147000000000006</v>
      </c>
      <c r="E93" s="41">
        <v>184</v>
      </c>
      <c r="F93" s="40">
        <v>23.44</v>
      </c>
      <c r="G93" s="41" t="s">
        <v>195</v>
      </c>
      <c r="H93" s="40" t="s">
        <v>195</v>
      </c>
      <c r="I93" s="41">
        <v>59</v>
      </c>
      <c r="J93" s="40">
        <v>7.67</v>
      </c>
      <c r="K93" s="40" t="s">
        <v>195</v>
      </c>
      <c r="L93" s="40" t="s">
        <v>195</v>
      </c>
      <c r="M93" s="40">
        <v>9</v>
      </c>
      <c r="N93" s="40">
        <v>2.7</v>
      </c>
      <c r="O93" s="40" t="s">
        <v>195</v>
      </c>
      <c r="P93" s="40" t="s">
        <v>195</v>
      </c>
      <c r="Q93" s="41" t="s">
        <v>195</v>
      </c>
      <c r="R93" s="50" t="s">
        <v>195</v>
      </c>
      <c r="S93" s="58" t="s">
        <v>195</v>
      </c>
      <c r="T93" s="50" t="s">
        <v>195</v>
      </c>
      <c r="U93" s="23" t="s">
        <v>96</v>
      </c>
    </row>
    <row r="94" spans="1:23" x14ac:dyDescent="0.3">
      <c r="A94" s="21" t="s">
        <v>177</v>
      </c>
      <c r="B94" s="22">
        <f t="shared" si="20"/>
        <v>12011</v>
      </c>
      <c r="C94" s="41">
        <v>11788</v>
      </c>
      <c r="D94" s="40">
        <v>2663.2579999999998</v>
      </c>
      <c r="E94" s="41">
        <v>90</v>
      </c>
      <c r="F94" s="40">
        <v>11.58</v>
      </c>
      <c r="G94" s="51">
        <v>42</v>
      </c>
      <c r="H94" s="40">
        <v>7.42</v>
      </c>
      <c r="I94" s="51" t="s">
        <v>195</v>
      </c>
      <c r="J94" s="40" t="s">
        <v>195</v>
      </c>
      <c r="K94" s="40">
        <v>66</v>
      </c>
      <c r="L94" s="40">
        <v>14.294</v>
      </c>
      <c r="M94" s="40">
        <v>25</v>
      </c>
      <c r="N94" s="40">
        <v>4</v>
      </c>
      <c r="O94" s="40" t="s">
        <v>195</v>
      </c>
      <c r="P94" s="40" t="s">
        <v>195</v>
      </c>
      <c r="Q94" s="41" t="s">
        <v>195</v>
      </c>
      <c r="R94" s="50" t="s">
        <v>195</v>
      </c>
      <c r="S94" s="58" t="s">
        <v>195</v>
      </c>
      <c r="T94" s="50" t="s">
        <v>195</v>
      </c>
      <c r="U94" s="23" t="s">
        <v>97</v>
      </c>
    </row>
    <row r="95" spans="1:23" ht="15" thickBot="1" x14ac:dyDescent="0.35">
      <c r="A95" s="42" t="s">
        <v>178</v>
      </c>
      <c r="B95" s="64">
        <f t="shared" si="20"/>
        <v>1537</v>
      </c>
      <c r="C95" s="44">
        <v>1117</v>
      </c>
      <c r="D95" s="43">
        <v>135.256</v>
      </c>
      <c r="E95" s="52">
        <v>48</v>
      </c>
      <c r="F95" s="43">
        <v>8.36</v>
      </c>
      <c r="G95" s="52" t="s">
        <v>195</v>
      </c>
      <c r="H95" s="43" t="s">
        <v>195</v>
      </c>
      <c r="I95" s="52">
        <v>20</v>
      </c>
      <c r="J95" s="43">
        <v>3.24</v>
      </c>
      <c r="K95" s="43">
        <v>51</v>
      </c>
      <c r="L95" s="43">
        <v>10.456</v>
      </c>
      <c r="M95" s="43">
        <v>143</v>
      </c>
      <c r="N95" s="43">
        <v>29.882999999999999</v>
      </c>
      <c r="O95" s="43" t="s">
        <v>195</v>
      </c>
      <c r="P95" s="43" t="s">
        <v>195</v>
      </c>
      <c r="Q95" s="44">
        <v>158</v>
      </c>
      <c r="R95" s="53">
        <v>34.246000000000002</v>
      </c>
      <c r="S95" s="63">
        <v>3</v>
      </c>
      <c r="T95" s="53">
        <v>0.3</v>
      </c>
      <c r="U95" s="45" t="s">
        <v>98</v>
      </c>
    </row>
    <row r="96" spans="1:23" x14ac:dyDescent="0.3">
      <c r="A96" s="46" t="s">
        <v>99</v>
      </c>
      <c r="Q96" s="47"/>
      <c r="T96" s="47"/>
      <c r="U96" s="47" t="s">
        <v>100</v>
      </c>
    </row>
    <row r="97" spans="1:21" x14ac:dyDescent="0.3">
      <c r="A97" s="48" t="s">
        <v>106</v>
      </c>
      <c r="U97" s="3" t="s">
        <v>101</v>
      </c>
    </row>
    <row r="114" spans="27:27" x14ac:dyDescent="0.3">
      <c r="AA114" s="3" t="s">
        <v>102</v>
      </c>
    </row>
  </sheetData>
  <mergeCells count="19">
    <mergeCell ref="A2:U2"/>
    <mergeCell ref="A3:U3"/>
    <mergeCell ref="K6:L6"/>
    <mergeCell ref="M6:N6"/>
    <mergeCell ref="O6:P6"/>
    <mergeCell ref="A6:A7"/>
    <mergeCell ref="V66:Y66"/>
    <mergeCell ref="Q6:R6"/>
    <mergeCell ref="V67:Y67"/>
    <mergeCell ref="B6:B7"/>
    <mergeCell ref="V63:Y63"/>
    <mergeCell ref="V64:Y64"/>
    <mergeCell ref="V65:Y65"/>
    <mergeCell ref="C6:D6"/>
    <mergeCell ref="E6:F6"/>
    <mergeCell ref="G6:H6"/>
    <mergeCell ref="I6:J6"/>
    <mergeCell ref="S6:T6"/>
    <mergeCell ref="U6:U7"/>
  </mergeCells>
  <pageMargins left="0.7" right="0.7" top="0.75" bottom="0.75" header="0.3" footer="0.3"/>
  <pageSetup paperSize="9" orientation="portrait" r:id="rId1"/>
  <headerFooter alignWithMargins="0"/>
  <ignoredErrors>
    <ignoredError sqref="B10:B15 B17:B23 B47:B51 B78:B90 B92:B95 C16:T16 C91:T91 C24:T24 C29:T29 C34:T34 C40:T40 C46:T46 C52:T52 C56:T56 C62:T62 C71:T71 C77:T77" unlockedFormula="1"/>
    <ignoredError sqref="B16 B24:B46 B52:B77 B91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ΣΠΥΡΟΥΛΗΣ ΣΤΕΡΓΙΟΣ (02279)</dc:creator>
  <cp:lastModifiedBy>Spyroulis Stergios</cp:lastModifiedBy>
  <cp:lastPrinted>2015-10-01T10:19:44Z</cp:lastPrinted>
  <dcterms:created xsi:type="dcterms:W3CDTF">2017-01-19T08:40:03Z</dcterms:created>
  <dcterms:modified xsi:type="dcterms:W3CDTF">2024-06-04T07:37:50Z</dcterms:modified>
</cp:coreProperties>
</file>