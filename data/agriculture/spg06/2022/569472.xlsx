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33A3E548-8F2C-4727-B7F9-04CDF78F5797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1" state="hidden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B110" i="2"/>
  <c r="B109" i="2"/>
  <c r="B108" i="2"/>
  <c r="B107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89" i="2"/>
  <c r="B88" i="2"/>
  <c r="B87" i="2"/>
  <c r="B86" i="2"/>
  <c r="B85" i="2"/>
  <c r="B82" i="2"/>
  <c r="B81" i="2"/>
  <c r="B80" i="2"/>
  <c r="B79" i="2"/>
  <c r="B78" i="2"/>
  <c r="B77" i="2"/>
  <c r="B76" i="2"/>
  <c r="B75" i="2"/>
  <c r="B72" i="2"/>
  <c r="B71" i="2"/>
  <c r="B70" i="2"/>
  <c r="B69" i="2"/>
  <c r="B68" i="2"/>
  <c r="B65" i="2"/>
  <c r="B64" i="2"/>
  <c r="B63" i="2"/>
  <c r="B60" i="2"/>
  <c r="B59" i="2"/>
  <c r="B58" i="2"/>
  <c r="B57" i="2"/>
  <c r="B56" i="2"/>
  <c r="B53" i="2"/>
  <c r="B52" i="2"/>
  <c r="B51" i="2"/>
  <c r="B50" i="2"/>
  <c r="B49" i="2"/>
  <c r="B46" i="2"/>
  <c r="B45" i="2"/>
  <c r="B44" i="2"/>
  <c r="B43" i="2"/>
  <c r="B42" i="2"/>
  <c r="B39" i="2"/>
  <c r="B38" i="2"/>
  <c r="B37" i="2"/>
  <c r="B36" i="2"/>
  <c r="B33" i="2"/>
  <c r="B32" i="2"/>
  <c r="B31" i="2"/>
  <c r="B30" i="2"/>
  <c r="B28" i="2"/>
  <c r="B27" i="2"/>
  <c r="B26" i="2"/>
  <c r="B25" i="2"/>
  <c r="B24" i="2"/>
  <c r="B23" i="2"/>
  <c r="B22" i="2"/>
  <c r="B15" i="2"/>
  <c r="B17" i="2"/>
  <c r="B18" i="2"/>
  <c r="B19" i="2"/>
  <c r="B14" i="2"/>
  <c r="O105" i="2"/>
  <c r="P105" i="2"/>
  <c r="O90" i="2"/>
  <c r="P90" i="2"/>
  <c r="O83" i="2"/>
  <c r="P83" i="2"/>
  <c r="O73" i="2"/>
  <c r="P73" i="2"/>
  <c r="O66" i="2"/>
  <c r="P66" i="2"/>
  <c r="O61" i="2"/>
  <c r="P61" i="2"/>
  <c r="O54" i="2"/>
  <c r="P54" i="2"/>
  <c r="O47" i="2"/>
  <c r="P47" i="2"/>
  <c r="O40" i="2"/>
  <c r="P40" i="2"/>
  <c r="O34" i="2"/>
  <c r="P34" i="2"/>
  <c r="O29" i="2"/>
  <c r="P29" i="2"/>
  <c r="O20" i="2"/>
  <c r="P20" i="2"/>
  <c r="O12" i="2"/>
  <c r="P12" i="2"/>
  <c r="P10" i="2" l="1"/>
  <c r="O10" i="2"/>
  <c r="D20" i="2" l="1"/>
  <c r="C12" i="2"/>
  <c r="D12" i="2"/>
  <c r="D29" i="2"/>
  <c r="E29" i="2"/>
  <c r="F29" i="2"/>
  <c r="G29" i="2"/>
  <c r="H29" i="2"/>
  <c r="I29" i="2"/>
  <c r="J29" i="2"/>
  <c r="K29" i="2"/>
  <c r="L29" i="2"/>
  <c r="M29" i="2"/>
  <c r="N29" i="2"/>
  <c r="Q29" i="2"/>
  <c r="R29" i="2"/>
  <c r="C29" i="2"/>
  <c r="G20" i="2"/>
  <c r="F20" i="2"/>
  <c r="E20" i="2"/>
  <c r="H20" i="2"/>
  <c r="I20" i="2"/>
  <c r="J20" i="2"/>
  <c r="K20" i="2"/>
  <c r="L20" i="2"/>
  <c r="M20" i="2"/>
  <c r="N20" i="2"/>
  <c r="Q20" i="2"/>
  <c r="R20" i="2"/>
  <c r="C20" i="2"/>
  <c r="R105" i="2"/>
  <c r="Q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R90" i="2"/>
  <c r="Q90" i="2"/>
  <c r="N90" i="2"/>
  <c r="M90" i="2"/>
  <c r="L90" i="2"/>
  <c r="K90" i="2"/>
  <c r="J90" i="2"/>
  <c r="I90" i="2"/>
  <c r="H90" i="2"/>
  <c r="G90" i="2"/>
  <c r="F90" i="2"/>
  <c r="E90" i="2"/>
  <c r="D90" i="2"/>
  <c r="C90" i="2"/>
  <c r="R83" i="2"/>
  <c r="Q83" i="2"/>
  <c r="N83" i="2"/>
  <c r="M83" i="2"/>
  <c r="L83" i="2"/>
  <c r="K83" i="2"/>
  <c r="J83" i="2"/>
  <c r="I83" i="2"/>
  <c r="H83" i="2"/>
  <c r="G83" i="2"/>
  <c r="F83" i="2"/>
  <c r="E83" i="2"/>
  <c r="D83" i="2"/>
  <c r="C83" i="2"/>
  <c r="R73" i="2"/>
  <c r="Q73" i="2"/>
  <c r="N73" i="2"/>
  <c r="M73" i="2"/>
  <c r="L73" i="2"/>
  <c r="K73" i="2"/>
  <c r="J73" i="2"/>
  <c r="I73" i="2"/>
  <c r="H73" i="2"/>
  <c r="G73" i="2"/>
  <c r="F73" i="2"/>
  <c r="E73" i="2"/>
  <c r="D73" i="2"/>
  <c r="C73" i="2"/>
  <c r="R66" i="2"/>
  <c r="Q66" i="2"/>
  <c r="N66" i="2"/>
  <c r="M66" i="2"/>
  <c r="L66" i="2"/>
  <c r="K66" i="2"/>
  <c r="J66" i="2"/>
  <c r="I66" i="2"/>
  <c r="H66" i="2"/>
  <c r="G66" i="2"/>
  <c r="F66" i="2"/>
  <c r="E66" i="2"/>
  <c r="D66" i="2"/>
  <c r="C66" i="2"/>
  <c r="R61" i="2"/>
  <c r="Q61" i="2"/>
  <c r="N61" i="2"/>
  <c r="M61" i="2"/>
  <c r="L61" i="2"/>
  <c r="K61" i="2"/>
  <c r="J61" i="2"/>
  <c r="I61" i="2"/>
  <c r="H61" i="2"/>
  <c r="G61" i="2"/>
  <c r="F61" i="2"/>
  <c r="E61" i="2"/>
  <c r="D61" i="2"/>
  <c r="C61" i="2"/>
  <c r="R54" i="2"/>
  <c r="Q54" i="2"/>
  <c r="N54" i="2"/>
  <c r="M54" i="2"/>
  <c r="L54" i="2"/>
  <c r="K54" i="2"/>
  <c r="J54" i="2"/>
  <c r="I54" i="2"/>
  <c r="H54" i="2"/>
  <c r="G54" i="2"/>
  <c r="F54" i="2"/>
  <c r="E54" i="2"/>
  <c r="D54" i="2"/>
  <c r="C54" i="2"/>
  <c r="R47" i="2"/>
  <c r="Q47" i="2"/>
  <c r="N47" i="2"/>
  <c r="M47" i="2"/>
  <c r="L47" i="2"/>
  <c r="K47" i="2"/>
  <c r="J47" i="2"/>
  <c r="I47" i="2"/>
  <c r="H47" i="2"/>
  <c r="G47" i="2"/>
  <c r="F47" i="2"/>
  <c r="E47" i="2"/>
  <c r="D47" i="2"/>
  <c r="C47" i="2"/>
  <c r="R40" i="2"/>
  <c r="Q40" i="2"/>
  <c r="N40" i="2"/>
  <c r="M40" i="2"/>
  <c r="L40" i="2"/>
  <c r="K40" i="2"/>
  <c r="J40" i="2"/>
  <c r="I40" i="2"/>
  <c r="H40" i="2"/>
  <c r="G40" i="2"/>
  <c r="F40" i="2"/>
  <c r="E40" i="2"/>
  <c r="D40" i="2"/>
  <c r="C40" i="2"/>
  <c r="R34" i="2"/>
  <c r="Q34" i="2"/>
  <c r="N34" i="2"/>
  <c r="M34" i="2"/>
  <c r="L34" i="2"/>
  <c r="K34" i="2"/>
  <c r="J34" i="2"/>
  <c r="I34" i="2"/>
  <c r="H34" i="2"/>
  <c r="G34" i="2"/>
  <c r="F34" i="2"/>
  <c r="E34" i="2"/>
  <c r="D34" i="2"/>
  <c r="C34" i="2"/>
  <c r="R12" i="2"/>
  <c r="Q12" i="2"/>
  <c r="N12" i="2"/>
  <c r="M12" i="2"/>
  <c r="L12" i="2"/>
  <c r="K12" i="2"/>
  <c r="J12" i="2"/>
  <c r="I12" i="2"/>
  <c r="H12" i="2"/>
  <c r="G12" i="2"/>
  <c r="F12" i="2"/>
  <c r="E12" i="2"/>
  <c r="B73" i="2" l="1"/>
  <c r="B34" i="2"/>
  <c r="B47" i="2"/>
  <c r="B90" i="2"/>
  <c r="E10" i="2"/>
  <c r="G10" i="2"/>
  <c r="B29" i="2"/>
  <c r="B105" i="2"/>
  <c r="B66" i="2"/>
  <c r="B54" i="2"/>
  <c r="B40" i="2"/>
  <c r="B20" i="2"/>
  <c r="B12" i="2"/>
  <c r="B83" i="2"/>
  <c r="B61" i="2"/>
  <c r="I10" i="2"/>
  <c r="K10" i="2"/>
  <c r="M10" i="2"/>
  <c r="Q10" i="2"/>
  <c r="C10" i="2"/>
  <c r="F10" i="2"/>
  <c r="H10" i="2"/>
  <c r="J10" i="2"/>
  <c r="L10" i="2"/>
  <c r="N10" i="2"/>
  <c r="R10" i="2"/>
  <c r="D10" i="2"/>
  <c r="B10" i="2" l="1"/>
</calcChain>
</file>

<file path=xl/sharedStrings.xml><?xml version="1.0" encoding="utf-8"?>
<sst xmlns="http://schemas.openxmlformats.org/spreadsheetml/2006/main" count="546" uniqueCount="297">
  <si>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</si>
  <si>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</si>
  <si>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</si>
  <si>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</si>
  <si>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</si>
  <si>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</si>
  <si>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</si>
  <si>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</si>
  <si>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</si>
  <si>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</si>
  <si>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</si>
  <si>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</si>
  <si>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</si>
  <si>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</si>
  <si>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</si>
  <si>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</si>
  <si>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</si>
  <si>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</si>
  <si>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</si>
  <si>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</si>
  <si>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</si>
  <si>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</si>
  <si>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</si>
  <si>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</si>
  <si>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</si>
  <si>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</si>
  <si>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</si>
  <si>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</si>
  <si>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</si>
  <si>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</si>
  <si>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</si>
  <si>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</si>
  <si>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</si>
  <si>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</si>
  <si>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</si>
  <si>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</si>
  <si>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</si>
  <si>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</si>
  <si>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</si>
  <si>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</si>
  <si>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</si>
  <si>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</si>
  <si>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</si>
  <si>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</si>
  <si>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</si>
  <si>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</si>
  <si>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</si>
  <si>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</si>
  <si>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</si>
  <si>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</si>
  <si>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</si>
  <si>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</si>
  <si>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</si>
  <si>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</si>
  <si>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</si>
  <si>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</si>
  <si>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</si>
  <si>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</si>
  <si>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</si>
  <si>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</si>
  <si>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</si>
  <si>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</si>
  <si>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</si>
  <si>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</si>
  <si>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</si>
  <si>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</si>
  <si>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</si>
  <si>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</si>
  <si>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</si>
  <si>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</si>
  <si>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</si>
  <si>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</si>
  <si>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</si>
  <si>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</si>
  <si>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</si>
  <si>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</si>
  <si>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</si>
  <si>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</si>
  <si>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</si>
  <si>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</si>
  <si>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</si>
  <si>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</si>
  <si>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</si>
  <si>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</si>
  <si>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</si>
  <si>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</si>
  <si>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</si>
  <si>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</si>
  <si>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</si>
  <si>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</si>
  <si>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</si>
  <si>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</si>
  <si>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</si>
  <si>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</si>
  <si>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</si>
  <si>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</si>
  <si>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</si>
  <si>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</si>
  <si>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</si>
  <si>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</si>
  <si>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</si>
  <si>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</si>
  <si>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</si>
  <si>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</si>
  <si>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</si>
  <si>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</si>
  <si>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</si>
  <si>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</si>
  <si>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</si>
  <si>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</si>
  <si>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</si>
  <si>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</si>
  <si>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</si>
  <si>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</si>
  <si>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</si>
  <si>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</si>
  <si>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</si>
  <si>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</si>
  <si>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</si>
  <si>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</si>
  <si>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</si>
  <si>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</si>
  <si>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</si>
  <si>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</si>
  <si>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</si>
  <si>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</si>
  <si>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</si>
  <si>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</si>
  <si>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</si>
  <si>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</si>
  <si>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</si>
  <si>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</si>
  <si>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</si>
  <si>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</si>
  <si>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</si>
  <si>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</si>
  <si>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</si>
  <si>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</si>
  <si>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</si>
  <si>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</si>
  <si>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</si>
  <si>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</si>
  <si>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</si>
  <si>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</si>
  <si>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</si>
  <si>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</si>
  <si>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</si>
  <si>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</si>
  <si>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</si>
  <si>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</si>
  <si>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</si>
  <si>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</si>
  <si>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</si>
  <si>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</si>
  <si>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</si>
  <si>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</si>
  <si>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</si>
  <si>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</si>
  <si>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</si>
  <si>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</si>
  <si>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</si>
  <si>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</si>
  <si>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</si>
  <si>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</si>
  <si>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</si>
  <si>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</si>
  <si>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</si>
  <si>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</si>
  <si>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</si>
  <si>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</si>
  <si>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</si>
  <si>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</si>
  <si>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</si>
  <si>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</si>
  <si>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</si>
  <si>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</si>
  <si>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</si>
  <si>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</si>
  <si>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</si>
  <si>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</si>
  <si>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</si>
  <si>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</si>
  <si>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</si>
  <si>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</si>
  <si>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</si>
  <si>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</si>
  <si>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</si>
  <si>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</si>
  <si>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</si>
  <si>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</si>
  <si>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</si>
  <si>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</si>
  <si>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</si>
  <si>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</si>
  <si>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</si>
  <si>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</si>
  <si>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</si>
  <si>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</si>
  <si>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</si>
  <si>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</si>
  <si>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</si>
  <si>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</si>
  <si>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</si>
  <si>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</si>
  <si>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</si>
  <si>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</si>
  <si>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</si>
  <si>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</si>
  <si>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</si>
  <si>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</si>
  <si>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</si>
  <si>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</si>
  <si>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</si>
  <si>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</si>
  <si>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</si>
  <si>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</si>
  <si>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</si>
  <si>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</si>
  <si>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</si>
  <si>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</si>
  <si>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</si>
  <si>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</si>
  <si>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</si>
  <si>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</si>
  <si>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</si>
  <si>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</si>
  <si>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</si>
  <si>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</si>
  <si>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</si>
  <si>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</si>
  <si>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</si>
  <si>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</si>
  <si>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</si>
  <si>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</si>
  <si>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</si>
  <si>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</si>
  <si>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</si>
  <si>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</si>
  <si>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</si>
  <si>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</si>
  <si>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</si>
  <si>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</si>
  <si>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</si>
  <si>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</si>
  <si>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</si>
  <si>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</si>
  <si>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</si>
  <si>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</si>
  <si>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</si>
  <si>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</si>
  <si>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</si>
  <si>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</si>
  <si>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</si>
  <si>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</si>
  <si>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</si>
  <si>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</si>
  <si>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</si>
  <si>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</si>
  <si>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</si>
  <si>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</si>
  <si>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</si>
  <si>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</si>
  <si>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</si>
  <si>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</si>
  <si>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</si>
  <si>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</si>
  <si>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</si>
  <si>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</si>
  <si>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</si>
  <si>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</si>
  <si>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</si>
  <si>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</si>
  <si>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</si>
  <si>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</si>
  <si>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</si>
  <si>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</si>
  <si>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Τριφύλλια - Clovers</t>
  </si>
  <si>
    <t>(1) Production refers to hey from self-grown grass or grass from fallow land</t>
  </si>
  <si>
    <t>(2) Bitter veltch, veltching, peas, lentil, etc.</t>
  </si>
  <si>
    <t>Περιφέρειες και Περιφερειακές Ενότητες</t>
  </si>
  <si>
    <t>Περιφέρεια Δυτικής Μακεδονίας</t>
  </si>
  <si>
    <t>Region of Western Macedonia</t>
  </si>
  <si>
    <t>Ετήσια
Annual</t>
  </si>
  <si>
    <t>Σύνολο
Εκτάσεων
Total
Area</t>
  </si>
  <si>
    <t>Πολυετή 
(μηδική, κλπ.) 
Multiannual
(alfalfa, etc)</t>
  </si>
  <si>
    <r>
      <t>Λοιπά σανά</t>
    </r>
    <r>
      <rPr>
        <vertAlign val="superscript"/>
        <sz val="11"/>
        <rFont val="Calibri"/>
        <family val="2"/>
        <charset val="161"/>
        <scheme val="minor"/>
      </rPr>
      <t xml:space="preserve">(2)
 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(2)</t>
    </r>
  </si>
  <si>
    <t>Areas in stremmas (1 stremma = 0.1 ha), production in tons</t>
  </si>
  <si>
    <t>—</t>
  </si>
  <si>
    <t xml:space="preserve"> Κριθάρι
Barley for hay</t>
  </si>
  <si>
    <t>Βρώμη
Oats for hay</t>
  </si>
  <si>
    <t>Βίκος
Veltch for hay</t>
  </si>
  <si>
    <r>
      <t>Κοφτολίβαδα (Σανός)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Low land meadows for hey</t>
    </r>
    <r>
      <rPr>
        <vertAlign val="superscript"/>
        <sz val="11"/>
        <rFont val="Calibri"/>
        <family val="2"/>
        <charset val="161"/>
        <scheme val="minor"/>
      </rPr>
      <t>(1)</t>
    </r>
  </si>
  <si>
    <t>(1) Η παραγωγή αναφέρεται σε σανό αυτοφυούς χόρτου (κοφτολίβαδων και χόρτου αγραναπαύσεων)</t>
  </si>
  <si>
    <t>Αραβόσιτος χλωρός
Maize</t>
  </si>
  <si>
    <t>(2) Σόργο χλωρό, ρόβη, λαθούρι, μπιζέλια, φακή κλπ.</t>
  </si>
  <si>
    <t>Πίνακας 2ε. Κτηνοτροφικά φυτά για σανό. Εκτάσεις και παραγωγή, κατά Περιφέρεια και Περιφερειακή Ενότητα, 2022</t>
  </si>
  <si>
    <t>Table 2e. Fodder plants for hey. Areas and production, by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</si>
</sst>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1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0" fillId="0" borderId="0" xfId="0" applyFont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14" fillId="0" borderId="7" xfId="0" applyFont="1" applyBorder="1" applyProtection="1">
      <protection locked="0"/>
    </xf>
    <xf numFmtId="0" fontId="0" fillId="0" borderId="0" xfId="0" applyProtection="1">
      <protection locked="0"/>
    </xf>
    <xf numFmtId="0" fontId="17" fillId="0" borderId="14" xfId="0" applyFont="1" applyBorder="1" applyAlignment="1" applyProtection="1">
      <alignment horizontal="center"/>
      <protection locked="0"/>
    </xf>
    <xf numFmtId="0" fontId="17" fillId="0" borderId="13" xfId="0" applyFont="1" applyBorder="1" applyAlignment="1" applyProtection="1">
      <alignment horizontal="center"/>
      <protection locked="0"/>
    </xf>
    <xf numFmtId="0" fontId="17" fillId="0" borderId="29" xfId="0" applyFont="1" applyBorder="1" applyAlignment="1" applyProtection="1">
      <alignment horizontal="center"/>
      <protection locked="0"/>
    </xf>
    <xf numFmtId="0" fontId="17" fillId="0" borderId="30" xfId="0" applyFon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14" fillId="0" borderId="18" xfId="0" applyNumberFormat="1" applyFont="1" applyBorder="1" applyAlignment="1" applyProtection="1">
      <alignment horizontal="right" vertical="center"/>
      <protection locked="0"/>
    </xf>
    <xf numFmtId="3" fontId="18" fillId="0" borderId="15" xfId="0" applyNumberFormat="1" applyFont="1" applyBorder="1" applyAlignment="1">
      <alignment horizontal="right" vertical="top"/>
    </xf>
    <xf numFmtId="3" fontId="18" fillId="0" borderId="0" xfId="0" applyNumberFormat="1" applyFont="1" applyAlignment="1">
      <alignment horizontal="right" vertical="top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15" borderId="18" xfId="0" applyNumberFormat="1" applyFont="1" applyFill="1" applyBorder="1" applyAlignment="1">
      <alignment horizontal="right" vertical="center" wrapText="1"/>
    </xf>
    <xf numFmtId="3" fontId="15" fillId="15" borderId="15" xfId="0" applyNumberFormat="1" applyFont="1" applyFill="1" applyBorder="1" applyAlignment="1">
      <alignment horizontal="right" vertical="center" wrapText="1"/>
    </xf>
    <xf numFmtId="0" fontId="11" fillId="0" borderId="0" xfId="0" applyFont="1" applyAlignment="1" applyProtection="1">
      <alignment vertical="center"/>
      <protection locked="0"/>
    </xf>
    <xf numFmtId="0" fontId="18" fillId="0" borderId="15" xfId="0" applyFont="1" applyBorder="1" applyAlignment="1">
      <alignment horizontal="right" vertical="top"/>
    </xf>
    <xf numFmtId="49" fontId="0" fillId="0" borderId="0" xfId="0" applyNumberFormat="1" applyAlignment="1" applyProtection="1">
      <alignment horizontal="left" indent="2"/>
      <protection locked="0"/>
    </xf>
    <xf numFmtId="49" fontId="0" fillId="0" borderId="0" xfId="0" applyNumberFormat="1" applyAlignment="1" applyProtection="1">
      <alignment horizontal="left" wrapText="1" indent="2"/>
      <protection locked="0"/>
    </xf>
    <xf numFmtId="49" fontId="0" fillId="0" borderId="7" xfId="0" applyNumberFormat="1" applyBorder="1" applyAlignment="1" applyProtection="1">
      <alignment horizontal="left" wrapText="1" indent="1"/>
      <protection locked="0"/>
    </xf>
    <xf numFmtId="3" fontId="14" fillId="0" borderId="32" xfId="0" applyNumberFormat="1" applyFont="1" applyBorder="1" applyAlignment="1" applyProtection="1">
      <alignment horizontal="right" vertical="center"/>
      <protection locked="0"/>
    </xf>
    <xf numFmtId="3" fontId="18" fillId="0" borderId="33" xfId="0" applyNumberFormat="1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0" fontId="0" fillId="0" borderId="7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0" fontId="13" fillId="0" borderId="7" xfId="0" applyFont="1" applyBorder="1" applyProtection="1">
      <protection locked="0"/>
    </xf>
    <xf numFmtId="0" fontId="15" fillId="0" borderId="0" xfId="0" applyFont="1" applyAlignment="1" applyProtection="1">
      <alignment vertical="center" wrapText="1"/>
      <protection locked="0"/>
    </xf>
    <xf numFmtId="3" fontId="15" fillId="15" borderId="21" xfId="0" applyNumberFormat="1" applyFont="1" applyFill="1" applyBorder="1" applyAlignment="1">
      <alignment horizontal="right" vertical="center" wrapText="1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horizontal="right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indent="1"/>
      <protection locked="0"/>
    </xf>
    <xf numFmtId="0" fontId="0" fillId="0" borderId="2" xfId="0" applyBorder="1" applyProtection="1">
      <protection locked="0"/>
    </xf>
    <xf numFmtId="3" fontId="15" fillId="15" borderId="16" xfId="0" applyNumberFormat="1" applyFont="1" applyFill="1" applyBorder="1" applyAlignment="1">
      <alignment horizontal="right" vertical="center" wrapText="1"/>
    </xf>
    <xf numFmtId="49" fontId="3" fillId="16" borderId="2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Alignment="1">
      <alignment horizontal="center" vertical="center" textRotation="90"/>
    </xf>
    <xf numFmtId="49" fontId="3" fillId="16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4" fillId="0" borderId="27" xfId="0" applyFont="1" applyBorder="1" applyAlignment="1" applyProtection="1">
      <alignment horizontal="center" vertical="center" wrapText="1"/>
      <protection locked="0"/>
    </xf>
    <xf numFmtId="0" fontId="14" fillId="0" borderId="28" xfId="0" applyFont="1" applyBorder="1" applyAlignment="1" applyProtection="1">
      <alignment horizontal="center" vertical="center" wrapText="1"/>
      <protection locked="0"/>
    </xf>
    <xf numFmtId="0" fontId="14" fillId="0" borderId="21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3" fontId="15" fillId="0" borderId="16" xfId="0" applyNumberFormat="1" applyFont="1" applyBorder="1" applyAlignment="1">
      <alignment horizontal="right" vertical="center"/>
    </xf>
    <xf numFmtId="3" fontId="15" fillId="0" borderId="15" xfId="0" applyNumberFormat="1" applyFont="1" applyBorder="1" applyAlignment="1">
      <alignment horizontal="right" vertical="center"/>
    </xf>
    <xf numFmtId="3" fontId="15" fillId="0" borderId="25" xfId="0" applyNumberFormat="1" applyFont="1" applyBorder="1" applyAlignment="1">
      <alignment horizontal="right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0" fontId="12" fillId="0" borderId="0" xfId="0" applyFont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0" borderId="18" xfId="0" applyNumberFormat="1" applyFont="1" applyBorder="1" applyAlignment="1">
      <alignment horizontal="right" vertical="center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24" xfId="0" applyFont="1" applyBorder="1" applyAlignment="1" applyProtection="1">
      <alignment horizontal="center" vertical="center" wrapText="1"/>
      <protection locked="0"/>
    </xf>
    <xf numFmtId="0" fontId="0" fillId="0" borderId="28" xfId="0" applyBorder="1"/>
    <xf numFmtId="0" fontId="0" fillId="0" borderId="21" xfId="0" applyBorder="1"/>
    <xf numFmtId="0" fontId="0" fillId="0" borderId="16" xfId="0" applyBorder="1"/>
    <xf numFmtId="0" fontId="0" fillId="0" borderId="24" xfId="0" applyBorder="1"/>
    <xf numFmtId="0" fontId="0" fillId="0" borderId="17" xfId="0" applyBorder="1"/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35" xfId="0" applyFont="1" applyBorder="1" applyAlignment="1" applyProtection="1">
      <alignment horizontal="center" vertical="center" wrapText="1"/>
      <protection locked="0"/>
    </xf>
    <xf numFmtId="0" fontId="15" fillId="0" borderId="24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15" fillId="0" borderId="22" xfId="0" applyFont="1" applyBorder="1" applyAlignment="1" applyProtection="1">
      <alignment horizontal="center" vertical="center" wrapText="1"/>
      <protection locked="0"/>
    </xf>
    <xf numFmtId="0" fontId="15" fillId="0" borderId="23" xfId="0" applyFont="1" applyBorder="1" applyAlignment="1" applyProtection="1">
      <alignment horizontal="center" vertical="center" wrapText="1"/>
      <protection locked="0"/>
    </xf>
    <xf numFmtId="0" fontId="15" fillId="0" borderId="18" xfId="0" applyFont="1" applyBorder="1" applyAlignment="1" applyProtection="1">
      <alignment horizontal="center" vertical="center" wrapText="1"/>
      <protection locked="0"/>
    </xf>
    <xf numFmtId="0" fontId="15" fillId="0" borderId="19" xfId="0" applyFont="1" applyBorder="1" applyAlignment="1" applyProtection="1">
      <alignment horizontal="center" vertical="center" wrapText="1"/>
      <protection locked="0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3" fontId="15" fillId="0" borderId="34" xfId="0" applyNumberFormat="1" applyFont="1" applyBorder="1" applyAlignment="1">
      <alignment horizontal="right" vertical="center"/>
    </xf>
    <xf numFmtId="3" fontId="15" fillId="0" borderId="21" xfId="0" applyNumberFormat="1" applyFont="1" applyBorder="1" applyAlignment="1">
      <alignment horizontal="right" vertical="center"/>
    </xf>
    <xf numFmtId="3" fontId="15" fillId="0" borderId="4" xfId="0" applyNumberFormat="1" applyFont="1" applyBorder="1" applyAlignment="1">
      <alignment horizontal="right" vertical="center"/>
    </xf>
    <xf numFmtId="49" fontId="11" fillId="0" borderId="26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left" vertical="center"/>
      <protection locked="0"/>
    </xf>
    <xf numFmtId="3" fontId="15" fillId="0" borderId="31" xfId="0" applyNumberFormat="1" applyFont="1" applyBorder="1" applyAlignment="1">
      <alignment horizontal="right" vertical="center"/>
    </xf>
    <xf numFmtId="0" fontId="0" fillId="0" borderId="4" xfId="0" applyBorder="1" applyAlignment="1" applyProtection="1">
      <alignment horizontal="left" wrapText="1" indent="1"/>
      <protection locked="0"/>
    </xf>
    <xf numFmtId="0" fontId="0" fillId="0" borderId="0" xfId="0" applyAlignment="1" applyProtection="1">
      <alignment horizontal="left" wrapText="1" indent="1"/>
      <protection locked="0"/>
    </xf>
    <xf numFmtId="0" fontId="11" fillId="0" borderId="4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5" fillId="0" borderId="31" xfId="0" applyFont="1" applyBorder="1" applyAlignment="1" applyProtection="1">
      <alignment vertical="center" wrapText="1"/>
      <protection locked="0"/>
    </xf>
    <xf numFmtId="0" fontId="15" fillId="0" borderId="26" xfId="0" applyFont="1" applyBorder="1" applyAlignment="1" applyProtection="1">
      <alignment vertical="center" wrapText="1"/>
      <protection locked="0"/>
    </xf>
    <xf numFmtId="0" fontId="15" fillId="0" borderId="4" xfId="0" applyFont="1" applyBorder="1" applyAlignment="1" applyProtection="1">
      <alignment vertical="center" wrapText="1"/>
      <protection locked="0"/>
    </xf>
    <xf numFmtId="0" fontId="15" fillId="0" borderId="0" xfId="0" applyFont="1" applyAlignment="1" applyProtection="1">
      <alignment vertical="center" wrapText="1"/>
      <protection locked="0"/>
    </xf>
    <xf numFmtId="0" fontId="15" fillId="0" borderId="4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right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showGridLines="0" zoomScale="80" zoomScaleNormal="80" workbookViewId="0">
      <selection activeCell="I23" sqref="I23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160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161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163" t="s">
        <v>7</v>
      </c>
      <c r="E3" s="163"/>
      <c r="F3" s="163"/>
      <c r="G3" s="163"/>
      <c r="H3" s="161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61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161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161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161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161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161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161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61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161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161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161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161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161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161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161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161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61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162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164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165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65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165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165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165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165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65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165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166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167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168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68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168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168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168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68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168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168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168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68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168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169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160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161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161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161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61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161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161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162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157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158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58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158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158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158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158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158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158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158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58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158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158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158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158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158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158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159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8"/>
  <sheetViews>
    <sheetView showGridLines="0" tabSelected="1" zoomScaleNormal="100" workbookViewId="0">
      <selection activeCell="P15" sqref="P15"/>
    </sheetView>
  </sheetViews>
  <sheetFormatPr defaultRowHeight="13.8" x14ac:dyDescent="0.3"/>
  <cols>
    <col min="1" max="1" width="43.21875" style="120" customWidth="1"/>
    <col min="2" max="2" width="10.21875" style="120" customWidth="1"/>
    <col min="3" max="3" width="7.5546875" style="120" bestFit="1" customWidth="1"/>
    <col min="4" max="4" width="6.5546875" style="120" bestFit="1" customWidth="1"/>
    <col min="5" max="8" width="7.5546875" style="120" bestFit="1" customWidth="1"/>
    <col min="9" max="10" width="9.109375" style="120" bestFit="1" customWidth="1"/>
    <col min="11" max="11" width="7.5546875" style="120" bestFit="1" customWidth="1"/>
    <col min="12" max="12" width="9.109375" style="120" customWidth="1"/>
    <col min="13" max="13" width="10.109375" style="120" customWidth="1"/>
    <col min="14" max="14" width="7.5546875" style="120" bestFit="1" customWidth="1"/>
    <col min="15" max="15" width="7.5546875" style="120" customWidth="1"/>
    <col min="16" max="16" width="10" style="120" customWidth="1"/>
    <col min="17" max="18" width="7.5546875" style="120" bestFit="1" customWidth="1"/>
    <col min="19" max="19" width="11" style="120" customWidth="1"/>
    <col min="20" max="20" width="12.77734375" style="120" customWidth="1"/>
    <col min="21" max="21" width="11.77734375" style="120" customWidth="1"/>
    <col min="22" max="22" width="6.44140625" style="120" customWidth="1"/>
    <col min="23" max="16384" width="8.88671875" style="120"/>
  </cols>
  <sheetData>
    <row r="1" spans="1:22" x14ac:dyDescent="0.3"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22" ht="18" x14ac:dyDescent="0.3">
      <c r="A2" s="181" t="s">
        <v>295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</row>
    <row r="3" spans="1:22" ht="18" x14ac:dyDescent="0.3">
      <c r="A3" s="181" t="s">
        <v>296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</row>
    <row r="4" spans="1:22" x14ac:dyDescent="0.3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</row>
    <row r="5" spans="1:22" s="124" customFormat="1" ht="15" thickBot="1" x14ac:dyDescent="0.35">
      <c r="A5" s="147" t="s">
        <v>170</v>
      </c>
      <c r="B5" s="147"/>
      <c r="C5" s="147"/>
      <c r="D5" s="147"/>
      <c r="E5" s="147"/>
      <c r="F5" s="147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50"/>
      <c r="T5" s="150"/>
      <c r="U5" s="151" t="s">
        <v>286</v>
      </c>
    </row>
    <row r="6" spans="1:22" s="124" customFormat="1" ht="14.4" customHeight="1" x14ac:dyDescent="0.3">
      <c r="A6" s="198" t="s">
        <v>279</v>
      </c>
      <c r="B6" s="201" t="s">
        <v>283</v>
      </c>
      <c r="C6" s="170" t="s">
        <v>288</v>
      </c>
      <c r="D6" s="171"/>
      <c r="E6" s="204" t="s">
        <v>289</v>
      </c>
      <c r="F6" s="205"/>
      <c r="G6" s="170" t="s">
        <v>290</v>
      </c>
      <c r="H6" s="187"/>
      <c r="I6" s="170" t="s">
        <v>276</v>
      </c>
      <c r="J6" s="184"/>
      <c r="K6" s="184"/>
      <c r="L6" s="171"/>
      <c r="M6" s="170" t="s">
        <v>291</v>
      </c>
      <c r="N6" s="171"/>
      <c r="O6" s="170" t="s">
        <v>293</v>
      </c>
      <c r="P6" s="171"/>
      <c r="Q6" s="170" t="s">
        <v>285</v>
      </c>
      <c r="R6" s="184"/>
      <c r="S6" s="192" t="s">
        <v>171</v>
      </c>
      <c r="T6" s="193"/>
      <c r="U6" s="193"/>
      <c r="V6" s="155"/>
    </row>
    <row r="7" spans="1:22" s="124" customFormat="1" ht="10.199999999999999" customHeight="1" x14ac:dyDescent="0.3">
      <c r="A7" s="199"/>
      <c r="B7" s="202"/>
      <c r="C7" s="172"/>
      <c r="D7" s="173"/>
      <c r="E7" s="206"/>
      <c r="F7" s="207"/>
      <c r="G7" s="188"/>
      <c r="H7" s="189"/>
      <c r="I7" s="174"/>
      <c r="J7" s="186"/>
      <c r="K7" s="186"/>
      <c r="L7" s="175"/>
      <c r="M7" s="172"/>
      <c r="N7" s="173"/>
      <c r="O7" s="172"/>
      <c r="P7" s="173"/>
      <c r="Q7" s="172"/>
      <c r="R7" s="185"/>
      <c r="S7" s="194"/>
      <c r="T7" s="195"/>
      <c r="U7" s="195"/>
    </row>
    <row r="8" spans="1:22" s="124" customFormat="1" ht="67.650000000000006" customHeight="1" x14ac:dyDescent="0.3">
      <c r="A8" s="199"/>
      <c r="B8" s="194"/>
      <c r="C8" s="174"/>
      <c r="D8" s="175"/>
      <c r="E8" s="208"/>
      <c r="F8" s="209"/>
      <c r="G8" s="190"/>
      <c r="H8" s="191"/>
      <c r="I8" s="174" t="s">
        <v>284</v>
      </c>
      <c r="J8" s="175"/>
      <c r="K8" s="174" t="s">
        <v>282</v>
      </c>
      <c r="L8" s="173"/>
      <c r="M8" s="174"/>
      <c r="N8" s="175"/>
      <c r="O8" s="174"/>
      <c r="P8" s="175"/>
      <c r="Q8" s="174"/>
      <c r="R8" s="186"/>
      <c r="S8" s="194"/>
      <c r="T8" s="195"/>
      <c r="U8" s="195"/>
    </row>
    <row r="9" spans="1:22" s="124" customFormat="1" ht="14.4" x14ac:dyDescent="0.3">
      <c r="A9" s="200"/>
      <c r="B9" s="203"/>
      <c r="C9" s="125">
        <v>1</v>
      </c>
      <c r="D9" s="125">
        <v>2</v>
      </c>
      <c r="E9" s="125">
        <v>1</v>
      </c>
      <c r="F9" s="125">
        <v>2</v>
      </c>
      <c r="G9" s="126">
        <v>1</v>
      </c>
      <c r="H9" s="126">
        <v>2</v>
      </c>
      <c r="I9" s="125">
        <v>1</v>
      </c>
      <c r="J9" s="125">
        <v>2</v>
      </c>
      <c r="K9" s="127">
        <v>1</v>
      </c>
      <c r="L9" s="126">
        <v>2</v>
      </c>
      <c r="M9" s="128">
        <v>1</v>
      </c>
      <c r="N9" s="126">
        <v>2</v>
      </c>
      <c r="O9" s="126"/>
      <c r="P9" s="126"/>
      <c r="Q9" s="126">
        <v>1</v>
      </c>
      <c r="R9" s="127">
        <v>2</v>
      </c>
      <c r="S9" s="196"/>
      <c r="T9" s="197"/>
      <c r="U9" s="197"/>
    </row>
    <row r="10" spans="1:22" s="124" customFormat="1" ht="14.4" x14ac:dyDescent="0.3">
      <c r="A10" s="213" t="s">
        <v>172</v>
      </c>
      <c r="B10" s="215">
        <f>SUM(B12,B20,B29,B34,B40,B47,B54,B61,B66,B73,B83,B90,B105)</f>
        <v>4398757</v>
      </c>
      <c r="C10" s="178">
        <f>SUM(C12,C20,C29,C34,C40,C47,C54,C61,C66,C73,C83,C90,C105)</f>
        <v>152227</v>
      </c>
      <c r="D10" s="178">
        <f>SUM(D12,D20,D29,D34,D40,D47,D54,D61,D66,D73,D83,D90,D105)</f>
        <v>50273.563000000002</v>
      </c>
      <c r="E10" s="178">
        <f>SUM(E12,E20,E29,E34,E40,E47,E54,E61,E66,E73,E83,E90,E105)</f>
        <v>227963</v>
      </c>
      <c r="F10" s="178">
        <f t="shared" ref="F10:R10" si="0">SUM(F12,F20,F29,F34,F40,F47,F54,F61,F66,F73,F83,F90,F105)</f>
        <v>86685.349000000002</v>
      </c>
      <c r="G10" s="178">
        <f>SUM(G12,G20,G29,G34,G40,G47,G54,G61,G66,G73,G83,G90,G105)</f>
        <v>276497</v>
      </c>
      <c r="H10" s="178">
        <f t="shared" si="0"/>
        <v>109787.24299999999</v>
      </c>
      <c r="I10" s="178">
        <f t="shared" si="0"/>
        <v>1631596</v>
      </c>
      <c r="J10" s="178">
        <f t="shared" si="0"/>
        <v>1872594.26</v>
      </c>
      <c r="K10" s="178">
        <f t="shared" si="0"/>
        <v>407383</v>
      </c>
      <c r="L10" s="178">
        <f t="shared" si="0"/>
        <v>432533.52299999993</v>
      </c>
      <c r="M10" s="178">
        <f t="shared" si="0"/>
        <v>1081829</v>
      </c>
      <c r="N10" s="210">
        <f t="shared" si="0"/>
        <v>413553.62699999998</v>
      </c>
      <c r="O10" s="178">
        <f t="shared" ref="O10:P10" si="1">SUM(O12,O20,O29,O34,O40,O47,O54,O61,O66,O73,O83,O90,O105)</f>
        <v>328058</v>
      </c>
      <c r="P10" s="179">
        <f t="shared" si="1"/>
        <v>1304871.1529999999</v>
      </c>
      <c r="Q10" s="178">
        <f t="shared" si="0"/>
        <v>293204</v>
      </c>
      <c r="R10" s="210">
        <f t="shared" si="0"/>
        <v>151650.55700000003</v>
      </c>
      <c r="S10" s="222" t="s">
        <v>173</v>
      </c>
      <c r="T10" s="223"/>
      <c r="U10" s="223"/>
    </row>
    <row r="11" spans="1:22" s="124" customFormat="1" ht="10.050000000000001" customHeight="1" x14ac:dyDescent="0.3">
      <c r="A11" s="214"/>
      <c r="B11" s="212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211"/>
      <c r="O11" s="177"/>
      <c r="P11" s="176"/>
      <c r="Q11" s="177"/>
      <c r="R11" s="211"/>
      <c r="S11" s="224"/>
      <c r="T11" s="225"/>
      <c r="U11" s="225"/>
    </row>
    <row r="12" spans="1:22" s="124" customFormat="1" ht="14.4" x14ac:dyDescent="0.3">
      <c r="A12" s="182" t="s">
        <v>174</v>
      </c>
      <c r="B12" s="212">
        <f>SUM(B14:B19)</f>
        <v>761091</v>
      </c>
      <c r="C12" s="177">
        <f>SUM(C14:C19)</f>
        <v>8563</v>
      </c>
      <c r="D12" s="180">
        <f>SUM(D14:D19)</f>
        <v>3026.3289999999997</v>
      </c>
      <c r="E12" s="177">
        <f t="shared" ref="E12:R12" si="2">SUM(E14:E19)</f>
        <v>2402</v>
      </c>
      <c r="F12" s="180">
        <f t="shared" si="2"/>
        <v>893.59400000000005</v>
      </c>
      <c r="G12" s="177">
        <f t="shared" si="2"/>
        <v>10294</v>
      </c>
      <c r="H12" s="180">
        <f t="shared" si="2"/>
        <v>3879.116</v>
      </c>
      <c r="I12" s="177">
        <f t="shared" si="2"/>
        <v>266434</v>
      </c>
      <c r="J12" s="180">
        <f t="shared" si="2"/>
        <v>321061.83400000003</v>
      </c>
      <c r="K12" s="177">
        <f t="shared" si="2"/>
        <v>52361</v>
      </c>
      <c r="L12" s="180">
        <f t="shared" si="2"/>
        <v>49972.290000000008</v>
      </c>
      <c r="M12" s="177">
        <f t="shared" si="2"/>
        <v>323595</v>
      </c>
      <c r="N12" s="180">
        <f t="shared" si="2"/>
        <v>119612.01800000001</v>
      </c>
      <c r="O12" s="177">
        <f t="shared" ref="O12:P12" si="3">SUM(O14:O19)</f>
        <v>84034</v>
      </c>
      <c r="P12" s="180">
        <f t="shared" si="3"/>
        <v>218172.07899999997</v>
      </c>
      <c r="Q12" s="177">
        <f t="shared" si="2"/>
        <v>13408</v>
      </c>
      <c r="R12" s="180">
        <f t="shared" si="2"/>
        <v>9412.7150000000001</v>
      </c>
      <c r="S12" s="226" t="s">
        <v>175</v>
      </c>
      <c r="T12" s="227"/>
      <c r="U12" s="227"/>
      <c r="V12" s="148"/>
    </row>
    <row r="13" spans="1:22" s="124" customFormat="1" ht="14.4" x14ac:dyDescent="0.3">
      <c r="A13" s="182"/>
      <c r="B13" s="212"/>
      <c r="C13" s="177"/>
      <c r="D13" s="180"/>
      <c r="E13" s="177"/>
      <c r="F13" s="180"/>
      <c r="G13" s="177"/>
      <c r="H13" s="180"/>
      <c r="I13" s="177"/>
      <c r="J13" s="180"/>
      <c r="K13" s="177"/>
      <c r="L13" s="180"/>
      <c r="M13" s="177"/>
      <c r="N13" s="180"/>
      <c r="O13" s="177"/>
      <c r="P13" s="180"/>
      <c r="Q13" s="177"/>
      <c r="R13" s="180"/>
      <c r="S13" s="226"/>
      <c r="T13" s="227"/>
      <c r="U13" s="227"/>
      <c r="V13" s="148"/>
    </row>
    <row r="14" spans="1:22" s="124" customFormat="1" ht="14.4" x14ac:dyDescent="0.3">
      <c r="A14" s="129" t="s">
        <v>1</v>
      </c>
      <c r="B14" s="130">
        <f>SUM(C14,E14,G14,I14,K14,M14,O14,Q14)</f>
        <v>194372</v>
      </c>
      <c r="C14" s="131">
        <v>670</v>
      </c>
      <c r="D14" s="132">
        <v>268.04000000000002</v>
      </c>
      <c r="E14" s="131">
        <v>563</v>
      </c>
      <c r="F14" s="132">
        <v>214.02</v>
      </c>
      <c r="G14" s="131">
        <v>5601</v>
      </c>
      <c r="H14" s="132">
        <v>2072.61</v>
      </c>
      <c r="I14" s="131">
        <v>20605</v>
      </c>
      <c r="J14" s="132">
        <v>18641.884999999998</v>
      </c>
      <c r="K14" s="131">
        <v>25480</v>
      </c>
      <c r="L14" s="132">
        <v>20437.514999999999</v>
      </c>
      <c r="M14" s="131">
        <v>131660</v>
      </c>
      <c r="N14" s="132">
        <v>52733.49</v>
      </c>
      <c r="O14" s="131">
        <v>7439</v>
      </c>
      <c r="P14" s="132">
        <v>8895.3469999999998</v>
      </c>
      <c r="Q14" s="131">
        <v>2354</v>
      </c>
      <c r="R14" s="132">
        <v>1187.2650000000001</v>
      </c>
      <c r="S14" s="152" t="s">
        <v>176</v>
      </c>
    </row>
    <row r="15" spans="1:22" s="124" customFormat="1" ht="14.4" x14ac:dyDescent="0.3">
      <c r="A15" s="129" t="s">
        <v>4</v>
      </c>
      <c r="B15" s="130">
        <f t="shared" ref="B15:B19" si="4">SUM(C15,E15,G15,I15,K15,M15,O15,Q15)</f>
        <v>126818</v>
      </c>
      <c r="C15" s="131">
        <v>3217</v>
      </c>
      <c r="D15" s="132">
        <v>1188.8599999999999</v>
      </c>
      <c r="E15" s="131">
        <v>989</v>
      </c>
      <c r="F15" s="132">
        <v>375.71600000000001</v>
      </c>
      <c r="G15" s="131">
        <v>883</v>
      </c>
      <c r="H15" s="132">
        <v>327.08</v>
      </c>
      <c r="I15" s="131">
        <v>53853</v>
      </c>
      <c r="J15" s="132">
        <v>66790.513000000006</v>
      </c>
      <c r="K15" s="131">
        <v>8652</v>
      </c>
      <c r="L15" s="132">
        <v>8786.8709999999992</v>
      </c>
      <c r="M15" s="131">
        <v>33967</v>
      </c>
      <c r="N15" s="132">
        <v>13504.96</v>
      </c>
      <c r="O15" s="131">
        <v>20123</v>
      </c>
      <c r="P15" s="132">
        <v>72887.899999999994</v>
      </c>
      <c r="Q15" s="131">
        <v>5134</v>
      </c>
      <c r="R15" s="132">
        <v>3348.78</v>
      </c>
      <c r="S15" s="152" t="s">
        <v>177</v>
      </c>
    </row>
    <row r="16" spans="1:22" s="124" customFormat="1" ht="14.4" x14ac:dyDescent="0.3">
      <c r="A16" s="129" t="s">
        <v>6</v>
      </c>
      <c r="B16" s="130">
        <f>SUM(C16,E16,G16,I16,K16,M16,O16,Q16)</f>
        <v>336611</v>
      </c>
      <c r="C16" s="131">
        <v>3123</v>
      </c>
      <c r="D16" s="132">
        <v>1059.402</v>
      </c>
      <c r="E16" s="131">
        <v>360</v>
      </c>
      <c r="F16" s="132">
        <v>115.77800000000001</v>
      </c>
      <c r="G16" s="131">
        <v>2102</v>
      </c>
      <c r="H16" s="132">
        <v>690.79200000000003</v>
      </c>
      <c r="I16" s="131">
        <v>160652</v>
      </c>
      <c r="J16" s="132">
        <v>203036.731</v>
      </c>
      <c r="K16" s="131">
        <v>5206</v>
      </c>
      <c r="L16" s="132">
        <v>6555.16</v>
      </c>
      <c r="M16" s="131">
        <v>126227</v>
      </c>
      <c r="N16" s="132">
        <v>40373.031000000003</v>
      </c>
      <c r="O16" s="131">
        <v>36087</v>
      </c>
      <c r="P16" s="132">
        <v>71354.399999999994</v>
      </c>
      <c r="Q16" s="131">
        <v>2854</v>
      </c>
      <c r="R16" s="132">
        <v>2222.645</v>
      </c>
      <c r="S16" s="152" t="s">
        <v>178</v>
      </c>
    </row>
    <row r="17" spans="1:21" s="124" customFormat="1" ht="14.4" x14ac:dyDescent="0.3">
      <c r="A17" s="129" t="s">
        <v>9</v>
      </c>
      <c r="B17" s="130">
        <f t="shared" si="4"/>
        <v>68</v>
      </c>
      <c r="C17" s="131">
        <v>20</v>
      </c>
      <c r="D17" s="132">
        <v>6</v>
      </c>
      <c r="E17" s="131">
        <v>10</v>
      </c>
      <c r="F17" s="132">
        <v>4</v>
      </c>
      <c r="G17" s="131">
        <v>10</v>
      </c>
      <c r="H17" s="132">
        <v>5</v>
      </c>
      <c r="I17" s="131" t="s">
        <v>287</v>
      </c>
      <c r="J17" s="132" t="s">
        <v>287</v>
      </c>
      <c r="K17" s="131">
        <v>7</v>
      </c>
      <c r="L17" s="132">
        <v>8.26</v>
      </c>
      <c r="M17" s="131">
        <v>11</v>
      </c>
      <c r="N17" s="132">
        <v>5.5</v>
      </c>
      <c r="O17" s="131" t="s">
        <v>287</v>
      </c>
      <c r="P17" s="132" t="s">
        <v>287</v>
      </c>
      <c r="Q17" s="131">
        <v>10</v>
      </c>
      <c r="R17" s="132">
        <v>10</v>
      </c>
      <c r="S17" s="152" t="s">
        <v>179</v>
      </c>
    </row>
    <row r="18" spans="1:21" s="124" customFormat="1" ht="14.4" x14ac:dyDescent="0.3">
      <c r="A18" s="129" t="s">
        <v>12</v>
      </c>
      <c r="B18" s="130">
        <f t="shared" si="4"/>
        <v>38178</v>
      </c>
      <c r="C18" s="131">
        <v>1366</v>
      </c>
      <c r="D18" s="132">
        <v>450.58600000000001</v>
      </c>
      <c r="E18" s="131">
        <v>430</v>
      </c>
      <c r="F18" s="132">
        <v>170.364</v>
      </c>
      <c r="G18" s="131">
        <v>1457</v>
      </c>
      <c r="H18" s="132">
        <v>674.77800000000002</v>
      </c>
      <c r="I18" s="131">
        <v>12600</v>
      </c>
      <c r="J18" s="132">
        <v>13164.37</v>
      </c>
      <c r="K18" s="131">
        <v>7488</v>
      </c>
      <c r="L18" s="132">
        <v>8852.9989999999998</v>
      </c>
      <c r="M18" s="131">
        <v>4251</v>
      </c>
      <c r="N18" s="132">
        <v>2232.759</v>
      </c>
      <c r="O18" s="131">
        <v>8490</v>
      </c>
      <c r="P18" s="132">
        <v>30560.117999999999</v>
      </c>
      <c r="Q18" s="131">
        <v>2096</v>
      </c>
      <c r="R18" s="132">
        <v>1550.03</v>
      </c>
      <c r="S18" s="152" t="s">
        <v>180</v>
      </c>
    </row>
    <row r="19" spans="1:21" s="124" customFormat="1" ht="14.4" x14ac:dyDescent="0.3">
      <c r="A19" s="129" t="s">
        <v>14</v>
      </c>
      <c r="B19" s="130">
        <f t="shared" si="4"/>
        <v>65044</v>
      </c>
      <c r="C19" s="131">
        <v>167</v>
      </c>
      <c r="D19" s="132">
        <v>53.441000000000003</v>
      </c>
      <c r="E19" s="131">
        <v>50</v>
      </c>
      <c r="F19" s="132">
        <v>13.715999999999999</v>
      </c>
      <c r="G19" s="131">
        <v>241</v>
      </c>
      <c r="H19" s="132">
        <v>108.85599999999999</v>
      </c>
      <c r="I19" s="131">
        <v>18724</v>
      </c>
      <c r="J19" s="132">
        <v>19428.334999999999</v>
      </c>
      <c r="K19" s="131">
        <v>5528</v>
      </c>
      <c r="L19" s="132">
        <v>5331.4849999999997</v>
      </c>
      <c r="M19" s="131">
        <v>27479</v>
      </c>
      <c r="N19" s="132">
        <v>10762.278</v>
      </c>
      <c r="O19" s="131">
        <v>11895</v>
      </c>
      <c r="P19" s="132">
        <v>34474.313999999998</v>
      </c>
      <c r="Q19" s="131">
        <v>960</v>
      </c>
      <c r="R19" s="132">
        <v>1093.9949999999999</v>
      </c>
      <c r="S19" s="152" t="s">
        <v>181</v>
      </c>
    </row>
    <row r="20" spans="1:21" s="124" customFormat="1" ht="14.4" x14ac:dyDescent="0.3">
      <c r="A20" s="182" t="s">
        <v>182</v>
      </c>
      <c r="B20" s="183">
        <f t="shared" ref="B20:G20" si="5">SUM(B22:B28)</f>
        <v>692578</v>
      </c>
      <c r="C20" s="177">
        <f t="shared" si="5"/>
        <v>26762</v>
      </c>
      <c r="D20" s="177">
        <f>SUM(D22:D28)</f>
        <v>8576.5360000000001</v>
      </c>
      <c r="E20" s="177">
        <f t="shared" si="5"/>
        <v>14840</v>
      </c>
      <c r="F20" s="177">
        <f t="shared" si="5"/>
        <v>4848.7539999999999</v>
      </c>
      <c r="G20" s="177">
        <f t="shared" si="5"/>
        <v>50579</v>
      </c>
      <c r="H20" s="177">
        <f t="shared" ref="H20:R20" si="6">SUM(H22:H28)</f>
        <v>18372.201000000001</v>
      </c>
      <c r="I20" s="177">
        <f t="shared" si="6"/>
        <v>382950</v>
      </c>
      <c r="J20" s="177">
        <f t="shared" si="6"/>
        <v>411578.97899999993</v>
      </c>
      <c r="K20" s="177">
        <f t="shared" si="6"/>
        <v>79071</v>
      </c>
      <c r="L20" s="177">
        <f t="shared" si="6"/>
        <v>74560.721999999994</v>
      </c>
      <c r="M20" s="177">
        <f t="shared" si="6"/>
        <v>33254</v>
      </c>
      <c r="N20" s="211">
        <f t="shared" si="6"/>
        <v>13166.466</v>
      </c>
      <c r="O20" s="177">
        <f t="shared" ref="O20:P20" si="7">SUM(O22:O28)</f>
        <v>67312</v>
      </c>
      <c r="P20" s="176">
        <f t="shared" si="7"/>
        <v>315691.95300000004</v>
      </c>
      <c r="Q20" s="177">
        <f t="shared" si="6"/>
        <v>37810</v>
      </c>
      <c r="R20" s="211">
        <f t="shared" si="6"/>
        <v>26294.832999999999</v>
      </c>
      <c r="S20" s="228" t="s">
        <v>183</v>
      </c>
      <c r="T20" s="229"/>
      <c r="U20" s="229"/>
    </row>
    <row r="21" spans="1:21" s="124" customFormat="1" ht="14.4" x14ac:dyDescent="0.3">
      <c r="A21" s="182"/>
      <c r="B21" s="183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211"/>
      <c r="O21" s="177"/>
      <c r="P21" s="176"/>
      <c r="Q21" s="177"/>
      <c r="R21" s="211"/>
      <c r="S21" s="228"/>
      <c r="T21" s="229"/>
      <c r="U21" s="229"/>
    </row>
    <row r="22" spans="1:21" s="124" customFormat="1" ht="14.4" x14ac:dyDescent="0.3">
      <c r="A22" s="129" t="s">
        <v>16</v>
      </c>
      <c r="B22" s="130">
        <f t="shared" ref="B22:B28" si="8">SUM(C22,E22,G22,I22,K22,M22,O22,Q22)</f>
        <v>130839</v>
      </c>
      <c r="C22" s="131">
        <v>3134</v>
      </c>
      <c r="D22" s="132">
        <v>843.25699999999995</v>
      </c>
      <c r="E22" s="131">
        <v>826</v>
      </c>
      <c r="F22" s="132">
        <v>251.43199999999999</v>
      </c>
      <c r="G22" s="131">
        <v>3258</v>
      </c>
      <c r="H22" s="132">
        <v>1169.01</v>
      </c>
      <c r="I22" s="131">
        <v>80384</v>
      </c>
      <c r="J22" s="132">
        <v>83475.490999999995</v>
      </c>
      <c r="K22" s="131">
        <v>9231</v>
      </c>
      <c r="L22" s="132">
        <v>6605.6689999999999</v>
      </c>
      <c r="M22" s="131">
        <v>6358</v>
      </c>
      <c r="N22" s="132">
        <v>1790.557</v>
      </c>
      <c r="O22" s="131">
        <v>17513</v>
      </c>
      <c r="P22" s="132">
        <v>101124.63400000001</v>
      </c>
      <c r="Q22" s="131">
        <v>10135</v>
      </c>
      <c r="R22" s="132">
        <v>4200.0709999999999</v>
      </c>
      <c r="S22" s="152" t="s">
        <v>184</v>
      </c>
    </row>
    <row r="23" spans="1:21" s="124" customFormat="1" ht="14.4" x14ac:dyDescent="0.3">
      <c r="A23" s="129" t="s">
        <v>18</v>
      </c>
      <c r="B23" s="130">
        <f t="shared" si="8"/>
        <v>41124</v>
      </c>
      <c r="C23" s="131">
        <v>4323</v>
      </c>
      <c r="D23" s="132">
        <v>1285.9159999999999</v>
      </c>
      <c r="E23" s="131">
        <v>423</v>
      </c>
      <c r="F23" s="132">
        <v>137.70500000000001</v>
      </c>
      <c r="G23" s="131">
        <v>420</v>
      </c>
      <c r="H23" s="132">
        <v>168.21</v>
      </c>
      <c r="I23" s="131">
        <v>4598</v>
      </c>
      <c r="J23" s="132">
        <v>5369.7920000000004</v>
      </c>
      <c r="K23" s="131">
        <v>7465</v>
      </c>
      <c r="L23" s="132">
        <v>7053.4</v>
      </c>
      <c r="M23" s="131">
        <v>7041</v>
      </c>
      <c r="N23" s="132">
        <v>2427.89</v>
      </c>
      <c r="O23" s="131">
        <v>16100</v>
      </c>
      <c r="P23" s="132">
        <v>66900.97</v>
      </c>
      <c r="Q23" s="131">
        <v>754</v>
      </c>
      <c r="R23" s="132">
        <v>546.28</v>
      </c>
      <c r="S23" s="152" t="s">
        <v>185</v>
      </c>
    </row>
    <row r="24" spans="1:21" s="124" customFormat="1" ht="14.4" x14ac:dyDescent="0.3">
      <c r="A24" s="129" t="s">
        <v>20</v>
      </c>
      <c r="B24" s="130">
        <f t="shared" si="8"/>
        <v>139891</v>
      </c>
      <c r="C24" s="131">
        <v>10218</v>
      </c>
      <c r="D24" s="132">
        <v>3397.866</v>
      </c>
      <c r="E24" s="131">
        <v>2551</v>
      </c>
      <c r="F24" s="132">
        <v>755.73</v>
      </c>
      <c r="G24" s="131">
        <v>8578</v>
      </c>
      <c r="H24" s="132">
        <v>3148.9250000000002</v>
      </c>
      <c r="I24" s="131">
        <v>97163</v>
      </c>
      <c r="J24" s="132">
        <v>79715.778999999995</v>
      </c>
      <c r="K24" s="131">
        <v>3174</v>
      </c>
      <c r="L24" s="132">
        <v>2941.9380000000001</v>
      </c>
      <c r="M24" s="131">
        <v>1864</v>
      </c>
      <c r="N24" s="132">
        <v>911.84900000000005</v>
      </c>
      <c r="O24" s="131">
        <v>7683</v>
      </c>
      <c r="P24" s="132">
        <v>23572.002</v>
      </c>
      <c r="Q24" s="131">
        <v>8660</v>
      </c>
      <c r="R24" s="132">
        <v>3014.42</v>
      </c>
      <c r="S24" s="152" t="s">
        <v>186</v>
      </c>
    </row>
    <row r="25" spans="1:21" s="124" customFormat="1" ht="14.4" x14ac:dyDescent="0.3">
      <c r="A25" s="129" t="s">
        <v>22</v>
      </c>
      <c r="B25" s="130">
        <f t="shared" si="8"/>
        <v>66694</v>
      </c>
      <c r="C25" s="131">
        <v>3270</v>
      </c>
      <c r="D25" s="132">
        <v>1336.07</v>
      </c>
      <c r="E25" s="131">
        <v>1029</v>
      </c>
      <c r="F25" s="132">
        <v>413.93200000000002</v>
      </c>
      <c r="G25" s="131">
        <v>653</v>
      </c>
      <c r="H25" s="132">
        <v>264.82499999999999</v>
      </c>
      <c r="I25" s="131">
        <v>22001</v>
      </c>
      <c r="J25" s="132">
        <v>31392.05</v>
      </c>
      <c r="K25" s="131">
        <v>19039</v>
      </c>
      <c r="L25" s="132">
        <v>26780.584999999999</v>
      </c>
      <c r="M25" s="131">
        <v>4233</v>
      </c>
      <c r="N25" s="132">
        <v>2942.16</v>
      </c>
      <c r="O25" s="131">
        <v>14934</v>
      </c>
      <c r="P25" s="132">
        <v>69810.59</v>
      </c>
      <c r="Q25" s="131">
        <v>1535</v>
      </c>
      <c r="R25" s="132">
        <v>6696.3249999999998</v>
      </c>
      <c r="S25" s="152" t="s">
        <v>187</v>
      </c>
    </row>
    <row r="26" spans="1:21" s="124" customFormat="1" ht="14.4" x14ac:dyDescent="0.3">
      <c r="A26" s="129" t="s">
        <v>24</v>
      </c>
      <c r="B26" s="130">
        <f t="shared" si="8"/>
        <v>67554</v>
      </c>
      <c r="C26" s="131">
        <v>2114</v>
      </c>
      <c r="D26" s="132">
        <v>725.60599999999999</v>
      </c>
      <c r="E26" s="131">
        <v>4900</v>
      </c>
      <c r="F26" s="132">
        <v>1664.7180000000001</v>
      </c>
      <c r="G26" s="131">
        <v>4982</v>
      </c>
      <c r="H26" s="132">
        <v>2272.6590000000001</v>
      </c>
      <c r="I26" s="131">
        <v>22088</v>
      </c>
      <c r="J26" s="132">
        <v>28244.812999999998</v>
      </c>
      <c r="K26" s="131">
        <v>13458</v>
      </c>
      <c r="L26" s="132">
        <v>5095.45</v>
      </c>
      <c r="M26" s="131">
        <v>6841</v>
      </c>
      <c r="N26" s="132">
        <v>2745.84</v>
      </c>
      <c r="O26" s="131">
        <v>6703</v>
      </c>
      <c r="P26" s="132">
        <v>31023.4</v>
      </c>
      <c r="Q26" s="131">
        <v>6468</v>
      </c>
      <c r="R26" s="132">
        <v>4913.6149999999998</v>
      </c>
      <c r="S26" s="152" t="s">
        <v>188</v>
      </c>
    </row>
    <row r="27" spans="1:21" s="124" customFormat="1" ht="14.4" x14ac:dyDescent="0.3">
      <c r="A27" s="129" t="s">
        <v>27</v>
      </c>
      <c r="B27" s="130">
        <f t="shared" si="8"/>
        <v>180995</v>
      </c>
      <c r="C27" s="131">
        <v>1163</v>
      </c>
      <c r="D27" s="132">
        <v>458.971</v>
      </c>
      <c r="E27" s="131">
        <v>345</v>
      </c>
      <c r="F27" s="132">
        <v>152.751</v>
      </c>
      <c r="G27" s="131">
        <v>8649</v>
      </c>
      <c r="H27" s="132">
        <v>3718.7579999999998</v>
      </c>
      <c r="I27" s="131">
        <v>131006</v>
      </c>
      <c r="J27" s="132">
        <v>175541.008</v>
      </c>
      <c r="K27" s="131">
        <v>22497</v>
      </c>
      <c r="L27" s="132">
        <v>24383.9</v>
      </c>
      <c r="M27" s="131">
        <v>5051</v>
      </c>
      <c r="N27" s="132">
        <v>2062.355</v>
      </c>
      <c r="O27" s="131">
        <v>4364</v>
      </c>
      <c r="P27" s="132">
        <v>23180.857</v>
      </c>
      <c r="Q27" s="131">
        <v>7920</v>
      </c>
      <c r="R27" s="132">
        <v>6166.0029999999997</v>
      </c>
      <c r="S27" s="152" t="s">
        <v>189</v>
      </c>
    </row>
    <row r="28" spans="1:21" s="124" customFormat="1" ht="14.4" x14ac:dyDescent="0.3">
      <c r="A28" s="129" t="s">
        <v>29</v>
      </c>
      <c r="B28" s="130">
        <f t="shared" si="8"/>
        <v>65481</v>
      </c>
      <c r="C28" s="131">
        <v>2540</v>
      </c>
      <c r="D28" s="132">
        <v>528.85</v>
      </c>
      <c r="E28" s="131">
        <v>4766</v>
      </c>
      <c r="F28" s="132">
        <v>1472.4860000000001</v>
      </c>
      <c r="G28" s="131">
        <v>24039</v>
      </c>
      <c r="H28" s="132">
        <v>7629.8140000000003</v>
      </c>
      <c r="I28" s="131">
        <v>25710</v>
      </c>
      <c r="J28" s="132">
        <v>7840.0460000000003</v>
      </c>
      <c r="K28" s="131">
        <v>4207</v>
      </c>
      <c r="L28" s="132">
        <v>1699.78</v>
      </c>
      <c r="M28" s="131">
        <v>1866</v>
      </c>
      <c r="N28" s="132">
        <v>285.815</v>
      </c>
      <c r="O28" s="131">
        <v>15</v>
      </c>
      <c r="P28" s="132">
        <v>79.5</v>
      </c>
      <c r="Q28" s="131">
        <v>2338</v>
      </c>
      <c r="R28" s="132">
        <v>758.11900000000003</v>
      </c>
      <c r="S28" s="152" t="s">
        <v>190</v>
      </c>
    </row>
    <row r="29" spans="1:21" s="136" customFormat="1" ht="19.95" customHeight="1" x14ac:dyDescent="0.3">
      <c r="A29" s="133" t="s">
        <v>280</v>
      </c>
      <c r="B29" s="134">
        <f>SUM(B30:B33)</f>
        <v>625164</v>
      </c>
      <c r="C29" s="135">
        <f>SUM(C30:C33)</f>
        <v>37932</v>
      </c>
      <c r="D29" s="135">
        <f t="shared" ref="D29:R29" si="9">SUM(D30:D33)</f>
        <v>11422.338000000002</v>
      </c>
      <c r="E29" s="135">
        <f t="shared" si="9"/>
        <v>7153</v>
      </c>
      <c r="F29" s="135">
        <f t="shared" si="9"/>
        <v>2150.7559999999999</v>
      </c>
      <c r="G29" s="135">
        <f t="shared" si="9"/>
        <v>13913</v>
      </c>
      <c r="H29" s="135">
        <f t="shared" si="9"/>
        <v>4833.0709999999999</v>
      </c>
      <c r="I29" s="135">
        <f t="shared" si="9"/>
        <v>288287</v>
      </c>
      <c r="J29" s="135">
        <f t="shared" si="9"/>
        <v>239301.41500000001</v>
      </c>
      <c r="K29" s="135">
        <f t="shared" si="9"/>
        <v>23183</v>
      </c>
      <c r="L29" s="135">
        <f t="shared" si="9"/>
        <v>16337.945</v>
      </c>
      <c r="M29" s="135">
        <f t="shared" si="9"/>
        <v>191708</v>
      </c>
      <c r="N29" s="149">
        <f t="shared" si="9"/>
        <v>63454.945999999996</v>
      </c>
      <c r="O29" s="135">
        <f t="shared" si="9"/>
        <v>42182</v>
      </c>
      <c r="P29" s="156">
        <f t="shared" si="9"/>
        <v>204720.766</v>
      </c>
      <c r="Q29" s="135">
        <f t="shared" si="9"/>
        <v>20806</v>
      </c>
      <c r="R29" s="149">
        <f t="shared" si="9"/>
        <v>8072.5669999999991</v>
      </c>
      <c r="S29" s="153" t="s">
        <v>281</v>
      </c>
    </row>
    <row r="30" spans="1:21" s="124" customFormat="1" ht="14.4" x14ac:dyDescent="0.3">
      <c r="A30" s="129" t="s">
        <v>31</v>
      </c>
      <c r="B30" s="130">
        <f t="shared" ref="B30:B33" si="10">SUM(C30,E30,G30,I30,K30,M30,O30,Q30)</f>
        <v>183265</v>
      </c>
      <c r="C30" s="131">
        <v>10417</v>
      </c>
      <c r="D30" s="132">
        <v>3083.2260000000001</v>
      </c>
      <c r="E30" s="131">
        <v>1524</v>
      </c>
      <c r="F30" s="132">
        <v>470.15899999999999</v>
      </c>
      <c r="G30" s="131">
        <v>7909</v>
      </c>
      <c r="H30" s="132">
        <v>2646.7890000000002</v>
      </c>
      <c r="I30" s="131">
        <v>92496</v>
      </c>
      <c r="J30" s="132">
        <v>90588.421000000002</v>
      </c>
      <c r="K30" s="131">
        <v>6997</v>
      </c>
      <c r="L30" s="132">
        <v>5383.2150000000001</v>
      </c>
      <c r="M30" s="131">
        <v>33560</v>
      </c>
      <c r="N30" s="132">
        <v>10469.527</v>
      </c>
      <c r="O30" s="131">
        <v>27268</v>
      </c>
      <c r="P30" s="132">
        <v>146158.236</v>
      </c>
      <c r="Q30" s="131">
        <v>3094</v>
      </c>
      <c r="R30" s="132">
        <v>1425.124</v>
      </c>
      <c r="S30" s="152" t="s">
        <v>191</v>
      </c>
    </row>
    <row r="31" spans="1:21" s="124" customFormat="1" ht="14.4" x14ac:dyDescent="0.3">
      <c r="A31" s="129" t="s">
        <v>33</v>
      </c>
      <c r="B31" s="130">
        <f t="shared" si="10"/>
        <v>191342</v>
      </c>
      <c r="C31" s="131">
        <v>22751</v>
      </c>
      <c r="D31" s="132">
        <v>6759.5280000000002</v>
      </c>
      <c r="E31" s="131">
        <v>5060</v>
      </c>
      <c r="F31" s="132">
        <v>1476.3219999999999</v>
      </c>
      <c r="G31" s="131">
        <v>4077</v>
      </c>
      <c r="H31" s="132">
        <v>1484.6469999999999</v>
      </c>
      <c r="I31" s="131">
        <v>92067</v>
      </c>
      <c r="J31" s="132">
        <v>46201.673000000003</v>
      </c>
      <c r="K31" s="131">
        <v>4742</v>
      </c>
      <c r="L31" s="132">
        <v>1762.25</v>
      </c>
      <c r="M31" s="131">
        <v>46676</v>
      </c>
      <c r="N31" s="132">
        <v>13565.814</v>
      </c>
      <c r="O31" s="131">
        <v>2295</v>
      </c>
      <c r="P31" s="132">
        <v>7434.5190000000002</v>
      </c>
      <c r="Q31" s="131">
        <v>13674</v>
      </c>
      <c r="R31" s="132">
        <v>4525.7979999999998</v>
      </c>
      <c r="S31" s="152" t="s">
        <v>192</v>
      </c>
    </row>
    <row r="32" spans="1:21" s="124" customFormat="1" ht="14.4" x14ac:dyDescent="0.3">
      <c r="A32" s="129" t="s">
        <v>35</v>
      </c>
      <c r="B32" s="130">
        <f t="shared" si="10"/>
        <v>88799</v>
      </c>
      <c r="C32" s="131">
        <v>589</v>
      </c>
      <c r="D32" s="132">
        <v>214.06399999999999</v>
      </c>
      <c r="E32" s="131">
        <v>19</v>
      </c>
      <c r="F32" s="132">
        <v>7.5</v>
      </c>
      <c r="G32" s="131">
        <v>33</v>
      </c>
      <c r="H32" s="132">
        <v>11.85</v>
      </c>
      <c r="I32" s="131">
        <v>35679</v>
      </c>
      <c r="J32" s="132">
        <v>28448.057000000001</v>
      </c>
      <c r="K32" s="131">
        <v>8403</v>
      </c>
      <c r="L32" s="132">
        <v>6206.41</v>
      </c>
      <c r="M32" s="131">
        <v>43117</v>
      </c>
      <c r="N32" s="132">
        <v>17535.849999999999</v>
      </c>
      <c r="O32" s="131">
        <v>428</v>
      </c>
      <c r="P32" s="132">
        <v>2085.3000000000002</v>
      </c>
      <c r="Q32" s="131">
        <v>531</v>
      </c>
      <c r="R32" s="132">
        <v>618.52</v>
      </c>
      <c r="S32" s="152" t="s">
        <v>193</v>
      </c>
    </row>
    <row r="33" spans="1:21" s="124" customFormat="1" ht="14.4" x14ac:dyDescent="0.3">
      <c r="A33" s="129" t="s">
        <v>37</v>
      </c>
      <c r="B33" s="130">
        <f t="shared" si="10"/>
        <v>161758</v>
      </c>
      <c r="C33" s="131">
        <v>4175</v>
      </c>
      <c r="D33" s="132">
        <v>1365.52</v>
      </c>
      <c r="E33" s="131">
        <v>550</v>
      </c>
      <c r="F33" s="132">
        <v>196.77500000000001</v>
      </c>
      <c r="G33" s="131">
        <v>1894</v>
      </c>
      <c r="H33" s="132">
        <v>689.78499999999997</v>
      </c>
      <c r="I33" s="131">
        <v>68045</v>
      </c>
      <c r="J33" s="132">
        <v>74063.263999999996</v>
      </c>
      <c r="K33" s="131">
        <v>3041</v>
      </c>
      <c r="L33" s="132">
        <v>2986.07</v>
      </c>
      <c r="M33" s="131">
        <v>68355</v>
      </c>
      <c r="N33" s="132">
        <v>21883.755000000001</v>
      </c>
      <c r="O33" s="131">
        <v>12191</v>
      </c>
      <c r="P33" s="132">
        <v>49042.711000000003</v>
      </c>
      <c r="Q33" s="131">
        <v>3507</v>
      </c>
      <c r="R33" s="132">
        <v>1503.125</v>
      </c>
      <c r="S33" s="152" t="s">
        <v>194</v>
      </c>
    </row>
    <row r="34" spans="1:21" s="124" customFormat="1" ht="14.4" x14ac:dyDescent="0.3">
      <c r="A34" s="182" t="s">
        <v>195</v>
      </c>
      <c r="B34" s="183">
        <f>SUM(B36:B39)</f>
        <v>230408</v>
      </c>
      <c r="C34" s="177">
        <f>SUM(C36:C39)</f>
        <v>956</v>
      </c>
      <c r="D34" s="177">
        <f t="shared" ref="D34:R34" si="11">SUM(D36:D39)</f>
        <v>318.95800000000003</v>
      </c>
      <c r="E34" s="177">
        <f t="shared" si="11"/>
        <v>5031</v>
      </c>
      <c r="F34" s="177">
        <f t="shared" si="11"/>
        <v>1920.0360000000001</v>
      </c>
      <c r="G34" s="176">
        <f t="shared" si="11"/>
        <v>800</v>
      </c>
      <c r="H34" s="177">
        <f t="shared" si="11"/>
        <v>332.72300000000007</v>
      </c>
      <c r="I34" s="177">
        <f t="shared" si="11"/>
        <v>79745</v>
      </c>
      <c r="J34" s="177">
        <f t="shared" si="11"/>
        <v>79461.563999999998</v>
      </c>
      <c r="K34" s="177">
        <f t="shared" si="11"/>
        <v>40887</v>
      </c>
      <c r="L34" s="177">
        <f t="shared" si="11"/>
        <v>46595.951000000001</v>
      </c>
      <c r="M34" s="177">
        <f t="shared" si="11"/>
        <v>84971</v>
      </c>
      <c r="N34" s="211">
        <f t="shared" si="11"/>
        <v>33799.290999999997</v>
      </c>
      <c r="O34" s="177">
        <f t="shared" ref="O34:P34" si="12">SUM(O36:O39)</f>
        <v>13792</v>
      </c>
      <c r="P34" s="176">
        <f t="shared" si="12"/>
        <v>26563.881999999998</v>
      </c>
      <c r="Q34" s="177">
        <f t="shared" si="11"/>
        <v>4226</v>
      </c>
      <c r="R34" s="211">
        <f t="shared" si="11"/>
        <v>2756.4590000000003</v>
      </c>
      <c r="S34" s="218" t="s">
        <v>196</v>
      </c>
      <c r="T34" s="219"/>
      <c r="U34" s="219"/>
    </row>
    <row r="35" spans="1:21" s="124" customFormat="1" ht="14.4" x14ac:dyDescent="0.3">
      <c r="A35" s="182"/>
      <c r="B35" s="183"/>
      <c r="C35" s="177"/>
      <c r="D35" s="177"/>
      <c r="E35" s="177"/>
      <c r="F35" s="177"/>
      <c r="G35" s="176"/>
      <c r="H35" s="177"/>
      <c r="I35" s="177"/>
      <c r="J35" s="177"/>
      <c r="K35" s="177"/>
      <c r="L35" s="177"/>
      <c r="M35" s="177"/>
      <c r="N35" s="211"/>
      <c r="O35" s="177"/>
      <c r="P35" s="176"/>
      <c r="Q35" s="177"/>
      <c r="R35" s="211"/>
      <c r="S35" s="218"/>
      <c r="T35" s="219"/>
      <c r="U35" s="219"/>
    </row>
    <row r="36" spans="1:21" s="124" customFormat="1" ht="14.4" x14ac:dyDescent="0.3">
      <c r="A36" s="129" t="s">
        <v>39</v>
      </c>
      <c r="B36" s="130">
        <f t="shared" ref="B36:B39" si="13">SUM(C36,E36,G36,I36,K36,M36,O36,Q36)</f>
        <v>68219</v>
      </c>
      <c r="C36" s="131">
        <v>354</v>
      </c>
      <c r="D36" s="132">
        <v>107.934</v>
      </c>
      <c r="E36" s="131">
        <v>348</v>
      </c>
      <c r="F36" s="132">
        <v>112.008</v>
      </c>
      <c r="G36" s="131">
        <v>489</v>
      </c>
      <c r="H36" s="132">
        <v>207.68</v>
      </c>
      <c r="I36" s="131">
        <v>29219</v>
      </c>
      <c r="J36" s="132">
        <v>29369.144</v>
      </c>
      <c r="K36" s="131">
        <v>1268</v>
      </c>
      <c r="L36" s="132">
        <v>1187.25</v>
      </c>
      <c r="M36" s="131">
        <v>35062</v>
      </c>
      <c r="N36" s="132">
        <v>13793.091</v>
      </c>
      <c r="O36" s="131">
        <v>270</v>
      </c>
      <c r="P36" s="132">
        <v>510.608</v>
      </c>
      <c r="Q36" s="131">
        <v>1209</v>
      </c>
      <c r="R36" s="132">
        <v>1112.3879999999999</v>
      </c>
      <c r="S36" s="152" t="s">
        <v>197</v>
      </c>
    </row>
    <row r="37" spans="1:21" s="124" customFormat="1" ht="14.4" x14ac:dyDescent="0.3">
      <c r="A37" s="129" t="s">
        <v>41</v>
      </c>
      <c r="B37" s="130">
        <f t="shared" si="13"/>
        <v>37101</v>
      </c>
      <c r="C37" s="131">
        <v>167</v>
      </c>
      <c r="D37" s="132">
        <v>65.018000000000001</v>
      </c>
      <c r="E37" s="131">
        <v>721</v>
      </c>
      <c r="F37" s="132">
        <v>267.21499999999997</v>
      </c>
      <c r="G37" s="131">
        <v>70</v>
      </c>
      <c r="H37" s="132">
        <v>32.96</v>
      </c>
      <c r="I37" s="131">
        <v>18919</v>
      </c>
      <c r="J37" s="132">
        <v>18453.580000000002</v>
      </c>
      <c r="K37" s="131">
        <v>9425</v>
      </c>
      <c r="L37" s="132">
        <v>9409.0249999999996</v>
      </c>
      <c r="M37" s="131">
        <v>5242</v>
      </c>
      <c r="N37" s="132">
        <v>1988.7950000000001</v>
      </c>
      <c r="O37" s="131">
        <v>2134</v>
      </c>
      <c r="P37" s="132">
        <v>1835.01</v>
      </c>
      <c r="Q37" s="131">
        <v>423</v>
      </c>
      <c r="R37" s="132">
        <v>239.78399999999999</v>
      </c>
      <c r="S37" s="152" t="s">
        <v>198</v>
      </c>
    </row>
    <row r="38" spans="1:21" s="124" customFormat="1" ht="14.4" x14ac:dyDescent="0.3">
      <c r="A38" s="129" t="s">
        <v>43</v>
      </c>
      <c r="B38" s="130">
        <f t="shared" si="13"/>
        <v>50299</v>
      </c>
      <c r="C38" s="131">
        <v>170</v>
      </c>
      <c r="D38" s="132">
        <v>62.252000000000002</v>
      </c>
      <c r="E38" s="131">
        <v>940</v>
      </c>
      <c r="F38" s="132">
        <v>349.25</v>
      </c>
      <c r="G38" s="131">
        <v>110</v>
      </c>
      <c r="H38" s="132">
        <v>54.505000000000003</v>
      </c>
      <c r="I38" s="131">
        <v>15716</v>
      </c>
      <c r="J38" s="132">
        <v>14350.9</v>
      </c>
      <c r="K38" s="131">
        <v>6452</v>
      </c>
      <c r="L38" s="132">
        <v>6187.616</v>
      </c>
      <c r="M38" s="131">
        <v>24691</v>
      </c>
      <c r="N38" s="132">
        <v>9828.0280000000002</v>
      </c>
      <c r="O38" s="131">
        <v>52</v>
      </c>
      <c r="P38" s="132">
        <v>35</v>
      </c>
      <c r="Q38" s="131">
        <v>2168</v>
      </c>
      <c r="R38" s="132">
        <v>860.61</v>
      </c>
      <c r="S38" s="152" t="s">
        <v>199</v>
      </c>
    </row>
    <row r="39" spans="1:21" s="124" customFormat="1" ht="14.4" x14ac:dyDescent="0.3">
      <c r="A39" s="129" t="s">
        <v>46</v>
      </c>
      <c r="B39" s="130">
        <f t="shared" si="13"/>
        <v>74789</v>
      </c>
      <c r="C39" s="131">
        <v>265</v>
      </c>
      <c r="D39" s="132">
        <v>83.754000000000005</v>
      </c>
      <c r="E39" s="131">
        <v>3022</v>
      </c>
      <c r="F39" s="132">
        <v>1191.5630000000001</v>
      </c>
      <c r="G39" s="131">
        <v>131</v>
      </c>
      <c r="H39" s="132">
        <v>37.578000000000003</v>
      </c>
      <c r="I39" s="131">
        <v>15891</v>
      </c>
      <c r="J39" s="132">
        <v>17287.939999999999</v>
      </c>
      <c r="K39" s="131">
        <v>23742</v>
      </c>
      <c r="L39" s="132">
        <v>29812.06</v>
      </c>
      <c r="M39" s="131">
        <v>19976</v>
      </c>
      <c r="N39" s="132">
        <v>8189.3770000000004</v>
      </c>
      <c r="O39" s="131">
        <v>11336</v>
      </c>
      <c r="P39" s="132">
        <v>24183.263999999999</v>
      </c>
      <c r="Q39" s="131">
        <v>426</v>
      </c>
      <c r="R39" s="132">
        <v>543.67700000000002</v>
      </c>
      <c r="S39" s="152" t="s">
        <v>200</v>
      </c>
    </row>
    <row r="40" spans="1:21" s="124" customFormat="1" ht="14.4" x14ac:dyDescent="0.3">
      <c r="A40" s="182" t="s">
        <v>201</v>
      </c>
      <c r="B40" s="183">
        <f>SUM(B42:B46)</f>
        <v>684338</v>
      </c>
      <c r="C40" s="177">
        <f>SUM(C42:C46)</f>
        <v>29209</v>
      </c>
      <c r="D40" s="177">
        <f t="shared" ref="D40:R40" si="14">SUM(D42:D46)</f>
        <v>10014.681</v>
      </c>
      <c r="E40" s="177">
        <f t="shared" si="14"/>
        <v>26543</v>
      </c>
      <c r="F40" s="177">
        <f t="shared" si="14"/>
        <v>10763.839</v>
      </c>
      <c r="G40" s="176">
        <f t="shared" si="14"/>
        <v>48586</v>
      </c>
      <c r="H40" s="177">
        <f t="shared" si="14"/>
        <v>20511.127999999997</v>
      </c>
      <c r="I40" s="177">
        <f t="shared" si="14"/>
        <v>261897</v>
      </c>
      <c r="J40" s="177">
        <f t="shared" si="14"/>
        <v>261812.07</v>
      </c>
      <c r="K40" s="177">
        <f t="shared" si="14"/>
        <v>44780</v>
      </c>
      <c r="L40" s="177">
        <f t="shared" si="14"/>
        <v>42528.478999999999</v>
      </c>
      <c r="M40" s="177">
        <f t="shared" si="14"/>
        <v>166413</v>
      </c>
      <c r="N40" s="211">
        <f t="shared" si="14"/>
        <v>77882.406000000003</v>
      </c>
      <c r="O40" s="177">
        <f t="shared" ref="O40:P40" si="15">SUM(O42:O46)</f>
        <v>59432</v>
      </c>
      <c r="P40" s="176">
        <f t="shared" si="15"/>
        <v>261616.45499999999</v>
      </c>
      <c r="Q40" s="177">
        <f t="shared" si="14"/>
        <v>47478</v>
      </c>
      <c r="R40" s="211">
        <f t="shared" si="14"/>
        <v>27040.184000000001</v>
      </c>
      <c r="S40" s="218" t="s">
        <v>202</v>
      </c>
      <c r="T40" s="219"/>
      <c r="U40" s="219"/>
    </row>
    <row r="41" spans="1:21" s="124" customFormat="1" ht="14.4" x14ac:dyDescent="0.3">
      <c r="A41" s="182"/>
      <c r="B41" s="183"/>
      <c r="C41" s="177"/>
      <c r="D41" s="177"/>
      <c r="E41" s="177"/>
      <c r="F41" s="177"/>
      <c r="G41" s="176"/>
      <c r="H41" s="177"/>
      <c r="I41" s="177"/>
      <c r="J41" s="177"/>
      <c r="K41" s="177"/>
      <c r="L41" s="177"/>
      <c r="M41" s="177"/>
      <c r="N41" s="211"/>
      <c r="O41" s="177"/>
      <c r="P41" s="176"/>
      <c r="Q41" s="177"/>
      <c r="R41" s="211"/>
      <c r="S41" s="218"/>
      <c r="T41" s="219"/>
      <c r="U41" s="219"/>
    </row>
    <row r="42" spans="1:21" s="124" customFormat="1" ht="14.4" x14ac:dyDescent="0.3">
      <c r="A42" s="129" t="s">
        <v>48</v>
      </c>
      <c r="B42" s="130">
        <f t="shared" ref="B42:B46" si="16">SUM(C42,E42,G42,I42,K42,M42,O42,Q42)</f>
        <v>253807</v>
      </c>
      <c r="C42" s="131">
        <v>9900</v>
      </c>
      <c r="D42" s="132">
        <v>3579.33</v>
      </c>
      <c r="E42" s="131">
        <v>13971</v>
      </c>
      <c r="F42" s="132">
        <v>5843.2</v>
      </c>
      <c r="G42" s="131">
        <v>13659</v>
      </c>
      <c r="H42" s="132">
        <v>5763.857</v>
      </c>
      <c r="I42" s="131">
        <v>93054</v>
      </c>
      <c r="J42" s="132">
        <v>74727.606</v>
      </c>
      <c r="K42" s="131">
        <v>18565</v>
      </c>
      <c r="L42" s="132">
        <v>17784.259999999998</v>
      </c>
      <c r="M42" s="131">
        <v>67526</v>
      </c>
      <c r="N42" s="132">
        <v>31978.733</v>
      </c>
      <c r="O42" s="131">
        <v>10106</v>
      </c>
      <c r="P42" s="132">
        <v>46939.447999999997</v>
      </c>
      <c r="Q42" s="131">
        <v>27026</v>
      </c>
      <c r="R42" s="132">
        <v>17900.960999999999</v>
      </c>
      <c r="S42" s="152" t="s">
        <v>203</v>
      </c>
    </row>
    <row r="43" spans="1:21" s="124" customFormat="1" ht="14.4" x14ac:dyDescent="0.3">
      <c r="A43" s="129" t="s">
        <v>51</v>
      </c>
      <c r="B43" s="130">
        <f t="shared" si="16"/>
        <v>150525</v>
      </c>
      <c r="C43" s="131">
        <v>3186</v>
      </c>
      <c r="D43" s="132">
        <v>1061.7940000000001</v>
      </c>
      <c r="E43" s="131">
        <v>2338</v>
      </c>
      <c r="F43" s="132">
        <v>676.62099999999998</v>
      </c>
      <c r="G43" s="131">
        <v>4288</v>
      </c>
      <c r="H43" s="132">
        <v>1322.817</v>
      </c>
      <c r="I43" s="131">
        <v>75781</v>
      </c>
      <c r="J43" s="132">
        <v>60410.438999999998</v>
      </c>
      <c r="K43" s="131">
        <v>7444</v>
      </c>
      <c r="L43" s="132">
        <v>4744.2830000000004</v>
      </c>
      <c r="M43" s="131">
        <v>36265</v>
      </c>
      <c r="N43" s="132">
        <v>11474.950999999999</v>
      </c>
      <c r="O43" s="131">
        <v>20208</v>
      </c>
      <c r="P43" s="132">
        <v>67569.395000000004</v>
      </c>
      <c r="Q43" s="131">
        <v>1015</v>
      </c>
      <c r="R43" s="132">
        <v>525.85</v>
      </c>
      <c r="S43" s="152" t="s">
        <v>204</v>
      </c>
    </row>
    <row r="44" spans="1:21" s="124" customFormat="1" ht="14.4" x14ac:dyDescent="0.3">
      <c r="A44" s="129" t="s">
        <v>53</v>
      </c>
      <c r="B44" s="130">
        <f t="shared" si="16"/>
        <v>90001</v>
      </c>
      <c r="C44" s="131">
        <v>9345</v>
      </c>
      <c r="D44" s="132">
        <v>3127.982</v>
      </c>
      <c r="E44" s="131">
        <v>4077</v>
      </c>
      <c r="F44" s="132">
        <v>1731.681</v>
      </c>
      <c r="G44" s="131">
        <v>22541</v>
      </c>
      <c r="H44" s="132">
        <v>9998.7129999999997</v>
      </c>
      <c r="I44" s="131">
        <v>26036</v>
      </c>
      <c r="J44" s="132">
        <v>41945.508000000002</v>
      </c>
      <c r="K44" s="131">
        <v>3452</v>
      </c>
      <c r="L44" s="132">
        <v>2631.8290000000002</v>
      </c>
      <c r="M44" s="131">
        <v>6435</v>
      </c>
      <c r="N44" s="132">
        <v>2418.0479999999998</v>
      </c>
      <c r="O44" s="131">
        <v>559</v>
      </c>
      <c r="P44" s="132">
        <v>765.11199999999997</v>
      </c>
      <c r="Q44" s="131">
        <v>17556</v>
      </c>
      <c r="R44" s="132">
        <v>6841.973</v>
      </c>
      <c r="S44" s="152" t="s">
        <v>205</v>
      </c>
    </row>
    <row r="45" spans="1:21" s="124" customFormat="1" ht="14.4" x14ac:dyDescent="0.3">
      <c r="A45" s="129" t="s">
        <v>56</v>
      </c>
      <c r="B45" s="130">
        <f t="shared" si="16"/>
        <v>72</v>
      </c>
      <c r="C45" s="131">
        <v>13</v>
      </c>
      <c r="D45" s="132">
        <v>4.5999999999999996</v>
      </c>
      <c r="E45" s="131">
        <v>13</v>
      </c>
      <c r="F45" s="132">
        <v>5.0049999999999999</v>
      </c>
      <c r="G45" s="131" t="s">
        <v>287</v>
      </c>
      <c r="H45" s="132" t="s">
        <v>287</v>
      </c>
      <c r="I45" s="131" t="s">
        <v>287</v>
      </c>
      <c r="J45" s="132" t="s">
        <v>287</v>
      </c>
      <c r="K45" s="137" t="s">
        <v>287</v>
      </c>
      <c r="L45" s="132" t="s">
        <v>287</v>
      </c>
      <c r="M45" s="137">
        <v>46</v>
      </c>
      <c r="N45" s="132">
        <v>31.7</v>
      </c>
      <c r="O45" s="131" t="s">
        <v>287</v>
      </c>
      <c r="P45" s="132" t="s">
        <v>287</v>
      </c>
      <c r="Q45" s="137" t="s">
        <v>287</v>
      </c>
      <c r="R45" s="132" t="s">
        <v>287</v>
      </c>
      <c r="S45" s="216" t="s">
        <v>206</v>
      </c>
      <c r="T45" s="217"/>
      <c r="U45" s="217"/>
    </row>
    <row r="46" spans="1:21" s="124" customFormat="1" ht="14.4" x14ac:dyDescent="0.3">
      <c r="A46" s="129" t="s">
        <v>58</v>
      </c>
      <c r="B46" s="130">
        <f t="shared" si="16"/>
        <v>189933</v>
      </c>
      <c r="C46" s="131">
        <v>6765</v>
      </c>
      <c r="D46" s="132">
        <v>2240.9749999999999</v>
      </c>
      <c r="E46" s="131">
        <v>6144</v>
      </c>
      <c r="F46" s="132">
        <v>2507.3319999999999</v>
      </c>
      <c r="G46" s="131">
        <v>8098</v>
      </c>
      <c r="H46" s="132">
        <v>3425.741</v>
      </c>
      <c r="I46" s="131">
        <v>67026</v>
      </c>
      <c r="J46" s="132">
        <v>84728.517000000007</v>
      </c>
      <c r="K46" s="131">
        <v>15319</v>
      </c>
      <c r="L46" s="132">
        <v>17368.107</v>
      </c>
      <c r="M46" s="131">
        <v>56141</v>
      </c>
      <c r="N46" s="132">
        <v>31978.973999999998</v>
      </c>
      <c r="O46" s="131">
        <v>28559</v>
      </c>
      <c r="P46" s="132">
        <v>146342.5</v>
      </c>
      <c r="Q46" s="131">
        <v>1881</v>
      </c>
      <c r="R46" s="132">
        <v>1771.4</v>
      </c>
      <c r="S46" s="152" t="s">
        <v>207</v>
      </c>
    </row>
    <row r="47" spans="1:21" s="124" customFormat="1" ht="14.4" x14ac:dyDescent="0.3">
      <c r="A47" s="182" t="s">
        <v>208</v>
      </c>
      <c r="B47" s="183">
        <f>SUM(B49:B53)</f>
        <v>353318</v>
      </c>
      <c r="C47" s="177">
        <f>SUM(C49:C53)</f>
        <v>13032</v>
      </c>
      <c r="D47" s="177">
        <f t="shared" ref="D47:R47" si="17">SUM(D49:D53)</f>
        <v>4967.4039999999995</v>
      </c>
      <c r="E47" s="177">
        <f t="shared" si="17"/>
        <v>17137</v>
      </c>
      <c r="F47" s="177">
        <f t="shared" si="17"/>
        <v>6478.5470000000005</v>
      </c>
      <c r="G47" s="176">
        <f t="shared" si="17"/>
        <v>39289</v>
      </c>
      <c r="H47" s="177">
        <f t="shared" si="17"/>
        <v>16535.138999999999</v>
      </c>
      <c r="I47" s="177">
        <f t="shared" si="17"/>
        <v>161543</v>
      </c>
      <c r="J47" s="177">
        <f t="shared" si="17"/>
        <v>246626.60399999999</v>
      </c>
      <c r="K47" s="177">
        <f t="shared" si="17"/>
        <v>30720</v>
      </c>
      <c r="L47" s="177">
        <f t="shared" si="17"/>
        <v>43295.720999999998</v>
      </c>
      <c r="M47" s="177">
        <f t="shared" si="17"/>
        <v>30909</v>
      </c>
      <c r="N47" s="211">
        <f t="shared" si="17"/>
        <v>14755.921000000002</v>
      </c>
      <c r="O47" s="177">
        <f t="shared" ref="O47:P47" si="18">SUM(O49:O53)</f>
        <v>17991</v>
      </c>
      <c r="P47" s="176">
        <f t="shared" si="18"/>
        <v>65247.756999999998</v>
      </c>
      <c r="Q47" s="177">
        <f t="shared" si="17"/>
        <v>42697</v>
      </c>
      <c r="R47" s="211">
        <f t="shared" si="17"/>
        <v>20983.599999999999</v>
      </c>
      <c r="S47" s="220" t="s">
        <v>209</v>
      </c>
      <c r="T47" s="221"/>
      <c r="U47" s="221"/>
    </row>
    <row r="48" spans="1:21" s="124" customFormat="1" ht="14.4" x14ac:dyDescent="0.3">
      <c r="A48" s="182"/>
      <c r="B48" s="183"/>
      <c r="C48" s="177"/>
      <c r="D48" s="177"/>
      <c r="E48" s="177"/>
      <c r="F48" s="177"/>
      <c r="G48" s="176"/>
      <c r="H48" s="177"/>
      <c r="I48" s="177"/>
      <c r="J48" s="177"/>
      <c r="K48" s="177"/>
      <c r="L48" s="177"/>
      <c r="M48" s="177"/>
      <c r="N48" s="211"/>
      <c r="O48" s="177"/>
      <c r="P48" s="176"/>
      <c r="Q48" s="177"/>
      <c r="R48" s="211"/>
      <c r="S48" s="220"/>
      <c r="T48" s="221"/>
      <c r="U48" s="221"/>
    </row>
    <row r="49" spans="1:21" s="124" customFormat="1" ht="14.4" x14ac:dyDescent="0.3">
      <c r="A49" s="129" t="s">
        <v>60</v>
      </c>
      <c r="B49" s="130">
        <f t="shared" ref="B49:B53" si="19">SUM(C49,E49,G49,I49,K49,M49,O49,Q49)</f>
        <v>210628</v>
      </c>
      <c r="C49" s="131">
        <v>4711</v>
      </c>
      <c r="D49" s="132">
        <v>1467.2449999999999</v>
      </c>
      <c r="E49" s="131">
        <v>7666</v>
      </c>
      <c r="F49" s="132">
        <v>2449.6080000000002</v>
      </c>
      <c r="G49" s="131">
        <v>30988</v>
      </c>
      <c r="H49" s="132">
        <v>12861.485000000001</v>
      </c>
      <c r="I49" s="131">
        <v>94372</v>
      </c>
      <c r="J49" s="132">
        <v>138764.66399999999</v>
      </c>
      <c r="K49" s="131">
        <v>26593</v>
      </c>
      <c r="L49" s="132">
        <v>37824.023999999998</v>
      </c>
      <c r="M49" s="131">
        <v>16886</v>
      </c>
      <c r="N49" s="132">
        <v>8152.4179999999997</v>
      </c>
      <c r="O49" s="131">
        <v>9754</v>
      </c>
      <c r="P49" s="132">
        <v>28031.962</v>
      </c>
      <c r="Q49" s="131">
        <v>19658</v>
      </c>
      <c r="R49" s="132">
        <v>9614.3960000000006</v>
      </c>
      <c r="S49" s="152" t="s">
        <v>210</v>
      </c>
    </row>
    <row r="50" spans="1:21" s="124" customFormat="1" ht="14.4" x14ac:dyDescent="0.3">
      <c r="A50" s="129" t="s">
        <v>62</v>
      </c>
      <c r="B50" s="130">
        <f t="shared" si="19"/>
        <v>93001</v>
      </c>
      <c r="C50" s="131">
        <v>2944</v>
      </c>
      <c r="D50" s="132">
        <v>1522.2929999999999</v>
      </c>
      <c r="E50" s="131">
        <v>5465</v>
      </c>
      <c r="F50" s="132">
        <v>2468.9299999999998</v>
      </c>
      <c r="G50" s="131">
        <v>1285</v>
      </c>
      <c r="H50" s="132">
        <v>591.98099999999999</v>
      </c>
      <c r="I50" s="131">
        <v>56799</v>
      </c>
      <c r="J50" s="132">
        <v>93834</v>
      </c>
      <c r="K50" s="131">
        <v>1995</v>
      </c>
      <c r="L50" s="132">
        <v>3049.5</v>
      </c>
      <c r="M50" s="131">
        <v>1082</v>
      </c>
      <c r="N50" s="132">
        <v>475.79899999999998</v>
      </c>
      <c r="O50" s="131">
        <v>6663</v>
      </c>
      <c r="P50" s="132">
        <v>32391.025000000001</v>
      </c>
      <c r="Q50" s="131">
        <v>16768</v>
      </c>
      <c r="R50" s="132">
        <v>7694.52</v>
      </c>
      <c r="S50" s="152" t="s">
        <v>211</v>
      </c>
    </row>
    <row r="51" spans="1:21" s="124" customFormat="1" ht="14.4" x14ac:dyDescent="0.3">
      <c r="A51" s="129" t="s">
        <v>64</v>
      </c>
      <c r="B51" s="130">
        <f t="shared" si="19"/>
        <v>28434</v>
      </c>
      <c r="C51" s="131">
        <v>3969</v>
      </c>
      <c r="D51" s="132">
        <v>1576.954</v>
      </c>
      <c r="E51" s="131">
        <v>2680</v>
      </c>
      <c r="F51" s="132">
        <v>1111.125</v>
      </c>
      <c r="G51" s="131">
        <v>5900</v>
      </c>
      <c r="H51" s="132">
        <v>2600.806</v>
      </c>
      <c r="I51" s="131">
        <v>2705</v>
      </c>
      <c r="J51" s="132">
        <v>2038.3</v>
      </c>
      <c r="K51" s="131">
        <v>1391</v>
      </c>
      <c r="L51" s="132">
        <v>925.36</v>
      </c>
      <c r="M51" s="131">
        <v>4405</v>
      </c>
      <c r="N51" s="132">
        <v>1775.4190000000001</v>
      </c>
      <c r="O51" s="131">
        <v>1329</v>
      </c>
      <c r="P51" s="132">
        <v>4318.5600000000004</v>
      </c>
      <c r="Q51" s="131">
        <v>6055</v>
      </c>
      <c r="R51" s="132">
        <v>2712.5839999999998</v>
      </c>
      <c r="S51" s="152" t="s">
        <v>212</v>
      </c>
    </row>
    <row r="52" spans="1:21" s="124" customFormat="1" ht="14.4" x14ac:dyDescent="0.3">
      <c r="A52" s="129" t="s">
        <v>67</v>
      </c>
      <c r="B52" s="130">
        <f t="shared" si="19"/>
        <v>3744</v>
      </c>
      <c r="C52" s="131">
        <v>95</v>
      </c>
      <c r="D52" s="132">
        <v>31.102</v>
      </c>
      <c r="E52" s="131">
        <v>587</v>
      </c>
      <c r="F52" s="132">
        <v>243.774</v>
      </c>
      <c r="G52" s="131">
        <v>104</v>
      </c>
      <c r="H52" s="132">
        <v>49.027000000000001</v>
      </c>
      <c r="I52" s="131">
        <v>663</v>
      </c>
      <c r="J52" s="132">
        <v>778.1</v>
      </c>
      <c r="K52" s="131">
        <v>384</v>
      </c>
      <c r="L52" s="132">
        <v>566.4</v>
      </c>
      <c r="M52" s="131">
        <v>1905</v>
      </c>
      <c r="N52" s="132">
        <v>614.45000000000005</v>
      </c>
      <c r="O52" s="131">
        <v>5</v>
      </c>
      <c r="P52" s="132">
        <v>4.8499999999999996</v>
      </c>
      <c r="Q52" s="131">
        <v>1</v>
      </c>
      <c r="R52" s="132">
        <v>0.62</v>
      </c>
      <c r="S52" s="152" t="s">
        <v>213</v>
      </c>
    </row>
    <row r="53" spans="1:21" s="124" customFormat="1" ht="14.4" x14ac:dyDescent="0.3">
      <c r="A53" s="129" t="s">
        <v>69</v>
      </c>
      <c r="B53" s="130">
        <f t="shared" si="19"/>
        <v>17511</v>
      </c>
      <c r="C53" s="131">
        <v>1313</v>
      </c>
      <c r="D53" s="132">
        <v>369.81</v>
      </c>
      <c r="E53" s="131">
        <v>739</v>
      </c>
      <c r="F53" s="132">
        <v>205.11</v>
      </c>
      <c r="G53" s="131">
        <v>1012</v>
      </c>
      <c r="H53" s="132">
        <v>431.84</v>
      </c>
      <c r="I53" s="131">
        <v>7004</v>
      </c>
      <c r="J53" s="132">
        <v>11211.54</v>
      </c>
      <c r="K53" s="131">
        <v>357</v>
      </c>
      <c r="L53" s="132">
        <v>930.43700000000001</v>
      </c>
      <c r="M53" s="131">
        <v>6631</v>
      </c>
      <c r="N53" s="132">
        <v>3737.835</v>
      </c>
      <c r="O53" s="131">
        <v>240</v>
      </c>
      <c r="P53" s="132">
        <v>501.36</v>
      </c>
      <c r="Q53" s="131">
        <v>215</v>
      </c>
      <c r="R53" s="132">
        <v>961.48</v>
      </c>
      <c r="S53" s="152" t="s">
        <v>214</v>
      </c>
    </row>
    <row r="54" spans="1:21" s="124" customFormat="1" ht="14.4" x14ac:dyDescent="0.3">
      <c r="A54" s="182" t="s">
        <v>215</v>
      </c>
      <c r="B54" s="183">
        <f>SUM(B56:B60)</f>
        <v>12014</v>
      </c>
      <c r="C54" s="177">
        <f>SUM(C56:C60)</f>
        <v>1212</v>
      </c>
      <c r="D54" s="177">
        <f t="shared" ref="D54:R54" si="20">SUM(D56:D60)</f>
        <v>466.77</v>
      </c>
      <c r="E54" s="177">
        <f t="shared" si="20"/>
        <v>1395</v>
      </c>
      <c r="F54" s="177">
        <f t="shared" si="20"/>
        <v>670.72800000000007</v>
      </c>
      <c r="G54" s="176">
        <f t="shared" si="20"/>
        <v>58</v>
      </c>
      <c r="H54" s="177">
        <f t="shared" si="20"/>
        <v>28.79</v>
      </c>
      <c r="I54" s="177">
        <f t="shared" si="20"/>
        <v>322</v>
      </c>
      <c r="J54" s="177">
        <f t="shared" si="20"/>
        <v>206.85000000000002</v>
      </c>
      <c r="K54" s="177">
        <f t="shared" si="20"/>
        <v>421</v>
      </c>
      <c r="L54" s="177">
        <f t="shared" si="20"/>
        <v>222.1</v>
      </c>
      <c r="M54" s="177">
        <f t="shared" si="20"/>
        <v>8375</v>
      </c>
      <c r="N54" s="211">
        <f t="shared" si="20"/>
        <v>4586.1390000000001</v>
      </c>
      <c r="O54" s="177">
        <f t="shared" ref="O54:P54" si="21">SUM(O56:O60)</f>
        <v>51</v>
      </c>
      <c r="P54" s="176">
        <f t="shared" si="21"/>
        <v>51.594000000000001</v>
      </c>
      <c r="Q54" s="177">
        <f t="shared" si="20"/>
        <v>180</v>
      </c>
      <c r="R54" s="211">
        <f t="shared" si="20"/>
        <v>122.6</v>
      </c>
      <c r="S54" s="218" t="s">
        <v>216</v>
      </c>
      <c r="T54" s="219"/>
      <c r="U54" s="219"/>
    </row>
    <row r="55" spans="1:21" s="124" customFormat="1" ht="14.4" x14ac:dyDescent="0.3">
      <c r="A55" s="182"/>
      <c r="B55" s="183"/>
      <c r="C55" s="177"/>
      <c r="D55" s="177"/>
      <c r="E55" s="177"/>
      <c r="F55" s="177"/>
      <c r="G55" s="176"/>
      <c r="H55" s="177"/>
      <c r="I55" s="177"/>
      <c r="J55" s="177"/>
      <c r="K55" s="177"/>
      <c r="L55" s="177"/>
      <c r="M55" s="177"/>
      <c r="N55" s="211"/>
      <c r="O55" s="177"/>
      <c r="P55" s="176"/>
      <c r="Q55" s="177"/>
      <c r="R55" s="211"/>
      <c r="S55" s="218"/>
      <c r="T55" s="219"/>
      <c r="U55" s="219"/>
    </row>
    <row r="56" spans="1:21" s="124" customFormat="1" ht="14.4" x14ac:dyDescent="0.3">
      <c r="A56" s="129" t="s">
        <v>71</v>
      </c>
      <c r="B56" s="130">
        <f t="shared" ref="B56:B60" si="22">SUM(C56,E56,G56,I56,K56,M56,O56,Q56)</f>
        <v>551</v>
      </c>
      <c r="C56" s="131">
        <v>24</v>
      </c>
      <c r="D56" s="132">
        <v>6.75</v>
      </c>
      <c r="E56" s="131">
        <v>5</v>
      </c>
      <c r="F56" s="132">
        <v>1.85</v>
      </c>
      <c r="G56" s="131" t="s">
        <v>287</v>
      </c>
      <c r="H56" s="132" t="s">
        <v>287</v>
      </c>
      <c r="I56" s="131">
        <v>115</v>
      </c>
      <c r="J56" s="132">
        <v>90.95</v>
      </c>
      <c r="K56" s="131">
        <v>296</v>
      </c>
      <c r="L56" s="132">
        <v>150.5</v>
      </c>
      <c r="M56" s="131">
        <v>7</v>
      </c>
      <c r="N56" s="132">
        <v>5.2</v>
      </c>
      <c r="O56" s="131">
        <v>51</v>
      </c>
      <c r="P56" s="132">
        <v>51.594000000000001</v>
      </c>
      <c r="Q56" s="131">
        <v>53</v>
      </c>
      <c r="R56" s="132">
        <v>46.6</v>
      </c>
      <c r="S56" s="152" t="s">
        <v>217</v>
      </c>
    </row>
    <row r="57" spans="1:21" s="124" customFormat="1" ht="14.4" x14ac:dyDescent="0.3">
      <c r="A57" s="129" t="s">
        <v>74</v>
      </c>
      <c r="B57" s="130">
        <f t="shared" si="22"/>
        <v>2951</v>
      </c>
      <c r="C57" s="131">
        <v>1148</v>
      </c>
      <c r="D57" s="132">
        <v>451.52</v>
      </c>
      <c r="E57" s="131">
        <v>1227</v>
      </c>
      <c r="F57" s="132">
        <v>602.928</v>
      </c>
      <c r="G57" s="131">
        <v>57</v>
      </c>
      <c r="H57" s="132">
        <v>28.29</v>
      </c>
      <c r="I57" s="131">
        <v>138</v>
      </c>
      <c r="J57" s="132">
        <v>81.2</v>
      </c>
      <c r="K57" s="131">
        <v>96</v>
      </c>
      <c r="L57" s="132">
        <v>56.9</v>
      </c>
      <c r="M57" s="131">
        <v>158</v>
      </c>
      <c r="N57" s="132">
        <v>92.3</v>
      </c>
      <c r="O57" s="131" t="s">
        <v>287</v>
      </c>
      <c r="P57" s="132" t="s">
        <v>287</v>
      </c>
      <c r="Q57" s="131">
        <v>127</v>
      </c>
      <c r="R57" s="132">
        <v>76</v>
      </c>
      <c r="S57" s="152" t="s">
        <v>218</v>
      </c>
    </row>
    <row r="58" spans="1:21" s="124" customFormat="1" ht="14.4" x14ac:dyDescent="0.3">
      <c r="A58" s="129" t="s">
        <v>76</v>
      </c>
      <c r="B58" s="130">
        <f t="shared" si="22"/>
        <v>42</v>
      </c>
      <c r="C58" s="131">
        <v>30</v>
      </c>
      <c r="D58" s="132">
        <v>4.5</v>
      </c>
      <c r="E58" s="131">
        <v>9</v>
      </c>
      <c r="F58" s="132">
        <v>2.25</v>
      </c>
      <c r="G58" s="131" t="s">
        <v>287</v>
      </c>
      <c r="H58" s="132" t="s">
        <v>287</v>
      </c>
      <c r="I58" s="137" t="s">
        <v>287</v>
      </c>
      <c r="J58" s="132" t="s">
        <v>287</v>
      </c>
      <c r="K58" s="137">
        <v>2</v>
      </c>
      <c r="L58" s="132">
        <v>0.2</v>
      </c>
      <c r="M58" s="131">
        <v>1</v>
      </c>
      <c r="N58" s="132">
        <v>0.1</v>
      </c>
      <c r="O58" s="131" t="s">
        <v>287</v>
      </c>
      <c r="P58" s="132" t="s">
        <v>287</v>
      </c>
      <c r="Q58" s="131" t="s">
        <v>287</v>
      </c>
      <c r="R58" s="132" t="s">
        <v>287</v>
      </c>
      <c r="S58" s="152" t="s">
        <v>219</v>
      </c>
    </row>
    <row r="59" spans="1:21" s="124" customFormat="1" ht="14.4" x14ac:dyDescent="0.3">
      <c r="A59" s="129" t="s">
        <v>79</v>
      </c>
      <c r="B59" s="130">
        <f t="shared" si="22"/>
        <v>7908</v>
      </c>
      <c r="C59" s="131" t="s">
        <v>287</v>
      </c>
      <c r="D59" s="132" t="s">
        <v>287</v>
      </c>
      <c r="E59" s="131" t="s">
        <v>287</v>
      </c>
      <c r="F59" s="132" t="s">
        <v>287</v>
      </c>
      <c r="G59" s="131" t="s">
        <v>287</v>
      </c>
      <c r="H59" s="132" t="s">
        <v>287</v>
      </c>
      <c r="I59" s="131" t="s">
        <v>287</v>
      </c>
      <c r="J59" s="132" t="s">
        <v>287</v>
      </c>
      <c r="K59" s="131" t="s">
        <v>287</v>
      </c>
      <c r="L59" s="132" t="s">
        <v>287</v>
      </c>
      <c r="M59" s="137">
        <v>7908</v>
      </c>
      <c r="N59" s="132">
        <v>4338.5389999999998</v>
      </c>
      <c r="O59" s="131" t="s">
        <v>287</v>
      </c>
      <c r="P59" s="132" t="s">
        <v>287</v>
      </c>
      <c r="Q59" s="131" t="s">
        <v>287</v>
      </c>
      <c r="R59" s="132" t="s">
        <v>287</v>
      </c>
      <c r="S59" s="152" t="s">
        <v>220</v>
      </c>
    </row>
    <row r="60" spans="1:21" s="124" customFormat="1" ht="14.4" x14ac:dyDescent="0.3">
      <c r="A60" s="129" t="s">
        <v>81</v>
      </c>
      <c r="B60" s="130">
        <f t="shared" si="22"/>
        <v>562</v>
      </c>
      <c r="C60" s="137">
        <v>10</v>
      </c>
      <c r="D60" s="132">
        <v>4</v>
      </c>
      <c r="E60" s="131">
        <v>154</v>
      </c>
      <c r="F60" s="132">
        <v>63.7</v>
      </c>
      <c r="G60" s="131">
        <v>1</v>
      </c>
      <c r="H60" s="132">
        <v>0.5</v>
      </c>
      <c r="I60" s="131">
        <v>69</v>
      </c>
      <c r="J60" s="132">
        <v>34.700000000000003</v>
      </c>
      <c r="K60" s="131">
        <v>27</v>
      </c>
      <c r="L60" s="132">
        <v>14.5</v>
      </c>
      <c r="M60" s="131">
        <v>301</v>
      </c>
      <c r="N60" s="132">
        <v>150</v>
      </c>
      <c r="O60" s="131" t="s">
        <v>287</v>
      </c>
      <c r="P60" s="132" t="s">
        <v>287</v>
      </c>
      <c r="Q60" s="137" t="s">
        <v>287</v>
      </c>
      <c r="R60" s="132" t="s">
        <v>287</v>
      </c>
      <c r="S60" s="152" t="s">
        <v>221</v>
      </c>
    </row>
    <row r="61" spans="1:21" s="124" customFormat="1" ht="14.4" x14ac:dyDescent="0.3">
      <c r="A61" s="182" t="s">
        <v>222</v>
      </c>
      <c r="B61" s="183">
        <f>SUM(B63:B65)</f>
        <v>682909</v>
      </c>
      <c r="C61" s="177">
        <f>SUM(C63:C65)</f>
        <v>9427</v>
      </c>
      <c r="D61" s="177">
        <f t="shared" ref="D61:R61" si="23">SUM(D63:D65)</f>
        <v>3003.9390000000003</v>
      </c>
      <c r="E61" s="177">
        <f t="shared" si="23"/>
        <v>98158</v>
      </c>
      <c r="F61" s="177">
        <f t="shared" si="23"/>
        <v>37156.172999999995</v>
      </c>
      <c r="G61" s="176">
        <f t="shared" si="23"/>
        <v>39358</v>
      </c>
      <c r="H61" s="177">
        <f t="shared" si="23"/>
        <v>14507.297</v>
      </c>
      <c r="I61" s="177">
        <f t="shared" si="23"/>
        <v>173209</v>
      </c>
      <c r="J61" s="177">
        <f t="shared" si="23"/>
        <v>290973.40999999997</v>
      </c>
      <c r="K61" s="177">
        <f t="shared" si="23"/>
        <v>112441</v>
      </c>
      <c r="L61" s="177">
        <f t="shared" si="23"/>
        <v>131864.80599999998</v>
      </c>
      <c r="M61" s="177">
        <f t="shared" si="23"/>
        <v>165506</v>
      </c>
      <c r="N61" s="211">
        <f t="shared" si="23"/>
        <v>59612.638999999996</v>
      </c>
      <c r="O61" s="177">
        <f t="shared" ref="O61:P61" si="24">SUM(O63:O65)</f>
        <v>38430</v>
      </c>
      <c r="P61" s="176">
        <f t="shared" si="24"/>
        <v>201792.076</v>
      </c>
      <c r="Q61" s="177">
        <f t="shared" si="23"/>
        <v>46380</v>
      </c>
      <c r="R61" s="211">
        <f t="shared" si="23"/>
        <v>24982.186000000002</v>
      </c>
      <c r="S61" s="220" t="s">
        <v>223</v>
      </c>
      <c r="T61" s="221"/>
      <c r="U61" s="221"/>
    </row>
    <row r="62" spans="1:21" s="124" customFormat="1" ht="14.4" x14ac:dyDescent="0.3">
      <c r="A62" s="182"/>
      <c r="B62" s="183"/>
      <c r="C62" s="177"/>
      <c r="D62" s="177"/>
      <c r="E62" s="177"/>
      <c r="F62" s="177"/>
      <c r="G62" s="176"/>
      <c r="H62" s="177"/>
      <c r="I62" s="177"/>
      <c r="J62" s="177"/>
      <c r="K62" s="177"/>
      <c r="L62" s="177"/>
      <c r="M62" s="177"/>
      <c r="N62" s="211"/>
      <c r="O62" s="177"/>
      <c r="P62" s="176"/>
      <c r="Q62" s="177"/>
      <c r="R62" s="211"/>
      <c r="S62" s="220"/>
      <c r="T62" s="221"/>
      <c r="U62" s="221"/>
    </row>
    <row r="63" spans="1:21" s="124" customFormat="1" ht="14.4" x14ac:dyDescent="0.3">
      <c r="A63" s="129" t="s">
        <v>83</v>
      </c>
      <c r="B63" s="130">
        <f t="shared" ref="B63:B65" si="25">SUM(C63,E63,G63,I63,K63,M63,O63,Q63)</f>
        <v>170203</v>
      </c>
      <c r="C63" s="131">
        <v>1545</v>
      </c>
      <c r="D63" s="132">
        <v>504.95499999999998</v>
      </c>
      <c r="E63" s="131">
        <v>34928</v>
      </c>
      <c r="F63" s="132">
        <v>12804.088</v>
      </c>
      <c r="G63" s="131">
        <v>21073</v>
      </c>
      <c r="H63" s="132">
        <v>7264.7129999999997</v>
      </c>
      <c r="I63" s="131">
        <v>9622</v>
      </c>
      <c r="J63" s="132">
        <v>9598.1139999999996</v>
      </c>
      <c r="K63" s="131">
        <v>16833</v>
      </c>
      <c r="L63" s="132">
        <v>11796.634</v>
      </c>
      <c r="M63" s="131">
        <v>64414</v>
      </c>
      <c r="N63" s="132">
        <v>21765.684000000001</v>
      </c>
      <c r="O63" s="131">
        <v>2718</v>
      </c>
      <c r="P63" s="132">
        <v>12509.596</v>
      </c>
      <c r="Q63" s="131">
        <v>19070</v>
      </c>
      <c r="R63" s="132">
        <v>5912.09</v>
      </c>
      <c r="S63" s="152" t="s">
        <v>224</v>
      </c>
    </row>
    <row r="64" spans="1:21" s="124" customFormat="1" ht="14.4" x14ac:dyDescent="0.3">
      <c r="A64" s="129" t="s">
        <v>85</v>
      </c>
      <c r="B64" s="130">
        <f t="shared" si="25"/>
        <v>338378</v>
      </c>
      <c r="C64" s="131">
        <v>2363</v>
      </c>
      <c r="D64" s="132">
        <v>799.28399999999999</v>
      </c>
      <c r="E64" s="131">
        <v>37317</v>
      </c>
      <c r="F64" s="132">
        <v>14704.385</v>
      </c>
      <c r="G64" s="131">
        <v>11562</v>
      </c>
      <c r="H64" s="132">
        <v>4553.9319999999998</v>
      </c>
      <c r="I64" s="131">
        <v>147830</v>
      </c>
      <c r="J64" s="132">
        <v>256777.24600000001</v>
      </c>
      <c r="K64" s="131">
        <v>43904</v>
      </c>
      <c r="L64" s="132">
        <v>46356.411999999997</v>
      </c>
      <c r="M64" s="131">
        <v>62497</v>
      </c>
      <c r="N64" s="132">
        <v>26387.671999999999</v>
      </c>
      <c r="O64" s="131">
        <v>26775</v>
      </c>
      <c r="P64" s="132">
        <v>148339.23300000001</v>
      </c>
      <c r="Q64" s="131">
        <v>6130</v>
      </c>
      <c r="R64" s="132">
        <v>9693.5679999999993</v>
      </c>
      <c r="S64" s="216" t="s">
        <v>225</v>
      </c>
      <c r="T64" s="217"/>
      <c r="U64" s="217"/>
    </row>
    <row r="65" spans="1:22" s="124" customFormat="1" ht="14.4" x14ac:dyDescent="0.3">
      <c r="A65" s="129" t="s">
        <v>88</v>
      </c>
      <c r="B65" s="130">
        <f t="shared" si="25"/>
        <v>174328</v>
      </c>
      <c r="C65" s="131">
        <v>5519</v>
      </c>
      <c r="D65" s="132">
        <v>1699.7</v>
      </c>
      <c r="E65" s="131">
        <v>25913</v>
      </c>
      <c r="F65" s="132">
        <v>9647.7000000000007</v>
      </c>
      <c r="G65" s="131">
        <v>6723</v>
      </c>
      <c r="H65" s="132">
        <v>2688.652</v>
      </c>
      <c r="I65" s="131">
        <v>15757</v>
      </c>
      <c r="J65" s="132">
        <v>24598.05</v>
      </c>
      <c r="K65" s="131">
        <v>51704</v>
      </c>
      <c r="L65" s="132">
        <v>73711.759999999995</v>
      </c>
      <c r="M65" s="131">
        <v>38595</v>
      </c>
      <c r="N65" s="132">
        <v>11459.282999999999</v>
      </c>
      <c r="O65" s="131">
        <v>8937</v>
      </c>
      <c r="P65" s="132">
        <v>40943.247000000003</v>
      </c>
      <c r="Q65" s="131">
        <v>21180</v>
      </c>
      <c r="R65" s="132">
        <v>9376.5280000000002</v>
      </c>
      <c r="S65" s="152" t="s">
        <v>226</v>
      </c>
    </row>
    <row r="66" spans="1:22" s="124" customFormat="1" ht="14.4" x14ac:dyDescent="0.3">
      <c r="A66" s="182" t="s">
        <v>227</v>
      </c>
      <c r="B66" s="183">
        <f>SUM(B68:B72)</f>
        <v>130973</v>
      </c>
      <c r="C66" s="177">
        <f>SUM(C68:C72)</f>
        <v>8808</v>
      </c>
      <c r="D66" s="177">
        <f t="shared" ref="D66:R66" si="26">SUM(D68:D72)</f>
        <v>3064.0940000000001</v>
      </c>
      <c r="E66" s="177">
        <f t="shared" si="26"/>
        <v>21692</v>
      </c>
      <c r="F66" s="177">
        <f t="shared" si="26"/>
        <v>8643.616</v>
      </c>
      <c r="G66" s="176">
        <f t="shared" si="26"/>
        <v>18765</v>
      </c>
      <c r="H66" s="177">
        <f t="shared" si="26"/>
        <v>7609.9880000000003</v>
      </c>
      <c r="I66" s="177">
        <f t="shared" si="26"/>
        <v>7519</v>
      </c>
      <c r="J66" s="177">
        <f t="shared" si="26"/>
        <v>8316.6850000000013</v>
      </c>
      <c r="K66" s="177">
        <f t="shared" si="26"/>
        <v>17305</v>
      </c>
      <c r="L66" s="177">
        <f t="shared" si="26"/>
        <v>20788.644</v>
      </c>
      <c r="M66" s="177">
        <f t="shared" si="26"/>
        <v>30904</v>
      </c>
      <c r="N66" s="211">
        <f t="shared" si="26"/>
        <v>11412.958999999999</v>
      </c>
      <c r="O66" s="177">
        <f t="shared" ref="O66:P66" si="27">SUM(O68:O72)</f>
        <v>3357</v>
      </c>
      <c r="P66" s="176">
        <f t="shared" si="27"/>
        <v>9125.8940000000002</v>
      </c>
      <c r="Q66" s="177">
        <f t="shared" si="26"/>
        <v>22623</v>
      </c>
      <c r="R66" s="211">
        <f t="shared" si="26"/>
        <v>9062.7380000000012</v>
      </c>
      <c r="S66" s="220" t="s">
        <v>228</v>
      </c>
      <c r="T66" s="221"/>
      <c r="U66" s="221"/>
    </row>
    <row r="67" spans="1:22" s="124" customFormat="1" ht="14.4" x14ac:dyDescent="0.3">
      <c r="A67" s="182"/>
      <c r="B67" s="183"/>
      <c r="C67" s="177"/>
      <c r="D67" s="177"/>
      <c r="E67" s="177"/>
      <c r="F67" s="177"/>
      <c r="G67" s="176"/>
      <c r="H67" s="177"/>
      <c r="I67" s="177"/>
      <c r="J67" s="177"/>
      <c r="K67" s="177"/>
      <c r="L67" s="177"/>
      <c r="M67" s="177"/>
      <c r="N67" s="211"/>
      <c r="O67" s="177"/>
      <c r="P67" s="176"/>
      <c r="Q67" s="177"/>
      <c r="R67" s="211"/>
      <c r="S67" s="220"/>
      <c r="T67" s="221"/>
      <c r="U67" s="221"/>
    </row>
    <row r="68" spans="1:22" s="124" customFormat="1" ht="14.4" x14ac:dyDescent="0.3">
      <c r="A68" s="129" t="s">
        <v>90</v>
      </c>
      <c r="B68" s="130">
        <f t="shared" ref="B68:B72" si="28">SUM(C68,E68,G68,I68,K68,M68,O68,Q68)</f>
        <v>50539</v>
      </c>
      <c r="C68" s="131">
        <v>3769</v>
      </c>
      <c r="D68" s="132">
        <v>1300.8800000000001</v>
      </c>
      <c r="E68" s="131">
        <v>7990</v>
      </c>
      <c r="F68" s="132">
        <v>3182.9360000000001</v>
      </c>
      <c r="G68" s="131">
        <v>8897</v>
      </c>
      <c r="H68" s="132">
        <v>3450.2069999999999</v>
      </c>
      <c r="I68" s="131">
        <v>2506</v>
      </c>
      <c r="J68" s="132">
        <v>2146.2750000000001</v>
      </c>
      <c r="K68" s="131">
        <v>3597</v>
      </c>
      <c r="L68" s="132">
        <v>4024.55</v>
      </c>
      <c r="M68" s="131">
        <v>9123</v>
      </c>
      <c r="N68" s="132">
        <v>3584.65</v>
      </c>
      <c r="O68" s="131">
        <v>1319</v>
      </c>
      <c r="P68" s="132">
        <v>2762.51</v>
      </c>
      <c r="Q68" s="131">
        <v>13338</v>
      </c>
      <c r="R68" s="132">
        <v>5672.6329999999998</v>
      </c>
      <c r="S68" s="152" t="s">
        <v>229</v>
      </c>
    </row>
    <row r="69" spans="1:22" s="124" customFormat="1" ht="14.4" x14ac:dyDescent="0.3">
      <c r="A69" s="129" t="s">
        <v>92</v>
      </c>
      <c r="B69" s="130">
        <f t="shared" si="28"/>
        <v>13707</v>
      </c>
      <c r="C69" s="131">
        <v>1041</v>
      </c>
      <c r="D69" s="132">
        <v>375.517</v>
      </c>
      <c r="E69" s="131">
        <v>4739</v>
      </c>
      <c r="F69" s="132">
        <v>1652.904</v>
      </c>
      <c r="G69" s="131">
        <v>2347</v>
      </c>
      <c r="H69" s="132">
        <v>987.45500000000004</v>
      </c>
      <c r="I69" s="131">
        <v>189</v>
      </c>
      <c r="J69" s="132">
        <v>183.5</v>
      </c>
      <c r="K69" s="131">
        <v>109</v>
      </c>
      <c r="L69" s="132">
        <v>136.4</v>
      </c>
      <c r="M69" s="131">
        <v>426</v>
      </c>
      <c r="N69" s="132">
        <v>113.39</v>
      </c>
      <c r="O69" s="131">
        <v>23</v>
      </c>
      <c r="P69" s="132">
        <v>29</v>
      </c>
      <c r="Q69" s="137">
        <v>4833</v>
      </c>
      <c r="R69" s="132">
        <v>1366.433</v>
      </c>
      <c r="S69" s="152" t="s">
        <v>230</v>
      </c>
    </row>
    <row r="70" spans="1:22" s="124" customFormat="1" ht="14.4" x14ac:dyDescent="0.3">
      <c r="A70" s="129" t="s">
        <v>94</v>
      </c>
      <c r="B70" s="130">
        <f t="shared" si="28"/>
        <v>21158</v>
      </c>
      <c r="C70" s="131">
        <v>2254</v>
      </c>
      <c r="D70" s="132">
        <v>831.80700000000002</v>
      </c>
      <c r="E70" s="131">
        <v>2775</v>
      </c>
      <c r="F70" s="132">
        <v>1308.9380000000001</v>
      </c>
      <c r="G70" s="131">
        <v>2662</v>
      </c>
      <c r="H70" s="132">
        <v>1240.114</v>
      </c>
      <c r="I70" s="131">
        <v>879</v>
      </c>
      <c r="J70" s="132">
        <v>1004.7</v>
      </c>
      <c r="K70" s="131">
        <v>7710</v>
      </c>
      <c r="L70" s="132">
        <v>7481.8940000000002</v>
      </c>
      <c r="M70" s="131">
        <v>3575</v>
      </c>
      <c r="N70" s="132">
        <v>1905.2760000000001</v>
      </c>
      <c r="O70" s="131">
        <v>561</v>
      </c>
      <c r="P70" s="132">
        <v>707.26</v>
      </c>
      <c r="Q70" s="131">
        <v>742</v>
      </c>
      <c r="R70" s="132">
        <v>579.4</v>
      </c>
      <c r="S70" s="152" t="s">
        <v>231</v>
      </c>
    </row>
    <row r="71" spans="1:22" s="124" customFormat="1" ht="14.4" x14ac:dyDescent="0.3">
      <c r="A71" s="129" t="s">
        <v>97</v>
      </c>
      <c r="B71" s="130">
        <f t="shared" si="28"/>
        <v>16434</v>
      </c>
      <c r="C71" s="131">
        <v>1417</v>
      </c>
      <c r="D71" s="132">
        <v>455.56400000000002</v>
      </c>
      <c r="E71" s="131">
        <v>3409</v>
      </c>
      <c r="F71" s="132">
        <v>1469.683</v>
      </c>
      <c r="G71" s="131">
        <v>1494</v>
      </c>
      <c r="H71" s="132">
        <v>690.93100000000004</v>
      </c>
      <c r="I71" s="131">
        <v>826</v>
      </c>
      <c r="J71" s="132">
        <v>2065.9850000000001</v>
      </c>
      <c r="K71" s="131">
        <v>2453</v>
      </c>
      <c r="L71" s="132">
        <v>5714.25</v>
      </c>
      <c r="M71" s="131">
        <v>4367</v>
      </c>
      <c r="N71" s="132">
        <v>2549.8270000000002</v>
      </c>
      <c r="O71" s="131">
        <v>1362</v>
      </c>
      <c r="P71" s="132">
        <v>5419.424</v>
      </c>
      <c r="Q71" s="131">
        <v>1106</v>
      </c>
      <c r="R71" s="132">
        <v>592.73199999999997</v>
      </c>
      <c r="S71" s="152" t="s">
        <v>232</v>
      </c>
    </row>
    <row r="72" spans="1:22" s="124" customFormat="1" ht="14.4" x14ac:dyDescent="0.3">
      <c r="A72" s="129" t="s">
        <v>99</v>
      </c>
      <c r="B72" s="130">
        <f t="shared" si="28"/>
        <v>29135</v>
      </c>
      <c r="C72" s="131">
        <v>327</v>
      </c>
      <c r="D72" s="132">
        <v>100.32599999999999</v>
      </c>
      <c r="E72" s="131">
        <v>2779</v>
      </c>
      <c r="F72" s="132">
        <v>1029.155</v>
      </c>
      <c r="G72" s="131">
        <v>3365</v>
      </c>
      <c r="H72" s="132">
        <v>1241.2809999999999</v>
      </c>
      <c r="I72" s="131">
        <v>3119</v>
      </c>
      <c r="J72" s="132">
        <v>2916.2249999999999</v>
      </c>
      <c r="K72" s="131">
        <v>3436</v>
      </c>
      <c r="L72" s="132">
        <v>3431.55</v>
      </c>
      <c r="M72" s="131">
        <v>13413</v>
      </c>
      <c r="N72" s="132">
        <v>3259.8159999999998</v>
      </c>
      <c r="O72" s="131">
        <v>92</v>
      </c>
      <c r="P72" s="132">
        <v>207.7</v>
      </c>
      <c r="Q72" s="131">
        <v>2604</v>
      </c>
      <c r="R72" s="132">
        <v>851.54</v>
      </c>
      <c r="S72" s="152" t="s">
        <v>233</v>
      </c>
    </row>
    <row r="73" spans="1:22" s="124" customFormat="1" ht="14.4" x14ac:dyDescent="0.3">
      <c r="A73" s="182" t="s">
        <v>234</v>
      </c>
      <c r="B73" s="183">
        <f>SUM(B75:B82)</f>
        <v>9096</v>
      </c>
      <c r="C73" s="177">
        <f>SUM(C75:C82)</f>
        <v>731</v>
      </c>
      <c r="D73" s="177">
        <f t="shared" ref="D73:R73" si="29">SUM(D75:D82)</f>
        <v>243.23199999999997</v>
      </c>
      <c r="E73" s="177">
        <f t="shared" si="29"/>
        <v>2029</v>
      </c>
      <c r="F73" s="177">
        <f t="shared" si="29"/>
        <v>822.29600000000005</v>
      </c>
      <c r="G73" s="176">
        <f t="shared" si="29"/>
        <v>2574</v>
      </c>
      <c r="H73" s="177">
        <f t="shared" si="29"/>
        <v>1081.42</v>
      </c>
      <c r="I73" s="177">
        <f t="shared" si="29"/>
        <v>609</v>
      </c>
      <c r="J73" s="177">
        <f t="shared" si="29"/>
        <v>867</v>
      </c>
      <c r="K73" s="177">
        <f t="shared" si="29"/>
        <v>452</v>
      </c>
      <c r="L73" s="177">
        <f t="shared" si="29"/>
        <v>637.19999999999993</v>
      </c>
      <c r="M73" s="177">
        <f t="shared" si="29"/>
        <v>2473</v>
      </c>
      <c r="N73" s="211">
        <f t="shared" si="29"/>
        <v>1075.43</v>
      </c>
      <c r="O73" s="177">
        <f t="shared" ref="O73:P73" si="30">SUM(O75:O82)</f>
        <v>0</v>
      </c>
      <c r="P73" s="176">
        <f t="shared" si="30"/>
        <v>0</v>
      </c>
      <c r="Q73" s="177">
        <f t="shared" si="29"/>
        <v>228</v>
      </c>
      <c r="R73" s="211">
        <f t="shared" si="29"/>
        <v>84.350000000000009</v>
      </c>
      <c r="S73" s="218" t="s">
        <v>235</v>
      </c>
      <c r="T73" s="219"/>
      <c r="U73" s="219"/>
    </row>
    <row r="74" spans="1:22" s="124" customFormat="1" ht="14.4" x14ac:dyDescent="0.3">
      <c r="A74" s="182"/>
      <c r="B74" s="183"/>
      <c r="C74" s="177"/>
      <c r="D74" s="177"/>
      <c r="E74" s="177"/>
      <c r="F74" s="177"/>
      <c r="G74" s="176"/>
      <c r="H74" s="177"/>
      <c r="I74" s="177"/>
      <c r="J74" s="177"/>
      <c r="K74" s="177"/>
      <c r="L74" s="177"/>
      <c r="M74" s="177"/>
      <c r="N74" s="211"/>
      <c r="O74" s="177"/>
      <c r="P74" s="176"/>
      <c r="Q74" s="177"/>
      <c r="R74" s="211"/>
      <c r="S74" s="218"/>
      <c r="T74" s="219"/>
      <c r="U74" s="219"/>
    </row>
    <row r="75" spans="1:22" s="124" customFormat="1" ht="14.4" x14ac:dyDescent="0.3">
      <c r="A75" s="138" t="s">
        <v>273</v>
      </c>
      <c r="B75" s="130">
        <f t="shared" ref="B75:B82" si="31">SUM(C75,E75,G75,I75,K75,M75,O75,Q75)</f>
        <v>0</v>
      </c>
      <c r="C75" s="131" t="s">
        <v>287</v>
      </c>
      <c r="D75" s="132" t="s">
        <v>287</v>
      </c>
      <c r="E75" s="131" t="s">
        <v>287</v>
      </c>
      <c r="F75" s="132" t="s">
        <v>287</v>
      </c>
      <c r="G75" s="131" t="s">
        <v>287</v>
      </c>
      <c r="H75" s="132" t="s">
        <v>287</v>
      </c>
      <c r="I75" s="131" t="s">
        <v>287</v>
      </c>
      <c r="J75" s="132" t="s">
        <v>287</v>
      </c>
      <c r="K75" s="131" t="s">
        <v>287</v>
      </c>
      <c r="L75" s="132" t="s">
        <v>287</v>
      </c>
      <c r="M75" s="131" t="s">
        <v>287</v>
      </c>
      <c r="N75" s="132" t="s">
        <v>287</v>
      </c>
      <c r="O75" s="131" t="s">
        <v>287</v>
      </c>
      <c r="P75" s="132" t="s">
        <v>287</v>
      </c>
      <c r="Q75" s="131" t="s">
        <v>287</v>
      </c>
      <c r="R75" s="132" t="s">
        <v>287</v>
      </c>
      <c r="S75" s="216" t="s">
        <v>236</v>
      </c>
      <c r="T75" s="217"/>
      <c r="U75" s="217"/>
      <c r="V75" s="217"/>
    </row>
    <row r="76" spans="1:22" s="124" customFormat="1" ht="14.4" x14ac:dyDescent="0.3">
      <c r="A76" s="139" t="s">
        <v>274</v>
      </c>
      <c r="B76" s="130">
        <f t="shared" si="31"/>
        <v>9</v>
      </c>
      <c r="C76" s="131" t="s">
        <v>287</v>
      </c>
      <c r="D76" s="132" t="s">
        <v>287</v>
      </c>
      <c r="E76" s="131" t="s">
        <v>287</v>
      </c>
      <c r="F76" s="132" t="s">
        <v>287</v>
      </c>
      <c r="G76" s="131" t="s">
        <v>287</v>
      </c>
      <c r="H76" s="132" t="s">
        <v>287</v>
      </c>
      <c r="I76" s="131">
        <v>9</v>
      </c>
      <c r="J76" s="132">
        <v>9</v>
      </c>
      <c r="K76" s="131" t="s">
        <v>287</v>
      </c>
      <c r="L76" s="132" t="s">
        <v>287</v>
      </c>
      <c r="M76" s="131" t="s">
        <v>287</v>
      </c>
      <c r="N76" s="132" t="s">
        <v>287</v>
      </c>
      <c r="O76" s="131" t="s">
        <v>287</v>
      </c>
      <c r="P76" s="132" t="s">
        <v>287</v>
      </c>
      <c r="Q76" s="131" t="s">
        <v>287</v>
      </c>
      <c r="R76" s="132" t="s">
        <v>287</v>
      </c>
      <c r="S76" s="216" t="s">
        <v>237</v>
      </c>
      <c r="T76" s="217"/>
      <c r="U76" s="217"/>
      <c r="V76" s="217"/>
    </row>
    <row r="77" spans="1:22" s="124" customFormat="1" ht="14.4" x14ac:dyDescent="0.3">
      <c r="A77" s="129" t="s">
        <v>106</v>
      </c>
      <c r="B77" s="130">
        <f t="shared" si="31"/>
        <v>0</v>
      </c>
      <c r="C77" s="131" t="s">
        <v>287</v>
      </c>
      <c r="D77" s="132" t="s">
        <v>287</v>
      </c>
      <c r="E77" s="131" t="s">
        <v>287</v>
      </c>
      <c r="F77" s="132" t="s">
        <v>287</v>
      </c>
      <c r="G77" s="131" t="s">
        <v>287</v>
      </c>
      <c r="H77" s="132" t="s">
        <v>287</v>
      </c>
      <c r="I77" s="131" t="s">
        <v>287</v>
      </c>
      <c r="J77" s="132" t="s">
        <v>287</v>
      </c>
      <c r="K77" s="131" t="s">
        <v>287</v>
      </c>
      <c r="L77" s="132" t="s">
        <v>287</v>
      </c>
      <c r="M77" s="131" t="s">
        <v>287</v>
      </c>
      <c r="N77" s="132" t="s">
        <v>287</v>
      </c>
      <c r="O77" s="131" t="s">
        <v>287</v>
      </c>
      <c r="P77" s="132" t="s">
        <v>287</v>
      </c>
      <c r="Q77" s="131" t="s">
        <v>287</v>
      </c>
      <c r="R77" s="132" t="s">
        <v>287</v>
      </c>
      <c r="S77" s="216" t="s">
        <v>238</v>
      </c>
      <c r="T77" s="217"/>
      <c r="U77" s="217"/>
      <c r="V77" s="217"/>
    </row>
    <row r="78" spans="1:22" s="124" customFormat="1" ht="14.4" x14ac:dyDescent="0.3">
      <c r="A78" s="129" t="s">
        <v>108</v>
      </c>
      <c r="B78" s="130">
        <f t="shared" si="31"/>
        <v>0</v>
      </c>
      <c r="C78" s="131" t="s">
        <v>287</v>
      </c>
      <c r="D78" s="132" t="s">
        <v>287</v>
      </c>
      <c r="E78" s="131" t="s">
        <v>287</v>
      </c>
      <c r="F78" s="132" t="s">
        <v>287</v>
      </c>
      <c r="G78" s="131" t="s">
        <v>287</v>
      </c>
      <c r="H78" s="132" t="s">
        <v>287</v>
      </c>
      <c r="I78" s="131" t="s">
        <v>287</v>
      </c>
      <c r="J78" s="132" t="s">
        <v>287</v>
      </c>
      <c r="K78" s="131" t="s">
        <v>287</v>
      </c>
      <c r="L78" s="132" t="s">
        <v>287</v>
      </c>
      <c r="M78" s="131" t="s">
        <v>287</v>
      </c>
      <c r="N78" s="132" t="s">
        <v>287</v>
      </c>
      <c r="O78" s="131" t="s">
        <v>287</v>
      </c>
      <c r="P78" s="132" t="s">
        <v>287</v>
      </c>
      <c r="Q78" s="131" t="s">
        <v>287</v>
      </c>
      <c r="R78" s="132" t="s">
        <v>287</v>
      </c>
      <c r="S78" s="216" t="s">
        <v>239</v>
      </c>
      <c r="T78" s="217"/>
      <c r="U78" s="217"/>
      <c r="V78" s="217"/>
    </row>
    <row r="79" spans="1:22" s="124" customFormat="1" ht="14.4" x14ac:dyDescent="0.3">
      <c r="A79" s="129" t="s">
        <v>110</v>
      </c>
      <c r="B79" s="130">
        <f t="shared" si="31"/>
        <v>5176</v>
      </c>
      <c r="C79" s="131">
        <v>174</v>
      </c>
      <c r="D79" s="132">
        <v>61.091999999999999</v>
      </c>
      <c r="E79" s="131">
        <v>311</v>
      </c>
      <c r="F79" s="132">
        <v>131.196</v>
      </c>
      <c r="G79" s="131">
        <v>1633</v>
      </c>
      <c r="H79" s="132">
        <v>685.55</v>
      </c>
      <c r="I79" s="131">
        <v>249</v>
      </c>
      <c r="J79" s="132">
        <v>397.3</v>
      </c>
      <c r="K79" s="131">
        <v>406</v>
      </c>
      <c r="L79" s="132">
        <v>600.4</v>
      </c>
      <c r="M79" s="131">
        <v>2385</v>
      </c>
      <c r="N79" s="132">
        <v>1033.19</v>
      </c>
      <c r="O79" s="131" t="s">
        <v>287</v>
      </c>
      <c r="P79" s="132" t="s">
        <v>287</v>
      </c>
      <c r="Q79" s="137">
        <v>18</v>
      </c>
      <c r="R79" s="132">
        <v>12.65</v>
      </c>
      <c r="S79" s="216" t="s">
        <v>240</v>
      </c>
      <c r="T79" s="217"/>
      <c r="U79" s="217"/>
      <c r="V79" s="217"/>
    </row>
    <row r="80" spans="1:22" s="124" customFormat="1" ht="14.4" x14ac:dyDescent="0.3">
      <c r="A80" s="129" t="s">
        <v>113</v>
      </c>
      <c r="B80" s="130">
        <f t="shared" si="31"/>
        <v>1913</v>
      </c>
      <c r="C80" s="131">
        <v>462</v>
      </c>
      <c r="D80" s="132">
        <v>146.5</v>
      </c>
      <c r="E80" s="131">
        <v>323</v>
      </c>
      <c r="F80" s="132">
        <v>108.6</v>
      </c>
      <c r="G80" s="131">
        <v>631</v>
      </c>
      <c r="H80" s="132">
        <v>264.85000000000002</v>
      </c>
      <c r="I80" s="137">
        <v>153</v>
      </c>
      <c r="J80" s="132">
        <v>143.69999999999999</v>
      </c>
      <c r="K80" s="131">
        <v>46</v>
      </c>
      <c r="L80" s="132">
        <v>36.799999999999997</v>
      </c>
      <c r="M80" s="137">
        <v>88</v>
      </c>
      <c r="N80" s="132">
        <v>42.24</v>
      </c>
      <c r="O80" s="131" t="s">
        <v>287</v>
      </c>
      <c r="P80" s="132" t="s">
        <v>287</v>
      </c>
      <c r="Q80" s="131">
        <v>210</v>
      </c>
      <c r="R80" s="132">
        <v>71.7</v>
      </c>
      <c r="S80" s="216" t="s">
        <v>241</v>
      </c>
      <c r="T80" s="217"/>
      <c r="U80" s="217"/>
      <c r="V80" s="217"/>
    </row>
    <row r="81" spans="1:22" s="124" customFormat="1" ht="14.4" x14ac:dyDescent="0.3">
      <c r="A81" s="129" t="s">
        <v>115</v>
      </c>
      <c r="B81" s="130">
        <f t="shared" si="31"/>
        <v>0</v>
      </c>
      <c r="C81" s="131" t="s">
        <v>287</v>
      </c>
      <c r="D81" s="132" t="s">
        <v>287</v>
      </c>
      <c r="E81" s="131" t="s">
        <v>287</v>
      </c>
      <c r="F81" s="132" t="s">
        <v>287</v>
      </c>
      <c r="G81" s="131" t="s">
        <v>287</v>
      </c>
      <c r="H81" s="132" t="s">
        <v>287</v>
      </c>
      <c r="I81" s="137" t="s">
        <v>287</v>
      </c>
      <c r="J81" s="132" t="s">
        <v>287</v>
      </c>
      <c r="K81" s="131" t="s">
        <v>287</v>
      </c>
      <c r="L81" s="132" t="s">
        <v>287</v>
      </c>
      <c r="M81" s="137" t="s">
        <v>287</v>
      </c>
      <c r="N81" s="132" t="s">
        <v>287</v>
      </c>
      <c r="O81" s="131" t="s">
        <v>287</v>
      </c>
      <c r="P81" s="132" t="s">
        <v>287</v>
      </c>
      <c r="Q81" s="131" t="s">
        <v>287</v>
      </c>
      <c r="R81" s="132" t="s">
        <v>287</v>
      </c>
      <c r="S81" s="216" t="s">
        <v>242</v>
      </c>
      <c r="T81" s="217"/>
      <c r="U81" s="217"/>
      <c r="V81" s="217"/>
    </row>
    <row r="82" spans="1:22" s="124" customFormat="1" ht="14.4" x14ac:dyDescent="0.3">
      <c r="A82" s="129" t="s">
        <v>117</v>
      </c>
      <c r="B82" s="130">
        <f t="shared" si="31"/>
        <v>1998</v>
      </c>
      <c r="C82" s="131">
        <v>95</v>
      </c>
      <c r="D82" s="132">
        <v>35.64</v>
      </c>
      <c r="E82" s="131">
        <v>1395</v>
      </c>
      <c r="F82" s="132">
        <v>582.5</v>
      </c>
      <c r="G82" s="131">
        <v>310</v>
      </c>
      <c r="H82" s="132">
        <v>131.02000000000001</v>
      </c>
      <c r="I82" s="131">
        <v>198</v>
      </c>
      <c r="J82" s="132">
        <v>317</v>
      </c>
      <c r="K82" s="137" t="s">
        <v>287</v>
      </c>
      <c r="L82" s="132" t="s">
        <v>287</v>
      </c>
      <c r="M82" s="137" t="s">
        <v>287</v>
      </c>
      <c r="N82" s="132" t="s">
        <v>287</v>
      </c>
      <c r="O82" s="131" t="s">
        <v>287</v>
      </c>
      <c r="P82" s="132" t="s">
        <v>287</v>
      </c>
      <c r="Q82" s="137" t="s">
        <v>287</v>
      </c>
      <c r="R82" s="132" t="s">
        <v>287</v>
      </c>
      <c r="S82" s="216" t="s">
        <v>243</v>
      </c>
      <c r="T82" s="217"/>
      <c r="U82" s="217"/>
      <c r="V82" s="217"/>
    </row>
    <row r="83" spans="1:22" s="124" customFormat="1" ht="14.4" x14ac:dyDescent="0.3">
      <c r="A83" s="182" t="s">
        <v>244</v>
      </c>
      <c r="B83" s="183">
        <f>SUM(B85:B89)</f>
        <v>42175</v>
      </c>
      <c r="C83" s="177">
        <f>SUM(C85:C89)</f>
        <v>1909</v>
      </c>
      <c r="D83" s="177">
        <f t="shared" ref="D83:R83" si="32">SUM(D85:D89)</f>
        <v>654.95000000000005</v>
      </c>
      <c r="E83" s="177">
        <f t="shared" si="32"/>
        <v>9727</v>
      </c>
      <c r="F83" s="177">
        <f t="shared" si="32"/>
        <v>4296.0320000000002</v>
      </c>
      <c r="G83" s="176">
        <f t="shared" si="32"/>
        <v>8001</v>
      </c>
      <c r="H83" s="177">
        <f t="shared" si="32"/>
        <v>3792.424</v>
      </c>
      <c r="I83" s="177">
        <f t="shared" si="32"/>
        <v>4321</v>
      </c>
      <c r="J83" s="177">
        <f t="shared" si="32"/>
        <v>8092.76</v>
      </c>
      <c r="K83" s="177">
        <f t="shared" si="32"/>
        <v>3404</v>
      </c>
      <c r="L83" s="177">
        <f t="shared" si="32"/>
        <v>3736.55</v>
      </c>
      <c r="M83" s="177">
        <f t="shared" si="32"/>
        <v>8326</v>
      </c>
      <c r="N83" s="211">
        <f t="shared" si="32"/>
        <v>1569.1030000000001</v>
      </c>
      <c r="O83" s="177">
        <f t="shared" ref="O83:P83" si="33">SUM(O85:O89)</f>
        <v>230</v>
      </c>
      <c r="P83" s="176">
        <f t="shared" si="33"/>
        <v>315.5</v>
      </c>
      <c r="Q83" s="177">
        <f t="shared" si="32"/>
        <v>6257</v>
      </c>
      <c r="R83" s="211">
        <f t="shared" si="32"/>
        <v>4767.6130000000003</v>
      </c>
      <c r="S83" s="220" t="s">
        <v>245</v>
      </c>
      <c r="T83" s="221"/>
      <c r="U83" s="221"/>
    </row>
    <row r="84" spans="1:22" s="124" customFormat="1" ht="14.4" x14ac:dyDescent="0.3">
      <c r="A84" s="182"/>
      <c r="B84" s="183"/>
      <c r="C84" s="177"/>
      <c r="D84" s="177"/>
      <c r="E84" s="177"/>
      <c r="F84" s="177"/>
      <c r="G84" s="176"/>
      <c r="H84" s="177"/>
      <c r="I84" s="177"/>
      <c r="J84" s="177"/>
      <c r="K84" s="177"/>
      <c r="L84" s="177"/>
      <c r="M84" s="177"/>
      <c r="N84" s="211"/>
      <c r="O84" s="177"/>
      <c r="P84" s="176"/>
      <c r="Q84" s="177"/>
      <c r="R84" s="211"/>
      <c r="S84" s="220"/>
      <c r="T84" s="221"/>
      <c r="U84" s="221"/>
    </row>
    <row r="85" spans="1:22" s="124" customFormat="1" ht="14.4" x14ac:dyDescent="0.3">
      <c r="A85" s="129" t="s">
        <v>119</v>
      </c>
      <c r="B85" s="130">
        <f t="shared" ref="B85:B89" si="34">SUM(C85,E85,G85,I85,K85,M85,O85,Q85)</f>
        <v>16912</v>
      </c>
      <c r="C85" s="131">
        <v>1281</v>
      </c>
      <c r="D85" s="132">
        <v>469.39</v>
      </c>
      <c r="E85" s="131">
        <v>5697</v>
      </c>
      <c r="F85" s="132">
        <v>2713.1619999999998</v>
      </c>
      <c r="G85" s="131">
        <v>3067</v>
      </c>
      <c r="H85" s="132">
        <v>1354.952</v>
      </c>
      <c r="I85" s="131">
        <v>3239</v>
      </c>
      <c r="J85" s="132">
        <v>6277.1</v>
      </c>
      <c r="K85" s="131">
        <v>934</v>
      </c>
      <c r="L85" s="132">
        <v>860.4</v>
      </c>
      <c r="M85" s="131">
        <v>120</v>
      </c>
      <c r="N85" s="132">
        <v>47.76</v>
      </c>
      <c r="O85" s="131">
        <v>221</v>
      </c>
      <c r="P85" s="132">
        <v>306.5</v>
      </c>
      <c r="Q85" s="131">
        <v>2353</v>
      </c>
      <c r="R85" s="132">
        <v>1691.1130000000001</v>
      </c>
      <c r="S85" s="152" t="s">
        <v>246</v>
      </c>
    </row>
    <row r="86" spans="1:22" s="124" customFormat="1" ht="14.4" x14ac:dyDescent="0.3">
      <c r="A86" s="129" t="s">
        <v>122</v>
      </c>
      <c r="B86" s="130">
        <f t="shared" si="34"/>
        <v>8333</v>
      </c>
      <c r="C86" s="131">
        <v>485</v>
      </c>
      <c r="D86" s="132">
        <v>146</v>
      </c>
      <c r="E86" s="131">
        <v>580</v>
      </c>
      <c r="F86" s="132">
        <v>232</v>
      </c>
      <c r="G86" s="131">
        <v>880</v>
      </c>
      <c r="H86" s="132">
        <v>440</v>
      </c>
      <c r="I86" s="131">
        <v>15</v>
      </c>
      <c r="J86" s="132">
        <v>15</v>
      </c>
      <c r="K86" s="131">
        <v>15</v>
      </c>
      <c r="L86" s="132">
        <v>18</v>
      </c>
      <c r="M86" s="131">
        <v>6258</v>
      </c>
      <c r="N86" s="132">
        <v>959.01700000000005</v>
      </c>
      <c r="O86" s="131" t="s">
        <v>287</v>
      </c>
      <c r="P86" s="132" t="s">
        <v>287</v>
      </c>
      <c r="Q86" s="131">
        <v>100</v>
      </c>
      <c r="R86" s="132">
        <v>60</v>
      </c>
      <c r="S86" s="152" t="s">
        <v>247</v>
      </c>
    </row>
    <row r="87" spans="1:22" s="124" customFormat="1" ht="14.4" x14ac:dyDescent="0.3">
      <c r="A87" s="129" t="s">
        <v>124</v>
      </c>
      <c r="B87" s="130">
        <f t="shared" si="34"/>
        <v>14876</v>
      </c>
      <c r="C87" s="131">
        <v>89</v>
      </c>
      <c r="D87" s="132">
        <v>26.7</v>
      </c>
      <c r="E87" s="131">
        <v>3283</v>
      </c>
      <c r="F87" s="132">
        <v>1313.2</v>
      </c>
      <c r="G87" s="131">
        <v>3931</v>
      </c>
      <c r="H87" s="132">
        <v>1965.5</v>
      </c>
      <c r="I87" s="131">
        <v>990</v>
      </c>
      <c r="J87" s="132">
        <v>1782</v>
      </c>
      <c r="K87" s="131">
        <v>2363</v>
      </c>
      <c r="L87" s="132">
        <v>2835.6</v>
      </c>
      <c r="M87" s="137">
        <v>485</v>
      </c>
      <c r="N87" s="132">
        <v>172.25</v>
      </c>
      <c r="O87" s="131">
        <v>9</v>
      </c>
      <c r="P87" s="132">
        <v>9</v>
      </c>
      <c r="Q87" s="131">
        <v>3726</v>
      </c>
      <c r="R87" s="132">
        <v>2997</v>
      </c>
      <c r="S87" s="152" t="s">
        <v>248</v>
      </c>
    </row>
    <row r="88" spans="1:22" s="124" customFormat="1" ht="14.4" x14ac:dyDescent="0.3">
      <c r="A88" s="129" t="s">
        <v>127</v>
      </c>
      <c r="B88" s="130">
        <f t="shared" si="34"/>
        <v>578</v>
      </c>
      <c r="C88" s="131">
        <v>52</v>
      </c>
      <c r="D88" s="132">
        <v>12.48</v>
      </c>
      <c r="E88" s="131">
        <v>150</v>
      </c>
      <c r="F88" s="132">
        <v>34.770000000000003</v>
      </c>
      <c r="G88" s="131">
        <v>109</v>
      </c>
      <c r="H88" s="132">
        <v>27.1</v>
      </c>
      <c r="I88" s="137">
        <v>74</v>
      </c>
      <c r="J88" s="132">
        <v>17.760000000000002</v>
      </c>
      <c r="K88" s="131">
        <v>88</v>
      </c>
      <c r="L88" s="132">
        <v>21.8</v>
      </c>
      <c r="M88" s="137">
        <v>27</v>
      </c>
      <c r="N88" s="132">
        <v>11.7</v>
      </c>
      <c r="O88" s="131" t="s">
        <v>287</v>
      </c>
      <c r="P88" s="132" t="s">
        <v>287</v>
      </c>
      <c r="Q88" s="131">
        <v>78</v>
      </c>
      <c r="R88" s="132">
        <v>19.5</v>
      </c>
      <c r="S88" s="152" t="s">
        <v>249</v>
      </c>
    </row>
    <row r="89" spans="1:22" s="124" customFormat="1" ht="14.4" x14ac:dyDescent="0.3">
      <c r="A89" s="129" t="s">
        <v>129</v>
      </c>
      <c r="B89" s="130">
        <f t="shared" si="34"/>
        <v>1476</v>
      </c>
      <c r="C89" s="131">
        <v>2</v>
      </c>
      <c r="D89" s="132">
        <v>0.38</v>
      </c>
      <c r="E89" s="131">
        <v>17</v>
      </c>
      <c r="F89" s="132">
        <v>2.9</v>
      </c>
      <c r="G89" s="131">
        <v>14</v>
      </c>
      <c r="H89" s="132">
        <v>4.8719999999999999</v>
      </c>
      <c r="I89" s="131">
        <v>3</v>
      </c>
      <c r="J89" s="132">
        <v>0.9</v>
      </c>
      <c r="K89" s="131">
        <v>4</v>
      </c>
      <c r="L89" s="132">
        <v>0.75</v>
      </c>
      <c r="M89" s="137">
        <v>1436</v>
      </c>
      <c r="N89" s="132">
        <v>378.37599999999998</v>
      </c>
      <c r="O89" s="131" t="s">
        <v>287</v>
      </c>
      <c r="P89" s="132" t="s">
        <v>287</v>
      </c>
      <c r="Q89" s="131" t="s">
        <v>287</v>
      </c>
      <c r="R89" s="132" t="s">
        <v>287</v>
      </c>
      <c r="S89" s="152" t="s">
        <v>250</v>
      </c>
    </row>
    <row r="90" spans="1:22" s="124" customFormat="1" ht="14.4" x14ac:dyDescent="0.3">
      <c r="A90" s="182" t="s">
        <v>251</v>
      </c>
      <c r="B90" s="183">
        <f>SUM(B92:B104)</f>
        <v>61510</v>
      </c>
      <c r="C90" s="177">
        <f>SUM(C92:C104)</f>
        <v>7359</v>
      </c>
      <c r="D90" s="177">
        <f t="shared" ref="D90:R90" si="35">SUM(D92:D104)</f>
        <v>2504.1710000000003</v>
      </c>
      <c r="E90" s="177">
        <f t="shared" si="35"/>
        <v>4145</v>
      </c>
      <c r="F90" s="177">
        <f t="shared" si="35"/>
        <v>1419.4780000000001</v>
      </c>
      <c r="G90" s="176">
        <f t="shared" si="35"/>
        <v>3637</v>
      </c>
      <c r="H90" s="177">
        <f t="shared" si="35"/>
        <v>1422.7909999999999</v>
      </c>
      <c r="I90" s="177">
        <f t="shared" si="35"/>
        <v>1632</v>
      </c>
      <c r="J90" s="177">
        <f t="shared" si="35"/>
        <v>1601.21</v>
      </c>
      <c r="K90" s="177">
        <f t="shared" si="35"/>
        <v>485</v>
      </c>
      <c r="L90" s="177">
        <f t="shared" si="35"/>
        <v>311.55000000000007</v>
      </c>
      <c r="M90" s="177">
        <f t="shared" si="35"/>
        <v>8391</v>
      </c>
      <c r="N90" s="211">
        <f t="shared" si="35"/>
        <v>2335.8679999999999</v>
      </c>
      <c r="O90" s="177">
        <f t="shared" ref="O90:P90" si="36">SUM(O92:O104)</f>
        <v>604</v>
      </c>
      <c r="P90" s="176">
        <f t="shared" si="36"/>
        <v>870.45</v>
      </c>
      <c r="Q90" s="177">
        <f t="shared" si="35"/>
        <v>35257</v>
      </c>
      <c r="R90" s="211">
        <f t="shared" si="35"/>
        <v>11465.985999999999</v>
      </c>
      <c r="S90" s="228" t="s">
        <v>252</v>
      </c>
      <c r="T90" s="229"/>
      <c r="U90" s="229"/>
    </row>
    <row r="91" spans="1:22" s="124" customFormat="1" ht="14.4" x14ac:dyDescent="0.3">
      <c r="A91" s="182"/>
      <c r="B91" s="183"/>
      <c r="C91" s="177"/>
      <c r="D91" s="177"/>
      <c r="E91" s="177"/>
      <c r="F91" s="177"/>
      <c r="G91" s="176"/>
      <c r="H91" s="177"/>
      <c r="I91" s="177"/>
      <c r="J91" s="177"/>
      <c r="K91" s="177"/>
      <c r="L91" s="177"/>
      <c r="M91" s="177"/>
      <c r="N91" s="211"/>
      <c r="O91" s="177"/>
      <c r="P91" s="176"/>
      <c r="Q91" s="177"/>
      <c r="R91" s="211"/>
      <c r="S91" s="228"/>
      <c r="T91" s="229"/>
      <c r="U91" s="229"/>
    </row>
    <row r="92" spans="1:22" s="124" customFormat="1" ht="14.4" x14ac:dyDescent="0.3">
      <c r="A92" s="129" t="s">
        <v>131</v>
      </c>
      <c r="B92" s="130">
        <f t="shared" ref="B92:B104" si="37">SUM(C92,E92,G92,I92,K92,M92,O92,Q92)</f>
        <v>1257</v>
      </c>
      <c r="C92" s="131">
        <v>782</v>
      </c>
      <c r="D92" s="132">
        <v>270.84800000000001</v>
      </c>
      <c r="E92" s="131">
        <v>260</v>
      </c>
      <c r="F92" s="132">
        <v>95.44</v>
      </c>
      <c r="G92" s="137">
        <v>39</v>
      </c>
      <c r="H92" s="132">
        <v>15.6</v>
      </c>
      <c r="I92" s="131">
        <v>3</v>
      </c>
      <c r="J92" s="132">
        <v>1.2</v>
      </c>
      <c r="K92" s="137" t="s">
        <v>287</v>
      </c>
      <c r="L92" s="132" t="s">
        <v>287</v>
      </c>
      <c r="M92" s="137">
        <v>172</v>
      </c>
      <c r="N92" s="132">
        <v>48.16</v>
      </c>
      <c r="O92" s="131" t="s">
        <v>287</v>
      </c>
      <c r="P92" s="132" t="s">
        <v>287</v>
      </c>
      <c r="Q92" s="137">
        <v>1</v>
      </c>
      <c r="R92" s="132">
        <v>0.35</v>
      </c>
      <c r="S92" s="152" t="s">
        <v>253</v>
      </c>
    </row>
    <row r="93" spans="1:22" s="124" customFormat="1" ht="14.4" x14ac:dyDescent="0.3">
      <c r="A93" s="129" t="s">
        <v>133</v>
      </c>
      <c r="B93" s="130">
        <f t="shared" si="37"/>
        <v>7757</v>
      </c>
      <c r="C93" s="131">
        <v>239</v>
      </c>
      <c r="D93" s="132">
        <v>60.83</v>
      </c>
      <c r="E93" s="131">
        <v>346</v>
      </c>
      <c r="F93" s="132">
        <v>96.62</v>
      </c>
      <c r="G93" s="131">
        <v>57</v>
      </c>
      <c r="H93" s="132">
        <v>15.76</v>
      </c>
      <c r="I93" s="131">
        <v>170</v>
      </c>
      <c r="J93" s="132">
        <v>129.9</v>
      </c>
      <c r="K93" s="131">
        <v>73</v>
      </c>
      <c r="L93" s="132">
        <v>47</v>
      </c>
      <c r="M93" s="137">
        <v>3091</v>
      </c>
      <c r="N93" s="132">
        <v>275.91000000000003</v>
      </c>
      <c r="O93" s="131">
        <v>5</v>
      </c>
      <c r="P93" s="132">
        <v>6.6</v>
      </c>
      <c r="Q93" s="131">
        <v>3776</v>
      </c>
      <c r="R93" s="132">
        <v>454.40100000000001</v>
      </c>
      <c r="S93" s="152" t="s">
        <v>254</v>
      </c>
    </row>
    <row r="94" spans="1:22" s="124" customFormat="1" ht="14.4" x14ac:dyDescent="0.3">
      <c r="A94" s="129" t="s">
        <v>135</v>
      </c>
      <c r="B94" s="130">
        <f t="shared" si="37"/>
        <v>1238</v>
      </c>
      <c r="C94" s="131">
        <v>493</v>
      </c>
      <c r="D94" s="132">
        <v>146.86000000000001</v>
      </c>
      <c r="E94" s="131">
        <v>70</v>
      </c>
      <c r="F94" s="132">
        <v>28.98</v>
      </c>
      <c r="G94" s="131">
        <v>62</v>
      </c>
      <c r="H94" s="132">
        <v>31</v>
      </c>
      <c r="I94" s="137">
        <v>15</v>
      </c>
      <c r="J94" s="132">
        <v>12</v>
      </c>
      <c r="K94" s="137" t="s">
        <v>287</v>
      </c>
      <c r="L94" s="132" t="s">
        <v>287</v>
      </c>
      <c r="M94" s="137">
        <v>81</v>
      </c>
      <c r="N94" s="132">
        <v>20</v>
      </c>
      <c r="O94" s="131">
        <v>10</v>
      </c>
      <c r="P94" s="132">
        <v>10</v>
      </c>
      <c r="Q94" s="137">
        <v>507</v>
      </c>
      <c r="R94" s="132">
        <v>120.37</v>
      </c>
      <c r="S94" s="152" t="s">
        <v>255</v>
      </c>
    </row>
    <row r="95" spans="1:22" s="124" customFormat="1" ht="14.4" x14ac:dyDescent="0.3">
      <c r="A95" s="129" t="s">
        <v>137</v>
      </c>
      <c r="B95" s="130">
        <f t="shared" si="37"/>
        <v>4273</v>
      </c>
      <c r="C95" s="131">
        <v>575</v>
      </c>
      <c r="D95" s="132">
        <v>186.20500000000001</v>
      </c>
      <c r="E95" s="131">
        <v>579</v>
      </c>
      <c r="F95" s="132">
        <v>203.39</v>
      </c>
      <c r="G95" s="131">
        <v>586</v>
      </c>
      <c r="H95" s="132">
        <v>250.24</v>
      </c>
      <c r="I95" s="137">
        <v>35</v>
      </c>
      <c r="J95" s="132">
        <v>36.1</v>
      </c>
      <c r="K95" s="131">
        <v>5</v>
      </c>
      <c r="L95" s="132">
        <v>1.25</v>
      </c>
      <c r="M95" s="137">
        <v>411</v>
      </c>
      <c r="N95" s="132">
        <v>328.8</v>
      </c>
      <c r="O95" s="131" t="s">
        <v>287</v>
      </c>
      <c r="P95" s="132" t="s">
        <v>287</v>
      </c>
      <c r="Q95" s="131">
        <v>2082</v>
      </c>
      <c r="R95" s="132">
        <v>1030.405</v>
      </c>
      <c r="S95" s="152" t="s">
        <v>256</v>
      </c>
    </row>
    <row r="96" spans="1:22" s="124" customFormat="1" ht="14.4" x14ac:dyDescent="0.3">
      <c r="A96" s="129" t="s">
        <v>139</v>
      </c>
      <c r="B96" s="130">
        <f t="shared" si="37"/>
        <v>1459</v>
      </c>
      <c r="C96" s="131" t="s">
        <v>287</v>
      </c>
      <c r="D96" s="132" t="s">
        <v>287</v>
      </c>
      <c r="E96" s="131">
        <v>139</v>
      </c>
      <c r="F96" s="132">
        <v>59.771999999999998</v>
      </c>
      <c r="G96" s="131" t="s">
        <v>287</v>
      </c>
      <c r="H96" s="132" t="s">
        <v>287</v>
      </c>
      <c r="I96" s="131">
        <v>206</v>
      </c>
      <c r="J96" s="132">
        <v>148.05000000000001</v>
      </c>
      <c r="K96" s="131">
        <v>10</v>
      </c>
      <c r="L96" s="132">
        <v>6</v>
      </c>
      <c r="M96" s="137">
        <v>343</v>
      </c>
      <c r="N96" s="132">
        <v>77.132999999999996</v>
      </c>
      <c r="O96" s="131" t="s">
        <v>287</v>
      </c>
      <c r="P96" s="132" t="s">
        <v>287</v>
      </c>
      <c r="Q96" s="131">
        <v>761</v>
      </c>
      <c r="R96" s="132">
        <v>353.47</v>
      </c>
      <c r="S96" s="152" t="s">
        <v>257</v>
      </c>
    </row>
    <row r="97" spans="1:22" s="124" customFormat="1" ht="14.4" x14ac:dyDescent="0.3">
      <c r="A97" s="129" t="s">
        <v>141</v>
      </c>
      <c r="B97" s="130">
        <f t="shared" si="37"/>
        <v>7752</v>
      </c>
      <c r="C97" s="131">
        <v>2607</v>
      </c>
      <c r="D97" s="132">
        <v>1042.8</v>
      </c>
      <c r="E97" s="131">
        <v>1309</v>
      </c>
      <c r="F97" s="132">
        <v>458.15</v>
      </c>
      <c r="G97" s="131">
        <v>318</v>
      </c>
      <c r="H97" s="132">
        <v>127.2</v>
      </c>
      <c r="I97" s="137" t="s">
        <v>287</v>
      </c>
      <c r="J97" s="132" t="s">
        <v>287</v>
      </c>
      <c r="K97" s="131">
        <v>10</v>
      </c>
      <c r="L97" s="132">
        <v>4</v>
      </c>
      <c r="M97" s="137">
        <v>3462</v>
      </c>
      <c r="N97" s="132">
        <v>1384.8</v>
      </c>
      <c r="O97" s="131">
        <v>3</v>
      </c>
      <c r="P97" s="132">
        <v>3.15</v>
      </c>
      <c r="Q97" s="131">
        <v>43</v>
      </c>
      <c r="R97" s="132">
        <v>8.6</v>
      </c>
      <c r="S97" s="152" t="s">
        <v>258</v>
      </c>
    </row>
    <row r="98" spans="1:22" s="124" customFormat="1" ht="14.4" x14ac:dyDescent="0.3">
      <c r="A98" s="129" t="s">
        <v>144</v>
      </c>
      <c r="B98" s="130">
        <f t="shared" si="37"/>
        <v>10701</v>
      </c>
      <c r="C98" s="131">
        <v>119</v>
      </c>
      <c r="D98" s="132">
        <v>42.136000000000003</v>
      </c>
      <c r="E98" s="131">
        <v>67</v>
      </c>
      <c r="F98" s="132">
        <v>22.14</v>
      </c>
      <c r="G98" s="131" t="s">
        <v>287</v>
      </c>
      <c r="H98" s="132" t="s">
        <v>287</v>
      </c>
      <c r="I98" s="131">
        <v>394</v>
      </c>
      <c r="J98" s="132">
        <v>389.76</v>
      </c>
      <c r="K98" s="131">
        <v>150</v>
      </c>
      <c r="L98" s="132">
        <v>150</v>
      </c>
      <c r="M98" s="137">
        <v>326</v>
      </c>
      <c r="N98" s="132">
        <v>77.465000000000003</v>
      </c>
      <c r="O98" s="131">
        <v>410</v>
      </c>
      <c r="P98" s="132">
        <v>790</v>
      </c>
      <c r="Q98" s="137">
        <v>9235</v>
      </c>
      <c r="R98" s="132">
        <v>3498.3739999999998</v>
      </c>
      <c r="S98" s="152" t="s">
        <v>259</v>
      </c>
    </row>
    <row r="99" spans="1:22" s="124" customFormat="1" ht="14.4" x14ac:dyDescent="0.3">
      <c r="A99" s="129" t="s">
        <v>146</v>
      </c>
      <c r="B99" s="130">
        <f t="shared" si="37"/>
        <v>3578</v>
      </c>
      <c r="C99" s="131">
        <v>948</v>
      </c>
      <c r="D99" s="132">
        <v>193.86600000000001</v>
      </c>
      <c r="E99" s="131">
        <v>169</v>
      </c>
      <c r="F99" s="132">
        <v>35.204999999999998</v>
      </c>
      <c r="G99" s="131">
        <v>166</v>
      </c>
      <c r="H99" s="132">
        <v>27.826000000000001</v>
      </c>
      <c r="I99" s="131">
        <v>7</v>
      </c>
      <c r="J99" s="132">
        <v>4.4000000000000004</v>
      </c>
      <c r="K99" s="137" t="s">
        <v>287</v>
      </c>
      <c r="L99" s="132" t="s">
        <v>287</v>
      </c>
      <c r="M99" s="137">
        <v>229</v>
      </c>
      <c r="N99" s="132">
        <v>29.5</v>
      </c>
      <c r="O99" s="131" t="s">
        <v>287</v>
      </c>
      <c r="P99" s="132" t="s">
        <v>287</v>
      </c>
      <c r="Q99" s="131">
        <v>2059</v>
      </c>
      <c r="R99" s="132">
        <v>364.73500000000001</v>
      </c>
      <c r="S99" s="152" t="s">
        <v>260</v>
      </c>
    </row>
    <row r="100" spans="1:22" s="124" customFormat="1" ht="14.4" x14ac:dyDescent="0.3">
      <c r="A100" s="129" t="s">
        <v>148</v>
      </c>
      <c r="B100" s="130">
        <f t="shared" si="37"/>
        <v>1593</v>
      </c>
      <c r="C100" s="131">
        <v>447</v>
      </c>
      <c r="D100" s="132">
        <v>178.8</v>
      </c>
      <c r="E100" s="131">
        <v>667</v>
      </c>
      <c r="F100" s="132">
        <v>233.45</v>
      </c>
      <c r="G100" s="137">
        <v>285</v>
      </c>
      <c r="H100" s="132">
        <v>114</v>
      </c>
      <c r="I100" s="137">
        <v>85</v>
      </c>
      <c r="J100" s="132">
        <v>34</v>
      </c>
      <c r="K100" s="137">
        <v>7</v>
      </c>
      <c r="L100" s="132">
        <v>2.8</v>
      </c>
      <c r="M100" s="137">
        <v>83</v>
      </c>
      <c r="N100" s="132">
        <v>33.200000000000003</v>
      </c>
      <c r="O100" s="131" t="s">
        <v>287</v>
      </c>
      <c r="P100" s="132" t="s">
        <v>287</v>
      </c>
      <c r="Q100" s="137">
        <v>19</v>
      </c>
      <c r="R100" s="132">
        <v>3.8</v>
      </c>
      <c r="S100" s="152" t="s">
        <v>261</v>
      </c>
    </row>
    <row r="101" spans="1:22" s="124" customFormat="1" ht="14.4" x14ac:dyDescent="0.3">
      <c r="A101" s="129" t="s">
        <v>150</v>
      </c>
      <c r="B101" s="130">
        <f t="shared" si="37"/>
        <v>8849</v>
      </c>
      <c r="C101" s="131">
        <v>17</v>
      </c>
      <c r="D101" s="132">
        <v>6.1260000000000003</v>
      </c>
      <c r="E101" s="131">
        <v>29</v>
      </c>
      <c r="F101" s="132">
        <v>8.7509999999999994</v>
      </c>
      <c r="G101" s="131">
        <v>477</v>
      </c>
      <c r="H101" s="132">
        <v>177.29499999999999</v>
      </c>
      <c r="I101" s="137">
        <v>34</v>
      </c>
      <c r="J101" s="132">
        <v>26.2</v>
      </c>
      <c r="K101" s="131">
        <v>195</v>
      </c>
      <c r="L101" s="132">
        <v>84.9</v>
      </c>
      <c r="M101" s="137" t="s">
        <v>287</v>
      </c>
      <c r="N101" s="132" t="s">
        <v>287</v>
      </c>
      <c r="O101" s="131">
        <v>150</v>
      </c>
      <c r="P101" s="132">
        <v>42.2</v>
      </c>
      <c r="Q101" s="131">
        <v>7947</v>
      </c>
      <c r="R101" s="132">
        <v>1986.173</v>
      </c>
      <c r="S101" s="152" t="s">
        <v>262</v>
      </c>
    </row>
    <row r="102" spans="1:22" s="124" customFormat="1" ht="14.4" x14ac:dyDescent="0.3">
      <c r="A102" s="129" t="s">
        <v>152</v>
      </c>
      <c r="B102" s="130">
        <f t="shared" si="37"/>
        <v>3104</v>
      </c>
      <c r="C102" s="131">
        <v>55</v>
      </c>
      <c r="D102" s="132">
        <v>16.829999999999998</v>
      </c>
      <c r="E102" s="131">
        <v>36</v>
      </c>
      <c r="F102" s="132">
        <v>11.88</v>
      </c>
      <c r="G102" s="131" t="s">
        <v>287</v>
      </c>
      <c r="H102" s="132" t="s">
        <v>287</v>
      </c>
      <c r="I102" s="137" t="s">
        <v>287</v>
      </c>
      <c r="J102" s="132" t="s">
        <v>287</v>
      </c>
      <c r="K102" s="131">
        <v>4</v>
      </c>
      <c r="L102" s="132">
        <v>3.2</v>
      </c>
      <c r="M102" s="137">
        <v>6</v>
      </c>
      <c r="N102" s="132">
        <v>4.8</v>
      </c>
      <c r="O102" s="131">
        <v>1</v>
      </c>
      <c r="P102" s="132">
        <v>1</v>
      </c>
      <c r="Q102" s="137">
        <v>3002</v>
      </c>
      <c r="R102" s="132">
        <v>770.20799999999997</v>
      </c>
      <c r="S102" s="152" t="s">
        <v>263</v>
      </c>
    </row>
    <row r="103" spans="1:22" s="124" customFormat="1" ht="14.4" x14ac:dyDescent="0.3">
      <c r="A103" s="129" t="s">
        <v>154</v>
      </c>
      <c r="B103" s="130">
        <f t="shared" si="37"/>
        <v>8199</v>
      </c>
      <c r="C103" s="131">
        <v>85</v>
      </c>
      <c r="D103" s="132">
        <v>29.75</v>
      </c>
      <c r="E103" s="131">
        <v>65</v>
      </c>
      <c r="F103" s="132">
        <v>22.55</v>
      </c>
      <c r="G103" s="131">
        <v>1609</v>
      </c>
      <c r="H103" s="132">
        <v>648.66999999999996</v>
      </c>
      <c r="I103" s="131">
        <v>683</v>
      </c>
      <c r="J103" s="132">
        <v>819.6</v>
      </c>
      <c r="K103" s="131">
        <v>29</v>
      </c>
      <c r="L103" s="132">
        <v>11.6</v>
      </c>
      <c r="M103" s="131" t="s">
        <v>287</v>
      </c>
      <c r="N103" s="132" t="s">
        <v>287</v>
      </c>
      <c r="O103" s="131">
        <v>25</v>
      </c>
      <c r="P103" s="132">
        <v>17.5</v>
      </c>
      <c r="Q103" s="131">
        <v>5703</v>
      </c>
      <c r="R103" s="132">
        <v>2852.1</v>
      </c>
      <c r="S103" s="152" t="s">
        <v>264</v>
      </c>
    </row>
    <row r="104" spans="1:22" s="124" customFormat="1" ht="14.4" x14ac:dyDescent="0.3">
      <c r="A104" s="129" t="s">
        <v>156</v>
      </c>
      <c r="B104" s="130">
        <f t="shared" si="37"/>
        <v>1750</v>
      </c>
      <c r="C104" s="131">
        <v>992</v>
      </c>
      <c r="D104" s="132">
        <v>329.12</v>
      </c>
      <c r="E104" s="131">
        <v>409</v>
      </c>
      <c r="F104" s="132">
        <v>143.15</v>
      </c>
      <c r="G104" s="131">
        <v>38</v>
      </c>
      <c r="H104" s="132">
        <v>15.2</v>
      </c>
      <c r="I104" s="131" t="s">
        <v>287</v>
      </c>
      <c r="J104" s="132" t="s">
        <v>287</v>
      </c>
      <c r="K104" s="137">
        <v>2</v>
      </c>
      <c r="L104" s="132">
        <v>0.8</v>
      </c>
      <c r="M104" s="137">
        <v>187</v>
      </c>
      <c r="N104" s="132">
        <v>56.1</v>
      </c>
      <c r="O104" s="131" t="s">
        <v>287</v>
      </c>
      <c r="P104" s="132" t="s">
        <v>287</v>
      </c>
      <c r="Q104" s="137">
        <v>122</v>
      </c>
      <c r="R104" s="132">
        <v>23</v>
      </c>
      <c r="S104" s="152" t="s">
        <v>265</v>
      </c>
    </row>
    <row r="105" spans="1:22" s="124" customFormat="1" ht="14.4" x14ac:dyDescent="0.3">
      <c r="A105" s="182" t="s">
        <v>266</v>
      </c>
      <c r="B105" s="183">
        <f>SUM(B107:B110)</f>
        <v>113183</v>
      </c>
      <c r="C105" s="177">
        <f>SUM(C107:C110)</f>
        <v>6327</v>
      </c>
      <c r="D105" s="177">
        <f t="shared" ref="D105:R105" si="38">SUM(D107:D110)</f>
        <v>2010.1610000000001</v>
      </c>
      <c r="E105" s="177">
        <f t="shared" si="38"/>
        <v>17711</v>
      </c>
      <c r="F105" s="177">
        <f t="shared" si="38"/>
        <v>6621.5</v>
      </c>
      <c r="G105" s="176">
        <f t="shared" si="38"/>
        <v>40643</v>
      </c>
      <c r="H105" s="177">
        <f t="shared" si="38"/>
        <v>16881.154999999999</v>
      </c>
      <c r="I105" s="177">
        <f t="shared" si="38"/>
        <v>3128</v>
      </c>
      <c r="J105" s="177">
        <f t="shared" si="38"/>
        <v>2693.8789999999999</v>
      </c>
      <c r="K105" s="177">
        <f t="shared" si="38"/>
        <v>1873</v>
      </c>
      <c r="L105" s="177">
        <f t="shared" si="38"/>
        <v>1681.5650000000001</v>
      </c>
      <c r="M105" s="177">
        <f t="shared" si="38"/>
        <v>27004</v>
      </c>
      <c r="N105" s="211">
        <f t="shared" si="38"/>
        <v>10290.440999999999</v>
      </c>
      <c r="O105" s="177">
        <f t="shared" ref="O105:P105" si="39">SUM(O107:O110)</f>
        <v>643</v>
      </c>
      <c r="P105" s="176">
        <f t="shared" si="39"/>
        <v>702.74700000000007</v>
      </c>
      <c r="Q105" s="177">
        <f t="shared" si="38"/>
        <v>15854</v>
      </c>
      <c r="R105" s="211">
        <f t="shared" si="38"/>
        <v>6604.7260000000006</v>
      </c>
      <c r="S105" s="218" t="s">
        <v>267</v>
      </c>
      <c r="T105" s="219"/>
      <c r="U105" s="219"/>
    </row>
    <row r="106" spans="1:22" s="124" customFormat="1" ht="14.4" x14ac:dyDescent="0.3">
      <c r="A106" s="182"/>
      <c r="B106" s="183"/>
      <c r="C106" s="177"/>
      <c r="D106" s="177"/>
      <c r="E106" s="177"/>
      <c r="F106" s="177"/>
      <c r="G106" s="176"/>
      <c r="H106" s="177"/>
      <c r="I106" s="177"/>
      <c r="J106" s="177"/>
      <c r="K106" s="177"/>
      <c r="L106" s="177"/>
      <c r="M106" s="177"/>
      <c r="N106" s="211"/>
      <c r="O106" s="177"/>
      <c r="P106" s="176"/>
      <c r="Q106" s="177"/>
      <c r="R106" s="211"/>
      <c r="S106" s="218"/>
      <c r="T106" s="219"/>
      <c r="U106" s="219"/>
    </row>
    <row r="107" spans="1:22" s="124" customFormat="1" ht="14.4" x14ac:dyDescent="0.3">
      <c r="A107" s="129" t="s">
        <v>158</v>
      </c>
      <c r="B107" s="130">
        <f t="shared" ref="B107:B110" si="40">SUM(C107,E107,G107,I107,K107,M107,O107,Q107)</f>
        <v>26135</v>
      </c>
      <c r="C107" s="131">
        <v>3949</v>
      </c>
      <c r="D107" s="132">
        <v>1268.4359999999999</v>
      </c>
      <c r="E107" s="131">
        <v>1820</v>
      </c>
      <c r="F107" s="132">
        <v>644.04100000000005</v>
      </c>
      <c r="G107" s="131">
        <v>8340</v>
      </c>
      <c r="H107" s="132">
        <v>3751.6970000000001</v>
      </c>
      <c r="I107" s="131">
        <v>1559</v>
      </c>
      <c r="J107" s="132">
        <v>1009.312</v>
      </c>
      <c r="K107" s="131">
        <v>635</v>
      </c>
      <c r="L107" s="132">
        <v>435.77</v>
      </c>
      <c r="M107" s="131">
        <v>7359</v>
      </c>
      <c r="N107" s="132">
        <v>3226.652</v>
      </c>
      <c r="O107" s="131">
        <v>174</v>
      </c>
      <c r="P107" s="132">
        <v>170.95400000000001</v>
      </c>
      <c r="Q107" s="131">
        <v>2299</v>
      </c>
      <c r="R107" s="132">
        <v>730.24300000000005</v>
      </c>
      <c r="S107" s="152" t="s">
        <v>268</v>
      </c>
    </row>
    <row r="108" spans="1:22" s="124" customFormat="1" ht="14.4" x14ac:dyDescent="0.3">
      <c r="A108" s="129" t="s">
        <v>160</v>
      </c>
      <c r="B108" s="130">
        <f t="shared" si="40"/>
        <v>15488</v>
      </c>
      <c r="C108" s="131">
        <v>550</v>
      </c>
      <c r="D108" s="132">
        <v>176.93100000000001</v>
      </c>
      <c r="E108" s="131">
        <v>1658</v>
      </c>
      <c r="F108" s="132">
        <v>736.05399999999997</v>
      </c>
      <c r="G108" s="131">
        <v>4095</v>
      </c>
      <c r="H108" s="132">
        <v>1152.451</v>
      </c>
      <c r="I108" s="131">
        <v>144</v>
      </c>
      <c r="J108" s="132">
        <v>164.8</v>
      </c>
      <c r="K108" s="131">
        <v>49</v>
      </c>
      <c r="L108" s="132">
        <v>119.85</v>
      </c>
      <c r="M108" s="131">
        <v>8890</v>
      </c>
      <c r="N108" s="132">
        <v>3382.07</v>
      </c>
      <c r="O108" s="131">
        <v>3</v>
      </c>
      <c r="P108" s="132">
        <v>7.5</v>
      </c>
      <c r="Q108" s="131">
        <v>99</v>
      </c>
      <c r="R108" s="132">
        <v>131.98500000000001</v>
      </c>
      <c r="S108" s="152" t="s">
        <v>269</v>
      </c>
    </row>
    <row r="109" spans="1:22" s="124" customFormat="1" ht="14.4" x14ac:dyDescent="0.3">
      <c r="A109" s="129" t="s">
        <v>163</v>
      </c>
      <c r="B109" s="130">
        <f t="shared" si="40"/>
        <v>59307</v>
      </c>
      <c r="C109" s="131">
        <v>863</v>
      </c>
      <c r="D109" s="132">
        <v>328.78300000000002</v>
      </c>
      <c r="E109" s="131">
        <v>11803</v>
      </c>
      <c r="F109" s="132">
        <v>4547.8909999999996</v>
      </c>
      <c r="G109" s="131">
        <v>24950</v>
      </c>
      <c r="H109" s="132">
        <v>11000.245000000001</v>
      </c>
      <c r="I109" s="131">
        <v>784</v>
      </c>
      <c r="J109" s="132">
        <v>757.72</v>
      </c>
      <c r="K109" s="131">
        <v>536</v>
      </c>
      <c r="L109" s="132">
        <v>400.83600000000001</v>
      </c>
      <c r="M109" s="131">
        <v>7253</v>
      </c>
      <c r="N109" s="132">
        <v>2198.498</v>
      </c>
      <c r="O109" s="131">
        <v>180</v>
      </c>
      <c r="P109" s="132">
        <v>242.8</v>
      </c>
      <c r="Q109" s="131">
        <v>12938</v>
      </c>
      <c r="R109" s="132">
        <v>5110.8180000000002</v>
      </c>
      <c r="S109" s="152" t="s">
        <v>270</v>
      </c>
    </row>
    <row r="110" spans="1:22" s="124" customFormat="1" ht="15" thickBot="1" x14ac:dyDescent="0.35">
      <c r="A110" s="140" t="s">
        <v>166</v>
      </c>
      <c r="B110" s="141">
        <f t="shared" si="40"/>
        <v>12253</v>
      </c>
      <c r="C110" s="142">
        <v>965</v>
      </c>
      <c r="D110" s="143">
        <v>236.011</v>
      </c>
      <c r="E110" s="142">
        <v>2430</v>
      </c>
      <c r="F110" s="143">
        <v>693.51400000000001</v>
      </c>
      <c r="G110" s="142">
        <v>3258</v>
      </c>
      <c r="H110" s="143">
        <v>976.76199999999994</v>
      </c>
      <c r="I110" s="142">
        <v>641</v>
      </c>
      <c r="J110" s="143">
        <v>762.04700000000003</v>
      </c>
      <c r="K110" s="142">
        <v>653</v>
      </c>
      <c r="L110" s="143">
        <v>725.10900000000004</v>
      </c>
      <c r="M110" s="142">
        <v>3502</v>
      </c>
      <c r="N110" s="143">
        <v>1483.221</v>
      </c>
      <c r="O110" s="142">
        <v>286</v>
      </c>
      <c r="P110" s="143">
        <v>281.49299999999999</v>
      </c>
      <c r="Q110" s="142">
        <v>518</v>
      </c>
      <c r="R110" s="143">
        <v>631.67999999999995</v>
      </c>
      <c r="S110" s="154" t="s">
        <v>271</v>
      </c>
      <c r="T110" s="144"/>
      <c r="U110" s="144"/>
      <c r="V110" s="144"/>
    </row>
    <row r="111" spans="1:22" s="124" customFormat="1" ht="14.4" x14ac:dyDescent="0.3">
      <c r="A111" s="145" t="s">
        <v>272</v>
      </c>
      <c r="L111" s="124" t="s">
        <v>275</v>
      </c>
      <c r="S111" s="230"/>
      <c r="T111" s="230"/>
      <c r="U111" s="230"/>
    </row>
    <row r="112" spans="1:22" s="124" customFormat="1" ht="14.4" x14ac:dyDescent="0.3">
      <c r="A112" s="146" t="s">
        <v>292</v>
      </c>
      <c r="L112" s="124" t="s">
        <v>277</v>
      </c>
    </row>
    <row r="113" spans="1:12" s="124" customFormat="1" ht="14.4" x14ac:dyDescent="0.3">
      <c r="A113" s="124" t="s">
        <v>294</v>
      </c>
      <c r="L113" s="124" t="s">
        <v>278</v>
      </c>
    </row>
    <row r="114" spans="1:12" s="124" customFormat="1" ht="14.4" x14ac:dyDescent="0.3"/>
    <row r="115" spans="1:12" s="124" customFormat="1" ht="14.4" x14ac:dyDescent="0.3"/>
    <row r="116" spans="1:12" s="124" customFormat="1" ht="14.4" x14ac:dyDescent="0.3"/>
    <row r="117" spans="1:12" s="124" customFormat="1" ht="14.4" x14ac:dyDescent="0.3"/>
    <row r="118" spans="1:12" s="124" customFormat="1" ht="14.4" x14ac:dyDescent="0.3"/>
    <row r="119" spans="1:12" s="124" customFormat="1" ht="14.4" x14ac:dyDescent="0.3"/>
    <row r="120" spans="1:12" s="124" customFormat="1" ht="14.4" x14ac:dyDescent="0.3"/>
    <row r="121" spans="1:12" s="124" customFormat="1" ht="14.4" x14ac:dyDescent="0.3"/>
    <row r="122" spans="1:12" s="124" customFormat="1" ht="14.4" x14ac:dyDescent="0.3"/>
    <row r="123" spans="1:12" s="124" customFormat="1" ht="14.4" x14ac:dyDescent="0.3"/>
    <row r="124" spans="1:12" s="124" customFormat="1" ht="14.4" x14ac:dyDescent="0.3"/>
    <row r="125" spans="1:12" s="124" customFormat="1" ht="14.4" x14ac:dyDescent="0.3"/>
    <row r="126" spans="1:12" s="124" customFormat="1" ht="14.4" x14ac:dyDescent="0.3"/>
    <row r="127" spans="1:12" s="124" customFormat="1" ht="14.4" x14ac:dyDescent="0.3"/>
    <row r="128" spans="1:12" s="124" customFormat="1" ht="14.4" x14ac:dyDescent="0.3"/>
    <row r="129" s="124" customFormat="1" ht="14.4" x14ac:dyDescent="0.3"/>
    <row r="130" s="124" customFormat="1" ht="14.4" x14ac:dyDescent="0.3"/>
    <row r="131" s="124" customFormat="1" ht="14.4" x14ac:dyDescent="0.3"/>
    <row r="132" s="124" customFormat="1" ht="14.4" x14ac:dyDescent="0.3"/>
    <row r="133" s="124" customFormat="1" ht="14.4" x14ac:dyDescent="0.3"/>
    <row r="134" s="124" customFormat="1" ht="14.4" x14ac:dyDescent="0.3"/>
    <row r="135" s="124" customFormat="1" ht="14.4" x14ac:dyDescent="0.3"/>
    <row r="136" s="124" customFormat="1" ht="14.4" x14ac:dyDescent="0.3"/>
    <row r="137" s="124" customFormat="1" ht="14.4" x14ac:dyDescent="0.3"/>
    <row r="138" s="124" customFormat="1" ht="14.4" x14ac:dyDescent="0.3"/>
  </sheetData>
  <mergeCells count="272">
    <mergeCell ref="H73:H74"/>
    <mergeCell ref="H61:H62"/>
    <mergeCell ref="S83:U84"/>
    <mergeCell ref="S90:U91"/>
    <mergeCell ref="S105:U106"/>
    <mergeCell ref="S111:U111"/>
    <mergeCell ref="N20:N21"/>
    <mergeCell ref="Q47:Q48"/>
    <mergeCell ref="R47:R48"/>
    <mergeCell ref="Q34:Q35"/>
    <mergeCell ref="R34:R35"/>
    <mergeCell ref="S76:V76"/>
    <mergeCell ref="S77:V77"/>
    <mergeCell ref="N73:N74"/>
    <mergeCell ref="L73:L74"/>
    <mergeCell ref="M61:M62"/>
    <mergeCell ref="N61:N62"/>
    <mergeCell ref="L61:L62"/>
    <mergeCell ref="M47:M48"/>
    <mergeCell ref="N47:N48"/>
    <mergeCell ref="L47:L48"/>
    <mergeCell ref="N66:N67"/>
    <mergeCell ref="Q66:Q67"/>
    <mergeCell ref="R66:R67"/>
    <mergeCell ref="S34:U35"/>
    <mergeCell ref="R20:R21"/>
    <mergeCell ref="R10:R11"/>
    <mergeCell ref="Q73:Q74"/>
    <mergeCell ref="R73:R74"/>
    <mergeCell ref="Q61:Q62"/>
    <mergeCell ref="R61:R62"/>
    <mergeCell ref="S61:U62"/>
    <mergeCell ref="Q12:Q13"/>
    <mergeCell ref="R12:R13"/>
    <mergeCell ref="S10:U11"/>
    <mergeCell ref="S12:U13"/>
    <mergeCell ref="S20:U21"/>
    <mergeCell ref="Q10:Q11"/>
    <mergeCell ref="N54:N55"/>
    <mergeCell ref="Q54:Q55"/>
    <mergeCell ref="R54:R55"/>
    <mergeCell ref="N40:N41"/>
    <mergeCell ref="Q40:Q41"/>
    <mergeCell ref="S82:V82"/>
    <mergeCell ref="S78:V78"/>
    <mergeCell ref="S40:U41"/>
    <mergeCell ref="S45:U45"/>
    <mergeCell ref="S47:U48"/>
    <mergeCell ref="S54:U55"/>
    <mergeCell ref="S79:V79"/>
    <mergeCell ref="S75:V75"/>
    <mergeCell ref="S73:U74"/>
    <mergeCell ref="S80:V80"/>
    <mergeCell ref="R40:R41"/>
    <mergeCell ref="S64:U64"/>
    <mergeCell ref="S66:U67"/>
    <mergeCell ref="S81:V81"/>
    <mergeCell ref="O47:O48"/>
    <mergeCell ref="P47:P48"/>
    <mergeCell ref="O54:O55"/>
    <mergeCell ref="P54:P55"/>
    <mergeCell ref="O61:O62"/>
    <mergeCell ref="M105:M106"/>
    <mergeCell ref="N105:N106"/>
    <mergeCell ref="Q105:Q106"/>
    <mergeCell ref="R105:R106"/>
    <mergeCell ref="A105:A106"/>
    <mergeCell ref="B105:B106"/>
    <mergeCell ref="I105:I106"/>
    <mergeCell ref="J105:J106"/>
    <mergeCell ref="K105:K106"/>
    <mergeCell ref="L105:L106"/>
    <mergeCell ref="E105:E106"/>
    <mergeCell ref="F105:F106"/>
    <mergeCell ref="G105:G106"/>
    <mergeCell ref="H105:H106"/>
    <mergeCell ref="O105:O106"/>
    <mergeCell ref="P105:P106"/>
    <mergeCell ref="A90:A91"/>
    <mergeCell ref="B90:B91"/>
    <mergeCell ref="I90:I91"/>
    <mergeCell ref="J90:J91"/>
    <mergeCell ref="K90:K91"/>
    <mergeCell ref="C90:C91"/>
    <mergeCell ref="D90:D91"/>
    <mergeCell ref="C105:C106"/>
    <mergeCell ref="D105:D106"/>
    <mergeCell ref="M90:M91"/>
    <mergeCell ref="N90:N91"/>
    <mergeCell ref="E90:E91"/>
    <mergeCell ref="F90:F91"/>
    <mergeCell ref="G90:G91"/>
    <mergeCell ref="H90:H91"/>
    <mergeCell ref="Q90:Q91"/>
    <mergeCell ref="R90:R91"/>
    <mergeCell ref="L90:L91"/>
    <mergeCell ref="M83:M84"/>
    <mergeCell ref="N83:N84"/>
    <mergeCell ref="Q83:Q84"/>
    <mergeCell ref="R83:R84"/>
    <mergeCell ref="A83:A84"/>
    <mergeCell ref="B83:B84"/>
    <mergeCell ref="I83:I84"/>
    <mergeCell ref="J83:J84"/>
    <mergeCell ref="K83:K84"/>
    <mergeCell ref="L83:L84"/>
    <mergeCell ref="C83:C84"/>
    <mergeCell ref="D83:D84"/>
    <mergeCell ref="E83:E84"/>
    <mergeCell ref="F83:F84"/>
    <mergeCell ref="G83:G84"/>
    <mergeCell ref="H83:H84"/>
    <mergeCell ref="A73:A74"/>
    <mergeCell ref="B73:B74"/>
    <mergeCell ref="I73:I74"/>
    <mergeCell ref="J73:J74"/>
    <mergeCell ref="K73:K74"/>
    <mergeCell ref="M66:M67"/>
    <mergeCell ref="D66:D67"/>
    <mergeCell ref="E66:E67"/>
    <mergeCell ref="F66:F67"/>
    <mergeCell ref="M73:M74"/>
    <mergeCell ref="A66:A67"/>
    <mergeCell ref="B66:B67"/>
    <mergeCell ref="I66:I67"/>
    <mergeCell ref="J66:J67"/>
    <mergeCell ref="K66:K67"/>
    <mergeCell ref="L66:L67"/>
    <mergeCell ref="C66:C67"/>
    <mergeCell ref="G66:G67"/>
    <mergeCell ref="H66:H67"/>
    <mergeCell ref="C73:C74"/>
    <mergeCell ref="D73:D74"/>
    <mergeCell ref="E73:E74"/>
    <mergeCell ref="F73:F74"/>
    <mergeCell ref="G73:G74"/>
    <mergeCell ref="A61:A62"/>
    <mergeCell ref="B61:B62"/>
    <mergeCell ref="I61:I62"/>
    <mergeCell ref="J61:J62"/>
    <mergeCell ref="K61:K62"/>
    <mergeCell ref="M54:M55"/>
    <mergeCell ref="D54:D55"/>
    <mergeCell ref="E54:E55"/>
    <mergeCell ref="F54:F55"/>
    <mergeCell ref="C61:C62"/>
    <mergeCell ref="D61:D62"/>
    <mergeCell ref="E61:E62"/>
    <mergeCell ref="F61:F62"/>
    <mergeCell ref="G61:G62"/>
    <mergeCell ref="A54:A55"/>
    <mergeCell ref="B54:B55"/>
    <mergeCell ref="I54:I55"/>
    <mergeCell ref="J54:J55"/>
    <mergeCell ref="K54:K55"/>
    <mergeCell ref="L54:L55"/>
    <mergeCell ref="C54:C55"/>
    <mergeCell ref="G54:G55"/>
    <mergeCell ref="H54:H55"/>
    <mergeCell ref="A40:A41"/>
    <mergeCell ref="B40:B41"/>
    <mergeCell ref="I40:I41"/>
    <mergeCell ref="J40:J41"/>
    <mergeCell ref="K40:K41"/>
    <mergeCell ref="L40:L41"/>
    <mergeCell ref="C40:C41"/>
    <mergeCell ref="G40:G41"/>
    <mergeCell ref="A47:A48"/>
    <mergeCell ref="B47:B48"/>
    <mergeCell ref="I47:I48"/>
    <mergeCell ref="J47:J48"/>
    <mergeCell ref="K47:K48"/>
    <mergeCell ref="M40:M41"/>
    <mergeCell ref="D40:D41"/>
    <mergeCell ref="E40:E41"/>
    <mergeCell ref="F40:F41"/>
    <mergeCell ref="H40:H41"/>
    <mergeCell ref="G47:G48"/>
    <mergeCell ref="H47:H48"/>
    <mergeCell ref="C47:C48"/>
    <mergeCell ref="D47:D48"/>
    <mergeCell ref="E47:E48"/>
    <mergeCell ref="F47:F48"/>
    <mergeCell ref="M34:M35"/>
    <mergeCell ref="C34:C35"/>
    <mergeCell ref="D34:D35"/>
    <mergeCell ref="E34:E35"/>
    <mergeCell ref="F34:F35"/>
    <mergeCell ref="Q20:Q21"/>
    <mergeCell ref="F20:F21"/>
    <mergeCell ref="N34:N35"/>
    <mergeCell ref="L34:L35"/>
    <mergeCell ref="M20:M21"/>
    <mergeCell ref="I20:I21"/>
    <mergeCell ref="J20:J21"/>
    <mergeCell ref="K20:K21"/>
    <mergeCell ref="L20:L21"/>
    <mergeCell ref="C20:C21"/>
    <mergeCell ref="D20:D21"/>
    <mergeCell ref="E20:E21"/>
    <mergeCell ref="G20:G21"/>
    <mergeCell ref="H20:H21"/>
    <mergeCell ref="G34:G35"/>
    <mergeCell ref="H34:H35"/>
    <mergeCell ref="K34:K35"/>
    <mergeCell ref="J10:J11"/>
    <mergeCell ref="A20:A21"/>
    <mergeCell ref="B20:B21"/>
    <mergeCell ref="A12:A13"/>
    <mergeCell ref="B12:B13"/>
    <mergeCell ref="I12:I13"/>
    <mergeCell ref="J12:J13"/>
    <mergeCell ref="K12:K13"/>
    <mergeCell ref="C10:C11"/>
    <mergeCell ref="D10:D11"/>
    <mergeCell ref="E10:E11"/>
    <mergeCell ref="G10:G11"/>
    <mergeCell ref="H10:H11"/>
    <mergeCell ref="K10:K11"/>
    <mergeCell ref="A10:A11"/>
    <mergeCell ref="B10:B11"/>
    <mergeCell ref="I10:I11"/>
    <mergeCell ref="C12:C13"/>
    <mergeCell ref="D12:D13"/>
    <mergeCell ref="E12:E13"/>
    <mergeCell ref="F12:F13"/>
    <mergeCell ref="G12:G13"/>
    <mergeCell ref="H12:H13"/>
    <mergeCell ref="A2:U2"/>
    <mergeCell ref="A3:U3"/>
    <mergeCell ref="L10:L11"/>
    <mergeCell ref="A34:A35"/>
    <mergeCell ref="B34:B35"/>
    <mergeCell ref="I34:I35"/>
    <mergeCell ref="J34:J35"/>
    <mergeCell ref="Q6:R8"/>
    <mergeCell ref="G6:H8"/>
    <mergeCell ref="S6:U9"/>
    <mergeCell ref="M12:M13"/>
    <mergeCell ref="F10:F11"/>
    <mergeCell ref="N12:N13"/>
    <mergeCell ref="L12:L13"/>
    <mergeCell ref="I8:J8"/>
    <mergeCell ref="K8:L8"/>
    <mergeCell ref="M6:N8"/>
    <mergeCell ref="A6:A9"/>
    <mergeCell ref="B6:B9"/>
    <mergeCell ref="I6:L7"/>
    <mergeCell ref="C6:D8"/>
    <mergeCell ref="E6:F8"/>
    <mergeCell ref="M10:M11"/>
    <mergeCell ref="N10:N11"/>
    <mergeCell ref="O6:P8"/>
    <mergeCell ref="P61:P62"/>
    <mergeCell ref="O66:O67"/>
    <mergeCell ref="P66:P67"/>
    <mergeCell ref="O73:O74"/>
    <mergeCell ref="P73:P74"/>
    <mergeCell ref="O83:O84"/>
    <mergeCell ref="P83:P84"/>
    <mergeCell ref="O90:O91"/>
    <mergeCell ref="P90:P91"/>
    <mergeCell ref="O10:O11"/>
    <mergeCell ref="P10:P11"/>
    <mergeCell ref="O12:O13"/>
    <mergeCell ref="P12:P13"/>
    <mergeCell ref="O20:O21"/>
    <mergeCell ref="P20:P21"/>
    <mergeCell ref="O34:O35"/>
    <mergeCell ref="P34:P35"/>
    <mergeCell ref="O40:O41"/>
    <mergeCell ref="P40:P41"/>
  </mergeCells>
  <pageMargins left="0.7" right="0.7" top="0.75" bottom="0.75" header="0.3" footer="0.3"/>
  <pageSetup paperSize="9" orientation="portrait" horizontalDpi="200" verticalDpi="200" r:id="rId1"/>
  <ignoredErrors>
    <ignoredError sqref="B11 C90:C91 C83:C84 C73:C74 C66:C67 C61:C62 C54:C55 C47:C48 C40:C41 C34:C35 C21 Q29:R29 Q21:R21 Q34:R35 Q40:R41 Q47:R48 Q54:R55 Q61:R62 Q66:R67 Q73:R74 Q83:R84 Q105:R106 Q90:R91 C20 Q20:R20 E20:N20 D90:N91 C105:N106 D83:N84 D73:N74 D66:N67 D61:N62 D54:N55 D47:N48 D40:N41 D34:N35 D21:N21 C29:N29 B14:B28 B30:B110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2015-05-06T10:25:36Z</cp:lastPrinted>
  <dcterms:created xsi:type="dcterms:W3CDTF">2015-05-05T09:33:52Z</dcterms:created>
  <dcterms:modified xsi:type="dcterms:W3CDTF">2024-06-04T07:54:43Z</dcterms:modified>
</cp:coreProperties>
</file>