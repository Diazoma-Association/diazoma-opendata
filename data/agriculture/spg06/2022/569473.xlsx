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13_ncr:1_{236BFF88-3706-46EB-B65C-4CAF56B026E4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2" state="hidden" r:id="rId1"/>
    <sheet name="ΠΙΝΑΚΑΣ 2(η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9" i="1" l="1"/>
  <c r="G108" i="1"/>
  <c r="G107" i="1"/>
  <c r="G106" i="1"/>
  <c r="G103" i="1"/>
  <c r="G102" i="1"/>
  <c r="G101" i="1"/>
  <c r="G100" i="1"/>
  <c r="G99" i="1"/>
  <c r="G98" i="1"/>
  <c r="G97" i="1"/>
  <c r="G96" i="1"/>
  <c r="G95" i="1"/>
  <c r="G94" i="1"/>
  <c r="G93" i="1"/>
  <c r="G92" i="1"/>
  <c r="G89" i="1" s="1"/>
  <c r="G91" i="1"/>
  <c r="G88" i="1"/>
  <c r="G87" i="1"/>
  <c r="G86" i="1"/>
  <c r="G85" i="1"/>
  <c r="G84" i="1"/>
  <c r="G82" i="1" s="1"/>
  <c r="G81" i="1"/>
  <c r="G80" i="1"/>
  <c r="G79" i="1"/>
  <c r="G78" i="1"/>
  <c r="G77" i="1"/>
  <c r="G76" i="1"/>
  <c r="G75" i="1"/>
  <c r="G74" i="1"/>
  <c r="G67" i="1"/>
  <c r="G65" i="1" s="1"/>
  <c r="G71" i="1"/>
  <c r="G70" i="1"/>
  <c r="G69" i="1"/>
  <c r="G68" i="1"/>
  <c r="G64" i="1"/>
  <c r="G63" i="1"/>
  <c r="G62" i="1"/>
  <c r="G60" i="1" s="1"/>
  <c r="G59" i="1"/>
  <c r="G58" i="1"/>
  <c r="G53" i="1" s="1"/>
  <c r="G57" i="1"/>
  <c r="G56" i="1"/>
  <c r="G55" i="1"/>
  <c r="G52" i="1"/>
  <c r="G51" i="1"/>
  <c r="G50" i="1"/>
  <c r="G49" i="1"/>
  <c r="G48" i="1"/>
  <c r="G46" i="1" s="1"/>
  <c r="G45" i="1"/>
  <c r="G44" i="1"/>
  <c r="G43" i="1"/>
  <c r="G42" i="1"/>
  <c r="G41" i="1"/>
  <c r="G39" i="1" s="1"/>
  <c r="G38" i="1"/>
  <c r="G37" i="1"/>
  <c r="G36" i="1"/>
  <c r="G33" i="1" s="1"/>
  <c r="G35" i="1"/>
  <c r="G32" i="1"/>
  <c r="G31" i="1"/>
  <c r="G30" i="1"/>
  <c r="G29" i="1"/>
  <c r="G28" i="1" s="1"/>
  <c r="G27" i="1"/>
  <c r="G26" i="1"/>
  <c r="G25" i="1"/>
  <c r="G19" i="1" s="1"/>
  <c r="G24" i="1"/>
  <c r="G23" i="1"/>
  <c r="G22" i="1"/>
  <c r="G21" i="1"/>
  <c r="G18" i="1"/>
  <c r="G17" i="1"/>
  <c r="G16" i="1"/>
  <c r="G15" i="1"/>
  <c r="G11" i="1" s="1"/>
  <c r="G14" i="1"/>
  <c r="G13" i="1"/>
  <c r="G104" i="1"/>
  <c r="B109" i="1"/>
  <c r="B108" i="1"/>
  <c r="B107" i="1"/>
  <c r="B106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88" i="1"/>
  <c r="B87" i="1"/>
  <c r="B86" i="1"/>
  <c r="B85" i="1"/>
  <c r="B84" i="1"/>
  <c r="B81" i="1"/>
  <c r="B80" i="1"/>
  <c r="B79" i="1"/>
  <c r="B78" i="1"/>
  <c r="B77" i="1"/>
  <c r="B76" i="1"/>
  <c r="B75" i="1"/>
  <c r="B74" i="1"/>
  <c r="B71" i="1"/>
  <c r="B70" i="1"/>
  <c r="B69" i="1"/>
  <c r="B68" i="1"/>
  <c r="B67" i="1"/>
  <c r="B64" i="1"/>
  <c r="B63" i="1"/>
  <c r="B62" i="1"/>
  <c r="B59" i="1"/>
  <c r="B58" i="1"/>
  <c r="B57" i="1"/>
  <c r="B56" i="1"/>
  <c r="B55" i="1"/>
  <c r="B52" i="1"/>
  <c r="B51" i="1"/>
  <c r="B50" i="1"/>
  <c r="B49" i="1"/>
  <c r="B48" i="1"/>
  <c r="B45" i="1"/>
  <c r="B44" i="1"/>
  <c r="B43" i="1"/>
  <c r="B42" i="1"/>
  <c r="B41" i="1"/>
  <c r="B38" i="1"/>
  <c r="B37" i="1"/>
  <c r="B36" i="1"/>
  <c r="B35" i="1"/>
  <c r="B32" i="1"/>
  <c r="B31" i="1"/>
  <c r="B30" i="1"/>
  <c r="B29" i="1"/>
  <c r="B27" i="1"/>
  <c r="B26" i="1"/>
  <c r="B25" i="1"/>
  <c r="B24" i="1"/>
  <c r="B23" i="1"/>
  <c r="B22" i="1"/>
  <c r="B21" i="1"/>
  <c r="B18" i="1"/>
  <c r="B17" i="1"/>
  <c r="B16" i="1"/>
  <c r="B15" i="1"/>
  <c r="B14" i="1"/>
  <c r="B13" i="1"/>
  <c r="N72" i="1"/>
  <c r="O72" i="1"/>
  <c r="C11" i="1"/>
  <c r="G72" i="1" l="1"/>
  <c r="G9" i="1"/>
  <c r="L28" i="1"/>
  <c r="D11" i="1"/>
  <c r="B72" i="1" l="1"/>
  <c r="C104" i="1"/>
  <c r="E82" i="1"/>
  <c r="F82" i="1"/>
  <c r="H82" i="1"/>
  <c r="I82" i="1"/>
  <c r="J82" i="1"/>
  <c r="K82" i="1"/>
  <c r="D82" i="1"/>
  <c r="M72" i="1"/>
  <c r="F72" i="1"/>
  <c r="J72" i="1"/>
  <c r="I72" i="1"/>
  <c r="M33" i="1"/>
  <c r="O28" i="1"/>
  <c r="N28" i="1"/>
  <c r="K28" i="1"/>
  <c r="M28" i="1"/>
  <c r="E28" i="1"/>
  <c r="F28" i="1"/>
  <c r="H28" i="1"/>
  <c r="I28" i="1"/>
  <c r="J28" i="1"/>
  <c r="C28" i="1"/>
  <c r="D28" i="1"/>
  <c r="O19" i="1"/>
  <c r="N19" i="1"/>
  <c r="M19" i="1"/>
  <c r="D19" i="1"/>
  <c r="E19" i="1"/>
  <c r="F19" i="1"/>
  <c r="H19" i="1"/>
  <c r="I19" i="1"/>
  <c r="J19" i="1"/>
  <c r="K19" i="1"/>
  <c r="L19" i="1"/>
  <c r="C19" i="1"/>
  <c r="O104" i="1"/>
  <c r="N104" i="1"/>
  <c r="M104" i="1"/>
  <c r="L104" i="1"/>
  <c r="K104" i="1"/>
  <c r="J104" i="1"/>
  <c r="I104" i="1"/>
  <c r="H104" i="1"/>
  <c r="F104" i="1"/>
  <c r="E104" i="1"/>
  <c r="D104" i="1"/>
  <c r="O89" i="1"/>
  <c r="N89" i="1"/>
  <c r="M89" i="1"/>
  <c r="L89" i="1"/>
  <c r="K89" i="1"/>
  <c r="J89" i="1"/>
  <c r="I89" i="1"/>
  <c r="H89" i="1"/>
  <c r="F89" i="1"/>
  <c r="E89" i="1"/>
  <c r="D89" i="1"/>
  <c r="C89" i="1"/>
  <c r="O82" i="1"/>
  <c r="N82" i="1"/>
  <c r="M82" i="1"/>
  <c r="L82" i="1"/>
  <c r="C82" i="1"/>
  <c r="L72" i="1"/>
  <c r="K72" i="1"/>
  <c r="H72" i="1"/>
  <c r="E72" i="1"/>
  <c r="D72" i="1"/>
  <c r="C72" i="1"/>
  <c r="O65" i="1"/>
  <c r="N65" i="1"/>
  <c r="M65" i="1"/>
  <c r="L65" i="1"/>
  <c r="K65" i="1"/>
  <c r="J65" i="1"/>
  <c r="I65" i="1"/>
  <c r="H65" i="1"/>
  <c r="F65" i="1"/>
  <c r="E65" i="1"/>
  <c r="D65" i="1"/>
  <c r="C65" i="1"/>
  <c r="O60" i="1"/>
  <c r="N60" i="1"/>
  <c r="M60" i="1"/>
  <c r="L60" i="1"/>
  <c r="K60" i="1"/>
  <c r="J60" i="1"/>
  <c r="I60" i="1"/>
  <c r="H60" i="1"/>
  <c r="F60" i="1"/>
  <c r="E60" i="1"/>
  <c r="D60" i="1"/>
  <c r="C60" i="1"/>
  <c r="O53" i="1"/>
  <c r="N53" i="1"/>
  <c r="M53" i="1"/>
  <c r="L53" i="1"/>
  <c r="K53" i="1"/>
  <c r="J53" i="1"/>
  <c r="I53" i="1"/>
  <c r="H53" i="1"/>
  <c r="F53" i="1"/>
  <c r="E53" i="1"/>
  <c r="D53" i="1"/>
  <c r="C53" i="1"/>
  <c r="O46" i="1"/>
  <c r="N46" i="1"/>
  <c r="M46" i="1"/>
  <c r="L46" i="1"/>
  <c r="K46" i="1"/>
  <c r="J46" i="1"/>
  <c r="I46" i="1"/>
  <c r="H46" i="1"/>
  <c r="F46" i="1"/>
  <c r="E46" i="1"/>
  <c r="D46" i="1"/>
  <c r="C46" i="1"/>
  <c r="O39" i="1"/>
  <c r="N39" i="1"/>
  <c r="M39" i="1"/>
  <c r="L39" i="1"/>
  <c r="K39" i="1"/>
  <c r="J39" i="1"/>
  <c r="I39" i="1"/>
  <c r="H39" i="1"/>
  <c r="F39" i="1"/>
  <c r="E39" i="1"/>
  <c r="D39" i="1"/>
  <c r="C39" i="1"/>
  <c r="O33" i="1"/>
  <c r="N33" i="1"/>
  <c r="L33" i="1"/>
  <c r="K33" i="1"/>
  <c r="J33" i="1"/>
  <c r="I33" i="1"/>
  <c r="H33" i="1"/>
  <c r="F33" i="1"/>
  <c r="E33" i="1"/>
  <c r="D33" i="1"/>
  <c r="C33" i="1"/>
  <c r="O11" i="1"/>
  <c r="N11" i="1"/>
  <c r="M11" i="1"/>
  <c r="L11" i="1"/>
  <c r="K11" i="1"/>
  <c r="J11" i="1"/>
  <c r="I11" i="1"/>
  <c r="H11" i="1"/>
  <c r="F11" i="1"/>
  <c r="E11" i="1"/>
  <c r="B11" i="1" l="1"/>
  <c r="N9" i="1"/>
  <c r="O9" i="1"/>
  <c r="B65" i="1"/>
  <c r="F9" i="1"/>
  <c r="B28" i="1"/>
  <c r="D9" i="1"/>
  <c r="C9" i="1"/>
  <c r="B104" i="1"/>
  <c r="B89" i="1"/>
  <c r="B82" i="1"/>
  <c r="B60" i="1"/>
  <c r="B53" i="1"/>
  <c r="B46" i="1"/>
  <c r="B39" i="1"/>
  <c r="B33" i="1"/>
  <c r="B19" i="1"/>
  <c r="E9" i="1"/>
  <c r="K9" i="1"/>
  <c r="J9" i="1"/>
  <c r="H9" i="1"/>
  <c r="M9" i="1"/>
  <c r="L9" i="1"/>
  <c r="I9" i="1"/>
  <c r="B9" i="1" l="1"/>
</calcChain>
</file>

<file path=xl/sharedStrings.xml><?xml version="1.0" encoding="utf-8"?>
<sst xmlns="http://schemas.openxmlformats.org/spreadsheetml/2006/main" count="554" uniqueCount="301">
  <si>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</si>
  <si>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</si>
  <si>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</si>
  <si>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</si>
  <si>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</si>
  <si>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</si>
  <si>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</si>
  <si>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</si>
  <si>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</si>
  <si>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</si>
  <si>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</si>
  <si>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</si>
  <si>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</si>
  <si>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</si>
  <si>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</si>
  <si>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</si>
  <si>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</si>
  <si>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</si>
  <si>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</si>
  <si>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</si>
  <si>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</si>
  <si>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</si>
  <si>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</si>
  <si>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</si>
  <si>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</si>
  <si>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</si>
  <si>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</si>
  <si>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</si>
  <si>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</si>
  <si>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</si>
  <si>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</si>
  <si>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</si>
  <si>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</si>
  <si>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</si>
  <si>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</si>
  <si>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</si>
  <si>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</si>
  <si>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</si>
  <si>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</si>
  <si>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</si>
  <si>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</si>
  <si>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</si>
  <si>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</si>
  <si>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</si>
  <si>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</si>
  <si>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</si>
  <si>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</si>
  <si>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</si>
  <si>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</si>
  <si>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</si>
  <si>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</si>
  <si>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</si>
  <si>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</si>
  <si>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</si>
  <si>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</si>
  <si>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</si>
  <si>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</si>
  <si>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</si>
  <si>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</si>
  <si>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</si>
  <si>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</si>
  <si>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</si>
  <si>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</si>
  <si>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</si>
  <si>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</si>
  <si>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</si>
  <si>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</si>
  <si>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</si>
  <si>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</si>
  <si>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</si>
  <si>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</si>
  <si>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</si>
  <si>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</si>
  <si>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</si>
  <si>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</si>
  <si>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</si>
  <si>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</si>
  <si>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</si>
  <si>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</si>
  <si>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</si>
  <si>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</si>
  <si>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</si>
  <si>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</si>
  <si>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</si>
  <si>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</si>
  <si>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</si>
  <si>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</si>
  <si>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</si>
  <si>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</si>
  <si>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</si>
  <si>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</si>
  <si>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</si>
  <si>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</si>
  <si>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</si>
  <si>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</si>
  <si>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</si>
  <si>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</si>
  <si>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</si>
  <si>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</si>
  <si>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</si>
  <si>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</si>
  <si>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</si>
  <si>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</si>
  <si>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</si>
  <si>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</si>
  <si>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</si>
  <si>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</si>
  <si>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</si>
  <si>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</si>
  <si>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</si>
  <si>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</si>
  <si>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</si>
  <si>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</si>
  <si>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</si>
  <si>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</si>
  <si>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</si>
  <si>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</si>
  <si>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</si>
  <si>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</si>
  <si>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</si>
  <si>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</si>
  <si>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</si>
  <si>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</si>
  <si>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</si>
  <si>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</si>
  <si>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</si>
  <si>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</si>
  <si>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</si>
  <si>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</si>
  <si>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</si>
  <si>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</si>
  <si>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</si>
  <si>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</si>
  <si>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</si>
  <si>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</si>
  <si>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</si>
  <si>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</si>
  <si>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</si>
  <si>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</si>
  <si>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</si>
  <si>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</si>
  <si>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</si>
  <si>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</si>
  <si>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</si>
  <si>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</si>
  <si>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</si>
  <si>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</si>
  <si>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</si>
  <si>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</si>
  <si>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Κύθνου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</si>
  <si>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</si>
  <si>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</si>
  <si>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</si>
  <si>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</si>
  <si>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</si>
  <si>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</si>
  <si>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</si>
  <si>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</si>
  <si>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</si>
  <si>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</si>
  <si>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</si>
  <si>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</si>
  <si>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</si>
  <si>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</si>
  <si>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</si>
  <si>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</si>
  <si>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</si>
  <si>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</si>
  <si>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</si>
  <si>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</si>
  <si>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</si>
  <si>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</si>
  <si>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</si>
  <si>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</si>
  <si>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</si>
  <si>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</si>
  <si>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</si>
  <si>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</si>
  <si>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</si>
  <si>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</si>
  <si>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</si>
  <si>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</si>
  <si>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</si>
  <si>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</si>
  <si>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</si>
  <si>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</si>
  <si>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</si>
  <si>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</si>
  <si>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</si>
  <si>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</si>
  <si>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</si>
  <si>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</si>
  <si>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</si>
  <si>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</si>
  <si>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</si>
  <si>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</si>
  <si>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</si>
  <si>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</si>
  <si>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</si>
  <si>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</si>
  <si>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</si>
  <si>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</si>
  <si>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</si>
  <si>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</si>
  <si>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</si>
  <si>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</si>
  <si>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</si>
  <si>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</si>
  <si>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</si>
  <si>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</si>
  <si>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</si>
  <si>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</si>
  <si>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</si>
  <si>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</si>
  <si>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</si>
  <si>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</si>
  <si>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</si>
  <si>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</si>
  <si>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</si>
  <si>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</si>
  <si>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</si>
  <si>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</si>
  <si>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</si>
  <si>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</si>
  <si>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</si>
  <si>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</si>
  <si>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</si>
  <si>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</si>
  <si>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</si>
  <si>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</si>
  <si>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</si>
  <si>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</si>
  <si>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</si>
  <si>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</si>
  <si>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</si>
  <si>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</si>
  <si>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</si>
  <si>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</si>
  <si>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</si>
  <si>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</si>
  <si>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</si>
  <si>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</si>
  <si>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</si>
  <si>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</si>
  <si>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</si>
  <si>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</si>
  <si>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</si>
  <si>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</si>
  <si>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</si>
  <si>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</si>
  <si>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</si>
  <si>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</si>
  <si>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</si>
  <si>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</si>
  <si>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</si>
  <si>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</si>
  <si>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</si>
  <si>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</si>
  <si>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</si>
  <si>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</si>
  <si>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</si>
  <si>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</si>
  <si>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</si>
  <si>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</si>
  <si>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</si>
  <si>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</si>
  <si>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</si>
  <si>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</si>
  <si>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</si>
  <si>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</si>
  <si>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</si>
  <si>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</si>
  <si>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</si>
  <si>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</si>
  <si>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</si>
  <si>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</si>
  <si>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</si>
  <si>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</si>
  <si>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</si>
  <si>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</si>
  <si>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</si>
  <si>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Potatoes harvested</t>
  </si>
  <si>
    <t>Καρπούζια     Watermelons</t>
  </si>
  <si>
    <t>Πατάτες συγκομιζόμενες</t>
  </si>
  <si>
    <t>Περιφέρεια Δυτικής Μακεδονίας</t>
  </si>
  <si>
    <t>Region of Western Macedonia</t>
  </si>
  <si>
    <t>το καλοκαίρι
in summer</t>
  </si>
  <si>
    <t>Γλυκοπατάτες
Sweet potatoes</t>
  </si>
  <si>
    <t>το φθινόπωρο ή χειμώνα 
in autumn or winter</t>
  </si>
  <si>
    <t>Areas in stremmas (1 stremma = 0.1 ha), production in tons</t>
  </si>
  <si>
    <t>Πεπόνια 
Melons</t>
  </si>
  <si>
    <t>την άνοιξη
in spring</t>
  </si>
  <si>
    <t xml:space="preserve">  Καρπάθου - Ηρωικής Νήσου Κάσου</t>
  </si>
  <si>
    <t xml:space="preserve">  Κέας - Κύθνου</t>
  </si>
  <si>
    <t xml:space="preserve">  Karpathos - Heroic Island of Kasos</t>
  </si>
  <si>
    <t xml:space="preserve">  Kea - Kythnos</t>
  </si>
  <si>
    <t>Πατάτες Σύνολο 
Εκτάσεων
Potatoes Total
Area</t>
  </si>
  <si>
    <t>Πεπονοειδή
Σύνολο 
Εκτάσεων
Melons and watermelons Total
Area</t>
  </si>
  <si>
    <t xml:space="preserve">— </t>
  </si>
  <si>
    <t>Πίνακας 2η. Πεπονοειδή και πατάτες. Εκτάσεις και παραγωγή, κατά Περιφέρεια και Περιφερειακή Ενότητα, 2022</t>
  </si>
  <si>
    <t>Table 2h. Melons, watermelons and potatoes. Areas and production,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</si>
</sst>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49" fontId="1" fillId="2" borderId="5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2" fillId="2" borderId="4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4" xfId="0" applyNumberFormat="1" applyFont="1" applyFill="1" applyBorder="1" applyAlignment="1">
      <alignment vertical="center" textRotation="90"/>
    </xf>
    <xf numFmtId="0" fontId="2" fillId="2" borderId="6" xfId="0" applyFont="1" applyFill="1" applyBorder="1"/>
    <xf numFmtId="49" fontId="1" fillId="2" borderId="7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8" xfId="0" applyFont="1" applyFill="1" applyBorder="1"/>
    <xf numFmtId="0" fontId="5" fillId="2" borderId="0" xfId="0" applyFont="1" applyFill="1"/>
    <xf numFmtId="49" fontId="1" fillId="8" borderId="7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8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7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8" xfId="0" applyFont="1" applyFill="1" applyBorder="1"/>
    <xf numFmtId="49" fontId="4" fillId="4" borderId="0" xfId="0" applyNumberFormat="1" applyFont="1" applyFill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Font="1" applyFill="1" applyBorder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Font="1" applyFill="1" applyBorder="1"/>
    <xf numFmtId="49" fontId="1" fillId="10" borderId="5" xfId="0" applyNumberFormat="1" applyFont="1" applyFill="1" applyBorder="1"/>
    <xf numFmtId="49" fontId="1" fillId="10" borderId="4" xfId="0" applyNumberFormat="1" applyFont="1" applyFill="1" applyBorder="1"/>
    <xf numFmtId="0" fontId="2" fillId="10" borderId="4" xfId="0" applyFont="1" applyFill="1" applyBorder="1"/>
    <xf numFmtId="49" fontId="3" fillId="10" borderId="4" xfId="0" applyNumberFormat="1" applyFont="1" applyFill="1" applyBorder="1"/>
    <xf numFmtId="49" fontId="3" fillId="10" borderId="4" xfId="0" applyNumberFormat="1" applyFont="1" applyFill="1" applyBorder="1" applyAlignment="1">
      <alignment vertical="center" textRotation="90"/>
    </xf>
    <xf numFmtId="0" fontId="2" fillId="10" borderId="6" xfId="0" applyFont="1" applyFill="1" applyBorder="1"/>
    <xf numFmtId="49" fontId="1" fillId="10" borderId="7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8" xfId="0" applyFont="1" applyFill="1" applyBorder="1"/>
    <xf numFmtId="49" fontId="4" fillId="10" borderId="0" xfId="0" applyNumberFormat="1" applyFont="1" applyFill="1"/>
    <xf numFmtId="49" fontId="1" fillId="5" borderId="7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8" xfId="0" applyFont="1" applyFill="1" applyBorder="1"/>
    <xf numFmtId="49" fontId="4" fillId="5" borderId="0" xfId="0" applyNumberFormat="1" applyFont="1" applyFill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Font="1" applyFill="1" applyBorder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Font="1" applyFill="1" applyBorder="1"/>
    <xf numFmtId="49" fontId="1" fillId="6" borderId="5" xfId="0" applyNumberFormat="1" applyFont="1" applyFill="1" applyBorder="1"/>
    <xf numFmtId="49" fontId="1" fillId="6" borderId="4" xfId="0" applyNumberFormat="1" applyFont="1" applyFill="1" applyBorder="1"/>
    <xf numFmtId="0" fontId="2" fillId="6" borderId="4" xfId="0" applyFont="1" applyFill="1" applyBorder="1"/>
    <xf numFmtId="49" fontId="3" fillId="6" borderId="4" xfId="0" applyNumberFormat="1" applyFont="1" applyFill="1" applyBorder="1"/>
    <xf numFmtId="0" fontId="5" fillId="6" borderId="4" xfId="0" applyFont="1" applyFill="1" applyBorder="1"/>
    <xf numFmtId="49" fontId="3" fillId="6" borderId="4" xfId="0" applyNumberFormat="1" applyFont="1" applyFill="1" applyBorder="1" applyAlignment="1">
      <alignment vertical="center" textRotation="90"/>
    </xf>
    <xf numFmtId="0" fontId="5" fillId="6" borderId="6" xfId="0" applyFont="1" applyFill="1" applyBorder="1"/>
    <xf numFmtId="49" fontId="1" fillId="6" borderId="7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8" xfId="0" applyFont="1" applyFill="1" applyBorder="1"/>
    <xf numFmtId="49" fontId="4" fillId="6" borderId="0" xfId="0" applyNumberFormat="1" applyFont="1" applyFill="1"/>
    <xf numFmtId="49" fontId="1" fillId="11" borderId="7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8" xfId="0" applyFont="1" applyFill="1" applyBorder="1"/>
    <xf numFmtId="49" fontId="4" fillId="11" borderId="0" xfId="0" applyNumberFormat="1" applyFont="1" applyFill="1"/>
    <xf numFmtId="49" fontId="1" fillId="12" borderId="7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8" xfId="0" applyFont="1" applyFill="1" applyBorder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Font="1" applyFill="1" applyBorder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Font="1" applyFill="1" applyBorder="1"/>
    <xf numFmtId="0" fontId="6" fillId="6" borderId="4" xfId="0" applyFont="1" applyFill="1" applyBorder="1"/>
    <xf numFmtId="0" fontId="2" fillId="6" borderId="6" xfId="0" applyFont="1" applyFill="1" applyBorder="1"/>
    <xf numFmtId="0" fontId="5" fillId="6" borderId="0" xfId="0" applyFont="1" applyFill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Font="1" applyFill="1" applyBorder="1"/>
    <xf numFmtId="0" fontId="2" fillId="6" borderId="10" xfId="0" applyFont="1" applyFill="1" applyBorder="1"/>
    <xf numFmtId="49" fontId="1" fillId="2" borderId="4" xfId="0" applyNumberFormat="1" applyFont="1" applyFill="1" applyBorder="1"/>
    <xf numFmtId="49" fontId="3" fillId="2" borderId="4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5" xfId="0" applyNumberFormat="1" applyFont="1" applyFill="1" applyBorder="1"/>
    <xf numFmtId="49" fontId="7" fillId="8" borderId="0" xfId="0" applyNumberFormat="1" applyFont="1" applyFill="1"/>
    <xf numFmtId="0" fontId="2" fillId="8" borderId="4" xfId="0" applyFont="1" applyFill="1" applyBorder="1"/>
    <xf numFmtId="49" fontId="3" fillId="8" borderId="4" xfId="0" applyNumberFormat="1" applyFont="1" applyFill="1" applyBorder="1"/>
    <xf numFmtId="49" fontId="1" fillId="8" borderId="4" xfId="0" applyNumberFormat="1" applyFont="1" applyFill="1" applyBorder="1"/>
    <xf numFmtId="0" fontId="2" fillId="8" borderId="6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9" xfId="0" applyNumberFormat="1" applyFont="1" applyFill="1" applyBorder="1"/>
    <xf numFmtId="0" fontId="2" fillId="8" borderId="1" xfId="0" applyFont="1" applyFill="1" applyBorder="1"/>
    <xf numFmtId="49" fontId="1" fillId="8" borderId="1" xfId="0" applyNumberFormat="1" applyFont="1" applyFill="1" applyBorder="1"/>
    <xf numFmtId="0" fontId="2" fillId="8" borderId="10" xfId="0" applyFont="1" applyFill="1" applyBorder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Font="1" applyFill="1" applyBorder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Font="1" applyFill="1" applyBorder="1"/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12" fillId="0" borderId="0" xfId="0" applyFont="1" applyProtection="1"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28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12" fillId="0" borderId="19" xfId="0" applyNumberFormat="1" applyFont="1" applyBorder="1" applyAlignment="1">
      <alignment horizontal="right" vertical="center"/>
    </xf>
    <xf numFmtId="3" fontId="14" fillId="0" borderId="16" xfId="0" applyNumberFormat="1" applyFont="1" applyBorder="1" applyAlignment="1">
      <alignment horizontal="right" vertical="top"/>
    </xf>
    <xf numFmtId="3" fontId="14" fillId="0" borderId="8" xfId="0" applyNumberFormat="1" applyFont="1" applyBorder="1" applyAlignment="1">
      <alignment horizontal="right" vertical="top"/>
    </xf>
    <xf numFmtId="0" fontId="0" fillId="0" borderId="0" xfId="0" applyAlignment="1" applyProtection="1">
      <alignment horizontal="left" indent="1"/>
      <protection locked="0"/>
    </xf>
    <xf numFmtId="0" fontId="14" fillId="0" borderId="16" xfId="0" applyFont="1" applyBorder="1" applyAlignment="1">
      <alignment horizontal="right" vertical="top"/>
    </xf>
    <xf numFmtId="49" fontId="9" fillId="0" borderId="0" xfId="0" applyNumberFormat="1" applyFont="1" applyAlignment="1" applyProtection="1">
      <alignment vertical="center" wrapText="1"/>
      <protection locked="0"/>
    </xf>
    <xf numFmtId="3" fontId="10" fillId="15" borderId="19" xfId="0" applyNumberFormat="1" applyFont="1" applyFill="1" applyBorder="1" applyAlignment="1">
      <alignment horizontal="right" vertical="center" wrapText="1"/>
    </xf>
    <xf numFmtId="3" fontId="10" fillId="15" borderId="16" xfId="0" applyNumberFormat="1" applyFont="1" applyFill="1" applyBorder="1" applyAlignment="1">
      <alignment horizontal="right" vertical="center" wrapText="1"/>
    </xf>
    <xf numFmtId="3" fontId="10" fillId="15" borderId="29" xfId="0" applyNumberFormat="1" applyFont="1" applyFill="1" applyBorder="1" applyAlignment="1">
      <alignment horizontal="right" vertical="center" wrapText="1"/>
    </xf>
    <xf numFmtId="0" fontId="9" fillId="0" borderId="0" xfId="0" applyFont="1" applyAlignment="1" applyProtection="1">
      <alignment vertical="center"/>
      <protection locked="0"/>
    </xf>
    <xf numFmtId="49" fontId="15" fillId="0" borderId="0" xfId="0" applyNumberFormat="1" applyFont="1" applyAlignment="1" applyProtection="1">
      <alignment horizontal="left" vertical="center" wrapText="1" indent="2"/>
      <protection locked="0"/>
    </xf>
    <xf numFmtId="49" fontId="0" fillId="0" borderId="1" xfId="0" applyNumberFormat="1" applyBorder="1" applyAlignment="1" applyProtection="1">
      <alignment horizontal="left" wrapText="1" indent="1"/>
      <protection locked="0"/>
    </xf>
    <xf numFmtId="3" fontId="12" fillId="0" borderId="30" xfId="0" applyNumberFormat="1" applyFont="1" applyBorder="1" applyAlignment="1">
      <alignment horizontal="right" vertical="center"/>
    </xf>
    <xf numFmtId="3" fontId="14" fillId="0" borderId="31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4" fillId="0" borderId="10" xfId="0" applyNumberFormat="1" applyFont="1" applyBorder="1" applyAlignment="1">
      <alignment horizontal="right" vertical="top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11" fillId="0" borderId="1" xfId="0" applyFont="1" applyBorder="1" applyProtection="1">
      <protection locked="0"/>
    </xf>
    <xf numFmtId="0" fontId="11" fillId="0" borderId="1" xfId="0" applyFont="1" applyBorder="1" applyAlignment="1" applyProtection="1">
      <alignment horizontal="right"/>
      <protection locked="0"/>
    </xf>
    <xf numFmtId="0" fontId="11" fillId="0" borderId="0" xfId="0" applyFont="1" applyProtection="1">
      <protection locked="0"/>
    </xf>
    <xf numFmtId="0" fontId="13" fillId="0" borderId="32" xfId="0" applyFont="1" applyBorder="1" applyAlignment="1" applyProtection="1">
      <alignment horizontal="center" vertical="center"/>
      <protection locked="0"/>
    </xf>
    <xf numFmtId="3" fontId="14" fillId="0" borderId="0" xfId="0" applyNumberFormat="1" applyFont="1" applyAlignment="1">
      <alignment horizontal="right" vertical="top"/>
    </xf>
    <xf numFmtId="3" fontId="14" fillId="0" borderId="29" xfId="0" applyNumberFormat="1" applyFont="1" applyBorder="1" applyAlignment="1">
      <alignment horizontal="right" vertical="top"/>
    </xf>
    <xf numFmtId="3" fontId="14" fillId="0" borderId="19" xfId="0" applyNumberFormat="1" applyFont="1" applyBorder="1" applyAlignment="1">
      <alignment horizontal="right" vertical="top"/>
    </xf>
    <xf numFmtId="3" fontId="14" fillId="0" borderId="30" xfId="0" applyNumberFormat="1" applyFont="1" applyBorder="1" applyAlignment="1">
      <alignment horizontal="right" vertical="top"/>
    </xf>
    <xf numFmtId="49" fontId="3" fillId="16" borderId="4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4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4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3" fontId="10" fillId="0" borderId="19" xfId="0" applyNumberFormat="1" applyFont="1" applyBorder="1" applyAlignment="1">
      <alignment horizontal="right" vertical="center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3" fontId="10" fillId="0" borderId="22" xfId="0" applyNumberFormat="1" applyFont="1" applyBorder="1" applyAlignment="1">
      <alignment horizontal="right" vertical="center"/>
    </xf>
    <xf numFmtId="3" fontId="10" fillId="0" borderId="16" xfId="0" applyNumberFormat="1" applyFont="1" applyBorder="1" applyAlignment="1">
      <alignment horizontal="right" vertical="center"/>
    </xf>
    <xf numFmtId="3" fontId="10" fillId="0" borderId="29" xfId="0" applyNumberFormat="1" applyFont="1" applyBorder="1" applyAlignment="1">
      <alignment horizontal="right" vertical="center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 applyProtection="1">
      <alignment horizontal="center" vertical="center" wrapText="1"/>
      <protection locked="0"/>
    </xf>
    <xf numFmtId="0" fontId="12" fillId="0" borderId="26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12" fillId="0" borderId="23" xfId="0" applyFont="1" applyBorder="1" applyAlignment="1" applyProtection="1">
      <alignment horizontal="center" vertical="center" wrapText="1"/>
      <protection locked="0"/>
    </xf>
    <xf numFmtId="0" fontId="12" fillId="0" borderId="27" xfId="0" applyFont="1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24" xfId="0" applyFont="1" applyBorder="1" applyAlignment="1" applyProtection="1">
      <alignment horizontal="center" vertical="center" wrapText="1"/>
      <protection locked="0"/>
    </xf>
    <xf numFmtId="0" fontId="12" fillId="0" borderId="17" xfId="0" applyFont="1" applyBorder="1" applyAlignment="1" applyProtection="1">
      <alignment horizontal="center" vertical="center" wrapText="1"/>
      <protection locked="0"/>
    </xf>
    <xf numFmtId="3" fontId="10" fillId="0" borderId="7" xfId="0" applyNumberFormat="1" applyFont="1" applyBorder="1" applyAlignment="1">
      <alignment horizontal="right" vertical="center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24" xfId="0" applyFont="1" applyBorder="1" applyAlignment="1" applyProtection="1">
      <alignment horizontal="center" vertical="center" wrapText="1"/>
      <protection locked="0"/>
    </xf>
    <xf numFmtId="0" fontId="10" fillId="0" borderId="25" xfId="0" applyFont="1" applyBorder="1" applyAlignment="1" applyProtection="1">
      <alignment vertical="center" wrapText="1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49" fontId="9" fillId="0" borderId="25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left" wrapText="1" inden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4" xfId="0" applyBorder="1" applyAlignment="1" applyProtection="1">
      <alignment horizontal="right" vertical="center"/>
      <protection locked="0"/>
    </xf>
  </cellXfs>
  <cellStyles count="1">
    <cellStyle name="Κανονικό" xfId="0" builtinId="0"/>
  </cellStyles>
  <dxfs count="2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workbookViewId="0">
      <selection sqref="A1:IV65536"/>
    </sheetView>
  </sheetViews>
  <sheetFormatPr defaultRowHeight="14.4" x14ac:dyDescent="0.3"/>
  <sheetData>
    <row r="1" spans="1:13" x14ac:dyDescent="0.3">
      <c r="A1" s="1" t="s">
        <v>176</v>
      </c>
      <c r="B1" s="2" t="s">
        <v>6</v>
      </c>
      <c r="C1" s="3"/>
      <c r="D1" s="4"/>
      <c r="E1" s="4"/>
      <c r="F1" s="4"/>
      <c r="G1" s="4"/>
      <c r="H1" s="160" t="s">
        <v>177</v>
      </c>
      <c r="I1" s="5"/>
      <c r="J1" s="3"/>
      <c r="K1" s="3"/>
      <c r="L1" s="3"/>
      <c r="M1" s="6"/>
    </row>
    <row r="2" spans="1:13" x14ac:dyDescent="0.3">
      <c r="A2" s="7" t="s">
        <v>178</v>
      </c>
      <c r="B2" s="8" t="s">
        <v>8</v>
      </c>
      <c r="C2" s="9"/>
      <c r="D2" s="9"/>
      <c r="E2" s="9"/>
      <c r="F2" s="9"/>
      <c r="G2" s="9"/>
      <c r="H2" s="161"/>
      <c r="I2" s="10"/>
      <c r="J2" s="9"/>
      <c r="K2" s="9"/>
      <c r="L2" s="9"/>
      <c r="M2" s="11"/>
    </row>
    <row r="3" spans="1:13" x14ac:dyDescent="0.3">
      <c r="A3" s="7" t="s">
        <v>179</v>
      </c>
      <c r="B3" s="8" t="s">
        <v>10</v>
      </c>
      <c r="C3" s="9"/>
      <c r="D3" s="163" t="s">
        <v>180</v>
      </c>
      <c r="E3" s="163"/>
      <c r="F3" s="163"/>
      <c r="G3" s="163"/>
      <c r="H3" s="161"/>
      <c r="I3" s="10"/>
      <c r="J3" s="9"/>
      <c r="K3" s="9"/>
      <c r="L3" s="9"/>
      <c r="M3" s="11"/>
    </row>
    <row r="4" spans="1:13" x14ac:dyDescent="0.3">
      <c r="A4" s="7" t="s">
        <v>181</v>
      </c>
      <c r="B4" s="8" t="s">
        <v>12</v>
      </c>
      <c r="C4" s="9"/>
      <c r="D4" s="12" t="s">
        <v>182</v>
      </c>
      <c r="E4" s="9"/>
      <c r="F4" s="9"/>
      <c r="G4" s="9"/>
      <c r="H4" s="161"/>
      <c r="I4" s="10"/>
      <c r="J4" s="9"/>
      <c r="K4" s="9"/>
      <c r="L4" s="9"/>
      <c r="M4" s="11"/>
    </row>
    <row r="5" spans="1:13" x14ac:dyDescent="0.3">
      <c r="A5" s="7" t="s">
        <v>183</v>
      </c>
      <c r="B5" s="8" t="s">
        <v>14</v>
      </c>
      <c r="C5" s="9"/>
      <c r="D5" s="9"/>
      <c r="E5" s="9"/>
      <c r="F5" s="9"/>
      <c r="G5" s="9"/>
      <c r="H5" s="161"/>
      <c r="I5" s="10"/>
      <c r="J5" s="9"/>
      <c r="K5" s="9"/>
      <c r="L5" s="9"/>
      <c r="M5" s="11"/>
    </row>
    <row r="6" spans="1:13" x14ac:dyDescent="0.3">
      <c r="A6" s="7" t="s">
        <v>184</v>
      </c>
      <c r="B6" s="8" t="s">
        <v>16</v>
      </c>
      <c r="C6" s="9"/>
      <c r="D6" s="9"/>
      <c r="E6" s="9"/>
      <c r="F6" s="9"/>
      <c r="G6" s="9"/>
      <c r="H6" s="161"/>
      <c r="I6" s="10"/>
      <c r="J6" s="9"/>
      <c r="K6" s="9"/>
      <c r="L6" s="9"/>
      <c r="M6" s="11"/>
    </row>
    <row r="7" spans="1:13" x14ac:dyDescent="0.3">
      <c r="A7" s="13" t="s">
        <v>185</v>
      </c>
      <c r="B7" s="14" t="s">
        <v>20</v>
      </c>
      <c r="C7" s="15"/>
      <c r="D7" s="16"/>
      <c r="E7" s="15"/>
      <c r="F7" s="15"/>
      <c r="G7" s="15"/>
      <c r="H7" s="161"/>
      <c r="I7" s="17"/>
      <c r="J7" s="15"/>
      <c r="K7" s="15"/>
      <c r="L7" s="15"/>
      <c r="M7" s="18"/>
    </row>
    <row r="8" spans="1:13" x14ac:dyDescent="0.3">
      <c r="A8" s="13" t="s">
        <v>186</v>
      </c>
      <c r="B8" s="19" t="s">
        <v>22</v>
      </c>
      <c r="C8" s="15"/>
      <c r="D8" s="15"/>
      <c r="E8" s="15"/>
      <c r="F8" s="15"/>
      <c r="G8" s="15"/>
      <c r="H8" s="161"/>
      <c r="I8" s="17"/>
      <c r="J8" s="19"/>
      <c r="K8" s="20"/>
      <c r="L8" s="15"/>
      <c r="M8" s="18"/>
    </row>
    <row r="9" spans="1:13" x14ac:dyDescent="0.3">
      <c r="A9" s="13" t="s">
        <v>187</v>
      </c>
      <c r="B9" s="19" t="s">
        <v>24</v>
      </c>
      <c r="C9" s="15"/>
      <c r="D9" s="15"/>
      <c r="E9" s="15"/>
      <c r="F9" s="15"/>
      <c r="G9" s="15"/>
      <c r="H9" s="161"/>
      <c r="I9" s="17"/>
      <c r="J9" s="15"/>
      <c r="K9" s="15"/>
      <c r="L9" s="15"/>
      <c r="M9" s="18"/>
    </row>
    <row r="10" spans="1:13" x14ac:dyDescent="0.3">
      <c r="A10" s="13" t="s">
        <v>188</v>
      </c>
      <c r="B10" s="19" t="s">
        <v>26</v>
      </c>
      <c r="C10" s="15"/>
      <c r="D10" s="15"/>
      <c r="E10" s="15"/>
      <c r="F10" s="15"/>
      <c r="G10" s="15"/>
      <c r="H10" s="161"/>
      <c r="I10" s="17"/>
      <c r="J10" s="15"/>
      <c r="K10" s="15"/>
      <c r="L10" s="15"/>
      <c r="M10" s="18"/>
    </row>
    <row r="11" spans="1:13" x14ac:dyDescent="0.3">
      <c r="A11" s="13" t="s">
        <v>189</v>
      </c>
      <c r="B11" s="19" t="s">
        <v>28</v>
      </c>
      <c r="C11" s="15"/>
      <c r="D11" s="21" t="s">
        <v>190</v>
      </c>
      <c r="E11" s="15"/>
      <c r="F11" s="15"/>
      <c r="G11" s="15"/>
      <c r="H11" s="161"/>
      <c r="I11" s="17"/>
      <c r="J11" s="15"/>
      <c r="K11" s="15"/>
      <c r="L11" s="15"/>
      <c r="M11" s="18"/>
    </row>
    <row r="12" spans="1:13" x14ac:dyDescent="0.3">
      <c r="A12" s="13" t="s">
        <v>191</v>
      </c>
      <c r="B12" s="19" t="s">
        <v>30</v>
      </c>
      <c r="C12" s="15"/>
      <c r="D12" s="15"/>
      <c r="E12" s="15"/>
      <c r="F12" s="15"/>
      <c r="G12" s="15"/>
      <c r="H12" s="161"/>
      <c r="I12" s="17"/>
      <c r="J12" s="15"/>
      <c r="K12" s="15"/>
      <c r="L12" s="15"/>
      <c r="M12" s="18"/>
    </row>
    <row r="13" spans="1:13" x14ac:dyDescent="0.3">
      <c r="A13" s="13" t="s">
        <v>192</v>
      </c>
      <c r="B13" s="19" t="s">
        <v>32</v>
      </c>
      <c r="C13" s="15"/>
      <c r="D13" s="15"/>
      <c r="E13" s="15"/>
      <c r="F13" s="15"/>
      <c r="G13" s="15"/>
      <c r="H13" s="161"/>
      <c r="I13" s="17"/>
      <c r="J13" s="15"/>
      <c r="K13" s="15"/>
      <c r="L13" s="15"/>
      <c r="M13" s="18"/>
    </row>
    <row r="14" spans="1:13" x14ac:dyDescent="0.3">
      <c r="A14" s="13" t="s">
        <v>193</v>
      </c>
      <c r="B14" s="19" t="s">
        <v>34</v>
      </c>
      <c r="C14" s="15"/>
      <c r="D14" s="15"/>
      <c r="E14" s="15"/>
      <c r="F14" s="15"/>
      <c r="G14" s="15"/>
      <c r="H14" s="161"/>
      <c r="I14" s="17"/>
      <c r="J14" s="15"/>
      <c r="K14" s="15"/>
      <c r="L14" s="15"/>
      <c r="M14" s="18"/>
    </row>
    <row r="15" spans="1:13" x14ac:dyDescent="0.3">
      <c r="A15" s="13" t="s">
        <v>194</v>
      </c>
      <c r="B15" s="19" t="s">
        <v>36</v>
      </c>
      <c r="C15" s="15"/>
      <c r="D15" s="15"/>
      <c r="E15" s="15"/>
      <c r="F15" s="15"/>
      <c r="G15" s="15"/>
      <c r="H15" s="161"/>
      <c r="I15" s="17"/>
      <c r="J15" s="15"/>
      <c r="K15" s="15"/>
      <c r="L15" s="15"/>
      <c r="M15" s="18"/>
    </row>
    <row r="16" spans="1:13" x14ac:dyDescent="0.3">
      <c r="A16" s="13" t="s">
        <v>195</v>
      </c>
      <c r="B16" s="19" t="s">
        <v>38</v>
      </c>
      <c r="C16" s="15"/>
      <c r="D16" s="15"/>
      <c r="E16" s="15"/>
      <c r="F16" s="15"/>
      <c r="G16" s="15"/>
      <c r="H16" s="161"/>
      <c r="I16" s="17"/>
      <c r="J16" s="15"/>
      <c r="K16" s="15"/>
      <c r="L16" s="15"/>
      <c r="M16" s="18"/>
    </row>
    <row r="17" spans="1:13" x14ac:dyDescent="0.3">
      <c r="A17" s="13" t="s">
        <v>196</v>
      </c>
      <c r="B17" s="19" t="s">
        <v>40</v>
      </c>
      <c r="C17" s="15"/>
      <c r="D17" s="15"/>
      <c r="E17" s="15"/>
      <c r="F17" s="15"/>
      <c r="G17" s="15"/>
      <c r="H17" s="161"/>
      <c r="I17" s="17"/>
      <c r="J17" s="15"/>
      <c r="K17" s="15"/>
      <c r="L17" s="15"/>
      <c r="M17" s="18"/>
    </row>
    <row r="18" spans="1:13" x14ac:dyDescent="0.3">
      <c r="A18" s="22" t="s">
        <v>197</v>
      </c>
      <c r="B18" s="23" t="s">
        <v>44</v>
      </c>
      <c r="C18" s="24"/>
      <c r="D18" s="25"/>
      <c r="E18" s="24"/>
      <c r="F18" s="24"/>
      <c r="G18" s="24"/>
      <c r="H18" s="161"/>
      <c r="I18" s="26"/>
      <c r="J18" s="23"/>
      <c r="K18" s="23"/>
      <c r="L18" s="24"/>
      <c r="M18" s="27"/>
    </row>
    <row r="19" spans="1:13" x14ac:dyDescent="0.3">
      <c r="A19" s="22" t="s">
        <v>198</v>
      </c>
      <c r="B19" s="23" t="s">
        <v>46</v>
      </c>
      <c r="C19" s="24"/>
      <c r="D19" s="24"/>
      <c r="E19" s="24"/>
      <c r="F19" s="24"/>
      <c r="G19" s="24"/>
      <c r="H19" s="161"/>
      <c r="I19" s="26"/>
      <c r="J19" s="23"/>
      <c r="K19" s="23"/>
      <c r="L19" s="24"/>
      <c r="M19" s="27"/>
    </row>
    <row r="20" spans="1:13" x14ac:dyDescent="0.3">
      <c r="A20" s="22" t="s">
        <v>199</v>
      </c>
      <c r="B20" s="23" t="s">
        <v>48</v>
      </c>
      <c r="C20" s="24"/>
      <c r="D20" s="28" t="s">
        <v>200</v>
      </c>
      <c r="E20" s="24"/>
      <c r="F20" s="24"/>
      <c r="G20" s="24"/>
      <c r="H20" s="161"/>
      <c r="I20" s="26"/>
      <c r="J20" s="23"/>
      <c r="K20" s="23"/>
      <c r="L20" s="24"/>
      <c r="M20" s="27"/>
    </row>
    <row r="21" spans="1:13" ht="15" thickBot="1" x14ac:dyDescent="0.35">
      <c r="A21" s="29" t="s">
        <v>201</v>
      </c>
      <c r="B21" s="30" t="s">
        <v>50</v>
      </c>
      <c r="C21" s="31"/>
      <c r="D21" s="31"/>
      <c r="E21" s="31"/>
      <c r="F21" s="31"/>
      <c r="G21" s="31"/>
      <c r="H21" s="162"/>
      <c r="I21" s="32"/>
      <c r="J21" s="30"/>
      <c r="K21" s="30"/>
      <c r="L21" s="31"/>
      <c r="M21" s="33"/>
    </row>
    <row r="22" spans="1:13" x14ac:dyDescent="0.3">
      <c r="A22" s="34" t="s">
        <v>202</v>
      </c>
      <c r="B22" s="35" t="s">
        <v>54</v>
      </c>
      <c r="C22" s="36"/>
      <c r="D22" s="37"/>
      <c r="E22" s="36"/>
      <c r="F22" s="36"/>
      <c r="G22" s="38"/>
      <c r="H22" s="164" t="s">
        <v>203</v>
      </c>
      <c r="I22" s="36"/>
      <c r="J22" s="35"/>
      <c r="K22" s="35"/>
      <c r="L22" s="36"/>
      <c r="M22" s="39"/>
    </row>
    <row r="23" spans="1:13" x14ac:dyDescent="0.3">
      <c r="A23" s="40" t="s">
        <v>204</v>
      </c>
      <c r="B23" s="41" t="s">
        <v>56</v>
      </c>
      <c r="C23" s="42"/>
      <c r="D23" s="42"/>
      <c r="E23" s="42"/>
      <c r="F23" s="42"/>
      <c r="G23" s="43"/>
      <c r="H23" s="165"/>
      <c r="I23" s="42"/>
      <c r="J23" s="41"/>
      <c r="K23" s="41"/>
      <c r="L23" s="42"/>
      <c r="M23" s="44"/>
    </row>
    <row r="24" spans="1:13" x14ac:dyDescent="0.3">
      <c r="A24" s="40" t="s">
        <v>205</v>
      </c>
      <c r="B24" s="41" t="s">
        <v>58</v>
      </c>
      <c r="C24" s="42"/>
      <c r="D24" s="45" t="s">
        <v>206</v>
      </c>
      <c r="E24" s="42"/>
      <c r="F24" s="42"/>
      <c r="G24" s="43"/>
      <c r="H24" s="165"/>
      <c r="I24" s="42"/>
      <c r="J24" s="41"/>
      <c r="K24" s="41"/>
      <c r="L24" s="42"/>
      <c r="M24" s="44"/>
    </row>
    <row r="25" spans="1:13" x14ac:dyDescent="0.3">
      <c r="A25" s="40" t="s">
        <v>207</v>
      </c>
      <c r="B25" s="41" t="s">
        <v>60</v>
      </c>
      <c r="C25" s="42"/>
      <c r="D25" s="42"/>
      <c r="E25" s="42"/>
      <c r="F25" s="42"/>
      <c r="G25" s="43"/>
      <c r="H25" s="165"/>
      <c r="I25" s="42"/>
      <c r="J25" s="41"/>
      <c r="K25" s="41"/>
      <c r="L25" s="42"/>
      <c r="M25" s="44"/>
    </row>
    <row r="26" spans="1:13" x14ac:dyDescent="0.3">
      <c r="A26" s="40" t="s">
        <v>208</v>
      </c>
      <c r="B26" s="41" t="s">
        <v>62</v>
      </c>
      <c r="C26" s="42"/>
      <c r="D26" s="42"/>
      <c r="E26" s="42"/>
      <c r="F26" s="42"/>
      <c r="G26" s="43"/>
      <c r="H26" s="165"/>
      <c r="I26" s="42"/>
      <c r="J26" s="41"/>
      <c r="K26" s="41"/>
      <c r="L26" s="42"/>
      <c r="M26" s="44"/>
    </row>
    <row r="27" spans="1:13" x14ac:dyDescent="0.3">
      <c r="A27" s="46" t="s">
        <v>209</v>
      </c>
      <c r="B27" s="47" t="s">
        <v>66</v>
      </c>
      <c r="C27" s="48"/>
      <c r="D27" s="49"/>
      <c r="E27" s="48"/>
      <c r="F27" s="48"/>
      <c r="G27" s="50"/>
      <c r="H27" s="165"/>
      <c r="I27" s="48"/>
      <c r="J27" s="47"/>
      <c r="K27" s="47"/>
      <c r="L27" s="48"/>
      <c r="M27" s="51"/>
    </row>
    <row r="28" spans="1:13" x14ac:dyDescent="0.3">
      <c r="A28" s="46" t="s">
        <v>210</v>
      </c>
      <c r="B28" s="47" t="s">
        <v>68</v>
      </c>
      <c r="C28" s="48"/>
      <c r="D28" s="48"/>
      <c r="E28" s="48"/>
      <c r="F28" s="48"/>
      <c r="G28" s="50"/>
      <c r="H28" s="165"/>
      <c r="I28" s="48"/>
      <c r="J28" s="47"/>
      <c r="K28" s="47"/>
      <c r="L28" s="48"/>
      <c r="M28" s="51"/>
    </row>
    <row r="29" spans="1:13" x14ac:dyDescent="0.3">
      <c r="A29" s="46" t="s">
        <v>211</v>
      </c>
      <c r="B29" s="47" t="s">
        <v>70</v>
      </c>
      <c r="C29" s="48"/>
      <c r="D29" s="52" t="s">
        <v>212</v>
      </c>
      <c r="E29" s="48"/>
      <c r="F29" s="48"/>
      <c r="G29" s="50"/>
      <c r="H29" s="165"/>
      <c r="I29" s="48"/>
      <c r="J29" s="47"/>
      <c r="K29" s="47"/>
      <c r="L29" s="48"/>
      <c r="M29" s="51"/>
    </row>
    <row r="30" spans="1:13" x14ac:dyDescent="0.3">
      <c r="A30" s="46" t="s">
        <v>213</v>
      </c>
      <c r="B30" s="47" t="s">
        <v>72</v>
      </c>
      <c r="C30" s="48"/>
      <c r="D30" s="48"/>
      <c r="E30" s="48"/>
      <c r="F30" s="48"/>
      <c r="G30" s="50"/>
      <c r="H30" s="165"/>
      <c r="I30" s="48"/>
      <c r="J30" s="47"/>
      <c r="K30" s="47"/>
      <c r="L30" s="48"/>
      <c r="M30" s="51"/>
    </row>
    <row r="31" spans="1:13" ht="15" thickBot="1" x14ac:dyDescent="0.35">
      <c r="A31" s="53" t="s">
        <v>214</v>
      </c>
      <c r="B31" s="54" t="s">
        <v>74</v>
      </c>
      <c r="C31" s="55"/>
      <c r="D31" s="55"/>
      <c r="E31" s="55"/>
      <c r="F31" s="55"/>
      <c r="G31" s="56"/>
      <c r="H31" s="166"/>
      <c r="I31" s="55"/>
      <c r="J31" s="54"/>
      <c r="K31" s="54"/>
      <c r="L31" s="55"/>
      <c r="M31" s="57"/>
    </row>
    <row r="32" spans="1:13" x14ac:dyDescent="0.3">
      <c r="A32" s="58" t="s">
        <v>215</v>
      </c>
      <c r="B32" s="59" t="s">
        <v>78</v>
      </c>
      <c r="C32" s="60"/>
      <c r="D32" s="61"/>
      <c r="E32" s="62"/>
      <c r="F32" s="62"/>
      <c r="G32" s="63"/>
      <c r="H32" s="167" t="s">
        <v>216</v>
      </c>
      <c r="I32" s="62"/>
      <c r="J32" s="61"/>
      <c r="K32" s="61"/>
      <c r="L32" s="62"/>
      <c r="M32" s="64"/>
    </row>
    <row r="33" spans="1:13" x14ac:dyDescent="0.3">
      <c r="A33" s="65" t="s">
        <v>217</v>
      </c>
      <c r="B33" s="66" t="s">
        <v>80</v>
      </c>
      <c r="C33" s="67"/>
      <c r="D33" s="67"/>
      <c r="E33" s="67"/>
      <c r="F33" s="67"/>
      <c r="G33" s="68"/>
      <c r="H33" s="168"/>
      <c r="I33" s="67"/>
      <c r="J33" s="66"/>
      <c r="K33" s="66"/>
      <c r="L33" s="67"/>
      <c r="M33" s="69"/>
    </row>
    <row r="34" spans="1:13" x14ac:dyDescent="0.3">
      <c r="A34" s="65" t="s">
        <v>218</v>
      </c>
      <c r="B34" s="66" t="s">
        <v>82</v>
      </c>
      <c r="C34" s="67"/>
      <c r="D34" s="70" t="s">
        <v>219</v>
      </c>
      <c r="E34" s="67"/>
      <c r="F34" s="67"/>
      <c r="G34" s="68"/>
      <c r="H34" s="168"/>
      <c r="I34" s="67"/>
      <c r="J34" s="66"/>
      <c r="K34" s="66"/>
      <c r="L34" s="67"/>
      <c r="M34" s="69"/>
    </row>
    <row r="35" spans="1:13" x14ac:dyDescent="0.3">
      <c r="A35" s="65" t="s">
        <v>220</v>
      </c>
      <c r="B35" s="66" t="s">
        <v>84</v>
      </c>
      <c r="C35" s="67"/>
      <c r="D35" s="67"/>
      <c r="E35" s="67"/>
      <c r="F35" s="67"/>
      <c r="G35" s="68"/>
      <c r="H35" s="168"/>
      <c r="I35" s="67"/>
      <c r="J35" s="66"/>
      <c r="K35" s="66"/>
      <c r="L35" s="67"/>
      <c r="M35" s="69"/>
    </row>
    <row r="36" spans="1:13" x14ac:dyDescent="0.3">
      <c r="A36" s="65" t="s">
        <v>221</v>
      </c>
      <c r="B36" s="66" t="s">
        <v>86</v>
      </c>
      <c r="C36" s="67"/>
      <c r="D36" s="67"/>
      <c r="E36" s="67"/>
      <c r="F36" s="67"/>
      <c r="G36" s="68"/>
      <c r="H36" s="168"/>
      <c r="I36" s="67"/>
      <c r="J36" s="66"/>
      <c r="K36" s="66"/>
      <c r="L36" s="67"/>
      <c r="M36" s="69"/>
    </row>
    <row r="37" spans="1:13" x14ac:dyDescent="0.3">
      <c r="A37" s="71" t="s">
        <v>222</v>
      </c>
      <c r="B37" s="72" t="s">
        <v>90</v>
      </c>
      <c r="C37" s="73"/>
      <c r="D37" s="74"/>
      <c r="E37" s="73"/>
      <c r="F37" s="73"/>
      <c r="G37" s="75"/>
      <c r="H37" s="168"/>
      <c r="I37" s="73"/>
      <c r="J37" s="72"/>
      <c r="K37" s="72"/>
      <c r="L37" s="73"/>
      <c r="M37" s="76"/>
    </row>
    <row r="38" spans="1:13" x14ac:dyDescent="0.3">
      <c r="A38" s="71" t="s">
        <v>223</v>
      </c>
      <c r="B38" s="72" t="s">
        <v>92</v>
      </c>
      <c r="C38" s="73"/>
      <c r="D38" s="77" t="s">
        <v>224</v>
      </c>
      <c r="E38" s="73"/>
      <c r="F38" s="73"/>
      <c r="G38" s="75"/>
      <c r="H38" s="168"/>
      <c r="I38" s="73"/>
      <c r="J38" s="72"/>
      <c r="K38" s="72"/>
      <c r="L38" s="73"/>
      <c r="M38" s="76"/>
    </row>
    <row r="39" spans="1:13" x14ac:dyDescent="0.3">
      <c r="A39" s="71" t="s">
        <v>225</v>
      </c>
      <c r="B39" s="72" t="s">
        <v>94</v>
      </c>
      <c r="C39" s="73"/>
      <c r="D39" s="73"/>
      <c r="E39" s="73"/>
      <c r="F39" s="73"/>
      <c r="G39" s="75"/>
      <c r="H39" s="168"/>
      <c r="I39" s="73"/>
      <c r="J39" s="72"/>
      <c r="K39" s="72"/>
      <c r="L39" s="73"/>
      <c r="M39" s="76"/>
    </row>
    <row r="40" spans="1:13" x14ac:dyDescent="0.3">
      <c r="A40" s="78" t="s">
        <v>226</v>
      </c>
      <c r="B40" s="79" t="s">
        <v>98</v>
      </c>
      <c r="C40" s="80"/>
      <c r="D40" s="81"/>
      <c r="E40" s="82"/>
      <c r="F40" s="82"/>
      <c r="G40" s="83"/>
      <c r="H40" s="168"/>
      <c r="I40" s="80"/>
      <c r="J40" s="79"/>
      <c r="K40" s="79"/>
      <c r="L40" s="80"/>
      <c r="M40" s="84"/>
    </row>
    <row r="41" spans="1:13" x14ac:dyDescent="0.3">
      <c r="A41" s="78" t="s">
        <v>227</v>
      </c>
      <c r="B41" s="79" t="s">
        <v>100</v>
      </c>
      <c r="C41" s="80"/>
      <c r="D41" s="80"/>
      <c r="E41" s="80"/>
      <c r="F41" s="80"/>
      <c r="G41" s="83"/>
      <c r="H41" s="168"/>
      <c r="I41" s="80"/>
      <c r="J41" s="79"/>
      <c r="K41" s="79"/>
      <c r="L41" s="80"/>
      <c r="M41" s="84"/>
    </row>
    <row r="42" spans="1:13" x14ac:dyDescent="0.3">
      <c r="A42" s="78" t="s">
        <v>228</v>
      </c>
      <c r="B42" s="79" t="s">
        <v>102</v>
      </c>
      <c r="C42" s="80"/>
      <c r="D42" s="81" t="s">
        <v>229</v>
      </c>
      <c r="E42" s="80"/>
      <c r="F42" s="80"/>
      <c r="G42" s="83"/>
      <c r="H42" s="168"/>
      <c r="I42" s="80"/>
      <c r="J42" s="79"/>
      <c r="K42" s="79"/>
      <c r="L42" s="80"/>
      <c r="M42" s="84"/>
    </row>
    <row r="43" spans="1:13" x14ac:dyDescent="0.3">
      <c r="A43" s="78" t="s">
        <v>230</v>
      </c>
      <c r="B43" s="79" t="s">
        <v>104</v>
      </c>
      <c r="C43" s="80"/>
      <c r="D43" s="80"/>
      <c r="E43" s="80"/>
      <c r="F43" s="80"/>
      <c r="G43" s="83"/>
      <c r="H43" s="168"/>
      <c r="I43" s="80"/>
      <c r="J43" s="79"/>
      <c r="K43" s="79"/>
      <c r="L43" s="80"/>
      <c r="M43" s="84"/>
    </row>
    <row r="44" spans="1:13" ht="15" thickBot="1" x14ac:dyDescent="0.35">
      <c r="A44" s="85" t="s">
        <v>231</v>
      </c>
      <c r="B44" s="86" t="s">
        <v>106</v>
      </c>
      <c r="C44" s="87"/>
      <c r="D44" s="87"/>
      <c r="E44" s="87"/>
      <c r="F44" s="87"/>
      <c r="G44" s="88"/>
      <c r="H44" s="169"/>
      <c r="I44" s="87"/>
      <c r="J44" s="86"/>
      <c r="K44" s="86"/>
      <c r="L44" s="87"/>
      <c r="M44" s="89"/>
    </row>
    <row r="45" spans="1:13" x14ac:dyDescent="0.3">
      <c r="A45" s="58" t="s">
        <v>232</v>
      </c>
      <c r="B45" s="59" t="s">
        <v>233</v>
      </c>
      <c r="C45" s="60"/>
      <c r="D45" s="60"/>
      <c r="E45" s="90"/>
      <c r="F45" s="60"/>
      <c r="G45" s="60"/>
      <c r="H45" s="160" t="s">
        <v>234</v>
      </c>
      <c r="I45" s="60"/>
      <c r="J45" s="59"/>
      <c r="K45" s="59"/>
      <c r="L45" s="60"/>
      <c r="M45" s="91"/>
    </row>
    <row r="46" spans="1:13" x14ac:dyDescent="0.3">
      <c r="A46" s="65" t="s">
        <v>235</v>
      </c>
      <c r="B46" s="66" t="s">
        <v>236</v>
      </c>
      <c r="C46" s="67"/>
      <c r="D46" s="67"/>
      <c r="E46" s="67"/>
      <c r="F46" s="67"/>
      <c r="G46" s="67"/>
      <c r="H46" s="161"/>
      <c r="I46" s="67"/>
      <c r="J46" s="66"/>
      <c r="K46" s="66"/>
      <c r="L46" s="67"/>
      <c r="M46" s="69"/>
    </row>
    <row r="47" spans="1:13" x14ac:dyDescent="0.3">
      <c r="A47" s="65" t="s">
        <v>237</v>
      </c>
      <c r="B47" s="66" t="s">
        <v>114</v>
      </c>
      <c r="C47" s="67"/>
      <c r="D47" s="67"/>
      <c r="E47" s="67"/>
      <c r="F47" s="67"/>
      <c r="G47" s="67"/>
      <c r="H47" s="161"/>
      <c r="I47" s="67"/>
      <c r="J47" s="66"/>
      <c r="K47" s="66"/>
      <c r="L47" s="67"/>
      <c r="M47" s="69"/>
    </row>
    <row r="48" spans="1:13" x14ac:dyDescent="0.3">
      <c r="A48" s="65" t="s">
        <v>238</v>
      </c>
      <c r="B48" s="66" t="s">
        <v>116</v>
      </c>
      <c r="C48" s="67"/>
      <c r="D48" s="67"/>
      <c r="E48" s="67"/>
      <c r="F48" s="67"/>
      <c r="G48" s="67"/>
      <c r="H48" s="161"/>
      <c r="I48" s="67"/>
      <c r="J48" s="66"/>
      <c r="K48" s="66"/>
      <c r="L48" s="67"/>
      <c r="M48" s="69"/>
    </row>
    <row r="49" spans="1:13" x14ac:dyDescent="0.3">
      <c r="A49" s="65" t="s">
        <v>239</v>
      </c>
      <c r="B49" s="66" t="s">
        <v>118</v>
      </c>
      <c r="C49" s="67"/>
      <c r="D49" s="67"/>
      <c r="E49" s="92" t="s">
        <v>240</v>
      </c>
      <c r="F49" s="67"/>
      <c r="G49" s="67"/>
      <c r="H49" s="161"/>
      <c r="I49" s="67"/>
      <c r="J49" s="66"/>
      <c r="K49" s="66"/>
      <c r="L49" s="67"/>
      <c r="M49" s="69"/>
    </row>
    <row r="50" spans="1:13" x14ac:dyDescent="0.3">
      <c r="A50" s="65" t="s">
        <v>241</v>
      </c>
      <c r="B50" s="66" t="s">
        <v>120</v>
      </c>
      <c r="C50" s="67"/>
      <c r="D50" s="67"/>
      <c r="E50" s="67"/>
      <c r="F50" s="67"/>
      <c r="G50" s="67"/>
      <c r="H50" s="161"/>
      <c r="I50" s="67"/>
      <c r="J50" s="66"/>
      <c r="K50" s="66"/>
      <c r="L50" s="67"/>
      <c r="M50" s="69"/>
    </row>
    <row r="51" spans="1:13" x14ac:dyDescent="0.3">
      <c r="A51" s="65" t="s">
        <v>242</v>
      </c>
      <c r="B51" s="66" t="s">
        <v>122</v>
      </c>
      <c r="C51" s="67"/>
      <c r="D51" s="67"/>
      <c r="E51" s="67"/>
      <c r="F51" s="67"/>
      <c r="G51" s="67"/>
      <c r="H51" s="161"/>
      <c r="I51" s="67"/>
      <c r="J51" s="66"/>
      <c r="K51" s="66"/>
      <c r="L51" s="67"/>
      <c r="M51" s="69"/>
    </row>
    <row r="52" spans="1:13" ht="15" thickBot="1" x14ac:dyDescent="0.35">
      <c r="A52" s="93" t="s">
        <v>243</v>
      </c>
      <c r="B52" s="94" t="s">
        <v>124</v>
      </c>
      <c r="C52" s="95"/>
      <c r="D52" s="95"/>
      <c r="E52" s="95"/>
      <c r="F52" s="95"/>
      <c r="G52" s="95"/>
      <c r="H52" s="162"/>
      <c r="I52" s="95"/>
      <c r="J52" s="94"/>
      <c r="K52" s="94"/>
      <c r="L52" s="95"/>
      <c r="M52" s="96"/>
    </row>
    <row r="53" spans="1:13" x14ac:dyDescent="0.3">
      <c r="A53" s="1" t="s">
        <v>244</v>
      </c>
      <c r="B53" s="97" t="s">
        <v>128</v>
      </c>
      <c r="C53" s="3"/>
      <c r="D53" s="98"/>
      <c r="E53" s="3"/>
      <c r="F53" s="3"/>
      <c r="G53" s="3"/>
      <c r="H53" s="157" t="s">
        <v>245</v>
      </c>
      <c r="I53" s="3"/>
      <c r="J53" s="97"/>
      <c r="K53" s="97"/>
      <c r="L53" s="3"/>
      <c r="M53" s="6"/>
    </row>
    <row r="54" spans="1:13" x14ac:dyDescent="0.3">
      <c r="A54" s="7" t="s">
        <v>246</v>
      </c>
      <c r="B54" s="99" t="s">
        <v>130</v>
      </c>
      <c r="C54" s="9"/>
      <c r="D54" s="9"/>
      <c r="E54" s="9"/>
      <c r="F54" s="9"/>
      <c r="G54" s="9"/>
      <c r="H54" s="158"/>
      <c r="I54" s="9"/>
      <c r="J54" s="99"/>
      <c r="K54" s="99"/>
      <c r="L54" s="9"/>
      <c r="M54" s="11"/>
    </row>
    <row r="55" spans="1:13" x14ac:dyDescent="0.3">
      <c r="A55" s="7" t="s">
        <v>247</v>
      </c>
      <c r="B55" s="99" t="s">
        <v>132</v>
      </c>
      <c r="C55" s="9"/>
      <c r="D55" s="100" t="s">
        <v>248</v>
      </c>
      <c r="E55" s="9"/>
      <c r="F55" s="9"/>
      <c r="G55" s="9"/>
      <c r="H55" s="158"/>
      <c r="I55" s="9"/>
      <c r="J55" s="99"/>
      <c r="K55" s="99"/>
      <c r="L55" s="9"/>
      <c r="M55" s="11"/>
    </row>
    <row r="56" spans="1:13" x14ac:dyDescent="0.3">
      <c r="A56" s="7" t="s">
        <v>249</v>
      </c>
      <c r="B56" s="99" t="s">
        <v>134</v>
      </c>
      <c r="C56" s="9"/>
      <c r="D56" s="9"/>
      <c r="E56" s="9"/>
      <c r="F56" s="9"/>
      <c r="G56" s="9"/>
      <c r="H56" s="158"/>
      <c r="I56" s="9"/>
      <c r="J56" s="99"/>
      <c r="K56" s="99"/>
      <c r="L56" s="9"/>
      <c r="M56" s="11"/>
    </row>
    <row r="57" spans="1:13" x14ac:dyDescent="0.3">
      <c r="A57" s="7" t="s">
        <v>250</v>
      </c>
      <c r="B57" s="99" t="s">
        <v>136</v>
      </c>
      <c r="C57" s="9"/>
      <c r="D57" s="9"/>
      <c r="E57" s="9"/>
      <c r="F57" s="9"/>
      <c r="G57" s="9"/>
      <c r="H57" s="158"/>
      <c r="I57" s="9"/>
      <c r="J57" s="99"/>
      <c r="K57" s="99"/>
      <c r="L57" s="9"/>
      <c r="M57" s="11"/>
    </row>
    <row r="58" spans="1:13" x14ac:dyDescent="0.3">
      <c r="A58" s="46" t="s">
        <v>251</v>
      </c>
      <c r="B58" s="47" t="s">
        <v>140</v>
      </c>
      <c r="C58" s="48"/>
      <c r="D58" s="49"/>
      <c r="E58" s="48"/>
      <c r="F58" s="48"/>
      <c r="G58" s="48"/>
      <c r="H58" s="158"/>
      <c r="I58" s="48"/>
      <c r="J58" s="47"/>
      <c r="K58" s="47"/>
      <c r="L58" s="48"/>
      <c r="M58" s="51"/>
    </row>
    <row r="59" spans="1:13" x14ac:dyDescent="0.3">
      <c r="A59" s="46" t="s">
        <v>252</v>
      </c>
      <c r="B59" s="47" t="s">
        <v>142</v>
      </c>
      <c r="C59" s="48"/>
      <c r="D59" s="48"/>
      <c r="E59" s="48"/>
      <c r="F59" s="48"/>
      <c r="G59" s="48"/>
      <c r="H59" s="158"/>
      <c r="I59" s="48"/>
      <c r="J59" s="47"/>
      <c r="K59" s="47"/>
      <c r="L59" s="48"/>
      <c r="M59" s="51"/>
    </row>
    <row r="60" spans="1:13" x14ac:dyDescent="0.3">
      <c r="A60" s="46" t="s">
        <v>253</v>
      </c>
      <c r="B60" s="47" t="s">
        <v>144</v>
      </c>
      <c r="C60" s="48"/>
      <c r="D60" s="48"/>
      <c r="E60" s="48"/>
      <c r="F60" s="48"/>
      <c r="G60" s="48"/>
      <c r="H60" s="158"/>
      <c r="I60" s="48"/>
      <c r="J60" s="47"/>
      <c r="K60" s="47"/>
      <c r="L60" s="48"/>
      <c r="M60" s="51"/>
    </row>
    <row r="61" spans="1:13" x14ac:dyDescent="0.3">
      <c r="A61" s="46" t="s">
        <v>254</v>
      </c>
      <c r="B61" s="47" t="s">
        <v>146</v>
      </c>
      <c r="C61" s="48"/>
      <c r="D61" s="48"/>
      <c r="E61" s="48"/>
      <c r="F61" s="48"/>
      <c r="G61" s="48"/>
      <c r="H61" s="158"/>
      <c r="I61" s="48"/>
      <c r="J61" s="47"/>
      <c r="K61" s="47"/>
      <c r="L61" s="48"/>
      <c r="M61" s="51"/>
    </row>
    <row r="62" spans="1:13" x14ac:dyDescent="0.3">
      <c r="A62" s="46" t="s">
        <v>255</v>
      </c>
      <c r="B62" s="47" t="s">
        <v>148</v>
      </c>
      <c r="C62" s="48"/>
      <c r="D62" s="48"/>
      <c r="E62" s="48"/>
      <c r="F62" s="48"/>
      <c r="G62" s="48"/>
      <c r="H62" s="158"/>
      <c r="I62" s="48"/>
      <c r="J62" s="47"/>
      <c r="K62" s="47"/>
      <c r="L62" s="48"/>
      <c r="M62" s="51"/>
    </row>
    <row r="63" spans="1:13" x14ac:dyDescent="0.3">
      <c r="A63" s="46" t="s">
        <v>256</v>
      </c>
      <c r="B63" s="47" t="s">
        <v>149</v>
      </c>
      <c r="C63" s="48"/>
      <c r="D63" s="52" t="s">
        <v>257</v>
      </c>
      <c r="E63" s="48"/>
      <c r="F63" s="48"/>
      <c r="G63" s="48"/>
      <c r="H63" s="158"/>
      <c r="I63" s="48"/>
      <c r="J63" s="47"/>
      <c r="K63" s="47"/>
      <c r="L63" s="48"/>
      <c r="M63" s="51"/>
    </row>
    <row r="64" spans="1:13" x14ac:dyDescent="0.3">
      <c r="A64" s="46" t="s">
        <v>258</v>
      </c>
      <c r="B64" s="47" t="s">
        <v>150</v>
      </c>
      <c r="C64" s="48"/>
      <c r="D64" s="48"/>
      <c r="E64" s="48"/>
      <c r="F64" s="48"/>
      <c r="G64" s="48"/>
      <c r="H64" s="158"/>
      <c r="I64" s="48"/>
      <c r="J64" s="47"/>
      <c r="K64" s="47"/>
      <c r="L64" s="48"/>
      <c r="M64" s="51"/>
    </row>
    <row r="65" spans="1:13" x14ac:dyDescent="0.3">
      <c r="A65" s="46" t="s">
        <v>259</v>
      </c>
      <c r="B65" s="47" t="s">
        <v>152</v>
      </c>
      <c r="C65" s="48"/>
      <c r="D65" s="48"/>
      <c r="E65" s="48"/>
      <c r="F65" s="48"/>
      <c r="G65" s="48"/>
      <c r="H65" s="158"/>
      <c r="I65" s="48"/>
      <c r="J65" s="47"/>
      <c r="K65" s="47"/>
      <c r="L65" s="48"/>
      <c r="M65" s="51"/>
    </row>
    <row r="66" spans="1:13" x14ac:dyDescent="0.3">
      <c r="A66" s="46" t="s">
        <v>260</v>
      </c>
      <c r="B66" s="47" t="s">
        <v>154</v>
      </c>
      <c r="C66" s="48"/>
      <c r="D66" s="48"/>
      <c r="E66" s="48"/>
      <c r="F66" s="48"/>
      <c r="G66" s="48"/>
      <c r="H66" s="158"/>
      <c r="I66" s="48"/>
      <c r="J66" s="47"/>
      <c r="K66" s="47"/>
      <c r="L66" s="48"/>
      <c r="M66" s="51"/>
    </row>
    <row r="67" spans="1:13" x14ac:dyDescent="0.3">
      <c r="A67" s="46" t="s">
        <v>261</v>
      </c>
      <c r="B67" s="47" t="s">
        <v>156</v>
      </c>
      <c r="C67" s="48"/>
      <c r="D67" s="48"/>
      <c r="E67" s="48"/>
      <c r="F67" s="48"/>
      <c r="G67" s="48"/>
      <c r="H67" s="158"/>
      <c r="I67" s="48"/>
      <c r="J67" s="47"/>
      <c r="K67" s="47"/>
      <c r="L67" s="48"/>
      <c r="M67" s="51"/>
    </row>
    <row r="68" spans="1:13" x14ac:dyDescent="0.3">
      <c r="A68" s="46" t="s">
        <v>262</v>
      </c>
      <c r="B68" s="47" t="s">
        <v>158</v>
      </c>
      <c r="C68" s="48"/>
      <c r="D68" s="48"/>
      <c r="E68" s="48"/>
      <c r="F68" s="48"/>
      <c r="G68" s="48"/>
      <c r="H68" s="158"/>
      <c r="I68" s="48"/>
      <c r="J68" s="47"/>
      <c r="K68" s="47"/>
      <c r="L68" s="48"/>
      <c r="M68" s="51"/>
    </row>
    <row r="69" spans="1:13" x14ac:dyDescent="0.3">
      <c r="A69" s="46" t="s">
        <v>263</v>
      </c>
      <c r="B69" s="47" t="s">
        <v>160</v>
      </c>
      <c r="C69" s="48"/>
      <c r="D69" s="48"/>
      <c r="E69" s="48"/>
      <c r="F69" s="48"/>
      <c r="G69" s="48"/>
      <c r="H69" s="158"/>
      <c r="I69" s="48"/>
      <c r="J69" s="47"/>
      <c r="K69" s="47"/>
      <c r="L69" s="48"/>
      <c r="M69" s="51"/>
    </row>
    <row r="70" spans="1:13" ht="15" thickBot="1" x14ac:dyDescent="0.35">
      <c r="A70" s="53" t="s">
        <v>264</v>
      </c>
      <c r="B70" s="54" t="s">
        <v>162</v>
      </c>
      <c r="C70" s="55"/>
      <c r="D70" s="55"/>
      <c r="E70" s="55"/>
      <c r="F70" s="55"/>
      <c r="G70" s="55"/>
      <c r="H70" s="159"/>
      <c r="I70" s="55"/>
      <c r="J70" s="54"/>
      <c r="K70" s="54"/>
      <c r="L70" s="55"/>
      <c r="M70" s="57"/>
    </row>
    <row r="71" spans="1:13" x14ac:dyDescent="0.3">
      <c r="A71" s="101" t="s">
        <v>265</v>
      </c>
      <c r="B71" s="102" t="s">
        <v>166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266</v>
      </c>
      <c r="B72" s="102" t="s">
        <v>168</v>
      </c>
      <c r="C72" s="15"/>
      <c r="D72" s="15"/>
      <c r="E72" s="15"/>
      <c r="F72" s="15"/>
      <c r="G72" s="15"/>
      <c r="H72" s="107" t="s">
        <v>267</v>
      </c>
      <c r="I72" s="108"/>
      <c r="J72" s="109"/>
      <c r="K72" s="109"/>
      <c r="L72" s="15"/>
      <c r="M72" s="18"/>
    </row>
    <row r="73" spans="1:13" x14ac:dyDescent="0.3">
      <c r="A73" s="13" t="s">
        <v>268</v>
      </c>
      <c r="B73" s="102" t="s">
        <v>170</v>
      </c>
      <c r="C73" s="15"/>
      <c r="D73" s="21" t="s">
        <v>269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270</v>
      </c>
      <c r="B74" s="102" t="s">
        <v>172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271</v>
      </c>
      <c r="B75" s="115" t="s">
        <v>272</v>
      </c>
      <c r="C75" s="116"/>
      <c r="D75" s="117" t="s">
        <v>273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11"/>
  <sheetViews>
    <sheetView showGridLines="0" tabSelected="1" zoomScaleNormal="100" workbookViewId="0">
      <selection activeCell="V26" sqref="V26"/>
    </sheetView>
  </sheetViews>
  <sheetFormatPr defaultRowHeight="14.4" x14ac:dyDescent="0.3"/>
  <cols>
    <col min="1" max="1" width="43.33203125" style="122" customWidth="1"/>
    <col min="2" max="2" width="12" style="122" customWidth="1"/>
    <col min="3" max="3" width="6.5546875" style="122" bestFit="1" customWidth="1"/>
    <col min="4" max="4" width="7.5546875" style="122" bestFit="1" customWidth="1"/>
    <col min="5" max="5" width="6.5546875" style="122" bestFit="1" customWidth="1"/>
    <col min="6" max="6" width="7.5546875" style="122" bestFit="1" customWidth="1"/>
    <col min="7" max="7" width="9.21875" style="122" customWidth="1"/>
    <col min="8" max="9" width="7.5546875" style="122" bestFit="1" customWidth="1"/>
    <col min="10" max="10" width="6.5546875" style="122" bestFit="1" customWidth="1"/>
    <col min="11" max="11" width="7.5546875" style="122" bestFit="1" customWidth="1"/>
    <col min="12" max="12" width="6.5546875" style="122" bestFit="1" customWidth="1"/>
    <col min="13" max="13" width="7.5546875" style="122" bestFit="1" customWidth="1"/>
    <col min="14" max="14" width="7.21875" style="122" customWidth="1"/>
    <col min="15" max="15" width="7" style="122" customWidth="1"/>
    <col min="16" max="16" width="24" style="122" bestFit="1" customWidth="1"/>
    <col min="17" max="17" width="11.6640625" style="122" customWidth="1"/>
    <col min="18" max="18" width="6.44140625" style="122" customWidth="1"/>
    <col min="19" max="16384" width="8.88671875" style="122"/>
  </cols>
  <sheetData>
    <row r="2" spans="1:19" ht="18" x14ac:dyDescent="0.3">
      <c r="A2" s="210" t="s">
        <v>299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120"/>
      <c r="R2" s="121"/>
      <c r="S2" s="121"/>
    </row>
    <row r="3" spans="1:19" ht="18" x14ac:dyDescent="0.3">
      <c r="A3" s="210" t="s">
        <v>300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120"/>
      <c r="R3" s="121"/>
      <c r="S3" s="121"/>
    </row>
    <row r="4" spans="1:19" ht="15" thickBot="1" x14ac:dyDescent="0.35">
      <c r="A4" s="149" t="s">
        <v>0</v>
      </c>
      <c r="B4" s="149"/>
      <c r="C4" s="149"/>
      <c r="D4" s="149"/>
      <c r="E4" s="149"/>
      <c r="F4" s="149"/>
      <c r="G4" s="151"/>
      <c r="H4" s="123"/>
      <c r="I4" s="123"/>
      <c r="J4" s="123"/>
      <c r="K4" s="123"/>
      <c r="L4" s="123"/>
      <c r="M4" s="123"/>
      <c r="N4" s="149"/>
      <c r="O4" s="149"/>
      <c r="P4" s="149"/>
      <c r="Q4" s="150" t="s">
        <v>289</v>
      </c>
    </row>
    <row r="5" spans="1:19" ht="14.4" customHeight="1" x14ac:dyDescent="0.3">
      <c r="A5" s="171" t="s">
        <v>274</v>
      </c>
      <c r="B5" s="177" t="s">
        <v>297</v>
      </c>
      <c r="C5" s="181" t="s">
        <v>282</v>
      </c>
      <c r="D5" s="182"/>
      <c r="E5" s="187" t="s">
        <v>290</v>
      </c>
      <c r="F5" s="188"/>
      <c r="G5" s="177" t="s">
        <v>296</v>
      </c>
      <c r="H5" s="181" t="s">
        <v>283</v>
      </c>
      <c r="I5" s="193"/>
      <c r="J5" s="193"/>
      <c r="K5" s="193"/>
      <c r="L5" s="193"/>
      <c r="M5" s="193"/>
      <c r="N5" s="193"/>
      <c r="O5" s="194"/>
      <c r="P5" s="171" t="s">
        <v>1</v>
      </c>
      <c r="Q5" s="171"/>
    </row>
    <row r="6" spans="1:19" ht="14.4" customHeight="1" x14ac:dyDescent="0.3">
      <c r="A6" s="172"/>
      <c r="B6" s="178"/>
      <c r="C6" s="183"/>
      <c r="D6" s="184"/>
      <c r="E6" s="189"/>
      <c r="F6" s="190"/>
      <c r="G6" s="178"/>
      <c r="H6" s="185" t="s">
        <v>281</v>
      </c>
      <c r="I6" s="195"/>
      <c r="J6" s="195"/>
      <c r="K6" s="195"/>
      <c r="L6" s="195"/>
      <c r="M6" s="195"/>
      <c r="N6" s="195"/>
      <c r="O6" s="196"/>
      <c r="P6" s="198"/>
      <c r="Q6" s="198"/>
    </row>
    <row r="7" spans="1:19" ht="60.6" customHeight="1" x14ac:dyDescent="0.3">
      <c r="A7" s="172"/>
      <c r="B7" s="179"/>
      <c r="C7" s="185"/>
      <c r="D7" s="186"/>
      <c r="E7" s="191"/>
      <c r="F7" s="192"/>
      <c r="G7" s="179"/>
      <c r="H7" s="185" t="s">
        <v>291</v>
      </c>
      <c r="I7" s="186"/>
      <c r="J7" s="185" t="s">
        <v>286</v>
      </c>
      <c r="K7" s="186"/>
      <c r="L7" s="185" t="s">
        <v>288</v>
      </c>
      <c r="M7" s="186"/>
      <c r="N7" s="185" t="s">
        <v>287</v>
      </c>
      <c r="O7" s="196"/>
      <c r="P7" s="198"/>
      <c r="Q7" s="198"/>
    </row>
    <row r="8" spans="1:19" s="127" customFormat="1" x14ac:dyDescent="0.3">
      <c r="A8" s="173"/>
      <c r="B8" s="180"/>
      <c r="C8" s="124">
        <v>1</v>
      </c>
      <c r="D8" s="124">
        <v>2</v>
      </c>
      <c r="E8" s="124">
        <v>1</v>
      </c>
      <c r="F8" s="152">
        <v>2</v>
      </c>
      <c r="G8" s="180"/>
      <c r="H8" s="125">
        <v>1</v>
      </c>
      <c r="I8" s="125">
        <v>2</v>
      </c>
      <c r="J8" s="124">
        <v>1</v>
      </c>
      <c r="K8" s="124">
        <v>2</v>
      </c>
      <c r="L8" s="124">
        <v>1</v>
      </c>
      <c r="M8" s="125">
        <v>2</v>
      </c>
      <c r="N8" s="125">
        <v>1</v>
      </c>
      <c r="O8" s="126">
        <v>2</v>
      </c>
      <c r="P8" s="199"/>
      <c r="Q8" s="199"/>
    </row>
    <row r="9" spans="1:19" x14ac:dyDescent="0.3">
      <c r="A9" s="203" t="s">
        <v>2</v>
      </c>
      <c r="B9" s="197">
        <f t="shared" ref="B9:G9" si="0">SUM(B11,B19,B28,B33,B39,B46,B53,B60,B65,B72,B82,B89,B104)</f>
        <v>87860</v>
      </c>
      <c r="C9" s="174">
        <f t="shared" si="0"/>
        <v>58929</v>
      </c>
      <c r="D9" s="174">
        <f t="shared" si="0"/>
        <v>266565.28599999996</v>
      </c>
      <c r="E9" s="174">
        <f t="shared" si="0"/>
        <v>28931</v>
      </c>
      <c r="F9" s="176">
        <f t="shared" si="0"/>
        <v>62041.074000000001</v>
      </c>
      <c r="G9" s="197">
        <f t="shared" si="0"/>
        <v>117581</v>
      </c>
      <c r="H9" s="174">
        <f t="shared" ref="H9:M9" si="1">SUM(H11,H19,H28,H33,H39,H46,H53,H60,H65,H72,H82,H89,H104)</f>
        <v>53085</v>
      </c>
      <c r="I9" s="174">
        <f t="shared" si="1"/>
        <v>142061.90299999999</v>
      </c>
      <c r="J9" s="174">
        <f t="shared" si="1"/>
        <v>32164</v>
      </c>
      <c r="K9" s="174">
        <f t="shared" si="1"/>
        <v>88784.85</v>
      </c>
      <c r="L9" s="174">
        <f t="shared" si="1"/>
        <v>31207</v>
      </c>
      <c r="M9" s="174">
        <f t="shared" si="1"/>
        <v>77528.976999999984</v>
      </c>
      <c r="N9" s="175">
        <f>SUM(N11,N19,N28,N33,N39,N46,N53,N60,N65,N72,N82,N89,N104)</f>
        <v>1125</v>
      </c>
      <c r="O9" s="176">
        <f>SUM(O11,O19,O28,O33,O39,O46,O53,O60,O65,O72,O82,O89,O104)</f>
        <v>2702.3140000000003</v>
      </c>
      <c r="P9" s="200" t="s">
        <v>3</v>
      </c>
      <c r="Q9" s="200"/>
    </row>
    <row r="10" spans="1:19" x14ac:dyDescent="0.3">
      <c r="A10" s="204"/>
      <c r="B10" s="197"/>
      <c r="C10" s="174"/>
      <c r="D10" s="174"/>
      <c r="E10" s="174"/>
      <c r="F10" s="176"/>
      <c r="G10" s="197"/>
      <c r="H10" s="174"/>
      <c r="I10" s="174"/>
      <c r="J10" s="174"/>
      <c r="K10" s="174"/>
      <c r="L10" s="174"/>
      <c r="M10" s="174"/>
      <c r="N10" s="175"/>
      <c r="O10" s="176"/>
      <c r="P10" s="201"/>
      <c r="Q10" s="201"/>
    </row>
    <row r="11" spans="1:19" x14ac:dyDescent="0.3">
      <c r="A11" s="206" t="s">
        <v>4</v>
      </c>
      <c r="B11" s="170">
        <f>SUM(B13:B18)</f>
        <v>9753</v>
      </c>
      <c r="C11" s="175">
        <f>SUM(C13:C18)</f>
        <v>4867</v>
      </c>
      <c r="D11" s="175">
        <f>SUM(D13:D18)</f>
        <v>12461.17</v>
      </c>
      <c r="E11" s="175">
        <f t="shared" ref="E11:O11" si="2">SUM(E13:E18)</f>
        <v>4886</v>
      </c>
      <c r="F11" s="176">
        <f t="shared" si="2"/>
        <v>7873.9490000000005</v>
      </c>
      <c r="G11" s="170">
        <f t="shared" ref="G11" si="3">SUM(G13:G18)</f>
        <v>23292</v>
      </c>
      <c r="H11" s="175">
        <f t="shared" si="2"/>
        <v>2658</v>
      </c>
      <c r="I11" s="175">
        <f t="shared" si="2"/>
        <v>6671.3379999999997</v>
      </c>
      <c r="J11" s="175">
        <f t="shared" si="2"/>
        <v>13514</v>
      </c>
      <c r="K11" s="175">
        <f t="shared" si="2"/>
        <v>38950.018000000004</v>
      </c>
      <c r="L11" s="175">
        <f t="shared" si="2"/>
        <v>7106</v>
      </c>
      <c r="M11" s="175">
        <f t="shared" si="2"/>
        <v>14911.651</v>
      </c>
      <c r="N11" s="175">
        <f t="shared" si="2"/>
        <v>14</v>
      </c>
      <c r="O11" s="176">
        <f t="shared" si="2"/>
        <v>22.58</v>
      </c>
      <c r="P11" s="202" t="s">
        <v>5</v>
      </c>
      <c r="Q11" s="202"/>
      <c r="R11" s="121"/>
    </row>
    <row r="12" spans="1:19" x14ac:dyDescent="0.3">
      <c r="A12" s="206"/>
      <c r="B12" s="170"/>
      <c r="C12" s="175"/>
      <c r="D12" s="175"/>
      <c r="E12" s="175"/>
      <c r="F12" s="176"/>
      <c r="G12" s="170"/>
      <c r="H12" s="175"/>
      <c r="I12" s="175"/>
      <c r="J12" s="175"/>
      <c r="K12" s="175"/>
      <c r="L12" s="175"/>
      <c r="M12" s="175"/>
      <c r="N12" s="175"/>
      <c r="O12" s="176"/>
      <c r="P12" s="202"/>
      <c r="Q12" s="202"/>
      <c r="R12" s="121"/>
    </row>
    <row r="13" spans="1:19" x14ac:dyDescent="0.3">
      <c r="A13" s="128" t="s">
        <v>6</v>
      </c>
      <c r="B13" s="129">
        <f>SUM(C13,E13)</f>
        <v>3275</v>
      </c>
      <c r="C13" s="130">
        <v>2206</v>
      </c>
      <c r="D13" s="153">
        <v>4564.5</v>
      </c>
      <c r="E13" s="130">
        <v>1069</v>
      </c>
      <c r="F13" s="131">
        <v>1546.7</v>
      </c>
      <c r="G13" s="155">
        <f t="shared" ref="G13:G18" si="4">SUM(H13,J13,L13,N13)</f>
        <v>725</v>
      </c>
      <c r="H13" s="130">
        <v>413</v>
      </c>
      <c r="I13" s="153">
        <v>884.8</v>
      </c>
      <c r="J13" s="130">
        <v>181</v>
      </c>
      <c r="K13" s="153">
        <v>375.7</v>
      </c>
      <c r="L13" s="130">
        <v>120</v>
      </c>
      <c r="M13" s="153">
        <v>240</v>
      </c>
      <c r="N13" s="130">
        <v>11</v>
      </c>
      <c r="O13" s="131">
        <v>18.7</v>
      </c>
      <c r="P13" s="132" t="s">
        <v>7</v>
      </c>
    </row>
    <row r="14" spans="1:19" x14ac:dyDescent="0.3">
      <c r="A14" s="128" t="s">
        <v>8</v>
      </c>
      <c r="B14" s="129">
        <f t="shared" ref="B14:B18" si="5">SUM(C14,E14)</f>
        <v>263</v>
      </c>
      <c r="C14" s="130">
        <v>169</v>
      </c>
      <c r="D14" s="153">
        <v>627.79999999999995</v>
      </c>
      <c r="E14" s="130">
        <v>94</v>
      </c>
      <c r="F14" s="131">
        <v>182.4</v>
      </c>
      <c r="G14" s="155">
        <f t="shared" si="4"/>
        <v>18751</v>
      </c>
      <c r="H14" s="130">
        <v>673</v>
      </c>
      <c r="I14" s="153">
        <v>1759.5</v>
      </c>
      <c r="J14" s="130">
        <v>11956</v>
      </c>
      <c r="K14" s="153">
        <v>35845.355000000003</v>
      </c>
      <c r="L14" s="130">
        <v>6122</v>
      </c>
      <c r="M14" s="153">
        <v>13480.5</v>
      </c>
      <c r="N14" s="130" t="s">
        <v>298</v>
      </c>
      <c r="O14" s="154" t="s">
        <v>298</v>
      </c>
      <c r="P14" s="132" t="s">
        <v>9</v>
      </c>
    </row>
    <row r="15" spans="1:19" x14ac:dyDescent="0.3">
      <c r="A15" s="128" t="s">
        <v>10</v>
      </c>
      <c r="B15" s="129">
        <f t="shared" si="5"/>
        <v>4421</v>
      </c>
      <c r="C15" s="130">
        <v>1159</v>
      </c>
      <c r="D15" s="153">
        <v>3013.95</v>
      </c>
      <c r="E15" s="130">
        <v>3262</v>
      </c>
      <c r="F15" s="131">
        <v>4907.9740000000002</v>
      </c>
      <c r="G15" s="155">
        <f t="shared" si="4"/>
        <v>732</v>
      </c>
      <c r="H15" s="130">
        <v>244</v>
      </c>
      <c r="I15" s="153">
        <v>632.19399999999996</v>
      </c>
      <c r="J15" s="130">
        <v>236</v>
      </c>
      <c r="K15" s="153">
        <v>575.14</v>
      </c>
      <c r="L15" s="130">
        <v>249</v>
      </c>
      <c r="M15" s="153">
        <v>452.70100000000002</v>
      </c>
      <c r="N15" s="130">
        <v>3</v>
      </c>
      <c r="O15" s="131">
        <v>3.88</v>
      </c>
      <c r="P15" s="132" t="s">
        <v>11</v>
      </c>
    </row>
    <row r="16" spans="1:19" x14ac:dyDescent="0.3">
      <c r="A16" s="128" t="s">
        <v>12</v>
      </c>
      <c r="B16" s="129">
        <f t="shared" si="5"/>
        <v>3</v>
      </c>
      <c r="C16" s="130" t="s">
        <v>298</v>
      </c>
      <c r="D16" s="130" t="s">
        <v>298</v>
      </c>
      <c r="E16" s="130">
        <v>3</v>
      </c>
      <c r="F16" s="154">
        <v>8.6999999999999993</v>
      </c>
      <c r="G16" s="155">
        <f t="shared" si="4"/>
        <v>0</v>
      </c>
      <c r="H16" s="130" t="s">
        <v>298</v>
      </c>
      <c r="I16" s="130" t="s">
        <v>298</v>
      </c>
      <c r="J16" s="130" t="s">
        <v>298</v>
      </c>
      <c r="K16" s="130" t="s">
        <v>298</v>
      </c>
      <c r="L16" s="133" t="s">
        <v>298</v>
      </c>
      <c r="M16" s="153" t="s">
        <v>298</v>
      </c>
      <c r="N16" s="130" t="s">
        <v>298</v>
      </c>
      <c r="O16" s="154" t="s">
        <v>298</v>
      </c>
      <c r="P16" s="132" t="s">
        <v>13</v>
      </c>
    </row>
    <row r="17" spans="1:17" x14ac:dyDescent="0.3">
      <c r="A17" s="128" t="s">
        <v>14</v>
      </c>
      <c r="B17" s="129">
        <f t="shared" si="5"/>
        <v>1281</v>
      </c>
      <c r="C17" s="130">
        <v>967</v>
      </c>
      <c r="D17" s="153">
        <v>3296.4</v>
      </c>
      <c r="E17" s="130">
        <v>314</v>
      </c>
      <c r="F17" s="131">
        <v>910.31</v>
      </c>
      <c r="G17" s="155">
        <f t="shared" si="4"/>
        <v>832</v>
      </c>
      <c r="H17" s="130">
        <v>702</v>
      </c>
      <c r="I17" s="153">
        <v>1846.174</v>
      </c>
      <c r="J17" s="130">
        <v>97</v>
      </c>
      <c r="K17" s="153">
        <v>263.78100000000001</v>
      </c>
      <c r="L17" s="130">
        <v>33</v>
      </c>
      <c r="M17" s="153">
        <v>81.55</v>
      </c>
      <c r="N17" s="130" t="s">
        <v>298</v>
      </c>
      <c r="O17" s="154" t="s">
        <v>298</v>
      </c>
      <c r="P17" s="132" t="s">
        <v>15</v>
      </c>
    </row>
    <row r="18" spans="1:17" x14ac:dyDescent="0.3">
      <c r="A18" s="128" t="s">
        <v>16</v>
      </c>
      <c r="B18" s="129">
        <f t="shared" si="5"/>
        <v>510</v>
      </c>
      <c r="C18" s="130">
        <v>366</v>
      </c>
      <c r="D18" s="153">
        <v>958.52</v>
      </c>
      <c r="E18" s="130">
        <v>144</v>
      </c>
      <c r="F18" s="131">
        <v>317.86500000000001</v>
      </c>
      <c r="G18" s="155">
        <f t="shared" si="4"/>
        <v>2252</v>
      </c>
      <c r="H18" s="130">
        <v>626</v>
      </c>
      <c r="I18" s="153">
        <v>1548.67</v>
      </c>
      <c r="J18" s="130">
        <v>1044</v>
      </c>
      <c r="K18" s="153">
        <v>1890.0419999999999</v>
      </c>
      <c r="L18" s="130">
        <v>582</v>
      </c>
      <c r="M18" s="153">
        <v>656.9</v>
      </c>
      <c r="N18" s="130" t="s">
        <v>298</v>
      </c>
      <c r="O18" s="154" t="s">
        <v>298</v>
      </c>
      <c r="P18" s="132" t="s">
        <v>17</v>
      </c>
    </row>
    <row r="19" spans="1:17" x14ac:dyDescent="0.3">
      <c r="A19" s="206" t="s">
        <v>18</v>
      </c>
      <c r="B19" s="170">
        <f>SUM(B21:B27)</f>
        <v>11876</v>
      </c>
      <c r="C19" s="175">
        <f>SUM(C21:C27)</f>
        <v>7589</v>
      </c>
      <c r="D19" s="175">
        <f t="shared" ref="D19:L19" si="6">SUM(D21:D27)</f>
        <v>32951.639000000003</v>
      </c>
      <c r="E19" s="175">
        <f t="shared" si="6"/>
        <v>4287</v>
      </c>
      <c r="F19" s="176">
        <f t="shared" si="6"/>
        <v>8444.4590000000007</v>
      </c>
      <c r="G19" s="170">
        <f t="shared" ref="G19" si="7">SUM(G21:G27)</f>
        <v>9029</v>
      </c>
      <c r="H19" s="175">
        <f t="shared" si="6"/>
        <v>3794</v>
      </c>
      <c r="I19" s="175">
        <f t="shared" si="6"/>
        <v>12163.08</v>
      </c>
      <c r="J19" s="175">
        <f t="shared" si="6"/>
        <v>1531</v>
      </c>
      <c r="K19" s="175">
        <f t="shared" si="6"/>
        <v>4991.6440000000002</v>
      </c>
      <c r="L19" s="175">
        <f t="shared" si="6"/>
        <v>3686</v>
      </c>
      <c r="M19" s="175">
        <f>SUM(M21:M27)</f>
        <v>13141.422000000002</v>
      </c>
      <c r="N19" s="175">
        <f>SUM(N21:N27)</f>
        <v>18</v>
      </c>
      <c r="O19" s="176">
        <f>SUM(O21:O27)</f>
        <v>46.779999999999994</v>
      </c>
      <c r="P19" s="205" t="s">
        <v>19</v>
      </c>
      <c r="Q19" s="205"/>
    </row>
    <row r="20" spans="1:17" x14ac:dyDescent="0.3">
      <c r="A20" s="206"/>
      <c r="B20" s="170"/>
      <c r="C20" s="175"/>
      <c r="D20" s="175"/>
      <c r="E20" s="175"/>
      <c r="F20" s="176"/>
      <c r="G20" s="170"/>
      <c r="H20" s="175"/>
      <c r="I20" s="175"/>
      <c r="J20" s="175"/>
      <c r="K20" s="175"/>
      <c r="L20" s="175"/>
      <c r="M20" s="175"/>
      <c r="N20" s="175"/>
      <c r="O20" s="176"/>
      <c r="P20" s="205"/>
      <c r="Q20" s="205"/>
    </row>
    <row r="21" spans="1:17" x14ac:dyDescent="0.3">
      <c r="A21" s="128" t="s">
        <v>20</v>
      </c>
      <c r="B21" s="129">
        <f t="shared" ref="B21:B27" si="8">SUM(C21,E21)</f>
        <v>3748</v>
      </c>
      <c r="C21" s="130">
        <v>2483</v>
      </c>
      <c r="D21" s="153">
        <v>11127.114</v>
      </c>
      <c r="E21" s="130">
        <v>1265</v>
      </c>
      <c r="F21" s="131">
        <v>2697.0709999999999</v>
      </c>
      <c r="G21" s="155">
        <f t="shared" ref="G21:G27" si="9">SUM(H21,J21,L21,N21)</f>
        <v>909</v>
      </c>
      <c r="H21" s="130">
        <v>705</v>
      </c>
      <c r="I21" s="153">
        <v>1607.7339999999999</v>
      </c>
      <c r="J21" s="130">
        <v>135</v>
      </c>
      <c r="K21" s="153">
        <v>322.00799999999998</v>
      </c>
      <c r="L21" s="130">
        <v>69</v>
      </c>
      <c r="M21" s="153">
        <v>164.542</v>
      </c>
      <c r="N21" s="130" t="s">
        <v>298</v>
      </c>
      <c r="O21" s="131" t="s">
        <v>298</v>
      </c>
      <c r="P21" s="132" t="s">
        <v>21</v>
      </c>
    </row>
    <row r="22" spans="1:17" x14ac:dyDescent="0.3">
      <c r="A22" s="128" t="s">
        <v>22</v>
      </c>
      <c r="B22" s="129">
        <f t="shared" si="8"/>
        <v>203</v>
      </c>
      <c r="C22" s="130">
        <v>153</v>
      </c>
      <c r="D22" s="153">
        <v>651</v>
      </c>
      <c r="E22" s="130">
        <v>50</v>
      </c>
      <c r="F22" s="131">
        <v>104.3</v>
      </c>
      <c r="G22" s="155">
        <f t="shared" si="9"/>
        <v>358</v>
      </c>
      <c r="H22" s="130">
        <v>64</v>
      </c>
      <c r="I22" s="153">
        <v>134.80000000000001</v>
      </c>
      <c r="J22" s="130">
        <v>206</v>
      </c>
      <c r="K22" s="153">
        <v>479</v>
      </c>
      <c r="L22" s="130">
        <v>83</v>
      </c>
      <c r="M22" s="153">
        <v>171.5</v>
      </c>
      <c r="N22" s="130">
        <v>5</v>
      </c>
      <c r="O22" s="131">
        <v>6.2</v>
      </c>
      <c r="P22" s="132" t="s">
        <v>23</v>
      </c>
    </row>
    <row r="23" spans="1:17" x14ac:dyDescent="0.3">
      <c r="A23" s="128" t="s">
        <v>24</v>
      </c>
      <c r="B23" s="129">
        <f t="shared" si="8"/>
        <v>1197</v>
      </c>
      <c r="C23" s="130">
        <v>997</v>
      </c>
      <c r="D23" s="153">
        <v>2835.01</v>
      </c>
      <c r="E23" s="130">
        <v>200</v>
      </c>
      <c r="F23" s="131">
        <v>400.95</v>
      </c>
      <c r="G23" s="155">
        <f t="shared" si="9"/>
        <v>759</v>
      </c>
      <c r="H23" s="130">
        <v>272</v>
      </c>
      <c r="I23" s="153">
        <v>770.8</v>
      </c>
      <c r="J23" s="130">
        <v>111</v>
      </c>
      <c r="K23" s="153">
        <v>268.05599999999998</v>
      </c>
      <c r="L23" s="130">
        <v>374</v>
      </c>
      <c r="M23" s="153">
        <v>613.70000000000005</v>
      </c>
      <c r="N23" s="130">
        <v>2</v>
      </c>
      <c r="O23" s="131">
        <v>3.6</v>
      </c>
      <c r="P23" s="132" t="s">
        <v>25</v>
      </c>
    </row>
    <row r="24" spans="1:17" x14ac:dyDescent="0.3">
      <c r="A24" s="128" t="s">
        <v>26</v>
      </c>
      <c r="B24" s="129">
        <f t="shared" si="8"/>
        <v>1397</v>
      </c>
      <c r="C24" s="130">
        <v>959</v>
      </c>
      <c r="D24" s="153">
        <v>6016.73</v>
      </c>
      <c r="E24" s="130">
        <v>438</v>
      </c>
      <c r="F24" s="131">
        <v>1146.47</v>
      </c>
      <c r="G24" s="155">
        <f t="shared" si="9"/>
        <v>3250</v>
      </c>
      <c r="H24" s="130">
        <v>2020</v>
      </c>
      <c r="I24" s="153">
        <v>7675.0349999999999</v>
      </c>
      <c r="J24" s="130">
        <v>274</v>
      </c>
      <c r="K24" s="153">
        <v>1050.53</v>
      </c>
      <c r="L24" s="130">
        <v>953</v>
      </c>
      <c r="M24" s="153">
        <v>3454.08</v>
      </c>
      <c r="N24" s="130">
        <v>3</v>
      </c>
      <c r="O24" s="131">
        <v>11.28</v>
      </c>
      <c r="P24" s="132" t="s">
        <v>27</v>
      </c>
    </row>
    <row r="25" spans="1:17" x14ac:dyDescent="0.3">
      <c r="A25" s="128" t="s">
        <v>28</v>
      </c>
      <c r="B25" s="129">
        <f t="shared" si="8"/>
        <v>1563</v>
      </c>
      <c r="C25" s="130">
        <v>1052</v>
      </c>
      <c r="D25" s="153">
        <v>3823.5</v>
      </c>
      <c r="E25" s="130">
        <v>511</v>
      </c>
      <c r="F25" s="131">
        <v>1285.568</v>
      </c>
      <c r="G25" s="155">
        <f t="shared" si="9"/>
        <v>223</v>
      </c>
      <c r="H25" s="130">
        <v>91</v>
      </c>
      <c r="I25" s="153">
        <v>193</v>
      </c>
      <c r="J25" s="130">
        <v>82</v>
      </c>
      <c r="K25" s="153">
        <v>186.4</v>
      </c>
      <c r="L25" s="130">
        <v>50</v>
      </c>
      <c r="M25" s="153">
        <v>77.7</v>
      </c>
      <c r="N25" s="130" t="s">
        <v>298</v>
      </c>
      <c r="O25" s="154" t="s">
        <v>298</v>
      </c>
      <c r="P25" s="132" t="s">
        <v>29</v>
      </c>
    </row>
    <row r="26" spans="1:17" x14ac:dyDescent="0.3">
      <c r="A26" s="128" t="s">
        <v>30</v>
      </c>
      <c r="B26" s="129">
        <f t="shared" si="8"/>
        <v>2555</v>
      </c>
      <c r="C26" s="130">
        <v>1266</v>
      </c>
      <c r="D26" s="153">
        <v>6729</v>
      </c>
      <c r="E26" s="130">
        <v>1289</v>
      </c>
      <c r="F26" s="131">
        <v>2214.85</v>
      </c>
      <c r="G26" s="155">
        <f t="shared" si="9"/>
        <v>3164</v>
      </c>
      <c r="H26" s="130">
        <v>386</v>
      </c>
      <c r="I26" s="153">
        <v>1350.8409999999999</v>
      </c>
      <c r="J26" s="130">
        <v>642</v>
      </c>
      <c r="K26" s="153">
        <v>2596.56</v>
      </c>
      <c r="L26" s="130">
        <v>2130</v>
      </c>
      <c r="M26" s="153">
        <v>8617.2000000000007</v>
      </c>
      <c r="N26" s="130">
        <v>6</v>
      </c>
      <c r="O26" s="131">
        <v>24.3</v>
      </c>
      <c r="P26" s="132" t="s">
        <v>31</v>
      </c>
    </row>
    <row r="27" spans="1:17" x14ac:dyDescent="0.3">
      <c r="A27" s="128" t="s">
        <v>32</v>
      </c>
      <c r="B27" s="129">
        <f t="shared" si="8"/>
        <v>1213</v>
      </c>
      <c r="C27" s="130">
        <v>679</v>
      </c>
      <c r="D27" s="153">
        <v>1769.2850000000001</v>
      </c>
      <c r="E27" s="130">
        <v>534</v>
      </c>
      <c r="F27" s="131">
        <v>595.25</v>
      </c>
      <c r="G27" s="155">
        <f t="shared" si="9"/>
        <v>366</v>
      </c>
      <c r="H27" s="130">
        <v>256</v>
      </c>
      <c r="I27" s="153">
        <v>430.87</v>
      </c>
      <c r="J27" s="130">
        <v>81</v>
      </c>
      <c r="K27" s="153">
        <v>89.09</v>
      </c>
      <c r="L27" s="130">
        <v>27</v>
      </c>
      <c r="M27" s="153">
        <v>42.7</v>
      </c>
      <c r="N27" s="130">
        <v>2</v>
      </c>
      <c r="O27" s="131">
        <v>1.4</v>
      </c>
      <c r="P27" s="132" t="s">
        <v>33</v>
      </c>
    </row>
    <row r="28" spans="1:17" ht="22.8" customHeight="1" x14ac:dyDescent="0.3">
      <c r="A28" s="134" t="s">
        <v>284</v>
      </c>
      <c r="B28" s="135">
        <f>SUM(B29:B32)</f>
        <v>968</v>
      </c>
      <c r="C28" s="136">
        <f>SUM(C29:C32)</f>
        <v>351</v>
      </c>
      <c r="D28" s="136">
        <f>SUM(D29:D32)</f>
        <v>897.43000000000006</v>
      </c>
      <c r="E28" s="136">
        <f t="shared" ref="E28:J28" si="10">SUM(E29:E32)</f>
        <v>617</v>
      </c>
      <c r="F28" s="137">
        <f t="shared" si="10"/>
        <v>1060.8340000000001</v>
      </c>
      <c r="G28" s="135">
        <f t="shared" si="10"/>
        <v>12349</v>
      </c>
      <c r="H28" s="136">
        <f t="shared" si="10"/>
        <v>5924</v>
      </c>
      <c r="I28" s="136">
        <f t="shared" si="10"/>
        <v>17013.273000000001</v>
      </c>
      <c r="J28" s="136">
        <f t="shared" si="10"/>
        <v>4239</v>
      </c>
      <c r="K28" s="136">
        <f>SUM(K29:K32)</f>
        <v>14139.953</v>
      </c>
      <c r="L28" s="136">
        <f>SUM(L29:L32)</f>
        <v>2180</v>
      </c>
      <c r="M28" s="136">
        <f>SUM(M29:M32)</f>
        <v>7672.2830000000004</v>
      </c>
      <c r="N28" s="136">
        <f t="shared" ref="N28:O28" si="11">SUM(N29:N32)</f>
        <v>6</v>
      </c>
      <c r="O28" s="137">
        <f t="shared" si="11"/>
        <v>8.1</v>
      </c>
      <c r="P28" s="138" t="s">
        <v>285</v>
      </c>
      <c r="Q28" s="127"/>
    </row>
    <row r="29" spans="1:17" x14ac:dyDescent="0.3">
      <c r="A29" s="128" t="s">
        <v>34</v>
      </c>
      <c r="B29" s="129">
        <f t="shared" ref="B29:B32" si="12">SUM(C29,E29)</f>
        <v>412</v>
      </c>
      <c r="C29" s="130">
        <v>168</v>
      </c>
      <c r="D29" s="153">
        <v>477.19</v>
      </c>
      <c r="E29" s="130">
        <v>244</v>
      </c>
      <c r="F29" s="131">
        <v>479.15800000000002</v>
      </c>
      <c r="G29" s="155">
        <f>SUM(H29,J29,L29,N29)</f>
        <v>6761</v>
      </c>
      <c r="H29" s="130">
        <v>1613</v>
      </c>
      <c r="I29" s="153">
        <v>4439.4440000000004</v>
      </c>
      <c r="J29" s="130">
        <v>3333</v>
      </c>
      <c r="K29" s="153">
        <v>11380.950999999999</v>
      </c>
      <c r="L29" s="130">
        <v>1815</v>
      </c>
      <c r="M29" s="153">
        <v>6781.2089999999998</v>
      </c>
      <c r="N29" s="130" t="s">
        <v>298</v>
      </c>
      <c r="O29" s="131" t="s">
        <v>298</v>
      </c>
      <c r="P29" s="132" t="s">
        <v>35</v>
      </c>
    </row>
    <row r="30" spans="1:17" x14ac:dyDescent="0.3">
      <c r="A30" s="128" t="s">
        <v>36</v>
      </c>
      <c r="B30" s="129">
        <f t="shared" si="12"/>
        <v>239</v>
      </c>
      <c r="C30" s="130">
        <v>36</v>
      </c>
      <c r="D30" s="153">
        <v>68.89</v>
      </c>
      <c r="E30" s="130">
        <v>203</v>
      </c>
      <c r="F30" s="131">
        <v>308.286</v>
      </c>
      <c r="G30" s="155">
        <f>SUM(H30,J30,L30,N30)</f>
        <v>247</v>
      </c>
      <c r="H30" s="130">
        <v>148</v>
      </c>
      <c r="I30" s="153">
        <v>296.50299999999999</v>
      </c>
      <c r="J30" s="130">
        <v>40</v>
      </c>
      <c r="K30" s="153">
        <v>68.902000000000001</v>
      </c>
      <c r="L30" s="130">
        <v>58</v>
      </c>
      <c r="M30" s="153">
        <v>80.8</v>
      </c>
      <c r="N30" s="130">
        <v>1</v>
      </c>
      <c r="O30" s="154">
        <v>2</v>
      </c>
      <c r="P30" s="132" t="s">
        <v>37</v>
      </c>
    </row>
    <row r="31" spans="1:17" x14ac:dyDescent="0.3">
      <c r="A31" s="128" t="s">
        <v>38</v>
      </c>
      <c r="B31" s="129">
        <f t="shared" si="12"/>
        <v>157</v>
      </c>
      <c r="C31" s="130">
        <v>68</v>
      </c>
      <c r="D31" s="153">
        <v>203.9</v>
      </c>
      <c r="E31" s="130">
        <v>89</v>
      </c>
      <c r="F31" s="131">
        <v>114.34</v>
      </c>
      <c r="G31" s="155">
        <f>SUM(H31,J31,L31,N31)</f>
        <v>1549</v>
      </c>
      <c r="H31" s="130">
        <v>1337</v>
      </c>
      <c r="I31" s="153">
        <v>2740.35</v>
      </c>
      <c r="J31" s="130">
        <v>186</v>
      </c>
      <c r="K31" s="153">
        <v>502.25</v>
      </c>
      <c r="L31" s="130">
        <v>26</v>
      </c>
      <c r="M31" s="153">
        <v>52</v>
      </c>
      <c r="N31" s="130" t="s">
        <v>298</v>
      </c>
      <c r="O31" s="154" t="s">
        <v>298</v>
      </c>
      <c r="P31" s="132" t="s">
        <v>39</v>
      </c>
    </row>
    <row r="32" spans="1:17" x14ac:dyDescent="0.3">
      <c r="A32" s="128" t="s">
        <v>40</v>
      </c>
      <c r="B32" s="129">
        <f t="shared" si="12"/>
        <v>160</v>
      </c>
      <c r="C32" s="130">
        <v>79</v>
      </c>
      <c r="D32" s="153">
        <v>147.44999999999999</v>
      </c>
      <c r="E32" s="130">
        <v>81</v>
      </c>
      <c r="F32" s="131">
        <v>159.05000000000001</v>
      </c>
      <c r="G32" s="155">
        <f>SUM(H32,J32,L32,N32)</f>
        <v>3792</v>
      </c>
      <c r="H32" s="130">
        <v>2826</v>
      </c>
      <c r="I32" s="153">
        <v>9536.9760000000006</v>
      </c>
      <c r="J32" s="130">
        <v>680</v>
      </c>
      <c r="K32" s="153">
        <v>2187.85</v>
      </c>
      <c r="L32" s="130">
        <v>281</v>
      </c>
      <c r="M32" s="153">
        <v>758.274</v>
      </c>
      <c r="N32" s="130">
        <v>5</v>
      </c>
      <c r="O32" s="131">
        <v>6.1</v>
      </c>
      <c r="P32" s="132" t="s">
        <v>41</v>
      </c>
    </row>
    <row r="33" spans="1:17" x14ac:dyDescent="0.3">
      <c r="A33" s="206" t="s">
        <v>42</v>
      </c>
      <c r="B33" s="170">
        <f>SUM(B35:B38)</f>
        <v>1426</v>
      </c>
      <c r="C33" s="175">
        <f>SUM(C35:C38)</f>
        <v>1037</v>
      </c>
      <c r="D33" s="175">
        <f t="shared" ref="D33:O33" si="13">SUM(D35:D38)</f>
        <v>4151.12</v>
      </c>
      <c r="E33" s="175">
        <f t="shared" si="13"/>
        <v>389</v>
      </c>
      <c r="F33" s="176">
        <f t="shared" si="13"/>
        <v>1055.5</v>
      </c>
      <c r="G33" s="170">
        <f t="shared" ref="G33" si="14">SUM(G35:G38)</f>
        <v>2186</v>
      </c>
      <c r="H33" s="175">
        <f t="shared" si="13"/>
        <v>1732</v>
      </c>
      <c r="I33" s="175">
        <f t="shared" si="13"/>
        <v>3695.8789999999995</v>
      </c>
      <c r="J33" s="175">
        <f t="shared" si="13"/>
        <v>235</v>
      </c>
      <c r="K33" s="175">
        <f t="shared" si="13"/>
        <v>542.83600000000001</v>
      </c>
      <c r="L33" s="175">
        <f t="shared" si="13"/>
        <v>217</v>
      </c>
      <c r="M33" s="175">
        <f>SUM(M35:M38)</f>
        <v>372.74200000000002</v>
      </c>
      <c r="N33" s="175">
        <f t="shared" si="13"/>
        <v>2</v>
      </c>
      <c r="O33" s="176">
        <f t="shared" si="13"/>
        <v>4.4000000000000004</v>
      </c>
      <c r="P33" s="207" t="s">
        <v>43</v>
      </c>
      <c r="Q33" s="207"/>
    </row>
    <row r="34" spans="1:17" x14ac:dyDescent="0.3">
      <c r="A34" s="206"/>
      <c r="B34" s="170"/>
      <c r="C34" s="175"/>
      <c r="D34" s="175"/>
      <c r="E34" s="175"/>
      <c r="F34" s="176"/>
      <c r="G34" s="170"/>
      <c r="H34" s="175"/>
      <c r="I34" s="175"/>
      <c r="J34" s="175"/>
      <c r="K34" s="175"/>
      <c r="L34" s="175"/>
      <c r="M34" s="175"/>
      <c r="N34" s="175"/>
      <c r="O34" s="176"/>
      <c r="P34" s="207"/>
      <c r="Q34" s="207"/>
    </row>
    <row r="35" spans="1:17" x14ac:dyDescent="0.3">
      <c r="A35" s="128" t="s">
        <v>44</v>
      </c>
      <c r="B35" s="129">
        <f t="shared" ref="B35:B38" si="15">SUM(C35,E35)</f>
        <v>146</v>
      </c>
      <c r="C35" s="130">
        <v>35</v>
      </c>
      <c r="D35" s="153">
        <v>131.6</v>
      </c>
      <c r="E35" s="130">
        <v>111</v>
      </c>
      <c r="F35" s="131">
        <v>227.6</v>
      </c>
      <c r="G35" s="155">
        <f>SUM(H35,J35,L35,N35)</f>
        <v>1339</v>
      </c>
      <c r="H35" s="130">
        <v>1129</v>
      </c>
      <c r="I35" s="153">
        <v>2300.7199999999998</v>
      </c>
      <c r="J35" s="130">
        <v>101</v>
      </c>
      <c r="K35" s="153">
        <v>197.44</v>
      </c>
      <c r="L35" s="130">
        <v>109</v>
      </c>
      <c r="M35" s="153">
        <v>153.4</v>
      </c>
      <c r="N35" s="130" t="s">
        <v>298</v>
      </c>
      <c r="O35" s="154" t="s">
        <v>298</v>
      </c>
      <c r="P35" s="132" t="s">
        <v>45</v>
      </c>
    </row>
    <row r="36" spans="1:17" x14ac:dyDescent="0.3">
      <c r="A36" s="128" t="s">
        <v>46</v>
      </c>
      <c r="B36" s="129">
        <f t="shared" si="15"/>
        <v>55</v>
      </c>
      <c r="C36" s="130">
        <v>50</v>
      </c>
      <c r="D36" s="153">
        <v>59.6</v>
      </c>
      <c r="E36" s="130">
        <v>5</v>
      </c>
      <c r="F36" s="131">
        <v>4.5</v>
      </c>
      <c r="G36" s="155">
        <f>SUM(H36,J36,L36,N36)</f>
        <v>227</v>
      </c>
      <c r="H36" s="130">
        <v>187</v>
      </c>
      <c r="I36" s="153">
        <v>188.85</v>
      </c>
      <c r="J36" s="130">
        <v>25</v>
      </c>
      <c r="K36" s="153">
        <v>20.6</v>
      </c>
      <c r="L36" s="130">
        <v>15</v>
      </c>
      <c r="M36" s="130">
        <v>11.84</v>
      </c>
      <c r="N36" s="130" t="s">
        <v>298</v>
      </c>
      <c r="O36" s="154" t="s">
        <v>298</v>
      </c>
      <c r="P36" s="132" t="s">
        <v>47</v>
      </c>
    </row>
    <row r="37" spans="1:17" x14ac:dyDescent="0.3">
      <c r="A37" s="128" t="s">
        <v>48</v>
      </c>
      <c r="B37" s="129">
        <f t="shared" si="15"/>
        <v>566</v>
      </c>
      <c r="C37" s="130">
        <v>477</v>
      </c>
      <c r="D37" s="153">
        <v>1928.6</v>
      </c>
      <c r="E37" s="130">
        <v>89</v>
      </c>
      <c r="F37" s="131">
        <v>238</v>
      </c>
      <c r="G37" s="155">
        <f>SUM(H37,J37,L37,N37)</f>
        <v>359</v>
      </c>
      <c r="H37" s="130">
        <v>268</v>
      </c>
      <c r="I37" s="153">
        <v>798.6</v>
      </c>
      <c r="J37" s="130">
        <v>78</v>
      </c>
      <c r="K37" s="153">
        <v>234</v>
      </c>
      <c r="L37" s="130">
        <v>12</v>
      </c>
      <c r="M37" s="153">
        <v>31</v>
      </c>
      <c r="N37" s="130">
        <v>1</v>
      </c>
      <c r="O37" s="131">
        <v>4</v>
      </c>
      <c r="P37" s="132" t="s">
        <v>49</v>
      </c>
    </row>
    <row r="38" spans="1:17" x14ac:dyDescent="0.3">
      <c r="A38" s="128" t="s">
        <v>50</v>
      </c>
      <c r="B38" s="129">
        <f t="shared" si="15"/>
        <v>659</v>
      </c>
      <c r="C38" s="130">
        <v>475</v>
      </c>
      <c r="D38" s="153">
        <v>2031.32</v>
      </c>
      <c r="E38" s="130">
        <v>184</v>
      </c>
      <c r="F38" s="131">
        <v>585.4</v>
      </c>
      <c r="G38" s="155">
        <f>SUM(H38,J38,L38,N38)</f>
        <v>261</v>
      </c>
      <c r="H38" s="130">
        <v>148</v>
      </c>
      <c r="I38" s="153">
        <v>407.709</v>
      </c>
      <c r="J38" s="130">
        <v>31</v>
      </c>
      <c r="K38" s="153">
        <v>90.796000000000006</v>
      </c>
      <c r="L38" s="130">
        <v>81</v>
      </c>
      <c r="M38" s="153">
        <v>176.50200000000001</v>
      </c>
      <c r="N38" s="130">
        <v>1</v>
      </c>
      <c r="O38" s="154">
        <v>0.4</v>
      </c>
      <c r="P38" s="132" t="s">
        <v>51</v>
      </c>
    </row>
    <row r="39" spans="1:17" x14ac:dyDescent="0.3">
      <c r="A39" s="206" t="s">
        <v>52</v>
      </c>
      <c r="B39" s="170">
        <f>SUM(B41:B45)</f>
        <v>9569</v>
      </c>
      <c r="C39" s="175">
        <f>SUM(C41:C45)</f>
        <v>5083</v>
      </c>
      <c r="D39" s="175">
        <f t="shared" ref="D39:O39" si="16">SUM(D41:D45)</f>
        <v>23454.997000000003</v>
      </c>
      <c r="E39" s="175">
        <f t="shared" si="16"/>
        <v>4486</v>
      </c>
      <c r="F39" s="176">
        <f t="shared" si="16"/>
        <v>11535.216</v>
      </c>
      <c r="G39" s="170">
        <f t="shared" ref="G39" si="17">SUM(G41:G45)</f>
        <v>2924</v>
      </c>
      <c r="H39" s="175">
        <f t="shared" si="16"/>
        <v>1372</v>
      </c>
      <c r="I39" s="175">
        <f t="shared" si="16"/>
        <v>3200.1489999999999</v>
      </c>
      <c r="J39" s="175">
        <f t="shared" si="16"/>
        <v>782</v>
      </c>
      <c r="K39" s="175">
        <f t="shared" si="16"/>
        <v>2218.1690000000003</v>
      </c>
      <c r="L39" s="175">
        <f t="shared" si="16"/>
        <v>762</v>
      </c>
      <c r="M39" s="175">
        <f t="shared" si="16"/>
        <v>1970.7530000000002</v>
      </c>
      <c r="N39" s="175">
        <f t="shared" si="16"/>
        <v>8</v>
      </c>
      <c r="O39" s="176">
        <f t="shared" si="16"/>
        <v>13.4</v>
      </c>
      <c r="P39" s="207" t="s">
        <v>53</v>
      </c>
      <c r="Q39" s="207"/>
    </row>
    <row r="40" spans="1:17" x14ac:dyDescent="0.3">
      <c r="A40" s="206"/>
      <c r="B40" s="170"/>
      <c r="C40" s="175"/>
      <c r="D40" s="175"/>
      <c r="E40" s="175"/>
      <c r="F40" s="176"/>
      <c r="G40" s="170"/>
      <c r="H40" s="175"/>
      <c r="I40" s="175"/>
      <c r="J40" s="175"/>
      <c r="K40" s="175"/>
      <c r="L40" s="175"/>
      <c r="M40" s="175"/>
      <c r="N40" s="175"/>
      <c r="O40" s="176"/>
      <c r="P40" s="207"/>
      <c r="Q40" s="207"/>
    </row>
    <row r="41" spans="1:17" x14ac:dyDescent="0.3">
      <c r="A41" s="128" t="s">
        <v>54</v>
      </c>
      <c r="B41" s="129">
        <f t="shared" ref="B41:B45" si="18">SUM(C41,E41)</f>
        <v>3663</v>
      </c>
      <c r="C41" s="130">
        <v>3199</v>
      </c>
      <c r="D41" s="153">
        <v>15012.5</v>
      </c>
      <c r="E41" s="130">
        <v>464</v>
      </c>
      <c r="F41" s="131">
        <v>1288.2</v>
      </c>
      <c r="G41" s="155">
        <f>SUM(H41,J41,L41,N41)</f>
        <v>1767</v>
      </c>
      <c r="H41" s="130">
        <v>723</v>
      </c>
      <c r="I41" s="153">
        <v>1969.7339999999999</v>
      </c>
      <c r="J41" s="130">
        <v>415</v>
      </c>
      <c r="K41" s="153">
        <v>1547.499</v>
      </c>
      <c r="L41" s="130">
        <v>627</v>
      </c>
      <c r="M41" s="153">
        <v>1726.92</v>
      </c>
      <c r="N41" s="130">
        <v>2</v>
      </c>
      <c r="O41" s="131">
        <v>4.5</v>
      </c>
      <c r="P41" s="132" t="s">
        <v>55</v>
      </c>
    </row>
    <row r="42" spans="1:17" x14ac:dyDescent="0.3">
      <c r="A42" s="128" t="s">
        <v>56</v>
      </c>
      <c r="B42" s="129">
        <f t="shared" si="18"/>
        <v>2183</v>
      </c>
      <c r="C42" s="130">
        <v>414</v>
      </c>
      <c r="D42" s="153">
        <v>1260.6959999999999</v>
      </c>
      <c r="E42" s="130">
        <v>1769</v>
      </c>
      <c r="F42" s="131">
        <v>4054.165</v>
      </c>
      <c r="G42" s="155">
        <f>SUM(H42,J42,L42,N42)</f>
        <v>272</v>
      </c>
      <c r="H42" s="130">
        <v>131</v>
      </c>
      <c r="I42" s="153">
        <v>199.51</v>
      </c>
      <c r="J42" s="130">
        <v>91</v>
      </c>
      <c r="K42" s="153">
        <v>130.37</v>
      </c>
      <c r="L42" s="130">
        <v>49</v>
      </c>
      <c r="M42" s="153">
        <v>79.632999999999996</v>
      </c>
      <c r="N42" s="133">
        <v>1</v>
      </c>
      <c r="O42" s="131">
        <v>1.4</v>
      </c>
      <c r="P42" s="132" t="s">
        <v>57</v>
      </c>
    </row>
    <row r="43" spans="1:17" x14ac:dyDescent="0.3">
      <c r="A43" s="128" t="s">
        <v>58</v>
      </c>
      <c r="B43" s="129">
        <f t="shared" si="18"/>
        <v>727</v>
      </c>
      <c r="C43" s="130">
        <v>393</v>
      </c>
      <c r="D43" s="153">
        <v>1924.9010000000001</v>
      </c>
      <c r="E43" s="130">
        <v>334</v>
      </c>
      <c r="F43" s="131">
        <v>764.55100000000004</v>
      </c>
      <c r="G43" s="155">
        <f>SUM(H43,J43,L43,N43)</f>
        <v>225</v>
      </c>
      <c r="H43" s="130">
        <v>110</v>
      </c>
      <c r="I43" s="153">
        <v>268.505</v>
      </c>
      <c r="J43" s="130">
        <v>73</v>
      </c>
      <c r="K43" s="153">
        <v>193.7</v>
      </c>
      <c r="L43" s="130">
        <v>42</v>
      </c>
      <c r="M43" s="153">
        <v>91.5</v>
      </c>
      <c r="N43" s="130" t="s">
        <v>298</v>
      </c>
      <c r="O43" s="131" t="s">
        <v>298</v>
      </c>
      <c r="P43" s="132" t="s">
        <v>59</v>
      </c>
    </row>
    <row r="44" spans="1:17" x14ac:dyDescent="0.3">
      <c r="A44" s="128" t="s">
        <v>60</v>
      </c>
      <c r="B44" s="129">
        <f t="shared" si="18"/>
        <v>3</v>
      </c>
      <c r="C44" s="130">
        <v>2</v>
      </c>
      <c r="D44" s="153">
        <v>7.5</v>
      </c>
      <c r="E44" s="130">
        <v>1</v>
      </c>
      <c r="F44" s="131">
        <v>1</v>
      </c>
      <c r="G44" s="155">
        <f>SUM(H44,J44,L44,N44)</f>
        <v>0</v>
      </c>
      <c r="H44" s="130" t="s">
        <v>298</v>
      </c>
      <c r="I44" s="130" t="s">
        <v>298</v>
      </c>
      <c r="J44" s="130" t="s">
        <v>298</v>
      </c>
      <c r="K44" s="130" t="s">
        <v>298</v>
      </c>
      <c r="L44" s="130" t="s">
        <v>298</v>
      </c>
      <c r="M44" s="130" t="s">
        <v>298</v>
      </c>
      <c r="N44" s="130" t="s">
        <v>298</v>
      </c>
      <c r="O44" s="154" t="s">
        <v>298</v>
      </c>
      <c r="P44" s="208" t="s">
        <v>61</v>
      </c>
      <c r="Q44" s="208"/>
    </row>
    <row r="45" spans="1:17" x14ac:dyDescent="0.3">
      <c r="A45" s="128" t="s">
        <v>62</v>
      </c>
      <c r="B45" s="129">
        <f t="shared" si="18"/>
        <v>2993</v>
      </c>
      <c r="C45" s="130">
        <v>1075</v>
      </c>
      <c r="D45" s="153">
        <v>5249.4</v>
      </c>
      <c r="E45" s="130">
        <v>1918</v>
      </c>
      <c r="F45" s="131">
        <v>5427.3</v>
      </c>
      <c r="G45" s="155">
        <f>SUM(H45,J45,L45,N45)</f>
        <v>660</v>
      </c>
      <c r="H45" s="130">
        <v>408</v>
      </c>
      <c r="I45" s="153">
        <v>762.4</v>
      </c>
      <c r="J45" s="130">
        <v>203</v>
      </c>
      <c r="K45" s="153">
        <v>346.6</v>
      </c>
      <c r="L45" s="130">
        <v>44</v>
      </c>
      <c r="M45" s="153">
        <v>72.7</v>
      </c>
      <c r="N45" s="130">
        <v>5</v>
      </c>
      <c r="O45" s="131">
        <v>7.5</v>
      </c>
      <c r="P45" s="132" t="s">
        <v>63</v>
      </c>
    </row>
    <row r="46" spans="1:17" x14ac:dyDescent="0.3">
      <c r="A46" s="206" t="s">
        <v>64</v>
      </c>
      <c r="B46" s="170">
        <f>SUM(B48:B52)</f>
        <v>9057</v>
      </c>
      <c r="C46" s="175">
        <f>SUM(C48:C52)</f>
        <v>4637</v>
      </c>
      <c r="D46" s="175">
        <f t="shared" ref="D46:O46" si="19">SUM(D48:D52)</f>
        <v>16283.343999999999</v>
      </c>
      <c r="E46" s="175">
        <f t="shared" si="19"/>
        <v>4420</v>
      </c>
      <c r="F46" s="176">
        <f t="shared" si="19"/>
        <v>10293.341</v>
      </c>
      <c r="G46" s="170">
        <f t="shared" ref="G46" si="20">SUM(G48:G52)</f>
        <v>13163</v>
      </c>
      <c r="H46" s="175">
        <f t="shared" si="19"/>
        <v>6364</v>
      </c>
      <c r="I46" s="175">
        <f t="shared" si="19"/>
        <v>15239.591999999999</v>
      </c>
      <c r="J46" s="175">
        <f t="shared" si="19"/>
        <v>2722</v>
      </c>
      <c r="K46" s="175">
        <f t="shared" si="19"/>
        <v>6255.1919999999991</v>
      </c>
      <c r="L46" s="175">
        <f t="shared" si="19"/>
        <v>4058</v>
      </c>
      <c r="M46" s="175">
        <f t="shared" si="19"/>
        <v>9296.6369999999988</v>
      </c>
      <c r="N46" s="175">
        <f t="shared" si="19"/>
        <v>19</v>
      </c>
      <c r="O46" s="176">
        <f t="shared" si="19"/>
        <v>28.35</v>
      </c>
      <c r="P46" s="209" t="s">
        <v>65</v>
      </c>
      <c r="Q46" s="209"/>
    </row>
    <row r="47" spans="1:17" x14ac:dyDescent="0.3">
      <c r="A47" s="206"/>
      <c r="B47" s="170"/>
      <c r="C47" s="175"/>
      <c r="D47" s="175"/>
      <c r="E47" s="175"/>
      <c r="F47" s="176"/>
      <c r="G47" s="170"/>
      <c r="H47" s="175"/>
      <c r="I47" s="175"/>
      <c r="J47" s="175"/>
      <c r="K47" s="175"/>
      <c r="L47" s="175"/>
      <c r="M47" s="175"/>
      <c r="N47" s="175"/>
      <c r="O47" s="176"/>
      <c r="P47" s="209"/>
      <c r="Q47" s="209"/>
    </row>
    <row r="48" spans="1:17" x14ac:dyDescent="0.3">
      <c r="A48" s="128" t="s">
        <v>66</v>
      </c>
      <c r="B48" s="129">
        <f t="shared" ref="B48:B52" si="21">SUM(C48,E48)</f>
        <v>1053</v>
      </c>
      <c r="C48" s="130">
        <v>568</v>
      </c>
      <c r="D48" s="153">
        <v>1616.152</v>
      </c>
      <c r="E48" s="130">
        <v>485</v>
      </c>
      <c r="F48" s="131">
        <v>1072.527</v>
      </c>
      <c r="G48" s="155">
        <f>SUM(H48,J48,L48,N48)</f>
        <v>2845</v>
      </c>
      <c r="H48" s="130">
        <v>1659</v>
      </c>
      <c r="I48" s="153">
        <v>4003.346</v>
      </c>
      <c r="J48" s="130">
        <v>655</v>
      </c>
      <c r="K48" s="153">
        <v>1392.6420000000001</v>
      </c>
      <c r="L48" s="130">
        <v>522</v>
      </c>
      <c r="M48" s="153">
        <v>1113.9449999999999</v>
      </c>
      <c r="N48" s="130">
        <v>9</v>
      </c>
      <c r="O48" s="131">
        <v>14.6</v>
      </c>
      <c r="P48" s="132" t="s">
        <v>67</v>
      </c>
    </row>
    <row r="49" spans="1:17" x14ac:dyDescent="0.3">
      <c r="A49" s="128" t="s">
        <v>68</v>
      </c>
      <c r="B49" s="129">
        <f t="shared" si="21"/>
        <v>5288</v>
      </c>
      <c r="C49" s="130">
        <v>2478</v>
      </c>
      <c r="D49" s="153">
        <v>9964.32</v>
      </c>
      <c r="E49" s="130">
        <v>2810</v>
      </c>
      <c r="F49" s="131">
        <v>6340.9639999999999</v>
      </c>
      <c r="G49" s="155">
        <f>SUM(H49,J49,L49,N49)</f>
        <v>6893</v>
      </c>
      <c r="H49" s="130">
        <v>3022</v>
      </c>
      <c r="I49" s="153">
        <v>6813.4</v>
      </c>
      <c r="J49" s="130">
        <v>1252</v>
      </c>
      <c r="K49" s="153">
        <v>2882.2</v>
      </c>
      <c r="L49" s="130">
        <v>2617</v>
      </c>
      <c r="M49" s="153">
        <v>5912.8919999999998</v>
      </c>
      <c r="N49" s="133">
        <v>2</v>
      </c>
      <c r="O49" s="131">
        <v>3</v>
      </c>
      <c r="P49" s="132" t="s">
        <v>69</v>
      </c>
    </row>
    <row r="50" spans="1:17" x14ac:dyDescent="0.3">
      <c r="A50" s="128" t="s">
        <v>70</v>
      </c>
      <c r="B50" s="129">
        <f t="shared" si="21"/>
        <v>2695</v>
      </c>
      <c r="C50" s="130">
        <v>1580</v>
      </c>
      <c r="D50" s="153">
        <v>4668.5720000000001</v>
      </c>
      <c r="E50" s="130">
        <v>1115</v>
      </c>
      <c r="F50" s="131">
        <v>2864.85</v>
      </c>
      <c r="G50" s="155">
        <f>SUM(H50,J50,L50,N50)</f>
        <v>3283</v>
      </c>
      <c r="H50" s="130">
        <v>1614</v>
      </c>
      <c r="I50" s="153">
        <v>4339.37</v>
      </c>
      <c r="J50" s="130">
        <v>764</v>
      </c>
      <c r="K50" s="153">
        <v>1915.2</v>
      </c>
      <c r="L50" s="130">
        <v>902</v>
      </c>
      <c r="M50" s="153">
        <v>2247.5</v>
      </c>
      <c r="N50" s="130">
        <v>3</v>
      </c>
      <c r="O50" s="131">
        <v>4.3499999999999996</v>
      </c>
      <c r="P50" s="132" t="s">
        <v>71</v>
      </c>
    </row>
    <row r="51" spans="1:17" x14ac:dyDescent="0.3">
      <c r="A51" s="128" t="s">
        <v>72</v>
      </c>
      <c r="B51" s="129">
        <f t="shared" si="21"/>
        <v>0</v>
      </c>
      <c r="C51" s="130" t="s">
        <v>298</v>
      </c>
      <c r="D51" s="153" t="s">
        <v>298</v>
      </c>
      <c r="E51" s="130" t="s">
        <v>298</v>
      </c>
      <c r="F51" s="131" t="s">
        <v>298</v>
      </c>
      <c r="G51" s="155">
        <f>SUM(H51,J51,L51,N51)</f>
        <v>17</v>
      </c>
      <c r="H51" s="133">
        <v>3</v>
      </c>
      <c r="I51" s="153">
        <v>4</v>
      </c>
      <c r="J51" s="130">
        <v>9</v>
      </c>
      <c r="K51" s="153">
        <v>9.6999999999999993</v>
      </c>
      <c r="L51" s="133" t="s">
        <v>298</v>
      </c>
      <c r="M51" s="153" t="s">
        <v>298</v>
      </c>
      <c r="N51" s="130">
        <v>5</v>
      </c>
      <c r="O51" s="154">
        <v>6.4</v>
      </c>
      <c r="P51" s="132" t="s">
        <v>73</v>
      </c>
    </row>
    <row r="52" spans="1:17" x14ac:dyDescent="0.3">
      <c r="A52" s="128" t="s">
        <v>74</v>
      </c>
      <c r="B52" s="129">
        <f t="shared" si="21"/>
        <v>21</v>
      </c>
      <c r="C52" s="130">
        <v>11</v>
      </c>
      <c r="D52" s="153">
        <v>34.299999999999997</v>
      </c>
      <c r="E52" s="130">
        <v>10</v>
      </c>
      <c r="F52" s="131">
        <v>15</v>
      </c>
      <c r="G52" s="155">
        <f>SUM(H52,J52,L52,N52)</f>
        <v>125</v>
      </c>
      <c r="H52" s="130">
        <v>66</v>
      </c>
      <c r="I52" s="153">
        <v>79.475999999999999</v>
      </c>
      <c r="J52" s="130">
        <v>42</v>
      </c>
      <c r="K52" s="153">
        <v>55.45</v>
      </c>
      <c r="L52" s="130">
        <v>17</v>
      </c>
      <c r="M52" s="153">
        <v>22.3</v>
      </c>
      <c r="N52" s="130" t="s">
        <v>298</v>
      </c>
      <c r="O52" s="154" t="s">
        <v>298</v>
      </c>
      <c r="P52" s="132" t="s">
        <v>75</v>
      </c>
    </row>
    <row r="53" spans="1:17" x14ac:dyDescent="0.3">
      <c r="A53" s="206" t="s">
        <v>76</v>
      </c>
      <c r="B53" s="170">
        <f>SUM(B55:B59)</f>
        <v>193</v>
      </c>
      <c r="C53" s="175">
        <f>SUM(C55:C59)</f>
        <v>97</v>
      </c>
      <c r="D53" s="175">
        <f t="shared" ref="D53:O53" si="22">SUM(D55:D59)</f>
        <v>129</v>
      </c>
      <c r="E53" s="175">
        <f t="shared" si="22"/>
        <v>96</v>
      </c>
      <c r="F53" s="176">
        <f t="shared" si="22"/>
        <v>107.89999999999999</v>
      </c>
      <c r="G53" s="170">
        <f t="shared" ref="G53" si="23">SUM(G55:G59)</f>
        <v>259</v>
      </c>
      <c r="H53" s="175">
        <f t="shared" si="22"/>
        <v>176</v>
      </c>
      <c r="I53" s="175">
        <f t="shared" si="22"/>
        <v>177.35</v>
      </c>
      <c r="J53" s="175">
        <f t="shared" si="22"/>
        <v>66</v>
      </c>
      <c r="K53" s="175">
        <f t="shared" si="22"/>
        <v>66.575999999999993</v>
      </c>
      <c r="L53" s="175">
        <f t="shared" si="22"/>
        <v>17</v>
      </c>
      <c r="M53" s="175">
        <f t="shared" si="22"/>
        <v>16.350000000000001</v>
      </c>
      <c r="N53" s="175">
        <f t="shared" si="22"/>
        <v>0</v>
      </c>
      <c r="O53" s="176">
        <f t="shared" si="22"/>
        <v>0</v>
      </c>
      <c r="P53" s="207" t="s">
        <v>77</v>
      </c>
      <c r="Q53" s="207"/>
    </row>
    <row r="54" spans="1:17" x14ac:dyDescent="0.3">
      <c r="A54" s="206"/>
      <c r="B54" s="170"/>
      <c r="C54" s="175"/>
      <c r="D54" s="175"/>
      <c r="E54" s="175"/>
      <c r="F54" s="176"/>
      <c r="G54" s="170"/>
      <c r="H54" s="175"/>
      <c r="I54" s="175"/>
      <c r="J54" s="175"/>
      <c r="K54" s="175"/>
      <c r="L54" s="175"/>
      <c r="M54" s="175"/>
      <c r="N54" s="175"/>
      <c r="O54" s="176"/>
      <c r="P54" s="207"/>
      <c r="Q54" s="207"/>
    </row>
    <row r="55" spans="1:17" x14ac:dyDescent="0.3">
      <c r="A55" s="128" t="s">
        <v>78</v>
      </c>
      <c r="B55" s="129">
        <f t="shared" ref="B55:B59" si="24">SUM(C55,E55)</f>
        <v>12</v>
      </c>
      <c r="C55" s="130">
        <v>6</v>
      </c>
      <c r="D55" s="153">
        <v>9</v>
      </c>
      <c r="E55" s="130">
        <v>6</v>
      </c>
      <c r="F55" s="131">
        <v>6</v>
      </c>
      <c r="G55" s="155">
        <f>SUM(H55,J55,L55,N55)</f>
        <v>152</v>
      </c>
      <c r="H55" s="130">
        <v>92</v>
      </c>
      <c r="I55" s="153">
        <v>86.35</v>
      </c>
      <c r="J55" s="130">
        <v>49</v>
      </c>
      <c r="K55" s="153">
        <v>44.375999999999998</v>
      </c>
      <c r="L55" s="130">
        <v>11</v>
      </c>
      <c r="M55" s="153">
        <v>9.65</v>
      </c>
      <c r="N55" s="130" t="s">
        <v>298</v>
      </c>
      <c r="O55" s="131" t="s">
        <v>298</v>
      </c>
      <c r="P55" s="132" t="s">
        <v>79</v>
      </c>
    </row>
    <row r="56" spans="1:17" x14ac:dyDescent="0.3">
      <c r="A56" s="128" t="s">
        <v>80</v>
      </c>
      <c r="B56" s="129">
        <f t="shared" si="24"/>
        <v>172</v>
      </c>
      <c r="C56" s="130">
        <v>88</v>
      </c>
      <c r="D56" s="130">
        <v>117.2</v>
      </c>
      <c r="E56" s="130">
        <v>84</v>
      </c>
      <c r="F56" s="131">
        <v>98.6</v>
      </c>
      <c r="G56" s="155">
        <f>SUM(H56,J56,L56,N56)</f>
        <v>53</v>
      </c>
      <c r="H56" s="130">
        <v>33</v>
      </c>
      <c r="I56" s="153">
        <v>40</v>
      </c>
      <c r="J56" s="130">
        <v>17</v>
      </c>
      <c r="K56" s="153">
        <v>22.2</v>
      </c>
      <c r="L56" s="130">
        <v>3</v>
      </c>
      <c r="M56" s="130">
        <v>3.7</v>
      </c>
      <c r="N56" s="130" t="s">
        <v>298</v>
      </c>
      <c r="O56" s="154" t="s">
        <v>298</v>
      </c>
      <c r="P56" s="132" t="s">
        <v>81</v>
      </c>
    </row>
    <row r="57" spans="1:17" x14ac:dyDescent="0.3">
      <c r="A57" s="128" t="s">
        <v>82</v>
      </c>
      <c r="B57" s="129">
        <f t="shared" si="24"/>
        <v>0</v>
      </c>
      <c r="C57" s="130" t="s">
        <v>298</v>
      </c>
      <c r="D57" s="130" t="s">
        <v>298</v>
      </c>
      <c r="E57" s="130" t="s">
        <v>298</v>
      </c>
      <c r="F57" s="154" t="s">
        <v>298</v>
      </c>
      <c r="G57" s="155">
        <f>SUM(H57,J57,L57,N57)</f>
        <v>0</v>
      </c>
      <c r="H57" s="130" t="s">
        <v>298</v>
      </c>
      <c r="I57" s="130" t="s">
        <v>298</v>
      </c>
      <c r="J57" s="130" t="s">
        <v>298</v>
      </c>
      <c r="K57" s="130" t="s">
        <v>298</v>
      </c>
      <c r="L57" s="130" t="s">
        <v>298</v>
      </c>
      <c r="M57" s="130" t="s">
        <v>298</v>
      </c>
      <c r="N57" s="130" t="s">
        <v>298</v>
      </c>
      <c r="O57" s="154" t="s">
        <v>298</v>
      </c>
      <c r="P57" s="132" t="s">
        <v>83</v>
      </c>
    </row>
    <row r="58" spans="1:17" x14ac:dyDescent="0.3">
      <c r="A58" s="128" t="s">
        <v>84</v>
      </c>
      <c r="B58" s="129">
        <f t="shared" si="24"/>
        <v>0</v>
      </c>
      <c r="C58" s="130" t="s">
        <v>298</v>
      </c>
      <c r="D58" s="130" t="s">
        <v>298</v>
      </c>
      <c r="E58" s="130" t="s">
        <v>298</v>
      </c>
      <c r="F58" s="131" t="s">
        <v>298</v>
      </c>
      <c r="G58" s="155">
        <f>SUM(H58,J58,L58,N58)</f>
        <v>0</v>
      </c>
      <c r="H58" s="130" t="s">
        <v>298</v>
      </c>
      <c r="I58" s="153" t="s">
        <v>298</v>
      </c>
      <c r="J58" s="130" t="s">
        <v>298</v>
      </c>
      <c r="K58" s="153" t="s">
        <v>298</v>
      </c>
      <c r="L58" s="130" t="s">
        <v>298</v>
      </c>
      <c r="M58" s="153" t="s">
        <v>298</v>
      </c>
      <c r="N58" s="130" t="s">
        <v>298</v>
      </c>
      <c r="O58" s="131" t="s">
        <v>298</v>
      </c>
      <c r="P58" s="132" t="s">
        <v>85</v>
      </c>
    </row>
    <row r="59" spans="1:17" x14ac:dyDescent="0.3">
      <c r="A59" s="128" t="s">
        <v>86</v>
      </c>
      <c r="B59" s="129">
        <f t="shared" si="24"/>
        <v>9</v>
      </c>
      <c r="C59" s="130">
        <v>3</v>
      </c>
      <c r="D59" s="130">
        <v>2.8</v>
      </c>
      <c r="E59" s="130">
        <v>6</v>
      </c>
      <c r="F59" s="131">
        <v>3.3</v>
      </c>
      <c r="G59" s="155">
        <f>SUM(H59,J59,L59,N59)</f>
        <v>54</v>
      </c>
      <c r="H59" s="130">
        <v>51</v>
      </c>
      <c r="I59" s="153">
        <v>51</v>
      </c>
      <c r="J59" s="130" t="s">
        <v>298</v>
      </c>
      <c r="K59" s="130" t="s">
        <v>298</v>
      </c>
      <c r="L59" s="130">
        <v>3</v>
      </c>
      <c r="M59" s="153">
        <v>3</v>
      </c>
      <c r="N59" s="130" t="s">
        <v>298</v>
      </c>
      <c r="O59" s="154" t="s">
        <v>298</v>
      </c>
      <c r="P59" s="132" t="s">
        <v>87</v>
      </c>
    </row>
    <row r="60" spans="1:17" x14ac:dyDescent="0.3">
      <c r="A60" s="206" t="s">
        <v>88</v>
      </c>
      <c r="B60" s="170">
        <f>SUM(B62:B64)</f>
        <v>30847</v>
      </c>
      <c r="C60" s="175">
        <f>SUM(C62:C64)</f>
        <v>26899</v>
      </c>
      <c r="D60" s="175">
        <f t="shared" ref="D60:O60" si="25">SUM(D62:D64)</f>
        <v>146696.30599999998</v>
      </c>
      <c r="E60" s="175">
        <f t="shared" si="25"/>
        <v>3948</v>
      </c>
      <c r="F60" s="176">
        <f t="shared" si="25"/>
        <v>10615.531999999999</v>
      </c>
      <c r="G60" s="170">
        <f t="shared" ref="G60" si="26">SUM(G62:G64)</f>
        <v>29520</v>
      </c>
      <c r="H60" s="175">
        <f t="shared" si="25"/>
        <v>20637</v>
      </c>
      <c r="I60" s="175">
        <f t="shared" si="25"/>
        <v>64264.112000000001</v>
      </c>
      <c r="J60" s="175">
        <f t="shared" si="25"/>
        <v>829</v>
      </c>
      <c r="K60" s="175">
        <f t="shared" si="25"/>
        <v>1899.3969999999999</v>
      </c>
      <c r="L60" s="175">
        <f t="shared" si="25"/>
        <v>7627</v>
      </c>
      <c r="M60" s="175">
        <f t="shared" si="25"/>
        <v>20695.414000000001</v>
      </c>
      <c r="N60" s="175">
        <f t="shared" si="25"/>
        <v>427</v>
      </c>
      <c r="O60" s="176">
        <f t="shared" si="25"/>
        <v>1312.9</v>
      </c>
      <c r="P60" s="209" t="s">
        <v>89</v>
      </c>
      <c r="Q60" s="209"/>
    </row>
    <row r="61" spans="1:17" x14ac:dyDescent="0.3">
      <c r="A61" s="206"/>
      <c r="B61" s="170"/>
      <c r="C61" s="175"/>
      <c r="D61" s="175"/>
      <c r="E61" s="175"/>
      <c r="F61" s="176"/>
      <c r="G61" s="170"/>
      <c r="H61" s="175"/>
      <c r="I61" s="175"/>
      <c r="J61" s="175"/>
      <c r="K61" s="175"/>
      <c r="L61" s="175"/>
      <c r="M61" s="175"/>
      <c r="N61" s="175"/>
      <c r="O61" s="176"/>
      <c r="P61" s="209"/>
      <c r="Q61" s="209"/>
    </row>
    <row r="62" spans="1:17" x14ac:dyDescent="0.3">
      <c r="A62" s="128" t="s">
        <v>90</v>
      </c>
      <c r="B62" s="129">
        <f t="shared" ref="B62:B64" si="27">SUM(C62,E62)</f>
        <v>4137</v>
      </c>
      <c r="C62" s="130">
        <v>3287</v>
      </c>
      <c r="D62" s="130">
        <v>14566.766</v>
      </c>
      <c r="E62" s="130">
        <v>850</v>
      </c>
      <c r="F62" s="131">
        <v>1985.682</v>
      </c>
      <c r="G62" s="155">
        <f>SUM(H62,J62,L62,N62)</f>
        <v>11454</v>
      </c>
      <c r="H62" s="130">
        <v>7991</v>
      </c>
      <c r="I62" s="153">
        <v>24079.169000000002</v>
      </c>
      <c r="J62" s="130">
        <v>518</v>
      </c>
      <c r="K62" s="153">
        <v>1233.6220000000001</v>
      </c>
      <c r="L62" s="130">
        <v>2926</v>
      </c>
      <c r="M62" s="153">
        <v>7420.4340000000002</v>
      </c>
      <c r="N62" s="130">
        <v>19</v>
      </c>
      <c r="O62" s="131">
        <v>46.2</v>
      </c>
      <c r="P62" s="132" t="s">
        <v>91</v>
      </c>
    </row>
    <row r="63" spans="1:17" x14ac:dyDescent="0.3">
      <c r="A63" s="128" t="s">
        <v>92</v>
      </c>
      <c r="B63" s="129">
        <f t="shared" si="27"/>
        <v>1787</v>
      </c>
      <c r="C63" s="130">
        <v>1318</v>
      </c>
      <c r="D63" s="130">
        <v>7192.64</v>
      </c>
      <c r="E63" s="130">
        <v>469</v>
      </c>
      <c r="F63" s="131">
        <v>1294.1500000000001</v>
      </c>
      <c r="G63" s="155">
        <f>SUM(H63,J63,L63,N63)</f>
        <v>2289</v>
      </c>
      <c r="H63" s="130">
        <v>2040</v>
      </c>
      <c r="I63" s="153">
        <v>3527.2779999999998</v>
      </c>
      <c r="J63" s="130">
        <v>185</v>
      </c>
      <c r="K63" s="153">
        <v>335.75</v>
      </c>
      <c r="L63" s="130">
        <v>59</v>
      </c>
      <c r="M63" s="153">
        <v>83.65</v>
      </c>
      <c r="N63" s="130">
        <v>5</v>
      </c>
      <c r="O63" s="154">
        <v>6.2</v>
      </c>
      <c r="P63" s="208" t="s">
        <v>93</v>
      </c>
      <c r="Q63" s="208"/>
    </row>
    <row r="64" spans="1:17" x14ac:dyDescent="0.3">
      <c r="A64" s="128" t="s">
        <v>94</v>
      </c>
      <c r="B64" s="129">
        <f t="shared" si="27"/>
        <v>24923</v>
      </c>
      <c r="C64" s="130">
        <v>22294</v>
      </c>
      <c r="D64" s="130">
        <v>124936.9</v>
      </c>
      <c r="E64" s="130">
        <v>2629</v>
      </c>
      <c r="F64" s="131">
        <v>7335.7</v>
      </c>
      <c r="G64" s="155">
        <f>SUM(H64,J64,L64,N64)</f>
        <v>15777</v>
      </c>
      <c r="H64" s="130">
        <v>10606</v>
      </c>
      <c r="I64" s="153">
        <v>36657.665000000001</v>
      </c>
      <c r="J64" s="130">
        <v>126</v>
      </c>
      <c r="K64" s="153">
        <v>330.02499999999998</v>
      </c>
      <c r="L64" s="130">
        <v>4642</v>
      </c>
      <c r="M64" s="153">
        <v>13191.33</v>
      </c>
      <c r="N64" s="130">
        <v>403</v>
      </c>
      <c r="O64" s="131">
        <v>1260.5</v>
      </c>
      <c r="P64" s="132" t="s">
        <v>95</v>
      </c>
    </row>
    <row r="65" spans="1:18" x14ac:dyDescent="0.3">
      <c r="A65" s="206" t="s">
        <v>96</v>
      </c>
      <c r="B65" s="170">
        <f>SUM(B67:B71)</f>
        <v>5250</v>
      </c>
      <c r="C65" s="175">
        <f>SUM(C67:C71)</f>
        <v>3658</v>
      </c>
      <c r="D65" s="175">
        <f t="shared" ref="D65:O65" si="28">SUM(D67:D71)</f>
        <v>17617.62</v>
      </c>
      <c r="E65" s="175">
        <f t="shared" si="28"/>
        <v>1592</v>
      </c>
      <c r="F65" s="176">
        <f t="shared" si="28"/>
        <v>3993.0810000000001</v>
      </c>
      <c r="G65" s="170">
        <f t="shared" ref="G65" si="29">SUM(G67:G71)</f>
        <v>6955</v>
      </c>
      <c r="H65" s="175">
        <f t="shared" si="28"/>
        <v>2324</v>
      </c>
      <c r="I65" s="175">
        <f t="shared" si="28"/>
        <v>5291.732</v>
      </c>
      <c r="J65" s="175">
        <f t="shared" si="28"/>
        <v>3708</v>
      </c>
      <c r="K65" s="175">
        <f t="shared" si="28"/>
        <v>12631.691000000001</v>
      </c>
      <c r="L65" s="175">
        <f t="shared" si="28"/>
        <v>591</v>
      </c>
      <c r="M65" s="175">
        <f t="shared" si="28"/>
        <v>1465.143</v>
      </c>
      <c r="N65" s="175">
        <f t="shared" si="28"/>
        <v>332</v>
      </c>
      <c r="O65" s="176">
        <f t="shared" si="28"/>
        <v>802.61800000000005</v>
      </c>
      <c r="P65" s="209" t="s">
        <v>97</v>
      </c>
      <c r="Q65" s="209"/>
    </row>
    <row r="66" spans="1:18" x14ac:dyDescent="0.3">
      <c r="A66" s="206"/>
      <c r="B66" s="170"/>
      <c r="C66" s="175"/>
      <c r="D66" s="175"/>
      <c r="E66" s="175"/>
      <c r="F66" s="176"/>
      <c r="G66" s="170"/>
      <c r="H66" s="175"/>
      <c r="I66" s="175"/>
      <c r="J66" s="175"/>
      <c r="K66" s="175"/>
      <c r="L66" s="175"/>
      <c r="M66" s="175"/>
      <c r="N66" s="175"/>
      <c r="O66" s="176"/>
      <c r="P66" s="209"/>
      <c r="Q66" s="209"/>
    </row>
    <row r="67" spans="1:18" x14ac:dyDescent="0.3">
      <c r="A67" s="128" t="s">
        <v>98</v>
      </c>
      <c r="B67" s="129">
        <f t="shared" ref="B67:B71" si="30">SUM(C67,E67)</f>
        <v>314</v>
      </c>
      <c r="C67" s="130">
        <v>153</v>
      </c>
      <c r="D67" s="130">
        <v>483.05</v>
      </c>
      <c r="E67" s="130">
        <v>161</v>
      </c>
      <c r="F67" s="131">
        <v>362.43200000000002</v>
      </c>
      <c r="G67" s="155">
        <f>SUM(H67,J67,L67,N67)</f>
        <v>3052</v>
      </c>
      <c r="H67" s="130">
        <v>69</v>
      </c>
      <c r="I67" s="153">
        <v>216.7</v>
      </c>
      <c r="J67" s="130">
        <v>2971</v>
      </c>
      <c r="K67" s="153">
        <v>10582.832</v>
      </c>
      <c r="L67" s="130">
        <v>12</v>
      </c>
      <c r="M67" s="153">
        <v>25</v>
      </c>
      <c r="N67" s="130" t="s">
        <v>298</v>
      </c>
      <c r="O67" s="154" t="s">
        <v>298</v>
      </c>
      <c r="P67" s="132" t="s">
        <v>99</v>
      </c>
    </row>
    <row r="68" spans="1:18" x14ac:dyDescent="0.3">
      <c r="A68" s="128" t="s">
        <v>100</v>
      </c>
      <c r="B68" s="129">
        <f t="shared" si="30"/>
        <v>883</v>
      </c>
      <c r="C68" s="130">
        <v>391</v>
      </c>
      <c r="D68" s="130">
        <v>1932.1</v>
      </c>
      <c r="E68" s="130">
        <v>492</v>
      </c>
      <c r="F68" s="131">
        <v>1492.73</v>
      </c>
      <c r="G68" s="155">
        <f>SUM(H68,J68,L68,N68)</f>
        <v>512</v>
      </c>
      <c r="H68" s="130">
        <v>197</v>
      </c>
      <c r="I68" s="153">
        <v>570.6</v>
      </c>
      <c r="J68" s="130">
        <v>173</v>
      </c>
      <c r="K68" s="153">
        <v>381.1</v>
      </c>
      <c r="L68" s="130">
        <v>135</v>
      </c>
      <c r="M68" s="153">
        <v>292.95</v>
      </c>
      <c r="N68" s="130">
        <v>7</v>
      </c>
      <c r="O68" s="131">
        <v>13</v>
      </c>
      <c r="P68" s="132" t="s">
        <v>101</v>
      </c>
    </row>
    <row r="69" spans="1:18" x14ac:dyDescent="0.3">
      <c r="A69" s="128" t="s">
        <v>102</v>
      </c>
      <c r="B69" s="129">
        <f t="shared" si="30"/>
        <v>389</v>
      </c>
      <c r="C69" s="130">
        <v>102</v>
      </c>
      <c r="D69" s="130">
        <v>444.8</v>
      </c>
      <c r="E69" s="130">
        <v>287</v>
      </c>
      <c r="F69" s="131">
        <v>620.15</v>
      </c>
      <c r="G69" s="155">
        <f>SUM(H69,J69,L69,N69)</f>
        <v>673</v>
      </c>
      <c r="H69" s="130">
        <v>269</v>
      </c>
      <c r="I69" s="153">
        <v>809</v>
      </c>
      <c r="J69" s="130">
        <v>330</v>
      </c>
      <c r="K69" s="153">
        <v>1085.5509999999999</v>
      </c>
      <c r="L69" s="130">
        <v>74</v>
      </c>
      <c r="M69" s="153">
        <v>281.55</v>
      </c>
      <c r="N69" s="133" t="s">
        <v>298</v>
      </c>
      <c r="O69" s="131" t="s">
        <v>298</v>
      </c>
      <c r="P69" s="132" t="s">
        <v>103</v>
      </c>
    </row>
    <row r="70" spans="1:18" x14ac:dyDescent="0.3">
      <c r="A70" s="128" t="s">
        <v>104</v>
      </c>
      <c r="B70" s="129">
        <f t="shared" si="30"/>
        <v>190</v>
      </c>
      <c r="C70" s="130">
        <v>97</v>
      </c>
      <c r="D70" s="130">
        <v>446.27</v>
      </c>
      <c r="E70" s="130">
        <v>93</v>
      </c>
      <c r="F70" s="131">
        <v>255.44</v>
      </c>
      <c r="G70" s="155">
        <f>SUM(H70,J70,L70,N70)</f>
        <v>349</v>
      </c>
      <c r="H70" s="130">
        <v>134</v>
      </c>
      <c r="I70" s="153">
        <v>377.9</v>
      </c>
      <c r="J70" s="130">
        <v>106</v>
      </c>
      <c r="K70" s="153">
        <v>302.608</v>
      </c>
      <c r="L70" s="130">
        <v>79</v>
      </c>
      <c r="M70" s="153">
        <v>196.38</v>
      </c>
      <c r="N70" s="130">
        <v>30</v>
      </c>
      <c r="O70" s="131">
        <v>7.5</v>
      </c>
      <c r="P70" s="132" t="s">
        <v>105</v>
      </c>
    </row>
    <row r="71" spans="1:18" x14ac:dyDescent="0.3">
      <c r="A71" s="128" t="s">
        <v>106</v>
      </c>
      <c r="B71" s="129">
        <f t="shared" si="30"/>
        <v>3474</v>
      </c>
      <c r="C71" s="130">
        <v>2915</v>
      </c>
      <c r="D71" s="130">
        <v>14311.4</v>
      </c>
      <c r="E71" s="130">
        <v>559</v>
      </c>
      <c r="F71" s="131">
        <v>1262.329</v>
      </c>
      <c r="G71" s="155">
        <f>SUM(H71,J71,L71,N71)</f>
        <v>2369</v>
      </c>
      <c r="H71" s="130">
        <v>1655</v>
      </c>
      <c r="I71" s="153">
        <v>3317.5320000000002</v>
      </c>
      <c r="J71" s="130">
        <v>128</v>
      </c>
      <c r="K71" s="153">
        <v>279.60000000000002</v>
      </c>
      <c r="L71" s="130">
        <v>291</v>
      </c>
      <c r="M71" s="153">
        <v>669.26300000000003</v>
      </c>
      <c r="N71" s="130">
        <v>295</v>
      </c>
      <c r="O71" s="131">
        <v>782.11800000000005</v>
      </c>
      <c r="P71" s="132" t="s">
        <v>107</v>
      </c>
    </row>
    <row r="72" spans="1:18" x14ac:dyDescent="0.3">
      <c r="A72" s="206" t="s">
        <v>108</v>
      </c>
      <c r="B72" s="170">
        <f>SUM(B74:B81)</f>
        <v>882</v>
      </c>
      <c r="C72" s="175">
        <f>SUM(C74:C81)</f>
        <v>359</v>
      </c>
      <c r="D72" s="175">
        <f t="shared" ref="D72:O72" si="31">SUM(D74:D81)</f>
        <v>1208.9000000000001</v>
      </c>
      <c r="E72" s="175">
        <f t="shared" si="31"/>
        <v>523</v>
      </c>
      <c r="F72" s="176">
        <f>SUM(F74:F81)</f>
        <v>1108.8999999999999</v>
      </c>
      <c r="G72" s="170">
        <f>SUM(G74:G81)</f>
        <v>1402</v>
      </c>
      <c r="H72" s="175">
        <f t="shared" si="31"/>
        <v>894</v>
      </c>
      <c r="I72" s="175">
        <f>SUM(I74:I81)</f>
        <v>1669</v>
      </c>
      <c r="J72" s="175">
        <f>SUM(J74:J81)</f>
        <v>379</v>
      </c>
      <c r="K72" s="175">
        <f t="shared" si="31"/>
        <v>715.54899999999998</v>
      </c>
      <c r="L72" s="175">
        <f>SUM(L74:L81)</f>
        <v>115</v>
      </c>
      <c r="M72" s="175">
        <f>SUM(M74:M81)</f>
        <v>277.5</v>
      </c>
      <c r="N72" s="175">
        <f t="shared" si="31"/>
        <v>14</v>
      </c>
      <c r="O72" s="176">
        <f t="shared" si="31"/>
        <v>40.5</v>
      </c>
      <c r="P72" s="207" t="s">
        <v>109</v>
      </c>
      <c r="Q72" s="207"/>
    </row>
    <row r="73" spans="1:18" x14ac:dyDescent="0.3">
      <c r="A73" s="206"/>
      <c r="B73" s="170"/>
      <c r="C73" s="175"/>
      <c r="D73" s="175"/>
      <c r="E73" s="175"/>
      <c r="F73" s="176"/>
      <c r="G73" s="170"/>
      <c r="H73" s="175"/>
      <c r="I73" s="175"/>
      <c r="J73" s="175"/>
      <c r="K73" s="175"/>
      <c r="L73" s="175"/>
      <c r="M73" s="175"/>
      <c r="N73" s="175"/>
      <c r="O73" s="176"/>
      <c r="P73" s="207"/>
      <c r="Q73" s="207"/>
    </row>
    <row r="74" spans="1:18" x14ac:dyDescent="0.3">
      <c r="A74" s="139" t="s">
        <v>110</v>
      </c>
      <c r="B74" s="129">
        <f t="shared" ref="B74:B81" si="32">SUM(C74,E74)</f>
        <v>0</v>
      </c>
      <c r="C74" s="130" t="s">
        <v>298</v>
      </c>
      <c r="D74" s="130" t="s">
        <v>298</v>
      </c>
      <c r="E74" s="130" t="s">
        <v>298</v>
      </c>
      <c r="F74" s="154" t="s">
        <v>298</v>
      </c>
      <c r="G74" s="155">
        <f t="shared" ref="G74:G81" si="33">SUM(H74,J74,L74,N74)</f>
        <v>0</v>
      </c>
      <c r="H74" s="130" t="s">
        <v>298</v>
      </c>
      <c r="I74" s="130" t="s">
        <v>298</v>
      </c>
      <c r="J74" s="130" t="s">
        <v>298</v>
      </c>
      <c r="K74" s="130" t="s">
        <v>298</v>
      </c>
      <c r="L74" s="130" t="s">
        <v>298</v>
      </c>
      <c r="M74" s="130" t="s">
        <v>298</v>
      </c>
      <c r="N74" s="130" t="s">
        <v>298</v>
      </c>
      <c r="O74" s="154" t="s">
        <v>298</v>
      </c>
      <c r="P74" s="208" t="s">
        <v>111</v>
      </c>
      <c r="Q74" s="208"/>
      <c r="R74" s="208"/>
    </row>
    <row r="75" spans="1:18" x14ac:dyDescent="0.3">
      <c r="A75" s="139" t="s">
        <v>112</v>
      </c>
      <c r="B75" s="129">
        <f t="shared" si="32"/>
        <v>0</v>
      </c>
      <c r="C75" s="130" t="s">
        <v>298</v>
      </c>
      <c r="D75" s="130" t="s">
        <v>298</v>
      </c>
      <c r="E75" s="130" t="s">
        <v>298</v>
      </c>
      <c r="F75" s="154" t="s">
        <v>298</v>
      </c>
      <c r="G75" s="155">
        <f t="shared" si="33"/>
        <v>0</v>
      </c>
      <c r="H75" s="130" t="s">
        <v>298</v>
      </c>
      <c r="I75" s="130" t="s">
        <v>298</v>
      </c>
      <c r="J75" s="130" t="s">
        <v>298</v>
      </c>
      <c r="K75" s="130" t="s">
        <v>298</v>
      </c>
      <c r="L75" s="130" t="s">
        <v>298</v>
      </c>
      <c r="M75" s="130" t="s">
        <v>298</v>
      </c>
      <c r="N75" s="130" t="s">
        <v>298</v>
      </c>
      <c r="O75" s="154" t="s">
        <v>298</v>
      </c>
      <c r="P75" s="208" t="s">
        <v>113</v>
      </c>
      <c r="Q75" s="208"/>
      <c r="R75" s="208"/>
    </row>
    <row r="76" spans="1:18" x14ac:dyDescent="0.3">
      <c r="A76" s="139" t="s">
        <v>275</v>
      </c>
      <c r="B76" s="129">
        <f t="shared" si="32"/>
        <v>0</v>
      </c>
      <c r="C76" s="130" t="s">
        <v>298</v>
      </c>
      <c r="D76" s="130" t="s">
        <v>298</v>
      </c>
      <c r="E76" s="130" t="s">
        <v>298</v>
      </c>
      <c r="F76" s="154" t="s">
        <v>298</v>
      </c>
      <c r="G76" s="155">
        <f t="shared" si="33"/>
        <v>0</v>
      </c>
      <c r="H76" s="130" t="s">
        <v>298</v>
      </c>
      <c r="I76" s="130" t="s">
        <v>298</v>
      </c>
      <c r="J76" s="130" t="s">
        <v>298</v>
      </c>
      <c r="K76" s="130" t="s">
        <v>298</v>
      </c>
      <c r="L76" s="130" t="s">
        <v>298</v>
      </c>
      <c r="M76" s="130" t="s">
        <v>298</v>
      </c>
      <c r="N76" s="130" t="s">
        <v>298</v>
      </c>
      <c r="O76" s="154" t="s">
        <v>298</v>
      </c>
      <c r="P76" s="208" t="s">
        <v>115</v>
      </c>
      <c r="Q76" s="208"/>
      <c r="R76" s="208"/>
    </row>
    <row r="77" spans="1:18" x14ac:dyDescent="0.3">
      <c r="A77" s="139" t="s">
        <v>276</v>
      </c>
      <c r="B77" s="129">
        <f t="shared" si="32"/>
        <v>0</v>
      </c>
      <c r="C77" s="130" t="s">
        <v>298</v>
      </c>
      <c r="D77" s="130" t="s">
        <v>298</v>
      </c>
      <c r="E77" s="130" t="s">
        <v>298</v>
      </c>
      <c r="F77" s="154" t="s">
        <v>298</v>
      </c>
      <c r="G77" s="155">
        <f t="shared" si="33"/>
        <v>0</v>
      </c>
      <c r="H77" s="130" t="s">
        <v>298</v>
      </c>
      <c r="I77" s="130" t="s">
        <v>298</v>
      </c>
      <c r="J77" s="130" t="s">
        <v>298</v>
      </c>
      <c r="K77" s="130" t="s">
        <v>298</v>
      </c>
      <c r="L77" s="130" t="s">
        <v>298</v>
      </c>
      <c r="M77" s="130" t="s">
        <v>298</v>
      </c>
      <c r="N77" s="130" t="s">
        <v>298</v>
      </c>
      <c r="O77" s="154" t="s">
        <v>298</v>
      </c>
      <c r="P77" s="208" t="s">
        <v>117</v>
      </c>
      <c r="Q77" s="208"/>
      <c r="R77" s="208"/>
    </row>
    <row r="78" spans="1:18" x14ac:dyDescent="0.3">
      <c r="A78" s="139" t="s">
        <v>277</v>
      </c>
      <c r="B78" s="129">
        <f t="shared" si="32"/>
        <v>165</v>
      </c>
      <c r="C78" s="130">
        <v>79</v>
      </c>
      <c r="D78" s="130">
        <v>394.6</v>
      </c>
      <c r="E78" s="130">
        <v>86</v>
      </c>
      <c r="F78" s="131">
        <v>186.8</v>
      </c>
      <c r="G78" s="155">
        <f t="shared" si="33"/>
        <v>224</v>
      </c>
      <c r="H78" s="130">
        <v>32</v>
      </c>
      <c r="I78" s="153">
        <v>100</v>
      </c>
      <c r="J78" s="130">
        <v>104</v>
      </c>
      <c r="K78" s="153">
        <v>284.44900000000001</v>
      </c>
      <c r="L78" s="130">
        <v>74</v>
      </c>
      <c r="M78" s="153">
        <v>176</v>
      </c>
      <c r="N78" s="130">
        <v>14</v>
      </c>
      <c r="O78" s="131">
        <v>40.5</v>
      </c>
      <c r="P78" s="208" t="s">
        <v>119</v>
      </c>
      <c r="Q78" s="208"/>
      <c r="R78" s="208"/>
    </row>
    <row r="79" spans="1:18" x14ac:dyDescent="0.3">
      <c r="A79" s="139" t="s">
        <v>278</v>
      </c>
      <c r="B79" s="129">
        <f t="shared" si="32"/>
        <v>328</v>
      </c>
      <c r="C79" s="130">
        <v>53</v>
      </c>
      <c r="D79" s="130">
        <v>202</v>
      </c>
      <c r="E79" s="130">
        <v>275</v>
      </c>
      <c r="F79" s="131">
        <v>545.29999999999995</v>
      </c>
      <c r="G79" s="155">
        <f t="shared" si="33"/>
        <v>102</v>
      </c>
      <c r="H79" s="130">
        <v>39</v>
      </c>
      <c r="I79" s="153">
        <v>97</v>
      </c>
      <c r="J79" s="130">
        <v>22</v>
      </c>
      <c r="K79" s="153">
        <v>50.6</v>
      </c>
      <c r="L79" s="130">
        <v>41</v>
      </c>
      <c r="M79" s="153">
        <v>101.5</v>
      </c>
      <c r="N79" s="130" t="s">
        <v>298</v>
      </c>
      <c r="O79" s="131" t="s">
        <v>298</v>
      </c>
      <c r="P79" s="208" t="s">
        <v>121</v>
      </c>
      <c r="Q79" s="208"/>
      <c r="R79" s="208"/>
    </row>
    <row r="80" spans="1:18" x14ac:dyDescent="0.3">
      <c r="A80" s="139" t="s">
        <v>279</v>
      </c>
      <c r="B80" s="129">
        <f t="shared" si="32"/>
        <v>0</v>
      </c>
      <c r="C80" s="130" t="s">
        <v>298</v>
      </c>
      <c r="D80" s="130" t="s">
        <v>298</v>
      </c>
      <c r="E80" s="130" t="s">
        <v>298</v>
      </c>
      <c r="F80" s="154" t="s">
        <v>298</v>
      </c>
      <c r="G80" s="155">
        <f t="shared" si="33"/>
        <v>0</v>
      </c>
      <c r="H80" s="130" t="s">
        <v>298</v>
      </c>
      <c r="I80" s="130" t="s">
        <v>298</v>
      </c>
      <c r="J80" s="130" t="s">
        <v>298</v>
      </c>
      <c r="K80" s="130" t="s">
        <v>298</v>
      </c>
      <c r="L80" s="130" t="s">
        <v>298</v>
      </c>
      <c r="M80" s="130" t="s">
        <v>298</v>
      </c>
      <c r="N80" s="130" t="s">
        <v>298</v>
      </c>
      <c r="O80" s="154" t="s">
        <v>298</v>
      </c>
      <c r="P80" s="208" t="s">
        <v>123</v>
      </c>
      <c r="Q80" s="208"/>
      <c r="R80" s="208"/>
    </row>
    <row r="81" spans="1:18" x14ac:dyDescent="0.3">
      <c r="A81" s="139" t="s">
        <v>280</v>
      </c>
      <c r="B81" s="129">
        <f t="shared" si="32"/>
        <v>389</v>
      </c>
      <c r="C81" s="130">
        <v>227</v>
      </c>
      <c r="D81" s="130">
        <v>612.29999999999995</v>
      </c>
      <c r="E81" s="130">
        <v>162</v>
      </c>
      <c r="F81" s="154">
        <v>376.8</v>
      </c>
      <c r="G81" s="155">
        <f t="shared" si="33"/>
        <v>1076</v>
      </c>
      <c r="H81" s="130">
        <v>823</v>
      </c>
      <c r="I81" s="130">
        <v>1472</v>
      </c>
      <c r="J81" s="130">
        <v>253</v>
      </c>
      <c r="K81" s="130">
        <v>380.5</v>
      </c>
      <c r="L81" s="130" t="s">
        <v>298</v>
      </c>
      <c r="M81" s="130" t="s">
        <v>298</v>
      </c>
      <c r="N81" s="130" t="s">
        <v>298</v>
      </c>
      <c r="O81" s="154" t="s">
        <v>298</v>
      </c>
      <c r="P81" s="208" t="s">
        <v>125</v>
      </c>
      <c r="Q81" s="208"/>
      <c r="R81" s="208"/>
    </row>
    <row r="82" spans="1:18" x14ac:dyDescent="0.3">
      <c r="A82" s="206" t="s">
        <v>126</v>
      </c>
      <c r="B82" s="170">
        <f>SUM(B84:B88)</f>
        <v>834</v>
      </c>
      <c r="C82" s="175">
        <f>SUM(C84:C88)</f>
        <v>492</v>
      </c>
      <c r="D82" s="175">
        <f>SUM(D84:D88)</f>
        <v>1176.9960000000001</v>
      </c>
      <c r="E82" s="175">
        <f t="shared" ref="E82:K82" si="34">SUM(E84:E88)</f>
        <v>342</v>
      </c>
      <c r="F82" s="176">
        <f t="shared" si="34"/>
        <v>536.255</v>
      </c>
      <c r="G82" s="170">
        <f t="shared" ref="G82" si="35">SUM(G84:G88)</f>
        <v>2055</v>
      </c>
      <c r="H82" s="175">
        <f t="shared" si="34"/>
        <v>1332</v>
      </c>
      <c r="I82" s="175">
        <f t="shared" si="34"/>
        <v>2439.9859999999999</v>
      </c>
      <c r="J82" s="175">
        <f t="shared" si="34"/>
        <v>280</v>
      </c>
      <c r="K82" s="175">
        <f t="shared" si="34"/>
        <v>474.79</v>
      </c>
      <c r="L82" s="175">
        <f t="shared" ref="L82:O82" si="36">SUM(L84:L88)</f>
        <v>433</v>
      </c>
      <c r="M82" s="175">
        <f t="shared" si="36"/>
        <v>692.63499999999999</v>
      </c>
      <c r="N82" s="175">
        <f t="shared" si="36"/>
        <v>10</v>
      </c>
      <c r="O82" s="176">
        <f t="shared" si="36"/>
        <v>11.33</v>
      </c>
      <c r="P82" s="209" t="s">
        <v>127</v>
      </c>
      <c r="Q82" s="209"/>
    </row>
    <row r="83" spans="1:18" x14ac:dyDescent="0.3">
      <c r="A83" s="206"/>
      <c r="B83" s="170"/>
      <c r="C83" s="175"/>
      <c r="D83" s="175"/>
      <c r="E83" s="175"/>
      <c r="F83" s="176"/>
      <c r="G83" s="170"/>
      <c r="H83" s="175"/>
      <c r="I83" s="175"/>
      <c r="J83" s="175"/>
      <c r="K83" s="175"/>
      <c r="L83" s="175"/>
      <c r="M83" s="175"/>
      <c r="N83" s="175"/>
      <c r="O83" s="176"/>
      <c r="P83" s="209"/>
      <c r="Q83" s="209"/>
    </row>
    <row r="84" spans="1:18" x14ac:dyDescent="0.3">
      <c r="A84" s="128" t="s">
        <v>128</v>
      </c>
      <c r="B84" s="129">
        <f t="shared" ref="B84:B88" si="37">SUM(C84,E84)</f>
        <v>421</v>
      </c>
      <c r="C84" s="130">
        <v>270</v>
      </c>
      <c r="D84" s="130">
        <v>556.29600000000005</v>
      </c>
      <c r="E84" s="130">
        <v>151</v>
      </c>
      <c r="F84" s="131">
        <v>220.3</v>
      </c>
      <c r="G84" s="155">
        <f>SUM(H84,J84,L84,N84)</f>
        <v>853</v>
      </c>
      <c r="H84" s="130">
        <v>473</v>
      </c>
      <c r="I84" s="153">
        <v>870.99599999999998</v>
      </c>
      <c r="J84" s="130">
        <v>183</v>
      </c>
      <c r="K84" s="153">
        <v>296.8</v>
      </c>
      <c r="L84" s="130">
        <v>196</v>
      </c>
      <c r="M84" s="153">
        <v>341.33499999999998</v>
      </c>
      <c r="N84" s="130">
        <v>1</v>
      </c>
      <c r="O84" s="154">
        <v>0.15</v>
      </c>
      <c r="P84" s="132" t="s">
        <v>129</v>
      </c>
    </row>
    <row r="85" spans="1:18" x14ac:dyDescent="0.3">
      <c r="A85" s="128" t="s">
        <v>130</v>
      </c>
      <c r="B85" s="129">
        <f t="shared" si="37"/>
        <v>55</v>
      </c>
      <c r="C85" s="130">
        <v>28</v>
      </c>
      <c r="D85" s="130">
        <v>70</v>
      </c>
      <c r="E85" s="130">
        <v>27</v>
      </c>
      <c r="F85" s="154">
        <v>18.899999999999999</v>
      </c>
      <c r="G85" s="155">
        <f>SUM(H85,J85,L85,N85)</f>
        <v>253</v>
      </c>
      <c r="H85" s="130">
        <v>182</v>
      </c>
      <c r="I85" s="153">
        <v>327.60000000000002</v>
      </c>
      <c r="J85" s="130">
        <v>60</v>
      </c>
      <c r="K85" s="153">
        <v>108</v>
      </c>
      <c r="L85" s="130">
        <v>10</v>
      </c>
      <c r="M85" s="153">
        <v>18</v>
      </c>
      <c r="N85" s="130">
        <v>1</v>
      </c>
      <c r="O85" s="131">
        <v>0.3</v>
      </c>
      <c r="P85" s="132" t="s">
        <v>131</v>
      </c>
    </row>
    <row r="86" spans="1:18" x14ac:dyDescent="0.3">
      <c r="A86" s="128" t="s">
        <v>132</v>
      </c>
      <c r="B86" s="129">
        <f t="shared" si="37"/>
        <v>153</v>
      </c>
      <c r="C86" s="130">
        <v>71</v>
      </c>
      <c r="D86" s="130">
        <v>284</v>
      </c>
      <c r="E86" s="130">
        <v>82</v>
      </c>
      <c r="F86" s="154">
        <v>164</v>
      </c>
      <c r="G86" s="155">
        <f>SUM(H86,J86,L86,N86)</f>
        <v>66</v>
      </c>
      <c r="H86" s="130">
        <v>48</v>
      </c>
      <c r="I86" s="130">
        <v>144</v>
      </c>
      <c r="J86" s="130">
        <v>18</v>
      </c>
      <c r="K86" s="130">
        <v>43.5</v>
      </c>
      <c r="L86" s="130" t="s">
        <v>298</v>
      </c>
      <c r="M86" s="153" t="s">
        <v>298</v>
      </c>
      <c r="N86" s="130" t="s">
        <v>298</v>
      </c>
      <c r="O86" s="154" t="s">
        <v>298</v>
      </c>
      <c r="P86" s="132" t="s">
        <v>133</v>
      </c>
    </row>
    <row r="87" spans="1:18" x14ac:dyDescent="0.3">
      <c r="A87" s="128" t="s">
        <v>134</v>
      </c>
      <c r="B87" s="129">
        <f t="shared" si="37"/>
        <v>142</v>
      </c>
      <c r="C87" s="130">
        <v>88</v>
      </c>
      <c r="D87" s="130">
        <v>163.19999999999999</v>
      </c>
      <c r="E87" s="130">
        <v>54</v>
      </c>
      <c r="F87" s="131">
        <v>74.2</v>
      </c>
      <c r="G87" s="155">
        <f>SUM(H87,J87,L87,N87)</f>
        <v>484</v>
      </c>
      <c r="H87" s="130">
        <v>275</v>
      </c>
      <c r="I87" s="153">
        <v>517.70000000000005</v>
      </c>
      <c r="J87" s="130">
        <v>16</v>
      </c>
      <c r="K87" s="153">
        <v>23.3</v>
      </c>
      <c r="L87" s="130">
        <v>186</v>
      </c>
      <c r="M87" s="153">
        <v>274.25</v>
      </c>
      <c r="N87" s="130">
        <v>7</v>
      </c>
      <c r="O87" s="131">
        <v>10.5</v>
      </c>
      <c r="P87" s="132" t="s">
        <v>135</v>
      </c>
    </row>
    <row r="88" spans="1:18" x14ac:dyDescent="0.3">
      <c r="A88" s="128" t="s">
        <v>136</v>
      </c>
      <c r="B88" s="129">
        <f t="shared" si="37"/>
        <v>63</v>
      </c>
      <c r="C88" s="130">
        <v>35</v>
      </c>
      <c r="D88" s="130">
        <v>103.5</v>
      </c>
      <c r="E88" s="130">
        <v>28</v>
      </c>
      <c r="F88" s="154">
        <v>58.854999999999997</v>
      </c>
      <c r="G88" s="155">
        <f>SUM(H88,J88,L88,N88)</f>
        <v>399</v>
      </c>
      <c r="H88" s="130">
        <v>354</v>
      </c>
      <c r="I88" s="130">
        <v>579.69000000000005</v>
      </c>
      <c r="J88" s="130">
        <v>3</v>
      </c>
      <c r="K88" s="130">
        <v>3.19</v>
      </c>
      <c r="L88" s="130">
        <v>41</v>
      </c>
      <c r="M88" s="153">
        <v>59.05</v>
      </c>
      <c r="N88" s="130">
        <v>1</v>
      </c>
      <c r="O88" s="131">
        <v>0.38</v>
      </c>
      <c r="P88" s="132" t="s">
        <v>137</v>
      </c>
    </row>
    <row r="89" spans="1:18" x14ac:dyDescent="0.3">
      <c r="A89" s="206" t="s">
        <v>138</v>
      </c>
      <c r="B89" s="170">
        <f>SUM(B91:B103)</f>
        <v>1522</v>
      </c>
      <c r="C89" s="175">
        <f>SUM(C91:C103)</f>
        <v>903</v>
      </c>
      <c r="D89" s="175">
        <f t="shared" ref="D89:O89" si="38">SUM(D91:D103)</f>
        <v>3703.7350000000001</v>
      </c>
      <c r="E89" s="175">
        <f t="shared" si="38"/>
        <v>619</v>
      </c>
      <c r="F89" s="176">
        <f t="shared" si="38"/>
        <v>735.38099999999997</v>
      </c>
      <c r="G89" s="170">
        <f t="shared" ref="G89" si="39">SUM(G91:G103)</f>
        <v>5483</v>
      </c>
      <c r="H89" s="175">
        <f t="shared" si="38"/>
        <v>2711</v>
      </c>
      <c r="I89" s="175">
        <f t="shared" si="38"/>
        <v>5507.0450000000001</v>
      </c>
      <c r="J89" s="175">
        <f t="shared" si="38"/>
        <v>145</v>
      </c>
      <c r="K89" s="175">
        <f t="shared" si="38"/>
        <v>139.30000000000001</v>
      </c>
      <c r="L89" s="175">
        <f t="shared" si="38"/>
        <v>2539</v>
      </c>
      <c r="M89" s="175">
        <f t="shared" si="38"/>
        <v>4506.6369999999997</v>
      </c>
      <c r="N89" s="175">
        <f t="shared" si="38"/>
        <v>88</v>
      </c>
      <c r="O89" s="176">
        <f t="shared" si="38"/>
        <v>204.55599999999998</v>
      </c>
      <c r="P89" s="205" t="s">
        <v>139</v>
      </c>
      <c r="Q89" s="205"/>
    </row>
    <row r="90" spans="1:18" x14ac:dyDescent="0.3">
      <c r="A90" s="206"/>
      <c r="B90" s="170"/>
      <c r="C90" s="175"/>
      <c r="D90" s="175"/>
      <c r="E90" s="175"/>
      <c r="F90" s="176"/>
      <c r="G90" s="170"/>
      <c r="H90" s="175"/>
      <c r="I90" s="175"/>
      <c r="J90" s="175"/>
      <c r="K90" s="175"/>
      <c r="L90" s="175"/>
      <c r="M90" s="175"/>
      <c r="N90" s="175"/>
      <c r="O90" s="176"/>
      <c r="P90" s="205"/>
      <c r="Q90" s="205"/>
    </row>
    <row r="91" spans="1:18" x14ac:dyDescent="0.3">
      <c r="A91" s="128" t="s">
        <v>140</v>
      </c>
      <c r="B91" s="129">
        <f t="shared" ref="B91:B103" si="40">SUM(C91,E91)</f>
        <v>53</v>
      </c>
      <c r="C91" s="130">
        <v>22</v>
      </c>
      <c r="D91" s="130">
        <v>33</v>
      </c>
      <c r="E91" s="130">
        <v>31</v>
      </c>
      <c r="F91" s="154">
        <v>31</v>
      </c>
      <c r="G91" s="155">
        <f t="shared" ref="G91:G103" si="41">SUM(H91,J91,L91,N91)</f>
        <v>133</v>
      </c>
      <c r="H91" s="130">
        <v>31</v>
      </c>
      <c r="I91" s="130">
        <v>62</v>
      </c>
      <c r="J91" s="130" t="s">
        <v>298</v>
      </c>
      <c r="K91" s="130" t="s">
        <v>298</v>
      </c>
      <c r="L91" s="130">
        <v>102</v>
      </c>
      <c r="M91" s="153">
        <v>142.19999999999999</v>
      </c>
      <c r="N91" s="130" t="s">
        <v>298</v>
      </c>
      <c r="O91" s="154" t="s">
        <v>298</v>
      </c>
      <c r="P91" s="132" t="s">
        <v>141</v>
      </c>
    </row>
    <row r="92" spans="1:18" x14ac:dyDescent="0.3">
      <c r="A92" s="128" t="s">
        <v>142</v>
      </c>
      <c r="B92" s="129">
        <f t="shared" si="40"/>
        <v>52</v>
      </c>
      <c r="C92" s="130">
        <v>26</v>
      </c>
      <c r="D92" s="130">
        <v>24.35</v>
      </c>
      <c r="E92" s="130">
        <v>26</v>
      </c>
      <c r="F92" s="131">
        <v>18.95</v>
      </c>
      <c r="G92" s="155">
        <f t="shared" si="41"/>
        <v>263</v>
      </c>
      <c r="H92" s="130">
        <v>176</v>
      </c>
      <c r="I92" s="153">
        <v>216.2</v>
      </c>
      <c r="J92" s="130">
        <v>71</v>
      </c>
      <c r="K92" s="153">
        <v>68.2</v>
      </c>
      <c r="L92" s="130">
        <v>16</v>
      </c>
      <c r="M92" s="153">
        <v>14.35</v>
      </c>
      <c r="N92" s="130" t="s">
        <v>298</v>
      </c>
      <c r="O92" s="154" t="s">
        <v>298</v>
      </c>
      <c r="P92" s="132" t="s">
        <v>143</v>
      </c>
    </row>
    <row r="93" spans="1:18" x14ac:dyDescent="0.3">
      <c r="A93" s="128" t="s">
        <v>144</v>
      </c>
      <c r="B93" s="129">
        <f t="shared" si="40"/>
        <v>164</v>
      </c>
      <c r="C93" s="130">
        <v>57</v>
      </c>
      <c r="D93" s="130">
        <v>15.05</v>
      </c>
      <c r="E93" s="130">
        <v>107</v>
      </c>
      <c r="F93" s="131">
        <v>24.5</v>
      </c>
      <c r="G93" s="155">
        <f t="shared" si="41"/>
        <v>470</v>
      </c>
      <c r="H93" s="130">
        <v>304</v>
      </c>
      <c r="I93" s="153">
        <v>131.85</v>
      </c>
      <c r="J93" s="130">
        <v>9</v>
      </c>
      <c r="K93" s="130">
        <v>4.5</v>
      </c>
      <c r="L93" s="130">
        <v>157</v>
      </c>
      <c r="M93" s="153">
        <v>87.32</v>
      </c>
      <c r="N93" s="130" t="s">
        <v>298</v>
      </c>
      <c r="O93" s="154" t="s">
        <v>298</v>
      </c>
      <c r="P93" s="132" t="s">
        <v>145</v>
      </c>
    </row>
    <row r="94" spans="1:18" x14ac:dyDescent="0.3">
      <c r="A94" s="128" t="s">
        <v>146</v>
      </c>
      <c r="B94" s="129">
        <f t="shared" si="40"/>
        <v>125</v>
      </c>
      <c r="C94" s="130">
        <v>44</v>
      </c>
      <c r="D94" s="130">
        <v>54</v>
      </c>
      <c r="E94" s="130">
        <v>81</v>
      </c>
      <c r="F94" s="131">
        <v>50</v>
      </c>
      <c r="G94" s="155">
        <f t="shared" si="41"/>
        <v>392</v>
      </c>
      <c r="H94" s="130">
        <v>275</v>
      </c>
      <c r="I94" s="153">
        <v>267</v>
      </c>
      <c r="J94" s="130">
        <v>6</v>
      </c>
      <c r="K94" s="130">
        <v>3</v>
      </c>
      <c r="L94" s="130">
        <v>98</v>
      </c>
      <c r="M94" s="153">
        <v>64.2</v>
      </c>
      <c r="N94" s="130">
        <v>13</v>
      </c>
      <c r="O94" s="131">
        <v>9</v>
      </c>
      <c r="P94" s="132" t="s">
        <v>147</v>
      </c>
    </row>
    <row r="95" spans="1:18" x14ac:dyDescent="0.3">
      <c r="A95" s="128" t="s">
        <v>292</v>
      </c>
      <c r="B95" s="129">
        <f t="shared" si="40"/>
        <v>9</v>
      </c>
      <c r="C95" s="130">
        <v>8</v>
      </c>
      <c r="D95" s="130">
        <v>8</v>
      </c>
      <c r="E95" s="133">
        <v>1</v>
      </c>
      <c r="F95" s="131">
        <v>2</v>
      </c>
      <c r="G95" s="155">
        <f t="shared" si="41"/>
        <v>43</v>
      </c>
      <c r="H95" s="130">
        <v>38</v>
      </c>
      <c r="I95" s="153">
        <v>76.167000000000002</v>
      </c>
      <c r="J95" s="130" t="s">
        <v>298</v>
      </c>
      <c r="K95" s="130" t="s">
        <v>298</v>
      </c>
      <c r="L95" s="130">
        <v>5</v>
      </c>
      <c r="M95" s="153">
        <v>7.5</v>
      </c>
      <c r="N95" s="130" t="s">
        <v>298</v>
      </c>
      <c r="O95" s="154" t="s">
        <v>298</v>
      </c>
      <c r="P95" s="132" t="s">
        <v>294</v>
      </c>
    </row>
    <row r="96" spans="1:18" x14ac:dyDescent="0.3">
      <c r="A96" s="128" t="s">
        <v>293</v>
      </c>
      <c r="B96" s="129">
        <f t="shared" si="40"/>
        <v>27</v>
      </c>
      <c r="C96" s="130">
        <v>13</v>
      </c>
      <c r="D96" s="130">
        <v>19.5</v>
      </c>
      <c r="E96" s="130">
        <v>14</v>
      </c>
      <c r="F96" s="154">
        <v>14</v>
      </c>
      <c r="G96" s="155">
        <f t="shared" si="41"/>
        <v>54</v>
      </c>
      <c r="H96" s="130">
        <v>10</v>
      </c>
      <c r="I96" s="130">
        <v>20</v>
      </c>
      <c r="J96" s="130">
        <v>16</v>
      </c>
      <c r="K96" s="130">
        <v>16</v>
      </c>
      <c r="L96" s="130">
        <v>28</v>
      </c>
      <c r="M96" s="153">
        <v>42</v>
      </c>
      <c r="N96" s="130" t="s">
        <v>298</v>
      </c>
      <c r="O96" s="154" t="s">
        <v>298</v>
      </c>
      <c r="P96" s="132" t="s">
        <v>295</v>
      </c>
    </row>
    <row r="97" spans="1:17" x14ac:dyDescent="0.3">
      <c r="A97" s="128" t="s">
        <v>150</v>
      </c>
      <c r="B97" s="129">
        <f t="shared" si="40"/>
        <v>288</v>
      </c>
      <c r="C97" s="130">
        <v>196</v>
      </c>
      <c r="D97" s="130">
        <v>703.54</v>
      </c>
      <c r="E97" s="130">
        <v>92</v>
      </c>
      <c r="F97" s="131">
        <v>127.051</v>
      </c>
      <c r="G97" s="155">
        <f t="shared" si="41"/>
        <v>893</v>
      </c>
      <c r="H97" s="130">
        <v>545</v>
      </c>
      <c r="I97" s="153">
        <v>1499.7249999999999</v>
      </c>
      <c r="J97" s="130" t="s">
        <v>298</v>
      </c>
      <c r="K97" s="130" t="s">
        <v>298</v>
      </c>
      <c r="L97" s="130">
        <v>348</v>
      </c>
      <c r="M97" s="153">
        <v>737.76700000000005</v>
      </c>
      <c r="N97" s="130" t="s">
        <v>298</v>
      </c>
      <c r="O97" s="154" t="s">
        <v>298</v>
      </c>
      <c r="P97" s="132" t="s">
        <v>151</v>
      </c>
    </row>
    <row r="98" spans="1:17" x14ac:dyDescent="0.3">
      <c r="A98" s="128" t="s">
        <v>152</v>
      </c>
      <c r="B98" s="129">
        <f t="shared" si="40"/>
        <v>52</v>
      </c>
      <c r="C98" s="130">
        <v>28</v>
      </c>
      <c r="D98" s="130">
        <v>25.094999999999999</v>
      </c>
      <c r="E98" s="130">
        <v>24</v>
      </c>
      <c r="F98" s="131">
        <v>17.88</v>
      </c>
      <c r="G98" s="155">
        <f t="shared" si="41"/>
        <v>87</v>
      </c>
      <c r="H98" s="130">
        <v>51</v>
      </c>
      <c r="I98" s="153">
        <v>90.742999999999995</v>
      </c>
      <c r="J98" s="130">
        <v>19</v>
      </c>
      <c r="K98" s="153">
        <v>19</v>
      </c>
      <c r="L98" s="130">
        <v>17</v>
      </c>
      <c r="M98" s="153">
        <v>16.725000000000001</v>
      </c>
      <c r="N98" s="130" t="s">
        <v>298</v>
      </c>
      <c r="O98" s="154" t="s">
        <v>298</v>
      </c>
      <c r="P98" s="132" t="s">
        <v>153</v>
      </c>
    </row>
    <row r="99" spans="1:17" x14ac:dyDescent="0.3">
      <c r="A99" s="128" t="s">
        <v>154</v>
      </c>
      <c r="B99" s="129">
        <f t="shared" si="40"/>
        <v>5</v>
      </c>
      <c r="C99" s="130">
        <v>2</v>
      </c>
      <c r="D99" s="130">
        <v>3</v>
      </c>
      <c r="E99" s="130">
        <v>3</v>
      </c>
      <c r="F99" s="131">
        <v>3</v>
      </c>
      <c r="G99" s="155">
        <f t="shared" si="41"/>
        <v>5</v>
      </c>
      <c r="H99" s="130" t="s">
        <v>298</v>
      </c>
      <c r="I99" s="153" t="s">
        <v>298</v>
      </c>
      <c r="J99" s="130" t="s">
        <v>298</v>
      </c>
      <c r="K99" s="130" t="s">
        <v>298</v>
      </c>
      <c r="L99" s="130">
        <v>5</v>
      </c>
      <c r="M99" s="153">
        <v>7.5</v>
      </c>
      <c r="N99" s="130" t="s">
        <v>298</v>
      </c>
      <c r="O99" s="154" t="s">
        <v>298</v>
      </c>
      <c r="P99" s="132" t="s">
        <v>155</v>
      </c>
    </row>
    <row r="100" spans="1:17" x14ac:dyDescent="0.3">
      <c r="A100" s="128" t="s">
        <v>156</v>
      </c>
      <c r="B100" s="129">
        <f t="shared" si="40"/>
        <v>0</v>
      </c>
      <c r="C100" s="130" t="s">
        <v>298</v>
      </c>
      <c r="D100" s="130" t="s">
        <v>298</v>
      </c>
      <c r="E100" s="130" t="s">
        <v>298</v>
      </c>
      <c r="F100" s="154" t="s">
        <v>298</v>
      </c>
      <c r="G100" s="155">
        <f t="shared" si="41"/>
        <v>1063</v>
      </c>
      <c r="H100" s="130" t="s">
        <v>298</v>
      </c>
      <c r="I100" s="130" t="s">
        <v>298</v>
      </c>
      <c r="J100" s="130" t="s">
        <v>298</v>
      </c>
      <c r="K100" s="130" t="s">
        <v>298</v>
      </c>
      <c r="L100" s="130">
        <v>1004</v>
      </c>
      <c r="M100" s="153">
        <v>2259.5250000000001</v>
      </c>
      <c r="N100" s="130">
        <v>59</v>
      </c>
      <c r="O100" s="131">
        <v>161.69999999999999</v>
      </c>
      <c r="P100" s="132" t="s">
        <v>157</v>
      </c>
    </row>
    <row r="101" spans="1:17" x14ac:dyDescent="0.3">
      <c r="A101" s="128" t="s">
        <v>158</v>
      </c>
      <c r="B101" s="129">
        <f t="shared" si="40"/>
        <v>32</v>
      </c>
      <c r="C101" s="130">
        <v>16</v>
      </c>
      <c r="D101" s="130">
        <v>46.8</v>
      </c>
      <c r="E101" s="130">
        <v>16</v>
      </c>
      <c r="F101" s="131">
        <v>25.5</v>
      </c>
      <c r="G101" s="155">
        <f t="shared" si="41"/>
        <v>260</v>
      </c>
      <c r="H101" s="130">
        <v>183</v>
      </c>
      <c r="I101" s="153">
        <v>544.86</v>
      </c>
      <c r="J101" s="130" t="s">
        <v>298</v>
      </c>
      <c r="K101" s="130" t="s">
        <v>298</v>
      </c>
      <c r="L101" s="130">
        <v>66</v>
      </c>
      <c r="M101" s="153">
        <v>117.25</v>
      </c>
      <c r="N101" s="130">
        <v>11</v>
      </c>
      <c r="O101" s="131">
        <v>23.856000000000002</v>
      </c>
      <c r="P101" s="132" t="s">
        <v>159</v>
      </c>
    </row>
    <row r="102" spans="1:17" x14ac:dyDescent="0.3">
      <c r="A102" s="128" t="s">
        <v>160</v>
      </c>
      <c r="B102" s="129">
        <f t="shared" si="40"/>
        <v>669</v>
      </c>
      <c r="C102" s="130">
        <v>467</v>
      </c>
      <c r="D102" s="130">
        <v>2735.4</v>
      </c>
      <c r="E102" s="130">
        <v>202</v>
      </c>
      <c r="F102" s="131">
        <v>399</v>
      </c>
      <c r="G102" s="155">
        <f t="shared" si="41"/>
        <v>1740</v>
      </c>
      <c r="H102" s="130">
        <v>1089</v>
      </c>
      <c r="I102" s="153">
        <v>2578</v>
      </c>
      <c r="J102" s="130">
        <v>23</v>
      </c>
      <c r="K102" s="153">
        <v>27.6</v>
      </c>
      <c r="L102" s="130">
        <v>623</v>
      </c>
      <c r="M102" s="153">
        <v>908.3</v>
      </c>
      <c r="N102" s="130">
        <v>5</v>
      </c>
      <c r="O102" s="131">
        <v>10</v>
      </c>
      <c r="P102" s="132" t="s">
        <v>161</v>
      </c>
    </row>
    <row r="103" spans="1:17" x14ac:dyDescent="0.3">
      <c r="A103" s="128" t="s">
        <v>162</v>
      </c>
      <c r="B103" s="129">
        <f t="shared" si="40"/>
        <v>46</v>
      </c>
      <c r="C103" s="130">
        <v>24</v>
      </c>
      <c r="D103" s="130">
        <v>36</v>
      </c>
      <c r="E103" s="130">
        <v>22</v>
      </c>
      <c r="F103" s="131">
        <v>22.5</v>
      </c>
      <c r="G103" s="155">
        <f t="shared" si="41"/>
        <v>80</v>
      </c>
      <c r="H103" s="130">
        <v>9</v>
      </c>
      <c r="I103" s="153">
        <v>20.5</v>
      </c>
      <c r="J103" s="130">
        <v>1</v>
      </c>
      <c r="K103" s="130">
        <v>1</v>
      </c>
      <c r="L103" s="130">
        <v>70</v>
      </c>
      <c r="M103" s="153">
        <v>102</v>
      </c>
      <c r="N103" s="133" t="s">
        <v>298</v>
      </c>
      <c r="O103" s="131" t="s">
        <v>298</v>
      </c>
      <c r="P103" s="132" t="s">
        <v>163</v>
      </c>
    </row>
    <row r="104" spans="1:17" x14ac:dyDescent="0.3">
      <c r="A104" s="206" t="s">
        <v>164</v>
      </c>
      <c r="B104" s="170">
        <f>SUM(B106:B109)</f>
        <v>5683</v>
      </c>
      <c r="C104" s="175">
        <f>SUM(C106:C109)</f>
        <v>2957</v>
      </c>
      <c r="D104" s="175">
        <f t="shared" ref="D104:O104" si="42">SUM(D106:D109)</f>
        <v>5833.0290000000005</v>
      </c>
      <c r="E104" s="175">
        <f t="shared" si="42"/>
        <v>2726</v>
      </c>
      <c r="F104" s="176">
        <f t="shared" si="42"/>
        <v>4680.7259999999997</v>
      </c>
      <c r="G104" s="170">
        <f t="shared" ref="G104" si="43">SUM(G106:G109)</f>
        <v>8964</v>
      </c>
      <c r="H104" s="175">
        <f t="shared" si="42"/>
        <v>3167</v>
      </c>
      <c r="I104" s="175">
        <f t="shared" si="42"/>
        <v>4729.3670000000002</v>
      </c>
      <c r="J104" s="175">
        <f t="shared" si="42"/>
        <v>3734</v>
      </c>
      <c r="K104" s="175">
        <f t="shared" si="42"/>
        <v>5759.7349999999997</v>
      </c>
      <c r="L104" s="175">
        <f t="shared" si="42"/>
        <v>1876</v>
      </c>
      <c r="M104" s="175">
        <f t="shared" si="42"/>
        <v>2509.81</v>
      </c>
      <c r="N104" s="175">
        <f t="shared" si="42"/>
        <v>187</v>
      </c>
      <c r="O104" s="176">
        <f t="shared" si="42"/>
        <v>206.8</v>
      </c>
      <c r="P104" s="207" t="s">
        <v>165</v>
      </c>
      <c r="Q104" s="207"/>
    </row>
    <row r="105" spans="1:17" x14ac:dyDescent="0.3">
      <c r="A105" s="206"/>
      <c r="B105" s="170"/>
      <c r="C105" s="175"/>
      <c r="D105" s="175"/>
      <c r="E105" s="175"/>
      <c r="F105" s="176"/>
      <c r="G105" s="170"/>
      <c r="H105" s="175"/>
      <c r="I105" s="175"/>
      <c r="J105" s="175"/>
      <c r="K105" s="175"/>
      <c r="L105" s="175"/>
      <c r="M105" s="175"/>
      <c r="N105" s="175"/>
      <c r="O105" s="176"/>
      <c r="P105" s="207"/>
      <c r="Q105" s="207"/>
    </row>
    <row r="106" spans="1:17" x14ac:dyDescent="0.3">
      <c r="A106" s="128" t="s">
        <v>166</v>
      </c>
      <c r="B106" s="129">
        <f t="shared" ref="B106:B109" si="44">SUM(C106,E106)</f>
        <v>3436</v>
      </c>
      <c r="C106" s="130">
        <v>1683</v>
      </c>
      <c r="D106" s="130">
        <v>2234.8240000000001</v>
      </c>
      <c r="E106" s="130">
        <v>1753</v>
      </c>
      <c r="F106" s="131">
        <v>2681.8649999999998</v>
      </c>
      <c r="G106" s="155">
        <f>SUM(H106,J106,L106,N106)</f>
        <v>2889</v>
      </c>
      <c r="H106" s="130">
        <v>905</v>
      </c>
      <c r="I106" s="153">
        <v>1322.9110000000001</v>
      </c>
      <c r="J106" s="130">
        <v>928</v>
      </c>
      <c r="K106" s="153">
        <v>1319.0260000000001</v>
      </c>
      <c r="L106" s="130">
        <v>878</v>
      </c>
      <c r="M106" s="153">
        <v>1127.9659999999999</v>
      </c>
      <c r="N106" s="130">
        <v>178</v>
      </c>
      <c r="O106" s="131">
        <v>188.5</v>
      </c>
      <c r="P106" s="132" t="s">
        <v>167</v>
      </c>
    </row>
    <row r="107" spans="1:17" x14ac:dyDescent="0.3">
      <c r="A107" s="128" t="s">
        <v>168</v>
      </c>
      <c r="B107" s="129">
        <f t="shared" si="44"/>
        <v>268</v>
      </c>
      <c r="C107" s="130">
        <v>128</v>
      </c>
      <c r="D107" s="130">
        <v>581.74400000000003</v>
      </c>
      <c r="E107" s="130">
        <v>140</v>
      </c>
      <c r="F107" s="131">
        <v>433.96199999999999</v>
      </c>
      <c r="G107" s="155">
        <f>SUM(H107,J107,L107,N107)</f>
        <v>2037</v>
      </c>
      <c r="H107" s="130">
        <v>251</v>
      </c>
      <c r="I107" s="153">
        <v>448.92599999999999</v>
      </c>
      <c r="J107" s="130">
        <v>1571</v>
      </c>
      <c r="K107" s="153">
        <v>2831.3209999999999</v>
      </c>
      <c r="L107" s="130">
        <v>211</v>
      </c>
      <c r="M107" s="153">
        <v>330.59</v>
      </c>
      <c r="N107" s="130">
        <v>4</v>
      </c>
      <c r="O107" s="131">
        <v>6.8</v>
      </c>
      <c r="P107" s="132" t="s">
        <v>169</v>
      </c>
    </row>
    <row r="108" spans="1:17" x14ac:dyDescent="0.3">
      <c r="A108" s="128" t="s">
        <v>170</v>
      </c>
      <c r="B108" s="129">
        <f t="shared" si="44"/>
        <v>675</v>
      </c>
      <c r="C108" s="130">
        <v>399</v>
      </c>
      <c r="D108" s="130">
        <v>962.2</v>
      </c>
      <c r="E108" s="130">
        <v>276</v>
      </c>
      <c r="F108" s="131">
        <v>539.9</v>
      </c>
      <c r="G108" s="155">
        <f>SUM(H108,J108,L108,N108)</f>
        <v>1228</v>
      </c>
      <c r="H108" s="130">
        <v>717</v>
      </c>
      <c r="I108" s="153">
        <v>1435.5840000000001</v>
      </c>
      <c r="J108" s="130">
        <v>339</v>
      </c>
      <c r="K108" s="153">
        <v>569.976</v>
      </c>
      <c r="L108" s="130">
        <v>171</v>
      </c>
      <c r="M108" s="153">
        <v>311.68</v>
      </c>
      <c r="N108" s="133">
        <v>1</v>
      </c>
      <c r="O108" s="131">
        <v>2</v>
      </c>
      <c r="P108" s="132" t="s">
        <v>171</v>
      </c>
    </row>
    <row r="109" spans="1:17" ht="15" thickBot="1" x14ac:dyDescent="0.35">
      <c r="A109" s="140" t="s">
        <v>172</v>
      </c>
      <c r="B109" s="141">
        <f t="shared" si="44"/>
        <v>1304</v>
      </c>
      <c r="C109" s="142">
        <v>747</v>
      </c>
      <c r="D109" s="142">
        <v>2054.261</v>
      </c>
      <c r="E109" s="142">
        <v>557</v>
      </c>
      <c r="F109" s="144">
        <v>1024.999</v>
      </c>
      <c r="G109" s="156">
        <f>SUM(H109,J109,L109,N109)</f>
        <v>2810</v>
      </c>
      <c r="H109" s="142">
        <v>1294</v>
      </c>
      <c r="I109" s="143">
        <v>1521.9459999999999</v>
      </c>
      <c r="J109" s="142">
        <v>896</v>
      </c>
      <c r="K109" s="143">
        <v>1039.412</v>
      </c>
      <c r="L109" s="142">
        <v>616</v>
      </c>
      <c r="M109" s="143">
        <v>739.57399999999996</v>
      </c>
      <c r="N109" s="142">
        <v>4</v>
      </c>
      <c r="O109" s="144">
        <v>9.5</v>
      </c>
      <c r="P109" s="145" t="s">
        <v>173</v>
      </c>
      <c r="Q109" s="146"/>
    </row>
    <row r="110" spans="1:17" x14ac:dyDescent="0.3">
      <c r="A110" s="147" t="s">
        <v>174</v>
      </c>
      <c r="O110" s="211" t="s">
        <v>175</v>
      </c>
      <c r="P110" s="212"/>
      <c r="Q110" s="212"/>
    </row>
    <row r="111" spans="1:17" x14ac:dyDescent="0.3">
      <c r="A111" s="148"/>
    </row>
  </sheetData>
  <mergeCells count="233">
    <mergeCell ref="A2:P2"/>
    <mergeCell ref="A3:P3"/>
    <mergeCell ref="O110:Q110"/>
    <mergeCell ref="L7:M7"/>
    <mergeCell ref="P104:Q105"/>
    <mergeCell ref="N82:N83"/>
    <mergeCell ref="O72:O73"/>
    <mergeCell ref="P72:Q73"/>
    <mergeCell ref="L104:L105"/>
    <mergeCell ref="M104:M105"/>
    <mergeCell ref="P89:Q90"/>
    <mergeCell ref="O82:O83"/>
    <mergeCell ref="P82:Q83"/>
    <mergeCell ref="P81:R81"/>
    <mergeCell ref="P75:R75"/>
    <mergeCell ref="P76:R76"/>
    <mergeCell ref="O104:O105"/>
    <mergeCell ref="O89:O90"/>
    <mergeCell ref="L82:L83"/>
    <mergeCell ref="M82:M83"/>
    <mergeCell ref="P77:R77"/>
    <mergeCell ref="P78:R78"/>
    <mergeCell ref="A89:A90"/>
    <mergeCell ref="B89:B90"/>
    <mergeCell ref="C89:C90"/>
    <mergeCell ref="D89:D90"/>
    <mergeCell ref="E89:E90"/>
    <mergeCell ref="F89:F90"/>
    <mergeCell ref="H89:H90"/>
    <mergeCell ref="I89:I90"/>
    <mergeCell ref="A104:A105"/>
    <mergeCell ref="B104:B105"/>
    <mergeCell ref="C104:C105"/>
    <mergeCell ref="D104:D105"/>
    <mergeCell ref="E104:E105"/>
    <mergeCell ref="F104:F105"/>
    <mergeCell ref="H104:H105"/>
    <mergeCell ref="I104:I105"/>
    <mergeCell ref="A72:A73"/>
    <mergeCell ref="B72:B73"/>
    <mergeCell ref="C72:C73"/>
    <mergeCell ref="D72:D73"/>
    <mergeCell ref="E72:E73"/>
    <mergeCell ref="F72:F73"/>
    <mergeCell ref="A82:A83"/>
    <mergeCell ref="B82:B83"/>
    <mergeCell ref="C82:C83"/>
    <mergeCell ref="D82:D83"/>
    <mergeCell ref="E82:E83"/>
    <mergeCell ref="F82:F83"/>
    <mergeCell ref="J104:J105"/>
    <mergeCell ref="J89:J90"/>
    <mergeCell ref="H82:H83"/>
    <mergeCell ref="I82:I83"/>
    <mergeCell ref="J82:J83"/>
    <mergeCell ref="P79:R79"/>
    <mergeCell ref="P80:R80"/>
    <mergeCell ref="K104:K105"/>
    <mergeCell ref="N89:N90"/>
    <mergeCell ref="L89:L90"/>
    <mergeCell ref="M89:M90"/>
    <mergeCell ref="K82:K83"/>
    <mergeCell ref="N104:N105"/>
    <mergeCell ref="K89:K90"/>
    <mergeCell ref="L60:L61"/>
    <mergeCell ref="M60:M61"/>
    <mergeCell ref="O60:O61"/>
    <mergeCell ref="P60:Q61"/>
    <mergeCell ref="H60:H61"/>
    <mergeCell ref="P74:R74"/>
    <mergeCell ref="H72:H73"/>
    <mergeCell ref="I72:I73"/>
    <mergeCell ref="J72:J73"/>
    <mergeCell ref="K72:K73"/>
    <mergeCell ref="L72:L73"/>
    <mergeCell ref="M72:M73"/>
    <mergeCell ref="N72:N73"/>
    <mergeCell ref="B60:B61"/>
    <mergeCell ref="C60:C61"/>
    <mergeCell ref="D60:D61"/>
    <mergeCell ref="E60:E61"/>
    <mergeCell ref="F60:F61"/>
    <mergeCell ref="J60:J61"/>
    <mergeCell ref="P63:Q63"/>
    <mergeCell ref="A65:A66"/>
    <mergeCell ref="B65:B66"/>
    <mergeCell ref="C65:C66"/>
    <mergeCell ref="D65:D66"/>
    <mergeCell ref="E65:E66"/>
    <mergeCell ref="O65:O66"/>
    <mergeCell ref="P65:Q66"/>
    <mergeCell ref="F65:F66"/>
    <mergeCell ref="H65:H66"/>
    <mergeCell ref="N65:N66"/>
    <mergeCell ref="I65:I66"/>
    <mergeCell ref="J65:J66"/>
    <mergeCell ref="K65:K66"/>
    <mergeCell ref="L65:L66"/>
    <mergeCell ref="M65:M66"/>
    <mergeCell ref="N60:N61"/>
    <mergeCell ref="K60:K61"/>
    <mergeCell ref="H53:H54"/>
    <mergeCell ref="I53:I54"/>
    <mergeCell ref="N53:N54"/>
    <mergeCell ref="O53:O54"/>
    <mergeCell ref="I60:I61"/>
    <mergeCell ref="A46:A47"/>
    <mergeCell ref="B46:B47"/>
    <mergeCell ref="C46:C47"/>
    <mergeCell ref="D46:D47"/>
    <mergeCell ref="E46:E47"/>
    <mergeCell ref="F46:F47"/>
    <mergeCell ref="H46:H47"/>
    <mergeCell ref="I46:I47"/>
    <mergeCell ref="J46:J47"/>
    <mergeCell ref="G46:G47"/>
    <mergeCell ref="G53:G54"/>
    <mergeCell ref="G60:G61"/>
    <mergeCell ref="A53:A54"/>
    <mergeCell ref="B53:B54"/>
    <mergeCell ref="C53:C54"/>
    <mergeCell ref="D53:D54"/>
    <mergeCell ref="E53:E54"/>
    <mergeCell ref="F53:F54"/>
    <mergeCell ref="A60:A61"/>
    <mergeCell ref="P53:Q54"/>
    <mergeCell ref="L53:L54"/>
    <mergeCell ref="N39:N40"/>
    <mergeCell ref="O39:O40"/>
    <mergeCell ref="P39:Q40"/>
    <mergeCell ref="M53:M54"/>
    <mergeCell ref="J39:J40"/>
    <mergeCell ref="K39:K40"/>
    <mergeCell ref="L39:L40"/>
    <mergeCell ref="P44:Q44"/>
    <mergeCell ref="O46:O47"/>
    <mergeCell ref="P46:Q47"/>
    <mergeCell ref="L46:L47"/>
    <mergeCell ref="M46:M47"/>
    <mergeCell ref="N46:N47"/>
    <mergeCell ref="K46:K47"/>
    <mergeCell ref="M39:M40"/>
    <mergeCell ref="K53:K54"/>
    <mergeCell ref="J53:J54"/>
    <mergeCell ref="A33:A34"/>
    <mergeCell ref="B33:B34"/>
    <mergeCell ref="C33:C34"/>
    <mergeCell ref="D33:D34"/>
    <mergeCell ref="E33:E34"/>
    <mergeCell ref="F33:F34"/>
    <mergeCell ref="F39:F40"/>
    <mergeCell ref="H39:H40"/>
    <mergeCell ref="I39:I40"/>
    <mergeCell ref="A39:A40"/>
    <mergeCell ref="J33:J34"/>
    <mergeCell ref="K33:K34"/>
    <mergeCell ref="L33:L34"/>
    <mergeCell ref="M33:M34"/>
    <mergeCell ref="N33:N34"/>
    <mergeCell ref="O33:O34"/>
    <mergeCell ref="P33:Q34"/>
    <mergeCell ref="B39:B40"/>
    <mergeCell ref="C39:C40"/>
    <mergeCell ref="D39:D40"/>
    <mergeCell ref="E39:E40"/>
    <mergeCell ref="H33:H34"/>
    <mergeCell ref="I33:I34"/>
    <mergeCell ref="G33:G34"/>
    <mergeCell ref="G39:G40"/>
    <mergeCell ref="A9:A10"/>
    <mergeCell ref="N19:N20"/>
    <mergeCell ref="O19:O20"/>
    <mergeCell ref="P19:Q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H11:H12"/>
    <mergeCell ref="F19:F20"/>
    <mergeCell ref="H19:H20"/>
    <mergeCell ref="A11:A12"/>
    <mergeCell ref="B11:B12"/>
    <mergeCell ref="C11:C12"/>
    <mergeCell ref="B9:B10"/>
    <mergeCell ref="G19:G20"/>
    <mergeCell ref="P5:Q8"/>
    <mergeCell ref="P9:Q10"/>
    <mergeCell ref="H9:H10"/>
    <mergeCell ref="I9:I10"/>
    <mergeCell ref="J7:K7"/>
    <mergeCell ref="N7:O7"/>
    <mergeCell ref="D11:D12"/>
    <mergeCell ref="E11:E12"/>
    <mergeCell ref="F11:F12"/>
    <mergeCell ref="N11:N12"/>
    <mergeCell ref="O11:O12"/>
    <mergeCell ref="P11:Q12"/>
    <mergeCell ref="I11:I12"/>
    <mergeCell ref="J11:J12"/>
    <mergeCell ref="L11:L12"/>
    <mergeCell ref="M11:M12"/>
    <mergeCell ref="K11:K12"/>
    <mergeCell ref="H7:I7"/>
    <mergeCell ref="G11:G12"/>
    <mergeCell ref="G65:G66"/>
    <mergeCell ref="G72:G73"/>
    <mergeCell ref="G82:G83"/>
    <mergeCell ref="G89:G90"/>
    <mergeCell ref="G104:G105"/>
    <mergeCell ref="A5:A8"/>
    <mergeCell ref="M9:M10"/>
    <mergeCell ref="N9:N10"/>
    <mergeCell ref="O9:O10"/>
    <mergeCell ref="J9:J10"/>
    <mergeCell ref="K9:K10"/>
    <mergeCell ref="L9:L10"/>
    <mergeCell ref="B5:B8"/>
    <mergeCell ref="F9:F10"/>
    <mergeCell ref="C5:D7"/>
    <mergeCell ref="E5:F7"/>
    <mergeCell ref="C9:C10"/>
    <mergeCell ref="D9:D10"/>
    <mergeCell ref="E9:E10"/>
    <mergeCell ref="H5:O5"/>
    <mergeCell ref="H6:O6"/>
    <mergeCell ref="G5:G8"/>
    <mergeCell ref="G9:G10"/>
    <mergeCell ref="M19:M20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2015-05-06T08:57:43Z</cp:lastPrinted>
  <dcterms:created xsi:type="dcterms:W3CDTF">2015-05-06T07:17:17Z</dcterms:created>
  <dcterms:modified xsi:type="dcterms:W3CDTF">2024-06-04T08:12:38Z</dcterms:modified>
</cp:coreProperties>
</file>