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2. 2022 ΑΝΑΛΥΤΙΚΟΙ ΠΙΝΑΚΕΣ\"/>
    </mc:Choice>
  </mc:AlternateContent>
  <xr:revisionPtr revIDLastSave="0" documentId="8_{72D0B27D-21DA-4846-879C-DB11C9A89F92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2" i="1" l="1"/>
  <c r="K72" i="1"/>
  <c r="G28" i="1"/>
  <c r="G104" i="1"/>
  <c r="G89" i="1"/>
  <c r="G82" i="1"/>
  <c r="G72" i="1"/>
  <c r="F72" i="1"/>
  <c r="E72" i="1"/>
  <c r="G65" i="1"/>
  <c r="G60" i="1"/>
  <c r="G53" i="1"/>
  <c r="G46" i="1"/>
  <c r="G39" i="1"/>
  <c r="G33" i="1"/>
  <c r="G19" i="1"/>
  <c r="G11" i="1"/>
  <c r="G9" i="1" l="1"/>
  <c r="Q104" i="1"/>
  <c r="R104" i="1"/>
  <c r="S104" i="1"/>
  <c r="T104" i="1"/>
  <c r="U104" i="1"/>
  <c r="V104" i="1"/>
  <c r="Q89" i="1"/>
  <c r="R89" i="1"/>
  <c r="S89" i="1"/>
  <c r="T89" i="1"/>
  <c r="U89" i="1"/>
  <c r="V89" i="1"/>
  <c r="Q82" i="1"/>
  <c r="R82" i="1"/>
  <c r="S82" i="1"/>
  <c r="T82" i="1"/>
  <c r="U82" i="1"/>
  <c r="V82" i="1"/>
  <c r="Q72" i="1"/>
  <c r="R72" i="1"/>
  <c r="S72" i="1"/>
  <c r="T72" i="1"/>
  <c r="U72" i="1"/>
  <c r="V72" i="1"/>
  <c r="Q65" i="1"/>
  <c r="R65" i="1"/>
  <c r="S65" i="1"/>
  <c r="T65" i="1"/>
  <c r="U65" i="1"/>
  <c r="V65" i="1"/>
  <c r="Q60" i="1"/>
  <c r="R60" i="1"/>
  <c r="S60" i="1"/>
  <c r="T60" i="1"/>
  <c r="U60" i="1"/>
  <c r="V60" i="1"/>
  <c r="Q53" i="1"/>
  <c r="R53" i="1"/>
  <c r="S53" i="1"/>
  <c r="T53" i="1"/>
  <c r="U53" i="1"/>
  <c r="V53" i="1"/>
  <c r="Q46" i="1"/>
  <c r="R46" i="1"/>
  <c r="S46" i="1"/>
  <c r="T46" i="1"/>
  <c r="U46" i="1"/>
  <c r="V46" i="1"/>
  <c r="Q39" i="1"/>
  <c r="R39" i="1"/>
  <c r="S39" i="1"/>
  <c r="T39" i="1"/>
  <c r="U39" i="1"/>
  <c r="V39" i="1"/>
  <c r="Q33" i="1"/>
  <c r="R33" i="1"/>
  <c r="S33" i="1"/>
  <c r="T33" i="1"/>
  <c r="U33" i="1"/>
  <c r="V33" i="1"/>
  <c r="Q28" i="1"/>
  <c r="R28" i="1"/>
  <c r="S28" i="1"/>
  <c r="T28" i="1"/>
  <c r="U28" i="1"/>
  <c r="V28" i="1"/>
  <c r="Q19" i="1"/>
  <c r="R19" i="1"/>
  <c r="S19" i="1"/>
  <c r="T19" i="1"/>
  <c r="U19" i="1"/>
  <c r="V19" i="1"/>
  <c r="Q11" i="1"/>
  <c r="R11" i="1"/>
  <c r="S11" i="1"/>
  <c r="T11" i="1"/>
  <c r="U11" i="1"/>
  <c r="V11" i="1"/>
  <c r="D11" i="1"/>
  <c r="S9" i="1" l="1"/>
  <c r="Q9" i="1"/>
  <c r="U9" i="1"/>
  <c r="R9" i="1"/>
  <c r="V9" i="1"/>
  <c r="T9" i="1"/>
  <c r="H11" i="1"/>
  <c r="I11" i="1"/>
  <c r="J11" i="1"/>
  <c r="K11" i="1"/>
  <c r="F11" i="1"/>
  <c r="E11" i="1"/>
  <c r="B11" i="1"/>
  <c r="M11" i="1"/>
  <c r="L11" i="1"/>
  <c r="F28" i="1"/>
  <c r="E28" i="1"/>
  <c r="N33" i="1"/>
  <c r="C28" i="1"/>
  <c r="D28" i="1"/>
  <c r="H28" i="1"/>
  <c r="I28" i="1"/>
  <c r="J28" i="1"/>
  <c r="K28" i="1"/>
  <c r="L28" i="1"/>
  <c r="M28" i="1"/>
  <c r="N28" i="1"/>
  <c r="O28" i="1"/>
  <c r="P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28" i="1"/>
  <c r="C19" i="1"/>
  <c r="D19" i="1"/>
  <c r="E19" i="1"/>
  <c r="F19" i="1"/>
  <c r="H19" i="1"/>
  <c r="I19" i="1"/>
  <c r="J19" i="1"/>
  <c r="K19" i="1"/>
  <c r="L19" i="1"/>
  <c r="M19" i="1"/>
  <c r="N19" i="1"/>
  <c r="O19" i="1"/>
  <c r="P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19" i="1"/>
  <c r="Z53" i="1"/>
  <c r="X53" i="1"/>
  <c r="Y53" i="1"/>
  <c r="X39" i="1"/>
  <c r="K104" i="1"/>
  <c r="L104" i="1"/>
  <c r="M104" i="1"/>
  <c r="L89" i="1"/>
  <c r="M89" i="1"/>
  <c r="K89" i="1"/>
  <c r="L82" i="1"/>
  <c r="M82" i="1"/>
  <c r="K82" i="1"/>
  <c r="L72" i="1"/>
  <c r="M72" i="1"/>
  <c r="L65" i="1"/>
  <c r="M65" i="1"/>
  <c r="K65" i="1"/>
  <c r="L60" i="1"/>
  <c r="M60" i="1"/>
  <c r="K60" i="1"/>
  <c r="L53" i="1"/>
  <c r="M53" i="1"/>
  <c r="K53" i="1"/>
  <c r="L46" i="1"/>
  <c r="M46" i="1"/>
  <c r="K46" i="1"/>
  <c r="L39" i="1"/>
  <c r="M39" i="1"/>
  <c r="K39" i="1"/>
  <c r="L33" i="1"/>
  <c r="M33" i="1"/>
  <c r="K33" i="1"/>
  <c r="H104" i="1"/>
  <c r="I104" i="1"/>
  <c r="J104" i="1"/>
  <c r="H89" i="1"/>
  <c r="I89" i="1"/>
  <c r="J89" i="1"/>
  <c r="H82" i="1"/>
  <c r="I82" i="1"/>
  <c r="J82" i="1"/>
  <c r="H72" i="1"/>
  <c r="I72" i="1"/>
  <c r="H65" i="1"/>
  <c r="I65" i="1"/>
  <c r="J65" i="1"/>
  <c r="H60" i="1"/>
  <c r="I60" i="1"/>
  <c r="J60" i="1"/>
  <c r="H53" i="1"/>
  <c r="I53" i="1"/>
  <c r="J53" i="1"/>
  <c r="H46" i="1"/>
  <c r="I46" i="1"/>
  <c r="J46" i="1"/>
  <c r="H39" i="1"/>
  <c r="I39" i="1"/>
  <c r="J39" i="1"/>
  <c r="H33" i="1"/>
  <c r="I33" i="1"/>
  <c r="J33" i="1"/>
  <c r="E104" i="1"/>
  <c r="F104" i="1"/>
  <c r="E82" i="1"/>
  <c r="F82" i="1"/>
  <c r="E89" i="1"/>
  <c r="F89" i="1"/>
  <c r="E65" i="1"/>
  <c r="F65" i="1"/>
  <c r="E60" i="1"/>
  <c r="F60" i="1"/>
  <c r="E53" i="1"/>
  <c r="F53" i="1"/>
  <c r="E46" i="1"/>
  <c r="F46" i="1"/>
  <c r="E39" i="1"/>
  <c r="F39" i="1"/>
  <c r="E33" i="1"/>
  <c r="F33" i="1"/>
  <c r="C104" i="1"/>
  <c r="D104" i="1"/>
  <c r="C89" i="1"/>
  <c r="D89" i="1"/>
  <c r="C82" i="1"/>
  <c r="D82" i="1"/>
  <c r="C72" i="1"/>
  <c r="D72" i="1"/>
  <c r="C65" i="1"/>
  <c r="D65" i="1"/>
  <c r="C60" i="1"/>
  <c r="D60" i="1"/>
  <c r="C53" i="1"/>
  <c r="D53" i="1"/>
  <c r="C46" i="1"/>
  <c r="D46" i="1"/>
  <c r="C39" i="1"/>
  <c r="D39" i="1"/>
  <c r="C33" i="1"/>
  <c r="D33" i="1"/>
  <c r="C11" i="1"/>
  <c r="B33" i="1"/>
  <c r="B39" i="1"/>
  <c r="B46" i="1"/>
  <c r="B53" i="1"/>
  <c r="B60" i="1"/>
  <c r="B65" i="1"/>
  <c r="B72" i="1"/>
  <c r="B82" i="1"/>
  <c r="B89" i="1"/>
  <c r="B104" i="1"/>
  <c r="BA104" i="1"/>
  <c r="AZ104" i="1"/>
  <c r="AY104" i="1"/>
  <c r="AX104" i="1"/>
  <c r="AW104" i="1"/>
  <c r="AV104" i="1"/>
  <c r="AU104" i="1"/>
  <c r="AT104" i="1"/>
  <c r="AS104" i="1"/>
  <c r="AR104" i="1"/>
  <c r="BA89" i="1"/>
  <c r="AZ89" i="1"/>
  <c r="AY89" i="1"/>
  <c r="AX89" i="1"/>
  <c r="AW89" i="1"/>
  <c r="AV89" i="1"/>
  <c r="AU89" i="1"/>
  <c r="AT89" i="1"/>
  <c r="AS89" i="1"/>
  <c r="AR89" i="1"/>
  <c r="BA82" i="1"/>
  <c r="AZ82" i="1"/>
  <c r="AY82" i="1"/>
  <c r="AX82" i="1"/>
  <c r="AW82" i="1"/>
  <c r="AV82" i="1"/>
  <c r="AU82" i="1"/>
  <c r="AT82" i="1"/>
  <c r="AS82" i="1"/>
  <c r="AR82" i="1"/>
  <c r="BA72" i="1"/>
  <c r="AZ72" i="1"/>
  <c r="AY72" i="1"/>
  <c r="AX72" i="1"/>
  <c r="AW72" i="1"/>
  <c r="AV72" i="1"/>
  <c r="AU72" i="1"/>
  <c r="AT72" i="1"/>
  <c r="AS72" i="1"/>
  <c r="AR72" i="1"/>
  <c r="BA65" i="1"/>
  <c r="AZ65" i="1"/>
  <c r="AY65" i="1"/>
  <c r="AX65" i="1"/>
  <c r="AW65" i="1"/>
  <c r="AV65" i="1"/>
  <c r="AU65" i="1"/>
  <c r="AT65" i="1"/>
  <c r="AS65" i="1"/>
  <c r="AR65" i="1"/>
  <c r="BA60" i="1"/>
  <c r="AZ60" i="1"/>
  <c r="AY60" i="1"/>
  <c r="AX60" i="1"/>
  <c r="AW60" i="1"/>
  <c r="AV60" i="1"/>
  <c r="AU60" i="1"/>
  <c r="AT60" i="1"/>
  <c r="AS60" i="1"/>
  <c r="AR60" i="1"/>
  <c r="BA53" i="1"/>
  <c r="AZ53" i="1"/>
  <c r="AY53" i="1"/>
  <c r="AX53" i="1"/>
  <c r="AW53" i="1"/>
  <c r="AV53" i="1"/>
  <c r="AU53" i="1"/>
  <c r="AT53" i="1"/>
  <c r="AS53" i="1"/>
  <c r="AR53" i="1"/>
  <c r="BA46" i="1"/>
  <c r="AZ46" i="1"/>
  <c r="AY46" i="1"/>
  <c r="AX46" i="1"/>
  <c r="AW46" i="1"/>
  <c r="AV46" i="1"/>
  <c r="AU46" i="1"/>
  <c r="AT46" i="1"/>
  <c r="AS46" i="1"/>
  <c r="AR46" i="1"/>
  <c r="BA39" i="1"/>
  <c r="AZ39" i="1"/>
  <c r="AY39" i="1"/>
  <c r="AX39" i="1"/>
  <c r="AW39" i="1"/>
  <c r="AV39" i="1"/>
  <c r="AU39" i="1"/>
  <c r="AT39" i="1"/>
  <c r="AS39" i="1"/>
  <c r="AR39" i="1"/>
  <c r="BA33" i="1"/>
  <c r="AZ33" i="1"/>
  <c r="AY33" i="1"/>
  <c r="AX33" i="1"/>
  <c r="AW33" i="1"/>
  <c r="AV33" i="1"/>
  <c r="AU33" i="1"/>
  <c r="AT33" i="1"/>
  <c r="AS33" i="1"/>
  <c r="AR33" i="1"/>
  <c r="BA11" i="1"/>
  <c r="AZ11" i="1"/>
  <c r="AY11" i="1"/>
  <c r="AX11" i="1"/>
  <c r="AW11" i="1"/>
  <c r="AV11" i="1"/>
  <c r="AU11" i="1"/>
  <c r="AT11" i="1"/>
  <c r="AS11" i="1"/>
  <c r="AR11" i="1"/>
  <c r="AQ104" i="1"/>
  <c r="AP104" i="1"/>
  <c r="AO104" i="1"/>
  <c r="AN104" i="1"/>
  <c r="AM104" i="1"/>
  <c r="AL104" i="1"/>
  <c r="AK104" i="1"/>
  <c r="AJ104" i="1"/>
  <c r="AI104" i="1"/>
  <c r="AH104" i="1"/>
  <c r="AG104" i="1"/>
  <c r="AF104" i="1"/>
  <c r="AQ89" i="1"/>
  <c r="AP89" i="1"/>
  <c r="AO89" i="1"/>
  <c r="AN89" i="1"/>
  <c r="AM89" i="1"/>
  <c r="AL89" i="1"/>
  <c r="AK89" i="1"/>
  <c r="AJ89" i="1"/>
  <c r="AI89" i="1"/>
  <c r="AH89" i="1"/>
  <c r="AG89" i="1"/>
  <c r="AF89" i="1"/>
  <c r="AQ82" i="1"/>
  <c r="AP82" i="1"/>
  <c r="AO82" i="1"/>
  <c r="AN82" i="1"/>
  <c r="AM82" i="1"/>
  <c r="AL82" i="1"/>
  <c r="AK82" i="1"/>
  <c r="AJ82" i="1"/>
  <c r="AI82" i="1"/>
  <c r="AH82" i="1"/>
  <c r="AG82" i="1"/>
  <c r="AF82" i="1"/>
  <c r="AQ72" i="1"/>
  <c r="AP72" i="1"/>
  <c r="AO72" i="1"/>
  <c r="AN72" i="1"/>
  <c r="AM72" i="1"/>
  <c r="AL72" i="1"/>
  <c r="AK72" i="1"/>
  <c r="AJ72" i="1"/>
  <c r="AI72" i="1"/>
  <c r="AH72" i="1"/>
  <c r="AG72" i="1"/>
  <c r="AF72" i="1"/>
  <c r="AQ65" i="1"/>
  <c r="AP65" i="1"/>
  <c r="AO65" i="1"/>
  <c r="AN65" i="1"/>
  <c r="AM65" i="1"/>
  <c r="AL65" i="1"/>
  <c r="AK65" i="1"/>
  <c r="AJ65" i="1"/>
  <c r="AI65" i="1"/>
  <c r="AH65" i="1"/>
  <c r="AG65" i="1"/>
  <c r="AF65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04" i="1"/>
  <c r="AD104" i="1"/>
  <c r="AC104" i="1"/>
  <c r="AB104" i="1"/>
  <c r="AA104" i="1"/>
  <c r="Z104" i="1"/>
  <c r="Y104" i="1"/>
  <c r="X104" i="1"/>
  <c r="W104" i="1"/>
  <c r="P104" i="1"/>
  <c r="O104" i="1"/>
  <c r="N104" i="1"/>
  <c r="AE89" i="1"/>
  <c r="AD89" i="1"/>
  <c r="AC89" i="1"/>
  <c r="AB89" i="1"/>
  <c r="AA89" i="1"/>
  <c r="Z89" i="1"/>
  <c r="Y89" i="1"/>
  <c r="X89" i="1"/>
  <c r="W89" i="1"/>
  <c r="P89" i="1"/>
  <c r="O89" i="1"/>
  <c r="N89" i="1"/>
  <c r="AE82" i="1"/>
  <c r="AD82" i="1"/>
  <c r="AC82" i="1"/>
  <c r="AB82" i="1"/>
  <c r="AA82" i="1"/>
  <c r="Z82" i="1"/>
  <c r="Y82" i="1"/>
  <c r="X82" i="1"/>
  <c r="W82" i="1"/>
  <c r="P82" i="1"/>
  <c r="O82" i="1"/>
  <c r="N82" i="1"/>
  <c r="AE72" i="1"/>
  <c r="AD72" i="1"/>
  <c r="AC72" i="1"/>
  <c r="AB72" i="1"/>
  <c r="AA72" i="1"/>
  <c r="Z72" i="1"/>
  <c r="Y72" i="1"/>
  <c r="X72" i="1"/>
  <c r="W72" i="1"/>
  <c r="P72" i="1"/>
  <c r="O72" i="1"/>
  <c r="N72" i="1"/>
  <c r="AE65" i="1"/>
  <c r="AD65" i="1"/>
  <c r="AC65" i="1"/>
  <c r="AB65" i="1"/>
  <c r="AA65" i="1"/>
  <c r="Z65" i="1"/>
  <c r="Y65" i="1"/>
  <c r="X65" i="1"/>
  <c r="W65" i="1"/>
  <c r="P65" i="1"/>
  <c r="O65" i="1"/>
  <c r="N65" i="1"/>
  <c r="AE60" i="1"/>
  <c r="AD60" i="1"/>
  <c r="AC60" i="1"/>
  <c r="AB60" i="1"/>
  <c r="AA60" i="1"/>
  <c r="Z60" i="1"/>
  <c r="Y60" i="1"/>
  <c r="X60" i="1"/>
  <c r="W60" i="1"/>
  <c r="P60" i="1"/>
  <c r="O60" i="1"/>
  <c r="N60" i="1"/>
  <c r="AE53" i="1"/>
  <c r="AD53" i="1"/>
  <c r="AC53" i="1"/>
  <c r="AB53" i="1"/>
  <c r="AA53" i="1"/>
  <c r="W53" i="1"/>
  <c r="P53" i="1"/>
  <c r="O53" i="1"/>
  <c r="N53" i="1"/>
  <c r="AE46" i="1"/>
  <c r="AD46" i="1"/>
  <c r="AC46" i="1"/>
  <c r="AB46" i="1"/>
  <c r="AA46" i="1"/>
  <c r="Z46" i="1"/>
  <c r="Y46" i="1"/>
  <c r="X46" i="1"/>
  <c r="W46" i="1"/>
  <c r="P46" i="1"/>
  <c r="O46" i="1"/>
  <c r="N46" i="1"/>
  <c r="AE39" i="1"/>
  <c r="AD39" i="1"/>
  <c r="AC39" i="1"/>
  <c r="AB39" i="1"/>
  <c r="AA39" i="1"/>
  <c r="Z39" i="1"/>
  <c r="Y39" i="1"/>
  <c r="W39" i="1"/>
  <c r="P39" i="1"/>
  <c r="O39" i="1"/>
  <c r="N39" i="1"/>
  <c r="AE33" i="1"/>
  <c r="AD33" i="1"/>
  <c r="AC33" i="1"/>
  <c r="AB33" i="1"/>
  <c r="AA33" i="1"/>
  <c r="Z33" i="1"/>
  <c r="Y33" i="1"/>
  <c r="X33" i="1"/>
  <c r="W33" i="1"/>
  <c r="P33" i="1"/>
  <c r="O33" i="1"/>
  <c r="AE11" i="1"/>
  <c r="AD11" i="1"/>
  <c r="AC11" i="1"/>
  <c r="AB11" i="1"/>
  <c r="AA11" i="1"/>
  <c r="Z11" i="1"/>
  <c r="Y11" i="1"/>
  <c r="X11" i="1"/>
  <c r="W11" i="1"/>
  <c r="P11" i="1"/>
  <c r="O11" i="1"/>
  <c r="N11" i="1"/>
  <c r="A109" i="1"/>
  <c r="A108" i="1"/>
  <c r="A107" i="1"/>
  <c r="A106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88" i="1"/>
  <c r="A87" i="1"/>
  <c r="A86" i="1"/>
  <c r="A85" i="1"/>
  <c r="A84" i="1"/>
  <c r="A71" i="1"/>
  <c r="A70" i="1"/>
  <c r="A69" i="1"/>
  <c r="A68" i="1"/>
  <c r="A67" i="1"/>
  <c r="A64" i="1"/>
  <c r="A63" i="1"/>
  <c r="A62" i="1"/>
  <c r="A59" i="1"/>
  <c r="A58" i="1"/>
  <c r="A57" i="1"/>
  <c r="A56" i="1"/>
  <c r="A55" i="1"/>
  <c r="A52" i="1"/>
  <c r="A51" i="1"/>
  <c r="A50" i="1"/>
  <c r="A49" i="1"/>
  <c r="A48" i="1"/>
  <c r="A45" i="1"/>
  <c r="A44" i="1"/>
  <c r="A43" i="1"/>
  <c r="A42" i="1"/>
  <c r="A41" i="1"/>
  <c r="A38" i="1"/>
  <c r="A37" i="1"/>
  <c r="A36" i="1"/>
  <c r="A35" i="1"/>
  <c r="A32" i="1"/>
  <c r="A31" i="1"/>
  <c r="A30" i="1"/>
  <c r="A29" i="1"/>
  <c r="A27" i="1"/>
  <c r="A26" i="1"/>
  <c r="A25" i="1"/>
  <c r="A24" i="1"/>
  <c r="A23" i="1"/>
  <c r="A22" i="1"/>
  <c r="A21" i="1"/>
  <c r="A18" i="1"/>
  <c r="A17" i="1"/>
  <c r="A16" i="1"/>
  <c r="A15" i="1"/>
  <c r="A14" i="1"/>
  <c r="A13" i="1"/>
  <c r="AF9" i="1" l="1"/>
  <c r="AH9" i="1"/>
  <c r="AJ9" i="1"/>
  <c r="AL9" i="1"/>
  <c r="AP9" i="1"/>
  <c r="AT9" i="1"/>
  <c r="AV9" i="1"/>
  <c r="AX9" i="1"/>
  <c r="AZ9" i="1"/>
  <c r="D9" i="1"/>
  <c r="J9" i="1"/>
  <c r="H9" i="1"/>
  <c r="M9" i="1"/>
  <c r="I9" i="1"/>
  <c r="AR9" i="1"/>
  <c r="AN9" i="1"/>
  <c r="AG9" i="1"/>
  <c r="AI9" i="1"/>
  <c r="AK9" i="1"/>
  <c r="AM9" i="1"/>
  <c r="AO9" i="1"/>
  <c r="AQ9" i="1"/>
  <c r="AS9" i="1"/>
  <c r="AU9" i="1"/>
  <c r="AW9" i="1"/>
  <c r="AY9" i="1"/>
  <c r="BA9" i="1"/>
  <c r="C9" i="1"/>
  <c r="N9" i="1"/>
  <c r="P9" i="1"/>
  <c r="X9" i="1"/>
  <c r="Z9" i="1"/>
  <c r="AB9" i="1"/>
  <c r="AD9" i="1"/>
  <c r="E9" i="1"/>
  <c r="O9" i="1"/>
  <c r="F9" i="1"/>
  <c r="W9" i="1"/>
  <c r="Y9" i="1"/>
  <c r="AA9" i="1"/>
  <c r="AC9" i="1"/>
  <c r="AE9" i="1"/>
  <c r="L9" i="1"/>
  <c r="K9" i="1"/>
  <c r="B9" i="1"/>
</calcChain>
</file>

<file path=xl/sharedStrings.xml><?xml version="1.0" encoding="utf-8"?>
<sst xmlns="http://schemas.openxmlformats.org/spreadsheetml/2006/main" count="979" uniqueCount="142">
  <si>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</si>
  <si>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</si>
  <si>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</si>
  <si>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</si>
  <si>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</si>
  <si>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</si>
  <si>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</si>
  <si>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</si>
  <si>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</si>
  <si>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</si>
  <si>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</si>
  <si>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</si>
  <si>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</si>
  <si>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</si>
  <si>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</si>
  <si>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</si>
  <si>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</si>
  <si>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</si>
  <si>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</si>
  <si>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</si>
  <si>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</si>
  <si>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</si>
  <si>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</si>
  <si>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</si>
  <si>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</si>
  <si>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</si>
  <si>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</si>
  <si>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</si>
  <si>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</si>
  <si>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</si>
  <si>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</si>
  <si>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</si>
  <si>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</si>
  <si>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</si>
  <si>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</si>
  <si>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</si>
  <si>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</si>
  <si>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</si>
  <si>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</si>
  <si>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</si>
  <si>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</si>
  <si>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</si>
  <si>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</si>
  <si>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</si>
  <si>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</si>
  <si>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</si>
  <si>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</si>
  <si>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</si>
  <si>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</si>
  <si>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</si>
  <si>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</si>
  <si>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</si>
  <si>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</si>
  <si>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</si>
  <si>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</si>
  <si>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</si>
  <si>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</si>
  <si>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</si>
  <si>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</si>
  <si>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</si>
  <si>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</si>
  <si>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</si>
  <si>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</si>
  <si>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</si>
  <si>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</si>
  <si>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</si>
  <si>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</si>
  <si>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</si>
  <si>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</si>
  <si>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</si>
  <si>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</si>
  <si>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</si>
  <si>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</si>
  <si>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</si>
  <si>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</si>
  <si>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</si>
  <si>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</si>
  <si>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</si>
  <si>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</si>
  <si>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</si>
  <si>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</si>
  <si>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</si>
  <si>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</si>
  <si>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</si>
  <si>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</si>
  <si>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</si>
  <si>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</si>
  <si>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</si>
  <si>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</si>
  <si>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</si>
  <si>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</si>
  <si>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</si>
  <si>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</si>
  <si>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</si>
  <si>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</si>
  <si>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</si>
  <si>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</si>
  <si>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</si>
  <si>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</si>
  <si>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</si>
  <si>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</si>
  <si>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</si>
  <si>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</si>
  <si>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</si>
  <si>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</si>
  <si>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</si>
  <si>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</si>
  <si>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</si>
  <si>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</si>
  <si>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</si>
  <si>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3=συνολικός αριθμός δένδρων</t>
  </si>
  <si>
    <t>3=total number of trees</t>
  </si>
  <si>
    <t>4=δένδρα κανονικών δενδρώνων</t>
  </si>
  <si>
    <t>4=trees in compact plantations</t>
  </si>
  <si>
    <t>5α - 5a</t>
  </si>
  <si>
    <t>5β - 5b</t>
  </si>
  <si>
    <t>5=παραγωγή όλων των δένδρων (5α βρώσιμων ελιών, 5β για ελαιοποίηση)</t>
  </si>
  <si>
    <t>5=production of all trees (5a edible olives, 5b for olive oil)</t>
  </si>
  <si>
    <t>Παραγωγή σε τόνους</t>
  </si>
  <si>
    <t>Region of Western Macedonia</t>
  </si>
  <si>
    <t>Περιφέρεια Δυτικής Μακεδονίας</t>
  </si>
  <si>
    <t>Μηλιές
Apple trees</t>
  </si>
  <si>
    <t>Ελιές
Olive trees</t>
  </si>
  <si>
    <t>Πορτοκαλιές
Orange trees</t>
  </si>
  <si>
    <t>Λεμονιές
Lemon trees</t>
  </si>
  <si>
    <t>Μανταρινιές
Mandarin trees</t>
  </si>
  <si>
    <t>Αχλαδιές
Pear trees</t>
  </si>
  <si>
    <t>Ροδακινιές - Νεκταρινιές
Peach - Nectarine trees</t>
  </si>
  <si>
    <t>Βερικοκιές
Apricot trees</t>
  </si>
  <si>
    <t>Κερασιές
Cherry trees</t>
  </si>
  <si>
    <t>Συκιές για νωπά σύκα
Fig trees
(for fresh figs)</t>
  </si>
  <si>
    <t>Συκιές για ξηρά σύκα
Fig trees (for dry figs)</t>
  </si>
  <si>
    <t>Αμυγδαλιές
Almond trees</t>
  </si>
  <si>
    <t>Καρυδιές
Walnut trees</t>
  </si>
  <si>
    <t>Καστανιές
Chestnut trees</t>
  </si>
  <si>
    <t>Areas in stremmas (1 stremma = 0.1 ha)</t>
  </si>
  <si>
    <t>Ακτινίδια
Kiwi trees</t>
  </si>
  <si>
    <t>Ροδιές
Pomegranate trees</t>
  </si>
  <si>
    <t>Φιστικιές
Pistachio trees</t>
  </si>
  <si>
    <t>—</t>
  </si>
  <si>
    <t>Πίνακας 5β. Αριθμός δένδρων και παραγωγή κυριότερων δενδρωδών καλλιεργειών, κατά Περιφέρεια και Περιφερειακή Ενότητα, 2022</t>
  </si>
  <si>
    <t>Table 5b. Number of trees and tree production for principal tree cultivations, by Region and Regional Unities,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</si>
</sst>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61"/>
      <scheme val="minor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sz val="8"/>
      <color theme="1"/>
      <name val="Arial"/>
      <family val="2"/>
      <charset val="161"/>
    </font>
    <font>
      <sz val="8"/>
      <color rgb="FF000000"/>
      <name val="Arial"/>
      <family val="2"/>
      <charset val="161"/>
    </font>
    <font>
      <b/>
      <sz val="8"/>
      <color theme="1"/>
      <name val="Arial"/>
      <family val="2"/>
      <charset val="161"/>
    </font>
    <font>
      <b/>
      <sz val="7"/>
      <name val="Arial"/>
      <family val="2"/>
      <charset val="161"/>
    </font>
    <font>
      <sz val="9"/>
      <color theme="1"/>
      <name val="Arial"/>
      <family val="2"/>
      <charset val="161"/>
    </font>
    <font>
      <b/>
      <sz val="9"/>
      <name val="Arial"/>
      <family val="2"/>
      <charset val="161"/>
    </font>
    <font>
      <sz val="10"/>
      <color theme="1"/>
      <name val="Arial"/>
      <family val="2"/>
      <charset val="161"/>
    </font>
    <font>
      <b/>
      <sz val="10"/>
      <name val="Arial"/>
      <family val="2"/>
      <charset val="161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3" fillId="0" borderId="0" xfId="0" applyFont="1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left"/>
    </xf>
    <xf numFmtId="0" fontId="2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/>
    <xf numFmtId="0" fontId="2" fillId="0" borderId="6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left"/>
    </xf>
    <xf numFmtId="3" fontId="6" fillId="2" borderId="7" xfId="0" applyNumberFormat="1" applyFont="1" applyFill="1" applyBorder="1" applyAlignment="1">
      <alignment horizontal="right" vertical="center"/>
    </xf>
    <xf numFmtId="0" fontId="2" fillId="0" borderId="1" xfId="0" applyFont="1" applyBorder="1"/>
    <xf numFmtId="0" fontId="5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3" fontId="6" fillId="2" borderId="26" xfId="0" applyNumberFormat="1" applyFont="1" applyFill="1" applyBorder="1" applyAlignment="1">
      <alignment horizontal="right" vertical="center"/>
    </xf>
    <xf numFmtId="3" fontId="6" fillId="2" borderId="27" xfId="0" applyNumberFormat="1" applyFont="1" applyFill="1" applyBorder="1" applyAlignment="1">
      <alignment horizontal="right" vertical="center"/>
    </xf>
    <xf numFmtId="49" fontId="1" fillId="0" borderId="0" xfId="0" applyNumberFormat="1" applyFont="1" applyAlignment="1">
      <alignment vertical="center" wrapText="1"/>
    </xf>
    <xf numFmtId="0" fontId="7" fillId="0" borderId="0" xfId="0" applyFont="1"/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/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3" fillId="0" borderId="7" xfId="0" applyFont="1" applyBorder="1" applyAlignment="1">
      <alignment horizontal="right" vertical="top" wrapText="1"/>
    </xf>
    <xf numFmtId="0" fontId="3" fillId="0" borderId="0" xfId="0" applyFont="1" applyAlignment="1">
      <alignment horizontal="right" vertical="top" wrapText="1"/>
    </xf>
    <xf numFmtId="3" fontId="3" fillId="0" borderId="0" xfId="0" applyNumberFormat="1" applyFont="1" applyAlignment="1">
      <alignment horizontal="right" vertical="top" wrapText="1"/>
    </xf>
    <xf numFmtId="3" fontId="3" fillId="0" borderId="7" xfId="0" applyNumberFormat="1" applyFont="1" applyBorder="1" applyAlignment="1">
      <alignment horizontal="right" vertical="top" wrapText="1"/>
    </xf>
    <xf numFmtId="0" fontId="3" fillId="0" borderId="26" xfId="0" applyFont="1" applyBorder="1" applyAlignment="1">
      <alignment horizontal="right" vertical="top" wrapText="1"/>
    </xf>
    <xf numFmtId="3" fontId="3" fillId="0" borderId="22" xfId="0" applyNumberFormat="1" applyFont="1" applyBorder="1" applyAlignment="1">
      <alignment horizontal="right" vertical="top" wrapText="1"/>
    </xf>
    <xf numFmtId="0" fontId="3" fillId="0" borderId="22" xfId="0" applyFont="1" applyBorder="1" applyAlignment="1">
      <alignment horizontal="right" vertical="top" wrapText="1"/>
    </xf>
    <xf numFmtId="3" fontId="3" fillId="0" borderId="26" xfId="0" applyNumberFormat="1" applyFont="1" applyBorder="1" applyAlignment="1">
      <alignment horizontal="right" vertical="top" wrapText="1"/>
    </xf>
    <xf numFmtId="3" fontId="3" fillId="0" borderId="28" xfId="0" applyNumberFormat="1" applyFont="1" applyBorder="1" applyAlignment="1">
      <alignment horizontal="right" vertical="top" wrapText="1"/>
    </xf>
    <xf numFmtId="3" fontId="3" fillId="0" borderId="1" xfId="0" applyNumberFormat="1" applyFont="1" applyBorder="1" applyAlignment="1">
      <alignment horizontal="right" vertical="top" wrapText="1"/>
    </xf>
    <xf numFmtId="3" fontId="3" fillId="0" borderId="29" xfId="0" applyNumberFormat="1" applyFont="1" applyBorder="1" applyAlignment="1">
      <alignment horizontal="right" vertical="top" wrapText="1"/>
    </xf>
    <xf numFmtId="0" fontId="3" fillId="0" borderId="1" xfId="0" applyFont="1" applyBorder="1" applyAlignment="1">
      <alignment horizontal="right" vertical="top" wrapText="1"/>
    </xf>
    <xf numFmtId="0" fontId="3" fillId="0" borderId="29" xfId="0" applyFont="1" applyBorder="1" applyAlignment="1">
      <alignment horizontal="right" vertical="top" wrapText="1"/>
    </xf>
    <xf numFmtId="3" fontId="3" fillId="0" borderId="30" xfId="0" applyNumberFormat="1" applyFont="1" applyBorder="1" applyAlignment="1">
      <alignment horizontal="right" vertical="top" wrapText="1"/>
    </xf>
    <xf numFmtId="49" fontId="2" fillId="0" borderId="0" xfId="0" applyNumberFormat="1" applyFont="1" applyAlignment="1">
      <alignment horizontal="left" wrapText="1" indent="1"/>
    </xf>
    <xf numFmtId="49" fontId="4" fillId="0" borderId="0" xfId="0" applyNumberFormat="1" applyFont="1" applyAlignment="1" applyProtection="1">
      <alignment horizontal="left" vertical="center" wrapText="1" indent="1"/>
      <protection locked="0"/>
    </xf>
    <xf numFmtId="49" fontId="2" fillId="0" borderId="1" xfId="0" applyNumberFormat="1" applyFont="1" applyBorder="1" applyAlignment="1">
      <alignment horizontal="left" wrapText="1" indent="1"/>
    </xf>
    <xf numFmtId="0" fontId="3" fillId="0" borderId="0" xfId="0" applyFont="1" applyAlignment="1">
      <alignment horizontal="left" indent="1"/>
    </xf>
    <xf numFmtId="0" fontId="3" fillId="0" borderId="12" xfId="0" applyFont="1" applyBorder="1" applyAlignment="1">
      <alignment horizontal="left" indent="1"/>
    </xf>
    <xf numFmtId="0" fontId="12" fillId="0" borderId="0" xfId="0" applyFont="1"/>
    <xf numFmtId="0" fontId="13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/>
    </xf>
    <xf numFmtId="0" fontId="13" fillId="0" borderId="0" xfId="0" applyFont="1"/>
    <xf numFmtId="0" fontId="13" fillId="0" borderId="1" xfId="0" applyFont="1" applyBorder="1"/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49" fontId="13" fillId="0" borderId="0" xfId="0" applyNumberFormat="1" applyFont="1" applyAlignment="1">
      <alignment horizontal="left" wrapText="1" indent="1"/>
    </xf>
    <xf numFmtId="0" fontId="0" fillId="0" borderId="0" xfId="0" applyAlignment="1">
      <alignment horizontal="left"/>
    </xf>
    <xf numFmtId="49" fontId="12" fillId="0" borderId="0" xfId="0" applyNumberFormat="1" applyFont="1" applyAlignment="1">
      <alignment vertical="center" wrapText="1"/>
    </xf>
    <xf numFmtId="3" fontId="12" fillId="2" borderId="26" xfId="0" applyNumberFormat="1" applyFont="1" applyFill="1" applyBorder="1" applyAlignment="1">
      <alignment horizontal="right" vertical="center"/>
    </xf>
    <xf numFmtId="3" fontId="12" fillId="2" borderId="7" xfId="0" applyNumberFormat="1" applyFont="1" applyFill="1" applyBorder="1" applyAlignment="1">
      <alignment horizontal="right" vertical="center"/>
    </xf>
    <xf numFmtId="3" fontId="12" fillId="2" borderId="27" xfId="0" applyNumberFormat="1" applyFont="1" applyFill="1" applyBorder="1" applyAlignment="1">
      <alignment horizontal="right" vertical="center"/>
    </xf>
    <xf numFmtId="49" fontId="14" fillId="0" borderId="0" xfId="0" applyNumberFormat="1" applyFont="1" applyAlignment="1" applyProtection="1">
      <alignment horizontal="left" vertical="center" wrapText="1" indent="1"/>
      <protection locked="0"/>
    </xf>
    <xf numFmtId="49" fontId="13" fillId="0" borderId="1" xfId="0" applyNumberFormat="1" applyFont="1" applyBorder="1" applyAlignment="1">
      <alignment horizontal="left" wrapText="1" indent="1"/>
    </xf>
    <xf numFmtId="49" fontId="13" fillId="0" borderId="0" xfId="0" applyNumberFormat="1" applyFont="1" applyAlignment="1">
      <alignment vertical="center"/>
    </xf>
    <xf numFmtId="49" fontId="13" fillId="0" borderId="0" xfId="0" applyNumberFormat="1" applyFont="1"/>
    <xf numFmtId="3" fontId="15" fillId="0" borderId="7" xfId="0" applyNumberFormat="1" applyFont="1" applyBorder="1" applyAlignment="1">
      <alignment horizontal="right" vertical="top"/>
    </xf>
    <xf numFmtId="3" fontId="15" fillId="0" borderId="0" xfId="0" applyNumberFormat="1" applyFont="1" applyAlignment="1">
      <alignment horizontal="right" vertical="top"/>
    </xf>
    <xf numFmtId="3" fontId="15" fillId="0" borderId="26" xfId="0" applyNumberFormat="1" applyFont="1" applyBorder="1" applyAlignment="1">
      <alignment horizontal="right" vertical="top"/>
    </xf>
    <xf numFmtId="3" fontId="15" fillId="0" borderId="28" xfId="0" applyNumberFormat="1" applyFont="1" applyBorder="1" applyAlignment="1">
      <alignment horizontal="right" vertical="top"/>
    </xf>
    <xf numFmtId="3" fontId="15" fillId="0" borderId="1" xfId="0" applyNumberFormat="1" applyFont="1" applyBorder="1" applyAlignment="1">
      <alignment horizontal="right" vertical="top"/>
    </xf>
    <xf numFmtId="3" fontId="15" fillId="0" borderId="29" xfId="0" applyNumberFormat="1" applyFont="1" applyBorder="1" applyAlignment="1">
      <alignment horizontal="right" vertical="top"/>
    </xf>
    <xf numFmtId="0" fontId="16" fillId="0" borderId="0" xfId="0" applyFont="1" applyAlignment="1">
      <alignment horizontal="left" vertical="center" wrapText="1"/>
    </xf>
    <xf numFmtId="0" fontId="17" fillId="0" borderId="1" xfId="0" applyFont="1" applyBorder="1" applyAlignment="1">
      <alignment horizontal="left"/>
    </xf>
    <xf numFmtId="0" fontId="17" fillId="0" borderId="1" xfId="0" applyFont="1" applyBorder="1"/>
    <xf numFmtId="0" fontId="17" fillId="0" borderId="1" xfId="0" applyFont="1" applyBorder="1" applyAlignment="1">
      <alignment horizontal="right"/>
    </xf>
    <xf numFmtId="0" fontId="0" fillId="0" borderId="17" xfId="0" applyBorder="1" applyAlignment="1">
      <alignment horizontal="left" indent="1"/>
    </xf>
    <xf numFmtId="0" fontId="11" fillId="0" borderId="17" xfId="0" applyFont="1" applyBorder="1" applyAlignment="1">
      <alignment vertical="center"/>
    </xf>
    <xf numFmtId="0" fontId="0" fillId="0" borderId="32" xfId="0" applyBorder="1" applyAlignment="1">
      <alignment horizontal="left" indent="1"/>
    </xf>
    <xf numFmtId="0" fontId="0" fillId="0" borderId="1" xfId="0" applyBorder="1" applyAlignment="1">
      <alignment horizontal="left"/>
    </xf>
    <xf numFmtId="3" fontId="15" fillId="0" borderId="22" xfId="0" applyNumberFormat="1" applyFont="1" applyBorder="1" applyAlignment="1">
      <alignment horizontal="right" vertical="top"/>
    </xf>
    <xf numFmtId="3" fontId="15" fillId="0" borderId="30" xfId="0" applyNumberFormat="1" applyFont="1" applyBorder="1" applyAlignment="1">
      <alignment horizontal="right" vertical="top"/>
    </xf>
    <xf numFmtId="3" fontId="12" fillId="0" borderId="7" xfId="0" applyNumberFormat="1" applyFont="1" applyBorder="1" applyAlignment="1">
      <alignment horizontal="right" vertical="center"/>
    </xf>
    <xf numFmtId="0" fontId="16" fillId="0" borderId="0" xfId="0" applyFont="1" applyAlignment="1">
      <alignment horizontal="center" vertical="center" wrapText="1"/>
    </xf>
    <xf numFmtId="0" fontId="11" fillId="0" borderId="17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3" fontId="12" fillId="0" borderId="8" xfId="0" applyNumberFormat="1" applyFont="1" applyBorder="1" applyAlignment="1">
      <alignment horizontal="right" vertical="center"/>
    </xf>
    <xf numFmtId="49" fontId="12" fillId="0" borderId="0" xfId="0" applyNumberFormat="1" applyFont="1" applyAlignment="1">
      <alignment horizontal="left" vertical="center" wrapText="1"/>
    </xf>
    <xf numFmtId="3" fontId="12" fillId="0" borderId="26" xfId="0" applyNumberFormat="1" applyFont="1" applyBorder="1" applyAlignment="1">
      <alignment horizontal="right" vertical="center"/>
    </xf>
    <xf numFmtId="3" fontId="12" fillId="0" borderId="27" xfId="0" applyNumberFormat="1" applyFont="1" applyBorder="1" applyAlignment="1">
      <alignment horizontal="right" vertical="center"/>
    </xf>
    <xf numFmtId="0" fontId="11" fillId="0" borderId="17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3" fontId="12" fillId="0" borderId="7" xfId="0" applyNumberFormat="1" applyFont="1" applyBorder="1" applyAlignment="1">
      <alignment vertical="center"/>
    </xf>
    <xf numFmtId="0" fontId="12" fillId="0" borderId="17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31" xfId="0" applyFont="1" applyBorder="1" applyAlignment="1">
      <alignment horizontal="left" vertical="center" wrapText="1"/>
    </xf>
    <xf numFmtId="0" fontId="12" fillId="0" borderId="14" xfId="0" applyFont="1" applyBorder="1" applyAlignment="1">
      <alignment horizontal="left" vertical="center" wrapText="1"/>
    </xf>
    <xf numFmtId="3" fontId="12" fillId="0" borderId="13" xfId="0" applyNumberFormat="1" applyFont="1" applyBorder="1" applyAlignment="1">
      <alignment horizontal="right" vertical="center"/>
    </xf>
    <xf numFmtId="49" fontId="12" fillId="0" borderId="14" xfId="0" applyNumberFormat="1" applyFont="1" applyBorder="1" applyAlignment="1">
      <alignment horizontal="left" vertical="center" wrapText="1"/>
    </xf>
    <xf numFmtId="3" fontId="12" fillId="0" borderId="31" xfId="0" applyNumberFormat="1" applyFont="1" applyBorder="1" applyAlignment="1">
      <alignment horizontal="right" vertical="center"/>
    </xf>
    <xf numFmtId="3" fontId="12" fillId="0" borderId="17" xfId="0" applyNumberFormat="1" applyFont="1" applyBorder="1" applyAlignment="1">
      <alignment horizontal="right" vertical="center"/>
    </xf>
    <xf numFmtId="0" fontId="12" fillId="0" borderId="15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0" xfId="0" applyFont="1" applyAlignment="1">
      <alignment horizontal="right"/>
    </xf>
    <xf numFmtId="3" fontId="12" fillId="0" borderId="25" xfId="0" applyNumberFormat="1" applyFont="1" applyBorder="1" applyAlignment="1">
      <alignment horizontal="right" vertical="center"/>
    </xf>
    <xf numFmtId="3" fontId="12" fillId="0" borderId="7" xfId="0" quotePrefix="1" applyNumberFormat="1" applyFont="1" applyBorder="1" applyAlignment="1">
      <alignment horizontal="right" vertical="center"/>
    </xf>
    <xf numFmtId="3" fontId="12" fillId="0" borderId="27" xfId="0" quotePrefix="1" applyNumberFormat="1" applyFont="1" applyBorder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0" fontId="1" fillId="0" borderId="1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49" fontId="1" fillId="0" borderId="14" xfId="0" applyNumberFormat="1" applyFont="1" applyBorder="1" applyAlignment="1">
      <alignment horizontal="left" vertical="center" wrapText="1" indent="1"/>
    </xf>
    <xf numFmtId="49" fontId="1" fillId="0" borderId="0" xfId="0" applyNumberFormat="1" applyFont="1" applyAlignment="1">
      <alignment horizontal="left" vertical="center" wrapText="1" indent="1"/>
    </xf>
    <xf numFmtId="3" fontId="1" fillId="0" borderId="24" xfId="0" applyNumberFormat="1" applyFont="1" applyBorder="1" applyAlignment="1">
      <alignment horizontal="right" vertical="center"/>
    </xf>
    <xf numFmtId="3" fontId="1" fillId="0" borderId="26" xfId="0" applyNumberFormat="1" applyFont="1" applyBorder="1" applyAlignment="1">
      <alignment horizontal="right" vertical="center"/>
    </xf>
    <xf numFmtId="3" fontId="1" fillId="0" borderId="13" xfId="0" applyNumberFormat="1" applyFont="1" applyBorder="1" applyAlignment="1">
      <alignment horizontal="right" vertical="center"/>
    </xf>
    <xf numFmtId="3" fontId="1" fillId="0" borderId="7" xfId="0" applyNumberFormat="1" applyFont="1" applyBorder="1" applyAlignment="1">
      <alignment horizontal="right" vertical="center"/>
    </xf>
    <xf numFmtId="49" fontId="1" fillId="0" borderId="0" xfId="0" applyNumberFormat="1" applyFont="1" applyAlignment="1">
      <alignment horizontal="left" vertical="center" wrapText="1"/>
    </xf>
    <xf numFmtId="3" fontId="1" fillId="0" borderId="7" xfId="0" quotePrefix="1" applyNumberFormat="1" applyFont="1" applyBorder="1" applyAlignment="1">
      <alignment horizontal="right" vertical="center"/>
    </xf>
    <xf numFmtId="3" fontId="1" fillId="0" borderId="25" xfId="0" applyNumberFormat="1" applyFont="1" applyBorder="1" applyAlignment="1">
      <alignment horizontal="right" vertical="center"/>
    </xf>
    <xf numFmtId="3" fontId="1" fillId="0" borderId="27" xfId="0" applyNumberFormat="1" applyFont="1" applyBorder="1" applyAlignment="1">
      <alignment horizontal="right" vertical="center"/>
    </xf>
    <xf numFmtId="3" fontId="1" fillId="0" borderId="8" xfId="0" applyNumberFormat="1" applyFont="1" applyBorder="1" applyAlignment="1">
      <alignment horizontal="right" vertical="center"/>
    </xf>
    <xf numFmtId="3" fontId="1" fillId="0" borderId="7" xfId="0" applyNumberFormat="1" applyFont="1" applyBorder="1" applyAlignment="1">
      <alignment vertical="center"/>
    </xf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3" fontId="1" fillId="0" borderId="27" xfId="0" quotePrefix="1" applyNumberFormat="1" applyFont="1" applyBorder="1" applyAlignment="1">
      <alignment horizontal="right" vertical="center"/>
    </xf>
  </cellXfs>
  <cellStyles count="1">
    <cellStyle name="Κανονικό" xfId="0" builtinId="0"/>
  </cellStyles>
  <dxfs count="1">
    <dxf>
      <font>
        <b/>
        <i val="0"/>
      </font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.spyroulis/&#917;&#960;&#953;&#966;&#940;&#957;&#949;&#953;&#945;%20&#949;&#961;&#947;&#945;&#963;&#943;&#945;&#962;/&#916;&#925;&#931;&#919;_&#928;&#929;&#937;&#932;&#927;&#915;_&#917;&#923;&#931;&#932;&#913;&#932;/&#917;&#932;&#919;&#931;&#921;&#913;%20&#915;&#917;&#937;&#929;&#915;&#921;&#922;&#919;%20&#917;&#929;&#917;&#933;&#925;&#913;/&#913;&#925;&#913;&#923;&#933;&#932;&#921;&#922;&#913;%20&#917;&#915;&#917;%20&#928;&#929;&#927;&#931;%20&#916;&#919;&#924;&#927;&#931;&#921;&#917;&#933;&#931;&#919;/&#917;&#915;&#917;%20&#913;&#929;&#927;&#932;&#929;&#913;&#921;&#917;&#931;%202011%20&#913;&#925;&#913;&#923;&#933;&#932;&#921;&#922;&#927;&#921;%20&#928;&#921;&#925;&#913;&#922;&#917;&#931;/&#928;&#921;&#925;&#913;&#922;&#913;&#931;%202(&#945;)%20&#913;&#929;&#927;&#932;&#929;&#913;&#921;&#917;&#931;%20&#931;&#921;&#932;&#919;&#929;&#913;%20&#915;&#921;&#913;%20&#922;&#913;&#929;&#928;&#9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OfRegions"/>
      <sheetName val="Πίνακας2(α)"/>
    </sheetNames>
    <sheetDataSet>
      <sheetData sheetId="0" refreshError="1">
        <row r="1">
          <cell r="A1" t="str">
            <v>01</v>
          </cell>
          <cell r="B1" t="str">
            <v xml:space="preserve">  Ροδόπης</v>
          </cell>
        </row>
        <row r="2">
          <cell r="A2" t="str">
            <v>02</v>
          </cell>
          <cell r="B2" t="str">
            <v xml:space="preserve">  Δράμας</v>
          </cell>
        </row>
        <row r="3">
          <cell r="A3" t="str">
            <v>03</v>
          </cell>
          <cell r="B3" t="str">
            <v xml:space="preserve">  Έβρου</v>
          </cell>
        </row>
        <row r="4">
          <cell r="A4" t="str">
            <v>04</v>
          </cell>
          <cell r="B4" t="str">
            <v xml:space="preserve">  Θάσου</v>
          </cell>
        </row>
        <row r="5">
          <cell r="A5" t="str">
            <v>05</v>
          </cell>
          <cell r="B5" t="str">
            <v xml:space="preserve">  Καβάλας</v>
          </cell>
        </row>
        <row r="6">
          <cell r="A6" t="str">
            <v>06</v>
          </cell>
          <cell r="B6" t="str">
            <v xml:space="preserve">  Ξάνθης</v>
          </cell>
        </row>
        <row r="7">
          <cell r="A7" t="str">
            <v>07</v>
          </cell>
          <cell r="B7" t="str">
            <v xml:space="preserve">  Θεσσαλονίκης</v>
          </cell>
        </row>
        <row r="8">
          <cell r="A8" t="str">
            <v>08</v>
          </cell>
          <cell r="B8" t="str">
            <v xml:space="preserve">  Ημαθίας</v>
          </cell>
        </row>
        <row r="9">
          <cell r="A9" t="str">
            <v>09</v>
          </cell>
          <cell r="B9" t="str">
            <v xml:space="preserve">  Κιλκίς</v>
          </cell>
        </row>
        <row r="10">
          <cell r="A10" t="str">
            <v>10</v>
          </cell>
          <cell r="B10" t="str">
            <v xml:space="preserve">  Πέλλας</v>
          </cell>
        </row>
        <row r="11">
          <cell r="A11" t="str">
            <v>11</v>
          </cell>
          <cell r="B11" t="str">
            <v xml:space="preserve">  Πιερίας</v>
          </cell>
        </row>
        <row r="12">
          <cell r="A12" t="str">
            <v>12</v>
          </cell>
          <cell r="B12" t="str">
            <v xml:space="preserve">  Σερρών</v>
          </cell>
        </row>
        <row r="13">
          <cell r="A13" t="str">
            <v>13</v>
          </cell>
          <cell r="B13" t="str">
            <v xml:space="preserve">  Χαλκιδικής</v>
          </cell>
        </row>
        <row r="14">
          <cell r="A14" t="str">
            <v>14</v>
          </cell>
          <cell r="B14" t="str">
            <v xml:space="preserve">  Κοζάνης</v>
          </cell>
        </row>
        <row r="15">
          <cell r="A15" t="str">
            <v>15</v>
          </cell>
          <cell r="B15" t="str">
            <v xml:space="preserve">  Γρεβενών</v>
          </cell>
        </row>
        <row r="16">
          <cell r="A16" t="str">
            <v>16</v>
          </cell>
          <cell r="B16" t="str">
            <v xml:space="preserve">  Καστοριάς</v>
          </cell>
        </row>
        <row r="17">
          <cell r="A17" t="str">
            <v>17</v>
          </cell>
          <cell r="B17" t="str">
            <v xml:space="preserve">  Φλώρινας</v>
          </cell>
        </row>
        <row r="18">
          <cell r="A18" t="str">
            <v>18</v>
          </cell>
          <cell r="B18" t="str">
            <v xml:space="preserve">  Ιωαννίνων</v>
          </cell>
        </row>
        <row r="19">
          <cell r="A19" t="str">
            <v>19</v>
          </cell>
          <cell r="B19" t="str">
            <v xml:space="preserve">  Άρτας</v>
          </cell>
        </row>
        <row r="20">
          <cell r="A20" t="str">
            <v>20</v>
          </cell>
          <cell r="B20" t="str">
            <v xml:space="preserve">  Θεσπρωτίας</v>
          </cell>
        </row>
        <row r="21">
          <cell r="A21" t="str">
            <v>21</v>
          </cell>
          <cell r="B21" t="str">
            <v xml:space="preserve">  Πρέβεζας</v>
          </cell>
        </row>
        <row r="22">
          <cell r="A22" t="str">
            <v>22</v>
          </cell>
          <cell r="B22" t="str">
            <v xml:space="preserve">  Λάρισας</v>
          </cell>
        </row>
        <row r="23">
          <cell r="A23" t="str">
            <v>23</v>
          </cell>
          <cell r="B23" t="str">
            <v xml:space="preserve">  Καρδίτσας</v>
          </cell>
        </row>
        <row r="24">
          <cell r="A24" t="str">
            <v>24</v>
          </cell>
          <cell r="B24" t="str">
            <v xml:space="preserve">  Μαγνησίας</v>
          </cell>
        </row>
        <row r="25">
          <cell r="A25" t="str">
            <v>25</v>
          </cell>
          <cell r="B25" t="str">
            <v xml:space="preserve">  Σποράδων</v>
          </cell>
        </row>
        <row r="26">
          <cell r="A26" t="str">
            <v>26</v>
          </cell>
          <cell r="B26" t="str">
            <v xml:space="preserve">  Τρικάλων</v>
          </cell>
        </row>
        <row r="27">
          <cell r="A27" t="str">
            <v>27</v>
          </cell>
          <cell r="B27" t="str">
            <v xml:space="preserve">  Φθιώτιδας</v>
          </cell>
        </row>
        <row r="28">
          <cell r="A28" t="str">
            <v>28</v>
          </cell>
          <cell r="B28" t="str">
            <v xml:space="preserve">  Βοιωτίας</v>
          </cell>
        </row>
        <row r="29">
          <cell r="A29" t="str">
            <v>29</v>
          </cell>
          <cell r="B29" t="str">
            <v xml:space="preserve">  Εύβοιας</v>
          </cell>
        </row>
        <row r="30">
          <cell r="A30" t="str">
            <v>30</v>
          </cell>
          <cell r="B30" t="str">
            <v xml:space="preserve">  Ευρυτανίας</v>
          </cell>
        </row>
        <row r="31">
          <cell r="A31" t="str">
            <v>31</v>
          </cell>
          <cell r="B31" t="str">
            <v xml:space="preserve">  Φωκίδας</v>
          </cell>
        </row>
        <row r="32">
          <cell r="A32" t="str">
            <v>32</v>
          </cell>
          <cell r="B32" t="str">
            <v xml:space="preserve">  Κέρκυρας</v>
          </cell>
        </row>
        <row r="33">
          <cell r="A33" t="str">
            <v>33</v>
          </cell>
          <cell r="B33" t="str">
            <v xml:space="preserve">  Ζακύνθου</v>
          </cell>
        </row>
        <row r="34">
          <cell r="A34" t="str">
            <v>34</v>
          </cell>
          <cell r="B34" t="str">
            <v xml:space="preserve">  Ιθάκης</v>
          </cell>
        </row>
        <row r="35">
          <cell r="A35" t="str">
            <v>35</v>
          </cell>
          <cell r="B35" t="str">
            <v xml:space="preserve">  Κεφαλληνίας</v>
          </cell>
        </row>
        <row r="36">
          <cell r="A36" t="str">
            <v>36</v>
          </cell>
          <cell r="B36" t="str">
            <v xml:space="preserve">  Λευκάδας</v>
          </cell>
        </row>
        <row r="37">
          <cell r="A37" t="str">
            <v>37</v>
          </cell>
          <cell r="B37" t="str">
            <v xml:space="preserve">  Αχαϊας</v>
          </cell>
        </row>
        <row r="38">
          <cell r="A38" t="str">
            <v>38</v>
          </cell>
          <cell r="B38" t="str">
            <v xml:space="preserve">  Αιτωλ/νανίας</v>
          </cell>
        </row>
        <row r="39">
          <cell r="A39" t="str">
            <v>39</v>
          </cell>
          <cell r="B39" t="str">
            <v xml:space="preserve">  Ηλείας</v>
          </cell>
        </row>
        <row r="40">
          <cell r="A40" t="str">
            <v>40</v>
          </cell>
          <cell r="B40" t="str">
            <v xml:space="preserve">  Αρκαδίας</v>
          </cell>
        </row>
        <row r="41">
          <cell r="A41" t="str">
            <v>41</v>
          </cell>
          <cell r="B41" t="str">
            <v xml:space="preserve">  Αργολίδας</v>
          </cell>
        </row>
        <row r="42">
          <cell r="A42" t="str">
            <v>42</v>
          </cell>
          <cell r="B42" t="str">
            <v xml:space="preserve">  Κορινθίας</v>
          </cell>
        </row>
        <row r="43">
          <cell r="A43" t="str">
            <v>43</v>
          </cell>
          <cell r="B43" t="str">
            <v xml:space="preserve">  Λακωνίας</v>
          </cell>
        </row>
        <row r="44">
          <cell r="A44" t="str">
            <v>44</v>
          </cell>
          <cell r="B44" t="str">
            <v xml:space="preserve">  Μεσσηνίας</v>
          </cell>
        </row>
        <row r="45">
          <cell r="A45" t="str">
            <v>45</v>
          </cell>
          <cell r="B45" t="str">
            <v xml:space="preserve">  Κεντρικού Τομέα Αθηνών</v>
          </cell>
        </row>
        <row r="46">
          <cell r="A46" t="str">
            <v>46</v>
          </cell>
          <cell r="B46" t="str">
            <v xml:space="preserve"> Βορείου Τομέα Αθηνών</v>
          </cell>
        </row>
        <row r="47">
          <cell r="A47" t="str">
            <v>47</v>
          </cell>
          <cell r="B47" t="str">
            <v xml:space="preserve">  Δυτικού Τομέα Αθηνών</v>
          </cell>
        </row>
        <row r="48">
          <cell r="A48" t="str">
            <v>48</v>
          </cell>
          <cell r="B48" t="str">
            <v xml:space="preserve">  Νοτίου Τομέα Αθηνών</v>
          </cell>
        </row>
        <row r="49">
          <cell r="A49" t="str">
            <v>49</v>
          </cell>
          <cell r="B49" t="str">
            <v xml:space="preserve">  Ανατολικής Αττικής</v>
          </cell>
        </row>
        <row r="50">
          <cell r="A50" t="str">
            <v>50</v>
          </cell>
          <cell r="B50" t="str">
            <v xml:space="preserve">  Δυτικής Αττικής</v>
          </cell>
        </row>
        <row r="51">
          <cell r="A51" t="str">
            <v>51</v>
          </cell>
          <cell r="B51" t="str">
            <v xml:space="preserve">  Πειραιώς</v>
          </cell>
        </row>
        <row r="52">
          <cell r="A52" t="str">
            <v>52</v>
          </cell>
          <cell r="B52" t="str">
            <v xml:space="preserve">  Νήσων</v>
          </cell>
        </row>
        <row r="53">
          <cell r="A53" t="str">
            <v>53</v>
          </cell>
          <cell r="B53" t="str">
            <v xml:space="preserve">  Λέσβου</v>
          </cell>
        </row>
        <row r="54">
          <cell r="A54" t="str">
            <v>54</v>
          </cell>
          <cell r="B54" t="str">
            <v xml:space="preserve">  Ικαρίας</v>
          </cell>
        </row>
        <row r="55">
          <cell r="A55" t="str">
            <v>55</v>
          </cell>
          <cell r="B55" t="str">
            <v xml:space="preserve">  Λήμνου</v>
          </cell>
        </row>
        <row r="56">
          <cell r="A56" t="str">
            <v>56</v>
          </cell>
          <cell r="B56" t="str">
            <v xml:space="preserve">  Σάμου.</v>
          </cell>
        </row>
        <row r="57">
          <cell r="A57" t="str">
            <v>57</v>
          </cell>
          <cell r="B57" t="str">
            <v xml:space="preserve">  Χίου</v>
          </cell>
        </row>
        <row r="58">
          <cell r="A58" t="str">
            <v>58</v>
          </cell>
          <cell r="B58" t="str">
            <v xml:space="preserve">  Σύρου</v>
          </cell>
        </row>
        <row r="59">
          <cell r="A59" t="str">
            <v>59</v>
          </cell>
          <cell r="B59" t="str">
            <v xml:space="preserve">  Άνδρου</v>
          </cell>
        </row>
        <row r="60">
          <cell r="A60" t="str">
            <v>60</v>
          </cell>
          <cell r="B60" t="str">
            <v xml:space="preserve">  Θήρας</v>
          </cell>
        </row>
        <row r="61">
          <cell r="A61" t="str">
            <v>61</v>
          </cell>
          <cell r="B61" t="str">
            <v xml:space="preserve">  Καλύμνου</v>
          </cell>
        </row>
        <row r="62">
          <cell r="A62" t="str">
            <v>62</v>
          </cell>
          <cell r="B62" t="str">
            <v xml:space="preserve">  Καρπάθου</v>
          </cell>
        </row>
        <row r="63">
          <cell r="A63" t="str">
            <v>63</v>
          </cell>
          <cell r="B63" t="str">
            <v xml:space="preserve">  Κύθνου</v>
          </cell>
        </row>
        <row r="64">
          <cell r="A64" t="str">
            <v>64</v>
          </cell>
          <cell r="B64" t="str">
            <v xml:space="preserve">  Κω</v>
          </cell>
        </row>
        <row r="65">
          <cell r="A65" t="str">
            <v>65</v>
          </cell>
          <cell r="B65" t="str">
            <v xml:space="preserve">  Μήλου</v>
          </cell>
        </row>
        <row r="66">
          <cell r="A66" t="str">
            <v>66</v>
          </cell>
          <cell r="B66" t="str">
            <v xml:space="preserve">  Μυκόνου.</v>
          </cell>
        </row>
        <row r="67">
          <cell r="A67" t="str">
            <v>67</v>
          </cell>
          <cell r="B67" t="str">
            <v xml:space="preserve">  Νάξου</v>
          </cell>
        </row>
        <row r="68">
          <cell r="A68" t="str">
            <v>68</v>
          </cell>
          <cell r="B68" t="str">
            <v xml:space="preserve">  Πάρου</v>
          </cell>
        </row>
        <row r="69">
          <cell r="A69" t="str">
            <v>69</v>
          </cell>
          <cell r="B69" t="str">
            <v xml:space="preserve">  Ρόδου</v>
          </cell>
        </row>
        <row r="70">
          <cell r="A70" t="str">
            <v>70</v>
          </cell>
          <cell r="B70" t="str">
            <v xml:space="preserve">  Τήνου</v>
          </cell>
        </row>
        <row r="71">
          <cell r="A71" t="str">
            <v>71</v>
          </cell>
          <cell r="B71" t="str">
            <v xml:space="preserve">  Ηρακλείου</v>
          </cell>
        </row>
        <row r="72">
          <cell r="A72" t="str">
            <v>72</v>
          </cell>
          <cell r="B72" t="str">
            <v xml:space="preserve">  Λασιθίου</v>
          </cell>
        </row>
        <row r="73">
          <cell r="A73" t="str">
            <v>73</v>
          </cell>
          <cell r="B73" t="str">
            <v xml:space="preserve">  Ρεθύμνης</v>
          </cell>
        </row>
        <row r="74">
          <cell r="A74" t="str">
            <v>74</v>
          </cell>
          <cell r="B74" t="str">
            <v xml:space="preserve">  Χανίων</v>
          </cell>
        </row>
        <row r="75">
          <cell r="A75" t="str">
            <v>99</v>
          </cell>
          <cell r="B75" t="str">
            <v xml:space="preserve">  Αγίου Όρους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113"/>
  <sheetViews>
    <sheetView showGridLines="0" tabSelected="1" zoomScaleNormal="100" workbookViewId="0">
      <selection activeCell="P21" sqref="P21"/>
    </sheetView>
  </sheetViews>
  <sheetFormatPr defaultRowHeight="14.4" x14ac:dyDescent="0.3"/>
  <cols>
    <col min="1" max="1" width="33.33203125" customWidth="1"/>
    <col min="2" max="3" width="9.109375" bestFit="1" customWidth="1"/>
    <col min="4" max="4" width="6.5546875" bestFit="1" customWidth="1"/>
    <col min="5" max="6" width="10.109375" bestFit="1" customWidth="1"/>
    <col min="7" max="7" width="7.5546875" bestFit="1" customWidth="1"/>
    <col min="8" max="9" width="9.109375" bestFit="1" customWidth="1"/>
    <col min="10" max="10" width="7.5546875" bestFit="1" customWidth="1"/>
    <col min="11" max="12" width="9.109375" bestFit="1" customWidth="1"/>
    <col min="13" max="13" width="6.5546875" bestFit="1" customWidth="1"/>
    <col min="14" max="15" width="10.109375" bestFit="1" customWidth="1"/>
    <col min="16" max="16" width="7.5546875" bestFit="1" customWidth="1"/>
    <col min="17" max="18" width="9.109375" bestFit="1" customWidth="1"/>
    <col min="19" max="19" width="7.5546875" bestFit="1" customWidth="1"/>
    <col min="20" max="21" width="9.109375" bestFit="1" customWidth="1"/>
    <col min="22" max="22" width="6.5546875" bestFit="1" customWidth="1"/>
    <col min="23" max="24" width="10.109375" bestFit="1" customWidth="1"/>
    <col min="25" max="25" width="7.5546875" bestFit="1" customWidth="1"/>
    <col min="26" max="27" width="9.109375" bestFit="1" customWidth="1"/>
    <col min="28" max="28" width="7.5546875" bestFit="1" customWidth="1"/>
    <col min="29" max="30" width="9.109375" bestFit="1" customWidth="1"/>
    <col min="31" max="33" width="7.5546875" bestFit="1" customWidth="1"/>
    <col min="34" max="34" width="6.5546875" bestFit="1" customWidth="1"/>
    <col min="35" max="36" width="7.5546875" bestFit="1" customWidth="1"/>
    <col min="37" max="37" width="6.5546875" bestFit="1" customWidth="1"/>
    <col min="38" max="39" width="9.109375" bestFit="1" customWidth="1"/>
    <col min="40" max="40" width="6.5546875" bestFit="1" customWidth="1"/>
    <col min="41" max="42" width="9.109375" bestFit="1" customWidth="1"/>
    <col min="43" max="43" width="6.5546875" bestFit="1" customWidth="1"/>
    <col min="44" max="45" width="9.109375" bestFit="1" customWidth="1"/>
    <col min="46" max="46" width="6.5546875" bestFit="1" customWidth="1"/>
    <col min="47" max="48" width="9.109375" bestFit="1" customWidth="1"/>
    <col min="49" max="49" width="6.5546875" bestFit="1" customWidth="1"/>
    <col min="50" max="51" width="11.109375" bestFit="1" customWidth="1"/>
    <col min="52" max="52" width="8.33203125" customWidth="1"/>
    <col min="53" max="53" width="9.88671875" customWidth="1"/>
    <col min="54" max="54" width="26.77734375" bestFit="1" customWidth="1"/>
    <col min="55" max="55" width="15.109375" customWidth="1"/>
    <col min="56" max="56" width="34.33203125" bestFit="1" customWidth="1"/>
  </cols>
  <sheetData>
    <row r="1" spans="1:64" ht="6.3" customHeight="1" x14ac:dyDescent="0.3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</row>
    <row r="2" spans="1:64" ht="18" x14ac:dyDescent="0.3">
      <c r="A2" s="90" t="s">
        <v>140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3"/>
      <c r="BF2" s="53"/>
      <c r="BG2" s="53"/>
      <c r="BH2" s="53"/>
      <c r="BI2" s="53"/>
      <c r="BJ2" s="53"/>
      <c r="BK2" s="53"/>
      <c r="BL2" s="53"/>
    </row>
    <row r="3" spans="1:64" ht="18" x14ac:dyDescent="0.3">
      <c r="A3" s="90" t="s">
        <v>141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79"/>
      <c r="Y3" s="54"/>
      <c r="Z3" s="54"/>
      <c r="AA3" s="54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3"/>
      <c r="BF3" s="53"/>
      <c r="BG3" s="53"/>
      <c r="BH3" s="53"/>
      <c r="BI3" s="53"/>
      <c r="BJ3" s="53"/>
      <c r="BK3" s="53"/>
      <c r="BL3" s="53"/>
    </row>
    <row r="4" spans="1:64" ht="15" thickBot="1" x14ac:dyDescent="0.35">
      <c r="A4" s="80" t="s">
        <v>118</v>
      </c>
      <c r="B4" s="55"/>
      <c r="C4" s="55"/>
      <c r="D4" s="55"/>
      <c r="E4" s="55"/>
      <c r="F4" s="55"/>
      <c r="G4" s="129"/>
      <c r="H4" s="129"/>
      <c r="I4" s="129"/>
      <c r="J4" s="129"/>
      <c r="K4" s="129"/>
      <c r="L4" s="129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7"/>
      <c r="BC4" s="81"/>
      <c r="BD4" s="82" t="s">
        <v>135</v>
      </c>
      <c r="BF4" s="56"/>
      <c r="BG4" s="56"/>
      <c r="BH4" s="56"/>
      <c r="BI4" s="56"/>
      <c r="BJ4" s="56"/>
      <c r="BK4" s="56"/>
      <c r="BL4" s="56"/>
    </row>
    <row r="5" spans="1:64" ht="15" customHeight="1" x14ac:dyDescent="0.3">
      <c r="A5" s="108" t="s">
        <v>0</v>
      </c>
      <c r="B5" s="111" t="s">
        <v>124</v>
      </c>
      <c r="C5" s="112"/>
      <c r="D5" s="112"/>
      <c r="E5" s="117" t="s">
        <v>123</v>
      </c>
      <c r="F5" s="112"/>
      <c r="G5" s="118"/>
      <c r="H5" s="117" t="s">
        <v>125</v>
      </c>
      <c r="I5" s="112"/>
      <c r="J5" s="118"/>
      <c r="K5" s="112" t="s">
        <v>126</v>
      </c>
      <c r="L5" s="112"/>
      <c r="M5" s="118"/>
      <c r="N5" s="117" t="s">
        <v>121</v>
      </c>
      <c r="O5" s="112"/>
      <c r="P5" s="118"/>
      <c r="Q5" s="117" t="s">
        <v>136</v>
      </c>
      <c r="R5" s="112"/>
      <c r="S5" s="118"/>
      <c r="T5" s="117" t="s">
        <v>137</v>
      </c>
      <c r="U5" s="112"/>
      <c r="V5" s="118"/>
      <c r="W5" s="117" t="s">
        <v>127</v>
      </c>
      <c r="X5" s="112"/>
      <c r="Y5" s="118"/>
      <c r="Z5" s="117" t="s">
        <v>128</v>
      </c>
      <c r="AA5" s="112"/>
      <c r="AB5" s="118"/>
      <c r="AC5" s="117" t="s">
        <v>129</v>
      </c>
      <c r="AD5" s="112"/>
      <c r="AE5" s="118"/>
      <c r="AF5" s="112" t="s">
        <v>130</v>
      </c>
      <c r="AG5" s="112"/>
      <c r="AH5" s="112"/>
      <c r="AI5" s="117" t="s">
        <v>131</v>
      </c>
      <c r="AJ5" s="112"/>
      <c r="AK5" s="118"/>
      <c r="AL5" s="117" t="s">
        <v>132</v>
      </c>
      <c r="AM5" s="112"/>
      <c r="AN5" s="118"/>
      <c r="AO5" s="117" t="s">
        <v>133</v>
      </c>
      <c r="AP5" s="112"/>
      <c r="AQ5" s="118"/>
      <c r="AR5" s="112" t="s">
        <v>134</v>
      </c>
      <c r="AS5" s="112"/>
      <c r="AT5" s="118"/>
      <c r="AU5" s="117" t="s">
        <v>138</v>
      </c>
      <c r="AV5" s="112"/>
      <c r="AW5" s="118"/>
      <c r="AX5" s="117" t="s">
        <v>122</v>
      </c>
      <c r="AY5" s="112"/>
      <c r="AZ5" s="112"/>
      <c r="BA5" s="126"/>
      <c r="BB5" s="123" t="s">
        <v>1</v>
      </c>
      <c r="BC5" s="108"/>
      <c r="BD5" s="108"/>
    </row>
    <row r="6" spans="1:64" x14ac:dyDescent="0.3">
      <c r="A6" s="109"/>
      <c r="B6" s="113"/>
      <c r="C6" s="114"/>
      <c r="D6" s="114"/>
      <c r="E6" s="119"/>
      <c r="F6" s="114"/>
      <c r="G6" s="120"/>
      <c r="H6" s="119"/>
      <c r="I6" s="114"/>
      <c r="J6" s="120"/>
      <c r="K6" s="114"/>
      <c r="L6" s="114"/>
      <c r="M6" s="120"/>
      <c r="N6" s="119"/>
      <c r="O6" s="114"/>
      <c r="P6" s="120"/>
      <c r="Q6" s="119"/>
      <c r="R6" s="114"/>
      <c r="S6" s="120"/>
      <c r="T6" s="119"/>
      <c r="U6" s="114"/>
      <c r="V6" s="120"/>
      <c r="W6" s="119"/>
      <c r="X6" s="114"/>
      <c r="Y6" s="120"/>
      <c r="Z6" s="119"/>
      <c r="AA6" s="114"/>
      <c r="AB6" s="120"/>
      <c r="AC6" s="119"/>
      <c r="AD6" s="114"/>
      <c r="AE6" s="120"/>
      <c r="AF6" s="114"/>
      <c r="AG6" s="114"/>
      <c r="AH6" s="114"/>
      <c r="AI6" s="119"/>
      <c r="AJ6" s="114"/>
      <c r="AK6" s="120"/>
      <c r="AL6" s="119"/>
      <c r="AM6" s="114"/>
      <c r="AN6" s="120"/>
      <c r="AO6" s="119"/>
      <c r="AP6" s="114"/>
      <c r="AQ6" s="120"/>
      <c r="AR6" s="114"/>
      <c r="AS6" s="114"/>
      <c r="AT6" s="120"/>
      <c r="AU6" s="119"/>
      <c r="AV6" s="114"/>
      <c r="AW6" s="120"/>
      <c r="AX6" s="119"/>
      <c r="AY6" s="114"/>
      <c r="AZ6" s="114"/>
      <c r="BA6" s="127"/>
      <c r="BB6" s="124"/>
      <c r="BC6" s="109"/>
      <c r="BD6" s="109"/>
    </row>
    <row r="7" spans="1:64" x14ac:dyDescent="0.3">
      <c r="A7" s="109"/>
      <c r="B7" s="115"/>
      <c r="C7" s="116"/>
      <c r="D7" s="116"/>
      <c r="E7" s="121"/>
      <c r="F7" s="116"/>
      <c r="G7" s="122"/>
      <c r="H7" s="121"/>
      <c r="I7" s="116"/>
      <c r="J7" s="122"/>
      <c r="K7" s="116"/>
      <c r="L7" s="116"/>
      <c r="M7" s="122"/>
      <c r="N7" s="121"/>
      <c r="O7" s="116"/>
      <c r="P7" s="122"/>
      <c r="Q7" s="121"/>
      <c r="R7" s="116"/>
      <c r="S7" s="122"/>
      <c r="T7" s="121"/>
      <c r="U7" s="116"/>
      <c r="V7" s="122"/>
      <c r="W7" s="121"/>
      <c r="X7" s="116"/>
      <c r="Y7" s="122"/>
      <c r="Z7" s="121"/>
      <c r="AA7" s="116"/>
      <c r="AB7" s="122"/>
      <c r="AC7" s="121"/>
      <c r="AD7" s="116"/>
      <c r="AE7" s="122"/>
      <c r="AF7" s="116"/>
      <c r="AG7" s="116"/>
      <c r="AH7" s="116"/>
      <c r="AI7" s="121"/>
      <c r="AJ7" s="116"/>
      <c r="AK7" s="122"/>
      <c r="AL7" s="121"/>
      <c r="AM7" s="116"/>
      <c r="AN7" s="122"/>
      <c r="AO7" s="121"/>
      <c r="AP7" s="116"/>
      <c r="AQ7" s="122"/>
      <c r="AR7" s="116"/>
      <c r="AS7" s="116"/>
      <c r="AT7" s="122"/>
      <c r="AU7" s="121"/>
      <c r="AV7" s="116"/>
      <c r="AW7" s="122"/>
      <c r="AX7" s="121"/>
      <c r="AY7" s="116"/>
      <c r="AZ7" s="116"/>
      <c r="BA7" s="128"/>
      <c r="BB7" s="124"/>
      <c r="BC7" s="109"/>
      <c r="BD7" s="109"/>
    </row>
    <row r="8" spans="1:64" x14ac:dyDescent="0.3">
      <c r="A8" s="110"/>
      <c r="B8" s="58">
        <v>3</v>
      </c>
      <c r="C8" s="59">
        <v>4</v>
      </c>
      <c r="D8" s="60">
        <v>5</v>
      </c>
      <c r="E8" s="61">
        <v>3</v>
      </c>
      <c r="F8" s="59">
        <v>4</v>
      </c>
      <c r="G8" s="59">
        <v>5</v>
      </c>
      <c r="H8" s="61">
        <v>3</v>
      </c>
      <c r="I8" s="59">
        <v>4</v>
      </c>
      <c r="J8" s="59">
        <v>5</v>
      </c>
      <c r="K8" s="61">
        <v>3</v>
      </c>
      <c r="L8" s="59">
        <v>4</v>
      </c>
      <c r="M8" s="59">
        <v>5</v>
      </c>
      <c r="N8" s="59">
        <v>3</v>
      </c>
      <c r="O8" s="59">
        <v>4</v>
      </c>
      <c r="P8" s="61">
        <v>5</v>
      </c>
      <c r="Q8" s="59">
        <v>3</v>
      </c>
      <c r="R8" s="59">
        <v>4</v>
      </c>
      <c r="S8" s="61">
        <v>5</v>
      </c>
      <c r="T8" s="59">
        <v>3</v>
      </c>
      <c r="U8" s="59">
        <v>4</v>
      </c>
      <c r="V8" s="60">
        <v>5</v>
      </c>
      <c r="W8" s="61">
        <v>3</v>
      </c>
      <c r="X8" s="59">
        <v>4</v>
      </c>
      <c r="Y8" s="59">
        <v>5</v>
      </c>
      <c r="Z8" s="61">
        <v>3</v>
      </c>
      <c r="AA8" s="59">
        <v>4</v>
      </c>
      <c r="AB8" s="59">
        <v>5</v>
      </c>
      <c r="AC8" s="61">
        <v>3</v>
      </c>
      <c r="AD8" s="59">
        <v>4</v>
      </c>
      <c r="AE8" s="59">
        <v>5</v>
      </c>
      <c r="AF8" s="59">
        <v>3</v>
      </c>
      <c r="AG8" s="59">
        <v>4</v>
      </c>
      <c r="AH8" s="60">
        <v>5</v>
      </c>
      <c r="AI8" s="61">
        <v>3</v>
      </c>
      <c r="AJ8" s="59">
        <v>4</v>
      </c>
      <c r="AK8" s="59">
        <v>5</v>
      </c>
      <c r="AL8" s="61">
        <v>3</v>
      </c>
      <c r="AM8" s="59">
        <v>4</v>
      </c>
      <c r="AN8" s="59">
        <v>5</v>
      </c>
      <c r="AO8" s="61">
        <v>3</v>
      </c>
      <c r="AP8" s="59">
        <v>4</v>
      </c>
      <c r="AQ8" s="59">
        <v>5</v>
      </c>
      <c r="AR8" s="59">
        <v>3</v>
      </c>
      <c r="AS8" s="59">
        <v>4</v>
      </c>
      <c r="AT8" s="59">
        <v>5</v>
      </c>
      <c r="AU8" s="61">
        <v>3</v>
      </c>
      <c r="AV8" s="59">
        <v>4</v>
      </c>
      <c r="AW8" s="59">
        <v>5</v>
      </c>
      <c r="AX8" s="61">
        <v>3</v>
      </c>
      <c r="AY8" s="59">
        <v>4</v>
      </c>
      <c r="AZ8" s="61" t="s">
        <v>114</v>
      </c>
      <c r="BA8" s="62" t="s">
        <v>115</v>
      </c>
      <c r="BB8" s="125"/>
      <c r="BC8" s="110"/>
      <c r="BD8" s="110"/>
    </row>
    <row r="9" spans="1:64" x14ac:dyDescent="0.3">
      <c r="A9" s="105" t="s">
        <v>2</v>
      </c>
      <c r="B9" s="106">
        <f>SUM(B11,B19,B28,B33,B39,B46,B53,B60,B65,B72,B82,B89,B104)</f>
        <v>1329352</v>
      </c>
      <c r="C9" s="104">
        <f>SUM(C11,C19,C28,C33,C39,C46,C53,C60,C65,C72,C82,C89,C104)</f>
        <v>1135680</v>
      </c>
      <c r="D9" s="104">
        <f t="shared" ref="D9:F9" si="0">SUM(D11,D19,D28,D33,D39,D46,D53,D60,D65,D72,D82,D89,D104)</f>
        <v>53322.373</v>
      </c>
      <c r="E9" s="104">
        <f t="shared" si="0"/>
        <v>13534633</v>
      </c>
      <c r="F9" s="104">
        <f t="shared" si="0"/>
        <v>13242129</v>
      </c>
      <c r="G9" s="104">
        <f>SUM(G11,G19,G28,G33,G39,G46,G53,G60,G65,G72,G82,G89,G104)</f>
        <v>681816.89800000004</v>
      </c>
      <c r="H9" s="104">
        <f>SUM(H11,H19,H28,H33,H39,H46,H53,H60,H65,H72,H82,H89,H104)</f>
        <v>4458390</v>
      </c>
      <c r="I9" s="104">
        <f>SUM(I11,I19,I28,I33,I39,I46,I53,I60,I65,I72,I82,I89,I104)</f>
        <v>4308138</v>
      </c>
      <c r="J9" s="104">
        <f>SUM(J11,J19,J28,J33,J39,J46,J53,J60,J65,J72,J82,J89,J104)</f>
        <v>184587.79300000003</v>
      </c>
      <c r="K9" s="104">
        <f t="shared" ref="K9:O9" si="1">SUM(K11,K19,K28,K33,K39,K46,K53,K60,K65,K72,K82,K89,K104)</f>
        <v>3748253</v>
      </c>
      <c r="L9" s="104">
        <f>SUM(L11,L19,L28,L33,L39,L46,L53,L60,L65,L72,L82,L89,L104)</f>
        <v>3489127</v>
      </c>
      <c r="M9" s="104">
        <f>SUM(M11,M19,M28,M33,M39,M46,M53,M60,M65,M72,M82,M89,M104)</f>
        <v>86619.650000000009</v>
      </c>
      <c r="N9" s="104">
        <f t="shared" si="1"/>
        <v>15156950</v>
      </c>
      <c r="O9" s="104">
        <f t="shared" si="1"/>
        <v>14904288</v>
      </c>
      <c r="P9" s="104">
        <f t="shared" ref="P9:BA9" si="2">SUM(P11,P19,P28,P33,P39,P46,P53,P60,P65,P72,P82,P89,P104)</f>
        <v>327035.71799999999</v>
      </c>
      <c r="Q9" s="104">
        <f>SUM(Q11,Q19,Q28,Q33,Q39,Q46,Q53,Q60,Q65,Q72,Q82,Q89,Q104)</f>
        <v>8949976</v>
      </c>
      <c r="R9" s="104">
        <f t="shared" ref="R9:V9" si="3">SUM(R11,R19,R28,R33,R39,R46,R53,R60,R65,R72,R82,R89,R104)</f>
        <v>8944473</v>
      </c>
      <c r="S9" s="104">
        <f t="shared" si="3"/>
        <v>345289.54399999999</v>
      </c>
      <c r="T9" s="104">
        <f t="shared" si="3"/>
        <v>1655604</v>
      </c>
      <c r="U9" s="104">
        <f t="shared" si="3"/>
        <v>1584840</v>
      </c>
      <c r="V9" s="104">
        <f t="shared" si="3"/>
        <v>50010.957000000009</v>
      </c>
      <c r="W9" s="104">
        <f t="shared" si="2"/>
        <v>19643662</v>
      </c>
      <c r="X9" s="104">
        <f t="shared" si="2"/>
        <v>19581094</v>
      </c>
      <c r="Y9" s="104">
        <f t="shared" si="2"/>
        <v>753004.55999999994</v>
      </c>
      <c r="Z9" s="104">
        <f t="shared" si="2"/>
        <v>4736893</v>
      </c>
      <c r="AA9" s="104">
        <f t="shared" si="2"/>
        <v>4681307</v>
      </c>
      <c r="AB9" s="104">
        <f t="shared" si="2"/>
        <v>132007.45500000002</v>
      </c>
      <c r="AC9" s="104">
        <f t="shared" si="2"/>
        <v>8425375</v>
      </c>
      <c r="AD9" s="104">
        <f t="shared" si="2"/>
        <v>8347126</v>
      </c>
      <c r="AE9" s="104">
        <f t="shared" si="2"/>
        <v>134111.41499999998</v>
      </c>
      <c r="AF9" s="104">
        <f t="shared" si="2"/>
        <v>394734</v>
      </c>
      <c r="AG9" s="104">
        <f t="shared" si="2"/>
        <v>200208</v>
      </c>
      <c r="AH9" s="104">
        <f t="shared" si="2"/>
        <v>11139.432000000001</v>
      </c>
      <c r="AI9" s="104">
        <f t="shared" si="2"/>
        <v>600707</v>
      </c>
      <c r="AJ9" s="104">
        <f t="shared" si="2"/>
        <v>576195</v>
      </c>
      <c r="AK9" s="104">
        <f t="shared" si="2"/>
        <v>14522.172999999999</v>
      </c>
      <c r="AL9" s="104">
        <f t="shared" si="2"/>
        <v>6158945</v>
      </c>
      <c r="AM9" s="104">
        <f t="shared" si="2"/>
        <v>5984597</v>
      </c>
      <c r="AN9" s="104">
        <f t="shared" si="2"/>
        <v>69633.857000000004</v>
      </c>
      <c r="AO9" s="104">
        <f t="shared" si="2"/>
        <v>3201186</v>
      </c>
      <c r="AP9" s="104">
        <f t="shared" si="2"/>
        <v>2969371</v>
      </c>
      <c r="AQ9" s="104">
        <f t="shared" si="2"/>
        <v>54771.055999999997</v>
      </c>
      <c r="AR9" s="104">
        <f t="shared" si="2"/>
        <v>1576411</v>
      </c>
      <c r="AS9" s="104">
        <f t="shared" si="2"/>
        <v>1498067</v>
      </c>
      <c r="AT9" s="104">
        <f t="shared" si="2"/>
        <v>38232.161999999989</v>
      </c>
      <c r="AU9" s="104">
        <f t="shared" si="2"/>
        <v>1279181</v>
      </c>
      <c r="AV9" s="104">
        <f t="shared" si="2"/>
        <v>1272872</v>
      </c>
      <c r="AW9" s="104">
        <f t="shared" si="2"/>
        <v>18964.895000000004</v>
      </c>
      <c r="AX9" s="104">
        <f t="shared" si="2"/>
        <v>147293391</v>
      </c>
      <c r="AY9" s="104">
        <f t="shared" si="2"/>
        <v>143567897</v>
      </c>
      <c r="AZ9" s="104">
        <f t="shared" si="2"/>
        <v>461839.48999999993</v>
      </c>
      <c r="BA9" s="130">
        <f t="shared" si="2"/>
        <v>2747069.0890000002</v>
      </c>
      <c r="BB9" s="102" t="s">
        <v>3</v>
      </c>
      <c r="BC9" s="103"/>
      <c r="BD9" s="103"/>
    </row>
    <row r="10" spans="1:64" x14ac:dyDescent="0.3">
      <c r="A10" s="94"/>
      <c r="B10" s="107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  <c r="BA10" s="96"/>
      <c r="BB10" s="100"/>
      <c r="BC10" s="101"/>
      <c r="BD10" s="101"/>
    </row>
    <row r="11" spans="1:64" x14ac:dyDescent="0.3">
      <c r="A11" s="94" t="s">
        <v>4</v>
      </c>
      <c r="B11" s="95">
        <f>SUM(B13:B18)</f>
        <v>50</v>
      </c>
      <c r="C11" s="89">
        <f t="shared" ref="C11" si="4">SUM(C13:C18)</f>
        <v>50</v>
      </c>
      <c r="D11" s="89">
        <f>SUM(D13:D18)</f>
        <v>0.6</v>
      </c>
      <c r="E11" s="89">
        <f>SUM(E13:E18)</f>
        <v>535</v>
      </c>
      <c r="F11" s="89">
        <f>SUM(F13:F18)</f>
        <v>530</v>
      </c>
      <c r="G11" s="89">
        <f>SUM(G13:G18)</f>
        <v>8.91</v>
      </c>
      <c r="H11" s="89">
        <f t="shared" ref="H11:J11" si="5">SUM(H13:H18)</f>
        <v>233</v>
      </c>
      <c r="I11" s="89">
        <f t="shared" si="5"/>
        <v>230</v>
      </c>
      <c r="J11" s="89">
        <f t="shared" si="5"/>
        <v>2.9299999999999997</v>
      </c>
      <c r="K11" s="99">
        <f>SUM(K13:K18)</f>
        <v>143826</v>
      </c>
      <c r="L11" s="99">
        <f>SUM(L13:L18)</f>
        <v>141529</v>
      </c>
      <c r="M11" s="99">
        <f>SUM(M13:M18)</f>
        <v>4242.0469999999996</v>
      </c>
      <c r="N11" s="89">
        <f>SUM(N13:N18)</f>
        <v>228395</v>
      </c>
      <c r="O11" s="89">
        <f t="shared" ref="O11:AE11" si="6">SUM(O13:O18)</f>
        <v>226448</v>
      </c>
      <c r="P11" s="89">
        <f t="shared" si="6"/>
        <v>6284.9140000000007</v>
      </c>
      <c r="Q11" s="89">
        <f>SUM(Q13:Q18)</f>
        <v>2044890</v>
      </c>
      <c r="R11" s="89">
        <f t="shared" ref="R11:V11" si="7">SUM(R13:R18)</f>
        <v>2044863</v>
      </c>
      <c r="S11" s="89">
        <f t="shared" si="7"/>
        <v>71965.725999999995</v>
      </c>
      <c r="T11" s="89">
        <f t="shared" si="7"/>
        <v>257854</v>
      </c>
      <c r="U11" s="89">
        <f t="shared" si="7"/>
        <v>257138</v>
      </c>
      <c r="V11" s="89">
        <f t="shared" si="7"/>
        <v>10076.092000000001</v>
      </c>
      <c r="W11" s="89">
        <f t="shared" si="6"/>
        <v>87357</v>
      </c>
      <c r="X11" s="89">
        <f t="shared" si="6"/>
        <v>85862</v>
      </c>
      <c r="Y11" s="89">
        <f t="shared" si="6"/>
        <v>1603.5360000000001</v>
      </c>
      <c r="Z11" s="93">
        <f t="shared" si="6"/>
        <v>71244</v>
      </c>
      <c r="AA11" s="89">
        <f t="shared" si="6"/>
        <v>70759</v>
      </c>
      <c r="AB11" s="89">
        <f t="shared" si="6"/>
        <v>1767.0739999999996</v>
      </c>
      <c r="AC11" s="89">
        <f t="shared" si="6"/>
        <v>306693</v>
      </c>
      <c r="AD11" s="89">
        <f t="shared" si="6"/>
        <v>301282</v>
      </c>
      <c r="AE11" s="89">
        <f t="shared" si="6"/>
        <v>4665.7420000000002</v>
      </c>
      <c r="AF11" s="89">
        <f>SUM(AF13:AF18)</f>
        <v>8567</v>
      </c>
      <c r="AG11" s="89">
        <f t="shared" ref="AG11:AQ11" si="8">SUM(AG13:AG18)</f>
        <v>8477</v>
      </c>
      <c r="AH11" s="89">
        <f t="shared" si="8"/>
        <v>317.161</v>
      </c>
      <c r="AI11" s="89">
        <f t="shared" si="8"/>
        <v>23</v>
      </c>
      <c r="AJ11" s="89">
        <f t="shared" si="8"/>
        <v>5</v>
      </c>
      <c r="AK11" s="89">
        <f t="shared" si="8"/>
        <v>0.90100000000000002</v>
      </c>
      <c r="AL11" s="89">
        <f t="shared" si="8"/>
        <v>423468</v>
      </c>
      <c r="AM11" s="89">
        <f t="shared" si="8"/>
        <v>421315</v>
      </c>
      <c r="AN11" s="89">
        <f t="shared" si="8"/>
        <v>3610.9479999999999</v>
      </c>
      <c r="AO11" s="89">
        <f t="shared" si="8"/>
        <v>305403</v>
      </c>
      <c r="AP11" s="89">
        <f t="shared" si="8"/>
        <v>302014</v>
      </c>
      <c r="AQ11" s="89">
        <f t="shared" si="8"/>
        <v>5715.8270000000002</v>
      </c>
      <c r="AR11" s="89">
        <f>SUM(AR13:AR18)</f>
        <v>12698</v>
      </c>
      <c r="AS11" s="89">
        <f t="shared" ref="AS11:BA11" si="9">SUM(AS13:AS18)</f>
        <v>12475</v>
      </c>
      <c r="AT11" s="89">
        <f t="shared" si="9"/>
        <v>296.78799999999995</v>
      </c>
      <c r="AU11" s="89">
        <f t="shared" si="9"/>
        <v>1827</v>
      </c>
      <c r="AV11" s="89">
        <f t="shared" si="9"/>
        <v>1797</v>
      </c>
      <c r="AW11" s="89">
        <f t="shared" si="9"/>
        <v>14.537000000000001</v>
      </c>
      <c r="AX11" s="89">
        <f t="shared" si="9"/>
        <v>3642402</v>
      </c>
      <c r="AY11" s="89">
        <f t="shared" si="9"/>
        <v>3620225</v>
      </c>
      <c r="AZ11" s="89">
        <f t="shared" si="9"/>
        <v>47543.061999999998</v>
      </c>
      <c r="BA11" s="96">
        <f t="shared" si="9"/>
        <v>69391.010999999999</v>
      </c>
      <c r="BB11" s="100" t="s">
        <v>5</v>
      </c>
      <c r="BC11" s="101"/>
      <c r="BD11" s="101"/>
    </row>
    <row r="12" spans="1:64" x14ac:dyDescent="0.3">
      <c r="A12" s="94"/>
      <c r="B12" s="95"/>
      <c r="C12" s="89"/>
      <c r="D12" s="89"/>
      <c r="E12" s="89"/>
      <c r="F12" s="89"/>
      <c r="G12" s="89"/>
      <c r="H12" s="89"/>
      <c r="I12" s="89"/>
      <c r="J12" s="89"/>
      <c r="K12" s="99"/>
      <c r="L12" s="99"/>
      <c r="M12" s="9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93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  <c r="BA12" s="96"/>
      <c r="BB12" s="100"/>
      <c r="BC12" s="101"/>
      <c r="BD12" s="101"/>
    </row>
    <row r="13" spans="1:64" x14ac:dyDescent="0.3">
      <c r="A13" s="63" t="str">
        <f>VLOOKUP([1]ListOfRegions!$A$1,[1]ListOfRegions!$A$1:B75,2,0)</f>
        <v xml:space="preserve">  Ροδόπης</v>
      </c>
      <c r="B13" s="75" t="s">
        <v>139</v>
      </c>
      <c r="C13" s="74" t="s">
        <v>139</v>
      </c>
      <c r="D13" s="73" t="s">
        <v>139</v>
      </c>
      <c r="E13" s="74" t="s">
        <v>139</v>
      </c>
      <c r="F13" s="73" t="s">
        <v>139</v>
      </c>
      <c r="G13" s="74" t="s">
        <v>139</v>
      </c>
      <c r="H13" s="73" t="s">
        <v>139</v>
      </c>
      <c r="I13" s="74" t="s">
        <v>139</v>
      </c>
      <c r="J13" s="73" t="s">
        <v>139</v>
      </c>
      <c r="K13" s="74">
        <v>20235</v>
      </c>
      <c r="L13" s="73">
        <v>19115</v>
      </c>
      <c r="M13" s="74">
        <v>370.98</v>
      </c>
      <c r="N13" s="73">
        <v>33638</v>
      </c>
      <c r="O13" s="74">
        <v>33563</v>
      </c>
      <c r="P13" s="73">
        <v>728.53</v>
      </c>
      <c r="Q13" s="74">
        <v>76591</v>
      </c>
      <c r="R13" s="73">
        <v>76591</v>
      </c>
      <c r="S13" s="74">
        <v>1786.251</v>
      </c>
      <c r="T13" s="73">
        <v>50165</v>
      </c>
      <c r="U13" s="74">
        <v>50045</v>
      </c>
      <c r="V13" s="73">
        <v>2242.192</v>
      </c>
      <c r="W13" s="74">
        <v>8585</v>
      </c>
      <c r="X13" s="73">
        <v>8545</v>
      </c>
      <c r="Y13" s="74">
        <v>173.232</v>
      </c>
      <c r="Z13" s="73">
        <v>7952</v>
      </c>
      <c r="AA13" s="74">
        <v>7940</v>
      </c>
      <c r="AB13" s="73">
        <v>102.029</v>
      </c>
      <c r="AC13" s="74">
        <v>230108</v>
      </c>
      <c r="AD13" s="73">
        <v>225573</v>
      </c>
      <c r="AE13" s="74">
        <v>3215.03</v>
      </c>
      <c r="AF13" s="73">
        <v>1237</v>
      </c>
      <c r="AG13" s="74">
        <v>1217</v>
      </c>
      <c r="AH13" s="73">
        <v>34.033999999999999</v>
      </c>
      <c r="AI13" s="74" t="s">
        <v>139</v>
      </c>
      <c r="AJ13" s="73" t="s">
        <v>139</v>
      </c>
      <c r="AK13" s="74" t="s">
        <v>139</v>
      </c>
      <c r="AL13" s="73">
        <v>41849</v>
      </c>
      <c r="AM13" s="74">
        <v>41639</v>
      </c>
      <c r="AN13" s="73">
        <v>480.70600000000002</v>
      </c>
      <c r="AO13" s="74">
        <v>54151</v>
      </c>
      <c r="AP13" s="73">
        <v>53865</v>
      </c>
      <c r="AQ13" s="74">
        <v>880.04300000000001</v>
      </c>
      <c r="AR13" s="73">
        <v>1555</v>
      </c>
      <c r="AS13" s="74">
        <v>1535</v>
      </c>
      <c r="AT13" s="73">
        <v>12.438000000000001</v>
      </c>
      <c r="AU13" s="74">
        <v>1392</v>
      </c>
      <c r="AV13" s="73">
        <v>1392</v>
      </c>
      <c r="AW13" s="74">
        <v>10.102</v>
      </c>
      <c r="AX13" s="73">
        <v>660782</v>
      </c>
      <c r="AY13" s="74">
        <v>657680</v>
      </c>
      <c r="AZ13" s="73">
        <v>467.98700000000002</v>
      </c>
      <c r="BA13" s="87">
        <v>5339.5550000000003</v>
      </c>
      <c r="BB13" s="83" t="s">
        <v>6</v>
      </c>
      <c r="BC13" s="64"/>
      <c r="BD13" s="64"/>
    </row>
    <row r="14" spans="1:64" x14ac:dyDescent="0.3">
      <c r="A14" s="63" t="str">
        <f>VLOOKUP([1]ListOfRegions!$A$2,[1]ListOfRegions!$A$2:B76,2,0)</f>
        <v xml:space="preserve">  Δράμας</v>
      </c>
      <c r="B14" s="75">
        <v>50</v>
      </c>
      <c r="C14" s="74">
        <v>50</v>
      </c>
      <c r="D14" s="73">
        <v>0.6</v>
      </c>
      <c r="E14" s="74">
        <v>500</v>
      </c>
      <c r="F14" s="73">
        <v>500</v>
      </c>
      <c r="G14" s="74">
        <v>7.5</v>
      </c>
      <c r="H14" s="73">
        <v>230</v>
      </c>
      <c r="I14" s="74">
        <v>230</v>
      </c>
      <c r="J14" s="73">
        <v>2.76</v>
      </c>
      <c r="K14" s="74">
        <v>13953</v>
      </c>
      <c r="L14" s="73">
        <v>13776</v>
      </c>
      <c r="M14" s="74">
        <v>458.61500000000001</v>
      </c>
      <c r="N14" s="73">
        <v>31847</v>
      </c>
      <c r="O14" s="74">
        <v>31428</v>
      </c>
      <c r="P14" s="73">
        <v>1711.655</v>
      </c>
      <c r="Q14" s="74">
        <v>17306</v>
      </c>
      <c r="R14" s="73">
        <v>17306</v>
      </c>
      <c r="S14" s="74">
        <v>1025.982</v>
      </c>
      <c r="T14" s="73">
        <v>81858</v>
      </c>
      <c r="U14" s="74">
        <v>81390</v>
      </c>
      <c r="V14" s="73">
        <v>4615.9449999999997</v>
      </c>
      <c r="W14" s="74">
        <v>6702</v>
      </c>
      <c r="X14" s="73">
        <v>6456</v>
      </c>
      <c r="Y14" s="74">
        <v>138.60599999999999</v>
      </c>
      <c r="Z14" s="73">
        <v>1969</v>
      </c>
      <c r="AA14" s="74">
        <v>1882</v>
      </c>
      <c r="AB14" s="73">
        <v>48.271999999999998</v>
      </c>
      <c r="AC14" s="74">
        <v>10586</v>
      </c>
      <c r="AD14" s="73">
        <v>10432</v>
      </c>
      <c r="AE14" s="74">
        <v>409.69900000000001</v>
      </c>
      <c r="AF14" s="73">
        <v>1202</v>
      </c>
      <c r="AG14" s="74">
        <v>1155</v>
      </c>
      <c r="AH14" s="73">
        <v>37.662999999999997</v>
      </c>
      <c r="AI14" s="74">
        <v>23</v>
      </c>
      <c r="AJ14" s="73">
        <v>5</v>
      </c>
      <c r="AK14" s="74">
        <v>0.90100000000000002</v>
      </c>
      <c r="AL14" s="73">
        <v>21915</v>
      </c>
      <c r="AM14" s="74">
        <v>21825</v>
      </c>
      <c r="AN14" s="73">
        <v>286.32400000000001</v>
      </c>
      <c r="AO14" s="74">
        <v>41462</v>
      </c>
      <c r="AP14" s="73">
        <v>41069</v>
      </c>
      <c r="AQ14" s="74">
        <v>660.53200000000004</v>
      </c>
      <c r="AR14" s="73">
        <v>1230</v>
      </c>
      <c r="AS14" s="74">
        <v>1189</v>
      </c>
      <c r="AT14" s="73">
        <v>34.700000000000003</v>
      </c>
      <c r="AU14" s="74">
        <v>250</v>
      </c>
      <c r="AV14" s="73">
        <v>250</v>
      </c>
      <c r="AW14" s="74">
        <v>3</v>
      </c>
      <c r="AX14" s="73">
        <v>203864</v>
      </c>
      <c r="AY14" s="74">
        <v>200574</v>
      </c>
      <c r="AZ14" s="73">
        <v>1888.1369999999999</v>
      </c>
      <c r="BA14" s="87">
        <v>4166.8040000000001</v>
      </c>
      <c r="BB14" s="83" t="s">
        <v>7</v>
      </c>
      <c r="BC14" s="64"/>
      <c r="BD14" s="64"/>
    </row>
    <row r="15" spans="1:64" x14ac:dyDescent="0.3">
      <c r="A15" s="63" t="str">
        <f>VLOOKUP([1]ListOfRegions!A3,[1]ListOfRegions!A3:B77,2,0)</f>
        <v xml:space="preserve">  Έβρου</v>
      </c>
      <c r="B15" s="75" t="s">
        <v>139</v>
      </c>
      <c r="C15" s="74" t="s">
        <v>139</v>
      </c>
      <c r="D15" s="73" t="s">
        <v>139</v>
      </c>
      <c r="E15" s="74" t="s">
        <v>139</v>
      </c>
      <c r="F15" s="73" t="s">
        <v>139</v>
      </c>
      <c r="G15" s="74" t="s">
        <v>139</v>
      </c>
      <c r="H15" s="73" t="s">
        <v>139</v>
      </c>
      <c r="I15" s="74" t="s">
        <v>139</v>
      </c>
      <c r="J15" s="73" t="s">
        <v>139</v>
      </c>
      <c r="K15" s="74">
        <v>8938</v>
      </c>
      <c r="L15" s="73">
        <v>8146</v>
      </c>
      <c r="M15" s="74">
        <v>337.48500000000001</v>
      </c>
      <c r="N15" s="73">
        <v>42651</v>
      </c>
      <c r="O15" s="74">
        <v>41290</v>
      </c>
      <c r="P15" s="73">
        <v>1307.1469999999999</v>
      </c>
      <c r="Q15" s="74">
        <v>2520</v>
      </c>
      <c r="R15" s="73">
        <v>2493</v>
      </c>
      <c r="S15" s="74">
        <v>131.05000000000001</v>
      </c>
      <c r="T15" s="73">
        <v>633</v>
      </c>
      <c r="U15" s="74">
        <v>618</v>
      </c>
      <c r="V15" s="73">
        <v>23.8</v>
      </c>
      <c r="W15" s="74">
        <v>31622</v>
      </c>
      <c r="X15" s="73">
        <v>30492</v>
      </c>
      <c r="Y15" s="74">
        <v>563.72799999999995</v>
      </c>
      <c r="Z15" s="73">
        <v>11562</v>
      </c>
      <c r="AA15" s="74">
        <v>11203</v>
      </c>
      <c r="AB15" s="73">
        <v>393.30799999999999</v>
      </c>
      <c r="AC15" s="74">
        <v>27730</v>
      </c>
      <c r="AD15" s="73">
        <v>27055</v>
      </c>
      <c r="AE15" s="74">
        <v>407.02</v>
      </c>
      <c r="AF15" s="73">
        <v>69</v>
      </c>
      <c r="AG15" s="74">
        <v>50</v>
      </c>
      <c r="AH15" s="73">
        <v>0.57999999999999996</v>
      </c>
      <c r="AI15" s="74" t="s">
        <v>139</v>
      </c>
      <c r="AJ15" s="73" t="s">
        <v>139</v>
      </c>
      <c r="AK15" s="74" t="s">
        <v>139</v>
      </c>
      <c r="AL15" s="73">
        <v>46143</v>
      </c>
      <c r="AM15" s="74">
        <v>44411</v>
      </c>
      <c r="AN15" s="73">
        <v>516.36500000000001</v>
      </c>
      <c r="AO15" s="74">
        <v>95036</v>
      </c>
      <c r="AP15" s="73">
        <v>92547</v>
      </c>
      <c r="AQ15" s="74">
        <v>1673.0509999999999</v>
      </c>
      <c r="AR15" s="73">
        <v>461</v>
      </c>
      <c r="AS15" s="74">
        <v>363</v>
      </c>
      <c r="AT15" s="73">
        <v>6.07</v>
      </c>
      <c r="AU15" s="74">
        <v>185</v>
      </c>
      <c r="AV15" s="73">
        <v>155</v>
      </c>
      <c r="AW15" s="74">
        <v>1.4350000000000001</v>
      </c>
      <c r="AX15" s="73">
        <v>573003</v>
      </c>
      <c r="AY15" s="74">
        <v>560818</v>
      </c>
      <c r="AZ15" s="73">
        <v>398.71499999999997</v>
      </c>
      <c r="BA15" s="87">
        <v>5211.2190000000001</v>
      </c>
      <c r="BB15" s="83" t="s">
        <v>8</v>
      </c>
      <c r="BC15" s="64"/>
      <c r="BD15" s="64"/>
    </row>
    <row r="16" spans="1:64" x14ac:dyDescent="0.3">
      <c r="A16" s="63" t="str">
        <f>VLOOKUP([1]ListOfRegions!A4,[1]ListOfRegions!A4:B78,2,0)</f>
        <v xml:space="preserve">  Θάσου</v>
      </c>
      <c r="B16" s="75" t="s">
        <v>139</v>
      </c>
      <c r="C16" s="74" t="s">
        <v>139</v>
      </c>
      <c r="D16" s="73" t="s">
        <v>139</v>
      </c>
      <c r="E16" s="74" t="s">
        <v>139</v>
      </c>
      <c r="F16" s="73" t="s">
        <v>139</v>
      </c>
      <c r="G16" s="74" t="s">
        <v>139</v>
      </c>
      <c r="H16" s="73" t="s">
        <v>139</v>
      </c>
      <c r="I16" s="74" t="s">
        <v>139</v>
      </c>
      <c r="J16" s="73" t="s">
        <v>139</v>
      </c>
      <c r="K16" s="74" t="s">
        <v>139</v>
      </c>
      <c r="L16" s="73" t="s">
        <v>139</v>
      </c>
      <c r="M16" s="74" t="s">
        <v>139</v>
      </c>
      <c r="N16" s="73">
        <v>29</v>
      </c>
      <c r="O16" s="74">
        <v>29</v>
      </c>
      <c r="P16" s="73">
        <v>0.40500000000000003</v>
      </c>
      <c r="Q16" s="74" t="s">
        <v>139</v>
      </c>
      <c r="R16" s="73" t="s">
        <v>139</v>
      </c>
      <c r="S16" s="74" t="s">
        <v>139</v>
      </c>
      <c r="T16" s="73" t="s">
        <v>139</v>
      </c>
      <c r="U16" s="74" t="s">
        <v>139</v>
      </c>
      <c r="V16" s="73" t="s">
        <v>139</v>
      </c>
      <c r="W16" s="74">
        <v>114</v>
      </c>
      <c r="X16" s="73">
        <v>114</v>
      </c>
      <c r="Y16" s="74">
        <v>3.5169999999999999</v>
      </c>
      <c r="Z16" s="73">
        <v>39</v>
      </c>
      <c r="AA16" s="74">
        <v>39</v>
      </c>
      <c r="AB16" s="73">
        <v>4.0000000000000001E-3</v>
      </c>
      <c r="AC16" s="74">
        <v>39</v>
      </c>
      <c r="AD16" s="73">
        <v>39</v>
      </c>
      <c r="AE16" s="74">
        <v>0.372</v>
      </c>
      <c r="AF16" s="73">
        <v>29</v>
      </c>
      <c r="AG16" s="74">
        <v>29</v>
      </c>
      <c r="AH16" s="73">
        <v>2E-3</v>
      </c>
      <c r="AI16" s="74" t="s">
        <v>139</v>
      </c>
      <c r="AJ16" s="73" t="s">
        <v>139</v>
      </c>
      <c r="AK16" s="74" t="s">
        <v>139</v>
      </c>
      <c r="AL16" s="73">
        <v>40</v>
      </c>
      <c r="AM16" s="74">
        <v>40</v>
      </c>
      <c r="AN16" s="73">
        <v>0.72</v>
      </c>
      <c r="AO16" s="74">
        <v>9</v>
      </c>
      <c r="AP16" s="73">
        <v>9</v>
      </c>
      <c r="AQ16" s="74">
        <v>0.378</v>
      </c>
      <c r="AR16" s="73">
        <v>20</v>
      </c>
      <c r="AS16" s="74">
        <v>20</v>
      </c>
      <c r="AT16" s="73">
        <v>0.96</v>
      </c>
      <c r="AU16" s="74" t="s">
        <v>139</v>
      </c>
      <c r="AV16" s="73" t="s">
        <v>139</v>
      </c>
      <c r="AW16" s="74" t="s">
        <v>139</v>
      </c>
      <c r="AX16" s="73">
        <v>578835</v>
      </c>
      <c r="AY16" s="74">
        <v>578835</v>
      </c>
      <c r="AZ16" s="73">
        <v>119.25</v>
      </c>
      <c r="BA16" s="87">
        <v>28596.55</v>
      </c>
      <c r="BB16" s="83" t="s">
        <v>9</v>
      </c>
      <c r="BC16" s="64"/>
      <c r="BD16" s="64"/>
    </row>
    <row r="17" spans="1:56" x14ac:dyDescent="0.3">
      <c r="A17" s="63" t="str">
        <f>VLOOKUP([1]ListOfRegions!A5,[1]ListOfRegions!A5:B79,2,0)</f>
        <v xml:space="preserve">  Καβάλας</v>
      </c>
      <c r="B17" s="75" t="s">
        <v>139</v>
      </c>
      <c r="C17" s="74" t="s">
        <v>139</v>
      </c>
      <c r="D17" s="73" t="s">
        <v>139</v>
      </c>
      <c r="E17" s="74">
        <v>35</v>
      </c>
      <c r="F17" s="73">
        <v>30</v>
      </c>
      <c r="G17" s="74">
        <v>1.41</v>
      </c>
      <c r="H17" s="73">
        <v>3</v>
      </c>
      <c r="I17" s="74" t="s">
        <v>139</v>
      </c>
      <c r="J17" s="73">
        <v>0.17</v>
      </c>
      <c r="K17" s="74">
        <v>70036</v>
      </c>
      <c r="L17" s="73">
        <v>69848</v>
      </c>
      <c r="M17" s="74">
        <v>1948.9929999999999</v>
      </c>
      <c r="N17" s="73">
        <v>72245</v>
      </c>
      <c r="O17" s="74">
        <v>72153</v>
      </c>
      <c r="P17" s="73">
        <v>1878.6969999999999</v>
      </c>
      <c r="Q17" s="74">
        <v>1413262</v>
      </c>
      <c r="R17" s="73">
        <v>1413262</v>
      </c>
      <c r="S17" s="74">
        <v>52201.786</v>
      </c>
      <c r="T17" s="73">
        <v>15211</v>
      </c>
      <c r="U17" s="74">
        <v>15118</v>
      </c>
      <c r="V17" s="73">
        <v>881.61800000000005</v>
      </c>
      <c r="W17" s="74">
        <v>24986</v>
      </c>
      <c r="X17" s="73">
        <v>24917</v>
      </c>
      <c r="Y17" s="74">
        <v>550.99400000000003</v>
      </c>
      <c r="Z17" s="73">
        <v>39991</v>
      </c>
      <c r="AA17" s="74">
        <v>39964</v>
      </c>
      <c r="AB17" s="73">
        <v>1142.7739999999999</v>
      </c>
      <c r="AC17" s="74">
        <v>27993</v>
      </c>
      <c r="AD17" s="73">
        <v>27946</v>
      </c>
      <c r="AE17" s="74">
        <v>532.38900000000001</v>
      </c>
      <c r="AF17" s="73">
        <v>4353</v>
      </c>
      <c r="AG17" s="74">
        <v>4349</v>
      </c>
      <c r="AH17" s="73">
        <v>202.149</v>
      </c>
      <c r="AI17" s="74" t="s">
        <v>139</v>
      </c>
      <c r="AJ17" s="73" t="s">
        <v>139</v>
      </c>
      <c r="AK17" s="74" t="s">
        <v>139</v>
      </c>
      <c r="AL17" s="73">
        <v>251966</v>
      </c>
      <c r="AM17" s="74">
        <v>251945</v>
      </c>
      <c r="AN17" s="73">
        <v>1565.1479999999999</v>
      </c>
      <c r="AO17" s="74">
        <v>44308</v>
      </c>
      <c r="AP17" s="73">
        <v>44087</v>
      </c>
      <c r="AQ17" s="74">
        <v>1400.162</v>
      </c>
      <c r="AR17" s="73">
        <v>7097</v>
      </c>
      <c r="AS17" s="74">
        <v>7033</v>
      </c>
      <c r="AT17" s="73">
        <v>225.84299999999999</v>
      </c>
      <c r="AU17" s="74" t="s">
        <v>139</v>
      </c>
      <c r="AV17" s="73" t="s">
        <v>139</v>
      </c>
      <c r="AW17" s="74" t="s">
        <v>139</v>
      </c>
      <c r="AX17" s="73">
        <v>1391660</v>
      </c>
      <c r="AY17" s="74">
        <v>1391620</v>
      </c>
      <c r="AZ17" s="73">
        <v>43293.245999999999</v>
      </c>
      <c r="BA17" s="87">
        <v>19595.065999999999</v>
      </c>
      <c r="BB17" s="83" t="s">
        <v>10</v>
      </c>
      <c r="BC17" s="64"/>
      <c r="BD17" s="64"/>
    </row>
    <row r="18" spans="1:56" x14ac:dyDescent="0.3">
      <c r="A18" s="63" t="str">
        <f>VLOOKUP([1]ListOfRegions!A6,[1]ListOfRegions!A6:B80,2,0)</f>
        <v xml:space="preserve">  Ξάνθης</v>
      </c>
      <c r="B18" s="75" t="s">
        <v>139</v>
      </c>
      <c r="C18" s="74" t="s">
        <v>139</v>
      </c>
      <c r="D18" s="73" t="s">
        <v>139</v>
      </c>
      <c r="E18" s="74" t="s">
        <v>139</v>
      </c>
      <c r="F18" s="73" t="s">
        <v>139</v>
      </c>
      <c r="G18" s="74" t="s">
        <v>139</v>
      </c>
      <c r="H18" s="73" t="s">
        <v>139</v>
      </c>
      <c r="I18" s="74" t="s">
        <v>139</v>
      </c>
      <c r="J18" s="73" t="s">
        <v>139</v>
      </c>
      <c r="K18" s="74">
        <v>30664</v>
      </c>
      <c r="L18" s="73">
        <v>30644</v>
      </c>
      <c r="M18" s="74">
        <v>1125.9739999999999</v>
      </c>
      <c r="N18" s="73">
        <v>47985</v>
      </c>
      <c r="O18" s="74">
        <v>47985</v>
      </c>
      <c r="P18" s="73">
        <v>658.48</v>
      </c>
      <c r="Q18" s="74">
        <v>535211</v>
      </c>
      <c r="R18" s="73">
        <v>535211</v>
      </c>
      <c r="S18" s="74">
        <v>16820.656999999999</v>
      </c>
      <c r="T18" s="73">
        <v>109987</v>
      </c>
      <c r="U18" s="74">
        <v>109967</v>
      </c>
      <c r="V18" s="73">
        <v>2312.5369999999998</v>
      </c>
      <c r="W18" s="74">
        <v>15348</v>
      </c>
      <c r="X18" s="73">
        <v>15338</v>
      </c>
      <c r="Y18" s="74">
        <v>173.459</v>
      </c>
      <c r="Z18" s="73">
        <v>9731</v>
      </c>
      <c r="AA18" s="74">
        <v>9731</v>
      </c>
      <c r="AB18" s="73">
        <v>80.686999999999998</v>
      </c>
      <c r="AC18" s="74">
        <v>10237</v>
      </c>
      <c r="AD18" s="73">
        <v>10237</v>
      </c>
      <c r="AE18" s="74">
        <v>101.232</v>
      </c>
      <c r="AF18" s="73">
        <v>1677</v>
      </c>
      <c r="AG18" s="74">
        <v>1677</v>
      </c>
      <c r="AH18" s="73">
        <v>42.732999999999997</v>
      </c>
      <c r="AI18" s="74" t="s">
        <v>139</v>
      </c>
      <c r="AJ18" s="73" t="s">
        <v>139</v>
      </c>
      <c r="AK18" s="74" t="s">
        <v>139</v>
      </c>
      <c r="AL18" s="73">
        <v>61555</v>
      </c>
      <c r="AM18" s="74">
        <v>61455</v>
      </c>
      <c r="AN18" s="73">
        <v>761.68499999999995</v>
      </c>
      <c r="AO18" s="74">
        <v>70437</v>
      </c>
      <c r="AP18" s="73">
        <v>70437</v>
      </c>
      <c r="AQ18" s="74">
        <v>1101.6610000000001</v>
      </c>
      <c r="AR18" s="73">
        <v>2335</v>
      </c>
      <c r="AS18" s="74">
        <v>2335</v>
      </c>
      <c r="AT18" s="73">
        <v>16.777000000000001</v>
      </c>
      <c r="AU18" s="74" t="s">
        <v>139</v>
      </c>
      <c r="AV18" s="73" t="s">
        <v>139</v>
      </c>
      <c r="AW18" s="74" t="s">
        <v>139</v>
      </c>
      <c r="AX18" s="73">
        <v>234258</v>
      </c>
      <c r="AY18" s="74">
        <v>230698</v>
      </c>
      <c r="AZ18" s="73">
        <v>1375.7270000000001</v>
      </c>
      <c r="BA18" s="87">
        <v>6481.817</v>
      </c>
      <c r="BB18" s="83" t="s">
        <v>11</v>
      </c>
      <c r="BC18" s="64"/>
      <c r="BD18" s="64"/>
    </row>
    <row r="19" spans="1:56" x14ac:dyDescent="0.3">
      <c r="A19" s="94" t="s">
        <v>12</v>
      </c>
      <c r="B19" s="95">
        <f>SUM(B21:B27)</f>
        <v>2825</v>
      </c>
      <c r="C19" s="89">
        <f t="shared" ref="C19:BA19" si="10">SUM(C21:C27)</f>
        <v>2820</v>
      </c>
      <c r="D19" s="89">
        <f t="shared" si="10"/>
        <v>135.94</v>
      </c>
      <c r="E19" s="89">
        <f t="shared" si="10"/>
        <v>908</v>
      </c>
      <c r="F19" s="89">
        <f t="shared" si="10"/>
        <v>908</v>
      </c>
      <c r="G19" s="89">
        <f>SUM(G21:G27)</f>
        <v>24.53</v>
      </c>
      <c r="H19" s="89">
        <f t="shared" si="10"/>
        <v>466</v>
      </c>
      <c r="I19" s="89">
        <f t="shared" si="10"/>
        <v>466</v>
      </c>
      <c r="J19" s="89">
        <f t="shared" si="10"/>
        <v>4.6639999999999997</v>
      </c>
      <c r="K19" s="89">
        <f t="shared" si="10"/>
        <v>818448</v>
      </c>
      <c r="L19" s="89">
        <f t="shared" si="10"/>
        <v>816703</v>
      </c>
      <c r="M19" s="89">
        <f t="shared" si="10"/>
        <v>20530.117000000002</v>
      </c>
      <c r="N19" s="89">
        <f t="shared" si="10"/>
        <v>3689431</v>
      </c>
      <c r="O19" s="89">
        <f t="shared" si="10"/>
        <v>3688710</v>
      </c>
      <c r="P19" s="89">
        <f t="shared" si="10"/>
        <v>74068.807000000015</v>
      </c>
      <c r="Q19" s="89">
        <f t="shared" ref="Q19:V19" si="11">SUM(Q21:Q27)</f>
        <v>4293101</v>
      </c>
      <c r="R19" s="89">
        <f t="shared" si="11"/>
        <v>4292090</v>
      </c>
      <c r="S19" s="89">
        <f t="shared" si="11"/>
        <v>141356.75400000002</v>
      </c>
      <c r="T19" s="89">
        <f t="shared" si="11"/>
        <v>436600</v>
      </c>
      <c r="U19" s="89">
        <f t="shared" si="11"/>
        <v>435268</v>
      </c>
      <c r="V19" s="89">
        <f t="shared" si="11"/>
        <v>8225.52</v>
      </c>
      <c r="W19" s="89">
        <f t="shared" si="10"/>
        <v>16212641</v>
      </c>
      <c r="X19" s="89">
        <f t="shared" si="10"/>
        <v>16211727</v>
      </c>
      <c r="Y19" s="89">
        <f t="shared" si="10"/>
        <v>643836.03999999992</v>
      </c>
      <c r="Z19" s="89">
        <f t="shared" si="10"/>
        <v>2927129</v>
      </c>
      <c r="AA19" s="89">
        <f t="shared" si="10"/>
        <v>2926775</v>
      </c>
      <c r="AB19" s="89">
        <f t="shared" si="10"/>
        <v>66915.898000000001</v>
      </c>
      <c r="AC19" s="89">
        <f t="shared" si="10"/>
        <v>6067532</v>
      </c>
      <c r="AD19" s="89">
        <f t="shared" si="10"/>
        <v>6064812</v>
      </c>
      <c r="AE19" s="89">
        <f t="shared" si="10"/>
        <v>81014.86</v>
      </c>
      <c r="AF19" s="89">
        <f t="shared" si="10"/>
        <v>95583</v>
      </c>
      <c r="AG19" s="89">
        <f t="shared" si="10"/>
        <v>94048</v>
      </c>
      <c r="AH19" s="89">
        <f t="shared" si="10"/>
        <v>2537.8670000000002</v>
      </c>
      <c r="AI19" s="89">
        <f t="shared" si="10"/>
        <v>1840</v>
      </c>
      <c r="AJ19" s="89">
        <f t="shared" si="10"/>
        <v>1840</v>
      </c>
      <c r="AK19" s="89">
        <f t="shared" si="10"/>
        <v>11.513999999999999</v>
      </c>
      <c r="AL19" s="89">
        <f t="shared" si="10"/>
        <v>1434058</v>
      </c>
      <c r="AM19" s="89">
        <f t="shared" si="10"/>
        <v>1431499</v>
      </c>
      <c r="AN19" s="89">
        <f t="shared" si="10"/>
        <v>10607.148999999999</v>
      </c>
      <c r="AO19" s="89">
        <f t="shared" si="10"/>
        <v>567613</v>
      </c>
      <c r="AP19" s="89">
        <f t="shared" si="10"/>
        <v>563819</v>
      </c>
      <c r="AQ19" s="89">
        <f t="shared" si="10"/>
        <v>7053.3710000000001</v>
      </c>
      <c r="AR19" s="89">
        <f t="shared" si="10"/>
        <v>505723</v>
      </c>
      <c r="AS19" s="89">
        <f t="shared" si="10"/>
        <v>501526</v>
      </c>
      <c r="AT19" s="89">
        <f t="shared" si="10"/>
        <v>9301.9699999999975</v>
      </c>
      <c r="AU19" s="89">
        <f t="shared" si="10"/>
        <v>76306</v>
      </c>
      <c r="AV19" s="89">
        <f t="shared" si="10"/>
        <v>76302</v>
      </c>
      <c r="AW19" s="89">
        <f t="shared" si="10"/>
        <v>884.36500000000001</v>
      </c>
      <c r="AX19" s="89">
        <f t="shared" si="10"/>
        <v>10055369</v>
      </c>
      <c r="AY19" s="89">
        <f t="shared" si="10"/>
        <v>10046935</v>
      </c>
      <c r="AZ19" s="89">
        <f t="shared" si="10"/>
        <v>107026.891</v>
      </c>
      <c r="BA19" s="96">
        <f t="shared" si="10"/>
        <v>79736.457999999999</v>
      </c>
      <c r="BB19" s="97" t="s">
        <v>13</v>
      </c>
      <c r="BC19" s="98"/>
      <c r="BD19" s="98"/>
    </row>
    <row r="20" spans="1:56" x14ac:dyDescent="0.3">
      <c r="A20" s="94"/>
      <c r="B20" s="95"/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89"/>
      <c r="AQ20" s="89"/>
      <c r="AR20" s="89"/>
      <c r="AS20" s="89"/>
      <c r="AT20" s="89"/>
      <c r="AU20" s="89"/>
      <c r="AV20" s="89"/>
      <c r="AW20" s="89"/>
      <c r="AX20" s="89"/>
      <c r="AY20" s="89"/>
      <c r="AZ20" s="89"/>
      <c r="BA20" s="96"/>
      <c r="BB20" s="97"/>
      <c r="BC20" s="98"/>
      <c r="BD20" s="98"/>
    </row>
    <row r="21" spans="1:56" x14ac:dyDescent="0.3">
      <c r="A21" s="63" t="str">
        <f>VLOOKUP([1]ListOfRegions!A7,[1]ListOfRegions!A7:B81,2,0)</f>
        <v xml:space="preserve">  Θεσσαλονίκης</v>
      </c>
      <c r="B21" s="75">
        <v>25</v>
      </c>
      <c r="C21" s="74">
        <v>25</v>
      </c>
      <c r="D21" s="73">
        <v>0.81</v>
      </c>
      <c r="E21" s="74">
        <v>18</v>
      </c>
      <c r="F21" s="73">
        <v>18</v>
      </c>
      <c r="G21" s="74">
        <v>0.96</v>
      </c>
      <c r="H21" s="73">
        <v>22</v>
      </c>
      <c r="I21" s="74">
        <v>22</v>
      </c>
      <c r="J21" s="73">
        <v>0.77</v>
      </c>
      <c r="K21" s="74">
        <v>33013</v>
      </c>
      <c r="L21" s="73">
        <v>31641</v>
      </c>
      <c r="M21" s="74">
        <v>1083.4670000000001</v>
      </c>
      <c r="N21" s="73">
        <v>43994</v>
      </c>
      <c r="O21" s="74">
        <v>43777</v>
      </c>
      <c r="P21" s="73">
        <v>1638.8610000000001</v>
      </c>
      <c r="Q21" s="74">
        <v>15348</v>
      </c>
      <c r="R21" s="73">
        <v>15348</v>
      </c>
      <c r="S21" s="74">
        <v>269.702</v>
      </c>
      <c r="T21" s="73">
        <v>57995</v>
      </c>
      <c r="U21" s="74">
        <v>57850</v>
      </c>
      <c r="V21" s="73">
        <v>568.17499999999995</v>
      </c>
      <c r="W21" s="74">
        <v>18259</v>
      </c>
      <c r="X21" s="73">
        <v>17979</v>
      </c>
      <c r="Y21" s="74">
        <v>598.86599999999999</v>
      </c>
      <c r="Z21" s="73">
        <v>12257</v>
      </c>
      <c r="AA21" s="74">
        <v>12229</v>
      </c>
      <c r="AB21" s="73">
        <v>288.90800000000002</v>
      </c>
      <c r="AC21" s="74">
        <v>22492</v>
      </c>
      <c r="AD21" s="73">
        <v>22017</v>
      </c>
      <c r="AE21" s="74">
        <v>673.43600000000004</v>
      </c>
      <c r="AF21" s="73">
        <v>12652</v>
      </c>
      <c r="AG21" s="74">
        <v>11351</v>
      </c>
      <c r="AH21" s="73">
        <v>400.68</v>
      </c>
      <c r="AI21" s="74">
        <v>542</v>
      </c>
      <c r="AJ21" s="73">
        <v>542</v>
      </c>
      <c r="AK21" s="74">
        <v>5.7939999999999996</v>
      </c>
      <c r="AL21" s="73">
        <v>103495</v>
      </c>
      <c r="AM21" s="74">
        <v>101119</v>
      </c>
      <c r="AN21" s="73">
        <v>981.62599999999998</v>
      </c>
      <c r="AO21" s="74">
        <v>58099</v>
      </c>
      <c r="AP21" s="73">
        <v>55582</v>
      </c>
      <c r="AQ21" s="74">
        <v>749.46900000000005</v>
      </c>
      <c r="AR21" s="73">
        <v>10291</v>
      </c>
      <c r="AS21" s="74">
        <v>6241</v>
      </c>
      <c r="AT21" s="73">
        <v>229.51499999999999</v>
      </c>
      <c r="AU21" s="74">
        <v>2830</v>
      </c>
      <c r="AV21" s="73">
        <v>2830</v>
      </c>
      <c r="AW21" s="74">
        <v>20.855</v>
      </c>
      <c r="AX21" s="73">
        <v>582039</v>
      </c>
      <c r="AY21" s="74">
        <v>576564</v>
      </c>
      <c r="AZ21" s="73">
        <v>3409.2280000000001</v>
      </c>
      <c r="BA21" s="87">
        <v>9912.8559999999998</v>
      </c>
      <c r="BB21" s="83" t="s">
        <v>14</v>
      </c>
      <c r="BC21" s="64"/>
      <c r="BD21" s="64"/>
    </row>
    <row r="22" spans="1:56" x14ac:dyDescent="0.3">
      <c r="A22" s="63" t="str">
        <f>VLOOKUP([1]ListOfRegions!A8,[1]ListOfRegions!A8:B82,2,0)</f>
        <v xml:space="preserve">  Ημαθίας</v>
      </c>
      <c r="B22" s="75">
        <v>130</v>
      </c>
      <c r="C22" s="74">
        <v>130</v>
      </c>
      <c r="D22" s="73">
        <v>3</v>
      </c>
      <c r="E22" s="74">
        <v>250</v>
      </c>
      <c r="F22" s="73">
        <v>250</v>
      </c>
      <c r="G22" s="74">
        <v>16</v>
      </c>
      <c r="H22" s="73">
        <v>50</v>
      </c>
      <c r="I22" s="74">
        <v>50</v>
      </c>
      <c r="J22" s="73">
        <v>1.5</v>
      </c>
      <c r="K22" s="74">
        <v>399424</v>
      </c>
      <c r="L22" s="73">
        <v>399340</v>
      </c>
      <c r="M22" s="74">
        <v>13182.97</v>
      </c>
      <c r="N22" s="73">
        <v>1237255</v>
      </c>
      <c r="O22" s="74">
        <v>1237144</v>
      </c>
      <c r="P22" s="73">
        <v>31211.8</v>
      </c>
      <c r="Q22" s="74">
        <v>1134295</v>
      </c>
      <c r="R22" s="73">
        <v>1134284</v>
      </c>
      <c r="S22" s="74">
        <v>33181.050000000003</v>
      </c>
      <c r="T22" s="73">
        <v>18034</v>
      </c>
      <c r="U22" s="74">
        <v>17978</v>
      </c>
      <c r="V22" s="73">
        <v>434.08</v>
      </c>
      <c r="W22" s="74">
        <v>7294653</v>
      </c>
      <c r="X22" s="73">
        <v>7294479</v>
      </c>
      <c r="Y22" s="74">
        <v>275702.23</v>
      </c>
      <c r="Z22" s="73">
        <v>394607</v>
      </c>
      <c r="AA22" s="74">
        <v>394538</v>
      </c>
      <c r="AB22" s="73">
        <v>9774.7669999999998</v>
      </c>
      <c r="AC22" s="74">
        <v>566948</v>
      </c>
      <c r="AD22" s="73">
        <v>566860</v>
      </c>
      <c r="AE22" s="74">
        <v>17453.62</v>
      </c>
      <c r="AF22" s="73">
        <v>13192</v>
      </c>
      <c r="AG22" s="74">
        <v>13092</v>
      </c>
      <c r="AH22" s="73">
        <v>668.76199999999994</v>
      </c>
      <c r="AI22" s="74" t="s">
        <v>139</v>
      </c>
      <c r="AJ22" s="73" t="s">
        <v>139</v>
      </c>
      <c r="AK22" s="74" t="s">
        <v>139</v>
      </c>
      <c r="AL22" s="73">
        <v>147894</v>
      </c>
      <c r="AM22" s="74">
        <v>147846</v>
      </c>
      <c r="AN22" s="73">
        <v>1067.865</v>
      </c>
      <c r="AO22" s="74">
        <v>77368</v>
      </c>
      <c r="AP22" s="73">
        <v>77299</v>
      </c>
      <c r="AQ22" s="74">
        <v>869.97</v>
      </c>
      <c r="AR22" s="73">
        <v>19008</v>
      </c>
      <c r="AS22" s="74">
        <v>18998</v>
      </c>
      <c r="AT22" s="73">
        <v>233.03800000000001</v>
      </c>
      <c r="AU22" s="74">
        <v>798</v>
      </c>
      <c r="AV22" s="73">
        <v>794</v>
      </c>
      <c r="AW22" s="74">
        <v>11.106999999999999</v>
      </c>
      <c r="AX22" s="73">
        <v>126546</v>
      </c>
      <c r="AY22" s="74">
        <v>126361</v>
      </c>
      <c r="AZ22" s="73">
        <v>259.10000000000002</v>
      </c>
      <c r="BA22" s="87">
        <v>1923.65</v>
      </c>
      <c r="BB22" s="83" t="s">
        <v>15</v>
      </c>
      <c r="BC22" s="64"/>
      <c r="BD22" s="64"/>
    </row>
    <row r="23" spans="1:56" x14ac:dyDescent="0.3">
      <c r="A23" s="63" t="str">
        <f>VLOOKUP([1]ListOfRegions!A9,[1]ListOfRegions!A9:B83,2,0)</f>
        <v xml:space="preserve">  Κιλκίς</v>
      </c>
      <c r="B23" s="75">
        <v>77</v>
      </c>
      <c r="C23" s="74">
        <v>77</v>
      </c>
      <c r="D23" s="73">
        <v>2.5</v>
      </c>
      <c r="E23" s="74">
        <v>20</v>
      </c>
      <c r="F23" s="73">
        <v>20</v>
      </c>
      <c r="G23" s="74">
        <v>1.4</v>
      </c>
      <c r="H23" s="73" t="s">
        <v>139</v>
      </c>
      <c r="I23" s="74" t="s">
        <v>139</v>
      </c>
      <c r="J23" s="73" t="s">
        <v>139</v>
      </c>
      <c r="K23" s="74">
        <v>5077</v>
      </c>
      <c r="L23" s="73">
        <v>5077</v>
      </c>
      <c r="M23" s="74">
        <v>48.941000000000003</v>
      </c>
      <c r="N23" s="73">
        <v>14038</v>
      </c>
      <c r="O23" s="74">
        <v>14038</v>
      </c>
      <c r="P23" s="73">
        <v>136.17500000000001</v>
      </c>
      <c r="Q23" s="74">
        <v>9976</v>
      </c>
      <c r="R23" s="73">
        <v>9976</v>
      </c>
      <c r="S23" s="74">
        <v>85.174999999999997</v>
      </c>
      <c r="T23" s="73">
        <v>121486</v>
      </c>
      <c r="U23" s="74">
        <v>121486</v>
      </c>
      <c r="V23" s="73">
        <v>1791.7550000000001</v>
      </c>
      <c r="W23" s="74">
        <v>19664</v>
      </c>
      <c r="X23" s="73">
        <v>19664</v>
      </c>
      <c r="Y23" s="74">
        <v>477.60199999999998</v>
      </c>
      <c r="Z23" s="73">
        <v>6376</v>
      </c>
      <c r="AA23" s="74">
        <v>6376</v>
      </c>
      <c r="AB23" s="73">
        <v>163.36699999999999</v>
      </c>
      <c r="AC23" s="74">
        <v>65618</v>
      </c>
      <c r="AD23" s="73">
        <v>65618</v>
      </c>
      <c r="AE23" s="74">
        <v>1257.6990000000001</v>
      </c>
      <c r="AF23" s="73">
        <v>34577</v>
      </c>
      <c r="AG23" s="74">
        <v>34577</v>
      </c>
      <c r="AH23" s="73">
        <v>762.84</v>
      </c>
      <c r="AI23" s="74">
        <v>100</v>
      </c>
      <c r="AJ23" s="73">
        <v>100</v>
      </c>
      <c r="AK23" s="74">
        <v>0.72</v>
      </c>
      <c r="AL23" s="73">
        <v>83460</v>
      </c>
      <c r="AM23" s="74">
        <v>83460</v>
      </c>
      <c r="AN23" s="73">
        <v>1009.43</v>
      </c>
      <c r="AO23" s="74">
        <v>28658</v>
      </c>
      <c r="AP23" s="73">
        <v>28658</v>
      </c>
      <c r="AQ23" s="74">
        <v>391.79700000000003</v>
      </c>
      <c r="AR23" s="73">
        <v>111498</v>
      </c>
      <c r="AS23" s="74">
        <v>111498</v>
      </c>
      <c r="AT23" s="73">
        <v>2269.29</v>
      </c>
      <c r="AU23" s="74">
        <v>5284</v>
      </c>
      <c r="AV23" s="73">
        <v>5284</v>
      </c>
      <c r="AW23" s="74">
        <v>197.59100000000001</v>
      </c>
      <c r="AX23" s="73">
        <v>198928</v>
      </c>
      <c r="AY23" s="74">
        <v>198928</v>
      </c>
      <c r="AZ23" s="73">
        <v>575.93100000000004</v>
      </c>
      <c r="BA23" s="87">
        <v>2092.6089999999999</v>
      </c>
      <c r="BB23" s="83" t="s">
        <v>16</v>
      </c>
      <c r="BC23" s="64"/>
      <c r="BD23" s="64"/>
    </row>
    <row r="24" spans="1:56" x14ac:dyDescent="0.3">
      <c r="A24" s="63" t="str">
        <f>VLOOKUP([1]ListOfRegions!A10,[1]ListOfRegions!A10:B84,2,0)</f>
        <v xml:space="preserve">  Πέλλας</v>
      </c>
      <c r="B24" s="75" t="s">
        <v>139</v>
      </c>
      <c r="C24" s="74" t="s">
        <v>139</v>
      </c>
      <c r="D24" s="73" t="s">
        <v>139</v>
      </c>
      <c r="E24" s="74" t="s">
        <v>139</v>
      </c>
      <c r="F24" s="73" t="s">
        <v>139</v>
      </c>
      <c r="G24" s="74" t="s">
        <v>139</v>
      </c>
      <c r="H24" s="73" t="s">
        <v>139</v>
      </c>
      <c r="I24" s="74" t="s">
        <v>139</v>
      </c>
      <c r="J24" s="73" t="s">
        <v>139</v>
      </c>
      <c r="K24" s="74">
        <v>358278</v>
      </c>
      <c r="L24" s="73">
        <v>358008</v>
      </c>
      <c r="M24" s="74">
        <v>5474.5349999999999</v>
      </c>
      <c r="N24" s="73">
        <v>2255355</v>
      </c>
      <c r="O24" s="74">
        <v>2255135</v>
      </c>
      <c r="P24" s="73">
        <v>36016.9</v>
      </c>
      <c r="Q24" s="74">
        <v>626846</v>
      </c>
      <c r="R24" s="73">
        <v>626846</v>
      </c>
      <c r="S24" s="74">
        <v>17604.28</v>
      </c>
      <c r="T24" s="73">
        <v>86520</v>
      </c>
      <c r="U24" s="74">
        <v>86370</v>
      </c>
      <c r="V24" s="73">
        <v>1476</v>
      </c>
      <c r="W24" s="74">
        <v>8780109</v>
      </c>
      <c r="X24" s="73">
        <v>8779859</v>
      </c>
      <c r="Y24" s="74">
        <v>363043.16899999999</v>
      </c>
      <c r="Z24" s="73">
        <v>1646128</v>
      </c>
      <c r="AA24" s="74">
        <v>1646048</v>
      </c>
      <c r="AB24" s="73">
        <v>35417.824000000001</v>
      </c>
      <c r="AC24" s="74">
        <v>5066801</v>
      </c>
      <c r="AD24" s="73">
        <v>5064761</v>
      </c>
      <c r="AE24" s="74">
        <v>57254.03</v>
      </c>
      <c r="AF24" s="73">
        <v>16646</v>
      </c>
      <c r="AG24" s="74">
        <v>16546</v>
      </c>
      <c r="AH24" s="73">
        <v>281.46199999999999</v>
      </c>
      <c r="AI24" s="74" t="s">
        <v>139</v>
      </c>
      <c r="AJ24" s="73" t="s">
        <v>139</v>
      </c>
      <c r="AK24" s="74" t="s">
        <v>139</v>
      </c>
      <c r="AL24" s="73">
        <v>206630</v>
      </c>
      <c r="AM24" s="74">
        <v>206530</v>
      </c>
      <c r="AN24" s="73">
        <v>701.66399999999999</v>
      </c>
      <c r="AO24" s="74">
        <v>166012</v>
      </c>
      <c r="AP24" s="73">
        <v>165012</v>
      </c>
      <c r="AQ24" s="74">
        <v>1324.742</v>
      </c>
      <c r="AR24" s="73">
        <v>231995</v>
      </c>
      <c r="AS24" s="74">
        <v>231895</v>
      </c>
      <c r="AT24" s="73">
        <v>3855.0549999999998</v>
      </c>
      <c r="AU24" s="74">
        <v>3036</v>
      </c>
      <c r="AV24" s="73">
        <v>3036</v>
      </c>
      <c r="AW24" s="74">
        <v>4.5620000000000003</v>
      </c>
      <c r="AX24" s="73">
        <v>300895</v>
      </c>
      <c r="AY24" s="74">
        <v>300315</v>
      </c>
      <c r="AZ24" s="73">
        <v>300.05500000000001</v>
      </c>
      <c r="BA24" s="87">
        <v>1231.9649999999999</v>
      </c>
      <c r="BB24" s="83" t="s">
        <v>17</v>
      </c>
      <c r="BC24" s="64"/>
      <c r="BD24" s="64"/>
    </row>
    <row r="25" spans="1:56" x14ac:dyDescent="0.3">
      <c r="A25" s="63" t="str">
        <f>VLOOKUP([1]ListOfRegions!A11,[1]ListOfRegions!A11:B85,2,0)</f>
        <v xml:space="preserve">  Πιερίας</v>
      </c>
      <c r="B25" s="75">
        <v>56</v>
      </c>
      <c r="C25" s="74">
        <v>51</v>
      </c>
      <c r="D25" s="73">
        <v>0.95</v>
      </c>
      <c r="E25" s="74">
        <v>15</v>
      </c>
      <c r="F25" s="73">
        <v>15</v>
      </c>
      <c r="G25" s="74">
        <v>1E-3</v>
      </c>
      <c r="H25" s="73">
        <v>15</v>
      </c>
      <c r="I25" s="74">
        <v>15</v>
      </c>
      <c r="J25" s="73">
        <v>1E-3</v>
      </c>
      <c r="K25" s="74">
        <v>4184</v>
      </c>
      <c r="L25" s="73">
        <v>4165</v>
      </c>
      <c r="M25" s="74">
        <v>170.59</v>
      </c>
      <c r="N25" s="73">
        <v>70581</v>
      </c>
      <c r="O25" s="74">
        <v>70408</v>
      </c>
      <c r="P25" s="73">
        <v>2615.88</v>
      </c>
      <c r="Q25" s="74">
        <v>2431788</v>
      </c>
      <c r="R25" s="73">
        <v>2431788</v>
      </c>
      <c r="S25" s="74">
        <v>87945.29</v>
      </c>
      <c r="T25" s="73">
        <v>27043</v>
      </c>
      <c r="U25" s="74">
        <v>27012</v>
      </c>
      <c r="V25" s="73">
        <v>745.28200000000004</v>
      </c>
      <c r="W25" s="74">
        <v>75559</v>
      </c>
      <c r="X25" s="73">
        <v>75349</v>
      </c>
      <c r="Y25" s="74">
        <v>3205.9110000000001</v>
      </c>
      <c r="Z25" s="73">
        <v>204042</v>
      </c>
      <c r="AA25" s="74">
        <v>203865</v>
      </c>
      <c r="AB25" s="73">
        <v>3831.1979999999999</v>
      </c>
      <c r="AC25" s="74">
        <v>309849</v>
      </c>
      <c r="AD25" s="73">
        <v>309732</v>
      </c>
      <c r="AE25" s="74">
        <v>3828.2579999999998</v>
      </c>
      <c r="AF25" s="73">
        <v>3762</v>
      </c>
      <c r="AG25" s="74">
        <v>3728</v>
      </c>
      <c r="AH25" s="73">
        <v>85.225999999999999</v>
      </c>
      <c r="AI25" s="74" t="s">
        <v>139</v>
      </c>
      <c r="AJ25" s="73" t="s">
        <v>139</v>
      </c>
      <c r="AK25" s="74" t="s">
        <v>139</v>
      </c>
      <c r="AL25" s="73">
        <v>110438</v>
      </c>
      <c r="AM25" s="74">
        <v>110403</v>
      </c>
      <c r="AN25" s="73">
        <v>1324.61</v>
      </c>
      <c r="AO25" s="74">
        <v>118507</v>
      </c>
      <c r="AP25" s="73">
        <v>118299</v>
      </c>
      <c r="AQ25" s="74">
        <v>2291.3449999999998</v>
      </c>
      <c r="AR25" s="73">
        <v>117711</v>
      </c>
      <c r="AS25" s="74">
        <v>117674</v>
      </c>
      <c r="AT25" s="73">
        <v>2475.7539999999999</v>
      </c>
      <c r="AU25" s="74">
        <v>2081</v>
      </c>
      <c r="AV25" s="73">
        <v>2081</v>
      </c>
      <c r="AW25" s="74">
        <v>31.4</v>
      </c>
      <c r="AX25" s="73">
        <v>1047175</v>
      </c>
      <c r="AY25" s="74">
        <v>1044981</v>
      </c>
      <c r="AZ25" s="73">
        <v>1076.46</v>
      </c>
      <c r="BA25" s="87">
        <v>6311.35</v>
      </c>
      <c r="BB25" s="83" t="s">
        <v>18</v>
      </c>
      <c r="BC25" s="64"/>
      <c r="BD25" s="64"/>
    </row>
    <row r="26" spans="1:56" x14ac:dyDescent="0.3">
      <c r="A26" s="63" t="str">
        <f>VLOOKUP([1]ListOfRegions!A12,[1]ListOfRegions!A12:B86,2,0)</f>
        <v xml:space="preserve">  Σερρών</v>
      </c>
      <c r="B26" s="75">
        <v>2302</v>
      </c>
      <c r="C26" s="74">
        <v>2302</v>
      </c>
      <c r="D26" s="73">
        <v>115.5</v>
      </c>
      <c r="E26" s="74" t="s">
        <v>139</v>
      </c>
      <c r="F26" s="73" t="s">
        <v>139</v>
      </c>
      <c r="G26" s="74" t="s">
        <v>139</v>
      </c>
      <c r="H26" s="73" t="s">
        <v>139</v>
      </c>
      <c r="I26" s="74" t="s">
        <v>139</v>
      </c>
      <c r="J26" s="73" t="s">
        <v>139</v>
      </c>
      <c r="K26" s="74">
        <v>8234</v>
      </c>
      <c r="L26" s="73">
        <v>8234</v>
      </c>
      <c r="M26" s="74">
        <v>292.45499999999998</v>
      </c>
      <c r="N26" s="73">
        <v>53035</v>
      </c>
      <c r="O26" s="74">
        <v>53035</v>
      </c>
      <c r="P26" s="73">
        <v>2197.2399999999998</v>
      </c>
      <c r="Q26" s="74">
        <v>73167</v>
      </c>
      <c r="R26" s="73">
        <v>72167</v>
      </c>
      <c r="S26" s="74">
        <v>2271.2550000000001</v>
      </c>
      <c r="T26" s="73">
        <v>99917</v>
      </c>
      <c r="U26" s="74">
        <v>98967</v>
      </c>
      <c r="V26" s="73">
        <v>2064.4</v>
      </c>
      <c r="W26" s="74">
        <v>14953</v>
      </c>
      <c r="X26" s="73">
        <v>14953</v>
      </c>
      <c r="Y26" s="74">
        <v>507.62900000000002</v>
      </c>
      <c r="Z26" s="73">
        <v>2736</v>
      </c>
      <c r="AA26" s="74">
        <v>2736</v>
      </c>
      <c r="AB26" s="73">
        <v>68.421000000000006</v>
      </c>
      <c r="AC26" s="74">
        <v>24120</v>
      </c>
      <c r="AD26" s="73">
        <v>24120</v>
      </c>
      <c r="AE26" s="74">
        <v>396.14699999999999</v>
      </c>
      <c r="AF26" s="73">
        <v>4641</v>
      </c>
      <c r="AG26" s="74">
        <v>4641</v>
      </c>
      <c r="AH26" s="73">
        <v>163.941</v>
      </c>
      <c r="AI26" s="74">
        <v>1170</v>
      </c>
      <c r="AJ26" s="73">
        <v>1170</v>
      </c>
      <c r="AK26" s="74">
        <v>4.8</v>
      </c>
      <c r="AL26" s="73">
        <v>734235</v>
      </c>
      <c r="AM26" s="74">
        <v>734235</v>
      </c>
      <c r="AN26" s="73">
        <v>5108.74</v>
      </c>
      <c r="AO26" s="74">
        <v>99387</v>
      </c>
      <c r="AP26" s="73">
        <v>99387</v>
      </c>
      <c r="AQ26" s="74">
        <v>1193.24</v>
      </c>
      <c r="AR26" s="73">
        <v>5508</v>
      </c>
      <c r="AS26" s="74">
        <v>5508</v>
      </c>
      <c r="AT26" s="73">
        <v>83.34</v>
      </c>
      <c r="AU26" s="74">
        <v>2716</v>
      </c>
      <c r="AV26" s="73">
        <v>2716</v>
      </c>
      <c r="AW26" s="74">
        <v>35.369999999999997</v>
      </c>
      <c r="AX26" s="73">
        <v>1787422</v>
      </c>
      <c r="AY26" s="74">
        <v>1787422</v>
      </c>
      <c r="AZ26" s="73">
        <v>3717.44</v>
      </c>
      <c r="BA26" s="87">
        <v>30317.119999999999</v>
      </c>
      <c r="BB26" s="83" t="s">
        <v>19</v>
      </c>
      <c r="BC26" s="64"/>
      <c r="BD26" s="64"/>
    </row>
    <row r="27" spans="1:56" x14ac:dyDescent="0.3">
      <c r="A27" s="63" t="str">
        <f>VLOOKUP([1]ListOfRegions!A13,[1]ListOfRegions!A13:B87,2,0)</f>
        <v xml:space="preserve">  Χαλκιδικής</v>
      </c>
      <c r="B27" s="75">
        <v>235</v>
      </c>
      <c r="C27" s="74">
        <v>235</v>
      </c>
      <c r="D27" s="73">
        <v>13.18</v>
      </c>
      <c r="E27" s="74">
        <v>605</v>
      </c>
      <c r="F27" s="73">
        <v>605</v>
      </c>
      <c r="G27" s="74">
        <v>6.1689999999999996</v>
      </c>
      <c r="H27" s="73">
        <v>379</v>
      </c>
      <c r="I27" s="74">
        <v>379</v>
      </c>
      <c r="J27" s="73">
        <v>2.3929999999999998</v>
      </c>
      <c r="K27" s="74">
        <v>10238</v>
      </c>
      <c r="L27" s="73">
        <v>10238</v>
      </c>
      <c r="M27" s="74">
        <v>277.15899999999999</v>
      </c>
      <c r="N27" s="73">
        <v>15173</v>
      </c>
      <c r="O27" s="74">
        <v>15173</v>
      </c>
      <c r="P27" s="73">
        <v>251.95099999999999</v>
      </c>
      <c r="Q27" s="74">
        <v>1681</v>
      </c>
      <c r="R27" s="73">
        <v>1681</v>
      </c>
      <c r="S27" s="74">
        <v>2E-3</v>
      </c>
      <c r="T27" s="73">
        <v>25605</v>
      </c>
      <c r="U27" s="74">
        <v>25605</v>
      </c>
      <c r="V27" s="73">
        <v>1145.828</v>
      </c>
      <c r="W27" s="74">
        <v>9444</v>
      </c>
      <c r="X27" s="73">
        <v>9444</v>
      </c>
      <c r="Y27" s="74">
        <v>300.63299999999998</v>
      </c>
      <c r="Z27" s="73">
        <v>660983</v>
      </c>
      <c r="AA27" s="74">
        <v>660983</v>
      </c>
      <c r="AB27" s="73">
        <v>17371.413</v>
      </c>
      <c r="AC27" s="74">
        <v>11704</v>
      </c>
      <c r="AD27" s="73">
        <v>11704</v>
      </c>
      <c r="AE27" s="74">
        <v>151.66999999999999</v>
      </c>
      <c r="AF27" s="73">
        <v>10113</v>
      </c>
      <c r="AG27" s="74">
        <v>10113</v>
      </c>
      <c r="AH27" s="73">
        <v>174.95599999999999</v>
      </c>
      <c r="AI27" s="74">
        <v>28</v>
      </c>
      <c r="AJ27" s="73">
        <v>28</v>
      </c>
      <c r="AK27" s="74">
        <v>0.2</v>
      </c>
      <c r="AL27" s="73">
        <v>47906</v>
      </c>
      <c r="AM27" s="74">
        <v>47906</v>
      </c>
      <c r="AN27" s="73">
        <v>413.214</v>
      </c>
      <c r="AO27" s="74">
        <v>19582</v>
      </c>
      <c r="AP27" s="73">
        <v>19582</v>
      </c>
      <c r="AQ27" s="74">
        <v>232.80799999999999</v>
      </c>
      <c r="AR27" s="73">
        <v>9712</v>
      </c>
      <c r="AS27" s="74">
        <v>9712</v>
      </c>
      <c r="AT27" s="73">
        <v>155.97800000000001</v>
      </c>
      <c r="AU27" s="74">
        <v>59561</v>
      </c>
      <c r="AV27" s="73">
        <v>59561</v>
      </c>
      <c r="AW27" s="74">
        <v>583.48</v>
      </c>
      <c r="AX27" s="73">
        <v>6012364</v>
      </c>
      <c r="AY27" s="74">
        <v>6012364</v>
      </c>
      <c r="AZ27" s="73">
        <v>97688.676999999996</v>
      </c>
      <c r="BA27" s="87">
        <v>27946.907999999999</v>
      </c>
      <c r="BB27" s="83" t="s">
        <v>20</v>
      </c>
      <c r="BC27" s="64"/>
      <c r="BD27" s="64"/>
    </row>
    <row r="28" spans="1:56" ht="22.2" customHeight="1" x14ac:dyDescent="0.3">
      <c r="A28" s="65" t="s">
        <v>120</v>
      </c>
      <c r="B28" s="66">
        <f>SUM(B29:B32)</f>
        <v>0</v>
      </c>
      <c r="C28" s="67">
        <f t="shared" ref="C28:BA28" si="12">SUM(C29:C32)</f>
        <v>0</v>
      </c>
      <c r="D28" s="67">
        <f t="shared" si="12"/>
        <v>0</v>
      </c>
      <c r="E28" s="67">
        <f>SUM(E29:E32)</f>
        <v>0</v>
      </c>
      <c r="F28" s="67">
        <f>SUM(F29:F32)</f>
        <v>0</v>
      </c>
      <c r="G28" s="67">
        <f>SUM(G29:G32)</f>
        <v>0</v>
      </c>
      <c r="H28" s="67">
        <f t="shared" si="12"/>
        <v>0</v>
      </c>
      <c r="I28" s="67">
        <f t="shared" si="12"/>
        <v>0</v>
      </c>
      <c r="J28" s="67">
        <f t="shared" si="12"/>
        <v>0</v>
      </c>
      <c r="K28" s="67">
        <f t="shared" si="12"/>
        <v>111251</v>
      </c>
      <c r="L28" s="67">
        <f t="shared" si="12"/>
        <v>109014</v>
      </c>
      <c r="M28" s="67">
        <f t="shared" si="12"/>
        <v>3044.203</v>
      </c>
      <c r="N28" s="67">
        <f t="shared" si="12"/>
        <v>6005408</v>
      </c>
      <c r="O28" s="67">
        <f t="shared" si="12"/>
        <v>6001374</v>
      </c>
      <c r="P28" s="67">
        <f t="shared" si="12"/>
        <v>99728.08100000002</v>
      </c>
      <c r="Q28" s="67">
        <f t="shared" si="12"/>
        <v>540</v>
      </c>
      <c r="R28" s="67">
        <f t="shared" si="12"/>
        <v>540</v>
      </c>
      <c r="S28" s="67">
        <f t="shared" si="12"/>
        <v>18.774999999999999</v>
      </c>
      <c r="T28" s="67">
        <f t="shared" si="12"/>
        <v>6816</v>
      </c>
      <c r="U28" s="67">
        <f t="shared" si="12"/>
        <v>5255</v>
      </c>
      <c r="V28" s="67">
        <f t="shared" si="12"/>
        <v>187.10599999999999</v>
      </c>
      <c r="W28" s="67">
        <f t="shared" si="12"/>
        <v>1570145</v>
      </c>
      <c r="X28" s="67">
        <f t="shared" si="12"/>
        <v>1568447</v>
      </c>
      <c r="Y28" s="67">
        <f t="shared" si="12"/>
        <v>53780.616999999998</v>
      </c>
      <c r="Z28" s="67">
        <f t="shared" si="12"/>
        <v>26206</v>
      </c>
      <c r="AA28" s="67">
        <f t="shared" si="12"/>
        <v>25451</v>
      </c>
      <c r="AB28" s="67">
        <f t="shared" si="12"/>
        <v>683.76300000000003</v>
      </c>
      <c r="AC28" s="67">
        <f t="shared" si="12"/>
        <v>1006208</v>
      </c>
      <c r="AD28" s="67">
        <f t="shared" si="12"/>
        <v>1002613</v>
      </c>
      <c r="AE28" s="67">
        <f t="shared" si="12"/>
        <v>20416.599000000002</v>
      </c>
      <c r="AF28" s="67">
        <f t="shared" si="12"/>
        <v>1650</v>
      </c>
      <c r="AG28" s="67">
        <f t="shared" si="12"/>
        <v>653</v>
      </c>
      <c r="AH28" s="67">
        <f t="shared" si="12"/>
        <v>29.086000000000002</v>
      </c>
      <c r="AI28" s="67">
        <f t="shared" si="12"/>
        <v>0</v>
      </c>
      <c r="AJ28" s="67">
        <f t="shared" si="12"/>
        <v>0</v>
      </c>
      <c r="AK28" s="67">
        <f t="shared" si="12"/>
        <v>0</v>
      </c>
      <c r="AL28" s="67">
        <f t="shared" si="12"/>
        <v>412624</v>
      </c>
      <c r="AM28" s="67">
        <f t="shared" si="12"/>
        <v>409554</v>
      </c>
      <c r="AN28" s="67">
        <f t="shared" si="12"/>
        <v>5912.85</v>
      </c>
      <c r="AO28" s="67">
        <f t="shared" si="12"/>
        <v>461236</v>
      </c>
      <c r="AP28" s="67">
        <f t="shared" si="12"/>
        <v>456095</v>
      </c>
      <c r="AQ28" s="67">
        <f t="shared" si="12"/>
        <v>6265.7049999999999</v>
      </c>
      <c r="AR28" s="67">
        <f t="shared" si="12"/>
        <v>99461</v>
      </c>
      <c r="AS28" s="67">
        <f t="shared" si="12"/>
        <v>98935</v>
      </c>
      <c r="AT28" s="67">
        <f t="shared" si="12"/>
        <v>2142.1019999999999</v>
      </c>
      <c r="AU28" s="67">
        <f t="shared" si="12"/>
        <v>1946</v>
      </c>
      <c r="AV28" s="67">
        <f t="shared" si="12"/>
        <v>1946</v>
      </c>
      <c r="AW28" s="67">
        <f t="shared" si="12"/>
        <v>14.034000000000001</v>
      </c>
      <c r="AX28" s="67">
        <f t="shared" si="12"/>
        <v>117747</v>
      </c>
      <c r="AY28" s="67">
        <f t="shared" si="12"/>
        <v>117747</v>
      </c>
      <c r="AZ28" s="67">
        <f t="shared" si="12"/>
        <v>241.25899999999999</v>
      </c>
      <c r="BA28" s="68">
        <f t="shared" si="12"/>
        <v>1624.97</v>
      </c>
      <c r="BB28" s="84" t="s">
        <v>119</v>
      </c>
      <c r="BC28" s="64"/>
      <c r="BD28" s="64"/>
    </row>
    <row r="29" spans="1:56" x14ac:dyDescent="0.3">
      <c r="A29" s="63" t="str">
        <f>VLOOKUP([1]ListOfRegions!A14,[1]ListOfRegions!A14:B88,2,0)</f>
        <v xml:space="preserve">  Κοζάνης</v>
      </c>
      <c r="B29" s="75" t="s">
        <v>139</v>
      </c>
      <c r="C29" s="74" t="s">
        <v>139</v>
      </c>
      <c r="D29" s="73" t="s">
        <v>139</v>
      </c>
      <c r="E29" s="74" t="s">
        <v>139</v>
      </c>
      <c r="F29" s="73" t="s">
        <v>139</v>
      </c>
      <c r="G29" s="74" t="s">
        <v>139</v>
      </c>
      <c r="H29" s="73" t="s">
        <v>139</v>
      </c>
      <c r="I29" s="74" t="s">
        <v>139</v>
      </c>
      <c r="J29" s="73" t="s">
        <v>139</v>
      </c>
      <c r="K29" s="74">
        <v>45727</v>
      </c>
      <c r="L29" s="73">
        <v>43929</v>
      </c>
      <c r="M29" s="74">
        <v>1103.99</v>
      </c>
      <c r="N29" s="73">
        <v>3069573</v>
      </c>
      <c r="O29" s="74">
        <v>3066980</v>
      </c>
      <c r="P29" s="73">
        <v>47337.817000000003</v>
      </c>
      <c r="Q29" s="74">
        <v>175</v>
      </c>
      <c r="R29" s="73">
        <v>175</v>
      </c>
      <c r="S29" s="74">
        <v>6</v>
      </c>
      <c r="T29" s="73">
        <v>6178</v>
      </c>
      <c r="U29" s="74">
        <v>4624</v>
      </c>
      <c r="V29" s="73">
        <v>166.071</v>
      </c>
      <c r="W29" s="74">
        <v>610144</v>
      </c>
      <c r="X29" s="73">
        <v>608503</v>
      </c>
      <c r="Y29" s="74">
        <v>11852.476000000001</v>
      </c>
      <c r="Z29" s="73">
        <v>10534</v>
      </c>
      <c r="AA29" s="74">
        <v>9818</v>
      </c>
      <c r="AB29" s="73">
        <v>133.06700000000001</v>
      </c>
      <c r="AC29" s="74">
        <v>692017</v>
      </c>
      <c r="AD29" s="73">
        <v>690111</v>
      </c>
      <c r="AE29" s="74">
        <v>8875.1059999999998</v>
      </c>
      <c r="AF29" s="73">
        <v>1490</v>
      </c>
      <c r="AG29" s="74">
        <v>573</v>
      </c>
      <c r="AH29" s="73">
        <v>25.286000000000001</v>
      </c>
      <c r="AI29" s="74" t="s">
        <v>139</v>
      </c>
      <c r="AJ29" s="73" t="s">
        <v>139</v>
      </c>
      <c r="AK29" s="74" t="s">
        <v>139</v>
      </c>
      <c r="AL29" s="73">
        <v>228318</v>
      </c>
      <c r="AM29" s="74">
        <v>226048</v>
      </c>
      <c r="AN29" s="73">
        <v>1818.88</v>
      </c>
      <c r="AO29" s="74">
        <v>257369</v>
      </c>
      <c r="AP29" s="73">
        <v>254126</v>
      </c>
      <c r="AQ29" s="74">
        <v>3168.1060000000002</v>
      </c>
      <c r="AR29" s="73">
        <v>24413</v>
      </c>
      <c r="AS29" s="74">
        <v>23910</v>
      </c>
      <c r="AT29" s="73">
        <v>502.28199999999998</v>
      </c>
      <c r="AU29" s="74">
        <v>1946</v>
      </c>
      <c r="AV29" s="73">
        <v>1946</v>
      </c>
      <c r="AW29" s="74">
        <v>14.034000000000001</v>
      </c>
      <c r="AX29" s="73">
        <v>116747</v>
      </c>
      <c r="AY29" s="74">
        <v>116747</v>
      </c>
      <c r="AZ29" s="73">
        <v>241.25899999999999</v>
      </c>
      <c r="BA29" s="87">
        <v>1609.97</v>
      </c>
      <c r="BB29" s="83" t="s">
        <v>21</v>
      </c>
      <c r="BC29" s="64"/>
      <c r="BD29" s="64"/>
    </row>
    <row r="30" spans="1:56" x14ac:dyDescent="0.3">
      <c r="A30" s="63" t="str">
        <f>VLOOKUP([1]ListOfRegions!A15,[1]ListOfRegions!A15:B89,2,0)</f>
        <v xml:space="preserve">  Γρεβενών</v>
      </c>
      <c r="B30" s="75" t="s">
        <v>139</v>
      </c>
      <c r="C30" s="74" t="s">
        <v>139</v>
      </c>
      <c r="D30" s="73" t="s">
        <v>139</v>
      </c>
      <c r="E30" s="74" t="s">
        <v>139</v>
      </c>
      <c r="F30" s="73" t="s">
        <v>139</v>
      </c>
      <c r="G30" s="74" t="s">
        <v>139</v>
      </c>
      <c r="H30" s="73" t="s">
        <v>139</v>
      </c>
      <c r="I30" s="74" t="s">
        <v>139</v>
      </c>
      <c r="J30" s="73" t="s">
        <v>139</v>
      </c>
      <c r="K30" s="74">
        <v>2663</v>
      </c>
      <c r="L30" s="73">
        <v>2224</v>
      </c>
      <c r="M30" s="74">
        <v>38.765999999999998</v>
      </c>
      <c r="N30" s="73">
        <v>42106</v>
      </c>
      <c r="O30" s="74">
        <v>40665</v>
      </c>
      <c r="P30" s="73">
        <v>929.31299999999999</v>
      </c>
      <c r="Q30" s="74" t="s">
        <v>139</v>
      </c>
      <c r="R30" s="73" t="s">
        <v>139</v>
      </c>
      <c r="S30" s="74" t="s">
        <v>139</v>
      </c>
      <c r="T30" s="73">
        <v>84</v>
      </c>
      <c r="U30" s="74">
        <v>77</v>
      </c>
      <c r="V30" s="73">
        <v>1.2849999999999999</v>
      </c>
      <c r="W30" s="74">
        <v>1002</v>
      </c>
      <c r="X30" s="73">
        <v>945</v>
      </c>
      <c r="Y30" s="74">
        <v>20.831</v>
      </c>
      <c r="Z30" s="73">
        <v>343</v>
      </c>
      <c r="AA30" s="74">
        <v>304</v>
      </c>
      <c r="AB30" s="73">
        <v>4.3310000000000004</v>
      </c>
      <c r="AC30" s="74">
        <v>25700</v>
      </c>
      <c r="AD30" s="73">
        <v>24011</v>
      </c>
      <c r="AE30" s="74">
        <v>395.54500000000002</v>
      </c>
      <c r="AF30" s="73">
        <v>80</v>
      </c>
      <c r="AG30" s="74" t="s">
        <v>139</v>
      </c>
      <c r="AH30" s="73">
        <v>1</v>
      </c>
      <c r="AI30" s="74" t="s">
        <v>139</v>
      </c>
      <c r="AJ30" s="73" t="s">
        <v>139</v>
      </c>
      <c r="AK30" s="74" t="s">
        <v>139</v>
      </c>
      <c r="AL30" s="73">
        <v>43843</v>
      </c>
      <c r="AM30" s="74">
        <v>43043</v>
      </c>
      <c r="AN30" s="73">
        <v>391.375</v>
      </c>
      <c r="AO30" s="74">
        <v>97340</v>
      </c>
      <c r="AP30" s="73">
        <v>95442</v>
      </c>
      <c r="AQ30" s="74">
        <v>1013.725</v>
      </c>
      <c r="AR30" s="73">
        <v>7673</v>
      </c>
      <c r="AS30" s="74">
        <v>7650</v>
      </c>
      <c r="AT30" s="73">
        <v>89.927000000000007</v>
      </c>
      <c r="AU30" s="74" t="s">
        <v>139</v>
      </c>
      <c r="AV30" s="73" t="s">
        <v>139</v>
      </c>
      <c r="AW30" s="74" t="s">
        <v>139</v>
      </c>
      <c r="AX30" s="73">
        <v>1000</v>
      </c>
      <c r="AY30" s="74">
        <v>1000</v>
      </c>
      <c r="AZ30" s="73" t="s">
        <v>139</v>
      </c>
      <c r="BA30" s="87">
        <v>15</v>
      </c>
      <c r="BB30" s="83" t="s">
        <v>22</v>
      </c>
      <c r="BC30" s="64"/>
      <c r="BD30" s="64"/>
    </row>
    <row r="31" spans="1:56" x14ac:dyDescent="0.3">
      <c r="A31" s="63" t="str">
        <f>VLOOKUP([1]ListOfRegions!A16,[1]ListOfRegions!A16:B90,2,0)</f>
        <v xml:space="preserve">  Καστοριάς</v>
      </c>
      <c r="B31" s="75" t="s">
        <v>139</v>
      </c>
      <c r="C31" s="74" t="s">
        <v>139</v>
      </c>
      <c r="D31" s="73" t="s">
        <v>139</v>
      </c>
      <c r="E31" s="74" t="s">
        <v>139</v>
      </c>
      <c r="F31" s="73" t="s">
        <v>139</v>
      </c>
      <c r="G31" s="74" t="s">
        <v>139</v>
      </c>
      <c r="H31" s="73" t="s">
        <v>139</v>
      </c>
      <c r="I31" s="74" t="s">
        <v>139</v>
      </c>
      <c r="J31" s="73" t="s">
        <v>139</v>
      </c>
      <c r="K31" s="74">
        <v>10370</v>
      </c>
      <c r="L31" s="73">
        <v>10370</v>
      </c>
      <c r="M31" s="74">
        <v>177.202</v>
      </c>
      <c r="N31" s="73">
        <v>2457206</v>
      </c>
      <c r="O31" s="74">
        <v>2457206</v>
      </c>
      <c r="P31" s="73">
        <v>35642.230000000003</v>
      </c>
      <c r="Q31" s="74" t="s">
        <v>139</v>
      </c>
      <c r="R31" s="73" t="s">
        <v>139</v>
      </c>
      <c r="S31" s="74" t="s">
        <v>139</v>
      </c>
      <c r="T31" s="73" t="s">
        <v>139</v>
      </c>
      <c r="U31" s="74" t="s">
        <v>139</v>
      </c>
      <c r="V31" s="73" t="s">
        <v>139</v>
      </c>
      <c r="W31" s="74">
        <v>430</v>
      </c>
      <c r="X31" s="73">
        <v>430</v>
      </c>
      <c r="Y31" s="74">
        <v>2.91</v>
      </c>
      <c r="Z31" s="73">
        <v>90</v>
      </c>
      <c r="AA31" s="74">
        <v>90</v>
      </c>
      <c r="AB31" s="73">
        <v>2.5</v>
      </c>
      <c r="AC31" s="74">
        <v>11322</v>
      </c>
      <c r="AD31" s="73">
        <v>11322</v>
      </c>
      <c r="AE31" s="74">
        <v>142.68799999999999</v>
      </c>
      <c r="AF31" s="73" t="s">
        <v>139</v>
      </c>
      <c r="AG31" s="74" t="s">
        <v>139</v>
      </c>
      <c r="AH31" s="73" t="s">
        <v>139</v>
      </c>
      <c r="AI31" s="74" t="s">
        <v>139</v>
      </c>
      <c r="AJ31" s="73" t="s">
        <v>139</v>
      </c>
      <c r="AK31" s="74" t="s">
        <v>139</v>
      </c>
      <c r="AL31" s="73">
        <v>25992</v>
      </c>
      <c r="AM31" s="74">
        <v>25992</v>
      </c>
      <c r="AN31" s="73">
        <v>130.53299999999999</v>
      </c>
      <c r="AO31" s="74">
        <v>56343</v>
      </c>
      <c r="AP31" s="73">
        <v>56343</v>
      </c>
      <c r="AQ31" s="74">
        <v>511.62099999999998</v>
      </c>
      <c r="AR31" s="73">
        <v>11132</v>
      </c>
      <c r="AS31" s="74">
        <v>11132</v>
      </c>
      <c r="AT31" s="73">
        <v>236.66300000000001</v>
      </c>
      <c r="AU31" s="74" t="s">
        <v>139</v>
      </c>
      <c r="AV31" s="73" t="s">
        <v>139</v>
      </c>
      <c r="AW31" s="74" t="s">
        <v>139</v>
      </c>
      <c r="AX31" s="73" t="s">
        <v>139</v>
      </c>
      <c r="AY31" s="74" t="s">
        <v>139</v>
      </c>
      <c r="AZ31" s="73" t="s">
        <v>139</v>
      </c>
      <c r="BA31" s="87" t="s">
        <v>139</v>
      </c>
      <c r="BB31" s="83" t="s">
        <v>23</v>
      </c>
      <c r="BC31" s="64"/>
      <c r="BD31" s="64"/>
    </row>
    <row r="32" spans="1:56" x14ac:dyDescent="0.3">
      <c r="A32" s="63" t="str">
        <f>VLOOKUP([1]ListOfRegions!A17,[1]ListOfRegions!A17:B91,2,0)</f>
        <v xml:space="preserve">  Φλώρινας</v>
      </c>
      <c r="B32" s="75" t="s">
        <v>139</v>
      </c>
      <c r="C32" s="74" t="s">
        <v>139</v>
      </c>
      <c r="D32" s="73" t="s">
        <v>139</v>
      </c>
      <c r="E32" s="74" t="s">
        <v>139</v>
      </c>
      <c r="F32" s="73" t="s">
        <v>139</v>
      </c>
      <c r="G32" s="74" t="s">
        <v>139</v>
      </c>
      <c r="H32" s="73" t="s">
        <v>139</v>
      </c>
      <c r="I32" s="74" t="s">
        <v>139</v>
      </c>
      <c r="J32" s="73" t="s">
        <v>139</v>
      </c>
      <c r="K32" s="74">
        <v>52491</v>
      </c>
      <c r="L32" s="73">
        <v>52491</v>
      </c>
      <c r="M32" s="74">
        <v>1724.2449999999999</v>
      </c>
      <c r="N32" s="73">
        <v>436523</v>
      </c>
      <c r="O32" s="74">
        <v>436523</v>
      </c>
      <c r="P32" s="73">
        <v>15818.721</v>
      </c>
      <c r="Q32" s="74">
        <v>365</v>
      </c>
      <c r="R32" s="73">
        <v>365</v>
      </c>
      <c r="S32" s="74">
        <v>12.775</v>
      </c>
      <c r="T32" s="73">
        <v>554</v>
      </c>
      <c r="U32" s="74">
        <v>554</v>
      </c>
      <c r="V32" s="73">
        <v>19.75</v>
      </c>
      <c r="W32" s="74">
        <v>958569</v>
      </c>
      <c r="X32" s="73">
        <v>958569</v>
      </c>
      <c r="Y32" s="74">
        <v>41904.400000000001</v>
      </c>
      <c r="Z32" s="73">
        <v>15239</v>
      </c>
      <c r="AA32" s="74">
        <v>15239</v>
      </c>
      <c r="AB32" s="73">
        <v>543.86500000000001</v>
      </c>
      <c r="AC32" s="74">
        <v>277169</v>
      </c>
      <c r="AD32" s="73">
        <v>277169</v>
      </c>
      <c r="AE32" s="74">
        <v>11003.26</v>
      </c>
      <c r="AF32" s="73">
        <v>80</v>
      </c>
      <c r="AG32" s="74">
        <v>80</v>
      </c>
      <c r="AH32" s="73">
        <v>2.8</v>
      </c>
      <c r="AI32" s="74" t="s">
        <v>139</v>
      </c>
      <c r="AJ32" s="73" t="s">
        <v>139</v>
      </c>
      <c r="AK32" s="74" t="s">
        <v>139</v>
      </c>
      <c r="AL32" s="73">
        <v>114471</v>
      </c>
      <c r="AM32" s="74">
        <v>114471</v>
      </c>
      <c r="AN32" s="73">
        <v>3572.0619999999999</v>
      </c>
      <c r="AO32" s="74">
        <v>50184</v>
      </c>
      <c r="AP32" s="73">
        <v>50184</v>
      </c>
      <c r="AQ32" s="74">
        <v>1572.2529999999999</v>
      </c>
      <c r="AR32" s="73">
        <v>56243</v>
      </c>
      <c r="AS32" s="74">
        <v>56243</v>
      </c>
      <c r="AT32" s="73">
        <v>1313.23</v>
      </c>
      <c r="AU32" s="74" t="s">
        <v>139</v>
      </c>
      <c r="AV32" s="73" t="s">
        <v>139</v>
      </c>
      <c r="AW32" s="74" t="s">
        <v>139</v>
      </c>
      <c r="AX32" s="73" t="s">
        <v>139</v>
      </c>
      <c r="AY32" s="74" t="s">
        <v>139</v>
      </c>
      <c r="AZ32" s="73" t="s">
        <v>139</v>
      </c>
      <c r="BA32" s="87" t="s">
        <v>139</v>
      </c>
      <c r="BB32" s="83" t="s">
        <v>24</v>
      </c>
      <c r="BC32" s="64"/>
      <c r="BD32" s="64"/>
    </row>
    <row r="33" spans="1:56" x14ac:dyDescent="0.3">
      <c r="A33" s="94" t="s">
        <v>25</v>
      </c>
      <c r="B33" s="95">
        <f t="shared" ref="B33:J33" si="13">SUM(B35:B38)</f>
        <v>81067</v>
      </c>
      <c r="C33" s="89">
        <f t="shared" si="13"/>
        <v>71807</v>
      </c>
      <c r="D33" s="89">
        <f t="shared" si="13"/>
        <v>2933</v>
      </c>
      <c r="E33" s="89">
        <f t="shared" si="13"/>
        <v>1276514</v>
      </c>
      <c r="F33" s="89">
        <f t="shared" si="13"/>
        <v>1268017</v>
      </c>
      <c r="G33" s="89">
        <f>SUM(G35:G38)</f>
        <v>48304.04</v>
      </c>
      <c r="H33" s="89">
        <f t="shared" si="13"/>
        <v>1623994</v>
      </c>
      <c r="I33" s="89">
        <f t="shared" si="13"/>
        <v>1613058</v>
      </c>
      <c r="J33" s="89">
        <f t="shared" si="13"/>
        <v>59306.115000000005</v>
      </c>
      <c r="K33" s="89">
        <f>SUM(K35:K38)</f>
        <v>16014</v>
      </c>
      <c r="L33" s="89">
        <f>SUM(L35:L38)</f>
        <v>5422</v>
      </c>
      <c r="M33" s="89">
        <f>SUM(M35:M38)</f>
        <v>433.67899999999997</v>
      </c>
      <c r="N33" s="89">
        <f>SUM(N35:N38)</f>
        <v>16053</v>
      </c>
      <c r="O33" s="89">
        <f t="shared" ref="O33:AE33" si="14">SUM(O35:O38)</f>
        <v>11990</v>
      </c>
      <c r="P33" s="89">
        <f t="shared" si="14"/>
        <v>480.34</v>
      </c>
      <c r="Q33" s="89">
        <f t="shared" ref="Q33:V33" si="15">SUM(Q35:Q38)</f>
        <v>1622944</v>
      </c>
      <c r="R33" s="89">
        <f t="shared" si="15"/>
        <v>1622821</v>
      </c>
      <c r="S33" s="89">
        <f t="shared" si="15"/>
        <v>97460.569000000003</v>
      </c>
      <c r="T33" s="89">
        <f t="shared" si="15"/>
        <v>36157</v>
      </c>
      <c r="U33" s="89">
        <f t="shared" si="15"/>
        <v>31458</v>
      </c>
      <c r="V33" s="89">
        <f t="shared" si="15"/>
        <v>733.45900000000006</v>
      </c>
      <c r="W33" s="89">
        <f t="shared" si="14"/>
        <v>13725</v>
      </c>
      <c r="X33" s="89">
        <f t="shared" si="14"/>
        <v>10472</v>
      </c>
      <c r="Y33" s="89">
        <f t="shared" si="14"/>
        <v>341.38099999999997</v>
      </c>
      <c r="Z33" s="93">
        <f t="shared" si="14"/>
        <v>4169</v>
      </c>
      <c r="AA33" s="89">
        <f t="shared" si="14"/>
        <v>2991</v>
      </c>
      <c r="AB33" s="89">
        <f t="shared" si="14"/>
        <v>96.989000000000004</v>
      </c>
      <c r="AC33" s="89">
        <f t="shared" si="14"/>
        <v>8261</v>
      </c>
      <c r="AD33" s="89">
        <f t="shared" si="14"/>
        <v>3350</v>
      </c>
      <c r="AE33" s="89">
        <f t="shared" si="14"/>
        <v>206.17099999999999</v>
      </c>
      <c r="AF33" s="89">
        <f>SUM(AF35:AF38)</f>
        <v>21245</v>
      </c>
      <c r="AG33" s="89">
        <f t="shared" ref="AG33:AQ33" si="16">SUM(AG35:AG38)</f>
        <v>2225</v>
      </c>
      <c r="AH33" s="89">
        <f t="shared" si="16"/>
        <v>539.69799999999998</v>
      </c>
      <c r="AI33" s="89">
        <f t="shared" si="16"/>
        <v>17</v>
      </c>
      <c r="AJ33" s="89">
        <f t="shared" si="16"/>
        <v>0</v>
      </c>
      <c r="AK33" s="89">
        <f t="shared" si="16"/>
        <v>0.15</v>
      </c>
      <c r="AL33" s="89">
        <f t="shared" si="16"/>
        <v>22445</v>
      </c>
      <c r="AM33" s="89">
        <f t="shared" si="16"/>
        <v>16663</v>
      </c>
      <c r="AN33" s="89">
        <f t="shared" si="16"/>
        <v>314.435</v>
      </c>
      <c r="AO33" s="89">
        <f t="shared" si="16"/>
        <v>54243</v>
      </c>
      <c r="AP33" s="89">
        <f t="shared" si="16"/>
        <v>39524</v>
      </c>
      <c r="AQ33" s="89">
        <f t="shared" si="16"/>
        <v>1015.879</v>
      </c>
      <c r="AR33" s="89">
        <f>SUM(AR35:AR38)</f>
        <v>23771</v>
      </c>
      <c r="AS33" s="89">
        <f t="shared" ref="AS33:BA33" si="17">SUM(AS35:AS38)</f>
        <v>18940</v>
      </c>
      <c r="AT33" s="89">
        <f t="shared" si="17"/>
        <v>426.661</v>
      </c>
      <c r="AU33" s="89">
        <f t="shared" si="17"/>
        <v>0</v>
      </c>
      <c r="AV33" s="89">
        <f t="shared" si="17"/>
        <v>0</v>
      </c>
      <c r="AW33" s="89">
        <f t="shared" si="17"/>
        <v>0</v>
      </c>
      <c r="AX33" s="89">
        <f t="shared" si="17"/>
        <v>2663553</v>
      </c>
      <c r="AY33" s="89">
        <f t="shared" si="17"/>
        <v>2642249</v>
      </c>
      <c r="AZ33" s="89">
        <f t="shared" si="17"/>
        <v>15242.038</v>
      </c>
      <c r="BA33" s="96">
        <f t="shared" si="17"/>
        <v>73038.285000000003</v>
      </c>
      <c r="BB33" s="91" t="s">
        <v>26</v>
      </c>
      <c r="BC33" s="92"/>
      <c r="BD33" s="92"/>
    </row>
    <row r="34" spans="1:56" x14ac:dyDescent="0.3">
      <c r="A34" s="94"/>
      <c r="B34" s="95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93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  <c r="AO34" s="89"/>
      <c r="AP34" s="89"/>
      <c r="AQ34" s="89"/>
      <c r="AR34" s="89"/>
      <c r="AS34" s="89"/>
      <c r="AT34" s="89"/>
      <c r="AU34" s="89"/>
      <c r="AV34" s="89"/>
      <c r="AW34" s="89"/>
      <c r="AX34" s="89"/>
      <c r="AY34" s="89"/>
      <c r="AZ34" s="89"/>
      <c r="BA34" s="96"/>
      <c r="BB34" s="91"/>
      <c r="BC34" s="92"/>
      <c r="BD34" s="92"/>
    </row>
    <row r="35" spans="1:56" x14ac:dyDescent="0.3">
      <c r="A35" s="63" t="str">
        <f>VLOOKUP([1]ListOfRegions!A18,[1]ListOfRegions!A18:B92,2,0)</f>
        <v xml:space="preserve">  Ιωαννίνων</v>
      </c>
      <c r="B35" s="75" t="s">
        <v>139</v>
      </c>
      <c r="C35" s="74" t="s">
        <v>139</v>
      </c>
      <c r="D35" s="73" t="s">
        <v>139</v>
      </c>
      <c r="E35" s="74" t="s">
        <v>139</v>
      </c>
      <c r="F35" s="73" t="s">
        <v>139</v>
      </c>
      <c r="G35" s="74" t="s">
        <v>139</v>
      </c>
      <c r="H35" s="73" t="s">
        <v>139</v>
      </c>
      <c r="I35" s="74" t="s">
        <v>139</v>
      </c>
      <c r="J35" s="73" t="s">
        <v>139</v>
      </c>
      <c r="K35" s="74">
        <v>5500</v>
      </c>
      <c r="L35" s="73">
        <v>205</v>
      </c>
      <c r="M35" s="74">
        <v>168.16900000000001</v>
      </c>
      <c r="N35" s="73">
        <v>2906</v>
      </c>
      <c r="O35" s="74">
        <v>2895</v>
      </c>
      <c r="P35" s="73">
        <v>163.32</v>
      </c>
      <c r="Q35" s="74">
        <v>55</v>
      </c>
      <c r="R35" s="73">
        <v>55</v>
      </c>
      <c r="S35" s="74">
        <v>12</v>
      </c>
      <c r="T35" s="73">
        <v>145</v>
      </c>
      <c r="U35" s="74">
        <v>145</v>
      </c>
      <c r="V35" s="73">
        <v>6.75</v>
      </c>
      <c r="W35" s="74">
        <v>3105</v>
      </c>
      <c r="X35" s="73">
        <v>3105</v>
      </c>
      <c r="Y35" s="74">
        <v>111.55</v>
      </c>
      <c r="Z35" s="73">
        <v>38</v>
      </c>
      <c r="AA35" s="74">
        <v>25</v>
      </c>
      <c r="AB35" s="73">
        <v>0.42</v>
      </c>
      <c r="AC35" s="74">
        <v>461</v>
      </c>
      <c r="AD35" s="73">
        <v>441</v>
      </c>
      <c r="AE35" s="74">
        <v>11.51</v>
      </c>
      <c r="AF35" s="73">
        <v>5128</v>
      </c>
      <c r="AG35" s="74">
        <v>23</v>
      </c>
      <c r="AH35" s="73">
        <v>103.733</v>
      </c>
      <c r="AI35" s="74" t="s">
        <v>139</v>
      </c>
      <c r="AJ35" s="73" t="s">
        <v>139</v>
      </c>
      <c r="AK35" s="74" t="s">
        <v>139</v>
      </c>
      <c r="AL35" s="73">
        <v>2349</v>
      </c>
      <c r="AM35" s="74">
        <v>2343</v>
      </c>
      <c r="AN35" s="73">
        <v>17.440000000000001</v>
      </c>
      <c r="AO35" s="74">
        <v>17243</v>
      </c>
      <c r="AP35" s="73">
        <v>14512</v>
      </c>
      <c r="AQ35" s="74">
        <v>419.56</v>
      </c>
      <c r="AR35" s="73">
        <v>429</v>
      </c>
      <c r="AS35" s="74">
        <v>426</v>
      </c>
      <c r="AT35" s="73">
        <v>15.22</v>
      </c>
      <c r="AU35" s="74" t="s">
        <v>139</v>
      </c>
      <c r="AV35" s="73" t="s">
        <v>139</v>
      </c>
      <c r="AW35" s="74" t="s">
        <v>139</v>
      </c>
      <c r="AX35" s="73">
        <v>18888</v>
      </c>
      <c r="AY35" s="74">
        <v>18834</v>
      </c>
      <c r="AZ35" s="73">
        <v>47.713000000000001</v>
      </c>
      <c r="BA35" s="87">
        <v>449.4</v>
      </c>
      <c r="BB35" s="83" t="s">
        <v>27</v>
      </c>
      <c r="BC35" s="64"/>
      <c r="BD35" s="64"/>
    </row>
    <row r="36" spans="1:56" x14ac:dyDescent="0.3">
      <c r="A36" s="63" t="str">
        <f>VLOOKUP([1]ListOfRegions!A19,[1]ListOfRegions!A19:B93,2,0)</f>
        <v xml:space="preserve">  Άρτας</v>
      </c>
      <c r="B36" s="75">
        <v>38011</v>
      </c>
      <c r="C36" s="74">
        <v>35229</v>
      </c>
      <c r="D36" s="73">
        <v>1358.415</v>
      </c>
      <c r="E36" s="74">
        <v>1084967</v>
      </c>
      <c r="F36" s="73">
        <v>1082827</v>
      </c>
      <c r="G36" s="74">
        <v>40723.589999999997</v>
      </c>
      <c r="H36" s="73">
        <v>850924</v>
      </c>
      <c r="I36" s="74">
        <v>848319</v>
      </c>
      <c r="J36" s="73">
        <v>32424.452000000001</v>
      </c>
      <c r="K36" s="74">
        <v>4953</v>
      </c>
      <c r="L36" s="73">
        <v>1567</v>
      </c>
      <c r="M36" s="74">
        <v>133.76</v>
      </c>
      <c r="N36" s="73">
        <v>7999</v>
      </c>
      <c r="O36" s="74">
        <v>5357</v>
      </c>
      <c r="P36" s="73">
        <v>169.90700000000001</v>
      </c>
      <c r="Q36" s="74">
        <v>1424516</v>
      </c>
      <c r="R36" s="73">
        <v>1424516</v>
      </c>
      <c r="S36" s="74">
        <v>92564.119000000006</v>
      </c>
      <c r="T36" s="73">
        <v>8537</v>
      </c>
      <c r="U36" s="74">
        <v>5984</v>
      </c>
      <c r="V36" s="73">
        <v>243.59200000000001</v>
      </c>
      <c r="W36" s="74">
        <v>3672</v>
      </c>
      <c r="X36" s="73">
        <v>2236</v>
      </c>
      <c r="Y36" s="74">
        <v>111.09099999999999</v>
      </c>
      <c r="Z36" s="73">
        <v>2845</v>
      </c>
      <c r="AA36" s="74">
        <v>2316</v>
      </c>
      <c r="AB36" s="73">
        <v>79.799000000000007</v>
      </c>
      <c r="AC36" s="74">
        <v>4798</v>
      </c>
      <c r="AD36" s="73">
        <v>989</v>
      </c>
      <c r="AE36" s="74">
        <v>122.26</v>
      </c>
      <c r="AF36" s="73">
        <v>9706</v>
      </c>
      <c r="AG36" s="74">
        <v>620</v>
      </c>
      <c r="AH36" s="73">
        <v>278.52600000000001</v>
      </c>
      <c r="AI36" s="74" t="s">
        <v>139</v>
      </c>
      <c r="AJ36" s="73" t="s">
        <v>139</v>
      </c>
      <c r="AK36" s="74" t="s">
        <v>139</v>
      </c>
      <c r="AL36" s="73">
        <v>4693</v>
      </c>
      <c r="AM36" s="74">
        <v>1423</v>
      </c>
      <c r="AN36" s="73">
        <v>88.507999999999996</v>
      </c>
      <c r="AO36" s="74">
        <v>18507</v>
      </c>
      <c r="AP36" s="73">
        <v>9520</v>
      </c>
      <c r="AQ36" s="74">
        <v>274.83</v>
      </c>
      <c r="AR36" s="73">
        <v>20279</v>
      </c>
      <c r="AS36" s="74">
        <v>15604</v>
      </c>
      <c r="AT36" s="73">
        <v>370.31099999999998</v>
      </c>
      <c r="AU36" s="74" t="s">
        <v>139</v>
      </c>
      <c r="AV36" s="73" t="s">
        <v>139</v>
      </c>
      <c r="AW36" s="74" t="s">
        <v>139</v>
      </c>
      <c r="AX36" s="73">
        <v>958094</v>
      </c>
      <c r="AY36" s="74">
        <v>958094</v>
      </c>
      <c r="AZ36" s="73">
        <v>12004.008</v>
      </c>
      <c r="BA36" s="87">
        <v>16811.756000000001</v>
      </c>
      <c r="BB36" s="83" t="s">
        <v>28</v>
      </c>
      <c r="BC36" s="64"/>
      <c r="BD36" s="64"/>
    </row>
    <row r="37" spans="1:56" x14ac:dyDescent="0.3">
      <c r="A37" s="63" t="str">
        <f>VLOOKUP([1]ListOfRegions!A20,[1]ListOfRegions!A20:B94,2,0)</f>
        <v xml:space="preserve">  Θεσπρωτίας</v>
      </c>
      <c r="B37" s="75">
        <v>16386</v>
      </c>
      <c r="C37" s="74">
        <v>13937</v>
      </c>
      <c r="D37" s="73">
        <v>518.62</v>
      </c>
      <c r="E37" s="74">
        <v>118156</v>
      </c>
      <c r="F37" s="73">
        <v>115929</v>
      </c>
      <c r="G37" s="74">
        <v>4839.4399999999996</v>
      </c>
      <c r="H37" s="73">
        <v>695272</v>
      </c>
      <c r="I37" s="74">
        <v>693188</v>
      </c>
      <c r="J37" s="73">
        <v>24836.129000000001</v>
      </c>
      <c r="K37" s="74">
        <v>3154</v>
      </c>
      <c r="L37" s="73">
        <v>1495</v>
      </c>
      <c r="M37" s="74">
        <v>60.87</v>
      </c>
      <c r="N37" s="73">
        <v>4115</v>
      </c>
      <c r="O37" s="74">
        <v>2870</v>
      </c>
      <c r="P37" s="73">
        <v>130.69800000000001</v>
      </c>
      <c r="Q37" s="74">
        <v>100388</v>
      </c>
      <c r="R37" s="73">
        <v>100315</v>
      </c>
      <c r="S37" s="74">
        <v>2559.79</v>
      </c>
      <c r="T37" s="73">
        <v>15188</v>
      </c>
      <c r="U37" s="74">
        <v>13704</v>
      </c>
      <c r="V37" s="73">
        <v>309.32</v>
      </c>
      <c r="W37" s="74">
        <v>4532</v>
      </c>
      <c r="X37" s="73">
        <v>3305</v>
      </c>
      <c r="Y37" s="74">
        <v>89.53</v>
      </c>
      <c r="Z37" s="73">
        <v>795</v>
      </c>
      <c r="AA37" s="74">
        <v>570</v>
      </c>
      <c r="AB37" s="73">
        <v>8.9499999999999993</v>
      </c>
      <c r="AC37" s="74">
        <v>2419</v>
      </c>
      <c r="AD37" s="73">
        <v>1495</v>
      </c>
      <c r="AE37" s="74">
        <v>63.79</v>
      </c>
      <c r="AF37" s="73">
        <v>4084</v>
      </c>
      <c r="AG37" s="74">
        <v>670</v>
      </c>
      <c r="AH37" s="73">
        <v>100.185</v>
      </c>
      <c r="AI37" s="74">
        <v>17</v>
      </c>
      <c r="AJ37" s="73" t="s">
        <v>139</v>
      </c>
      <c r="AK37" s="74">
        <v>0.15</v>
      </c>
      <c r="AL37" s="73">
        <v>9311</v>
      </c>
      <c r="AM37" s="74">
        <v>7300</v>
      </c>
      <c r="AN37" s="73">
        <v>129.30000000000001</v>
      </c>
      <c r="AO37" s="74">
        <v>9938</v>
      </c>
      <c r="AP37" s="73">
        <v>7760</v>
      </c>
      <c r="AQ37" s="74">
        <v>170.48</v>
      </c>
      <c r="AR37" s="73">
        <v>3053</v>
      </c>
      <c r="AS37" s="74">
        <v>2910</v>
      </c>
      <c r="AT37" s="73">
        <v>40.97</v>
      </c>
      <c r="AU37" s="74" t="s">
        <v>139</v>
      </c>
      <c r="AV37" s="73" t="s">
        <v>139</v>
      </c>
      <c r="AW37" s="74" t="s">
        <v>139</v>
      </c>
      <c r="AX37" s="73">
        <v>713505</v>
      </c>
      <c r="AY37" s="74">
        <v>708383</v>
      </c>
      <c r="AZ37" s="73">
        <v>576.68200000000002</v>
      </c>
      <c r="BA37" s="87">
        <v>23278.019</v>
      </c>
      <c r="BB37" s="83" t="s">
        <v>29</v>
      </c>
      <c r="BC37" s="64"/>
      <c r="BD37" s="64"/>
    </row>
    <row r="38" spans="1:56" x14ac:dyDescent="0.3">
      <c r="A38" s="63" t="str">
        <f>VLOOKUP([1]ListOfRegions!A21,[1]ListOfRegions!A21:B95,2,0)</f>
        <v xml:space="preserve">  Πρέβεζας</v>
      </c>
      <c r="B38" s="75">
        <v>26670</v>
      </c>
      <c r="C38" s="74">
        <v>22641</v>
      </c>
      <c r="D38" s="73">
        <v>1055.9649999999999</v>
      </c>
      <c r="E38" s="74">
        <v>73391</v>
      </c>
      <c r="F38" s="73">
        <v>69261</v>
      </c>
      <c r="G38" s="74">
        <v>2741.01</v>
      </c>
      <c r="H38" s="73">
        <v>77798</v>
      </c>
      <c r="I38" s="74">
        <v>71551</v>
      </c>
      <c r="J38" s="73">
        <v>2045.5340000000001</v>
      </c>
      <c r="K38" s="74">
        <v>2407</v>
      </c>
      <c r="L38" s="73">
        <v>2155</v>
      </c>
      <c r="M38" s="74">
        <v>70.88</v>
      </c>
      <c r="N38" s="73">
        <v>1033</v>
      </c>
      <c r="O38" s="74">
        <v>868</v>
      </c>
      <c r="P38" s="73">
        <v>16.414999999999999</v>
      </c>
      <c r="Q38" s="74">
        <v>97985</v>
      </c>
      <c r="R38" s="73">
        <v>97935</v>
      </c>
      <c r="S38" s="74">
        <v>2324.66</v>
      </c>
      <c r="T38" s="73">
        <v>12287</v>
      </c>
      <c r="U38" s="74">
        <v>11625</v>
      </c>
      <c r="V38" s="73">
        <v>173.797</v>
      </c>
      <c r="W38" s="74">
        <v>2416</v>
      </c>
      <c r="X38" s="73">
        <v>1826</v>
      </c>
      <c r="Y38" s="74">
        <v>29.21</v>
      </c>
      <c r="Z38" s="73">
        <v>491</v>
      </c>
      <c r="AA38" s="74">
        <v>80</v>
      </c>
      <c r="AB38" s="73">
        <v>7.82</v>
      </c>
      <c r="AC38" s="74">
        <v>583</v>
      </c>
      <c r="AD38" s="73">
        <v>425</v>
      </c>
      <c r="AE38" s="74">
        <v>8.6110000000000007</v>
      </c>
      <c r="AF38" s="73">
        <v>2327</v>
      </c>
      <c r="AG38" s="74">
        <v>912</v>
      </c>
      <c r="AH38" s="73">
        <v>57.253999999999998</v>
      </c>
      <c r="AI38" s="74" t="s">
        <v>139</v>
      </c>
      <c r="AJ38" s="73" t="s">
        <v>139</v>
      </c>
      <c r="AK38" s="74" t="s">
        <v>139</v>
      </c>
      <c r="AL38" s="73">
        <v>6092</v>
      </c>
      <c r="AM38" s="74">
        <v>5597</v>
      </c>
      <c r="AN38" s="73">
        <v>79.186999999999998</v>
      </c>
      <c r="AO38" s="74">
        <v>8555</v>
      </c>
      <c r="AP38" s="73">
        <v>7732</v>
      </c>
      <c r="AQ38" s="74">
        <v>151.00899999999999</v>
      </c>
      <c r="AR38" s="73">
        <v>10</v>
      </c>
      <c r="AS38" s="74" t="s">
        <v>139</v>
      </c>
      <c r="AT38" s="73">
        <v>0.16</v>
      </c>
      <c r="AU38" s="74" t="s">
        <v>139</v>
      </c>
      <c r="AV38" s="73" t="s">
        <v>139</v>
      </c>
      <c r="AW38" s="74" t="s">
        <v>139</v>
      </c>
      <c r="AX38" s="73">
        <v>973066</v>
      </c>
      <c r="AY38" s="74">
        <v>956938</v>
      </c>
      <c r="AZ38" s="73">
        <v>2613.6350000000002</v>
      </c>
      <c r="BA38" s="87">
        <v>32499.11</v>
      </c>
      <c r="BB38" s="83" t="s">
        <v>30</v>
      </c>
      <c r="BC38" s="64"/>
      <c r="BD38" s="64"/>
    </row>
    <row r="39" spans="1:56" x14ac:dyDescent="0.3">
      <c r="A39" s="94" t="s">
        <v>31</v>
      </c>
      <c r="B39" s="95">
        <f t="shared" ref="B39:J39" si="18">SUM(B41:B45)</f>
        <v>3606</v>
      </c>
      <c r="C39" s="89">
        <f t="shared" si="18"/>
        <v>3396</v>
      </c>
      <c r="D39" s="89">
        <f t="shared" si="18"/>
        <v>136.28300000000002</v>
      </c>
      <c r="E39" s="89">
        <f t="shared" si="18"/>
        <v>3914</v>
      </c>
      <c r="F39" s="89">
        <f t="shared" si="18"/>
        <v>3867</v>
      </c>
      <c r="G39" s="89">
        <f>SUM(G41:G45)</f>
        <v>230.05799999999999</v>
      </c>
      <c r="H39" s="89">
        <f t="shared" si="18"/>
        <v>1915</v>
      </c>
      <c r="I39" s="89">
        <f t="shared" si="18"/>
        <v>1895</v>
      </c>
      <c r="J39" s="89">
        <f t="shared" si="18"/>
        <v>110.34</v>
      </c>
      <c r="K39" s="89">
        <f>SUM(K41:K45)</f>
        <v>2117475</v>
      </c>
      <c r="L39" s="89">
        <f>SUM(L41:L45)</f>
        <v>2105405</v>
      </c>
      <c r="M39" s="89">
        <f>SUM(M41:M45)</f>
        <v>44780.179000000004</v>
      </c>
      <c r="N39" s="89">
        <f>SUM(N41:N45)</f>
        <v>4144200</v>
      </c>
      <c r="O39" s="89">
        <f t="shared" ref="O39:AE39" si="19">SUM(O41:O45)</f>
        <v>4138167</v>
      </c>
      <c r="P39" s="89">
        <f t="shared" si="19"/>
        <v>120139.511</v>
      </c>
      <c r="Q39" s="89">
        <f t="shared" ref="Q39:V39" si="20">SUM(Q41:Q45)</f>
        <v>485553</v>
      </c>
      <c r="R39" s="89">
        <f t="shared" si="20"/>
        <v>485321</v>
      </c>
      <c r="S39" s="89">
        <f t="shared" si="20"/>
        <v>16451.070000000003</v>
      </c>
      <c r="T39" s="89">
        <f t="shared" si="20"/>
        <v>174224</v>
      </c>
      <c r="U39" s="89">
        <f t="shared" si="20"/>
        <v>171948</v>
      </c>
      <c r="V39" s="89">
        <f t="shared" si="20"/>
        <v>5472.2359999999999</v>
      </c>
      <c r="W39" s="89">
        <f t="shared" si="19"/>
        <v>1391805</v>
      </c>
      <c r="X39" s="89">
        <f t="shared" si="19"/>
        <v>1387294</v>
      </c>
      <c r="Y39" s="89">
        <f t="shared" si="19"/>
        <v>39905.148999999998</v>
      </c>
      <c r="Z39" s="93">
        <f t="shared" si="19"/>
        <v>405683</v>
      </c>
      <c r="AA39" s="89">
        <f t="shared" si="19"/>
        <v>404512</v>
      </c>
      <c r="AB39" s="89">
        <f t="shared" si="19"/>
        <v>9747.601999999999</v>
      </c>
      <c r="AC39" s="89">
        <f t="shared" si="19"/>
        <v>721139</v>
      </c>
      <c r="AD39" s="89">
        <f t="shared" si="19"/>
        <v>715658</v>
      </c>
      <c r="AE39" s="89">
        <f t="shared" si="19"/>
        <v>21258.906999999999</v>
      </c>
      <c r="AF39" s="89">
        <f>SUM(AF41:AF45)</f>
        <v>15571</v>
      </c>
      <c r="AG39" s="89">
        <f t="shared" ref="AG39:AQ39" si="21">SUM(AG41:AG45)</f>
        <v>14911</v>
      </c>
      <c r="AH39" s="89">
        <f t="shared" si="21"/>
        <v>839.62600000000009</v>
      </c>
      <c r="AI39" s="89">
        <f t="shared" si="21"/>
        <v>3760</v>
      </c>
      <c r="AJ39" s="89">
        <f t="shared" si="21"/>
        <v>3209</v>
      </c>
      <c r="AK39" s="89">
        <f t="shared" si="21"/>
        <v>97.073000000000008</v>
      </c>
      <c r="AL39" s="89">
        <f t="shared" si="21"/>
        <v>3228981</v>
      </c>
      <c r="AM39" s="89">
        <f t="shared" si="21"/>
        <v>3223825</v>
      </c>
      <c r="AN39" s="89">
        <f t="shared" si="21"/>
        <v>40726.951999999997</v>
      </c>
      <c r="AO39" s="89">
        <f t="shared" si="21"/>
        <v>677186</v>
      </c>
      <c r="AP39" s="89">
        <f t="shared" si="21"/>
        <v>666689</v>
      </c>
      <c r="AQ39" s="89">
        <f t="shared" si="21"/>
        <v>14753.491</v>
      </c>
      <c r="AR39" s="89">
        <f>SUM(AR41:AR45)</f>
        <v>536793</v>
      </c>
      <c r="AS39" s="89">
        <f t="shared" ref="AS39:BA39" si="22">SUM(AS41:AS45)</f>
        <v>531630</v>
      </c>
      <c r="AT39" s="89">
        <f t="shared" si="22"/>
        <v>17936.305</v>
      </c>
      <c r="AU39" s="89">
        <f t="shared" si="22"/>
        <v>445297</v>
      </c>
      <c r="AV39" s="89">
        <f t="shared" si="22"/>
        <v>444859</v>
      </c>
      <c r="AW39" s="89">
        <f t="shared" si="22"/>
        <v>6573.7720000000008</v>
      </c>
      <c r="AX39" s="89">
        <f t="shared" si="22"/>
        <v>6397603</v>
      </c>
      <c r="AY39" s="89">
        <f t="shared" si="22"/>
        <v>6346613</v>
      </c>
      <c r="AZ39" s="89">
        <f t="shared" si="22"/>
        <v>20312.886000000002</v>
      </c>
      <c r="BA39" s="96">
        <f t="shared" si="22"/>
        <v>98170.657000000007</v>
      </c>
      <c r="BB39" s="91" t="s">
        <v>32</v>
      </c>
      <c r="BC39" s="92"/>
      <c r="BD39" s="92"/>
    </row>
    <row r="40" spans="1:56" x14ac:dyDescent="0.3">
      <c r="A40" s="94"/>
      <c r="B40" s="95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93"/>
      <c r="AA40" s="89"/>
      <c r="AB40" s="89"/>
      <c r="AC40" s="89"/>
      <c r="AD40" s="89"/>
      <c r="AE40" s="89"/>
      <c r="AF40" s="89"/>
      <c r="AG40" s="89"/>
      <c r="AH40" s="89"/>
      <c r="AI40" s="89"/>
      <c r="AJ40" s="89"/>
      <c r="AK40" s="89"/>
      <c r="AL40" s="89"/>
      <c r="AM40" s="89"/>
      <c r="AN40" s="89"/>
      <c r="AO40" s="89"/>
      <c r="AP40" s="89"/>
      <c r="AQ40" s="89"/>
      <c r="AR40" s="89"/>
      <c r="AS40" s="89"/>
      <c r="AT40" s="89"/>
      <c r="AU40" s="89"/>
      <c r="AV40" s="89"/>
      <c r="AW40" s="89"/>
      <c r="AX40" s="89"/>
      <c r="AY40" s="89"/>
      <c r="AZ40" s="89"/>
      <c r="BA40" s="96"/>
      <c r="BB40" s="91"/>
      <c r="BC40" s="92"/>
      <c r="BD40" s="92"/>
    </row>
    <row r="41" spans="1:56" x14ac:dyDescent="0.3">
      <c r="A41" s="63" t="str">
        <f>VLOOKUP([1]ListOfRegions!A22,[1]ListOfRegions!A22:B96,2,0)</f>
        <v xml:space="preserve">  Λάρισας</v>
      </c>
      <c r="B41" s="75">
        <v>190</v>
      </c>
      <c r="C41" s="74">
        <v>190</v>
      </c>
      <c r="D41" s="73">
        <v>6.6</v>
      </c>
      <c r="E41" s="74">
        <v>20</v>
      </c>
      <c r="F41" s="73">
        <v>20</v>
      </c>
      <c r="G41" s="74">
        <v>0.65</v>
      </c>
      <c r="H41" s="73" t="s">
        <v>139</v>
      </c>
      <c r="I41" s="74" t="s">
        <v>139</v>
      </c>
      <c r="J41" s="73" t="s">
        <v>139</v>
      </c>
      <c r="K41" s="74">
        <v>1966040</v>
      </c>
      <c r="L41" s="73">
        <v>1965787</v>
      </c>
      <c r="M41" s="74">
        <v>40110.207000000002</v>
      </c>
      <c r="N41" s="73">
        <v>2986994</v>
      </c>
      <c r="O41" s="74">
        <v>2986542</v>
      </c>
      <c r="P41" s="73">
        <v>83221.717999999993</v>
      </c>
      <c r="Q41" s="74">
        <v>453057</v>
      </c>
      <c r="R41" s="73">
        <v>453000</v>
      </c>
      <c r="S41" s="74">
        <v>15220.593000000001</v>
      </c>
      <c r="T41" s="73">
        <v>100357</v>
      </c>
      <c r="U41" s="74">
        <v>100223</v>
      </c>
      <c r="V41" s="73">
        <v>2808.21</v>
      </c>
      <c r="W41" s="74">
        <v>1308298</v>
      </c>
      <c r="X41" s="73">
        <v>1307864</v>
      </c>
      <c r="Y41" s="74">
        <v>37316.756999999998</v>
      </c>
      <c r="Z41" s="73">
        <v>384792</v>
      </c>
      <c r="AA41" s="74">
        <v>384622</v>
      </c>
      <c r="AB41" s="73">
        <v>9267.6579999999994</v>
      </c>
      <c r="AC41" s="74">
        <v>636727</v>
      </c>
      <c r="AD41" s="73">
        <v>634231</v>
      </c>
      <c r="AE41" s="74">
        <v>19310.741000000002</v>
      </c>
      <c r="AF41" s="73">
        <v>8719</v>
      </c>
      <c r="AG41" s="74">
        <v>8582</v>
      </c>
      <c r="AH41" s="73">
        <v>530.90700000000004</v>
      </c>
      <c r="AI41" s="74">
        <v>775</v>
      </c>
      <c r="AJ41" s="73">
        <v>775</v>
      </c>
      <c r="AK41" s="74">
        <v>2.948</v>
      </c>
      <c r="AL41" s="73">
        <v>2440693</v>
      </c>
      <c r="AM41" s="74">
        <v>2440379</v>
      </c>
      <c r="AN41" s="73">
        <v>30489.98</v>
      </c>
      <c r="AO41" s="74">
        <v>428515</v>
      </c>
      <c r="AP41" s="73">
        <v>428157</v>
      </c>
      <c r="AQ41" s="74">
        <v>8838.8970000000008</v>
      </c>
      <c r="AR41" s="73">
        <v>407795</v>
      </c>
      <c r="AS41" s="74">
        <v>406864</v>
      </c>
      <c r="AT41" s="73">
        <v>14373.463</v>
      </c>
      <c r="AU41" s="74">
        <v>333900</v>
      </c>
      <c r="AV41" s="73">
        <v>333813</v>
      </c>
      <c r="AW41" s="74">
        <v>4939.9170000000004</v>
      </c>
      <c r="AX41" s="73">
        <v>1892449</v>
      </c>
      <c r="AY41" s="74">
        <v>1891836</v>
      </c>
      <c r="AZ41" s="73">
        <v>9521.2870000000003</v>
      </c>
      <c r="BA41" s="87">
        <v>30590.346000000001</v>
      </c>
      <c r="BB41" s="83" t="s">
        <v>33</v>
      </c>
      <c r="BC41" s="64"/>
      <c r="BD41" s="64"/>
    </row>
    <row r="42" spans="1:56" x14ac:dyDescent="0.3">
      <c r="A42" s="63" t="str">
        <f>VLOOKUP([1]ListOfRegions!A23,[1]ListOfRegions!A23:B97,2,0)</f>
        <v xml:space="preserve">  Καρδίτσας</v>
      </c>
      <c r="B42" s="75">
        <v>546</v>
      </c>
      <c r="C42" s="74">
        <v>546</v>
      </c>
      <c r="D42" s="73">
        <v>21.332000000000001</v>
      </c>
      <c r="E42" s="74">
        <v>18</v>
      </c>
      <c r="F42" s="73">
        <v>18</v>
      </c>
      <c r="G42" s="74">
        <v>0.84799999999999998</v>
      </c>
      <c r="H42" s="73" t="s">
        <v>139</v>
      </c>
      <c r="I42" s="74" t="s">
        <v>139</v>
      </c>
      <c r="J42" s="73" t="s">
        <v>139</v>
      </c>
      <c r="K42" s="74">
        <v>16369</v>
      </c>
      <c r="L42" s="73">
        <v>7741</v>
      </c>
      <c r="M42" s="74">
        <v>506.262</v>
      </c>
      <c r="N42" s="73">
        <v>11786</v>
      </c>
      <c r="O42" s="74">
        <v>9621</v>
      </c>
      <c r="P42" s="73">
        <v>284.27</v>
      </c>
      <c r="Q42" s="74">
        <v>2261</v>
      </c>
      <c r="R42" s="73">
        <v>2161</v>
      </c>
      <c r="S42" s="74">
        <v>92.6</v>
      </c>
      <c r="T42" s="73">
        <v>15848</v>
      </c>
      <c r="U42" s="74">
        <v>14105</v>
      </c>
      <c r="V42" s="73">
        <v>457.82299999999998</v>
      </c>
      <c r="W42" s="74">
        <v>3673</v>
      </c>
      <c r="X42" s="73">
        <v>2793</v>
      </c>
      <c r="Y42" s="74">
        <v>63.091999999999999</v>
      </c>
      <c r="Z42" s="73">
        <v>498</v>
      </c>
      <c r="AA42" s="74">
        <v>498</v>
      </c>
      <c r="AB42" s="73">
        <v>7.758</v>
      </c>
      <c r="AC42" s="74">
        <v>1774</v>
      </c>
      <c r="AD42" s="73">
        <v>1754</v>
      </c>
      <c r="AE42" s="74">
        <v>33.512</v>
      </c>
      <c r="AF42" s="73">
        <v>1679</v>
      </c>
      <c r="AG42" s="74">
        <v>1593</v>
      </c>
      <c r="AH42" s="73">
        <v>54.853999999999999</v>
      </c>
      <c r="AI42" s="74">
        <v>1160</v>
      </c>
      <c r="AJ42" s="73">
        <v>609</v>
      </c>
      <c r="AK42" s="74">
        <v>32.520000000000003</v>
      </c>
      <c r="AL42" s="73">
        <v>46308</v>
      </c>
      <c r="AM42" s="74">
        <v>45911</v>
      </c>
      <c r="AN42" s="73">
        <v>627.74800000000005</v>
      </c>
      <c r="AO42" s="74">
        <v>44481</v>
      </c>
      <c r="AP42" s="73">
        <v>42077</v>
      </c>
      <c r="AQ42" s="74">
        <v>729.41700000000003</v>
      </c>
      <c r="AR42" s="73">
        <v>16406</v>
      </c>
      <c r="AS42" s="74">
        <v>14919</v>
      </c>
      <c r="AT42" s="73">
        <v>282.78699999999998</v>
      </c>
      <c r="AU42" s="74">
        <v>14422</v>
      </c>
      <c r="AV42" s="73">
        <v>14422</v>
      </c>
      <c r="AW42" s="74">
        <v>192.41499999999999</v>
      </c>
      <c r="AX42" s="73">
        <v>56791</v>
      </c>
      <c r="AY42" s="74">
        <v>43233</v>
      </c>
      <c r="AZ42" s="73">
        <v>32.201000000000001</v>
      </c>
      <c r="BA42" s="87">
        <v>653.05999999999995</v>
      </c>
      <c r="BB42" s="83" t="s">
        <v>34</v>
      </c>
      <c r="BC42" s="64"/>
      <c r="BD42" s="64"/>
    </row>
    <row r="43" spans="1:56" x14ac:dyDescent="0.3">
      <c r="A43" s="63" t="str">
        <f>VLOOKUP([1]ListOfRegions!A24,[1]ListOfRegions!A24:B98,2,0)</f>
        <v xml:space="preserve">  Μαγνησίας</v>
      </c>
      <c r="B43" s="75">
        <v>2685</v>
      </c>
      <c r="C43" s="74">
        <v>2491</v>
      </c>
      <c r="D43" s="73">
        <v>100.611</v>
      </c>
      <c r="E43" s="74">
        <v>3716</v>
      </c>
      <c r="F43" s="73">
        <v>3679</v>
      </c>
      <c r="G43" s="74">
        <v>221.36</v>
      </c>
      <c r="H43" s="73">
        <v>1889</v>
      </c>
      <c r="I43" s="74">
        <v>1869</v>
      </c>
      <c r="J43" s="73">
        <v>110.16</v>
      </c>
      <c r="K43" s="74">
        <v>83228</v>
      </c>
      <c r="L43" s="73">
        <v>82291</v>
      </c>
      <c r="M43" s="74">
        <v>2945.355</v>
      </c>
      <c r="N43" s="73">
        <v>1074315</v>
      </c>
      <c r="O43" s="74">
        <v>1074283</v>
      </c>
      <c r="P43" s="73">
        <v>34327.300000000003</v>
      </c>
      <c r="Q43" s="74">
        <v>3914</v>
      </c>
      <c r="R43" s="73">
        <v>3869</v>
      </c>
      <c r="S43" s="74">
        <v>276.73500000000001</v>
      </c>
      <c r="T43" s="73">
        <v>20970</v>
      </c>
      <c r="U43" s="74">
        <v>20856</v>
      </c>
      <c r="V43" s="73">
        <v>864.322</v>
      </c>
      <c r="W43" s="74">
        <v>38657</v>
      </c>
      <c r="X43" s="73">
        <v>37721</v>
      </c>
      <c r="Y43" s="74">
        <v>1585.9780000000001</v>
      </c>
      <c r="Z43" s="73">
        <v>10004</v>
      </c>
      <c r="AA43" s="74">
        <v>9825</v>
      </c>
      <c r="AB43" s="73">
        <v>348.71699999999998</v>
      </c>
      <c r="AC43" s="74">
        <v>58943</v>
      </c>
      <c r="AD43" s="73">
        <v>58563</v>
      </c>
      <c r="AE43" s="74">
        <v>1518.1759999999999</v>
      </c>
      <c r="AF43" s="73">
        <v>3975</v>
      </c>
      <c r="AG43" s="74">
        <v>3946</v>
      </c>
      <c r="AH43" s="73">
        <v>216.32</v>
      </c>
      <c r="AI43" s="74">
        <v>1193</v>
      </c>
      <c r="AJ43" s="73">
        <v>1193</v>
      </c>
      <c r="AK43" s="74">
        <v>41.104999999999997</v>
      </c>
      <c r="AL43" s="73">
        <v>638678</v>
      </c>
      <c r="AM43" s="74">
        <v>635562</v>
      </c>
      <c r="AN43" s="73">
        <v>8947.6190000000006</v>
      </c>
      <c r="AO43" s="74">
        <v>76602</v>
      </c>
      <c r="AP43" s="73">
        <v>75509</v>
      </c>
      <c r="AQ43" s="74">
        <v>2352.1469999999999</v>
      </c>
      <c r="AR43" s="73">
        <v>90895</v>
      </c>
      <c r="AS43" s="74">
        <v>90890</v>
      </c>
      <c r="AT43" s="73">
        <v>2790.7750000000001</v>
      </c>
      <c r="AU43" s="74">
        <v>93459</v>
      </c>
      <c r="AV43" s="73">
        <v>93128</v>
      </c>
      <c r="AW43" s="74">
        <v>1426.63</v>
      </c>
      <c r="AX43" s="73">
        <v>3750954</v>
      </c>
      <c r="AY43" s="74">
        <v>3719622</v>
      </c>
      <c r="AZ43" s="73">
        <v>10203.611000000001</v>
      </c>
      <c r="BA43" s="87">
        <v>58994.805</v>
      </c>
      <c r="BB43" s="83" t="s">
        <v>35</v>
      </c>
      <c r="BC43" s="64"/>
      <c r="BD43" s="64"/>
    </row>
    <row r="44" spans="1:56" x14ac:dyDescent="0.3">
      <c r="A44" s="63" t="str">
        <f>VLOOKUP([1]ListOfRegions!A25,[1]ListOfRegions!A25:B99,2,0)</f>
        <v xml:space="preserve">  Σποράδων</v>
      </c>
      <c r="B44" s="75">
        <v>185</v>
      </c>
      <c r="C44" s="74">
        <v>169</v>
      </c>
      <c r="D44" s="73">
        <v>7.74</v>
      </c>
      <c r="E44" s="74">
        <v>160</v>
      </c>
      <c r="F44" s="73">
        <v>150</v>
      </c>
      <c r="G44" s="74">
        <v>7.2</v>
      </c>
      <c r="H44" s="73">
        <v>26</v>
      </c>
      <c r="I44" s="74">
        <v>26</v>
      </c>
      <c r="J44" s="73">
        <v>0.18</v>
      </c>
      <c r="K44" s="74">
        <v>63</v>
      </c>
      <c r="L44" s="73">
        <v>63</v>
      </c>
      <c r="M44" s="74">
        <v>1.92</v>
      </c>
      <c r="N44" s="73">
        <v>984</v>
      </c>
      <c r="O44" s="74">
        <v>984</v>
      </c>
      <c r="P44" s="73">
        <v>76.400000000000006</v>
      </c>
      <c r="Q44" s="74" t="s">
        <v>139</v>
      </c>
      <c r="R44" s="73" t="s">
        <v>139</v>
      </c>
      <c r="S44" s="73" t="s">
        <v>139</v>
      </c>
      <c r="T44" s="73">
        <v>30</v>
      </c>
      <c r="U44" s="74">
        <v>30</v>
      </c>
      <c r="V44" s="73">
        <v>2</v>
      </c>
      <c r="W44" s="74">
        <v>25</v>
      </c>
      <c r="X44" s="73">
        <v>25</v>
      </c>
      <c r="Y44" s="74">
        <v>1.2</v>
      </c>
      <c r="Z44" s="73">
        <v>142</v>
      </c>
      <c r="AA44" s="74">
        <v>142</v>
      </c>
      <c r="AB44" s="73">
        <v>4.38</v>
      </c>
      <c r="AC44" s="74">
        <v>45</v>
      </c>
      <c r="AD44" s="73">
        <v>45</v>
      </c>
      <c r="AE44" s="74">
        <v>1.21</v>
      </c>
      <c r="AF44" s="73">
        <v>180</v>
      </c>
      <c r="AG44" s="74">
        <v>180</v>
      </c>
      <c r="AH44" s="73">
        <v>9.74</v>
      </c>
      <c r="AI44" s="74" t="s">
        <v>139</v>
      </c>
      <c r="AJ44" s="73" t="s">
        <v>139</v>
      </c>
      <c r="AK44" s="74" t="s">
        <v>139</v>
      </c>
      <c r="AL44" s="73">
        <v>1520</v>
      </c>
      <c r="AM44" s="74">
        <v>1520</v>
      </c>
      <c r="AN44" s="73">
        <v>30.2</v>
      </c>
      <c r="AO44" s="74">
        <v>29</v>
      </c>
      <c r="AP44" s="73">
        <v>29</v>
      </c>
      <c r="AQ44" s="74">
        <v>1.45</v>
      </c>
      <c r="AR44" s="73">
        <v>82</v>
      </c>
      <c r="AS44" s="74">
        <v>82</v>
      </c>
      <c r="AT44" s="73">
        <v>2.87</v>
      </c>
      <c r="AU44" s="74" t="s">
        <v>139</v>
      </c>
      <c r="AV44" s="73" t="s">
        <v>139</v>
      </c>
      <c r="AW44" s="74" t="s">
        <v>139</v>
      </c>
      <c r="AX44" s="73">
        <v>252055</v>
      </c>
      <c r="AY44" s="74">
        <v>250395</v>
      </c>
      <c r="AZ44" s="73">
        <v>260.67500000000001</v>
      </c>
      <c r="BA44" s="87">
        <v>4321.58</v>
      </c>
      <c r="BB44" s="83" t="s">
        <v>36</v>
      </c>
      <c r="BC44" s="64"/>
      <c r="BD44" s="64"/>
    </row>
    <row r="45" spans="1:56" x14ac:dyDescent="0.3">
      <c r="A45" s="63" t="str">
        <f>VLOOKUP([1]ListOfRegions!A26,[1]ListOfRegions!A26:B100,2,0)</f>
        <v xml:space="preserve">  Τρικάλων</v>
      </c>
      <c r="B45" s="75" t="s">
        <v>139</v>
      </c>
      <c r="C45" s="74" t="s">
        <v>139</v>
      </c>
      <c r="D45" s="73" t="s">
        <v>139</v>
      </c>
      <c r="E45" s="74" t="s">
        <v>139</v>
      </c>
      <c r="F45" s="73" t="s">
        <v>139</v>
      </c>
      <c r="G45" s="74" t="s">
        <v>139</v>
      </c>
      <c r="H45" s="73" t="s">
        <v>139</v>
      </c>
      <c r="I45" s="74" t="s">
        <v>139</v>
      </c>
      <c r="J45" s="73" t="s">
        <v>139</v>
      </c>
      <c r="K45" s="74">
        <v>51775</v>
      </c>
      <c r="L45" s="73">
        <v>49523</v>
      </c>
      <c r="M45" s="74">
        <v>1216.4349999999999</v>
      </c>
      <c r="N45" s="73">
        <v>70121</v>
      </c>
      <c r="O45" s="74">
        <v>66737</v>
      </c>
      <c r="P45" s="73">
        <v>2229.8229999999999</v>
      </c>
      <c r="Q45" s="74">
        <v>26321</v>
      </c>
      <c r="R45" s="73">
        <v>26291</v>
      </c>
      <c r="S45" s="74">
        <v>861.14200000000005</v>
      </c>
      <c r="T45" s="73">
        <v>37019</v>
      </c>
      <c r="U45" s="74">
        <v>36734</v>
      </c>
      <c r="V45" s="73">
        <v>1339.8810000000001</v>
      </c>
      <c r="W45" s="74">
        <v>41152</v>
      </c>
      <c r="X45" s="73">
        <v>38891</v>
      </c>
      <c r="Y45" s="74">
        <v>938.12199999999996</v>
      </c>
      <c r="Z45" s="73">
        <v>10247</v>
      </c>
      <c r="AA45" s="74">
        <v>9425</v>
      </c>
      <c r="AB45" s="73">
        <v>119.089</v>
      </c>
      <c r="AC45" s="74">
        <v>23650</v>
      </c>
      <c r="AD45" s="73">
        <v>21065</v>
      </c>
      <c r="AE45" s="74">
        <v>395.26799999999997</v>
      </c>
      <c r="AF45" s="73">
        <v>1018</v>
      </c>
      <c r="AG45" s="74">
        <v>610</v>
      </c>
      <c r="AH45" s="73">
        <v>27.805</v>
      </c>
      <c r="AI45" s="74">
        <v>632</v>
      </c>
      <c r="AJ45" s="73">
        <v>632</v>
      </c>
      <c r="AK45" s="74">
        <v>20.5</v>
      </c>
      <c r="AL45" s="73">
        <v>101782</v>
      </c>
      <c r="AM45" s="74">
        <v>100453</v>
      </c>
      <c r="AN45" s="73">
        <v>631.40499999999997</v>
      </c>
      <c r="AO45" s="74">
        <v>127559</v>
      </c>
      <c r="AP45" s="73">
        <v>120917</v>
      </c>
      <c r="AQ45" s="74">
        <v>2831.58</v>
      </c>
      <c r="AR45" s="73">
        <v>21615</v>
      </c>
      <c r="AS45" s="74">
        <v>18875</v>
      </c>
      <c r="AT45" s="73">
        <v>486.41</v>
      </c>
      <c r="AU45" s="74">
        <v>3516</v>
      </c>
      <c r="AV45" s="73">
        <v>3496</v>
      </c>
      <c r="AW45" s="74">
        <v>14.81</v>
      </c>
      <c r="AX45" s="73">
        <v>445354</v>
      </c>
      <c r="AY45" s="74">
        <v>441527</v>
      </c>
      <c r="AZ45" s="73">
        <v>295.11200000000002</v>
      </c>
      <c r="BA45" s="87">
        <v>3610.866</v>
      </c>
      <c r="BB45" s="83" t="s">
        <v>37</v>
      </c>
      <c r="BC45" s="64"/>
      <c r="BD45" s="64"/>
    </row>
    <row r="46" spans="1:56" x14ac:dyDescent="0.3">
      <c r="A46" s="94" t="s">
        <v>38</v>
      </c>
      <c r="B46" s="95">
        <f t="shared" ref="B46:J46" si="23">SUM(B48:B52)</f>
        <v>17166</v>
      </c>
      <c r="C46" s="89">
        <f t="shared" si="23"/>
        <v>11533</v>
      </c>
      <c r="D46" s="89">
        <f t="shared" si="23"/>
        <v>583.76300000000003</v>
      </c>
      <c r="E46" s="89">
        <f t="shared" si="23"/>
        <v>39179</v>
      </c>
      <c r="F46" s="89">
        <f t="shared" si="23"/>
        <v>35001</v>
      </c>
      <c r="G46" s="89">
        <f>SUM(G48:G52)</f>
        <v>1609.2509999999997</v>
      </c>
      <c r="H46" s="89">
        <f t="shared" si="23"/>
        <v>9245</v>
      </c>
      <c r="I46" s="89">
        <f t="shared" si="23"/>
        <v>7137</v>
      </c>
      <c r="J46" s="89">
        <f t="shared" si="23"/>
        <v>245.21100000000001</v>
      </c>
      <c r="K46" s="89">
        <f>SUM(K48:K52)</f>
        <v>44747</v>
      </c>
      <c r="L46" s="89">
        <f>SUM(L48:L52)</f>
        <v>37781</v>
      </c>
      <c r="M46" s="89">
        <f>SUM(M48:M52)</f>
        <v>677.24</v>
      </c>
      <c r="N46" s="89">
        <f>SUM(N48:N52)</f>
        <v>75041</v>
      </c>
      <c r="O46" s="89">
        <f t="shared" ref="O46:AE46" si="24">SUM(O48:O52)</f>
        <v>64522</v>
      </c>
      <c r="P46" s="89">
        <f t="shared" si="24"/>
        <v>2273.2890000000002</v>
      </c>
      <c r="Q46" s="89">
        <f t="shared" ref="Q46:V46" si="25">SUM(Q48:Q52)</f>
        <v>153261</v>
      </c>
      <c r="R46" s="89">
        <f t="shared" si="25"/>
        <v>153179</v>
      </c>
      <c r="S46" s="89">
        <f t="shared" si="25"/>
        <v>4217</v>
      </c>
      <c r="T46" s="89">
        <f t="shared" si="25"/>
        <v>243979</v>
      </c>
      <c r="U46" s="89">
        <f t="shared" si="25"/>
        <v>241330</v>
      </c>
      <c r="V46" s="89">
        <f t="shared" si="25"/>
        <v>6768.8609999999999</v>
      </c>
      <c r="W46" s="89">
        <f t="shared" si="24"/>
        <v>41862</v>
      </c>
      <c r="X46" s="89">
        <f t="shared" si="24"/>
        <v>39230</v>
      </c>
      <c r="Y46" s="89">
        <f t="shared" si="24"/>
        <v>1307.29</v>
      </c>
      <c r="Z46" s="93">
        <f t="shared" si="24"/>
        <v>12985</v>
      </c>
      <c r="AA46" s="89">
        <f t="shared" si="24"/>
        <v>11520</v>
      </c>
      <c r="AB46" s="89">
        <f t="shared" si="24"/>
        <v>275.16800000000001</v>
      </c>
      <c r="AC46" s="89">
        <f t="shared" si="24"/>
        <v>110696</v>
      </c>
      <c r="AD46" s="89">
        <f t="shared" si="24"/>
        <v>103103</v>
      </c>
      <c r="AE46" s="89">
        <f t="shared" si="24"/>
        <v>1895.5169999999998</v>
      </c>
      <c r="AF46" s="89">
        <f>SUM(AF48:AF52)</f>
        <v>14850</v>
      </c>
      <c r="AG46" s="89">
        <f t="shared" ref="AG46:AQ46" si="26">SUM(AG48:AG52)</f>
        <v>7655</v>
      </c>
      <c r="AH46" s="89">
        <f t="shared" si="26"/>
        <v>358.04300000000001</v>
      </c>
      <c r="AI46" s="89">
        <f t="shared" si="26"/>
        <v>285015</v>
      </c>
      <c r="AJ46" s="89">
        <f t="shared" si="26"/>
        <v>283910</v>
      </c>
      <c r="AK46" s="89">
        <f t="shared" si="26"/>
        <v>6777.8099999999995</v>
      </c>
      <c r="AL46" s="89">
        <f t="shared" si="26"/>
        <v>334264</v>
      </c>
      <c r="AM46" s="89">
        <f t="shared" si="26"/>
        <v>315099</v>
      </c>
      <c r="AN46" s="89">
        <f t="shared" si="26"/>
        <v>4501.4179999999997</v>
      </c>
      <c r="AO46" s="89">
        <f t="shared" si="26"/>
        <v>406380</v>
      </c>
      <c r="AP46" s="89">
        <f t="shared" si="26"/>
        <v>369127</v>
      </c>
      <c r="AQ46" s="89">
        <f t="shared" si="26"/>
        <v>7557.9920000000002</v>
      </c>
      <c r="AR46" s="89">
        <f>SUM(AR48:AR52)</f>
        <v>70971</v>
      </c>
      <c r="AS46" s="89">
        <f t="shared" ref="AS46:BA46" si="27">SUM(AS48:AS52)</f>
        <v>55714</v>
      </c>
      <c r="AT46" s="89">
        <f t="shared" si="27"/>
        <v>1058.4889999999998</v>
      </c>
      <c r="AU46" s="89">
        <f t="shared" si="27"/>
        <v>565723</v>
      </c>
      <c r="AV46" s="89">
        <f t="shared" si="27"/>
        <v>565463</v>
      </c>
      <c r="AW46" s="89">
        <f t="shared" si="27"/>
        <v>7753.2949999999992</v>
      </c>
      <c r="AX46" s="89">
        <f t="shared" si="27"/>
        <v>13327713</v>
      </c>
      <c r="AY46" s="89">
        <f t="shared" si="27"/>
        <v>13181291</v>
      </c>
      <c r="AZ46" s="89">
        <f t="shared" si="27"/>
        <v>111847.591</v>
      </c>
      <c r="BA46" s="96">
        <f t="shared" si="27"/>
        <v>118859.69899999999</v>
      </c>
      <c r="BB46" s="91" t="s">
        <v>39</v>
      </c>
      <c r="BC46" s="92"/>
      <c r="BD46" s="92"/>
    </row>
    <row r="47" spans="1:56" x14ac:dyDescent="0.3">
      <c r="A47" s="94"/>
      <c r="B47" s="95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93"/>
      <c r="AA47" s="89"/>
      <c r="AB47" s="89"/>
      <c r="AC47" s="89"/>
      <c r="AD47" s="89"/>
      <c r="AE47" s="89"/>
      <c r="AF47" s="89"/>
      <c r="AG47" s="89"/>
      <c r="AH47" s="89"/>
      <c r="AI47" s="89"/>
      <c r="AJ47" s="89"/>
      <c r="AK47" s="89"/>
      <c r="AL47" s="89"/>
      <c r="AM47" s="89"/>
      <c r="AN47" s="89"/>
      <c r="AO47" s="89"/>
      <c r="AP47" s="89"/>
      <c r="AQ47" s="89"/>
      <c r="AR47" s="89"/>
      <c r="AS47" s="89"/>
      <c r="AT47" s="89"/>
      <c r="AU47" s="89"/>
      <c r="AV47" s="89"/>
      <c r="AW47" s="89"/>
      <c r="AX47" s="89"/>
      <c r="AY47" s="89"/>
      <c r="AZ47" s="89"/>
      <c r="BA47" s="96"/>
      <c r="BB47" s="91"/>
      <c r="BC47" s="92"/>
      <c r="BD47" s="92"/>
    </row>
    <row r="48" spans="1:56" x14ac:dyDescent="0.3">
      <c r="A48" s="63" t="str">
        <f>VLOOKUP([1]ListOfRegions!A27,[1]ListOfRegions!A27:B101,2,0)</f>
        <v xml:space="preserve">  Φθιώτιδας</v>
      </c>
      <c r="B48" s="75">
        <v>1351</v>
      </c>
      <c r="C48" s="74">
        <v>1337</v>
      </c>
      <c r="D48" s="73">
        <v>34.322000000000003</v>
      </c>
      <c r="E48" s="74">
        <v>2729</v>
      </c>
      <c r="F48" s="73">
        <v>2489</v>
      </c>
      <c r="G48" s="74">
        <v>103.685</v>
      </c>
      <c r="H48" s="73">
        <v>948</v>
      </c>
      <c r="I48" s="74">
        <v>635</v>
      </c>
      <c r="J48" s="73">
        <v>15.26</v>
      </c>
      <c r="K48" s="74">
        <v>29508</v>
      </c>
      <c r="L48" s="73">
        <v>28567</v>
      </c>
      <c r="M48" s="74">
        <v>291.91699999999997</v>
      </c>
      <c r="N48" s="73">
        <v>43574</v>
      </c>
      <c r="O48" s="74">
        <v>42621</v>
      </c>
      <c r="P48" s="73">
        <v>1181.979</v>
      </c>
      <c r="Q48" s="74">
        <v>139228</v>
      </c>
      <c r="R48" s="73">
        <v>139228</v>
      </c>
      <c r="S48" s="74">
        <v>3465.44</v>
      </c>
      <c r="T48" s="73">
        <v>179251</v>
      </c>
      <c r="U48" s="74">
        <v>179187</v>
      </c>
      <c r="V48" s="73">
        <v>4163.1629999999996</v>
      </c>
      <c r="W48" s="74">
        <v>32298</v>
      </c>
      <c r="X48" s="73">
        <v>31663</v>
      </c>
      <c r="Y48" s="74">
        <v>980.25199999999995</v>
      </c>
      <c r="Z48" s="73">
        <v>8928</v>
      </c>
      <c r="AA48" s="74">
        <v>8285</v>
      </c>
      <c r="AB48" s="73">
        <v>183.155</v>
      </c>
      <c r="AC48" s="74">
        <v>82065</v>
      </c>
      <c r="AD48" s="73">
        <v>81242</v>
      </c>
      <c r="AE48" s="74">
        <v>1258.6669999999999</v>
      </c>
      <c r="AF48" s="73">
        <v>381</v>
      </c>
      <c r="AG48" s="74">
        <v>328</v>
      </c>
      <c r="AH48" s="73">
        <v>9.89</v>
      </c>
      <c r="AI48" s="74">
        <v>644</v>
      </c>
      <c r="AJ48" s="73">
        <v>644</v>
      </c>
      <c r="AK48" s="74">
        <v>15.1</v>
      </c>
      <c r="AL48" s="73">
        <v>223128</v>
      </c>
      <c r="AM48" s="74">
        <v>222471</v>
      </c>
      <c r="AN48" s="73">
        <v>3357.4009999999998</v>
      </c>
      <c r="AO48" s="74">
        <v>283448</v>
      </c>
      <c r="AP48" s="73">
        <v>281281</v>
      </c>
      <c r="AQ48" s="74">
        <v>4657.5860000000002</v>
      </c>
      <c r="AR48" s="73">
        <v>28621</v>
      </c>
      <c r="AS48" s="74">
        <v>26464</v>
      </c>
      <c r="AT48" s="73">
        <v>470.47699999999998</v>
      </c>
      <c r="AU48" s="74">
        <v>447207</v>
      </c>
      <c r="AV48" s="73">
        <v>447002</v>
      </c>
      <c r="AW48" s="74">
        <v>5917.73</v>
      </c>
      <c r="AX48" s="73">
        <v>6914924</v>
      </c>
      <c r="AY48" s="74">
        <v>6902905</v>
      </c>
      <c r="AZ48" s="73">
        <v>96863.67</v>
      </c>
      <c r="BA48" s="87">
        <v>35672.417999999998</v>
      </c>
      <c r="BB48" s="83" t="s">
        <v>40</v>
      </c>
      <c r="BC48" s="64"/>
      <c r="BD48" s="64"/>
    </row>
    <row r="49" spans="1:56" x14ac:dyDescent="0.3">
      <c r="A49" s="63" t="str">
        <f>VLOOKUP([1]ListOfRegions!A28,[1]ListOfRegions!A28:B102,2,0)</f>
        <v xml:space="preserve">  Βοιωτίας</v>
      </c>
      <c r="B49" s="75">
        <v>196</v>
      </c>
      <c r="C49" s="74">
        <v>146</v>
      </c>
      <c r="D49" s="73">
        <v>1.7529999999999999</v>
      </c>
      <c r="E49" s="74">
        <v>2893</v>
      </c>
      <c r="F49" s="73">
        <v>2893</v>
      </c>
      <c r="G49" s="74">
        <v>182.821</v>
      </c>
      <c r="H49" s="73">
        <v>1110</v>
      </c>
      <c r="I49" s="74">
        <v>1110</v>
      </c>
      <c r="J49" s="73">
        <v>43.301000000000002</v>
      </c>
      <c r="K49" s="74">
        <v>5101</v>
      </c>
      <c r="L49" s="73">
        <v>5101</v>
      </c>
      <c r="M49" s="74">
        <v>158.07</v>
      </c>
      <c r="N49" s="73">
        <v>348</v>
      </c>
      <c r="O49" s="74">
        <v>348</v>
      </c>
      <c r="P49" s="73">
        <v>16.02</v>
      </c>
      <c r="Q49" s="74">
        <v>11551</v>
      </c>
      <c r="R49" s="73">
        <v>11551</v>
      </c>
      <c r="S49" s="74">
        <v>687.26</v>
      </c>
      <c r="T49" s="73">
        <v>34472</v>
      </c>
      <c r="U49" s="74">
        <v>34432</v>
      </c>
      <c r="V49" s="73">
        <v>1464.7750000000001</v>
      </c>
      <c r="W49" s="74">
        <v>767</v>
      </c>
      <c r="X49" s="73">
        <v>767</v>
      </c>
      <c r="Y49" s="74">
        <v>32.648000000000003</v>
      </c>
      <c r="Z49" s="73">
        <v>583</v>
      </c>
      <c r="AA49" s="74">
        <v>582</v>
      </c>
      <c r="AB49" s="73">
        <v>21.32</v>
      </c>
      <c r="AC49" s="74">
        <v>3609</v>
      </c>
      <c r="AD49" s="73">
        <v>3609</v>
      </c>
      <c r="AE49" s="74">
        <v>24.18</v>
      </c>
      <c r="AF49" s="73">
        <v>2939</v>
      </c>
      <c r="AG49" s="74">
        <v>2934</v>
      </c>
      <c r="AH49" s="73">
        <v>50.415999999999997</v>
      </c>
      <c r="AI49" s="74">
        <v>1015</v>
      </c>
      <c r="AJ49" s="73">
        <v>1015</v>
      </c>
      <c r="AK49" s="74">
        <v>27.88</v>
      </c>
      <c r="AL49" s="73">
        <v>44581</v>
      </c>
      <c r="AM49" s="74">
        <v>44375</v>
      </c>
      <c r="AN49" s="73">
        <v>404.27300000000002</v>
      </c>
      <c r="AO49" s="74">
        <v>7336</v>
      </c>
      <c r="AP49" s="73">
        <v>7336</v>
      </c>
      <c r="AQ49" s="74">
        <v>200.42</v>
      </c>
      <c r="AR49" s="73">
        <v>188</v>
      </c>
      <c r="AS49" s="74">
        <v>188</v>
      </c>
      <c r="AT49" s="73">
        <v>1.921</v>
      </c>
      <c r="AU49" s="74">
        <v>65177</v>
      </c>
      <c r="AV49" s="73">
        <v>65152</v>
      </c>
      <c r="AW49" s="74">
        <v>767.45500000000004</v>
      </c>
      <c r="AX49" s="73">
        <v>2120563</v>
      </c>
      <c r="AY49" s="74">
        <v>2116237</v>
      </c>
      <c r="AZ49" s="73">
        <v>217.67400000000001</v>
      </c>
      <c r="BA49" s="87">
        <v>21023.23</v>
      </c>
      <c r="BB49" s="83" t="s">
        <v>41</v>
      </c>
      <c r="BC49" s="64"/>
      <c r="BD49" s="64"/>
    </row>
    <row r="50" spans="1:56" x14ac:dyDescent="0.3">
      <c r="A50" s="63" t="str">
        <f>VLOOKUP([1]ListOfRegions!A29,[1]ListOfRegions!A29:B103,2,0)</f>
        <v xml:space="preserve">  Εύβοιας</v>
      </c>
      <c r="B50" s="75">
        <v>6217</v>
      </c>
      <c r="C50" s="74">
        <v>5220</v>
      </c>
      <c r="D50" s="73">
        <v>187.768</v>
      </c>
      <c r="E50" s="74">
        <v>21735</v>
      </c>
      <c r="F50" s="73">
        <v>20449</v>
      </c>
      <c r="G50" s="74">
        <v>1063.0999999999999</v>
      </c>
      <c r="H50" s="73">
        <v>3256</v>
      </c>
      <c r="I50" s="74">
        <v>2742</v>
      </c>
      <c r="J50" s="73">
        <v>120.04</v>
      </c>
      <c r="K50" s="74">
        <v>4118</v>
      </c>
      <c r="L50" s="73">
        <v>3651</v>
      </c>
      <c r="M50" s="74">
        <v>156.03800000000001</v>
      </c>
      <c r="N50" s="73">
        <v>17894</v>
      </c>
      <c r="O50" s="74">
        <v>17525</v>
      </c>
      <c r="P50" s="73">
        <v>918.02</v>
      </c>
      <c r="Q50" s="74">
        <v>2400</v>
      </c>
      <c r="R50" s="73">
        <v>2400</v>
      </c>
      <c r="S50" s="74">
        <v>62.7</v>
      </c>
      <c r="T50" s="73">
        <v>26498</v>
      </c>
      <c r="U50" s="74">
        <v>25771</v>
      </c>
      <c r="V50" s="73">
        <v>1072.153</v>
      </c>
      <c r="W50" s="74">
        <v>7166</v>
      </c>
      <c r="X50" s="73">
        <v>6717</v>
      </c>
      <c r="Y50" s="74">
        <v>279.25</v>
      </c>
      <c r="Z50" s="73">
        <v>3087</v>
      </c>
      <c r="AA50" s="74">
        <v>2626</v>
      </c>
      <c r="AB50" s="73">
        <v>67.322999999999993</v>
      </c>
      <c r="AC50" s="74">
        <v>17994</v>
      </c>
      <c r="AD50" s="73">
        <v>17594</v>
      </c>
      <c r="AE50" s="74">
        <v>549.05899999999997</v>
      </c>
      <c r="AF50" s="73">
        <v>5192</v>
      </c>
      <c r="AG50" s="74">
        <v>4388</v>
      </c>
      <c r="AH50" s="73">
        <v>224.99</v>
      </c>
      <c r="AI50" s="74">
        <v>283356</v>
      </c>
      <c r="AJ50" s="73">
        <v>282251</v>
      </c>
      <c r="AK50" s="74">
        <v>6734.83</v>
      </c>
      <c r="AL50" s="73">
        <v>28463</v>
      </c>
      <c r="AM50" s="74">
        <v>27486</v>
      </c>
      <c r="AN50" s="73">
        <v>377.584</v>
      </c>
      <c r="AO50" s="74">
        <v>65051</v>
      </c>
      <c r="AP50" s="73">
        <v>63285</v>
      </c>
      <c r="AQ50" s="74">
        <v>2146.4560000000001</v>
      </c>
      <c r="AR50" s="73">
        <v>7826</v>
      </c>
      <c r="AS50" s="74">
        <v>7746</v>
      </c>
      <c r="AT50" s="73">
        <v>320.30599999999998</v>
      </c>
      <c r="AU50" s="74">
        <v>52464</v>
      </c>
      <c r="AV50" s="73">
        <v>52464</v>
      </c>
      <c r="AW50" s="74">
        <v>1045.79</v>
      </c>
      <c r="AX50" s="73">
        <v>3470173</v>
      </c>
      <c r="AY50" s="74">
        <v>3409471</v>
      </c>
      <c r="AZ50" s="73">
        <v>11762.931</v>
      </c>
      <c r="BA50" s="87">
        <v>51151.447</v>
      </c>
      <c r="BB50" s="83" t="s">
        <v>42</v>
      </c>
      <c r="BC50" s="64"/>
      <c r="BD50" s="64"/>
    </row>
    <row r="51" spans="1:56" x14ac:dyDescent="0.3">
      <c r="A51" s="63" t="str">
        <f>VLOOKUP([1]ListOfRegions!A30,[1]ListOfRegions!A30:B104,2,0)</f>
        <v xml:space="preserve">  Ευρυτανίας</v>
      </c>
      <c r="B51" s="75">
        <v>27</v>
      </c>
      <c r="C51" s="74">
        <v>20</v>
      </c>
      <c r="D51" s="73">
        <v>0.44500000000000001</v>
      </c>
      <c r="E51" s="74">
        <v>397</v>
      </c>
      <c r="F51" s="73">
        <v>380</v>
      </c>
      <c r="G51" s="74">
        <v>9.5150000000000006</v>
      </c>
      <c r="H51" s="73">
        <v>100</v>
      </c>
      <c r="I51" s="74">
        <v>100</v>
      </c>
      <c r="J51" s="73">
        <v>2.0499999999999998</v>
      </c>
      <c r="K51" s="74">
        <v>3558</v>
      </c>
      <c r="L51" s="73">
        <v>110</v>
      </c>
      <c r="M51" s="74">
        <v>42.384999999999998</v>
      </c>
      <c r="N51" s="73">
        <v>8692</v>
      </c>
      <c r="O51" s="74">
        <v>1193</v>
      </c>
      <c r="P51" s="73">
        <v>127.31</v>
      </c>
      <c r="Q51" s="74">
        <v>82</v>
      </c>
      <c r="R51" s="73" t="s">
        <v>139</v>
      </c>
      <c r="S51" s="74">
        <v>1.6</v>
      </c>
      <c r="T51" s="73">
        <v>455</v>
      </c>
      <c r="U51" s="74" t="s">
        <v>139</v>
      </c>
      <c r="V51" s="73">
        <v>3.29</v>
      </c>
      <c r="W51" s="74">
        <v>1110</v>
      </c>
      <c r="X51" s="73">
        <v>83</v>
      </c>
      <c r="Y51" s="74">
        <v>9.56</v>
      </c>
      <c r="Z51" s="73">
        <v>125</v>
      </c>
      <c r="AA51" s="74" t="s">
        <v>139</v>
      </c>
      <c r="AB51" s="73">
        <v>1.1200000000000001</v>
      </c>
      <c r="AC51" s="74">
        <v>5443</v>
      </c>
      <c r="AD51" s="73">
        <v>73</v>
      </c>
      <c r="AE51" s="74">
        <v>51.655999999999999</v>
      </c>
      <c r="AF51" s="73">
        <v>2550</v>
      </c>
      <c r="AG51" s="74" t="s">
        <v>139</v>
      </c>
      <c r="AH51" s="73">
        <v>31.515000000000001</v>
      </c>
      <c r="AI51" s="74" t="s">
        <v>139</v>
      </c>
      <c r="AJ51" s="73" t="s">
        <v>139</v>
      </c>
      <c r="AK51" s="74" t="s">
        <v>139</v>
      </c>
      <c r="AL51" s="73">
        <v>740</v>
      </c>
      <c r="AM51" s="74">
        <v>330</v>
      </c>
      <c r="AN51" s="73">
        <v>2.9</v>
      </c>
      <c r="AO51" s="74">
        <v>29740</v>
      </c>
      <c r="AP51" s="73">
        <v>7030</v>
      </c>
      <c r="AQ51" s="74">
        <v>311.52</v>
      </c>
      <c r="AR51" s="73">
        <v>32143</v>
      </c>
      <c r="AS51" s="74">
        <v>20747</v>
      </c>
      <c r="AT51" s="73">
        <v>250.45500000000001</v>
      </c>
      <c r="AU51" s="74" t="s">
        <v>139</v>
      </c>
      <c r="AV51" s="73" t="s">
        <v>139</v>
      </c>
      <c r="AW51" s="74" t="s">
        <v>139</v>
      </c>
      <c r="AX51" s="73">
        <v>35620</v>
      </c>
      <c r="AY51" s="74">
        <v>28535</v>
      </c>
      <c r="AZ51" s="73">
        <v>14.571999999999999</v>
      </c>
      <c r="BA51" s="87">
        <v>78.260999999999996</v>
      </c>
      <c r="BB51" s="83" t="s">
        <v>43</v>
      </c>
      <c r="BC51" s="64"/>
      <c r="BD51" s="64"/>
    </row>
    <row r="52" spans="1:56" x14ac:dyDescent="0.3">
      <c r="A52" s="63" t="str">
        <f>VLOOKUP([1]ListOfRegions!A31,[1]ListOfRegions!A31:B105,2,0)</f>
        <v xml:space="preserve">  Φωκίδας</v>
      </c>
      <c r="B52" s="75">
        <v>9375</v>
      </c>
      <c r="C52" s="74">
        <v>4810</v>
      </c>
      <c r="D52" s="73">
        <v>359.47500000000002</v>
      </c>
      <c r="E52" s="74">
        <v>11425</v>
      </c>
      <c r="F52" s="73">
        <v>8790</v>
      </c>
      <c r="G52" s="74">
        <v>250.13</v>
      </c>
      <c r="H52" s="73">
        <v>3831</v>
      </c>
      <c r="I52" s="74">
        <v>2550</v>
      </c>
      <c r="J52" s="73">
        <v>64.56</v>
      </c>
      <c r="K52" s="74">
        <v>2462</v>
      </c>
      <c r="L52" s="73">
        <v>352</v>
      </c>
      <c r="M52" s="74">
        <v>28.83</v>
      </c>
      <c r="N52" s="73">
        <v>4533</v>
      </c>
      <c r="O52" s="74">
        <v>2835</v>
      </c>
      <c r="P52" s="73">
        <v>29.96</v>
      </c>
      <c r="Q52" s="74" t="s">
        <v>139</v>
      </c>
      <c r="R52" s="73" t="s">
        <v>139</v>
      </c>
      <c r="S52" s="74" t="s">
        <v>139</v>
      </c>
      <c r="T52" s="73">
        <v>3303</v>
      </c>
      <c r="U52" s="74">
        <v>1940</v>
      </c>
      <c r="V52" s="73">
        <v>65.48</v>
      </c>
      <c r="W52" s="74">
        <v>521</v>
      </c>
      <c r="X52" s="73" t="s">
        <v>139</v>
      </c>
      <c r="Y52" s="74">
        <v>5.58</v>
      </c>
      <c r="Z52" s="73">
        <v>262</v>
      </c>
      <c r="AA52" s="74">
        <v>27</v>
      </c>
      <c r="AB52" s="73">
        <v>2.25</v>
      </c>
      <c r="AC52" s="74">
        <v>1585</v>
      </c>
      <c r="AD52" s="73">
        <v>585</v>
      </c>
      <c r="AE52" s="74">
        <v>11.955</v>
      </c>
      <c r="AF52" s="73">
        <v>3788</v>
      </c>
      <c r="AG52" s="74">
        <v>5</v>
      </c>
      <c r="AH52" s="73">
        <v>41.231999999999999</v>
      </c>
      <c r="AI52" s="74" t="s">
        <v>139</v>
      </c>
      <c r="AJ52" s="73" t="s">
        <v>139</v>
      </c>
      <c r="AK52" s="74" t="s">
        <v>139</v>
      </c>
      <c r="AL52" s="73">
        <v>37352</v>
      </c>
      <c r="AM52" s="74">
        <v>20437</v>
      </c>
      <c r="AN52" s="73">
        <v>359.26</v>
      </c>
      <c r="AO52" s="74">
        <v>20805</v>
      </c>
      <c r="AP52" s="73">
        <v>10195</v>
      </c>
      <c r="AQ52" s="74">
        <v>242.01</v>
      </c>
      <c r="AR52" s="73">
        <v>2193</v>
      </c>
      <c r="AS52" s="74">
        <v>569</v>
      </c>
      <c r="AT52" s="73">
        <v>15.33</v>
      </c>
      <c r="AU52" s="74">
        <v>875</v>
      </c>
      <c r="AV52" s="73">
        <v>845</v>
      </c>
      <c r="AW52" s="74">
        <v>22.32</v>
      </c>
      <c r="AX52" s="73">
        <v>786433</v>
      </c>
      <c r="AY52" s="74">
        <v>724143</v>
      </c>
      <c r="AZ52" s="73">
        <v>2988.7440000000001</v>
      </c>
      <c r="BA52" s="87">
        <v>10934.343000000001</v>
      </c>
      <c r="BB52" s="83" t="s">
        <v>44</v>
      </c>
      <c r="BC52" s="64"/>
      <c r="BD52" s="64"/>
    </row>
    <row r="53" spans="1:56" x14ac:dyDescent="0.3">
      <c r="A53" s="94" t="s">
        <v>45</v>
      </c>
      <c r="B53" s="95">
        <f t="shared" ref="B53:J53" si="28">SUM(B55:B59)</f>
        <v>24624</v>
      </c>
      <c r="C53" s="89">
        <f t="shared" si="28"/>
        <v>10125</v>
      </c>
      <c r="D53" s="89">
        <f t="shared" si="28"/>
        <v>667.11799999999994</v>
      </c>
      <c r="E53" s="89">
        <f t="shared" si="28"/>
        <v>22696</v>
      </c>
      <c r="F53" s="89">
        <f t="shared" si="28"/>
        <v>12999</v>
      </c>
      <c r="G53" s="89">
        <f>SUM(G55:G59)</f>
        <v>917.37299999999993</v>
      </c>
      <c r="H53" s="89">
        <f t="shared" si="28"/>
        <v>8994</v>
      </c>
      <c r="I53" s="89">
        <f t="shared" si="28"/>
        <v>4521</v>
      </c>
      <c r="J53" s="89">
        <f t="shared" si="28"/>
        <v>271.14999999999998</v>
      </c>
      <c r="K53" s="89">
        <f>SUM(K55:K59)</f>
        <v>12422</v>
      </c>
      <c r="L53" s="89">
        <f>SUM(L55:L59)</f>
        <v>3092</v>
      </c>
      <c r="M53" s="89">
        <f>SUM(M55:M59)</f>
        <v>172.42000000000002</v>
      </c>
      <c r="N53" s="89">
        <f>SUM(N55:N59)</f>
        <v>2134</v>
      </c>
      <c r="O53" s="89">
        <f t="shared" ref="O53:AE53" si="29">SUM(O55:O59)</f>
        <v>464</v>
      </c>
      <c r="P53" s="89">
        <f t="shared" si="29"/>
        <v>37.81</v>
      </c>
      <c r="Q53" s="89">
        <f t="shared" ref="Q53:V53" si="30">SUM(Q55:Q59)</f>
        <v>0</v>
      </c>
      <c r="R53" s="89">
        <f t="shared" si="30"/>
        <v>0</v>
      </c>
      <c r="S53" s="89">
        <f t="shared" si="30"/>
        <v>0</v>
      </c>
      <c r="T53" s="89">
        <f t="shared" si="30"/>
        <v>3476</v>
      </c>
      <c r="U53" s="89">
        <f t="shared" si="30"/>
        <v>2239</v>
      </c>
      <c r="V53" s="89">
        <f t="shared" si="30"/>
        <v>111.208</v>
      </c>
      <c r="W53" s="89">
        <f t="shared" si="29"/>
        <v>794</v>
      </c>
      <c r="X53" s="89">
        <f t="shared" si="29"/>
        <v>276</v>
      </c>
      <c r="Y53" s="89">
        <f t="shared" si="29"/>
        <v>16.962</v>
      </c>
      <c r="Z53" s="93">
        <f t="shared" si="29"/>
        <v>2397</v>
      </c>
      <c r="AA53" s="89">
        <f t="shared" si="29"/>
        <v>34</v>
      </c>
      <c r="AB53" s="89">
        <f t="shared" si="29"/>
        <v>66.671999999999997</v>
      </c>
      <c r="AC53" s="89">
        <f t="shared" si="29"/>
        <v>1124</v>
      </c>
      <c r="AD53" s="89">
        <f t="shared" si="29"/>
        <v>514</v>
      </c>
      <c r="AE53" s="89">
        <f t="shared" si="29"/>
        <v>22.884999999999998</v>
      </c>
      <c r="AF53" s="89">
        <f>SUM(AF55:AF59)</f>
        <v>3865</v>
      </c>
      <c r="AG53" s="89">
        <f t="shared" ref="AG53:AQ53" si="31">SUM(AG55:AG59)</f>
        <v>290</v>
      </c>
      <c r="AH53" s="89">
        <f t="shared" si="31"/>
        <v>128.91299999999998</v>
      </c>
      <c r="AI53" s="89">
        <f t="shared" si="31"/>
        <v>50</v>
      </c>
      <c r="AJ53" s="89">
        <f t="shared" si="31"/>
        <v>0</v>
      </c>
      <c r="AK53" s="89">
        <f t="shared" si="31"/>
        <v>2</v>
      </c>
      <c r="AL53" s="89">
        <f t="shared" si="31"/>
        <v>19875</v>
      </c>
      <c r="AM53" s="89">
        <f t="shared" si="31"/>
        <v>3958</v>
      </c>
      <c r="AN53" s="89">
        <f t="shared" si="31"/>
        <v>194.87</v>
      </c>
      <c r="AO53" s="89">
        <f t="shared" si="31"/>
        <v>4405</v>
      </c>
      <c r="AP53" s="89">
        <f t="shared" si="31"/>
        <v>1308</v>
      </c>
      <c r="AQ53" s="89">
        <f t="shared" si="31"/>
        <v>90.699999999999989</v>
      </c>
      <c r="AR53" s="89">
        <f>SUM(AR55:AR59)</f>
        <v>120</v>
      </c>
      <c r="AS53" s="89">
        <f t="shared" ref="AS53:BA53" si="32">SUM(AS55:AS59)</f>
        <v>120</v>
      </c>
      <c r="AT53" s="89">
        <f t="shared" si="32"/>
        <v>15.4</v>
      </c>
      <c r="AU53" s="89">
        <f t="shared" si="32"/>
        <v>20</v>
      </c>
      <c r="AV53" s="89">
        <f t="shared" si="32"/>
        <v>20</v>
      </c>
      <c r="AW53" s="89">
        <f t="shared" si="32"/>
        <v>0.1</v>
      </c>
      <c r="AX53" s="89">
        <f t="shared" si="32"/>
        <v>4600126</v>
      </c>
      <c r="AY53" s="89">
        <f t="shared" si="32"/>
        <v>4202498</v>
      </c>
      <c r="AZ53" s="89">
        <f t="shared" si="32"/>
        <v>584.43100000000004</v>
      </c>
      <c r="BA53" s="96">
        <f t="shared" si="32"/>
        <v>76624.126999999993</v>
      </c>
      <c r="BB53" s="91" t="s">
        <v>46</v>
      </c>
      <c r="BC53" s="92"/>
      <c r="BD53" s="92"/>
    </row>
    <row r="54" spans="1:56" x14ac:dyDescent="0.3">
      <c r="A54" s="94"/>
      <c r="B54" s="95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93"/>
      <c r="AA54" s="89"/>
      <c r="AB54" s="89"/>
      <c r="AC54" s="89"/>
      <c r="AD54" s="89"/>
      <c r="AE54" s="89"/>
      <c r="AF54" s="89"/>
      <c r="AG54" s="89"/>
      <c r="AH54" s="89"/>
      <c r="AI54" s="89"/>
      <c r="AJ54" s="89"/>
      <c r="AK54" s="89"/>
      <c r="AL54" s="89"/>
      <c r="AM54" s="89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96"/>
      <c r="BB54" s="91"/>
      <c r="BC54" s="92"/>
      <c r="BD54" s="92"/>
    </row>
    <row r="55" spans="1:56" x14ac:dyDescent="0.3">
      <c r="A55" s="63" t="str">
        <f>VLOOKUP([1]ListOfRegions!A32,[1]ListOfRegions!A32:B106,2,0)</f>
        <v xml:space="preserve">  Κέρκυρας</v>
      </c>
      <c r="B55" s="75">
        <v>734</v>
      </c>
      <c r="C55" s="74">
        <v>734</v>
      </c>
      <c r="D55" s="73">
        <v>19.670000000000002</v>
      </c>
      <c r="E55" s="74">
        <v>1149</v>
      </c>
      <c r="F55" s="73">
        <v>1149</v>
      </c>
      <c r="G55" s="74">
        <v>41.036000000000001</v>
      </c>
      <c r="H55" s="73">
        <v>55</v>
      </c>
      <c r="I55" s="74">
        <v>55</v>
      </c>
      <c r="J55" s="73">
        <v>0.13</v>
      </c>
      <c r="K55" s="74" t="s">
        <v>139</v>
      </c>
      <c r="L55" s="73" t="s">
        <v>139</v>
      </c>
      <c r="M55" s="74" t="s">
        <v>139</v>
      </c>
      <c r="N55" s="73">
        <v>214</v>
      </c>
      <c r="O55" s="74">
        <v>214</v>
      </c>
      <c r="P55" s="73">
        <v>4.49</v>
      </c>
      <c r="Q55" s="74" t="s">
        <v>139</v>
      </c>
      <c r="R55" s="73" t="s">
        <v>139</v>
      </c>
      <c r="S55" s="74" t="s">
        <v>139</v>
      </c>
      <c r="T55" s="73">
        <v>170</v>
      </c>
      <c r="U55" s="74">
        <v>170</v>
      </c>
      <c r="V55" s="73">
        <v>5.07</v>
      </c>
      <c r="W55" s="74">
        <v>120</v>
      </c>
      <c r="X55" s="73">
        <v>120</v>
      </c>
      <c r="Y55" s="74">
        <v>6</v>
      </c>
      <c r="Z55" s="73" t="s">
        <v>139</v>
      </c>
      <c r="AA55" s="74" t="s">
        <v>139</v>
      </c>
      <c r="AB55" s="73" t="s">
        <v>139</v>
      </c>
      <c r="AC55" s="74">
        <v>90</v>
      </c>
      <c r="AD55" s="73">
        <v>90</v>
      </c>
      <c r="AE55" s="74">
        <v>1.55</v>
      </c>
      <c r="AF55" s="73">
        <v>50</v>
      </c>
      <c r="AG55" s="74">
        <v>50</v>
      </c>
      <c r="AH55" s="73">
        <v>2.5</v>
      </c>
      <c r="AI55" s="74" t="s">
        <v>139</v>
      </c>
      <c r="AJ55" s="73" t="s">
        <v>139</v>
      </c>
      <c r="AK55" s="74" t="s">
        <v>139</v>
      </c>
      <c r="AL55" s="73">
        <v>677</v>
      </c>
      <c r="AM55" s="74">
        <v>677</v>
      </c>
      <c r="AN55" s="73">
        <v>11.975</v>
      </c>
      <c r="AO55" s="74">
        <v>517</v>
      </c>
      <c r="AP55" s="73">
        <v>517</v>
      </c>
      <c r="AQ55" s="74">
        <v>6.64</v>
      </c>
      <c r="AR55" s="73">
        <v>120</v>
      </c>
      <c r="AS55" s="74">
        <v>120</v>
      </c>
      <c r="AT55" s="73">
        <v>15.4</v>
      </c>
      <c r="AU55" s="74">
        <v>20</v>
      </c>
      <c r="AV55" s="73">
        <v>20</v>
      </c>
      <c r="AW55" s="74">
        <v>0.1</v>
      </c>
      <c r="AX55" s="73">
        <v>1933208</v>
      </c>
      <c r="AY55" s="74">
        <v>1933088</v>
      </c>
      <c r="AZ55" s="73">
        <v>228.755</v>
      </c>
      <c r="BA55" s="87">
        <v>42542.055999999997</v>
      </c>
      <c r="BB55" s="83" t="s">
        <v>47</v>
      </c>
      <c r="BC55" s="64"/>
      <c r="BD55" s="64"/>
    </row>
    <row r="56" spans="1:56" x14ac:dyDescent="0.3">
      <c r="A56" s="63" t="str">
        <f>VLOOKUP([1]ListOfRegions!A33,[1]ListOfRegions!A33:B107,2,0)</f>
        <v xml:space="preserve">  Ζακύνθου</v>
      </c>
      <c r="B56" s="75">
        <v>5708</v>
      </c>
      <c r="C56" s="74">
        <v>5708</v>
      </c>
      <c r="D56" s="73">
        <v>230.95</v>
      </c>
      <c r="E56" s="74">
        <v>5787</v>
      </c>
      <c r="F56" s="73">
        <v>5787</v>
      </c>
      <c r="G56" s="74">
        <v>227.6</v>
      </c>
      <c r="H56" s="73">
        <v>20</v>
      </c>
      <c r="I56" s="74">
        <v>20</v>
      </c>
      <c r="J56" s="73">
        <v>0.6</v>
      </c>
      <c r="K56" s="74">
        <v>40</v>
      </c>
      <c r="L56" s="73">
        <v>40</v>
      </c>
      <c r="M56" s="74">
        <v>1.4</v>
      </c>
      <c r="N56" s="73" t="s">
        <v>139</v>
      </c>
      <c r="O56" s="74" t="s">
        <v>139</v>
      </c>
      <c r="P56" s="73" t="s">
        <v>139</v>
      </c>
      <c r="Q56" s="74" t="s">
        <v>139</v>
      </c>
      <c r="R56" s="73" t="s">
        <v>139</v>
      </c>
      <c r="S56" s="74" t="s">
        <v>139</v>
      </c>
      <c r="T56" s="73">
        <v>1309</v>
      </c>
      <c r="U56" s="74">
        <v>1309</v>
      </c>
      <c r="V56" s="73">
        <v>49.26</v>
      </c>
      <c r="W56" s="74">
        <v>136</v>
      </c>
      <c r="X56" s="73">
        <v>136</v>
      </c>
      <c r="Y56" s="74">
        <v>4</v>
      </c>
      <c r="Z56" s="73">
        <v>4</v>
      </c>
      <c r="AA56" s="74">
        <v>4</v>
      </c>
      <c r="AB56" s="73">
        <v>0.13</v>
      </c>
      <c r="AC56" s="74">
        <v>23</v>
      </c>
      <c r="AD56" s="73">
        <v>23</v>
      </c>
      <c r="AE56" s="74">
        <v>0.1</v>
      </c>
      <c r="AF56" s="73">
        <v>60</v>
      </c>
      <c r="AG56" s="74">
        <v>60</v>
      </c>
      <c r="AH56" s="73">
        <v>1.5</v>
      </c>
      <c r="AI56" s="74" t="s">
        <v>139</v>
      </c>
      <c r="AJ56" s="73" t="s">
        <v>139</v>
      </c>
      <c r="AK56" s="74" t="s">
        <v>139</v>
      </c>
      <c r="AL56" s="73">
        <v>28</v>
      </c>
      <c r="AM56" s="74">
        <v>28</v>
      </c>
      <c r="AN56" s="73">
        <v>1.18</v>
      </c>
      <c r="AO56" s="74">
        <v>7</v>
      </c>
      <c r="AP56" s="73">
        <v>7</v>
      </c>
      <c r="AQ56" s="74">
        <v>0.1</v>
      </c>
      <c r="AR56" s="73" t="s">
        <v>139</v>
      </c>
      <c r="AS56" s="74" t="s">
        <v>139</v>
      </c>
      <c r="AT56" s="73" t="s">
        <v>139</v>
      </c>
      <c r="AU56" s="74" t="s">
        <v>139</v>
      </c>
      <c r="AV56" s="73" t="s">
        <v>139</v>
      </c>
      <c r="AW56" s="74" t="s">
        <v>139</v>
      </c>
      <c r="AX56" s="73">
        <v>1510640</v>
      </c>
      <c r="AY56" s="74">
        <v>1510640</v>
      </c>
      <c r="AZ56" s="73">
        <v>1.2</v>
      </c>
      <c r="BA56" s="87">
        <v>25869.5</v>
      </c>
      <c r="BB56" s="83" t="s">
        <v>48</v>
      </c>
      <c r="BC56" s="64"/>
      <c r="BD56" s="64"/>
    </row>
    <row r="57" spans="1:56" x14ac:dyDescent="0.3">
      <c r="A57" s="63" t="str">
        <f>VLOOKUP([1]ListOfRegions!A34,[1]ListOfRegions!A34:B108,2,0)</f>
        <v xml:space="preserve">  Ιθάκης</v>
      </c>
      <c r="B57" s="75" t="s">
        <v>139</v>
      </c>
      <c r="C57" s="74" t="s">
        <v>139</v>
      </c>
      <c r="D57" s="73" t="s">
        <v>139</v>
      </c>
      <c r="E57" s="74">
        <v>1082</v>
      </c>
      <c r="F57" s="73">
        <v>68</v>
      </c>
      <c r="G57" s="74">
        <v>13.525</v>
      </c>
      <c r="H57" s="73" t="s">
        <v>139</v>
      </c>
      <c r="I57" s="74" t="s">
        <v>139</v>
      </c>
      <c r="J57" s="73" t="s">
        <v>139</v>
      </c>
      <c r="K57" s="74">
        <v>2245</v>
      </c>
      <c r="L57" s="73">
        <v>45</v>
      </c>
      <c r="M57" s="74">
        <v>19.532</v>
      </c>
      <c r="N57" s="73" t="s">
        <v>139</v>
      </c>
      <c r="O57" s="74" t="s">
        <v>139</v>
      </c>
      <c r="P57" s="73" t="s">
        <v>139</v>
      </c>
      <c r="Q57" s="74" t="s">
        <v>139</v>
      </c>
      <c r="R57" s="73" t="s">
        <v>139</v>
      </c>
      <c r="S57" s="74" t="s">
        <v>139</v>
      </c>
      <c r="T57" s="73" t="s">
        <v>139</v>
      </c>
      <c r="U57" s="74" t="s">
        <v>139</v>
      </c>
      <c r="V57" s="73" t="s">
        <v>139</v>
      </c>
      <c r="W57" s="74" t="s">
        <v>139</v>
      </c>
      <c r="X57" s="73" t="s">
        <v>139</v>
      </c>
      <c r="Y57" s="74" t="s">
        <v>139</v>
      </c>
      <c r="Z57" s="73" t="s">
        <v>139</v>
      </c>
      <c r="AA57" s="74" t="s">
        <v>139</v>
      </c>
      <c r="AB57" s="73" t="s">
        <v>139</v>
      </c>
      <c r="AC57" s="74" t="s">
        <v>139</v>
      </c>
      <c r="AD57" s="73" t="s">
        <v>139</v>
      </c>
      <c r="AE57" s="74" t="s">
        <v>139</v>
      </c>
      <c r="AF57" s="73" t="s">
        <v>139</v>
      </c>
      <c r="AG57" s="74" t="s">
        <v>139</v>
      </c>
      <c r="AH57" s="73" t="s">
        <v>139</v>
      </c>
      <c r="AI57" s="74" t="s">
        <v>139</v>
      </c>
      <c r="AJ57" s="73" t="s">
        <v>139</v>
      </c>
      <c r="AK57" s="74" t="s">
        <v>139</v>
      </c>
      <c r="AL57" s="73" t="s">
        <v>139</v>
      </c>
      <c r="AM57" s="74" t="s">
        <v>139</v>
      </c>
      <c r="AN57" s="73" t="s">
        <v>139</v>
      </c>
      <c r="AO57" s="74" t="s">
        <v>139</v>
      </c>
      <c r="AP57" s="73" t="s">
        <v>139</v>
      </c>
      <c r="AQ57" s="74" t="s">
        <v>139</v>
      </c>
      <c r="AR57" s="73" t="s">
        <v>139</v>
      </c>
      <c r="AS57" s="74" t="s">
        <v>139</v>
      </c>
      <c r="AT57" s="73" t="s">
        <v>139</v>
      </c>
      <c r="AU57" s="74" t="s">
        <v>139</v>
      </c>
      <c r="AV57" s="73" t="s">
        <v>139</v>
      </c>
      <c r="AW57" s="74" t="s">
        <v>139</v>
      </c>
      <c r="AX57" s="73">
        <v>51976</v>
      </c>
      <c r="AY57" s="74">
        <v>30406</v>
      </c>
      <c r="AZ57" s="73" t="s">
        <v>139</v>
      </c>
      <c r="BA57" s="87">
        <v>205.64</v>
      </c>
      <c r="BB57" s="83" t="s">
        <v>49</v>
      </c>
      <c r="BC57" s="64"/>
      <c r="BD57" s="64"/>
    </row>
    <row r="58" spans="1:56" x14ac:dyDescent="0.3">
      <c r="A58" s="63" t="str">
        <f>VLOOKUP([1]ListOfRegions!A35,[1]ListOfRegions!A35:B109,2,0)</f>
        <v xml:space="preserve">  Κεφαλληνίας</v>
      </c>
      <c r="B58" s="75">
        <v>8395</v>
      </c>
      <c r="C58" s="74">
        <v>1101</v>
      </c>
      <c r="D58" s="73">
        <v>312.99799999999999</v>
      </c>
      <c r="E58" s="74">
        <v>9463</v>
      </c>
      <c r="F58" s="73">
        <v>3805</v>
      </c>
      <c r="G58" s="74">
        <v>541.41200000000003</v>
      </c>
      <c r="H58" s="73">
        <v>7579</v>
      </c>
      <c r="I58" s="74">
        <v>3986</v>
      </c>
      <c r="J58" s="73">
        <v>243.85</v>
      </c>
      <c r="K58" s="74">
        <v>5237</v>
      </c>
      <c r="L58" s="73">
        <v>1387</v>
      </c>
      <c r="M58" s="74">
        <v>103.88800000000001</v>
      </c>
      <c r="N58" s="73">
        <v>1020</v>
      </c>
      <c r="O58" s="74">
        <v>230</v>
      </c>
      <c r="P58" s="73">
        <v>24.17</v>
      </c>
      <c r="Q58" s="74" t="s">
        <v>139</v>
      </c>
      <c r="R58" s="73" t="s">
        <v>139</v>
      </c>
      <c r="S58" s="74" t="s">
        <v>139</v>
      </c>
      <c r="T58" s="73">
        <v>1152</v>
      </c>
      <c r="U58" s="74">
        <v>170</v>
      </c>
      <c r="V58" s="73">
        <v>45.027999999999999</v>
      </c>
      <c r="W58" s="74">
        <v>128</v>
      </c>
      <c r="X58" s="73" t="s">
        <v>139</v>
      </c>
      <c r="Y58" s="74">
        <v>3.0619999999999998</v>
      </c>
      <c r="Z58" s="73">
        <v>2093</v>
      </c>
      <c r="AA58" s="74">
        <v>30</v>
      </c>
      <c r="AB58" s="73">
        <v>62.491999999999997</v>
      </c>
      <c r="AC58" s="74">
        <v>911</v>
      </c>
      <c r="AD58" s="73">
        <v>401</v>
      </c>
      <c r="AE58" s="74">
        <v>20.285</v>
      </c>
      <c r="AF58" s="73">
        <v>2025</v>
      </c>
      <c r="AG58" s="74">
        <v>110</v>
      </c>
      <c r="AH58" s="73">
        <v>106.96299999999999</v>
      </c>
      <c r="AI58" s="74">
        <v>50</v>
      </c>
      <c r="AJ58" s="73" t="s">
        <v>139</v>
      </c>
      <c r="AK58" s="74">
        <v>2</v>
      </c>
      <c r="AL58" s="73">
        <v>9697</v>
      </c>
      <c r="AM58" s="74">
        <v>1055</v>
      </c>
      <c r="AN58" s="73">
        <v>108.515</v>
      </c>
      <c r="AO58" s="74">
        <v>2453</v>
      </c>
      <c r="AP58" s="73">
        <v>746</v>
      </c>
      <c r="AQ58" s="74">
        <v>69.61</v>
      </c>
      <c r="AR58" s="73" t="s">
        <v>139</v>
      </c>
      <c r="AS58" s="74" t="s">
        <v>139</v>
      </c>
      <c r="AT58" s="73" t="s">
        <v>139</v>
      </c>
      <c r="AU58" s="74" t="s">
        <v>139</v>
      </c>
      <c r="AV58" s="73" t="s">
        <v>139</v>
      </c>
      <c r="AW58" s="74" t="s">
        <v>139</v>
      </c>
      <c r="AX58" s="73">
        <v>395387</v>
      </c>
      <c r="AY58" s="74">
        <v>260986</v>
      </c>
      <c r="AZ58" s="73">
        <v>339.27600000000001</v>
      </c>
      <c r="BA58" s="87">
        <v>5357.6660000000002</v>
      </c>
      <c r="BB58" s="83" t="s">
        <v>50</v>
      </c>
      <c r="BC58" s="64"/>
      <c r="BD58" s="64"/>
    </row>
    <row r="59" spans="1:56" x14ac:dyDescent="0.3">
      <c r="A59" s="63" t="str">
        <f>VLOOKUP([1]ListOfRegions!A36,[1]ListOfRegions!A36:B110,2,0)</f>
        <v xml:space="preserve">  Λευκάδας</v>
      </c>
      <c r="B59" s="75">
        <v>9787</v>
      </c>
      <c r="C59" s="74">
        <v>2582</v>
      </c>
      <c r="D59" s="73">
        <v>103.5</v>
      </c>
      <c r="E59" s="74">
        <v>5215</v>
      </c>
      <c r="F59" s="73">
        <v>2190</v>
      </c>
      <c r="G59" s="74">
        <v>93.8</v>
      </c>
      <c r="H59" s="73">
        <v>1340</v>
      </c>
      <c r="I59" s="74">
        <v>460</v>
      </c>
      <c r="J59" s="73">
        <v>26.57</v>
      </c>
      <c r="K59" s="74">
        <v>4900</v>
      </c>
      <c r="L59" s="73">
        <v>1620</v>
      </c>
      <c r="M59" s="74">
        <v>47.6</v>
      </c>
      <c r="N59" s="73">
        <v>900</v>
      </c>
      <c r="O59" s="74">
        <v>20</v>
      </c>
      <c r="P59" s="73">
        <v>9.15</v>
      </c>
      <c r="Q59" s="74" t="s">
        <v>139</v>
      </c>
      <c r="R59" s="73" t="s">
        <v>139</v>
      </c>
      <c r="S59" s="74" t="s">
        <v>139</v>
      </c>
      <c r="T59" s="73">
        <v>845</v>
      </c>
      <c r="U59" s="74">
        <v>590</v>
      </c>
      <c r="V59" s="73">
        <v>11.85</v>
      </c>
      <c r="W59" s="74">
        <v>410</v>
      </c>
      <c r="X59" s="73">
        <v>20</v>
      </c>
      <c r="Y59" s="74">
        <v>3.9</v>
      </c>
      <c r="Z59" s="73">
        <v>300</v>
      </c>
      <c r="AA59" s="74" t="s">
        <v>139</v>
      </c>
      <c r="AB59" s="73">
        <v>4.05</v>
      </c>
      <c r="AC59" s="74">
        <v>100</v>
      </c>
      <c r="AD59" s="73" t="s">
        <v>139</v>
      </c>
      <c r="AE59" s="74">
        <v>0.95</v>
      </c>
      <c r="AF59" s="73">
        <v>1730</v>
      </c>
      <c r="AG59" s="74">
        <v>70</v>
      </c>
      <c r="AH59" s="73">
        <v>17.95</v>
      </c>
      <c r="AI59" s="74" t="s">
        <v>139</v>
      </c>
      <c r="AJ59" s="73" t="s">
        <v>139</v>
      </c>
      <c r="AK59" s="74" t="s">
        <v>139</v>
      </c>
      <c r="AL59" s="73">
        <v>9473</v>
      </c>
      <c r="AM59" s="74">
        <v>2198</v>
      </c>
      <c r="AN59" s="73">
        <v>73.2</v>
      </c>
      <c r="AO59" s="74">
        <v>1428</v>
      </c>
      <c r="AP59" s="73">
        <v>38</v>
      </c>
      <c r="AQ59" s="74">
        <v>14.35</v>
      </c>
      <c r="AR59" s="73" t="s">
        <v>139</v>
      </c>
      <c r="AS59" s="74" t="s">
        <v>139</v>
      </c>
      <c r="AT59" s="73" t="s">
        <v>139</v>
      </c>
      <c r="AU59" s="74" t="s">
        <v>139</v>
      </c>
      <c r="AV59" s="73" t="s">
        <v>139</v>
      </c>
      <c r="AW59" s="74" t="s">
        <v>139</v>
      </c>
      <c r="AX59" s="73">
        <v>708915</v>
      </c>
      <c r="AY59" s="74">
        <v>467378</v>
      </c>
      <c r="AZ59" s="73">
        <v>15.2</v>
      </c>
      <c r="BA59" s="87">
        <v>2649.2649999999999</v>
      </c>
      <c r="BB59" s="83" t="s">
        <v>51</v>
      </c>
      <c r="BC59" s="64"/>
      <c r="BD59" s="64"/>
    </row>
    <row r="60" spans="1:56" x14ac:dyDescent="0.3">
      <c r="A60" s="94" t="s">
        <v>52</v>
      </c>
      <c r="B60" s="95">
        <f t="shared" ref="B60:J60" si="33">SUM(B62:B64)</f>
        <v>368770</v>
      </c>
      <c r="C60" s="89">
        <f t="shared" si="33"/>
        <v>335461</v>
      </c>
      <c r="D60" s="89">
        <f t="shared" si="33"/>
        <v>16845.257999999998</v>
      </c>
      <c r="E60" s="89">
        <f t="shared" si="33"/>
        <v>2860579</v>
      </c>
      <c r="F60" s="89">
        <f t="shared" si="33"/>
        <v>2792468</v>
      </c>
      <c r="G60" s="89">
        <f>SUM(G62:G64)</f>
        <v>148094.25099999999</v>
      </c>
      <c r="H60" s="89">
        <f t="shared" si="33"/>
        <v>739577</v>
      </c>
      <c r="I60" s="89">
        <f t="shared" si="33"/>
        <v>707233</v>
      </c>
      <c r="J60" s="89">
        <f t="shared" si="33"/>
        <v>31473.878000000001</v>
      </c>
      <c r="K60" s="89">
        <f>SUM(K62:K64)</f>
        <v>118159</v>
      </c>
      <c r="L60" s="89">
        <f>SUM(L62:L64)</f>
        <v>32517</v>
      </c>
      <c r="M60" s="89">
        <f>SUM(M62:M64)</f>
        <v>2673.4739999999997</v>
      </c>
      <c r="N60" s="89">
        <f>SUM(N62:N64)</f>
        <v>214161</v>
      </c>
      <c r="O60" s="89">
        <f t="shared" ref="O60:AE60" si="34">SUM(O62:O64)</f>
        <v>37010</v>
      </c>
      <c r="P60" s="89">
        <f t="shared" si="34"/>
        <v>2105.7190000000001</v>
      </c>
      <c r="Q60" s="89">
        <f t="shared" ref="Q60:V60" si="35">SUM(Q62:Q64)</f>
        <v>336745</v>
      </c>
      <c r="R60" s="89">
        <f t="shared" si="35"/>
        <v>334760</v>
      </c>
      <c r="S60" s="89">
        <f t="shared" si="35"/>
        <v>13319.217000000001</v>
      </c>
      <c r="T60" s="89">
        <f t="shared" si="35"/>
        <v>140805</v>
      </c>
      <c r="U60" s="89">
        <f t="shared" si="35"/>
        <v>130790</v>
      </c>
      <c r="V60" s="89">
        <f t="shared" si="35"/>
        <v>5223.2260000000006</v>
      </c>
      <c r="W60" s="89">
        <f t="shared" si="34"/>
        <v>33666</v>
      </c>
      <c r="X60" s="89">
        <f t="shared" si="34"/>
        <v>20973</v>
      </c>
      <c r="Y60" s="89">
        <f t="shared" si="34"/>
        <v>1274.2080000000001</v>
      </c>
      <c r="Z60" s="93">
        <f t="shared" si="34"/>
        <v>21624</v>
      </c>
      <c r="AA60" s="89">
        <f t="shared" si="34"/>
        <v>12430</v>
      </c>
      <c r="AB60" s="89">
        <f t="shared" si="34"/>
        <v>721.40300000000002</v>
      </c>
      <c r="AC60" s="89">
        <f t="shared" si="34"/>
        <v>67384</v>
      </c>
      <c r="AD60" s="89">
        <f t="shared" si="34"/>
        <v>35380</v>
      </c>
      <c r="AE60" s="89">
        <f t="shared" si="34"/>
        <v>1386.806</v>
      </c>
      <c r="AF60" s="89">
        <f>SUM(AF62:AF64)</f>
        <v>31927</v>
      </c>
      <c r="AG60" s="89">
        <f t="shared" ref="AG60:AQ60" si="36">SUM(AG62:AG64)</f>
        <v>3741</v>
      </c>
      <c r="AH60" s="89">
        <f t="shared" si="36"/>
        <v>1153.337</v>
      </c>
      <c r="AI60" s="89">
        <f t="shared" si="36"/>
        <v>325</v>
      </c>
      <c r="AJ60" s="89">
        <f t="shared" si="36"/>
        <v>250</v>
      </c>
      <c r="AK60" s="89">
        <f t="shared" si="36"/>
        <v>6.3900000000000006</v>
      </c>
      <c r="AL60" s="89">
        <f t="shared" si="36"/>
        <v>60770</v>
      </c>
      <c r="AM60" s="89">
        <f t="shared" si="36"/>
        <v>40296</v>
      </c>
      <c r="AN60" s="89">
        <f t="shared" si="36"/>
        <v>1032.9010000000001</v>
      </c>
      <c r="AO60" s="89">
        <f t="shared" si="36"/>
        <v>274354</v>
      </c>
      <c r="AP60" s="89">
        <f t="shared" si="36"/>
        <v>191121</v>
      </c>
      <c r="AQ60" s="89">
        <f t="shared" si="36"/>
        <v>4634.6170000000002</v>
      </c>
      <c r="AR60" s="89">
        <f>SUM(AR62:AR64)</f>
        <v>93251</v>
      </c>
      <c r="AS60" s="89">
        <f t="shared" ref="AS60:BA60" si="37">SUM(AS62:AS64)</f>
        <v>80233</v>
      </c>
      <c r="AT60" s="89">
        <f t="shared" si="37"/>
        <v>2329.8559999999998</v>
      </c>
      <c r="AU60" s="89">
        <f t="shared" si="37"/>
        <v>778</v>
      </c>
      <c r="AV60" s="89">
        <f t="shared" si="37"/>
        <v>730</v>
      </c>
      <c r="AW60" s="89">
        <f t="shared" si="37"/>
        <v>8.2609999999999992</v>
      </c>
      <c r="AX60" s="89">
        <f t="shared" si="37"/>
        <v>19742416</v>
      </c>
      <c r="AY60" s="89">
        <f t="shared" si="37"/>
        <v>18601402</v>
      </c>
      <c r="AZ60" s="89">
        <f t="shared" si="37"/>
        <v>69449.028999999995</v>
      </c>
      <c r="BA60" s="96">
        <f t="shared" si="37"/>
        <v>618068.66500000004</v>
      </c>
      <c r="BB60" s="91" t="s">
        <v>53</v>
      </c>
      <c r="BC60" s="92"/>
      <c r="BD60" s="92"/>
    </row>
    <row r="61" spans="1:56" x14ac:dyDescent="0.3">
      <c r="A61" s="94"/>
      <c r="B61" s="95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93"/>
      <c r="AA61" s="89"/>
      <c r="AB61" s="89"/>
      <c r="AC61" s="89"/>
      <c r="AD61" s="89"/>
      <c r="AE61" s="89"/>
      <c r="AF61" s="89"/>
      <c r="AG61" s="89"/>
      <c r="AH61" s="89"/>
      <c r="AI61" s="89"/>
      <c r="AJ61" s="89"/>
      <c r="AK61" s="89"/>
      <c r="AL61" s="89"/>
      <c r="AM61" s="89"/>
      <c r="AN61" s="89"/>
      <c r="AO61" s="89"/>
      <c r="AP61" s="89"/>
      <c r="AQ61" s="89"/>
      <c r="AR61" s="89"/>
      <c r="AS61" s="89"/>
      <c r="AT61" s="89"/>
      <c r="AU61" s="89"/>
      <c r="AV61" s="89"/>
      <c r="AW61" s="89"/>
      <c r="AX61" s="89"/>
      <c r="AY61" s="89"/>
      <c r="AZ61" s="89"/>
      <c r="BA61" s="96"/>
      <c r="BB61" s="91"/>
      <c r="BC61" s="92"/>
      <c r="BD61" s="92"/>
    </row>
    <row r="62" spans="1:56" x14ac:dyDescent="0.3">
      <c r="A62" s="63" t="str">
        <f>VLOOKUP([1]ListOfRegions!A37,[1]ListOfRegions!A37:B111,2,0)</f>
        <v xml:space="preserve">  Αχαϊας</v>
      </c>
      <c r="B62" s="75">
        <v>224992</v>
      </c>
      <c r="C62" s="74">
        <v>217636</v>
      </c>
      <c r="D62" s="73">
        <v>10408.998</v>
      </c>
      <c r="E62" s="74">
        <v>66846</v>
      </c>
      <c r="F62" s="73">
        <v>50782</v>
      </c>
      <c r="G62" s="74">
        <v>3961.2489999999998</v>
      </c>
      <c r="H62" s="73">
        <v>15079</v>
      </c>
      <c r="I62" s="74">
        <v>7571</v>
      </c>
      <c r="J62" s="73">
        <v>701.09</v>
      </c>
      <c r="K62" s="74">
        <v>48252</v>
      </c>
      <c r="L62" s="73">
        <v>16222</v>
      </c>
      <c r="M62" s="74">
        <v>705.83799999999997</v>
      </c>
      <c r="N62" s="73">
        <v>180399</v>
      </c>
      <c r="O62" s="74">
        <v>19352</v>
      </c>
      <c r="P62" s="73">
        <v>683.85</v>
      </c>
      <c r="Q62" s="74">
        <v>465</v>
      </c>
      <c r="R62" s="73">
        <v>460</v>
      </c>
      <c r="S62" s="74">
        <v>20.526</v>
      </c>
      <c r="T62" s="73">
        <v>34022</v>
      </c>
      <c r="U62" s="74">
        <v>30932</v>
      </c>
      <c r="V62" s="73">
        <v>958.34100000000001</v>
      </c>
      <c r="W62" s="74">
        <v>3186</v>
      </c>
      <c r="X62" s="73">
        <v>3037</v>
      </c>
      <c r="Y62" s="74">
        <v>105.105</v>
      </c>
      <c r="Z62" s="73">
        <v>11641</v>
      </c>
      <c r="AA62" s="74">
        <v>8701</v>
      </c>
      <c r="AB62" s="73">
        <v>355.42700000000002</v>
      </c>
      <c r="AC62" s="74">
        <v>42101</v>
      </c>
      <c r="AD62" s="73">
        <v>21042</v>
      </c>
      <c r="AE62" s="74">
        <v>665.29</v>
      </c>
      <c r="AF62" s="73">
        <v>8011</v>
      </c>
      <c r="AG62" s="74">
        <v>1003</v>
      </c>
      <c r="AH62" s="73">
        <v>288.87599999999998</v>
      </c>
      <c r="AI62" s="74">
        <v>270</v>
      </c>
      <c r="AJ62" s="73">
        <v>250</v>
      </c>
      <c r="AK62" s="74">
        <v>5.04</v>
      </c>
      <c r="AL62" s="73">
        <v>14599</v>
      </c>
      <c r="AM62" s="74">
        <v>7881</v>
      </c>
      <c r="AN62" s="73">
        <v>217.107</v>
      </c>
      <c r="AO62" s="74">
        <v>59394</v>
      </c>
      <c r="AP62" s="73">
        <v>38320</v>
      </c>
      <c r="AQ62" s="74">
        <v>729.11800000000005</v>
      </c>
      <c r="AR62" s="73">
        <v>2687</v>
      </c>
      <c r="AS62" s="74">
        <v>2084</v>
      </c>
      <c r="AT62" s="73">
        <v>66.081999999999994</v>
      </c>
      <c r="AU62" s="74">
        <v>47</v>
      </c>
      <c r="AV62" s="73">
        <v>47</v>
      </c>
      <c r="AW62" s="74">
        <v>0.7</v>
      </c>
      <c r="AX62" s="73">
        <v>4065138</v>
      </c>
      <c r="AY62" s="74">
        <v>3693869</v>
      </c>
      <c r="AZ62" s="73">
        <v>543.75199999999995</v>
      </c>
      <c r="BA62" s="87">
        <v>114205.554</v>
      </c>
      <c r="BB62" s="83" t="s">
        <v>54</v>
      </c>
      <c r="BC62" s="64"/>
      <c r="BD62" s="64"/>
    </row>
    <row r="63" spans="1:56" x14ac:dyDescent="0.3">
      <c r="A63" s="63" t="str">
        <f>VLOOKUP([1]ListOfRegions!A38,[1]ListOfRegions!A38:B112,2,0)</f>
        <v xml:space="preserve">  Αιτωλ/νανίας</v>
      </c>
      <c r="B63" s="75">
        <v>77254</v>
      </c>
      <c r="C63" s="74">
        <v>63544</v>
      </c>
      <c r="D63" s="73">
        <v>2895.337</v>
      </c>
      <c r="E63" s="74">
        <v>1689489</v>
      </c>
      <c r="F63" s="73">
        <v>1661885</v>
      </c>
      <c r="G63" s="74">
        <v>71202.631999999998</v>
      </c>
      <c r="H63" s="73">
        <v>602587</v>
      </c>
      <c r="I63" s="74">
        <v>588584</v>
      </c>
      <c r="J63" s="73">
        <v>24701.24</v>
      </c>
      <c r="K63" s="74">
        <v>61439</v>
      </c>
      <c r="L63" s="73">
        <v>13145</v>
      </c>
      <c r="M63" s="74">
        <v>1635.866</v>
      </c>
      <c r="N63" s="73">
        <v>26574</v>
      </c>
      <c r="O63" s="74">
        <v>13795</v>
      </c>
      <c r="P63" s="73">
        <v>1063.7090000000001</v>
      </c>
      <c r="Q63" s="74">
        <v>330377</v>
      </c>
      <c r="R63" s="73">
        <v>328577</v>
      </c>
      <c r="S63" s="74">
        <v>13014.161</v>
      </c>
      <c r="T63" s="73">
        <v>42875</v>
      </c>
      <c r="U63" s="74">
        <v>42030</v>
      </c>
      <c r="V63" s="73">
        <v>1831.3340000000001</v>
      </c>
      <c r="W63" s="74">
        <v>17293</v>
      </c>
      <c r="X63" s="73">
        <v>9292</v>
      </c>
      <c r="Y63" s="74">
        <v>644</v>
      </c>
      <c r="Z63" s="73">
        <v>5036</v>
      </c>
      <c r="AA63" s="74">
        <v>2883</v>
      </c>
      <c r="AB63" s="73">
        <v>164.131</v>
      </c>
      <c r="AC63" s="74">
        <v>12848</v>
      </c>
      <c r="AD63" s="73">
        <v>5374</v>
      </c>
      <c r="AE63" s="74">
        <v>342.52600000000001</v>
      </c>
      <c r="AF63" s="73">
        <v>13357</v>
      </c>
      <c r="AG63" s="74">
        <v>572</v>
      </c>
      <c r="AH63" s="73">
        <v>439.67099999999999</v>
      </c>
      <c r="AI63" s="74">
        <v>15</v>
      </c>
      <c r="AJ63" s="73" t="s">
        <v>139</v>
      </c>
      <c r="AK63" s="74">
        <v>0.15</v>
      </c>
      <c r="AL63" s="73">
        <v>30652</v>
      </c>
      <c r="AM63" s="74">
        <v>19726</v>
      </c>
      <c r="AN63" s="73">
        <v>553.91700000000003</v>
      </c>
      <c r="AO63" s="74">
        <v>161402</v>
      </c>
      <c r="AP63" s="73">
        <v>105641</v>
      </c>
      <c r="AQ63" s="74">
        <v>1920.4190000000001</v>
      </c>
      <c r="AR63" s="73">
        <v>44625</v>
      </c>
      <c r="AS63" s="74">
        <v>32750</v>
      </c>
      <c r="AT63" s="73">
        <v>1224.789</v>
      </c>
      <c r="AU63" s="74">
        <v>181</v>
      </c>
      <c r="AV63" s="73">
        <v>133</v>
      </c>
      <c r="AW63" s="74">
        <v>3.7109999999999999</v>
      </c>
      <c r="AX63" s="73">
        <v>7524735</v>
      </c>
      <c r="AY63" s="74">
        <v>6898271</v>
      </c>
      <c r="AZ63" s="73">
        <v>64995.142</v>
      </c>
      <c r="BA63" s="87">
        <v>68944.137000000002</v>
      </c>
      <c r="BB63" s="83" t="s">
        <v>55</v>
      </c>
      <c r="BC63" s="64"/>
      <c r="BD63" s="64"/>
    </row>
    <row r="64" spans="1:56" x14ac:dyDescent="0.3">
      <c r="A64" s="63" t="str">
        <f>VLOOKUP([1]ListOfRegions!A39,[1]ListOfRegions!A39:B113,2,0)</f>
        <v xml:space="preserve">  Ηλείας</v>
      </c>
      <c r="B64" s="75">
        <v>66524</v>
      </c>
      <c r="C64" s="74">
        <v>54281</v>
      </c>
      <c r="D64" s="73">
        <v>3540.9229999999998</v>
      </c>
      <c r="E64" s="74">
        <v>1104244</v>
      </c>
      <c r="F64" s="73">
        <v>1079801</v>
      </c>
      <c r="G64" s="74">
        <v>72930.37</v>
      </c>
      <c r="H64" s="73">
        <v>121911</v>
      </c>
      <c r="I64" s="74">
        <v>111078</v>
      </c>
      <c r="J64" s="73">
        <v>6071.5479999999998</v>
      </c>
      <c r="K64" s="74">
        <v>8468</v>
      </c>
      <c r="L64" s="73">
        <v>3150</v>
      </c>
      <c r="M64" s="74">
        <v>331.77</v>
      </c>
      <c r="N64" s="73">
        <v>7188</v>
      </c>
      <c r="O64" s="74">
        <v>3863</v>
      </c>
      <c r="P64" s="73">
        <v>358.16</v>
      </c>
      <c r="Q64" s="74">
        <v>5903</v>
      </c>
      <c r="R64" s="73">
        <v>5723</v>
      </c>
      <c r="S64" s="74">
        <v>284.52999999999997</v>
      </c>
      <c r="T64" s="73">
        <v>63908</v>
      </c>
      <c r="U64" s="74">
        <v>57828</v>
      </c>
      <c r="V64" s="73">
        <v>2433.5509999999999</v>
      </c>
      <c r="W64" s="74">
        <v>13187</v>
      </c>
      <c r="X64" s="73">
        <v>8644</v>
      </c>
      <c r="Y64" s="74">
        <v>525.10299999999995</v>
      </c>
      <c r="Z64" s="73">
        <v>4947</v>
      </c>
      <c r="AA64" s="74">
        <v>846</v>
      </c>
      <c r="AB64" s="73">
        <v>201.845</v>
      </c>
      <c r="AC64" s="74">
        <v>12435</v>
      </c>
      <c r="AD64" s="73">
        <v>8964</v>
      </c>
      <c r="AE64" s="74">
        <v>378.99</v>
      </c>
      <c r="AF64" s="73">
        <v>10559</v>
      </c>
      <c r="AG64" s="74">
        <v>2166</v>
      </c>
      <c r="AH64" s="73">
        <v>424.79</v>
      </c>
      <c r="AI64" s="74">
        <v>40</v>
      </c>
      <c r="AJ64" s="73" t="s">
        <v>139</v>
      </c>
      <c r="AK64" s="74">
        <v>1.2</v>
      </c>
      <c r="AL64" s="73">
        <v>15519</v>
      </c>
      <c r="AM64" s="74">
        <v>12689</v>
      </c>
      <c r="AN64" s="73">
        <v>261.87700000000001</v>
      </c>
      <c r="AO64" s="74">
        <v>53558</v>
      </c>
      <c r="AP64" s="73">
        <v>47160</v>
      </c>
      <c r="AQ64" s="74">
        <v>1985.08</v>
      </c>
      <c r="AR64" s="73">
        <v>45939</v>
      </c>
      <c r="AS64" s="74">
        <v>45399</v>
      </c>
      <c r="AT64" s="73">
        <v>1038.9849999999999</v>
      </c>
      <c r="AU64" s="74">
        <v>550</v>
      </c>
      <c r="AV64" s="73">
        <v>550</v>
      </c>
      <c r="AW64" s="74">
        <v>3.85</v>
      </c>
      <c r="AX64" s="73">
        <v>8152543</v>
      </c>
      <c r="AY64" s="74">
        <v>8009262</v>
      </c>
      <c r="AZ64" s="73">
        <v>3910.1350000000002</v>
      </c>
      <c r="BA64" s="87">
        <v>434918.97399999999</v>
      </c>
      <c r="BB64" s="83" t="s">
        <v>56</v>
      </c>
      <c r="BC64" s="64"/>
      <c r="BD64" s="64"/>
    </row>
    <row r="65" spans="1:56" x14ac:dyDescent="0.3">
      <c r="A65" s="94" t="s">
        <v>57</v>
      </c>
      <c r="B65" s="95">
        <f t="shared" ref="B65:J65" si="38">SUM(B67:B71)</f>
        <v>530301</v>
      </c>
      <c r="C65" s="89">
        <f t="shared" si="38"/>
        <v>516087</v>
      </c>
      <c r="D65" s="89">
        <f t="shared" si="38"/>
        <v>20500.213</v>
      </c>
      <c r="E65" s="89">
        <f t="shared" si="38"/>
        <v>8256093</v>
      </c>
      <c r="F65" s="89">
        <f t="shared" si="38"/>
        <v>8233839</v>
      </c>
      <c r="G65" s="89">
        <f>SUM(G67:G71)</f>
        <v>430763.46400000004</v>
      </c>
      <c r="H65" s="89">
        <f t="shared" si="38"/>
        <v>1854481</v>
      </c>
      <c r="I65" s="89">
        <f t="shared" si="38"/>
        <v>1845353</v>
      </c>
      <c r="J65" s="89">
        <f t="shared" si="38"/>
        <v>87012.563999999998</v>
      </c>
      <c r="K65" s="89">
        <f>SUM(K67:K71)</f>
        <v>223410</v>
      </c>
      <c r="L65" s="89">
        <f>SUM(L67:L71)</f>
        <v>200421</v>
      </c>
      <c r="M65" s="89">
        <f>SUM(M67:M71)</f>
        <v>7220.3059999999996</v>
      </c>
      <c r="N65" s="89">
        <f>SUM(N67:N71)</f>
        <v>605188</v>
      </c>
      <c r="O65" s="89">
        <f t="shared" ref="O65:AE65" si="39">SUM(O67:O71)</f>
        <v>602427</v>
      </c>
      <c r="P65" s="89">
        <f t="shared" si="39"/>
        <v>16278.121000000001</v>
      </c>
      <c r="Q65" s="89">
        <f t="shared" ref="Q65:V65" si="40">SUM(Q67:Q71)</f>
        <v>1106</v>
      </c>
      <c r="R65" s="89">
        <f t="shared" si="40"/>
        <v>1021</v>
      </c>
      <c r="S65" s="89">
        <f t="shared" si="40"/>
        <v>47.01</v>
      </c>
      <c r="T65" s="89">
        <f t="shared" si="40"/>
        <v>241164</v>
      </c>
      <c r="U65" s="89">
        <f t="shared" si="40"/>
        <v>231668</v>
      </c>
      <c r="V65" s="89">
        <f t="shared" si="40"/>
        <v>9567.8030000000017</v>
      </c>
      <c r="W65" s="89">
        <f t="shared" si="39"/>
        <v>227159</v>
      </c>
      <c r="X65" s="89">
        <f t="shared" si="39"/>
        <v>220931</v>
      </c>
      <c r="Y65" s="89">
        <f t="shared" si="39"/>
        <v>9178.6470000000008</v>
      </c>
      <c r="Z65" s="93">
        <f t="shared" si="39"/>
        <v>1209796</v>
      </c>
      <c r="AA65" s="89">
        <f t="shared" si="39"/>
        <v>1206643</v>
      </c>
      <c r="AB65" s="89">
        <f t="shared" si="39"/>
        <v>50632.857999999993</v>
      </c>
      <c r="AC65" s="89">
        <f t="shared" si="39"/>
        <v>104273</v>
      </c>
      <c r="AD65" s="89">
        <f t="shared" si="39"/>
        <v>100805</v>
      </c>
      <c r="AE65" s="89">
        <f t="shared" si="39"/>
        <v>2761.2659999999996</v>
      </c>
      <c r="AF65" s="89">
        <f>SUM(AF67:AF71)</f>
        <v>58696</v>
      </c>
      <c r="AG65" s="89">
        <f t="shared" ref="AG65:AQ65" si="41">SUM(AG67:AG71)</f>
        <v>32348</v>
      </c>
      <c r="AH65" s="89">
        <f t="shared" si="41"/>
        <v>2363.54</v>
      </c>
      <c r="AI65" s="89">
        <f t="shared" si="41"/>
        <v>287759</v>
      </c>
      <c r="AJ65" s="89">
        <f t="shared" si="41"/>
        <v>282703</v>
      </c>
      <c r="AK65" s="89">
        <f t="shared" si="41"/>
        <v>7334.3720000000003</v>
      </c>
      <c r="AL65" s="89">
        <f t="shared" si="41"/>
        <v>95026</v>
      </c>
      <c r="AM65" s="89">
        <f t="shared" si="41"/>
        <v>88518</v>
      </c>
      <c r="AN65" s="89">
        <f t="shared" si="41"/>
        <v>1133.0610000000001</v>
      </c>
      <c r="AO65" s="89">
        <f t="shared" si="41"/>
        <v>340532</v>
      </c>
      <c r="AP65" s="89">
        <f t="shared" si="41"/>
        <v>322025</v>
      </c>
      <c r="AQ65" s="89">
        <f t="shared" si="41"/>
        <v>5191.2539999999999</v>
      </c>
      <c r="AR65" s="89">
        <f>SUM(AR67:AR71)</f>
        <v>151738</v>
      </c>
      <c r="AS65" s="89">
        <f t="shared" ref="AS65:BA65" si="42">SUM(AS67:AS71)</f>
        <v>145787</v>
      </c>
      <c r="AT65" s="89">
        <f t="shared" si="42"/>
        <v>2667.14</v>
      </c>
      <c r="AU65" s="89">
        <f t="shared" si="42"/>
        <v>13360</v>
      </c>
      <c r="AV65" s="89">
        <f t="shared" si="42"/>
        <v>13332</v>
      </c>
      <c r="AW65" s="89">
        <f t="shared" si="42"/>
        <v>221.03099999999998</v>
      </c>
      <c r="AX65" s="89">
        <f t="shared" si="42"/>
        <v>38686722</v>
      </c>
      <c r="AY65" s="89">
        <f t="shared" si="42"/>
        <v>38452843</v>
      </c>
      <c r="AZ65" s="89">
        <f t="shared" si="42"/>
        <v>64785.720999999998</v>
      </c>
      <c r="BA65" s="96">
        <f t="shared" si="42"/>
        <v>845459.72699999996</v>
      </c>
      <c r="BB65" s="91" t="s">
        <v>58</v>
      </c>
      <c r="BC65" s="92"/>
      <c r="BD65" s="92"/>
    </row>
    <row r="66" spans="1:56" x14ac:dyDescent="0.3">
      <c r="A66" s="94"/>
      <c r="B66" s="95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93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89"/>
      <c r="AL66" s="89"/>
      <c r="AM66" s="89"/>
      <c r="AN66" s="89"/>
      <c r="AO66" s="89"/>
      <c r="AP66" s="89"/>
      <c r="AQ66" s="89"/>
      <c r="AR66" s="89"/>
      <c r="AS66" s="89"/>
      <c r="AT66" s="89"/>
      <c r="AU66" s="89"/>
      <c r="AV66" s="89"/>
      <c r="AW66" s="89"/>
      <c r="AX66" s="89"/>
      <c r="AY66" s="89"/>
      <c r="AZ66" s="89"/>
      <c r="BA66" s="96"/>
      <c r="BB66" s="91"/>
      <c r="BC66" s="92"/>
      <c r="BD66" s="92"/>
    </row>
    <row r="67" spans="1:56" x14ac:dyDescent="0.3">
      <c r="A67" s="63" t="str">
        <f>VLOOKUP([1]ListOfRegions!A40,[1]ListOfRegions!A40:B114,2,0)</f>
        <v xml:space="preserve">  Αρκαδίας</v>
      </c>
      <c r="B67" s="75">
        <v>7856</v>
      </c>
      <c r="C67" s="74">
        <v>6671</v>
      </c>
      <c r="D67" s="73">
        <v>332.35500000000002</v>
      </c>
      <c r="E67" s="74">
        <v>21634</v>
      </c>
      <c r="F67" s="73">
        <v>20384</v>
      </c>
      <c r="G67" s="74">
        <v>1216.6300000000001</v>
      </c>
      <c r="H67" s="73">
        <v>12074</v>
      </c>
      <c r="I67" s="74">
        <v>11394</v>
      </c>
      <c r="J67" s="73">
        <v>685.61</v>
      </c>
      <c r="K67" s="74">
        <v>67598</v>
      </c>
      <c r="L67" s="73">
        <v>65202</v>
      </c>
      <c r="M67" s="74">
        <v>1726.242</v>
      </c>
      <c r="N67" s="73">
        <v>363572</v>
      </c>
      <c r="O67" s="74">
        <v>362635</v>
      </c>
      <c r="P67" s="73">
        <v>9076.3590000000004</v>
      </c>
      <c r="Q67" s="74">
        <v>534</v>
      </c>
      <c r="R67" s="73">
        <v>474</v>
      </c>
      <c r="S67" s="74">
        <v>15.5</v>
      </c>
      <c r="T67" s="73">
        <v>11913</v>
      </c>
      <c r="U67" s="74">
        <v>11715</v>
      </c>
      <c r="V67" s="73">
        <v>208.88</v>
      </c>
      <c r="W67" s="74">
        <v>6898</v>
      </c>
      <c r="X67" s="73">
        <v>6699</v>
      </c>
      <c r="Y67" s="74">
        <v>232.55</v>
      </c>
      <c r="Z67" s="73">
        <v>76545</v>
      </c>
      <c r="AA67" s="74">
        <v>76293</v>
      </c>
      <c r="AB67" s="73">
        <v>1921.6849999999999</v>
      </c>
      <c r="AC67" s="74">
        <v>65510</v>
      </c>
      <c r="AD67" s="73">
        <v>62920</v>
      </c>
      <c r="AE67" s="74">
        <v>1394.81</v>
      </c>
      <c r="AF67" s="73">
        <v>2358</v>
      </c>
      <c r="AG67" s="74">
        <v>1221</v>
      </c>
      <c r="AH67" s="73">
        <v>34.520000000000003</v>
      </c>
      <c r="AI67" s="74">
        <v>3604</v>
      </c>
      <c r="AJ67" s="73">
        <v>3604</v>
      </c>
      <c r="AK67" s="74">
        <v>38.46</v>
      </c>
      <c r="AL67" s="73">
        <v>37322</v>
      </c>
      <c r="AM67" s="74">
        <v>35239</v>
      </c>
      <c r="AN67" s="73">
        <v>284.036</v>
      </c>
      <c r="AO67" s="74">
        <v>163524</v>
      </c>
      <c r="AP67" s="73">
        <v>151892</v>
      </c>
      <c r="AQ67" s="74">
        <v>1677.7380000000001</v>
      </c>
      <c r="AR67" s="73">
        <v>115023</v>
      </c>
      <c r="AS67" s="74">
        <v>110335</v>
      </c>
      <c r="AT67" s="73">
        <v>1751.47</v>
      </c>
      <c r="AU67" s="74">
        <v>15</v>
      </c>
      <c r="AV67" s="73" t="s">
        <v>139</v>
      </c>
      <c r="AW67" s="74">
        <v>0.24</v>
      </c>
      <c r="AX67" s="73">
        <v>2081906</v>
      </c>
      <c r="AY67" s="74">
        <v>2034185</v>
      </c>
      <c r="AZ67" s="73">
        <v>4424.5339999999997</v>
      </c>
      <c r="BA67" s="87">
        <v>29249.147000000001</v>
      </c>
      <c r="BB67" s="83" t="s">
        <v>59</v>
      </c>
      <c r="BC67" s="64"/>
      <c r="BD67" s="64"/>
    </row>
    <row r="68" spans="1:56" x14ac:dyDescent="0.3">
      <c r="A68" s="63" t="str">
        <f>VLOOKUP([1]ListOfRegions!A41,[1]ListOfRegions!A41:B115,2,0)</f>
        <v xml:space="preserve">  Αργολίδας</v>
      </c>
      <c r="B68" s="75">
        <v>101395</v>
      </c>
      <c r="C68" s="74">
        <v>99789</v>
      </c>
      <c r="D68" s="73">
        <v>4706.8040000000001</v>
      </c>
      <c r="E68" s="74">
        <v>4409032</v>
      </c>
      <c r="F68" s="73">
        <v>4406455</v>
      </c>
      <c r="G68" s="74">
        <v>237559.10800000001</v>
      </c>
      <c r="H68" s="73">
        <v>1220025</v>
      </c>
      <c r="I68" s="74">
        <v>1218146</v>
      </c>
      <c r="J68" s="73">
        <v>63353.324999999997</v>
      </c>
      <c r="K68" s="74">
        <v>37109</v>
      </c>
      <c r="L68" s="73">
        <v>35551</v>
      </c>
      <c r="M68" s="74">
        <v>1504.922</v>
      </c>
      <c r="N68" s="73">
        <v>21360</v>
      </c>
      <c r="O68" s="74">
        <v>21290</v>
      </c>
      <c r="P68" s="73">
        <v>711.4</v>
      </c>
      <c r="Q68" s="74" t="s">
        <v>139</v>
      </c>
      <c r="R68" s="73" t="s">
        <v>139</v>
      </c>
      <c r="S68" s="74" t="s">
        <v>139</v>
      </c>
      <c r="T68" s="73">
        <v>130265</v>
      </c>
      <c r="U68" s="74">
        <v>128288</v>
      </c>
      <c r="V68" s="73">
        <v>4621.9390000000003</v>
      </c>
      <c r="W68" s="74">
        <v>150022</v>
      </c>
      <c r="X68" s="73">
        <v>148230</v>
      </c>
      <c r="Y68" s="74">
        <v>6151.6409999999996</v>
      </c>
      <c r="Z68" s="73">
        <v>685618</v>
      </c>
      <c r="AA68" s="74">
        <v>685218</v>
      </c>
      <c r="AB68" s="73">
        <v>33195.661999999997</v>
      </c>
      <c r="AC68" s="74">
        <v>737</v>
      </c>
      <c r="AD68" s="73">
        <v>702</v>
      </c>
      <c r="AE68" s="74">
        <v>12.84</v>
      </c>
      <c r="AF68" s="73">
        <v>5836</v>
      </c>
      <c r="AG68" s="74">
        <v>4029</v>
      </c>
      <c r="AH68" s="73">
        <v>247.42500000000001</v>
      </c>
      <c r="AI68" s="74">
        <v>62</v>
      </c>
      <c r="AJ68" s="73">
        <v>62</v>
      </c>
      <c r="AK68" s="74">
        <v>1.8320000000000001</v>
      </c>
      <c r="AL68" s="73">
        <v>8679</v>
      </c>
      <c r="AM68" s="74">
        <v>7578</v>
      </c>
      <c r="AN68" s="73">
        <v>143.08099999999999</v>
      </c>
      <c r="AO68" s="74">
        <v>6589</v>
      </c>
      <c r="AP68" s="73">
        <v>6351</v>
      </c>
      <c r="AQ68" s="74">
        <v>192.02500000000001</v>
      </c>
      <c r="AR68" s="73">
        <v>525</v>
      </c>
      <c r="AS68" s="74">
        <v>525</v>
      </c>
      <c r="AT68" s="73">
        <v>16.64</v>
      </c>
      <c r="AU68" s="74">
        <v>7018</v>
      </c>
      <c r="AV68" s="73">
        <v>7013</v>
      </c>
      <c r="AW68" s="74">
        <v>124.6</v>
      </c>
      <c r="AX68" s="73">
        <v>4302416</v>
      </c>
      <c r="AY68" s="74">
        <v>4296658</v>
      </c>
      <c r="AZ68" s="73">
        <v>1045.8399999999999</v>
      </c>
      <c r="BA68" s="87">
        <v>81789.626999999993</v>
      </c>
      <c r="BB68" s="83" t="s">
        <v>60</v>
      </c>
      <c r="BC68" s="64"/>
      <c r="BD68" s="64"/>
    </row>
    <row r="69" spans="1:56" x14ac:dyDescent="0.3">
      <c r="A69" s="63" t="str">
        <f>VLOOKUP([1]ListOfRegions!A42,[1]ListOfRegions!A42:B116,2,0)</f>
        <v xml:space="preserve">  Κορινθίας</v>
      </c>
      <c r="B69" s="75">
        <v>335047</v>
      </c>
      <c r="C69" s="74">
        <v>334817</v>
      </c>
      <c r="D69" s="73">
        <v>11498.145</v>
      </c>
      <c r="E69" s="74">
        <v>183821</v>
      </c>
      <c r="F69" s="73">
        <v>183596</v>
      </c>
      <c r="G69" s="74">
        <v>10055.788</v>
      </c>
      <c r="H69" s="73">
        <v>46781</v>
      </c>
      <c r="I69" s="74">
        <v>46769</v>
      </c>
      <c r="J69" s="73">
        <v>1481.4670000000001</v>
      </c>
      <c r="K69" s="74">
        <v>96102</v>
      </c>
      <c r="L69" s="73">
        <v>96102</v>
      </c>
      <c r="M69" s="74">
        <v>3276.6419999999998</v>
      </c>
      <c r="N69" s="73">
        <v>210771</v>
      </c>
      <c r="O69" s="74">
        <v>210771</v>
      </c>
      <c r="P69" s="73">
        <v>6150.6949999999997</v>
      </c>
      <c r="Q69" s="74">
        <v>520</v>
      </c>
      <c r="R69" s="73">
        <v>520</v>
      </c>
      <c r="S69" s="74">
        <v>30</v>
      </c>
      <c r="T69" s="73">
        <v>11706</v>
      </c>
      <c r="U69" s="74">
        <v>11706</v>
      </c>
      <c r="V69" s="73">
        <v>337.65</v>
      </c>
      <c r="W69" s="74">
        <v>45150</v>
      </c>
      <c r="X69" s="73">
        <v>45150</v>
      </c>
      <c r="Y69" s="74">
        <v>2036.479</v>
      </c>
      <c r="Z69" s="73">
        <v>438237</v>
      </c>
      <c r="AA69" s="74">
        <v>438237</v>
      </c>
      <c r="AB69" s="73">
        <v>15249.099</v>
      </c>
      <c r="AC69" s="74">
        <v>32707</v>
      </c>
      <c r="AD69" s="73">
        <v>32707</v>
      </c>
      <c r="AE69" s="74">
        <v>1225.8050000000001</v>
      </c>
      <c r="AF69" s="73">
        <v>12867</v>
      </c>
      <c r="AG69" s="74">
        <v>12867</v>
      </c>
      <c r="AH69" s="73">
        <v>404.733</v>
      </c>
      <c r="AI69" s="74">
        <v>60</v>
      </c>
      <c r="AJ69" s="73">
        <v>60</v>
      </c>
      <c r="AK69" s="74">
        <v>1.5</v>
      </c>
      <c r="AL69" s="73">
        <v>26992</v>
      </c>
      <c r="AM69" s="74">
        <v>26715</v>
      </c>
      <c r="AN69" s="73">
        <v>355.04500000000002</v>
      </c>
      <c r="AO69" s="74">
        <v>108370</v>
      </c>
      <c r="AP69" s="73">
        <v>107954</v>
      </c>
      <c r="AQ69" s="74">
        <v>1803.191</v>
      </c>
      <c r="AR69" s="73">
        <v>4787</v>
      </c>
      <c r="AS69" s="74">
        <v>4787</v>
      </c>
      <c r="AT69" s="73">
        <v>74.58</v>
      </c>
      <c r="AU69" s="74">
        <v>5686</v>
      </c>
      <c r="AV69" s="73">
        <v>5686</v>
      </c>
      <c r="AW69" s="74">
        <v>86.19</v>
      </c>
      <c r="AX69" s="73">
        <v>3754501</v>
      </c>
      <c r="AY69" s="74">
        <v>3751048</v>
      </c>
      <c r="AZ69" s="73">
        <v>838.45100000000002</v>
      </c>
      <c r="BA69" s="87">
        <v>49972.815000000002</v>
      </c>
      <c r="BB69" s="83" t="s">
        <v>61</v>
      </c>
      <c r="BC69" s="64"/>
      <c r="BD69" s="64"/>
    </row>
    <row r="70" spans="1:56" x14ac:dyDescent="0.3">
      <c r="A70" s="63" t="str">
        <f>VLOOKUP([1]ListOfRegions!A43,[1]ListOfRegions!A43:B117,2,0)</f>
        <v xml:space="preserve">  Λακωνίας</v>
      </c>
      <c r="B70" s="75">
        <v>66272</v>
      </c>
      <c r="C70" s="74">
        <v>65193</v>
      </c>
      <c r="D70" s="73">
        <v>3065.85</v>
      </c>
      <c r="E70" s="74">
        <v>3571282</v>
      </c>
      <c r="F70" s="73">
        <v>3568475</v>
      </c>
      <c r="G70" s="74">
        <v>178740.13200000001</v>
      </c>
      <c r="H70" s="73">
        <v>564272</v>
      </c>
      <c r="I70" s="74">
        <v>562152</v>
      </c>
      <c r="J70" s="73">
        <v>21033.968000000001</v>
      </c>
      <c r="K70" s="74">
        <v>7853</v>
      </c>
      <c r="L70" s="73">
        <v>1695</v>
      </c>
      <c r="M70" s="74">
        <v>283.94</v>
      </c>
      <c r="N70" s="73">
        <v>2362</v>
      </c>
      <c r="O70" s="74">
        <v>2282</v>
      </c>
      <c r="P70" s="73">
        <v>65.87</v>
      </c>
      <c r="Q70" s="74" t="s">
        <v>139</v>
      </c>
      <c r="R70" s="73" t="s">
        <v>139</v>
      </c>
      <c r="S70" s="74" t="s">
        <v>139</v>
      </c>
      <c r="T70" s="73">
        <v>67555</v>
      </c>
      <c r="U70" s="74">
        <v>67417</v>
      </c>
      <c r="V70" s="73">
        <v>3666.482</v>
      </c>
      <c r="W70" s="74">
        <v>18520</v>
      </c>
      <c r="X70" s="73">
        <v>18483</v>
      </c>
      <c r="Y70" s="74">
        <v>510.76</v>
      </c>
      <c r="Z70" s="73">
        <v>6215</v>
      </c>
      <c r="AA70" s="74">
        <v>6199</v>
      </c>
      <c r="AB70" s="73">
        <v>161.893</v>
      </c>
      <c r="AC70" s="74">
        <v>2455</v>
      </c>
      <c r="AD70" s="73">
        <v>2376</v>
      </c>
      <c r="AE70" s="74">
        <v>31.16</v>
      </c>
      <c r="AF70" s="73">
        <v>16996</v>
      </c>
      <c r="AG70" s="74">
        <v>11223</v>
      </c>
      <c r="AH70" s="73">
        <v>847.46699999999998</v>
      </c>
      <c r="AI70" s="74">
        <v>57919</v>
      </c>
      <c r="AJ70" s="73">
        <v>57169</v>
      </c>
      <c r="AK70" s="74">
        <v>1721.989</v>
      </c>
      <c r="AL70" s="73">
        <v>14924</v>
      </c>
      <c r="AM70" s="74">
        <v>14707</v>
      </c>
      <c r="AN70" s="73">
        <v>210.76300000000001</v>
      </c>
      <c r="AO70" s="74">
        <v>37011</v>
      </c>
      <c r="AP70" s="73">
        <v>36092</v>
      </c>
      <c r="AQ70" s="74">
        <v>724.43100000000004</v>
      </c>
      <c r="AR70" s="73">
        <v>28356</v>
      </c>
      <c r="AS70" s="74">
        <v>27667</v>
      </c>
      <c r="AT70" s="73">
        <v>742.125</v>
      </c>
      <c r="AU70" s="74">
        <v>433</v>
      </c>
      <c r="AV70" s="73">
        <v>433</v>
      </c>
      <c r="AW70" s="74">
        <v>9.9</v>
      </c>
      <c r="AX70" s="73">
        <v>14174540</v>
      </c>
      <c r="AY70" s="74">
        <v>14105561</v>
      </c>
      <c r="AZ70" s="73">
        <v>50577.531999999999</v>
      </c>
      <c r="BA70" s="87">
        <v>143287.28</v>
      </c>
      <c r="BB70" s="83" t="s">
        <v>62</v>
      </c>
      <c r="BC70" s="64"/>
      <c r="BD70" s="64"/>
    </row>
    <row r="71" spans="1:56" x14ac:dyDescent="0.3">
      <c r="A71" s="63" t="str">
        <f>VLOOKUP([1]ListOfRegions!A44,[1]ListOfRegions!A44:B118,2,0)</f>
        <v xml:space="preserve">  Μεσσηνίας</v>
      </c>
      <c r="B71" s="75">
        <v>19731</v>
      </c>
      <c r="C71" s="74">
        <v>9617</v>
      </c>
      <c r="D71" s="73">
        <v>897.05899999999997</v>
      </c>
      <c r="E71" s="74">
        <v>70324</v>
      </c>
      <c r="F71" s="73">
        <v>54929</v>
      </c>
      <c r="G71" s="74">
        <v>3191.806</v>
      </c>
      <c r="H71" s="73">
        <v>11329</v>
      </c>
      <c r="I71" s="74">
        <v>6892</v>
      </c>
      <c r="J71" s="73">
        <v>458.19400000000002</v>
      </c>
      <c r="K71" s="74">
        <v>14748</v>
      </c>
      <c r="L71" s="73">
        <v>1871</v>
      </c>
      <c r="M71" s="74">
        <v>428.56</v>
      </c>
      <c r="N71" s="73">
        <v>7123</v>
      </c>
      <c r="O71" s="74">
        <v>5449</v>
      </c>
      <c r="P71" s="73">
        <v>273.79700000000003</v>
      </c>
      <c r="Q71" s="74">
        <v>52</v>
      </c>
      <c r="R71" s="73">
        <v>27</v>
      </c>
      <c r="S71" s="74">
        <v>1.51</v>
      </c>
      <c r="T71" s="73">
        <v>19725</v>
      </c>
      <c r="U71" s="74">
        <v>12542</v>
      </c>
      <c r="V71" s="73">
        <v>732.85199999999998</v>
      </c>
      <c r="W71" s="74">
        <v>6569</v>
      </c>
      <c r="X71" s="73">
        <v>2369</v>
      </c>
      <c r="Y71" s="74">
        <v>247.21700000000001</v>
      </c>
      <c r="Z71" s="73">
        <v>3181</v>
      </c>
      <c r="AA71" s="74">
        <v>696</v>
      </c>
      <c r="AB71" s="73">
        <v>104.51900000000001</v>
      </c>
      <c r="AC71" s="74">
        <v>2864</v>
      </c>
      <c r="AD71" s="73">
        <v>2100</v>
      </c>
      <c r="AE71" s="74">
        <v>96.650999999999996</v>
      </c>
      <c r="AF71" s="73">
        <v>20639</v>
      </c>
      <c r="AG71" s="74">
        <v>3008</v>
      </c>
      <c r="AH71" s="73">
        <v>829.39499999999998</v>
      </c>
      <c r="AI71" s="74">
        <v>226114</v>
      </c>
      <c r="AJ71" s="73">
        <v>221808</v>
      </c>
      <c r="AK71" s="74">
        <v>5570.5910000000003</v>
      </c>
      <c r="AL71" s="73">
        <v>7109</v>
      </c>
      <c r="AM71" s="74">
        <v>4279</v>
      </c>
      <c r="AN71" s="73">
        <v>140.136</v>
      </c>
      <c r="AO71" s="74">
        <v>25038</v>
      </c>
      <c r="AP71" s="73">
        <v>19736</v>
      </c>
      <c r="AQ71" s="74">
        <v>793.86900000000003</v>
      </c>
      <c r="AR71" s="73">
        <v>3047</v>
      </c>
      <c r="AS71" s="74">
        <v>2473</v>
      </c>
      <c r="AT71" s="73">
        <v>82.325000000000003</v>
      </c>
      <c r="AU71" s="74">
        <v>208</v>
      </c>
      <c r="AV71" s="73">
        <v>200</v>
      </c>
      <c r="AW71" s="74">
        <v>0.10100000000000001</v>
      </c>
      <c r="AX71" s="73">
        <v>14373359</v>
      </c>
      <c r="AY71" s="74">
        <v>14265391</v>
      </c>
      <c r="AZ71" s="73">
        <v>7899.3639999999996</v>
      </c>
      <c r="BA71" s="87">
        <v>541160.85800000001</v>
      </c>
      <c r="BB71" s="83" t="s">
        <v>63</v>
      </c>
      <c r="BC71" s="64"/>
      <c r="BD71" s="64"/>
    </row>
    <row r="72" spans="1:56" x14ac:dyDescent="0.3">
      <c r="A72" s="94" t="s">
        <v>64</v>
      </c>
      <c r="B72" s="95">
        <f t="shared" ref="B72:I72" si="43">SUM(B74:B81)</f>
        <v>42279</v>
      </c>
      <c r="C72" s="89">
        <f t="shared" si="43"/>
        <v>41673</v>
      </c>
      <c r="D72" s="89">
        <f t="shared" si="43"/>
        <v>1920.4769999999999</v>
      </c>
      <c r="E72" s="89">
        <f>SUM(E74:E81)</f>
        <v>19907</v>
      </c>
      <c r="F72" s="89">
        <f>SUM(F74:F81)</f>
        <v>19871</v>
      </c>
      <c r="G72" s="89">
        <f>SUM(G74:G81)</f>
        <v>1100.76</v>
      </c>
      <c r="H72" s="89">
        <f t="shared" si="43"/>
        <v>18100</v>
      </c>
      <c r="I72" s="89">
        <f t="shared" si="43"/>
        <v>18058</v>
      </c>
      <c r="J72" s="89">
        <f>SUM(J74:J81)</f>
        <v>1030.3800000000001</v>
      </c>
      <c r="K72" s="89">
        <f>SUM(K74:K81)</f>
        <v>5352</v>
      </c>
      <c r="L72" s="89">
        <f>SUM(L74:L81)</f>
        <v>5342</v>
      </c>
      <c r="M72" s="89">
        <f>SUM(M74:M81)</f>
        <v>224.60499999999999</v>
      </c>
      <c r="N72" s="89">
        <f>SUM(N74:N81)</f>
        <v>4354</v>
      </c>
      <c r="O72" s="89">
        <f t="shared" ref="O72:AE72" si="44">SUM(O74:O81)</f>
        <v>4331</v>
      </c>
      <c r="P72" s="89">
        <f t="shared" si="44"/>
        <v>99.631</v>
      </c>
      <c r="Q72" s="89">
        <f t="shared" ref="Q72:V72" si="45">SUM(Q74:Q81)</f>
        <v>0</v>
      </c>
      <c r="R72" s="89">
        <f t="shared" si="45"/>
        <v>0</v>
      </c>
      <c r="S72" s="89">
        <f t="shared" si="45"/>
        <v>0</v>
      </c>
      <c r="T72" s="89">
        <f t="shared" si="45"/>
        <v>14916</v>
      </c>
      <c r="U72" s="89">
        <f t="shared" si="45"/>
        <v>14883</v>
      </c>
      <c r="V72" s="89">
        <f t="shared" si="45"/>
        <v>646.58600000000001</v>
      </c>
      <c r="W72" s="89">
        <f t="shared" si="44"/>
        <v>1766</v>
      </c>
      <c r="X72" s="89">
        <f t="shared" si="44"/>
        <v>1756</v>
      </c>
      <c r="Y72" s="89">
        <f t="shared" si="44"/>
        <v>53.15</v>
      </c>
      <c r="Z72" s="93">
        <f t="shared" si="44"/>
        <v>1887</v>
      </c>
      <c r="AA72" s="89">
        <f t="shared" si="44"/>
        <v>1829</v>
      </c>
      <c r="AB72" s="89">
        <f t="shared" si="44"/>
        <v>76.956000000000003</v>
      </c>
      <c r="AC72" s="89">
        <f t="shared" si="44"/>
        <v>3854</v>
      </c>
      <c r="AD72" s="89">
        <f t="shared" si="44"/>
        <v>3834</v>
      </c>
      <c r="AE72" s="89">
        <f t="shared" si="44"/>
        <v>80.152000000000001</v>
      </c>
      <c r="AF72" s="89">
        <f>SUM(AF74:AF81)</f>
        <v>16561</v>
      </c>
      <c r="AG72" s="89">
        <f t="shared" ref="AG72:AQ72" si="46">SUM(AG74:AG81)</f>
        <v>16536</v>
      </c>
      <c r="AH72" s="89">
        <f t="shared" si="46"/>
        <v>1095.2959999999998</v>
      </c>
      <c r="AI72" s="89">
        <f t="shared" si="46"/>
        <v>461</v>
      </c>
      <c r="AJ72" s="89">
        <f t="shared" si="46"/>
        <v>461</v>
      </c>
      <c r="AK72" s="89">
        <f t="shared" si="46"/>
        <v>6.7839999999999998</v>
      </c>
      <c r="AL72" s="89">
        <f t="shared" si="46"/>
        <v>13438</v>
      </c>
      <c r="AM72" s="89">
        <f t="shared" si="46"/>
        <v>13374</v>
      </c>
      <c r="AN72" s="89">
        <f t="shared" si="46"/>
        <v>271.03300000000002</v>
      </c>
      <c r="AO72" s="89">
        <f t="shared" si="46"/>
        <v>3584</v>
      </c>
      <c r="AP72" s="89">
        <f t="shared" si="46"/>
        <v>3559</v>
      </c>
      <c r="AQ72" s="89">
        <f t="shared" si="46"/>
        <v>81.16</v>
      </c>
      <c r="AR72" s="131">
        <f>SUM(AR74:AR81)</f>
        <v>2143</v>
      </c>
      <c r="AS72" s="131">
        <f t="shared" ref="AS72:BA72" si="47">SUM(AS74:AS81)</f>
        <v>2143</v>
      </c>
      <c r="AT72" s="131">
        <f t="shared" si="47"/>
        <v>93.199999999999989</v>
      </c>
      <c r="AU72" s="131">
        <f t="shared" si="47"/>
        <v>158106</v>
      </c>
      <c r="AV72" s="131">
        <f t="shared" si="47"/>
        <v>158106</v>
      </c>
      <c r="AW72" s="131">
        <f t="shared" si="47"/>
        <v>3266.4119999999998</v>
      </c>
      <c r="AX72" s="131">
        <f t="shared" si="47"/>
        <v>1636541</v>
      </c>
      <c r="AY72" s="131">
        <f t="shared" si="47"/>
        <v>1502336</v>
      </c>
      <c r="AZ72" s="131">
        <f t="shared" si="47"/>
        <v>1049.223</v>
      </c>
      <c r="BA72" s="132">
        <f t="shared" si="47"/>
        <v>53609.421000000002</v>
      </c>
      <c r="BB72" s="91" t="s">
        <v>65</v>
      </c>
      <c r="BC72" s="92"/>
      <c r="BD72" s="92"/>
    </row>
    <row r="73" spans="1:56" x14ac:dyDescent="0.3">
      <c r="A73" s="94"/>
      <c r="B73" s="95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93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89"/>
      <c r="AM73" s="89"/>
      <c r="AN73" s="89"/>
      <c r="AO73" s="89"/>
      <c r="AP73" s="89"/>
      <c r="AQ73" s="89"/>
      <c r="AR73" s="89"/>
      <c r="AS73" s="89"/>
      <c r="AT73" s="89"/>
      <c r="AU73" s="89"/>
      <c r="AV73" s="89"/>
      <c r="AW73" s="89"/>
      <c r="AX73" s="89"/>
      <c r="AY73" s="89"/>
      <c r="AZ73" s="89"/>
      <c r="BA73" s="96"/>
      <c r="BB73" s="91"/>
      <c r="BC73" s="92"/>
      <c r="BD73" s="92"/>
    </row>
    <row r="74" spans="1:56" x14ac:dyDescent="0.3">
      <c r="A74" s="69" t="s">
        <v>66</v>
      </c>
      <c r="B74" s="75" t="s">
        <v>139</v>
      </c>
      <c r="C74" s="74" t="s">
        <v>139</v>
      </c>
      <c r="D74" s="73" t="s">
        <v>139</v>
      </c>
      <c r="E74" s="74" t="s">
        <v>139</v>
      </c>
      <c r="F74" s="73" t="s">
        <v>139</v>
      </c>
      <c r="G74" s="74" t="s">
        <v>139</v>
      </c>
      <c r="H74" s="73" t="s">
        <v>139</v>
      </c>
      <c r="I74" s="74" t="s">
        <v>139</v>
      </c>
      <c r="J74" s="73" t="s">
        <v>139</v>
      </c>
      <c r="K74" s="74" t="s">
        <v>139</v>
      </c>
      <c r="L74" s="73" t="s">
        <v>139</v>
      </c>
      <c r="M74" s="74" t="s">
        <v>139</v>
      </c>
      <c r="N74" s="73" t="s">
        <v>139</v>
      </c>
      <c r="O74" s="74" t="s">
        <v>139</v>
      </c>
      <c r="P74" s="73" t="s">
        <v>139</v>
      </c>
      <c r="Q74" s="74" t="s">
        <v>139</v>
      </c>
      <c r="R74" s="73" t="s">
        <v>139</v>
      </c>
      <c r="S74" s="74" t="s">
        <v>139</v>
      </c>
      <c r="T74" s="73" t="s">
        <v>139</v>
      </c>
      <c r="U74" s="74" t="s">
        <v>139</v>
      </c>
      <c r="V74" s="73" t="s">
        <v>139</v>
      </c>
      <c r="W74" s="74" t="s">
        <v>139</v>
      </c>
      <c r="X74" s="73" t="s">
        <v>139</v>
      </c>
      <c r="Y74" s="74" t="s">
        <v>139</v>
      </c>
      <c r="Z74" s="73" t="s">
        <v>139</v>
      </c>
      <c r="AA74" s="74" t="s">
        <v>139</v>
      </c>
      <c r="AB74" s="73" t="s">
        <v>139</v>
      </c>
      <c r="AC74" s="74" t="s">
        <v>139</v>
      </c>
      <c r="AD74" s="73" t="s">
        <v>139</v>
      </c>
      <c r="AE74" s="74" t="s">
        <v>139</v>
      </c>
      <c r="AF74" s="73" t="s">
        <v>139</v>
      </c>
      <c r="AG74" s="74" t="s">
        <v>139</v>
      </c>
      <c r="AH74" s="73" t="s">
        <v>139</v>
      </c>
      <c r="AI74" s="74" t="s">
        <v>139</v>
      </c>
      <c r="AJ74" s="73" t="s">
        <v>139</v>
      </c>
      <c r="AK74" s="74" t="s">
        <v>139</v>
      </c>
      <c r="AL74" s="73" t="s">
        <v>139</v>
      </c>
      <c r="AM74" s="74" t="s">
        <v>139</v>
      </c>
      <c r="AN74" s="73" t="s">
        <v>139</v>
      </c>
      <c r="AO74" s="74" t="s">
        <v>139</v>
      </c>
      <c r="AP74" s="73" t="s">
        <v>139</v>
      </c>
      <c r="AQ74" s="74" t="s">
        <v>139</v>
      </c>
      <c r="AR74" s="73" t="s">
        <v>139</v>
      </c>
      <c r="AS74" s="74" t="s">
        <v>139</v>
      </c>
      <c r="AT74" s="73" t="s">
        <v>139</v>
      </c>
      <c r="AU74" s="74" t="s">
        <v>139</v>
      </c>
      <c r="AV74" s="73" t="s">
        <v>139</v>
      </c>
      <c r="AW74" s="74" t="s">
        <v>139</v>
      </c>
      <c r="AX74" s="73" t="s">
        <v>139</v>
      </c>
      <c r="AY74" s="74" t="s">
        <v>139</v>
      </c>
      <c r="AZ74" s="73" t="s">
        <v>139</v>
      </c>
      <c r="BA74" s="87" t="s">
        <v>139</v>
      </c>
      <c r="BB74" s="83" t="s">
        <v>67</v>
      </c>
      <c r="BC74" s="64"/>
      <c r="BD74" s="64"/>
    </row>
    <row r="75" spans="1:56" x14ac:dyDescent="0.3">
      <c r="A75" s="69" t="s">
        <v>68</v>
      </c>
      <c r="B75" s="75" t="s">
        <v>139</v>
      </c>
      <c r="C75" s="74" t="s">
        <v>139</v>
      </c>
      <c r="D75" s="73" t="s">
        <v>139</v>
      </c>
      <c r="E75" s="74" t="s">
        <v>139</v>
      </c>
      <c r="F75" s="73" t="s">
        <v>139</v>
      </c>
      <c r="G75" s="74" t="s">
        <v>139</v>
      </c>
      <c r="H75" s="73" t="s">
        <v>139</v>
      </c>
      <c r="I75" s="74" t="s">
        <v>139</v>
      </c>
      <c r="J75" s="73" t="s">
        <v>139</v>
      </c>
      <c r="K75" s="74">
        <v>180</v>
      </c>
      <c r="L75" s="73">
        <v>180</v>
      </c>
      <c r="M75" s="74">
        <v>5.4</v>
      </c>
      <c r="N75" s="73" t="s">
        <v>139</v>
      </c>
      <c r="O75" s="74" t="s">
        <v>139</v>
      </c>
      <c r="P75" s="73" t="s">
        <v>139</v>
      </c>
      <c r="Q75" s="74" t="s">
        <v>139</v>
      </c>
      <c r="R75" s="73" t="s">
        <v>139</v>
      </c>
      <c r="S75" s="74" t="s">
        <v>139</v>
      </c>
      <c r="T75" s="73" t="s">
        <v>139</v>
      </c>
      <c r="U75" s="74" t="s">
        <v>139</v>
      </c>
      <c r="V75" s="73" t="s">
        <v>139</v>
      </c>
      <c r="W75" s="74" t="s">
        <v>139</v>
      </c>
      <c r="X75" s="73" t="s">
        <v>139</v>
      </c>
      <c r="Y75" s="74" t="s">
        <v>139</v>
      </c>
      <c r="Z75" s="73" t="s">
        <v>139</v>
      </c>
      <c r="AA75" s="74" t="s">
        <v>139</v>
      </c>
      <c r="AB75" s="73" t="s">
        <v>139</v>
      </c>
      <c r="AC75" s="74" t="s">
        <v>139</v>
      </c>
      <c r="AD75" s="73" t="s">
        <v>139</v>
      </c>
      <c r="AE75" s="74" t="s">
        <v>139</v>
      </c>
      <c r="AF75" s="73" t="s">
        <v>139</v>
      </c>
      <c r="AG75" s="74" t="s">
        <v>139</v>
      </c>
      <c r="AH75" s="73" t="s">
        <v>139</v>
      </c>
      <c r="AI75" s="74" t="s">
        <v>139</v>
      </c>
      <c r="AJ75" s="73" t="s">
        <v>139</v>
      </c>
      <c r="AK75" s="74" t="s">
        <v>139</v>
      </c>
      <c r="AL75" s="73">
        <v>20</v>
      </c>
      <c r="AM75" s="74">
        <v>20</v>
      </c>
      <c r="AN75" s="73">
        <v>0.1</v>
      </c>
      <c r="AO75" s="74">
        <v>24</v>
      </c>
      <c r="AP75" s="73">
        <v>24</v>
      </c>
      <c r="AQ75" s="74">
        <v>0.72</v>
      </c>
      <c r="AR75" s="73" t="s">
        <v>139</v>
      </c>
      <c r="AS75" s="74" t="s">
        <v>139</v>
      </c>
      <c r="AT75" s="73" t="s">
        <v>139</v>
      </c>
      <c r="AU75" s="74" t="s">
        <v>139</v>
      </c>
      <c r="AV75" s="73" t="s">
        <v>139</v>
      </c>
      <c r="AW75" s="74" t="s">
        <v>139</v>
      </c>
      <c r="AX75" s="73">
        <v>709</v>
      </c>
      <c r="AY75" s="74">
        <v>709</v>
      </c>
      <c r="AZ75" s="73" t="s">
        <v>139</v>
      </c>
      <c r="BA75" s="87">
        <v>8.57</v>
      </c>
      <c r="BB75" s="83" t="s">
        <v>69</v>
      </c>
      <c r="BC75" s="64"/>
      <c r="BD75" s="64"/>
    </row>
    <row r="76" spans="1:56" x14ac:dyDescent="0.3">
      <c r="A76" s="69" t="s">
        <v>70</v>
      </c>
      <c r="B76" s="75">
        <v>595</v>
      </c>
      <c r="C76" s="74" t="s">
        <v>139</v>
      </c>
      <c r="D76" s="73">
        <v>30</v>
      </c>
      <c r="E76" s="74">
        <v>20</v>
      </c>
      <c r="F76" s="73" t="s">
        <v>139</v>
      </c>
      <c r="G76" s="74">
        <v>1.2</v>
      </c>
      <c r="H76" s="73">
        <v>25</v>
      </c>
      <c r="I76" s="74" t="s">
        <v>139</v>
      </c>
      <c r="J76" s="73">
        <v>1</v>
      </c>
      <c r="K76" s="74">
        <v>10</v>
      </c>
      <c r="L76" s="73" t="s">
        <v>139</v>
      </c>
      <c r="M76" s="74">
        <v>0.3</v>
      </c>
      <c r="N76" s="73">
        <v>3</v>
      </c>
      <c r="O76" s="74" t="s">
        <v>139</v>
      </c>
      <c r="P76" s="73">
        <v>0.18</v>
      </c>
      <c r="Q76" s="74" t="s">
        <v>139</v>
      </c>
      <c r="R76" s="73" t="s">
        <v>139</v>
      </c>
      <c r="S76" s="74" t="s">
        <v>139</v>
      </c>
      <c r="T76" s="73">
        <v>28</v>
      </c>
      <c r="U76" s="74" t="s">
        <v>139</v>
      </c>
      <c r="V76" s="73">
        <v>1.68</v>
      </c>
      <c r="W76" s="74">
        <v>10</v>
      </c>
      <c r="X76" s="73" t="s">
        <v>139</v>
      </c>
      <c r="Y76" s="74">
        <v>0.3</v>
      </c>
      <c r="Z76" s="73">
        <v>55</v>
      </c>
      <c r="AA76" s="74" t="s">
        <v>139</v>
      </c>
      <c r="AB76" s="73">
        <v>1.1000000000000001</v>
      </c>
      <c r="AC76" s="74">
        <v>4</v>
      </c>
      <c r="AD76" s="73" t="s">
        <v>139</v>
      </c>
      <c r="AE76" s="74">
        <v>0.12</v>
      </c>
      <c r="AF76" s="73">
        <v>25</v>
      </c>
      <c r="AG76" s="74" t="s">
        <v>139</v>
      </c>
      <c r="AH76" s="73">
        <v>2.5</v>
      </c>
      <c r="AI76" s="74" t="s">
        <v>139</v>
      </c>
      <c r="AJ76" s="73" t="s">
        <v>139</v>
      </c>
      <c r="AK76" s="74" t="s">
        <v>139</v>
      </c>
      <c r="AL76" s="73">
        <v>155</v>
      </c>
      <c r="AM76" s="74">
        <v>140</v>
      </c>
      <c r="AN76" s="73">
        <v>3.1</v>
      </c>
      <c r="AO76" s="74">
        <v>13</v>
      </c>
      <c r="AP76" s="73" t="s">
        <v>139</v>
      </c>
      <c r="AQ76" s="74">
        <v>0.52</v>
      </c>
      <c r="AR76" s="73" t="s">
        <v>139</v>
      </c>
      <c r="AS76" s="74" t="s">
        <v>139</v>
      </c>
      <c r="AT76" s="73" t="s">
        <v>139</v>
      </c>
      <c r="AU76" s="74">
        <v>1925</v>
      </c>
      <c r="AV76" s="73">
        <v>1925</v>
      </c>
      <c r="AW76" s="74">
        <v>38.5</v>
      </c>
      <c r="AX76" s="73">
        <v>2068</v>
      </c>
      <c r="AY76" s="74">
        <v>288</v>
      </c>
      <c r="AZ76" s="73" t="s">
        <v>139</v>
      </c>
      <c r="BA76" s="87">
        <v>5.41</v>
      </c>
      <c r="BB76" s="83" t="s">
        <v>71</v>
      </c>
      <c r="BC76" s="64"/>
      <c r="BD76" s="64"/>
    </row>
    <row r="77" spans="1:56" x14ac:dyDescent="0.3">
      <c r="A77" s="69" t="s">
        <v>72</v>
      </c>
      <c r="B77" s="75" t="s">
        <v>139</v>
      </c>
      <c r="C77" s="74" t="s">
        <v>139</v>
      </c>
      <c r="D77" s="73" t="s">
        <v>139</v>
      </c>
      <c r="E77" s="74" t="s">
        <v>139</v>
      </c>
      <c r="F77" s="73" t="s">
        <v>139</v>
      </c>
      <c r="G77" s="74" t="s">
        <v>139</v>
      </c>
      <c r="H77" s="73" t="s">
        <v>139</v>
      </c>
      <c r="I77" s="74" t="s">
        <v>139</v>
      </c>
      <c r="J77" s="73" t="s">
        <v>139</v>
      </c>
      <c r="K77" s="74" t="s">
        <v>139</v>
      </c>
      <c r="L77" s="73" t="s">
        <v>139</v>
      </c>
      <c r="M77" s="74" t="s">
        <v>139</v>
      </c>
      <c r="N77" s="73" t="s">
        <v>139</v>
      </c>
      <c r="O77" s="74" t="s">
        <v>139</v>
      </c>
      <c r="P77" s="73" t="s">
        <v>139</v>
      </c>
      <c r="Q77" s="74" t="s">
        <v>139</v>
      </c>
      <c r="R77" s="73" t="s">
        <v>139</v>
      </c>
      <c r="S77" s="74" t="s">
        <v>139</v>
      </c>
      <c r="T77" s="73" t="s">
        <v>139</v>
      </c>
      <c r="U77" s="74" t="s">
        <v>139</v>
      </c>
      <c r="V77" s="73" t="s">
        <v>139</v>
      </c>
      <c r="W77" s="74" t="s">
        <v>139</v>
      </c>
      <c r="X77" s="73" t="s">
        <v>139</v>
      </c>
      <c r="Y77" s="74" t="s">
        <v>139</v>
      </c>
      <c r="Z77" s="73" t="s">
        <v>139</v>
      </c>
      <c r="AA77" s="74" t="s">
        <v>139</v>
      </c>
      <c r="AB77" s="73" t="s">
        <v>139</v>
      </c>
      <c r="AC77" s="74" t="s">
        <v>139</v>
      </c>
      <c r="AD77" s="73" t="s">
        <v>139</v>
      </c>
      <c r="AE77" s="74" t="s">
        <v>139</v>
      </c>
      <c r="AF77" s="73" t="s">
        <v>139</v>
      </c>
      <c r="AG77" s="74" t="s">
        <v>139</v>
      </c>
      <c r="AH77" s="73" t="s">
        <v>139</v>
      </c>
      <c r="AI77" s="74" t="s">
        <v>139</v>
      </c>
      <c r="AJ77" s="73" t="s">
        <v>139</v>
      </c>
      <c r="AK77" s="74" t="s">
        <v>139</v>
      </c>
      <c r="AL77" s="73" t="s">
        <v>139</v>
      </c>
      <c r="AM77" s="74" t="s">
        <v>139</v>
      </c>
      <c r="AN77" s="73" t="s">
        <v>139</v>
      </c>
      <c r="AO77" s="74" t="s">
        <v>139</v>
      </c>
      <c r="AP77" s="73" t="s">
        <v>139</v>
      </c>
      <c r="AQ77" s="74" t="s">
        <v>139</v>
      </c>
      <c r="AR77" s="73" t="s">
        <v>139</v>
      </c>
      <c r="AS77" s="74" t="s">
        <v>139</v>
      </c>
      <c r="AT77" s="73" t="s">
        <v>139</v>
      </c>
      <c r="AU77" s="74" t="s">
        <v>139</v>
      </c>
      <c r="AV77" s="73" t="s">
        <v>139</v>
      </c>
      <c r="AW77" s="74" t="s">
        <v>139</v>
      </c>
      <c r="AX77" s="73" t="s">
        <v>139</v>
      </c>
      <c r="AY77" s="74" t="s">
        <v>139</v>
      </c>
      <c r="AZ77" s="73" t="s">
        <v>139</v>
      </c>
      <c r="BA77" s="87" t="s">
        <v>139</v>
      </c>
      <c r="BB77" s="83" t="s">
        <v>73</v>
      </c>
      <c r="BC77" s="64"/>
      <c r="BD77" s="64"/>
    </row>
    <row r="78" spans="1:56" x14ac:dyDescent="0.3">
      <c r="A78" s="69" t="s">
        <v>74</v>
      </c>
      <c r="B78" s="75">
        <v>1925</v>
      </c>
      <c r="C78" s="74">
        <v>1914</v>
      </c>
      <c r="D78" s="73">
        <v>86.543000000000006</v>
      </c>
      <c r="E78" s="74">
        <v>2401</v>
      </c>
      <c r="F78" s="73">
        <v>2385</v>
      </c>
      <c r="G78" s="74">
        <v>152.666</v>
      </c>
      <c r="H78" s="73">
        <v>1210</v>
      </c>
      <c r="I78" s="74">
        <v>1193</v>
      </c>
      <c r="J78" s="73">
        <v>63.643000000000001</v>
      </c>
      <c r="K78" s="74">
        <v>3902</v>
      </c>
      <c r="L78" s="73">
        <v>3902</v>
      </c>
      <c r="M78" s="74">
        <v>179.505</v>
      </c>
      <c r="N78" s="73">
        <v>671</v>
      </c>
      <c r="O78" s="74">
        <v>651</v>
      </c>
      <c r="P78" s="73">
        <v>14.601000000000001</v>
      </c>
      <c r="Q78" s="74" t="s">
        <v>139</v>
      </c>
      <c r="R78" s="73" t="s">
        <v>139</v>
      </c>
      <c r="S78" s="74" t="s">
        <v>139</v>
      </c>
      <c r="T78" s="73">
        <v>8123</v>
      </c>
      <c r="U78" s="74">
        <v>8118</v>
      </c>
      <c r="V78" s="73">
        <v>408.32</v>
      </c>
      <c r="W78" s="74">
        <v>261</v>
      </c>
      <c r="X78" s="73">
        <v>261</v>
      </c>
      <c r="Y78" s="74">
        <v>10.85</v>
      </c>
      <c r="Z78" s="73">
        <v>265</v>
      </c>
      <c r="AA78" s="74">
        <v>262</v>
      </c>
      <c r="AB78" s="73">
        <v>7.4550000000000001</v>
      </c>
      <c r="AC78" s="74">
        <v>2950</v>
      </c>
      <c r="AD78" s="73">
        <v>2934</v>
      </c>
      <c r="AE78" s="74">
        <v>69.031999999999996</v>
      </c>
      <c r="AF78" s="73">
        <v>14022</v>
      </c>
      <c r="AG78" s="74">
        <v>14022</v>
      </c>
      <c r="AH78" s="73">
        <v>979.69600000000003</v>
      </c>
      <c r="AI78" s="74">
        <v>461</v>
      </c>
      <c r="AJ78" s="73">
        <v>461</v>
      </c>
      <c r="AK78" s="74">
        <v>6.7839999999999998</v>
      </c>
      <c r="AL78" s="73">
        <v>6773</v>
      </c>
      <c r="AM78" s="74">
        <v>6724</v>
      </c>
      <c r="AN78" s="73">
        <v>68.033000000000001</v>
      </c>
      <c r="AO78" s="74">
        <v>1817</v>
      </c>
      <c r="AP78" s="73">
        <v>1805</v>
      </c>
      <c r="AQ78" s="74">
        <v>36.22</v>
      </c>
      <c r="AR78" s="73">
        <v>703</v>
      </c>
      <c r="AS78" s="74">
        <v>703</v>
      </c>
      <c r="AT78" s="73">
        <v>17.100000000000001</v>
      </c>
      <c r="AU78" s="74">
        <v>99547</v>
      </c>
      <c r="AV78" s="73">
        <v>99547</v>
      </c>
      <c r="AW78" s="74">
        <v>2432.9119999999998</v>
      </c>
      <c r="AX78" s="73">
        <v>460957</v>
      </c>
      <c r="AY78" s="74">
        <v>445408</v>
      </c>
      <c r="AZ78" s="73">
        <v>633.63300000000004</v>
      </c>
      <c r="BA78" s="87">
        <v>12041.314</v>
      </c>
      <c r="BB78" s="83" t="s">
        <v>75</v>
      </c>
      <c r="BC78" s="64"/>
      <c r="BD78" s="64"/>
    </row>
    <row r="79" spans="1:56" x14ac:dyDescent="0.3">
      <c r="A79" s="69" t="s">
        <v>76</v>
      </c>
      <c r="B79" s="75">
        <v>780</v>
      </c>
      <c r="C79" s="74">
        <v>780</v>
      </c>
      <c r="D79" s="73">
        <v>28</v>
      </c>
      <c r="E79" s="74">
        <v>940</v>
      </c>
      <c r="F79" s="73">
        <v>940</v>
      </c>
      <c r="G79" s="74">
        <v>29.7</v>
      </c>
      <c r="H79" s="73">
        <v>570</v>
      </c>
      <c r="I79" s="74">
        <v>570</v>
      </c>
      <c r="J79" s="73">
        <v>21.3</v>
      </c>
      <c r="K79" s="74">
        <v>1230</v>
      </c>
      <c r="L79" s="73">
        <v>1230</v>
      </c>
      <c r="M79" s="74">
        <v>38.9</v>
      </c>
      <c r="N79" s="73">
        <v>3600</v>
      </c>
      <c r="O79" s="74">
        <v>3600</v>
      </c>
      <c r="P79" s="73">
        <v>84</v>
      </c>
      <c r="Q79" s="74" t="s">
        <v>139</v>
      </c>
      <c r="R79" s="73" t="s">
        <v>139</v>
      </c>
      <c r="S79" s="74" t="s">
        <v>139</v>
      </c>
      <c r="T79" s="73">
        <v>1940</v>
      </c>
      <c r="U79" s="74">
        <v>1940</v>
      </c>
      <c r="V79" s="73">
        <v>100.6</v>
      </c>
      <c r="W79" s="74">
        <v>1495</v>
      </c>
      <c r="X79" s="73">
        <v>1495</v>
      </c>
      <c r="Y79" s="74">
        <v>42</v>
      </c>
      <c r="Z79" s="73">
        <v>720</v>
      </c>
      <c r="AA79" s="74">
        <v>720</v>
      </c>
      <c r="AB79" s="73">
        <v>20.2</v>
      </c>
      <c r="AC79" s="74">
        <v>900</v>
      </c>
      <c r="AD79" s="73">
        <v>900</v>
      </c>
      <c r="AE79" s="74">
        <v>11</v>
      </c>
      <c r="AF79" s="73">
        <v>2490</v>
      </c>
      <c r="AG79" s="74">
        <v>2490</v>
      </c>
      <c r="AH79" s="73">
        <v>113</v>
      </c>
      <c r="AI79" s="74" t="s">
        <v>139</v>
      </c>
      <c r="AJ79" s="73" t="s">
        <v>139</v>
      </c>
      <c r="AK79" s="74" t="s">
        <v>139</v>
      </c>
      <c r="AL79" s="73">
        <v>5320</v>
      </c>
      <c r="AM79" s="74">
        <v>5320</v>
      </c>
      <c r="AN79" s="73">
        <v>182.8</v>
      </c>
      <c r="AO79" s="74">
        <v>1580</v>
      </c>
      <c r="AP79" s="73">
        <v>1580</v>
      </c>
      <c r="AQ79" s="74">
        <v>41.9</v>
      </c>
      <c r="AR79" s="73" t="s">
        <v>139</v>
      </c>
      <c r="AS79" s="74" t="s">
        <v>139</v>
      </c>
      <c r="AT79" s="73" t="s">
        <v>139</v>
      </c>
      <c r="AU79" s="74">
        <v>43999</v>
      </c>
      <c r="AV79" s="73">
        <v>43999</v>
      </c>
      <c r="AW79" s="74">
        <v>618.4</v>
      </c>
      <c r="AX79" s="73">
        <v>317371</v>
      </c>
      <c r="AY79" s="74">
        <v>315371</v>
      </c>
      <c r="AZ79" s="73">
        <v>345.59</v>
      </c>
      <c r="BA79" s="87">
        <v>5890.5349999999999</v>
      </c>
      <c r="BB79" s="83" t="s">
        <v>77</v>
      </c>
      <c r="BC79" s="64"/>
      <c r="BD79" s="64"/>
    </row>
    <row r="80" spans="1:56" x14ac:dyDescent="0.3">
      <c r="A80" s="69" t="s">
        <v>78</v>
      </c>
      <c r="B80" s="75" t="s">
        <v>139</v>
      </c>
      <c r="C80" s="74" t="s">
        <v>139</v>
      </c>
      <c r="D80" s="73" t="s">
        <v>139</v>
      </c>
      <c r="E80" s="74" t="s">
        <v>139</v>
      </c>
      <c r="F80" s="73" t="s">
        <v>139</v>
      </c>
      <c r="G80" s="74" t="s">
        <v>139</v>
      </c>
      <c r="H80" s="73" t="s">
        <v>139</v>
      </c>
      <c r="I80" s="74" t="s">
        <v>139</v>
      </c>
      <c r="J80" s="73" t="s">
        <v>139</v>
      </c>
      <c r="K80" s="74" t="s">
        <v>139</v>
      </c>
      <c r="L80" s="73" t="s">
        <v>139</v>
      </c>
      <c r="M80" s="74" t="s">
        <v>139</v>
      </c>
      <c r="N80" s="73" t="s">
        <v>139</v>
      </c>
      <c r="O80" s="74" t="s">
        <v>139</v>
      </c>
      <c r="P80" s="73" t="s">
        <v>139</v>
      </c>
      <c r="Q80" s="74" t="s">
        <v>139</v>
      </c>
      <c r="R80" s="73" t="s">
        <v>139</v>
      </c>
      <c r="S80" s="74" t="s">
        <v>139</v>
      </c>
      <c r="T80" s="73" t="s">
        <v>139</v>
      </c>
      <c r="U80" s="74" t="s">
        <v>139</v>
      </c>
      <c r="V80" s="73" t="s">
        <v>139</v>
      </c>
      <c r="W80" s="74" t="s">
        <v>139</v>
      </c>
      <c r="X80" s="73" t="s">
        <v>139</v>
      </c>
      <c r="Y80" s="74" t="s">
        <v>139</v>
      </c>
      <c r="Z80" s="73" t="s">
        <v>139</v>
      </c>
      <c r="AA80" s="74" t="s">
        <v>139</v>
      </c>
      <c r="AB80" s="73" t="s">
        <v>139</v>
      </c>
      <c r="AC80" s="74" t="s">
        <v>139</v>
      </c>
      <c r="AD80" s="73" t="s">
        <v>139</v>
      </c>
      <c r="AE80" s="74" t="s">
        <v>139</v>
      </c>
      <c r="AF80" s="73" t="s">
        <v>139</v>
      </c>
      <c r="AG80" s="74" t="s">
        <v>139</v>
      </c>
      <c r="AH80" s="73" t="s">
        <v>139</v>
      </c>
      <c r="AI80" s="74" t="s">
        <v>139</v>
      </c>
      <c r="AJ80" s="73" t="s">
        <v>139</v>
      </c>
      <c r="AK80" s="74" t="s">
        <v>139</v>
      </c>
      <c r="AL80" s="73" t="s">
        <v>139</v>
      </c>
      <c r="AM80" s="74" t="s">
        <v>139</v>
      </c>
      <c r="AN80" s="73" t="s">
        <v>139</v>
      </c>
      <c r="AO80" s="74" t="s">
        <v>139</v>
      </c>
      <c r="AP80" s="73" t="s">
        <v>139</v>
      </c>
      <c r="AQ80" s="74" t="s">
        <v>139</v>
      </c>
      <c r="AR80" s="73" t="s">
        <v>139</v>
      </c>
      <c r="AS80" s="74" t="s">
        <v>139</v>
      </c>
      <c r="AT80" s="73" t="s">
        <v>139</v>
      </c>
      <c r="AU80" s="74" t="s">
        <v>139</v>
      </c>
      <c r="AV80" s="73" t="s">
        <v>139</v>
      </c>
      <c r="AW80" s="74" t="s">
        <v>139</v>
      </c>
      <c r="AX80" s="73">
        <v>10</v>
      </c>
      <c r="AY80" s="74">
        <v>10</v>
      </c>
      <c r="AZ80" s="73" t="s">
        <v>139</v>
      </c>
      <c r="BA80" s="87">
        <v>1E-3</v>
      </c>
      <c r="BB80" s="83" t="s">
        <v>79</v>
      </c>
      <c r="BC80" s="64"/>
      <c r="BD80" s="64"/>
    </row>
    <row r="81" spans="1:56" x14ac:dyDescent="0.3">
      <c r="A81" s="69" t="s">
        <v>80</v>
      </c>
      <c r="B81" s="75">
        <v>38979</v>
      </c>
      <c r="C81" s="74">
        <v>38979</v>
      </c>
      <c r="D81" s="73">
        <v>1775.934</v>
      </c>
      <c r="E81" s="74">
        <v>16546</v>
      </c>
      <c r="F81" s="73">
        <v>16546</v>
      </c>
      <c r="G81" s="74">
        <v>917.19399999999996</v>
      </c>
      <c r="H81" s="73">
        <v>16295</v>
      </c>
      <c r="I81" s="74">
        <v>16295</v>
      </c>
      <c r="J81" s="73">
        <v>944.43700000000001</v>
      </c>
      <c r="K81" s="74">
        <v>30</v>
      </c>
      <c r="L81" s="73">
        <v>30</v>
      </c>
      <c r="M81" s="74">
        <v>0.5</v>
      </c>
      <c r="N81" s="73">
        <v>80</v>
      </c>
      <c r="O81" s="74">
        <v>80</v>
      </c>
      <c r="P81" s="73">
        <v>0.85</v>
      </c>
      <c r="Q81" s="74" t="s">
        <v>139</v>
      </c>
      <c r="R81" s="73" t="s">
        <v>139</v>
      </c>
      <c r="S81" s="74" t="s">
        <v>139</v>
      </c>
      <c r="T81" s="73">
        <v>4825</v>
      </c>
      <c r="U81" s="74">
        <v>4825</v>
      </c>
      <c r="V81" s="73">
        <v>135.98599999999999</v>
      </c>
      <c r="W81" s="74" t="s">
        <v>139</v>
      </c>
      <c r="X81" s="73" t="s">
        <v>139</v>
      </c>
      <c r="Y81" s="74" t="s">
        <v>139</v>
      </c>
      <c r="Z81" s="73">
        <v>847</v>
      </c>
      <c r="AA81" s="74">
        <v>847</v>
      </c>
      <c r="AB81" s="73">
        <v>48.201000000000001</v>
      </c>
      <c r="AC81" s="74" t="s">
        <v>139</v>
      </c>
      <c r="AD81" s="73" t="s">
        <v>139</v>
      </c>
      <c r="AE81" s="74" t="s">
        <v>139</v>
      </c>
      <c r="AF81" s="73">
        <v>24</v>
      </c>
      <c r="AG81" s="74">
        <v>24</v>
      </c>
      <c r="AH81" s="73">
        <v>0.1</v>
      </c>
      <c r="AI81" s="74" t="s">
        <v>139</v>
      </c>
      <c r="AJ81" s="73" t="s">
        <v>139</v>
      </c>
      <c r="AK81" s="74" t="s">
        <v>139</v>
      </c>
      <c r="AL81" s="73">
        <v>1170</v>
      </c>
      <c r="AM81" s="74">
        <v>1170</v>
      </c>
      <c r="AN81" s="73">
        <v>17</v>
      </c>
      <c r="AO81" s="74">
        <v>150</v>
      </c>
      <c r="AP81" s="73">
        <v>150</v>
      </c>
      <c r="AQ81" s="74">
        <v>1.8</v>
      </c>
      <c r="AR81" s="73">
        <v>1440</v>
      </c>
      <c r="AS81" s="74">
        <v>1440</v>
      </c>
      <c r="AT81" s="73">
        <v>76.099999999999994</v>
      </c>
      <c r="AU81" s="74">
        <v>12635</v>
      </c>
      <c r="AV81" s="73">
        <v>12635</v>
      </c>
      <c r="AW81" s="74">
        <v>176.6</v>
      </c>
      <c r="AX81" s="73">
        <v>855426</v>
      </c>
      <c r="AY81" s="74">
        <v>740550</v>
      </c>
      <c r="AZ81" s="73">
        <v>70</v>
      </c>
      <c r="BA81" s="87">
        <v>35663.591</v>
      </c>
      <c r="BB81" s="83" t="s">
        <v>81</v>
      </c>
      <c r="BC81" s="64"/>
      <c r="BD81" s="64"/>
    </row>
    <row r="82" spans="1:56" x14ac:dyDescent="0.3">
      <c r="A82" s="94" t="s">
        <v>82</v>
      </c>
      <c r="B82" s="95">
        <f t="shared" ref="B82:J82" si="48">SUM(B84:B88)</f>
        <v>23723</v>
      </c>
      <c r="C82" s="89">
        <f t="shared" si="48"/>
        <v>6521</v>
      </c>
      <c r="D82" s="89">
        <f t="shared" si="48"/>
        <v>476.03500000000003</v>
      </c>
      <c r="E82" s="89">
        <f t="shared" si="48"/>
        <v>137108</v>
      </c>
      <c r="F82" s="89">
        <f t="shared" si="48"/>
        <v>71791</v>
      </c>
      <c r="G82" s="89">
        <f>SUM(G84:G88)</f>
        <v>2436.2649999999999</v>
      </c>
      <c r="H82" s="89">
        <f t="shared" si="48"/>
        <v>40994</v>
      </c>
      <c r="I82" s="89">
        <f t="shared" si="48"/>
        <v>22441</v>
      </c>
      <c r="J82" s="89">
        <f t="shared" si="48"/>
        <v>335.12400000000002</v>
      </c>
      <c r="K82" s="89">
        <f>SUM(K84:K88)</f>
        <v>32964</v>
      </c>
      <c r="L82" s="89">
        <f>SUM(L84:L88)</f>
        <v>2787</v>
      </c>
      <c r="M82" s="89">
        <f>SUM(M84:M88)</f>
        <v>286.62</v>
      </c>
      <c r="N82" s="89">
        <f>SUM(N84:N88)</f>
        <v>22207</v>
      </c>
      <c r="O82" s="89">
        <f t="shared" ref="O82:AE82" si="49">SUM(O84:O88)</f>
        <v>7043</v>
      </c>
      <c r="P82" s="89">
        <f t="shared" si="49"/>
        <v>360.28</v>
      </c>
      <c r="Q82" s="89">
        <f t="shared" ref="Q82:V82" si="50">SUM(Q84:Q88)</f>
        <v>135</v>
      </c>
      <c r="R82" s="89">
        <f t="shared" si="50"/>
        <v>35</v>
      </c>
      <c r="S82" s="89">
        <f t="shared" si="50"/>
        <v>3.23</v>
      </c>
      <c r="T82" s="89">
        <f t="shared" si="50"/>
        <v>9190</v>
      </c>
      <c r="U82" s="89">
        <f t="shared" si="50"/>
        <v>4532</v>
      </c>
      <c r="V82" s="89">
        <f t="shared" si="50"/>
        <v>185.17500000000001</v>
      </c>
      <c r="W82" s="89">
        <f t="shared" si="49"/>
        <v>9366</v>
      </c>
      <c r="X82" s="89">
        <f t="shared" si="49"/>
        <v>1130</v>
      </c>
      <c r="Y82" s="89">
        <f t="shared" si="49"/>
        <v>121.22999999999999</v>
      </c>
      <c r="Z82" s="93">
        <f t="shared" si="49"/>
        <v>10185</v>
      </c>
      <c r="AA82" s="89">
        <f t="shared" si="49"/>
        <v>1151</v>
      </c>
      <c r="AB82" s="89">
        <f t="shared" si="49"/>
        <v>133.63900000000001</v>
      </c>
      <c r="AC82" s="89">
        <f t="shared" si="49"/>
        <v>7919</v>
      </c>
      <c r="AD82" s="89">
        <f t="shared" si="49"/>
        <v>3354</v>
      </c>
      <c r="AE82" s="89">
        <f t="shared" si="49"/>
        <v>71.5</v>
      </c>
      <c r="AF82" s="89">
        <f>SUM(AF84:AF88)</f>
        <v>47225</v>
      </c>
      <c r="AG82" s="89">
        <f t="shared" ref="AG82:AQ82" si="51">SUM(AG84:AG88)</f>
        <v>6738</v>
      </c>
      <c r="AH82" s="89">
        <f t="shared" si="51"/>
        <v>368.77800000000002</v>
      </c>
      <c r="AI82" s="89">
        <f t="shared" si="51"/>
        <v>6393</v>
      </c>
      <c r="AJ82" s="89">
        <f t="shared" si="51"/>
        <v>2567</v>
      </c>
      <c r="AK82" s="89">
        <f t="shared" si="51"/>
        <v>49.42</v>
      </c>
      <c r="AL82" s="89">
        <f t="shared" si="51"/>
        <v>33367</v>
      </c>
      <c r="AM82" s="89">
        <f t="shared" si="51"/>
        <v>4335</v>
      </c>
      <c r="AN82" s="89">
        <f t="shared" si="51"/>
        <v>211.04199999999997</v>
      </c>
      <c r="AO82" s="89">
        <f t="shared" si="51"/>
        <v>11194</v>
      </c>
      <c r="AP82" s="89">
        <f t="shared" si="51"/>
        <v>794</v>
      </c>
      <c r="AQ82" s="89">
        <f t="shared" si="51"/>
        <v>114.657</v>
      </c>
      <c r="AR82" s="89">
        <f>SUM(AR84:AR88)</f>
        <v>20982</v>
      </c>
      <c r="AS82" s="89">
        <f t="shared" ref="AS82:BA82" si="52">SUM(AS84:AS88)</f>
        <v>13288</v>
      </c>
      <c r="AT82" s="89">
        <f t="shared" si="52"/>
        <v>246.49</v>
      </c>
      <c r="AU82" s="89">
        <f t="shared" si="52"/>
        <v>2827</v>
      </c>
      <c r="AV82" s="89">
        <f t="shared" si="52"/>
        <v>761</v>
      </c>
      <c r="AW82" s="89">
        <f t="shared" si="52"/>
        <v>30.161000000000001</v>
      </c>
      <c r="AX82" s="89">
        <f t="shared" si="52"/>
        <v>8384292</v>
      </c>
      <c r="AY82" s="89">
        <f t="shared" si="52"/>
        <v>7950446</v>
      </c>
      <c r="AZ82" s="89">
        <f t="shared" si="52"/>
        <v>128.953</v>
      </c>
      <c r="BA82" s="96">
        <f t="shared" si="52"/>
        <v>33337.161999999997</v>
      </c>
      <c r="BB82" s="91" t="s">
        <v>83</v>
      </c>
      <c r="BC82" s="92"/>
      <c r="BD82" s="92"/>
    </row>
    <row r="83" spans="1:56" x14ac:dyDescent="0.3">
      <c r="A83" s="94"/>
      <c r="B83" s="95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93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89"/>
      <c r="AO83" s="89"/>
      <c r="AP83" s="89"/>
      <c r="AQ83" s="89"/>
      <c r="AR83" s="89"/>
      <c r="AS83" s="89"/>
      <c r="AT83" s="89"/>
      <c r="AU83" s="89"/>
      <c r="AV83" s="89"/>
      <c r="AW83" s="89"/>
      <c r="AX83" s="89"/>
      <c r="AY83" s="89"/>
      <c r="AZ83" s="89"/>
      <c r="BA83" s="96"/>
      <c r="BB83" s="91"/>
      <c r="BC83" s="92"/>
      <c r="BD83" s="92"/>
    </row>
    <row r="84" spans="1:56" x14ac:dyDescent="0.3">
      <c r="A84" s="63" t="str">
        <f>VLOOKUP([1]ListOfRegions!A53,[1]ListOfRegions!A53:B127,2,0)</f>
        <v xml:space="preserve">  Λέσβου</v>
      </c>
      <c r="B84" s="75">
        <v>5944</v>
      </c>
      <c r="C84" s="74">
        <v>854</v>
      </c>
      <c r="D84" s="73">
        <v>194.178</v>
      </c>
      <c r="E84" s="74">
        <v>13121</v>
      </c>
      <c r="F84" s="73">
        <v>2768</v>
      </c>
      <c r="G84" s="74">
        <v>452.62299999999999</v>
      </c>
      <c r="H84" s="73">
        <v>3285</v>
      </c>
      <c r="I84" s="74">
        <v>682</v>
      </c>
      <c r="J84" s="73">
        <v>65.518000000000001</v>
      </c>
      <c r="K84" s="74">
        <v>19774</v>
      </c>
      <c r="L84" s="73">
        <v>1839</v>
      </c>
      <c r="M84" s="74">
        <v>144.27500000000001</v>
      </c>
      <c r="N84" s="73">
        <v>13140</v>
      </c>
      <c r="O84" s="74">
        <v>3955</v>
      </c>
      <c r="P84" s="73">
        <v>162.03</v>
      </c>
      <c r="Q84" s="74">
        <v>35</v>
      </c>
      <c r="R84" s="73">
        <v>35</v>
      </c>
      <c r="S84" s="74">
        <v>2.1</v>
      </c>
      <c r="T84" s="73">
        <v>3971</v>
      </c>
      <c r="U84" s="74">
        <v>932</v>
      </c>
      <c r="V84" s="73">
        <v>42.15</v>
      </c>
      <c r="W84" s="74">
        <v>3651</v>
      </c>
      <c r="X84" s="73">
        <v>541</v>
      </c>
      <c r="Y84" s="74">
        <v>33.325000000000003</v>
      </c>
      <c r="Z84" s="73">
        <v>2767</v>
      </c>
      <c r="AA84" s="74">
        <v>168</v>
      </c>
      <c r="AB84" s="73">
        <v>34.625</v>
      </c>
      <c r="AC84" s="74">
        <v>4391</v>
      </c>
      <c r="AD84" s="73">
        <v>2697</v>
      </c>
      <c r="AE84" s="74">
        <v>29.31</v>
      </c>
      <c r="AF84" s="73">
        <v>15825</v>
      </c>
      <c r="AG84" s="74">
        <v>3498</v>
      </c>
      <c r="AH84" s="73">
        <v>126.444</v>
      </c>
      <c r="AI84" s="74">
        <v>5282</v>
      </c>
      <c r="AJ84" s="73">
        <v>2157</v>
      </c>
      <c r="AK84" s="74">
        <v>33.25</v>
      </c>
      <c r="AL84" s="73">
        <v>12755</v>
      </c>
      <c r="AM84" s="74">
        <v>1790</v>
      </c>
      <c r="AN84" s="73">
        <v>69.47</v>
      </c>
      <c r="AO84" s="74">
        <v>6523</v>
      </c>
      <c r="AP84" s="73">
        <v>393</v>
      </c>
      <c r="AQ84" s="74">
        <v>63.03</v>
      </c>
      <c r="AR84" s="73">
        <v>15300</v>
      </c>
      <c r="AS84" s="74">
        <v>12452</v>
      </c>
      <c r="AT84" s="73">
        <v>166.95</v>
      </c>
      <c r="AU84" s="74">
        <v>546</v>
      </c>
      <c r="AV84" s="73">
        <v>496</v>
      </c>
      <c r="AW84" s="74">
        <v>4.3499999999999996</v>
      </c>
      <c r="AX84" s="73">
        <v>6597203</v>
      </c>
      <c r="AY84" s="74">
        <v>6521391</v>
      </c>
      <c r="AZ84" s="73">
        <v>73.738</v>
      </c>
      <c r="BA84" s="87">
        <v>24330.834999999999</v>
      </c>
      <c r="BB84" s="83" t="s">
        <v>84</v>
      </c>
      <c r="BC84" s="64"/>
      <c r="BD84" s="64"/>
    </row>
    <row r="85" spans="1:56" x14ac:dyDescent="0.3">
      <c r="A85" s="63" t="str">
        <f>VLOOKUP([1]ListOfRegions!A54,[1]ListOfRegions!A54:B128,2,0)</f>
        <v xml:space="preserve">  Ικαρίας</v>
      </c>
      <c r="B85" s="75">
        <v>6160</v>
      </c>
      <c r="C85" s="74">
        <v>570</v>
      </c>
      <c r="D85" s="73">
        <v>121.24</v>
      </c>
      <c r="E85" s="74">
        <v>6420</v>
      </c>
      <c r="F85" s="73">
        <v>1200</v>
      </c>
      <c r="G85" s="74">
        <v>183.64</v>
      </c>
      <c r="H85" s="73">
        <v>2250</v>
      </c>
      <c r="I85" s="74">
        <v>555</v>
      </c>
      <c r="J85" s="73">
        <v>44.6</v>
      </c>
      <c r="K85" s="74">
        <v>4983</v>
      </c>
      <c r="L85" s="73">
        <v>530</v>
      </c>
      <c r="M85" s="74">
        <v>74.045000000000002</v>
      </c>
      <c r="N85" s="73">
        <v>3170</v>
      </c>
      <c r="O85" s="74">
        <v>580</v>
      </c>
      <c r="P85" s="73">
        <v>124</v>
      </c>
      <c r="Q85" s="74">
        <v>53</v>
      </c>
      <c r="R85" s="73" t="s">
        <v>139</v>
      </c>
      <c r="S85" s="74">
        <v>0.78</v>
      </c>
      <c r="T85" s="73">
        <v>468</v>
      </c>
      <c r="U85" s="74" t="s">
        <v>139</v>
      </c>
      <c r="V85" s="73">
        <v>5.49</v>
      </c>
      <c r="W85" s="74">
        <v>3078</v>
      </c>
      <c r="X85" s="73">
        <v>260</v>
      </c>
      <c r="Y85" s="74">
        <v>45.015000000000001</v>
      </c>
      <c r="Z85" s="73">
        <v>5060</v>
      </c>
      <c r="AA85" s="74">
        <v>650</v>
      </c>
      <c r="AB85" s="73">
        <v>74.7</v>
      </c>
      <c r="AC85" s="74">
        <v>698</v>
      </c>
      <c r="AD85" s="73">
        <v>60</v>
      </c>
      <c r="AE85" s="74">
        <v>12.56</v>
      </c>
      <c r="AF85" s="73">
        <v>11903</v>
      </c>
      <c r="AG85" s="74" t="s">
        <v>139</v>
      </c>
      <c r="AH85" s="73">
        <v>119.08</v>
      </c>
      <c r="AI85" s="74" t="s">
        <v>139</v>
      </c>
      <c r="AJ85" s="73" t="s">
        <v>139</v>
      </c>
      <c r="AK85" s="74" t="s">
        <v>139</v>
      </c>
      <c r="AL85" s="73">
        <v>10631</v>
      </c>
      <c r="AM85" s="74" t="s">
        <v>139</v>
      </c>
      <c r="AN85" s="73">
        <v>71.706000000000003</v>
      </c>
      <c r="AO85" s="74">
        <v>1880</v>
      </c>
      <c r="AP85" s="73">
        <v>20</v>
      </c>
      <c r="AQ85" s="74">
        <v>17.914999999999999</v>
      </c>
      <c r="AR85" s="73">
        <v>4510</v>
      </c>
      <c r="AS85" s="74">
        <v>645</v>
      </c>
      <c r="AT85" s="73">
        <v>67.650000000000006</v>
      </c>
      <c r="AU85" s="74" t="s">
        <v>139</v>
      </c>
      <c r="AV85" s="73" t="s">
        <v>139</v>
      </c>
      <c r="AW85" s="74" t="s">
        <v>139</v>
      </c>
      <c r="AX85" s="73">
        <v>130939</v>
      </c>
      <c r="AY85" s="74">
        <v>104759</v>
      </c>
      <c r="AZ85" s="73">
        <v>7.85</v>
      </c>
      <c r="BA85" s="87">
        <v>302.17500000000001</v>
      </c>
      <c r="BB85" s="83" t="s">
        <v>85</v>
      </c>
      <c r="BC85" s="64"/>
      <c r="BD85" s="64"/>
    </row>
    <row r="86" spans="1:56" x14ac:dyDescent="0.3">
      <c r="A86" s="63" t="str">
        <f>VLOOKUP([1]ListOfRegions!A55,[1]ListOfRegions!A55:B129,2,0)</f>
        <v xml:space="preserve">  Λήμνου</v>
      </c>
      <c r="B86" s="75">
        <v>140</v>
      </c>
      <c r="C86" s="74">
        <v>140</v>
      </c>
      <c r="D86" s="73">
        <v>6.25</v>
      </c>
      <c r="E86" s="74">
        <v>70</v>
      </c>
      <c r="F86" s="73">
        <v>70</v>
      </c>
      <c r="G86" s="74">
        <v>3.05</v>
      </c>
      <c r="H86" s="73" t="s">
        <v>139</v>
      </c>
      <c r="I86" s="74" t="s">
        <v>139</v>
      </c>
      <c r="J86" s="73" t="s">
        <v>139</v>
      </c>
      <c r="K86" s="74">
        <v>120</v>
      </c>
      <c r="L86" s="73">
        <v>120</v>
      </c>
      <c r="M86" s="74">
        <v>8.1</v>
      </c>
      <c r="N86" s="73">
        <v>139</v>
      </c>
      <c r="O86" s="74">
        <v>139</v>
      </c>
      <c r="P86" s="73">
        <v>6.3</v>
      </c>
      <c r="Q86" s="74" t="s">
        <v>139</v>
      </c>
      <c r="R86" s="73" t="s">
        <v>139</v>
      </c>
      <c r="S86" s="74" t="s">
        <v>139</v>
      </c>
      <c r="T86" s="73">
        <v>3430</v>
      </c>
      <c r="U86" s="74">
        <v>3430</v>
      </c>
      <c r="V86" s="73">
        <v>123.8</v>
      </c>
      <c r="W86" s="74">
        <v>278</v>
      </c>
      <c r="X86" s="73">
        <v>278</v>
      </c>
      <c r="Y86" s="74">
        <v>16.850000000000001</v>
      </c>
      <c r="Z86" s="73">
        <v>70</v>
      </c>
      <c r="AA86" s="74">
        <v>70</v>
      </c>
      <c r="AB86" s="73">
        <v>0.69</v>
      </c>
      <c r="AC86" s="74">
        <v>57</v>
      </c>
      <c r="AD86" s="73">
        <v>57</v>
      </c>
      <c r="AE86" s="74">
        <v>3.5</v>
      </c>
      <c r="AF86" s="73">
        <v>725</v>
      </c>
      <c r="AG86" s="74">
        <v>725</v>
      </c>
      <c r="AH86" s="73">
        <v>26.015000000000001</v>
      </c>
      <c r="AI86" s="74">
        <v>205</v>
      </c>
      <c r="AJ86" s="73">
        <v>205</v>
      </c>
      <c r="AK86" s="74">
        <v>8.92</v>
      </c>
      <c r="AL86" s="73">
        <v>2250</v>
      </c>
      <c r="AM86" s="74">
        <v>2250</v>
      </c>
      <c r="AN86" s="73">
        <v>43.2</v>
      </c>
      <c r="AO86" s="74">
        <v>12</v>
      </c>
      <c r="AP86" s="73">
        <v>12</v>
      </c>
      <c r="AQ86" s="74">
        <v>0.25</v>
      </c>
      <c r="AR86" s="73" t="s">
        <v>139</v>
      </c>
      <c r="AS86" s="74" t="s">
        <v>139</v>
      </c>
      <c r="AT86" s="73" t="s">
        <v>139</v>
      </c>
      <c r="AU86" s="74">
        <v>265</v>
      </c>
      <c r="AV86" s="73">
        <v>265</v>
      </c>
      <c r="AW86" s="74">
        <v>6</v>
      </c>
      <c r="AX86" s="73">
        <v>39270</v>
      </c>
      <c r="AY86" s="74">
        <v>39270</v>
      </c>
      <c r="AZ86" s="73">
        <v>0.5</v>
      </c>
      <c r="BA86" s="87">
        <v>218.55</v>
      </c>
      <c r="BB86" s="83" t="s">
        <v>86</v>
      </c>
      <c r="BC86" s="64"/>
      <c r="BD86" s="64"/>
    </row>
    <row r="87" spans="1:56" x14ac:dyDescent="0.3">
      <c r="A87" s="63" t="str">
        <f>VLOOKUP([1]ListOfRegions!A56,[1]ListOfRegions!A56:B130,2,0)</f>
        <v xml:space="preserve">  Σάμου.</v>
      </c>
      <c r="B87" s="75">
        <v>4133</v>
      </c>
      <c r="C87" s="74">
        <v>1629</v>
      </c>
      <c r="D87" s="73">
        <v>56.137</v>
      </c>
      <c r="E87" s="74">
        <v>30310</v>
      </c>
      <c r="F87" s="73">
        <v>27665</v>
      </c>
      <c r="G87" s="74">
        <v>477.74</v>
      </c>
      <c r="H87" s="73">
        <v>2546</v>
      </c>
      <c r="I87" s="74">
        <v>954</v>
      </c>
      <c r="J87" s="73">
        <v>30.11</v>
      </c>
      <c r="K87" s="74">
        <v>3348</v>
      </c>
      <c r="L87" s="73">
        <v>298</v>
      </c>
      <c r="M87" s="74">
        <v>36.564999999999998</v>
      </c>
      <c r="N87" s="73">
        <v>5584</v>
      </c>
      <c r="O87" s="74">
        <v>2369</v>
      </c>
      <c r="P87" s="73">
        <v>66.31</v>
      </c>
      <c r="Q87" s="74">
        <v>47</v>
      </c>
      <c r="R87" s="73" t="s">
        <v>139</v>
      </c>
      <c r="S87" s="74">
        <v>0.35</v>
      </c>
      <c r="T87" s="73">
        <v>916</v>
      </c>
      <c r="U87" s="74">
        <v>90</v>
      </c>
      <c r="V87" s="73">
        <v>10.36</v>
      </c>
      <c r="W87" s="74">
        <v>2354</v>
      </c>
      <c r="X87" s="73">
        <v>51</v>
      </c>
      <c r="Y87" s="74">
        <v>25.94</v>
      </c>
      <c r="Z87" s="73">
        <v>2266</v>
      </c>
      <c r="AA87" s="74">
        <v>263</v>
      </c>
      <c r="AB87" s="73">
        <v>23.373999999999999</v>
      </c>
      <c r="AC87" s="74">
        <v>1704</v>
      </c>
      <c r="AD87" s="73">
        <v>355</v>
      </c>
      <c r="AE87" s="74">
        <v>21.34</v>
      </c>
      <c r="AF87" s="73">
        <v>3647</v>
      </c>
      <c r="AG87" s="74">
        <v>1192</v>
      </c>
      <c r="AH87" s="73">
        <v>39.619999999999997</v>
      </c>
      <c r="AI87" s="74">
        <v>590</v>
      </c>
      <c r="AJ87" s="73">
        <v>205</v>
      </c>
      <c r="AK87" s="74">
        <v>6.1</v>
      </c>
      <c r="AL87" s="73">
        <v>1179</v>
      </c>
      <c r="AM87" s="74">
        <v>202</v>
      </c>
      <c r="AN87" s="73">
        <v>9.69</v>
      </c>
      <c r="AO87" s="74">
        <v>2643</v>
      </c>
      <c r="AP87" s="73">
        <v>369</v>
      </c>
      <c r="AQ87" s="74">
        <v>32.520000000000003</v>
      </c>
      <c r="AR87" s="73">
        <v>1072</v>
      </c>
      <c r="AS87" s="74">
        <v>191</v>
      </c>
      <c r="AT87" s="73">
        <v>10.39</v>
      </c>
      <c r="AU87" s="74">
        <v>25</v>
      </c>
      <c r="AV87" s="73" t="s">
        <v>139</v>
      </c>
      <c r="AW87" s="74">
        <v>0.15</v>
      </c>
      <c r="AX87" s="73">
        <v>844870</v>
      </c>
      <c r="AY87" s="74">
        <v>835019</v>
      </c>
      <c r="AZ87" s="73">
        <v>45.03</v>
      </c>
      <c r="BA87" s="87">
        <v>6626.6170000000002</v>
      </c>
      <c r="BB87" s="83" t="s">
        <v>87</v>
      </c>
      <c r="BC87" s="64"/>
      <c r="BD87" s="64"/>
    </row>
    <row r="88" spans="1:56" x14ac:dyDescent="0.3">
      <c r="A88" s="63" t="str">
        <f>VLOOKUP([1]ListOfRegions!A57,[1]ListOfRegions!A57:B131,2,0)</f>
        <v xml:space="preserve">  Χίου</v>
      </c>
      <c r="B88" s="75">
        <v>7346</v>
      </c>
      <c r="C88" s="74">
        <v>3328</v>
      </c>
      <c r="D88" s="73">
        <v>98.23</v>
      </c>
      <c r="E88" s="74">
        <v>87187</v>
      </c>
      <c r="F88" s="73">
        <v>40088</v>
      </c>
      <c r="G88" s="74">
        <v>1319.212</v>
      </c>
      <c r="H88" s="73">
        <v>32913</v>
      </c>
      <c r="I88" s="74">
        <v>20250</v>
      </c>
      <c r="J88" s="73">
        <v>194.89599999999999</v>
      </c>
      <c r="K88" s="74">
        <v>4739</v>
      </c>
      <c r="L88" s="73" t="s">
        <v>139</v>
      </c>
      <c r="M88" s="74">
        <v>23.635000000000002</v>
      </c>
      <c r="N88" s="73">
        <v>174</v>
      </c>
      <c r="O88" s="74" t="s">
        <v>139</v>
      </c>
      <c r="P88" s="73">
        <v>1.64</v>
      </c>
      <c r="Q88" s="74" t="s">
        <v>139</v>
      </c>
      <c r="R88" s="73" t="s">
        <v>139</v>
      </c>
      <c r="S88" s="74" t="s">
        <v>139</v>
      </c>
      <c r="T88" s="73">
        <v>405</v>
      </c>
      <c r="U88" s="74">
        <v>80</v>
      </c>
      <c r="V88" s="73">
        <v>3.375</v>
      </c>
      <c r="W88" s="74">
        <v>5</v>
      </c>
      <c r="X88" s="73" t="s">
        <v>139</v>
      </c>
      <c r="Y88" s="74">
        <v>0.1</v>
      </c>
      <c r="Z88" s="73">
        <v>22</v>
      </c>
      <c r="AA88" s="74" t="s">
        <v>139</v>
      </c>
      <c r="AB88" s="73">
        <v>0.25</v>
      </c>
      <c r="AC88" s="74">
        <v>1069</v>
      </c>
      <c r="AD88" s="73">
        <v>185</v>
      </c>
      <c r="AE88" s="74">
        <v>4.79</v>
      </c>
      <c r="AF88" s="73">
        <v>15125</v>
      </c>
      <c r="AG88" s="74">
        <v>1323</v>
      </c>
      <c r="AH88" s="73">
        <v>57.619</v>
      </c>
      <c r="AI88" s="74">
        <v>316</v>
      </c>
      <c r="AJ88" s="73" t="s">
        <v>139</v>
      </c>
      <c r="AK88" s="74">
        <v>1.1499999999999999</v>
      </c>
      <c r="AL88" s="73">
        <v>6552</v>
      </c>
      <c r="AM88" s="74">
        <v>93</v>
      </c>
      <c r="AN88" s="73">
        <v>16.975999999999999</v>
      </c>
      <c r="AO88" s="74">
        <v>136</v>
      </c>
      <c r="AP88" s="73" t="s">
        <v>139</v>
      </c>
      <c r="AQ88" s="74">
        <v>0.94199999999999995</v>
      </c>
      <c r="AR88" s="73">
        <v>100</v>
      </c>
      <c r="AS88" s="74" t="s">
        <v>139</v>
      </c>
      <c r="AT88" s="73">
        <v>1.5</v>
      </c>
      <c r="AU88" s="74">
        <v>1991</v>
      </c>
      <c r="AV88" s="73" t="s">
        <v>139</v>
      </c>
      <c r="AW88" s="74">
        <v>19.661000000000001</v>
      </c>
      <c r="AX88" s="73">
        <v>772010</v>
      </c>
      <c r="AY88" s="74">
        <v>450007</v>
      </c>
      <c r="AZ88" s="73">
        <v>1.835</v>
      </c>
      <c r="BA88" s="87">
        <v>1858.9849999999999</v>
      </c>
      <c r="BB88" s="83" t="s">
        <v>88</v>
      </c>
      <c r="BC88" s="64"/>
      <c r="BD88" s="64"/>
    </row>
    <row r="89" spans="1:56" x14ac:dyDescent="0.3">
      <c r="A89" s="94" t="s">
        <v>89</v>
      </c>
      <c r="B89" s="95">
        <f t="shared" ref="B89:J89" si="53">SUM(B91:B103)</f>
        <v>66337</v>
      </c>
      <c r="C89" s="89">
        <f t="shared" si="53"/>
        <v>29838</v>
      </c>
      <c r="D89" s="89">
        <f t="shared" si="53"/>
        <v>2803.52</v>
      </c>
      <c r="E89" s="89">
        <f t="shared" si="53"/>
        <v>134522</v>
      </c>
      <c r="F89" s="89">
        <f t="shared" si="53"/>
        <v>114913</v>
      </c>
      <c r="G89" s="89">
        <f>SUM(G91:G103)</f>
        <v>10049.739000000001</v>
      </c>
      <c r="H89" s="89">
        <f t="shared" si="53"/>
        <v>23646</v>
      </c>
      <c r="I89" s="89">
        <f t="shared" si="53"/>
        <v>16515</v>
      </c>
      <c r="J89" s="89">
        <f t="shared" si="53"/>
        <v>913.61200000000008</v>
      </c>
      <c r="K89" s="89">
        <f>SUM(K91:K103)</f>
        <v>11760</v>
      </c>
      <c r="L89" s="89">
        <f>SUM(L91:L103)</f>
        <v>2294</v>
      </c>
      <c r="M89" s="89">
        <f>SUM(M91:M103)</f>
        <v>271.03100000000001</v>
      </c>
      <c r="N89" s="89">
        <f>SUM(N91:N103)</f>
        <v>9215</v>
      </c>
      <c r="O89" s="89">
        <f t="shared" ref="O89:AE89" si="54">SUM(O91:O103)</f>
        <v>6055</v>
      </c>
      <c r="P89" s="89">
        <f t="shared" si="54"/>
        <v>301.10000000000002</v>
      </c>
      <c r="Q89" s="89">
        <f t="shared" ref="Q89:V89" si="55">SUM(Q91:Q103)</f>
        <v>20</v>
      </c>
      <c r="R89" s="89">
        <f t="shared" si="55"/>
        <v>0</v>
      </c>
      <c r="S89" s="89">
        <f t="shared" si="55"/>
        <v>0.185</v>
      </c>
      <c r="T89" s="89">
        <f t="shared" si="55"/>
        <v>24810</v>
      </c>
      <c r="U89" s="89">
        <f t="shared" si="55"/>
        <v>18529</v>
      </c>
      <c r="V89" s="89">
        <f t="shared" si="55"/>
        <v>996.61999999999989</v>
      </c>
      <c r="W89" s="89">
        <f t="shared" si="54"/>
        <v>28279</v>
      </c>
      <c r="X89" s="89">
        <f t="shared" si="54"/>
        <v>24806</v>
      </c>
      <c r="Y89" s="89">
        <f t="shared" si="54"/>
        <v>926.18599999999992</v>
      </c>
      <c r="Z89" s="93">
        <f t="shared" si="54"/>
        <v>12029</v>
      </c>
      <c r="AA89" s="89">
        <f t="shared" si="54"/>
        <v>6208</v>
      </c>
      <c r="AB89" s="89">
        <f t="shared" si="54"/>
        <v>274.84299999999996</v>
      </c>
      <c r="AC89" s="89">
        <f t="shared" si="54"/>
        <v>1767</v>
      </c>
      <c r="AD89" s="89">
        <f t="shared" si="54"/>
        <v>958</v>
      </c>
      <c r="AE89" s="89">
        <f t="shared" si="54"/>
        <v>37.255999999999993</v>
      </c>
      <c r="AF89" s="89">
        <f>SUM(AF91:AF103)</f>
        <v>15556</v>
      </c>
      <c r="AG89" s="89">
        <f t="shared" ref="AG89:AQ89" si="56">SUM(AG91:AG103)</f>
        <v>2827</v>
      </c>
      <c r="AH89" s="89">
        <f t="shared" si="56"/>
        <v>302.15699999999998</v>
      </c>
      <c r="AI89" s="89">
        <f t="shared" si="56"/>
        <v>14664</v>
      </c>
      <c r="AJ89" s="89">
        <f t="shared" si="56"/>
        <v>940</v>
      </c>
      <c r="AK89" s="89">
        <f t="shared" si="56"/>
        <v>225.66900000000004</v>
      </c>
      <c r="AL89" s="89">
        <f t="shared" si="56"/>
        <v>19957</v>
      </c>
      <c r="AM89" s="89">
        <f t="shared" si="56"/>
        <v>7388</v>
      </c>
      <c r="AN89" s="89">
        <f t="shared" si="56"/>
        <v>171.00099999999998</v>
      </c>
      <c r="AO89" s="89">
        <f t="shared" si="56"/>
        <v>2303</v>
      </c>
      <c r="AP89" s="89">
        <f t="shared" si="56"/>
        <v>757</v>
      </c>
      <c r="AQ89" s="89">
        <f t="shared" si="56"/>
        <v>27.171999999999997</v>
      </c>
      <c r="AR89" s="89">
        <f>SUM(AR91:AR103)</f>
        <v>347</v>
      </c>
      <c r="AS89" s="89">
        <f t="shared" ref="AS89:BA89" si="57">SUM(AS91:AS103)</f>
        <v>130</v>
      </c>
      <c r="AT89" s="89">
        <f t="shared" si="57"/>
        <v>5.26</v>
      </c>
      <c r="AU89" s="89">
        <f t="shared" si="57"/>
        <v>10440</v>
      </c>
      <c r="AV89" s="89">
        <f t="shared" si="57"/>
        <v>7235</v>
      </c>
      <c r="AW89" s="89">
        <f t="shared" si="57"/>
        <v>91.90100000000001</v>
      </c>
      <c r="AX89" s="89">
        <f t="shared" si="57"/>
        <v>1943930</v>
      </c>
      <c r="AY89" s="89">
        <f t="shared" si="57"/>
        <v>1746653</v>
      </c>
      <c r="AZ89" s="89">
        <f t="shared" si="57"/>
        <v>19736.056</v>
      </c>
      <c r="BA89" s="96">
        <f t="shared" si="57"/>
        <v>27901.371999999999</v>
      </c>
      <c r="BB89" s="91" t="s">
        <v>90</v>
      </c>
      <c r="BC89" s="92"/>
      <c r="BD89" s="92"/>
    </row>
    <row r="90" spans="1:56" x14ac:dyDescent="0.3">
      <c r="A90" s="94"/>
      <c r="B90" s="95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93"/>
      <c r="AA90" s="89"/>
      <c r="AB90" s="89"/>
      <c r="AC90" s="89"/>
      <c r="AD90" s="89"/>
      <c r="AE90" s="89"/>
      <c r="AF90" s="89"/>
      <c r="AG90" s="89"/>
      <c r="AH90" s="89"/>
      <c r="AI90" s="89"/>
      <c r="AJ90" s="89"/>
      <c r="AK90" s="89"/>
      <c r="AL90" s="89"/>
      <c r="AM90" s="89"/>
      <c r="AN90" s="89"/>
      <c r="AO90" s="89"/>
      <c r="AP90" s="89"/>
      <c r="AQ90" s="89"/>
      <c r="AR90" s="89"/>
      <c r="AS90" s="89"/>
      <c r="AT90" s="89"/>
      <c r="AU90" s="89"/>
      <c r="AV90" s="89"/>
      <c r="AW90" s="89"/>
      <c r="AX90" s="89"/>
      <c r="AY90" s="89"/>
      <c r="AZ90" s="89"/>
      <c r="BA90" s="96"/>
      <c r="BB90" s="91"/>
      <c r="BC90" s="92"/>
      <c r="BD90" s="92"/>
    </row>
    <row r="91" spans="1:56" x14ac:dyDescent="0.3">
      <c r="A91" s="63" t="str">
        <f>VLOOKUP([1]ListOfRegions!A58,[1]ListOfRegions!A58:B132,2,0)</f>
        <v xml:space="preserve">  Σύρου</v>
      </c>
      <c r="B91" s="75">
        <v>640</v>
      </c>
      <c r="C91" s="74">
        <v>418</v>
      </c>
      <c r="D91" s="73">
        <v>19.2</v>
      </c>
      <c r="E91" s="74">
        <v>440</v>
      </c>
      <c r="F91" s="73">
        <v>165</v>
      </c>
      <c r="G91" s="74">
        <v>12.6</v>
      </c>
      <c r="H91" s="73">
        <v>372</v>
      </c>
      <c r="I91" s="74">
        <v>160</v>
      </c>
      <c r="J91" s="73">
        <v>7.34</v>
      </c>
      <c r="K91" s="74">
        <v>19</v>
      </c>
      <c r="L91" s="73" t="s">
        <v>139</v>
      </c>
      <c r="M91" s="74">
        <v>0.19</v>
      </c>
      <c r="N91" s="73">
        <v>2</v>
      </c>
      <c r="O91" s="74" t="s">
        <v>139</v>
      </c>
      <c r="P91" s="73">
        <v>0.03</v>
      </c>
      <c r="Q91" s="74" t="s">
        <v>139</v>
      </c>
      <c r="R91" s="73" t="s">
        <v>139</v>
      </c>
      <c r="S91" s="74" t="s">
        <v>139</v>
      </c>
      <c r="T91" s="73">
        <v>432</v>
      </c>
      <c r="U91" s="74">
        <v>320</v>
      </c>
      <c r="V91" s="73">
        <v>10.8</v>
      </c>
      <c r="W91" s="74">
        <v>10</v>
      </c>
      <c r="X91" s="73" t="s">
        <v>139</v>
      </c>
      <c r="Y91" s="74">
        <v>0.15</v>
      </c>
      <c r="Z91" s="73">
        <v>57</v>
      </c>
      <c r="AA91" s="74" t="s">
        <v>139</v>
      </c>
      <c r="AB91" s="73">
        <v>0.47</v>
      </c>
      <c r="AC91" s="74" t="s">
        <v>139</v>
      </c>
      <c r="AD91" s="73" t="s">
        <v>139</v>
      </c>
      <c r="AE91" s="74" t="s">
        <v>139</v>
      </c>
      <c r="AF91" s="73">
        <v>141</v>
      </c>
      <c r="AG91" s="74">
        <v>75</v>
      </c>
      <c r="AH91" s="73">
        <v>1.56</v>
      </c>
      <c r="AI91" s="74">
        <v>254</v>
      </c>
      <c r="AJ91" s="73">
        <v>160</v>
      </c>
      <c r="AK91" s="74">
        <v>3.3239999999999998</v>
      </c>
      <c r="AL91" s="73">
        <v>108</v>
      </c>
      <c r="AM91" s="74">
        <v>80</v>
      </c>
      <c r="AN91" s="73">
        <v>0.98</v>
      </c>
      <c r="AO91" s="74" t="s">
        <v>139</v>
      </c>
      <c r="AP91" s="73" t="s">
        <v>139</v>
      </c>
      <c r="AQ91" s="74" t="s">
        <v>139</v>
      </c>
      <c r="AR91" s="73" t="s">
        <v>139</v>
      </c>
      <c r="AS91" s="74" t="s">
        <v>139</v>
      </c>
      <c r="AT91" s="73" t="s">
        <v>139</v>
      </c>
      <c r="AU91" s="74">
        <v>390</v>
      </c>
      <c r="AV91" s="73">
        <v>225</v>
      </c>
      <c r="AW91" s="74">
        <v>1.95</v>
      </c>
      <c r="AX91" s="73">
        <v>5181</v>
      </c>
      <c r="AY91" s="74">
        <v>3690</v>
      </c>
      <c r="AZ91" s="73">
        <v>0.18</v>
      </c>
      <c r="BA91" s="87">
        <v>40.328000000000003</v>
      </c>
      <c r="BB91" s="83" t="s">
        <v>91</v>
      </c>
      <c r="BC91" s="64"/>
      <c r="BD91" s="64"/>
    </row>
    <row r="92" spans="1:56" x14ac:dyDescent="0.3">
      <c r="A92" s="63" t="str">
        <f>VLOOKUP([1]ListOfRegions!A59,[1]ListOfRegions!A59:B133,2,0)</f>
        <v xml:space="preserve">  Άνδρου</v>
      </c>
      <c r="B92" s="75">
        <v>19319</v>
      </c>
      <c r="C92" s="74">
        <v>2130</v>
      </c>
      <c r="D92" s="73">
        <v>446.8</v>
      </c>
      <c r="E92" s="74">
        <v>6886</v>
      </c>
      <c r="F92" s="73">
        <v>890</v>
      </c>
      <c r="G92" s="74">
        <v>131.1</v>
      </c>
      <c r="H92" s="73">
        <v>2558</v>
      </c>
      <c r="I92" s="74">
        <v>227</v>
      </c>
      <c r="J92" s="73">
        <v>41.11</v>
      </c>
      <c r="K92" s="74">
        <v>2680</v>
      </c>
      <c r="L92" s="73">
        <v>20</v>
      </c>
      <c r="M92" s="74">
        <v>38.06</v>
      </c>
      <c r="N92" s="73">
        <v>740</v>
      </c>
      <c r="O92" s="74" t="s">
        <v>139</v>
      </c>
      <c r="P92" s="73">
        <v>12.52</v>
      </c>
      <c r="Q92" s="74">
        <v>20</v>
      </c>
      <c r="R92" s="73" t="s">
        <v>139</v>
      </c>
      <c r="S92" s="74">
        <v>0.185</v>
      </c>
      <c r="T92" s="73">
        <v>2240</v>
      </c>
      <c r="U92" s="74">
        <v>340</v>
      </c>
      <c r="V92" s="73">
        <v>53.25</v>
      </c>
      <c r="W92" s="74">
        <v>468</v>
      </c>
      <c r="X92" s="73" t="s">
        <v>139</v>
      </c>
      <c r="Y92" s="74">
        <v>9.7149999999999999</v>
      </c>
      <c r="Z92" s="73">
        <v>1113</v>
      </c>
      <c r="AA92" s="74" t="s">
        <v>139</v>
      </c>
      <c r="AB92" s="73">
        <v>14.21</v>
      </c>
      <c r="AC92" s="74">
        <v>233</v>
      </c>
      <c r="AD92" s="73">
        <v>11</v>
      </c>
      <c r="AE92" s="74">
        <v>2.0499999999999998</v>
      </c>
      <c r="AF92" s="73">
        <v>380</v>
      </c>
      <c r="AG92" s="74" t="s">
        <v>139</v>
      </c>
      <c r="AH92" s="73">
        <v>6.5</v>
      </c>
      <c r="AI92" s="74">
        <v>12340</v>
      </c>
      <c r="AJ92" s="73" t="s">
        <v>139</v>
      </c>
      <c r="AK92" s="74">
        <v>179.8</v>
      </c>
      <c r="AL92" s="73">
        <v>3953</v>
      </c>
      <c r="AM92" s="74">
        <v>840</v>
      </c>
      <c r="AN92" s="73">
        <v>31.24</v>
      </c>
      <c r="AO92" s="74">
        <v>1128</v>
      </c>
      <c r="AP92" s="73">
        <v>10</v>
      </c>
      <c r="AQ92" s="74">
        <v>11.41</v>
      </c>
      <c r="AR92" s="73">
        <v>157</v>
      </c>
      <c r="AS92" s="74" t="s">
        <v>139</v>
      </c>
      <c r="AT92" s="73">
        <v>0.88</v>
      </c>
      <c r="AU92" s="74">
        <v>50</v>
      </c>
      <c r="AV92" s="73" t="s">
        <v>139</v>
      </c>
      <c r="AW92" s="74">
        <v>0.7</v>
      </c>
      <c r="AX92" s="73">
        <v>98356</v>
      </c>
      <c r="AY92" s="74">
        <v>55852</v>
      </c>
      <c r="AZ92" s="73">
        <v>3.12</v>
      </c>
      <c r="BA92" s="87">
        <v>179.90899999999999</v>
      </c>
      <c r="BB92" s="83" t="s">
        <v>92</v>
      </c>
      <c r="BC92" s="64"/>
      <c r="BD92" s="64"/>
    </row>
    <row r="93" spans="1:56" x14ac:dyDescent="0.3">
      <c r="A93" s="63" t="str">
        <f>VLOOKUP([1]ListOfRegions!A60,[1]ListOfRegions!A60:B134,2,0)</f>
        <v xml:space="preserve">  Θήρας</v>
      </c>
      <c r="B93" s="75">
        <v>1333</v>
      </c>
      <c r="C93" s="74">
        <v>100</v>
      </c>
      <c r="D93" s="73">
        <v>32.47</v>
      </c>
      <c r="E93" s="74">
        <v>425</v>
      </c>
      <c r="F93" s="73">
        <v>50</v>
      </c>
      <c r="G93" s="74">
        <v>18.45</v>
      </c>
      <c r="H93" s="73">
        <v>259</v>
      </c>
      <c r="I93" s="74">
        <v>28</v>
      </c>
      <c r="J93" s="73">
        <v>5.7</v>
      </c>
      <c r="K93" s="74">
        <v>364</v>
      </c>
      <c r="L93" s="73" t="s">
        <v>139</v>
      </c>
      <c r="M93" s="74">
        <v>13.895</v>
      </c>
      <c r="N93" s="73">
        <v>190</v>
      </c>
      <c r="O93" s="74" t="s">
        <v>139</v>
      </c>
      <c r="P93" s="73">
        <v>7.2</v>
      </c>
      <c r="Q93" s="74" t="s">
        <v>139</v>
      </c>
      <c r="R93" s="73" t="s">
        <v>139</v>
      </c>
      <c r="S93" s="74" t="s">
        <v>139</v>
      </c>
      <c r="T93" s="73">
        <v>688</v>
      </c>
      <c r="U93" s="74">
        <v>30</v>
      </c>
      <c r="V93" s="73">
        <v>23.73</v>
      </c>
      <c r="W93" s="74">
        <v>235</v>
      </c>
      <c r="X93" s="73">
        <v>20</v>
      </c>
      <c r="Y93" s="74">
        <v>9</v>
      </c>
      <c r="Z93" s="73">
        <v>175</v>
      </c>
      <c r="AA93" s="74">
        <v>20</v>
      </c>
      <c r="AB93" s="73">
        <v>6.1</v>
      </c>
      <c r="AC93" s="74">
        <v>50</v>
      </c>
      <c r="AD93" s="73" t="s">
        <v>139</v>
      </c>
      <c r="AE93" s="74">
        <v>1.5</v>
      </c>
      <c r="AF93" s="73">
        <v>2926</v>
      </c>
      <c r="AG93" s="74">
        <v>96</v>
      </c>
      <c r="AH93" s="73">
        <v>28.37</v>
      </c>
      <c r="AI93" s="74">
        <v>90</v>
      </c>
      <c r="AJ93" s="73" t="s">
        <v>139</v>
      </c>
      <c r="AK93" s="74">
        <v>1.8</v>
      </c>
      <c r="AL93" s="73">
        <v>1809</v>
      </c>
      <c r="AM93" s="74">
        <v>517</v>
      </c>
      <c r="AN93" s="73">
        <v>15.74</v>
      </c>
      <c r="AO93" s="74" t="s">
        <v>139</v>
      </c>
      <c r="AP93" s="73" t="s">
        <v>139</v>
      </c>
      <c r="AQ93" s="74" t="s">
        <v>139</v>
      </c>
      <c r="AR93" s="73">
        <v>90</v>
      </c>
      <c r="AS93" s="74">
        <v>90</v>
      </c>
      <c r="AT93" s="73">
        <v>2</v>
      </c>
      <c r="AU93" s="74">
        <v>9184</v>
      </c>
      <c r="AV93" s="73">
        <v>6574</v>
      </c>
      <c r="AW93" s="74">
        <v>85.08</v>
      </c>
      <c r="AX93" s="73">
        <v>92774</v>
      </c>
      <c r="AY93" s="74">
        <v>84224</v>
      </c>
      <c r="AZ93" s="73">
        <v>111.35599999999999</v>
      </c>
      <c r="BA93" s="87">
        <v>674.495</v>
      </c>
      <c r="BB93" s="83" t="s">
        <v>93</v>
      </c>
      <c r="BC93" s="64"/>
      <c r="BD93" s="64"/>
    </row>
    <row r="94" spans="1:56" x14ac:dyDescent="0.3">
      <c r="A94" s="63" t="str">
        <f>VLOOKUP([1]ListOfRegions!A61,[1]ListOfRegions!A61:B135,2,0)</f>
        <v xml:space="preserve">  Καλύμνου</v>
      </c>
      <c r="B94" s="75">
        <v>8297</v>
      </c>
      <c r="C94" s="74">
        <v>2542</v>
      </c>
      <c r="D94" s="73">
        <v>250.7</v>
      </c>
      <c r="E94" s="74">
        <v>11761</v>
      </c>
      <c r="F94" s="73">
        <v>9041</v>
      </c>
      <c r="G94" s="74">
        <v>271.63</v>
      </c>
      <c r="H94" s="73">
        <v>5785</v>
      </c>
      <c r="I94" s="74">
        <v>5565</v>
      </c>
      <c r="J94" s="73">
        <v>101.8</v>
      </c>
      <c r="K94" s="74">
        <v>650</v>
      </c>
      <c r="L94" s="73">
        <v>60</v>
      </c>
      <c r="M94" s="74">
        <v>11.25</v>
      </c>
      <c r="N94" s="73">
        <v>30</v>
      </c>
      <c r="O94" s="74" t="s">
        <v>139</v>
      </c>
      <c r="P94" s="73">
        <v>0.45</v>
      </c>
      <c r="Q94" s="74" t="s">
        <v>139</v>
      </c>
      <c r="R94" s="73" t="s">
        <v>139</v>
      </c>
      <c r="S94" s="74" t="s">
        <v>139</v>
      </c>
      <c r="T94" s="73">
        <v>764</v>
      </c>
      <c r="U94" s="74">
        <v>144</v>
      </c>
      <c r="V94" s="73">
        <v>9.5500000000000007</v>
      </c>
      <c r="W94" s="74">
        <v>50</v>
      </c>
      <c r="X94" s="73" t="s">
        <v>139</v>
      </c>
      <c r="Y94" s="74">
        <v>1</v>
      </c>
      <c r="Z94" s="73">
        <v>650</v>
      </c>
      <c r="AA94" s="74">
        <v>150</v>
      </c>
      <c r="AB94" s="73">
        <v>9.6999999999999993</v>
      </c>
      <c r="AC94" s="74" t="s">
        <v>139</v>
      </c>
      <c r="AD94" s="73" t="s">
        <v>139</v>
      </c>
      <c r="AE94" s="74" t="s">
        <v>139</v>
      </c>
      <c r="AF94" s="73">
        <v>1896</v>
      </c>
      <c r="AG94" s="74">
        <v>596</v>
      </c>
      <c r="AH94" s="73">
        <v>37.700000000000003</v>
      </c>
      <c r="AI94" s="74">
        <v>10</v>
      </c>
      <c r="AJ94" s="73" t="s">
        <v>139</v>
      </c>
      <c r="AK94" s="74">
        <v>0.6</v>
      </c>
      <c r="AL94" s="73">
        <v>3670</v>
      </c>
      <c r="AM94" s="74">
        <v>420</v>
      </c>
      <c r="AN94" s="73">
        <v>34.4</v>
      </c>
      <c r="AO94" s="74">
        <v>50</v>
      </c>
      <c r="AP94" s="73">
        <v>40</v>
      </c>
      <c r="AQ94" s="74">
        <v>1.5</v>
      </c>
      <c r="AR94" s="73" t="s">
        <v>139</v>
      </c>
      <c r="AS94" s="74" t="s">
        <v>139</v>
      </c>
      <c r="AT94" s="73" t="s">
        <v>139</v>
      </c>
      <c r="AU94" s="74" t="s">
        <v>139</v>
      </c>
      <c r="AV94" s="73" t="s">
        <v>139</v>
      </c>
      <c r="AW94" s="74" t="s">
        <v>139</v>
      </c>
      <c r="AX94" s="73">
        <v>36155</v>
      </c>
      <c r="AY94" s="74">
        <v>29855</v>
      </c>
      <c r="AZ94" s="73">
        <v>69</v>
      </c>
      <c r="BA94" s="87">
        <v>563.77</v>
      </c>
      <c r="BB94" s="83" t="s">
        <v>94</v>
      </c>
      <c r="BC94" s="64"/>
      <c r="BD94" s="64"/>
    </row>
    <row r="95" spans="1:56" x14ac:dyDescent="0.3">
      <c r="A95" s="63" t="str">
        <f>VLOOKUP([1]ListOfRegions!A62,[1]ListOfRegions!A62:B136,2,0)</f>
        <v xml:space="preserve">  Καρπάθου</v>
      </c>
      <c r="B95" s="75">
        <v>195</v>
      </c>
      <c r="C95" s="74">
        <v>185</v>
      </c>
      <c r="D95" s="73">
        <v>8.0500000000000007</v>
      </c>
      <c r="E95" s="74">
        <v>110</v>
      </c>
      <c r="F95" s="73">
        <v>110</v>
      </c>
      <c r="G95" s="74">
        <v>1.716</v>
      </c>
      <c r="H95" s="73">
        <v>20</v>
      </c>
      <c r="I95" s="74">
        <v>20</v>
      </c>
      <c r="J95" s="73">
        <v>0.3</v>
      </c>
      <c r="K95" s="74">
        <v>50</v>
      </c>
      <c r="L95" s="73">
        <v>50</v>
      </c>
      <c r="M95" s="74">
        <v>1</v>
      </c>
      <c r="N95" s="73">
        <v>50</v>
      </c>
      <c r="O95" s="74">
        <v>50</v>
      </c>
      <c r="P95" s="73">
        <v>2.5</v>
      </c>
      <c r="Q95" s="74" t="s">
        <v>139</v>
      </c>
      <c r="R95" s="73" t="s">
        <v>139</v>
      </c>
      <c r="S95" s="74" t="s">
        <v>139</v>
      </c>
      <c r="T95" s="73">
        <v>230</v>
      </c>
      <c r="U95" s="74">
        <v>230</v>
      </c>
      <c r="V95" s="73">
        <v>6.9</v>
      </c>
      <c r="W95" s="74">
        <v>110</v>
      </c>
      <c r="X95" s="73">
        <v>110</v>
      </c>
      <c r="Y95" s="74">
        <v>4.45</v>
      </c>
      <c r="Z95" s="73">
        <v>80</v>
      </c>
      <c r="AA95" s="74">
        <v>80</v>
      </c>
      <c r="AB95" s="73">
        <v>2.2000000000000002</v>
      </c>
      <c r="AC95" s="74" t="s">
        <v>139</v>
      </c>
      <c r="AD95" s="73" t="s">
        <v>139</v>
      </c>
      <c r="AE95" s="74" t="s">
        <v>139</v>
      </c>
      <c r="AF95" s="73">
        <v>128</v>
      </c>
      <c r="AG95" s="74">
        <v>120</v>
      </c>
      <c r="AH95" s="73">
        <v>4.25</v>
      </c>
      <c r="AI95" s="74" t="s">
        <v>139</v>
      </c>
      <c r="AJ95" s="73" t="s">
        <v>139</v>
      </c>
      <c r="AK95" s="74" t="s">
        <v>139</v>
      </c>
      <c r="AL95" s="73">
        <v>220</v>
      </c>
      <c r="AM95" s="74">
        <v>220</v>
      </c>
      <c r="AN95" s="73">
        <v>1.38</v>
      </c>
      <c r="AO95" s="74">
        <v>15</v>
      </c>
      <c r="AP95" s="73">
        <v>15</v>
      </c>
      <c r="AQ95" s="74">
        <v>0.15</v>
      </c>
      <c r="AR95" s="73" t="s">
        <v>139</v>
      </c>
      <c r="AS95" s="74" t="s">
        <v>139</v>
      </c>
      <c r="AT95" s="73" t="s">
        <v>139</v>
      </c>
      <c r="AU95" s="74" t="s">
        <v>139</v>
      </c>
      <c r="AV95" s="73" t="s">
        <v>139</v>
      </c>
      <c r="AW95" s="74" t="s">
        <v>139</v>
      </c>
      <c r="AX95" s="73">
        <v>39367</v>
      </c>
      <c r="AY95" s="74">
        <v>39367</v>
      </c>
      <c r="AZ95" s="73" t="s">
        <v>139</v>
      </c>
      <c r="BA95" s="87">
        <v>613.39200000000005</v>
      </c>
      <c r="BB95" s="83" t="s">
        <v>95</v>
      </c>
      <c r="BC95" s="64"/>
      <c r="BD95" s="64"/>
    </row>
    <row r="96" spans="1:56" x14ac:dyDescent="0.3">
      <c r="A96" s="63" t="str">
        <f>VLOOKUP([1]ListOfRegions!A63,[1]ListOfRegions!A63:B137,2,0)</f>
        <v xml:space="preserve">  Κύθνου</v>
      </c>
      <c r="B96" s="75">
        <v>325</v>
      </c>
      <c r="C96" s="74">
        <v>220</v>
      </c>
      <c r="D96" s="73">
        <v>8.65</v>
      </c>
      <c r="E96" s="74">
        <v>290</v>
      </c>
      <c r="F96" s="73">
        <v>220</v>
      </c>
      <c r="G96" s="74">
        <v>7.35</v>
      </c>
      <c r="H96" s="73">
        <v>210</v>
      </c>
      <c r="I96" s="74">
        <v>175</v>
      </c>
      <c r="J96" s="73">
        <v>3.5249999999999999</v>
      </c>
      <c r="K96" s="74">
        <v>98</v>
      </c>
      <c r="L96" s="73">
        <v>80</v>
      </c>
      <c r="M96" s="74">
        <v>0.98</v>
      </c>
      <c r="N96" s="73">
        <v>30</v>
      </c>
      <c r="O96" s="74">
        <v>20</v>
      </c>
      <c r="P96" s="73">
        <v>0.45</v>
      </c>
      <c r="Q96" s="74" t="s">
        <v>139</v>
      </c>
      <c r="R96" s="73" t="s">
        <v>139</v>
      </c>
      <c r="S96" s="74" t="s">
        <v>139</v>
      </c>
      <c r="T96" s="73">
        <v>180</v>
      </c>
      <c r="U96" s="74">
        <v>90</v>
      </c>
      <c r="V96" s="73">
        <v>2.25</v>
      </c>
      <c r="W96" s="74">
        <v>30</v>
      </c>
      <c r="X96" s="73">
        <v>20</v>
      </c>
      <c r="Y96" s="74">
        <v>0.5</v>
      </c>
      <c r="Z96" s="73">
        <v>135</v>
      </c>
      <c r="AA96" s="74">
        <v>80</v>
      </c>
      <c r="AB96" s="73">
        <v>1.35</v>
      </c>
      <c r="AC96" s="74">
        <v>20</v>
      </c>
      <c r="AD96" s="73" t="s">
        <v>139</v>
      </c>
      <c r="AE96" s="74">
        <v>0.3</v>
      </c>
      <c r="AF96" s="73">
        <v>2685</v>
      </c>
      <c r="AG96" s="74">
        <v>50</v>
      </c>
      <c r="AH96" s="73">
        <v>25.75</v>
      </c>
      <c r="AI96" s="74">
        <v>40</v>
      </c>
      <c r="AJ96" s="73">
        <v>40</v>
      </c>
      <c r="AK96" s="74">
        <v>0.48</v>
      </c>
      <c r="AL96" s="73">
        <v>3801</v>
      </c>
      <c r="AM96" s="74">
        <v>2900</v>
      </c>
      <c r="AN96" s="73">
        <v>38.01</v>
      </c>
      <c r="AO96" s="74" t="s">
        <v>139</v>
      </c>
      <c r="AP96" s="73" t="s">
        <v>139</v>
      </c>
      <c r="AQ96" s="74" t="s">
        <v>139</v>
      </c>
      <c r="AR96" s="73" t="s">
        <v>139</v>
      </c>
      <c r="AS96" s="74" t="s">
        <v>139</v>
      </c>
      <c r="AT96" s="73" t="s">
        <v>139</v>
      </c>
      <c r="AU96" s="74" t="s">
        <v>139</v>
      </c>
      <c r="AV96" s="73" t="s">
        <v>139</v>
      </c>
      <c r="AW96" s="74" t="s">
        <v>139</v>
      </c>
      <c r="AX96" s="73">
        <v>82967</v>
      </c>
      <c r="AY96" s="74">
        <v>67848</v>
      </c>
      <c r="AZ96" s="73">
        <v>4.2</v>
      </c>
      <c r="BA96" s="87">
        <v>196.63200000000001</v>
      </c>
      <c r="BB96" s="83" t="s">
        <v>96</v>
      </c>
      <c r="BC96" s="64"/>
      <c r="BD96" s="64"/>
    </row>
    <row r="97" spans="1:56" x14ac:dyDescent="0.3">
      <c r="A97" s="63" t="str">
        <f>VLOOKUP([1]ListOfRegions!A64,[1]ListOfRegions!A64:B138,2,0)</f>
        <v xml:space="preserve">  Κω</v>
      </c>
      <c r="B97" s="75">
        <v>3024</v>
      </c>
      <c r="C97" s="74">
        <v>3024</v>
      </c>
      <c r="D97" s="73">
        <v>112.968</v>
      </c>
      <c r="E97" s="74">
        <v>5712</v>
      </c>
      <c r="F97" s="73">
        <v>5712</v>
      </c>
      <c r="G97" s="74">
        <v>142.71199999999999</v>
      </c>
      <c r="H97" s="73">
        <v>1096</v>
      </c>
      <c r="I97" s="74">
        <v>1096</v>
      </c>
      <c r="J97" s="73">
        <v>48.430999999999997</v>
      </c>
      <c r="K97" s="74">
        <v>360</v>
      </c>
      <c r="L97" s="73">
        <v>360</v>
      </c>
      <c r="M97" s="74">
        <v>12.52</v>
      </c>
      <c r="N97" s="73">
        <v>40</v>
      </c>
      <c r="O97" s="74" t="s">
        <v>139</v>
      </c>
      <c r="P97" s="73">
        <v>2</v>
      </c>
      <c r="Q97" s="74" t="s">
        <v>139</v>
      </c>
      <c r="R97" s="73" t="s">
        <v>139</v>
      </c>
      <c r="S97" s="74" t="s">
        <v>139</v>
      </c>
      <c r="T97" s="73" t="s">
        <v>139</v>
      </c>
      <c r="U97" s="74" t="s">
        <v>139</v>
      </c>
      <c r="V97" s="73" t="s">
        <v>139</v>
      </c>
      <c r="W97" s="74">
        <v>2509</v>
      </c>
      <c r="X97" s="73">
        <v>2509</v>
      </c>
      <c r="Y97" s="74">
        <v>25.05</v>
      </c>
      <c r="Z97" s="73">
        <v>1200</v>
      </c>
      <c r="AA97" s="74">
        <v>1160</v>
      </c>
      <c r="AB97" s="73">
        <v>27.35</v>
      </c>
      <c r="AC97" s="74" t="s">
        <v>139</v>
      </c>
      <c r="AD97" s="73" t="s">
        <v>139</v>
      </c>
      <c r="AE97" s="74" t="s">
        <v>139</v>
      </c>
      <c r="AF97" s="73">
        <v>180</v>
      </c>
      <c r="AG97" s="74">
        <v>140</v>
      </c>
      <c r="AH97" s="73">
        <v>16</v>
      </c>
      <c r="AI97" s="74">
        <v>250</v>
      </c>
      <c r="AJ97" s="73">
        <v>250</v>
      </c>
      <c r="AK97" s="74">
        <v>11.5</v>
      </c>
      <c r="AL97" s="73">
        <v>110</v>
      </c>
      <c r="AM97" s="74" t="s">
        <v>139</v>
      </c>
      <c r="AN97" s="73">
        <v>1.2</v>
      </c>
      <c r="AO97" s="74" t="s">
        <v>139</v>
      </c>
      <c r="AP97" s="73" t="s">
        <v>139</v>
      </c>
      <c r="AQ97" s="74" t="s">
        <v>139</v>
      </c>
      <c r="AR97" s="73" t="s">
        <v>139</v>
      </c>
      <c r="AS97" s="74" t="s">
        <v>139</v>
      </c>
      <c r="AT97" s="73" t="s">
        <v>139</v>
      </c>
      <c r="AU97" s="74" t="s">
        <v>139</v>
      </c>
      <c r="AV97" s="73" t="s">
        <v>139</v>
      </c>
      <c r="AW97" s="74" t="s">
        <v>139</v>
      </c>
      <c r="AX97" s="73">
        <v>121047</v>
      </c>
      <c r="AY97" s="74">
        <v>121047</v>
      </c>
      <c r="AZ97" s="73" t="s">
        <v>139</v>
      </c>
      <c r="BA97" s="87">
        <v>907.52099999999996</v>
      </c>
      <c r="BB97" s="83" t="s">
        <v>97</v>
      </c>
      <c r="BC97" s="64"/>
      <c r="BD97" s="64"/>
    </row>
    <row r="98" spans="1:56" x14ac:dyDescent="0.3">
      <c r="A98" s="63" t="str">
        <f>VLOOKUP([1]ListOfRegions!A65,[1]ListOfRegions!A65:B139,2,0)</f>
        <v xml:space="preserve">  Μήλου</v>
      </c>
      <c r="B98" s="75">
        <v>3457</v>
      </c>
      <c r="C98" s="74">
        <v>907</v>
      </c>
      <c r="D98" s="73">
        <v>73.257000000000005</v>
      </c>
      <c r="E98" s="74">
        <v>2984</v>
      </c>
      <c r="F98" s="73">
        <v>1274</v>
      </c>
      <c r="G98" s="74">
        <v>73</v>
      </c>
      <c r="H98" s="73">
        <v>1279</v>
      </c>
      <c r="I98" s="74">
        <v>599</v>
      </c>
      <c r="J98" s="73">
        <v>24.9</v>
      </c>
      <c r="K98" s="74">
        <v>1135</v>
      </c>
      <c r="L98" s="73">
        <v>80</v>
      </c>
      <c r="M98" s="74">
        <v>10.220000000000001</v>
      </c>
      <c r="N98" s="73">
        <v>20</v>
      </c>
      <c r="O98" s="74" t="s">
        <v>139</v>
      </c>
      <c r="P98" s="73">
        <v>0.13</v>
      </c>
      <c r="Q98" s="74" t="s">
        <v>139</v>
      </c>
      <c r="R98" s="73" t="s">
        <v>139</v>
      </c>
      <c r="S98" s="74" t="s">
        <v>139</v>
      </c>
      <c r="T98" s="73">
        <v>312</v>
      </c>
      <c r="U98" s="74">
        <v>62</v>
      </c>
      <c r="V98" s="73">
        <v>5.99</v>
      </c>
      <c r="W98" s="74">
        <v>510</v>
      </c>
      <c r="X98" s="73">
        <v>25</v>
      </c>
      <c r="Y98" s="74">
        <v>4.5599999999999996</v>
      </c>
      <c r="Z98" s="73">
        <v>944</v>
      </c>
      <c r="AA98" s="74">
        <v>74</v>
      </c>
      <c r="AB98" s="73">
        <v>14.298</v>
      </c>
      <c r="AC98" s="74">
        <v>7</v>
      </c>
      <c r="AD98" s="73" t="s">
        <v>139</v>
      </c>
      <c r="AE98" s="74">
        <v>0.08</v>
      </c>
      <c r="AF98" s="73">
        <v>2762</v>
      </c>
      <c r="AG98" s="74">
        <v>117</v>
      </c>
      <c r="AH98" s="73">
        <v>17.8</v>
      </c>
      <c r="AI98" s="74">
        <v>390</v>
      </c>
      <c r="AJ98" s="73">
        <v>50</v>
      </c>
      <c r="AK98" s="74">
        <v>5.3449999999999998</v>
      </c>
      <c r="AL98" s="73">
        <v>1666</v>
      </c>
      <c r="AM98" s="74">
        <v>26</v>
      </c>
      <c r="AN98" s="73">
        <v>5.9</v>
      </c>
      <c r="AO98" s="74">
        <v>25</v>
      </c>
      <c r="AP98" s="73" t="s">
        <v>139</v>
      </c>
      <c r="AQ98" s="74">
        <v>0.37</v>
      </c>
      <c r="AR98" s="73" t="s">
        <v>139</v>
      </c>
      <c r="AS98" s="74" t="s">
        <v>139</v>
      </c>
      <c r="AT98" s="73" t="s">
        <v>139</v>
      </c>
      <c r="AU98" s="74">
        <v>611</v>
      </c>
      <c r="AV98" s="73">
        <v>366</v>
      </c>
      <c r="AW98" s="74">
        <v>0.92100000000000004</v>
      </c>
      <c r="AX98" s="73">
        <v>107856</v>
      </c>
      <c r="AY98" s="74">
        <v>72653</v>
      </c>
      <c r="AZ98" s="73">
        <v>1.56</v>
      </c>
      <c r="BA98" s="87">
        <v>93.207999999999998</v>
      </c>
      <c r="BB98" s="83" t="s">
        <v>98</v>
      </c>
      <c r="BC98" s="64"/>
      <c r="BD98" s="64"/>
    </row>
    <row r="99" spans="1:56" x14ac:dyDescent="0.3">
      <c r="A99" s="63" t="str">
        <f>VLOOKUP([1]ListOfRegions!A66,[1]ListOfRegions!A66:B140,2,0)</f>
        <v xml:space="preserve">  Μυκόνου.</v>
      </c>
      <c r="B99" s="75">
        <v>20</v>
      </c>
      <c r="C99" s="74" t="s">
        <v>139</v>
      </c>
      <c r="D99" s="73">
        <v>0.6</v>
      </c>
      <c r="E99" s="74" t="s">
        <v>139</v>
      </c>
      <c r="F99" s="73" t="s">
        <v>139</v>
      </c>
      <c r="G99" s="74" t="s">
        <v>139</v>
      </c>
      <c r="H99" s="73" t="s">
        <v>139</v>
      </c>
      <c r="I99" s="74" t="s">
        <v>139</v>
      </c>
      <c r="J99" s="73" t="s">
        <v>139</v>
      </c>
      <c r="K99" s="74" t="s">
        <v>139</v>
      </c>
      <c r="L99" s="73" t="s">
        <v>139</v>
      </c>
      <c r="M99" s="74" t="s">
        <v>139</v>
      </c>
      <c r="N99" s="73" t="s">
        <v>139</v>
      </c>
      <c r="O99" s="74" t="s">
        <v>139</v>
      </c>
      <c r="P99" s="73" t="s">
        <v>139</v>
      </c>
      <c r="Q99" s="74" t="s">
        <v>139</v>
      </c>
      <c r="R99" s="73" t="s">
        <v>139</v>
      </c>
      <c r="S99" s="74" t="s">
        <v>139</v>
      </c>
      <c r="T99" s="73" t="s">
        <v>139</v>
      </c>
      <c r="U99" s="74" t="s">
        <v>139</v>
      </c>
      <c r="V99" s="73" t="s">
        <v>139</v>
      </c>
      <c r="W99" s="74" t="s">
        <v>139</v>
      </c>
      <c r="X99" s="73" t="s">
        <v>139</v>
      </c>
      <c r="Y99" s="74" t="s">
        <v>139</v>
      </c>
      <c r="Z99" s="73" t="s">
        <v>139</v>
      </c>
      <c r="AA99" s="74" t="s">
        <v>139</v>
      </c>
      <c r="AB99" s="73" t="s">
        <v>139</v>
      </c>
      <c r="AC99" s="74" t="s">
        <v>139</v>
      </c>
      <c r="AD99" s="73" t="s">
        <v>139</v>
      </c>
      <c r="AE99" s="74" t="s">
        <v>139</v>
      </c>
      <c r="AF99" s="73" t="s">
        <v>139</v>
      </c>
      <c r="AG99" s="74" t="s">
        <v>139</v>
      </c>
      <c r="AH99" s="73" t="s">
        <v>139</v>
      </c>
      <c r="AI99" s="74" t="s">
        <v>139</v>
      </c>
      <c r="AJ99" s="73" t="s">
        <v>139</v>
      </c>
      <c r="AK99" s="74" t="s">
        <v>139</v>
      </c>
      <c r="AL99" s="73" t="s">
        <v>139</v>
      </c>
      <c r="AM99" s="74" t="s">
        <v>139</v>
      </c>
      <c r="AN99" s="73" t="s">
        <v>139</v>
      </c>
      <c r="AO99" s="74" t="s">
        <v>139</v>
      </c>
      <c r="AP99" s="73" t="s">
        <v>139</v>
      </c>
      <c r="AQ99" s="74" t="s">
        <v>139</v>
      </c>
      <c r="AR99" s="73" t="s">
        <v>139</v>
      </c>
      <c r="AS99" s="74" t="s">
        <v>139</v>
      </c>
      <c r="AT99" s="73" t="s">
        <v>139</v>
      </c>
      <c r="AU99" s="74" t="s">
        <v>139</v>
      </c>
      <c r="AV99" s="73" t="s">
        <v>139</v>
      </c>
      <c r="AW99" s="74" t="s">
        <v>139</v>
      </c>
      <c r="AX99" s="73">
        <v>585</v>
      </c>
      <c r="AY99" s="74">
        <v>495</v>
      </c>
      <c r="AZ99" s="73" t="s">
        <v>139</v>
      </c>
      <c r="BA99" s="87">
        <v>4.68</v>
      </c>
      <c r="BB99" s="83" t="s">
        <v>99</v>
      </c>
      <c r="BC99" s="64"/>
      <c r="BD99" s="64"/>
    </row>
    <row r="100" spans="1:56" x14ac:dyDescent="0.3">
      <c r="A100" s="63" t="str">
        <f>VLOOKUP([1]ListOfRegions!A67,[1]ListOfRegions!A67:B141,2,0)</f>
        <v xml:space="preserve">  Νάξου</v>
      </c>
      <c r="B100" s="75">
        <v>10218</v>
      </c>
      <c r="C100" s="74">
        <v>1991</v>
      </c>
      <c r="D100" s="73">
        <v>356.68</v>
      </c>
      <c r="E100" s="74">
        <v>11692</v>
      </c>
      <c r="F100" s="73">
        <v>4669</v>
      </c>
      <c r="G100" s="74">
        <v>480.05</v>
      </c>
      <c r="H100" s="73">
        <v>3312</v>
      </c>
      <c r="I100" s="74">
        <v>869</v>
      </c>
      <c r="J100" s="73">
        <v>104.65</v>
      </c>
      <c r="K100" s="74">
        <v>3373</v>
      </c>
      <c r="L100" s="73">
        <v>138</v>
      </c>
      <c r="M100" s="74">
        <v>90.93</v>
      </c>
      <c r="N100" s="73">
        <v>2051</v>
      </c>
      <c r="O100" s="74">
        <v>135</v>
      </c>
      <c r="P100" s="73">
        <v>70.989999999999995</v>
      </c>
      <c r="Q100" s="74" t="s">
        <v>139</v>
      </c>
      <c r="R100" s="73" t="s">
        <v>139</v>
      </c>
      <c r="S100" s="74" t="s">
        <v>139</v>
      </c>
      <c r="T100" s="73">
        <v>2429</v>
      </c>
      <c r="U100" s="74">
        <v>355</v>
      </c>
      <c r="V100" s="73">
        <v>67.8</v>
      </c>
      <c r="W100" s="74">
        <v>2450</v>
      </c>
      <c r="X100" s="73">
        <v>695</v>
      </c>
      <c r="Y100" s="74">
        <v>80.454999999999998</v>
      </c>
      <c r="Z100" s="73">
        <v>2993</v>
      </c>
      <c r="AA100" s="74">
        <v>278</v>
      </c>
      <c r="AB100" s="73">
        <v>70.144999999999996</v>
      </c>
      <c r="AC100" s="74">
        <v>1279</v>
      </c>
      <c r="AD100" s="73">
        <v>787</v>
      </c>
      <c r="AE100" s="74">
        <v>31.355</v>
      </c>
      <c r="AF100" s="73">
        <v>2379</v>
      </c>
      <c r="AG100" s="74">
        <v>189</v>
      </c>
      <c r="AH100" s="73">
        <v>68.25</v>
      </c>
      <c r="AI100" s="74">
        <v>1120</v>
      </c>
      <c r="AJ100" s="73">
        <v>400</v>
      </c>
      <c r="AK100" s="74">
        <v>15.62</v>
      </c>
      <c r="AL100" s="73">
        <v>2075</v>
      </c>
      <c r="AM100" s="74">
        <v>40</v>
      </c>
      <c r="AN100" s="73">
        <v>20.85</v>
      </c>
      <c r="AO100" s="74">
        <v>414</v>
      </c>
      <c r="AP100" s="73">
        <v>61</v>
      </c>
      <c r="AQ100" s="74">
        <v>6.8419999999999996</v>
      </c>
      <c r="AR100" s="73">
        <v>100</v>
      </c>
      <c r="AS100" s="74">
        <v>40</v>
      </c>
      <c r="AT100" s="73">
        <v>2.38</v>
      </c>
      <c r="AU100" s="74">
        <v>135</v>
      </c>
      <c r="AV100" s="73" t="s">
        <v>139</v>
      </c>
      <c r="AW100" s="74">
        <v>1.6</v>
      </c>
      <c r="AX100" s="73">
        <v>127105</v>
      </c>
      <c r="AY100" s="74">
        <v>97671</v>
      </c>
      <c r="AZ100" s="73">
        <v>310.92</v>
      </c>
      <c r="BA100" s="87">
        <v>1215.1600000000001</v>
      </c>
      <c r="BB100" s="83" t="s">
        <v>100</v>
      </c>
      <c r="BC100" s="64"/>
      <c r="BD100" s="64"/>
    </row>
    <row r="101" spans="1:56" x14ac:dyDescent="0.3">
      <c r="A101" s="63" t="str">
        <f>VLOOKUP([1]ListOfRegions!A68,[1]ListOfRegions!A68:B142,2,0)</f>
        <v xml:space="preserve">  Πάρου</v>
      </c>
      <c r="B101" s="75">
        <v>1243</v>
      </c>
      <c r="C101" s="74">
        <v>463</v>
      </c>
      <c r="D101" s="73">
        <v>57.57</v>
      </c>
      <c r="E101" s="74">
        <v>1320</v>
      </c>
      <c r="F101" s="73">
        <v>460</v>
      </c>
      <c r="G101" s="74">
        <v>77.2</v>
      </c>
      <c r="H101" s="73">
        <v>862</v>
      </c>
      <c r="I101" s="74">
        <v>322</v>
      </c>
      <c r="J101" s="73">
        <v>35.200000000000003</v>
      </c>
      <c r="K101" s="74">
        <v>594</v>
      </c>
      <c r="L101" s="73">
        <v>239</v>
      </c>
      <c r="M101" s="74">
        <v>21.5</v>
      </c>
      <c r="N101" s="73">
        <v>250</v>
      </c>
      <c r="O101" s="74">
        <v>50</v>
      </c>
      <c r="P101" s="73">
        <v>11.75</v>
      </c>
      <c r="Q101" s="74" t="s">
        <v>139</v>
      </c>
      <c r="R101" s="73" t="s">
        <v>139</v>
      </c>
      <c r="S101" s="74" t="s">
        <v>139</v>
      </c>
      <c r="T101" s="73">
        <v>1672</v>
      </c>
      <c r="U101" s="74">
        <v>1172</v>
      </c>
      <c r="V101" s="73">
        <v>102.2</v>
      </c>
      <c r="W101" s="74">
        <v>330</v>
      </c>
      <c r="X101" s="73" t="s">
        <v>139</v>
      </c>
      <c r="Y101" s="74">
        <v>13.2</v>
      </c>
      <c r="Z101" s="73">
        <v>410</v>
      </c>
      <c r="AA101" s="74">
        <v>128</v>
      </c>
      <c r="AB101" s="73">
        <v>14.35</v>
      </c>
      <c r="AC101" s="74" t="s">
        <v>139</v>
      </c>
      <c r="AD101" s="73" t="s">
        <v>139</v>
      </c>
      <c r="AE101" s="74" t="s">
        <v>139</v>
      </c>
      <c r="AF101" s="73">
        <v>969</v>
      </c>
      <c r="AG101" s="74">
        <v>459</v>
      </c>
      <c r="AH101" s="73">
        <v>65.126999999999995</v>
      </c>
      <c r="AI101" s="74">
        <v>130</v>
      </c>
      <c r="AJ101" s="73" t="s">
        <v>139</v>
      </c>
      <c r="AK101" s="74">
        <v>6.3</v>
      </c>
      <c r="AL101" s="73">
        <v>520</v>
      </c>
      <c r="AM101" s="74">
        <v>320</v>
      </c>
      <c r="AN101" s="73">
        <v>8.25</v>
      </c>
      <c r="AO101" s="74">
        <v>40</v>
      </c>
      <c r="AP101" s="73" t="s">
        <v>139</v>
      </c>
      <c r="AQ101" s="74">
        <v>0.9</v>
      </c>
      <c r="AR101" s="73" t="s">
        <v>139</v>
      </c>
      <c r="AS101" s="74" t="s">
        <v>139</v>
      </c>
      <c r="AT101" s="73" t="s">
        <v>139</v>
      </c>
      <c r="AU101" s="74">
        <v>30</v>
      </c>
      <c r="AV101" s="73">
        <v>30</v>
      </c>
      <c r="AW101" s="74">
        <v>1.45</v>
      </c>
      <c r="AX101" s="73">
        <v>80875</v>
      </c>
      <c r="AY101" s="74">
        <v>76575</v>
      </c>
      <c r="AZ101" s="73">
        <v>245.92</v>
      </c>
      <c r="BA101" s="87">
        <v>602.57000000000005</v>
      </c>
      <c r="BB101" s="83" t="s">
        <v>101</v>
      </c>
      <c r="BC101" s="64"/>
      <c r="BD101" s="64"/>
    </row>
    <row r="102" spans="1:56" x14ac:dyDescent="0.3">
      <c r="A102" s="63" t="str">
        <f>VLOOKUP([1]ListOfRegions!A69,[1]ListOfRegions!A69:B143,2,0)</f>
        <v xml:space="preserve">  Ρόδου</v>
      </c>
      <c r="B102" s="75">
        <v>17868</v>
      </c>
      <c r="C102" s="74">
        <v>17668</v>
      </c>
      <c r="D102" s="73">
        <v>1424.6949999999999</v>
      </c>
      <c r="E102" s="74">
        <v>92002</v>
      </c>
      <c r="F102" s="73">
        <v>91797</v>
      </c>
      <c r="G102" s="74">
        <v>8807.5010000000002</v>
      </c>
      <c r="H102" s="73">
        <v>7281</v>
      </c>
      <c r="I102" s="74">
        <v>7151</v>
      </c>
      <c r="J102" s="73">
        <v>528.41600000000005</v>
      </c>
      <c r="K102" s="74">
        <v>1277</v>
      </c>
      <c r="L102" s="73">
        <v>1267</v>
      </c>
      <c r="M102" s="74">
        <v>58.4</v>
      </c>
      <c r="N102" s="73">
        <v>5800</v>
      </c>
      <c r="O102" s="74">
        <v>5800</v>
      </c>
      <c r="P102" s="73">
        <v>192.9</v>
      </c>
      <c r="Q102" s="74" t="s">
        <v>139</v>
      </c>
      <c r="R102" s="73" t="s">
        <v>139</v>
      </c>
      <c r="S102" s="74" t="s">
        <v>139</v>
      </c>
      <c r="T102" s="73">
        <v>15831</v>
      </c>
      <c r="U102" s="74">
        <v>15786</v>
      </c>
      <c r="V102" s="73">
        <v>713.35</v>
      </c>
      <c r="W102" s="74">
        <v>21547</v>
      </c>
      <c r="X102" s="73">
        <v>21427</v>
      </c>
      <c r="Y102" s="74">
        <v>777.77099999999996</v>
      </c>
      <c r="Z102" s="73">
        <v>4253</v>
      </c>
      <c r="AA102" s="74">
        <v>4238</v>
      </c>
      <c r="AB102" s="73">
        <v>114.48</v>
      </c>
      <c r="AC102" s="74">
        <v>170</v>
      </c>
      <c r="AD102" s="73">
        <v>160</v>
      </c>
      <c r="AE102" s="74">
        <v>1.851</v>
      </c>
      <c r="AF102" s="73">
        <v>1045</v>
      </c>
      <c r="AG102" s="74">
        <v>965</v>
      </c>
      <c r="AH102" s="73">
        <v>30.2</v>
      </c>
      <c r="AI102" s="74">
        <v>40</v>
      </c>
      <c r="AJ102" s="73">
        <v>40</v>
      </c>
      <c r="AK102" s="74">
        <v>0.9</v>
      </c>
      <c r="AL102" s="73">
        <v>2025</v>
      </c>
      <c r="AM102" s="74">
        <v>2025</v>
      </c>
      <c r="AN102" s="73">
        <v>13.051</v>
      </c>
      <c r="AO102" s="74">
        <v>631</v>
      </c>
      <c r="AP102" s="73">
        <v>631</v>
      </c>
      <c r="AQ102" s="74">
        <v>6</v>
      </c>
      <c r="AR102" s="73" t="s">
        <v>139</v>
      </c>
      <c r="AS102" s="74" t="s">
        <v>139</v>
      </c>
      <c r="AT102" s="73" t="s">
        <v>139</v>
      </c>
      <c r="AU102" s="74">
        <v>40</v>
      </c>
      <c r="AV102" s="73">
        <v>40</v>
      </c>
      <c r="AW102" s="74">
        <v>0.2</v>
      </c>
      <c r="AX102" s="73">
        <v>1059432</v>
      </c>
      <c r="AY102" s="74">
        <v>1059182</v>
      </c>
      <c r="AZ102" s="73">
        <v>18989.8</v>
      </c>
      <c r="BA102" s="87">
        <v>22401.947</v>
      </c>
      <c r="BB102" s="83" t="s">
        <v>102</v>
      </c>
      <c r="BC102" s="64"/>
      <c r="BD102" s="64"/>
    </row>
    <row r="103" spans="1:56" x14ac:dyDescent="0.3">
      <c r="A103" s="63" t="str">
        <f>VLOOKUP([1]ListOfRegions!A70,[1]ListOfRegions!A70:B144,2,0)</f>
        <v xml:space="preserve">  Τήνου</v>
      </c>
      <c r="B103" s="75">
        <v>398</v>
      </c>
      <c r="C103" s="74">
        <v>190</v>
      </c>
      <c r="D103" s="73">
        <v>11.88</v>
      </c>
      <c r="E103" s="74">
        <v>900</v>
      </c>
      <c r="F103" s="73">
        <v>525</v>
      </c>
      <c r="G103" s="74">
        <v>26.43</v>
      </c>
      <c r="H103" s="73">
        <v>612</v>
      </c>
      <c r="I103" s="74">
        <v>303</v>
      </c>
      <c r="J103" s="73">
        <v>12.24</v>
      </c>
      <c r="K103" s="74">
        <v>1160</v>
      </c>
      <c r="L103" s="73" t="s">
        <v>139</v>
      </c>
      <c r="M103" s="74">
        <v>12.086</v>
      </c>
      <c r="N103" s="73">
        <v>12</v>
      </c>
      <c r="O103" s="74" t="s">
        <v>139</v>
      </c>
      <c r="P103" s="73">
        <v>0.18</v>
      </c>
      <c r="Q103" s="74" t="s">
        <v>139</v>
      </c>
      <c r="R103" s="73" t="s">
        <v>139</v>
      </c>
      <c r="S103" s="74" t="s">
        <v>139</v>
      </c>
      <c r="T103" s="73">
        <v>32</v>
      </c>
      <c r="U103" s="74" t="s">
        <v>139</v>
      </c>
      <c r="V103" s="73">
        <v>0.8</v>
      </c>
      <c r="W103" s="74">
        <v>30</v>
      </c>
      <c r="X103" s="73" t="s">
        <v>139</v>
      </c>
      <c r="Y103" s="74">
        <v>0.33500000000000002</v>
      </c>
      <c r="Z103" s="73">
        <v>19</v>
      </c>
      <c r="AA103" s="74" t="s">
        <v>139</v>
      </c>
      <c r="AB103" s="73">
        <v>0.19</v>
      </c>
      <c r="AC103" s="74">
        <v>8</v>
      </c>
      <c r="AD103" s="73" t="s">
        <v>139</v>
      </c>
      <c r="AE103" s="74">
        <v>0.12</v>
      </c>
      <c r="AF103" s="73">
        <v>65</v>
      </c>
      <c r="AG103" s="74">
        <v>20</v>
      </c>
      <c r="AH103" s="73">
        <v>0.65</v>
      </c>
      <c r="AI103" s="74" t="s">
        <v>139</v>
      </c>
      <c r="AJ103" s="73" t="s">
        <v>139</v>
      </c>
      <c r="AK103" s="74" t="s">
        <v>139</v>
      </c>
      <c r="AL103" s="73" t="s">
        <v>139</v>
      </c>
      <c r="AM103" s="74" t="s">
        <v>139</v>
      </c>
      <c r="AN103" s="73" t="s">
        <v>139</v>
      </c>
      <c r="AO103" s="74" t="s">
        <v>139</v>
      </c>
      <c r="AP103" s="73" t="s">
        <v>139</v>
      </c>
      <c r="AQ103" s="74" t="s">
        <v>139</v>
      </c>
      <c r="AR103" s="73" t="s">
        <v>139</v>
      </c>
      <c r="AS103" s="74" t="s">
        <v>139</v>
      </c>
      <c r="AT103" s="73" t="s">
        <v>139</v>
      </c>
      <c r="AU103" s="74" t="s">
        <v>139</v>
      </c>
      <c r="AV103" s="73" t="s">
        <v>139</v>
      </c>
      <c r="AW103" s="74" t="s">
        <v>139</v>
      </c>
      <c r="AX103" s="73">
        <v>92230</v>
      </c>
      <c r="AY103" s="74">
        <v>38194</v>
      </c>
      <c r="AZ103" s="73" t="s">
        <v>139</v>
      </c>
      <c r="BA103" s="87">
        <v>407.76</v>
      </c>
      <c r="BB103" s="83" t="s">
        <v>103</v>
      </c>
      <c r="BC103" s="64"/>
      <c r="BD103" s="64"/>
    </row>
    <row r="104" spans="1:56" x14ac:dyDescent="0.3">
      <c r="A104" s="94" t="s">
        <v>104</v>
      </c>
      <c r="B104" s="95">
        <f t="shared" ref="B104:J104" si="58">SUM(B106:B109)</f>
        <v>168604</v>
      </c>
      <c r="C104" s="89">
        <f t="shared" si="58"/>
        <v>106369</v>
      </c>
      <c r="D104" s="89">
        <f t="shared" si="58"/>
        <v>6320.1660000000002</v>
      </c>
      <c r="E104" s="89">
        <f t="shared" si="58"/>
        <v>782678</v>
      </c>
      <c r="F104" s="89">
        <f t="shared" si="58"/>
        <v>687925</v>
      </c>
      <c r="G104" s="89">
        <f>SUM(G106:G109)</f>
        <v>38278.256999999998</v>
      </c>
      <c r="H104" s="89">
        <f t="shared" si="58"/>
        <v>136745</v>
      </c>
      <c r="I104" s="89">
        <f t="shared" si="58"/>
        <v>71231</v>
      </c>
      <c r="J104" s="89">
        <f t="shared" si="58"/>
        <v>3881.8250000000003</v>
      </c>
      <c r="K104" s="89">
        <f>SUM(K106:K109)</f>
        <v>92425</v>
      </c>
      <c r="L104" s="89">
        <f>SUM(L106:L109)</f>
        <v>26820</v>
      </c>
      <c r="M104" s="89">
        <f>SUM(M106:M109)</f>
        <v>2063.7289999999998</v>
      </c>
      <c r="N104" s="89">
        <f>SUM(N106:N109)</f>
        <v>141163</v>
      </c>
      <c r="O104" s="89">
        <f t="shared" ref="O104:AE104" si="59">SUM(O106:O109)</f>
        <v>115747</v>
      </c>
      <c r="P104" s="89">
        <f t="shared" si="59"/>
        <v>4878.1149999999998</v>
      </c>
      <c r="Q104" s="89">
        <f t="shared" ref="Q104:V104" si="60">SUM(Q106:Q109)</f>
        <v>11681</v>
      </c>
      <c r="R104" s="89">
        <f t="shared" si="60"/>
        <v>9843</v>
      </c>
      <c r="S104" s="89">
        <f t="shared" si="60"/>
        <v>450.00799999999998</v>
      </c>
      <c r="T104" s="89">
        <f t="shared" si="60"/>
        <v>65613</v>
      </c>
      <c r="U104" s="89">
        <f t="shared" si="60"/>
        <v>39802</v>
      </c>
      <c r="V104" s="89">
        <f t="shared" si="60"/>
        <v>1817.0649999999998</v>
      </c>
      <c r="W104" s="89">
        <f t="shared" si="59"/>
        <v>25097</v>
      </c>
      <c r="X104" s="89">
        <f t="shared" si="59"/>
        <v>8190</v>
      </c>
      <c r="Y104" s="89">
        <f t="shared" si="59"/>
        <v>660.16399999999999</v>
      </c>
      <c r="Z104" s="93">
        <f t="shared" si="59"/>
        <v>31559</v>
      </c>
      <c r="AA104" s="89">
        <f t="shared" si="59"/>
        <v>11004</v>
      </c>
      <c r="AB104" s="89">
        <f t="shared" si="59"/>
        <v>614.59</v>
      </c>
      <c r="AC104" s="89">
        <f t="shared" si="59"/>
        <v>18525</v>
      </c>
      <c r="AD104" s="89">
        <f t="shared" si="59"/>
        <v>11463</v>
      </c>
      <c r="AE104" s="89">
        <f t="shared" si="59"/>
        <v>293.75400000000002</v>
      </c>
      <c r="AF104" s="89">
        <f>SUM(AF106:AF109)</f>
        <v>63438</v>
      </c>
      <c r="AG104" s="89">
        <f t="shared" ref="AG104:AQ104" si="61">SUM(AG106:AG109)</f>
        <v>9759</v>
      </c>
      <c r="AH104" s="89">
        <f t="shared" si="61"/>
        <v>1105.9299999999998</v>
      </c>
      <c r="AI104" s="89">
        <f t="shared" si="61"/>
        <v>400</v>
      </c>
      <c r="AJ104" s="89">
        <f t="shared" si="61"/>
        <v>310</v>
      </c>
      <c r="AK104" s="89">
        <f t="shared" si="61"/>
        <v>10.09</v>
      </c>
      <c r="AL104" s="89">
        <f t="shared" si="61"/>
        <v>60672</v>
      </c>
      <c r="AM104" s="89">
        <f t="shared" si="61"/>
        <v>8773</v>
      </c>
      <c r="AN104" s="89">
        <f t="shared" si="61"/>
        <v>946.19699999999989</v>
      </c>
      <c r="AO104" s="89">
        <f t="shared" si="61"/>
        <v>92753</v>
      </c>
      <c r="AP104" s="89">
        <f t="shared" si="61"/>
        <v>52539</v>
      </c>
      <c r="AQ104" s="89">
        <f t="shared" si="61"/>
        <v>2269.2309999999998</v>
      </c>
      <c r="AR104" s="89">
        <f>SUM(AR106:AR109)</f>
        <v>58413</v>
      </c>
      <c r="AS104" s="89">
        <f t="shared" ref="AS104:BA104" si="62">SUM(AS106:AS109)</f>
        <v>37146</v>
      </c>
      <c r="AT104" s="89">
        <f t="shared" si="62"/>
        <v>1712.501</v>
      </c>
      <c r="AU104" s="89">
        <f t="shared" si="62"/>
        <v>2551</v>
      </c>
      <c r="AV104" s="89">
        <f t="shared" si="62"/>
        <v>2321</v>
      </c>
      <c r="AW104" s="89">
        <f t="shared" si="62"/>
        <v>107.026</v>
      </c>
      <c r="AX104" s="89">
        <f t="shared" si="62"/>
        <v>36094977</v>
      </c>
      <c r="AY104" s="89">
        <f t="shared" si="62"/>
        <v>35156659</v>
      </c>
      <c r="AZ104" s="89">
        <f t="shared" si="62"/>
        <v>3892.35</v>
      </c>
      <c r="BA104" s="96">
        <f t="shared" si="62"/>
        <v>651247.53500000003</v>
      </c>
      <c r="BB104" s="91" t="s">
        <v>105</v>
      </c>
      <c r="BC104" s="92"/>
      <c r="BD104" s="92"/>
    </row>
    <row r="105" spans="1:56" x14ac:dyDescent="0.3">
      <c r="A105" s="94"/>
      <c r="B105" s="95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93"/>
      <c r="AA105" s="89"/>
      <c r="AB105" s="89"/>
      <c r="AC105" s="89"/>
      <c r="AD105" s="89"/>
      <c r="AE105" s="89"/>
      <c r="AF105" s="89"/>
      <c r="AG105" s="89"/>
      <c r="AH105" s="89"/>
      <c r="AI105" s="89"/>
      <c r="AJ105" s="89"/>
      <c r="AK105" s="89"/>
      <c r="AL105" s="89"/>
      <c r="AM105" s="89"/>
      <c r="AN105" s="89"/>
      <c r="AO105" s="89"/>
      <c r="AP105" s="89"/>
      <c r="AQ105" s="89"/>
      <c r="AR105" s="89"/>
      <c r="AS105" s="89"/>
      <c r="AT105" s="89"/>
      <c r="AU105" s="89"/>
      <c r="AV105" s="89"/>
      <c r="AW105" s="89"/>
      <c r="AX105" s="89"/>
      <c r="AY105" s="89"/>
      <c r="AZ105" s="89"/>
      <c r="BA105" s="96"/>
      <c r="BB105" s="91"/>
      <c r="BC105" s="92"/>
      <c r="BD105" s="92"/>
    </row>
    <row r="106" spans="1:56" x14ac:dyDescent="0.3">
      <c r="A106" s="63" t="str">
        <f>VLOOKUP([1]ListOfRegions!A71,[1]ListOfRegions!A71:B145,2,0)</f>
        <v xml:space="preserve">  Ηρακλείου</v>
      </c>
      <c r="B106" s="75">
        <v>47971</v>
      </c>
      <c r="C106" s="74">
        <v>28617</v>
      </c>
      <c r="D106" s="73">
        <v>1801.713</v>
      </c>
      <c r="E106" s="74">
        <v>68878</v>
      </c>
      <c r="F106" s="73">
        <v>48601</v>
      </c>
      <c r="G106" s="74">
        <v>2480.415</v>
      </c>
      <c r="H106" s="73">
        <v>25598</v>
      </c>
      <c r="I106" s="74">
        <v>8869</v>
      </c>
      <c r="J106" s="73">
        <v>813.23</v>
      </c>
      <c r="K106" s="74">
        <v>37145</v>
      </c>
      <c r="L106" s="73">
        <v>18640</v>
      </c>
      <c r="M106" s="74">
        <v>1002.949</v>
      </c>
      <c r="N106" s="73">
        <v>72410</v>
      </c>
      <c r="O106" s="74">
        <v>58615</v>
      </c>
      <c r="P106" s="73">
        <v>3012.4549999999999</v>
      </c>
      <c r="Q106" s="74">
        <v>370</v>
      </c>
      <c r="R106" s="73" t="s">
        <v>139</v>
      </c>
      <c r="S106" s="74">
        <v>22.4</v>
      </c>
      <c r="T106" s="73">
        <v>35784</v>
      </c>
      <c r="U106" s="74">
        <v>22199</v>
      </c>
      <c r="V106" s="73">
        <v>1261.9179999999999</v>
      </c>
      <c r="W106" s="74">
        <v>11421</v>
      </c>
      <c r="X106" s="73">
        <v>3988</v>
      </c>
      <c r="Y106" s="74">
        <v>399.13499999999999</v>
      </c>
      <c r="Z106" s="73">
        <v>15794</v>
      </c>
      <c r="AA106" s="74">
        <v>8711</v>
      </c>
      <c r="AB106" s="73">
        <v>346.81</v>
      </c>
      <c r="AC106" s="74">
        <v>2679</v>
      </c>
      <c r="AD106" s="73">
        <v>1081</v>
      </c>
      <c r="AE106" s="74">
        <v>89.674999999999997</v>
      </c>
      <c r="AF106" s="73">
        <v>19306</v>
      </c>
      <c r="AG106" s="74">
        <v>3523</v>
      </c>
      <c r="AH106" s="73">
        <v>311.45999999999998</v>
      </c>
      <c r="AI106" s="74">
        <v>290</v>
      </c>
      <c r="AJ106" s="73">
        <v>290</v>
      </c>
      <c r="AK106" s="74">
        <v>6.05</v>
      </c>
      <c r="AL106" s="73">
        <v>17252</v>
      </c>
      <c r="AM106" s="74">
        <v>2761</v>
      </c>
      <c r="AN106" s="73">
        <v>564.92999999999995</v>
      </c>
      <c r="AO106" s="74">
        <v>28394</v>
      </c>
      <c r="AP106" s="73">
        <v>14831</v>
      </c>
      <c r="AQ106" s="74">
        <v>1222.213</v>
      </c>
      <c r="AR106" s="73">
        <v>365</v>
      </c>
      <c r="AS106" s="74">
        <v>85</v>
      </c>
      <c r="AT106" s="73">
        <v>11.8</v>
      </c>
      <c r="AU106" s="74">
        <v>2161</v>
      </c>
      <c r="AV106" s="73">
        <v>1959</v>
      </c>
      <c r="AW106" s="74">
        <v>104.935</v>
      </c>
      <c r="AX106" s="73">
        <v>17638969</v>
      </c>
      <c r="AY106" s="74">
        <v>17521688</v>
      </c>
      <c r="AZ106" s="73">
        <v>2044.5050000000001</v>
      </c>
      <c r="BA106" s="87">
        <v>247485.01800000001</v>
      </c>
      <c r="BB106" s="83" t="s">
        <v>106</v>
      </c>
      <c r="BC106" s="64"/>
      <c r="BD106" s="64"/>
    </row>
    <row r="107" spans="1:56" x14ac:dyDescent="0.3">
      <c r="A107" s="63" t="str">
        <f>VLOOKUP([1]ListOfRegions!A72,[1]ListOfRegions!A72:B146,2,0)</f>
        <v xml:space="preserve">  Λασιθίου</v>
      </c>
      <c r="B107" s="75">
        <v>9410</v>
      </c>
      <c r="C107" s="74">
        <v>2485</v>
      </c>
      <c r="D107" s="73">
        <v>313.08600000000001</v>
      </c>
      <c r="E107" s="74">
        <v>19468</v>
      </c>
      <c r="F107" s="73">
        <v>8705</v>
      </c>
      <c r="G107" s="74">
        <v>617.77800000000002</v>
      </c>
      <c r="H107" s="73">
        <v>7490</v>
      </c>
      <c r="I107" s="74">
        <v>2021</v>
      </c>
      <c r="J107" s="73">
        <v>229.14500000000001</v>
      </c>
      <c r="K107" s="74">
        <v>11455</v>
      </c>
      <c r="L107" s="73">
        <v>1877</v>
      </c>
      <c r="M107" s="74">
        <v>274.15300000000002</v>
      </c>
      <c r="N107" s="73">
        <v>19849</v>
      </c>
      <c r="O107" s="74">
        <v>16282</v>
      </c>
      <c r="P107" s="73">
        <v>525.79899999999998</v>
      </c>
      <c r="Q107" s="74" t="s">
        <v>139</v>
      </c>
      <c r="R107" s="73" t="s">
        <v>139</v>
      </c>
      <c r="S107" s="74" t="s">
        <v>139</v>
      </c>
      <c r="T107" s="73">
        <v>9899</v>
      </c>
      <c r="U107" s="74">
        <v>4585</v>
      </c>
      <c r="V107" s="73">
        <v>190.69399999999999</v>
      </c>
      <c r="W107" s="74">
        <v>2057</v>
      </c>
      <c r="X107" s="73">
        <v>264</v>
      </c>
      <c r="Y107" s="74">
        <v>25.913</v>
      </c>
      <c r="Z107" s="73">
        <v>2746</v>
      </c>
      <c r="AA107" s="74">
        <v>333</v>
      </c>
      <c r="AB107" s="73">
        <v>33.966999999999999</v>
      </c>
      <c r="AC107" s="74">
        <v>466</v>
      </c>
      <c r="AD107" s="73">
        <v>142</v>
      </c>
      <c r="AE107" s="74">
        <v>9.56</v>
      </c>
      <c r="AF107" s="73">
        <v>8951</v>
      </c>
      <c r="AG107" s="74">
        <v>849</v>
      </c>
      <c r="AH107" s="73">
        <v>217.26499999999999</v>
      </c>
      <c r="AI107" s="74" t="s">
        <v>139</v>
      </c>
      <c r="AJ107" s="73" t="s">
        <v>139</v>
      </c>
      <c r="AK107" s="74" t="s">
        <v>139</v>
      </c>
      <c r="AL107" s="73">
        <v>9213</v>
      </c>
      <c r="AM107" s="74">
        <v>3927</v>
      </c>
      <c r="AN107" s="73">
        <v>92.251000000000005</v>
      </c>
      <c r="AO107" s="74">
        <v>5436</v>
      </c>
      <c r="AP107" s="73">
        <v>3905</v>
      </c>
      <c r="AQ107" s="74">
        <v>163.62100000000001</v>
      </c>
      <c r="AR107" s="73">
        <v>971</v>
      </c>
      <c r="AS107" s="74">
        <v>70</v>
      </c>
      <c r="AT107" s="73">
        <v>21.05</v>
      </c>
      <c r="AU107" s="74">
        <v>115</v>
      </c>
      <c r="AV107" s="73">
        <v>93</v>
      </c>
      <c r="AW107" s="74">
        <v>0.38</v>
      </c>
      <c r="AX107" s="73">
        <v>5940507</v>
      </c>
      <c r="AY107" s="74">
        <v>5485542</v>
      </c>
      <c r="AZ107" s="73">
        <v>201.785</v>
      </c>
      <c r="BA107" s="87">
        <v>124371.02899999999</v>
      </c>
      <c r="BB107" s="83" t="s">
        <v>107</v>
      </c>
      <c r="BC107" s="64"/>
      <c r="BD107" s="64"/>
    </row>
    <row r="108" spans="1:56" x14ac:dyDescent="0.3">
      <c r="A108" s="63" t="str">
        <f>VLOOKUP([1]ListOfRegions!A73,[1]ListOfRegions!A73:B147,2,0)</f>
        <v xml:space="preserve">  Ρεθύμνης</v>
      </c>
      <c r="B108" s="75">
        <v>20892</v>
      </c>
      <c r="C108" s="74">
        <v>11287</v>
      </c>
      <c r="D108" s="73">
        <v>497.505</v>
      </c>
      <c r="E108" s="74">
        <v>58278</v>
      </c>
      <c r="F108" s="73">
        <v>47986</v>
      </c>
      <c r="G108" s="74">
        <v>1568.2170000000001</v>
      </c>
      <c r="H108" s="73">
        <v>11978</v>
      </c>
      <c r="I108" s="74">
        <v>7357</v>
      </c>
      <c r="J108" s="73">
        <v>280.63</v>
      </c>
      <c r="K108" s="74">
        <v>10225</v>
      </c>
      <c r="L108" s="73">
        <v>3227</v>
      </c>
      <c r="M108" s="74">
        <v>129.69499999999999</v>
      </c>
      <c r="N108" s="73">
        <v>15134</v>
      </c>
      <c r="O108" s="74">
        <v>12726</v>
      </c>
      <c r="P108" s="73">
        <v>141.34</v>
      </c>
      <c r="Q108" s="74">
        <v>8743</v>
      </c>
      <c r="R108" s="73">
        <v>8233</v>
      </c>
      <c r="S108" s="74">
        <v>333.75</v>
      </c>
      <c r="T108" s="73">
        <v>14344</v>
      </c>
      <c r="U108" s="74">
        <v>10919</v>
      </c>
      <c r="V108" s="73">
        <v>210.095</v>
      </c>
      <c r="W108" s="74">
        <v>1581</v>
      </c>
      <c r="X108" s="73">
        <v>620</v>
      </c>
      <c r="Y108" s="74">
        <v>17.355</v>
      </c>
      <c r="Z108" s="73">
        <v>3513</v>
      </c>
      <c r="AA108" s="74">
        <v>749</v>
      </c>
      <c r="AB108" s="73">
        <v>43.784999999999997</v>
      </c>
      <c r="AC108" s="74">
        <v>10569</v>
      </c>
      <c r="AD108" s="73">
        <v>8767</v>
      </c>
      <c r="AE108" s="74">
        <v>93.18</v>
      </c>
      <c r="AF108" s="73">
        <v>15678</v>
      </c>
      <c r="AG108" s="74">
        <v>2350</v>
      </c>
      <c r="AH108" s="73">
        <v>110.191</v>
      </c>
      <c r="AI108" s="74" t="s">
        <v>139</v>
      </c>
      <c r="AJ108" s="73" t="s">
        <v>139</v>
      </c>
      <c r="AK108" s="74" t="s">
        <v>139</v>
      </c>
      <c r="AL108" s="73">
        <v>4953</v>
      </c>
      <c r="AM108" s="74">
        <v>953</v>
      </c>
      <c r="AN108" s="73">
        <v>37.155000000000001</v>
      </c>
      <c r="AO108" s="74">
        <v>36544</v>
      </c>
      <c r="AP108" s="73">
        <v>28137</v>
      </c>
      <c r="AQ108" s="74">
        <v>336.726</v>
      </c>
      <c r="AR108" s="73">
        <v>528</v>
      </c>
      <c r="AS108" s="74">
        <v>388</v>
      </c>
      <c r="AT108" s="73">
        <v>6.3360000000000003</v>
      </c>
      <c r="AU108" s="74">
        <v>234</v>
      </c>
      <c r="AV108" s="73">
        <v>234</v>
      </c>
      <c r="AW108" s="74">
        <v>1.5</v>
      </c>
      <c r="AX108" s="73">
        <v>5471644</v>
      </c>
      <c r="AY108" s="74">
        <v>5429847</v>
      </c>
      <c r="AZ108" s="73">
        <v>1184.45</v>
      </c>
      <c r="BA108" s="87">
        <v>101915.12699999999</v>
      </c>
      <c r="BB108" s="83" t="s">
        <v>108</v>
      </c>
      <c r="BC108" s="64"/>
      <c r="BD108" s="64"/>
    </row>
    <row r="109" spans="1:56" ht="15" thickBot="1" x14ac:dyDescent="0.35">
      <c r="A109" s="70" t="str">
        <f>VLOOKUP([1]ListOfRegions!A74,[1]ListOfRegions!A74:B148,2,0)</f>
        <v xml:space="preserve">  Χανίων</v>
      </c>
      <c r="B109" s="76">
        <v>90331</v>
      </c>
      <c r="C109" s="77">
        <v>63980</v>
      </c>
      <c r="D109" s="78">
        <v>3707.8620000000001</v>
      </c>
      <c r="E109" s="77">
        <v>636054</v>
      </c>
      <c r="F109" s="78">
        <v>582633</v>
      </c>
      <c r="G109" s="77">
        <v>33611.847000000002</v>
      </c>
      <c r="H109" s="78">
        <v>91679</v>
      </c>
      <c r="I109" s="77">
        <v>52984</v>
      </c>
      <c r="J109" s="78">
        <v>2558.8200000000002</v>
      </c>
      <c r="K109" s="77">
        <v>33600</v>
      </c>
      <c r="L109" s="78">
        <v>3076</v>
      </c>
      <c r="M109" s="77">
        <v>656.93200000000002</v>
      </c>
      <c r="N109" s="78">
        <v>33770</v>
      </c>
      <c r="O109" s="77">
        <v>28124</v>
      </c>
      <c r="P109" s="78">
        <v>1198.521</v>
      </c>
      <c r="Q109" s="77">
        <v>2568</v>
      </c>
      <c r="R109" s="78">
        <v>1610</v>
      </c>
      <c r="S109" s="77">
        <v>93.858000000000004</v>
      </c>
      <c r="T109" s="78">
        <v>5586</v>
      </c>
      <c r="U109" s="77">
        <v>2099</v>
      </c>
      <c r="V109" s="78">
        <v>154.358</v>
      </c>
      <c r="W109" s="77">
        <v>10038</v>
      </c>
      <c r="X109" s="78">
        <v>3318</v>
      </c>
      <c r="Y109" s="77">
        <v>217.761</v>
      </c>
      <c r="Z109" s="78">
        <v>9506</v>
      </c>
      <c r="AA109" s="77">
        <v>1211</v>
      </c>
      <c r="AB109" s="78">
        <v>190.02799999999999</v>
      </c>
      <c r="AC109" s="77">
        <v>4811</v>
      </c>
      <c r="AD109" s="78">
        <v>1473</v>
      </c>
      <c r="AE109" s="77">
        <v>101.339</v>
      </c>
      <c r="AF109" s="78">
        <v>19503</v>
      </c>
      <c r="AG109" s="77">
        <v>3037</v>
      </c>
      <c r="AH109" s="78">
        <v>467.01400000000001</v>
      </c>
      <c r="AI109" s="77">
        <v>110</v>
      </c>
      <c r="AJ109" s="78">
        <v>20</v>
      </c>
      <c r="AK109" s="77">
        <v>4.04</v>
      </c>
      <c r="AL109" s="78">
        <v>29254</v>
      </c>
      <c r="AM109" s="77">
        <v>1132</v>
      </c>
      <c r="AN109" s="78">
        <v>251.86099999999999</v>
      </c>
      <c r="AO109" s="77">
        <v>22379</v>
      </c>
      <c r="AP109" s="78">
        <v>5666</v>
      </c>
      <c r="AQ109" s="77">
        <v>546.67100000000005</v>
      </c>
      <c r="AR109" s="78">
        <v>56549</v>
      </c>
      <c r="AS109" s="77">
        <v>36603</v>
      </c>
      <c r="AT109" s="78">
        <v>1673.3150000000001</v>
      </c>
      <c r="AU109" s="77">
        <v>41</v>
      </c>
      <c r="AV109" s="78">
        <v>35</v>
      </c>
      <c r="AW109" s="77">
        <v>0.21099999999999999</v>
      </c>
      <c r="AX109" s="78">
        <v>7043857</v>
      </c>
      <c r="AY109" s="77">
        <v>6719582</v>
      </c>
      <c r="AZ109" s="78">
        <v>461.61</v>
      </c>
      <c r="BA109" s="88">
        <v>177476.361</v>
      </c>
      <c r="BB109" s="85" t="s">
        <v>109</v>
      </c>
      <c r="BC109" s="86"/>
      <c r="BD109" s="86"/>
    </row>
    <row r="110" spans="1:56" x14ac:dyDescent="0.3">
      <c r="A110" s="71" t="s">
        <v>110</v>
      </c>
      <c r="AZ110" s="71" t="s">
        <v>111</v>
      </c>
    </row>
    <row r="111" spans="1:56" x14ac:dyDescent="0.3">
      <c r="A111" s="72" t="s">
        <v>112</v>
      </c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71"/>
      <c r="AJ111" s="71"/>
      <c r="AK111" s="71"/>
      <c r="AL111" s="71"/>
      <c r="AM111" s="71"/>
      <c r="AN111" s="71"/>
      <c r="AO111" s="71"/>
      <c r="AP111" s="71"/>
      <c r="AQ111" s="71"/>
      <c r="AR111" s="71"/>
      <c r="AS111" s="71"/>
      <c r="AT111" s="71"/>
      <c r="AU111" s="71"/>
      <c r="AV111" s="71"/>
      <c r="AW111" s="71"/>
      <c r="AX111" s="71"/>
      <c r="AY111" s="71"/>
      <c r="AZ111" s="72" t="s">
        <v>113</v>
      </c>
      <c r="BA111" s="71"/>
    </row>
    <row r="112" spans="1:56" x14ac:dyDescent="0.3">
      <c r="A112" s="72" t="s">
        <v>116</v>
      </c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2"/>
      <c r="AQ112" s="72"/>
      <c r="AR112" s="72"/>
      <c r="AS112" s="72"/>
      <c r="AT112" s="72"/>
      <c r="AU112" s="72"/>
      <c r="AV112" s="72"/>
      <c r="AW112" s="72"/>
      <c r="AX112" s="72"/>
      <c r="AY112" s="72"/>
      <c r="AZ112" s="72" t="s">
        <v>117</v>
      </c>
      <c r="BA112" s="72"/>
    </row>
    <row r="113" spans="14:53" x14ac:dyDescent="0.3"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2"/>
      <c r="AQ113" s="72"/>
      <c r="AR113" s="72"/>
      <c r="AS113" s="72"/>
      <c r="AT113" s="72"/>
      <c r="AU113" s="72"/>
      <c r="AV113" s="72"/>
      <c r="AW113" s="72"/>
      <c r="AX113" s="72"/>
      <c r="AY113" s="72"/>
      <c r="AZ113" s="72"/>
      <c r="BA113" s="72"/>
    </row>
  </sheetData>
  <mergeCells count="724">
    <mergeCell ref="AZ82:AZ83"/>
    <mergeCell ref="AY104:AY105"/>
    <mergeCell ref="AZ104:AZ105"/>
    <mergeCell ref="AV104:AV105"/>
    <mergeCell ref="Q11:Q12"/>
    <mergeCell ref="R11:R12"/>
    <mergeCell ref="S11:S12"/>
    <mergeCell ref="T11:T12"/>
    <mergeCell ref="U11:U12"/>
    <mergeCell ref="V11:V12"/>
    <mergeCell ref="Q19:Q20"/>
    <mergeCell ref="R19:R20"/>
    <mergeCell ref="S19:S20"/>
    <mergeCell ref="T19:T20"/>
    <mergeCell ref="U19:U20"/>
    <mergeCell ref="V19:V20"/>
    <mergeCell ref="Q82:Q83"/>
    <mergeCell ref="R82:R83"/>
    <mergeCell ref="S82:S83"/>
    <mergeCell ref="T82:T83"/>
    <mergeCell ref="U82:U83"/>
    <mergeCell ref="V82:V83"/>
    <mergeCell ref="Q89:Q90"/>
    <mergeCell ref="R89:R90"/>
    <mergeCell ref="BA104:BA105"/>
    <mergeCell ref="AY89:AY90"/>
    <mergeCell ref="AZ89:AZ90"/>
    <mergeCell ref="BA89:BA90"/>
    <mergeCell ref="AR104:AR105"/>
    <mergeCell ref="AU89:AU90"/>
    <mergeCell ref="AV89:AV90"/>
    <mergeCell ref="AW89:AW90"/>
    <mergeCell ref="AX89:AX90"/>
    <mergeCell ref="AU104:AU105"/>
    <mergeCell ref="AT104:AT105"/>
    <mergeCell ref="AS104:AS105"/>
    <mergeCell ref="AW104:AW105"/>
    <mergeCell ref="AX104:AX105"/>
    <mergeCell ref="BA65:BA66"/>
    <mergeCell ref="AR72:AR73"/>
    <mergeCell ref="AS72:AS73"/>
    <mergeCell ref="AT72:AT73"/>
    <mergeCell ref="AU72:AU73"/>
    <mergeCell ref="AV72:AV73"/>
    <mergeCell ref="AW72:AW73"/>
    <mergeCell ref="AX72:AX73"/>
    <mergeCell ref="AY72:AY73"/>
    <mergeCell ref="BA72:BA73"/>
    <mergeCell ref="AZ72:AZ73"/>
    <mergeCell ref="AR65:AR66"/>
    <mergeCell ref="AS65:AS66"/>
    <mergeCell ref="AT65:AT66"/>
    <mergeCell ref="AU65:AU66"/>
    <mergeCell ref="AV65:AV66"/>
    <mergeCell ref="AW65:AW66"/>
    <mergeCell ref="AX65:AX66"/>
    <mergeCell ref="AY65:AY66"/>
    <mergeCell ref="AZ65:AZ66"/>
    <mergeCell ref="BA53:BA54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AR53:AR54"/>
    <mergeCell ref="AS53:AS54"/>
    <mergeCell ref="AT53:AT54"/>
    <mergeCell ref="AU53:AU54"/>
    <mergeCell ref="AV53:AV54"/>
    <mergeCell ref="AW53:AW54"/>
    <mergeCell ref="AX53:AX54"/>
    <mergeCell ref="AY53:AY54"/>
    <mergeCell ref="AZ53:AZ54"/>
    <mergeCell ref="BA39:BA40"/>
    <mergeCell ref="AR46:AR47"/>
    <mergeCell ref="AS46:AS47"/>
    <mergeCell ref="AT46:AT47"/>
    <mergeCell ref="AU46:AU47"/>
    <mergeCell ref="AV46:AV47"/>
    <mergeCell ref="AW46:AW47"/>
    <mergeCell ref="AX46:AX47"/>
    <mergeCell ref="AY46:AY47"/>
    <mergeCell ref="AZ46:AZ47"/>
    <mergeCell ref="BA46:BA47"/>
    <mergeCell ref="AR39:AR40"/>
    <mergeCell ref="AS39:AS40"/>
    <mergeCell ref="AT39:AT40"/>
    <mergeCell ref="AU39:AU40"/>
    <mergeCell ref="AV39:AV40"/>
    <mergeCell ref="AW39:AW40"/>
    <mergeCell ref="AX39:AX40"/>
    <mergeCell ref="AY39:AY40"/>
    <mergeCell ref="AZ39:AZ40"/>
    <mergeCell ref="BA9:BA10"/>
    <mergeCell ref="AU33:AU34"/>
    <mergeCell ref="AV33:AV34"/>
    <mergeCell ref="AW33:AW34"/>
    <mergeCell ref="AX33:AX34"/>
    <mergeCell ref="AY33:AY34"/>
    <mergeCell ref="AZ33:AZ34"/>
    <mergeCell ref="BA33:BA34"/>
    <mergeCell ref="AR19:AR20"/>
    <mergeCell ref="AS19:AS20"/>
    <mergeCell ref="AT19:AT20"/>
    <mergeCell ref="AU19:AU20"/>
    <mergeCell ref="AV19:AV20"/>
    <mergeCell ref="AW19:AW20"/>
    <mergeCell ref="AX19:AX20"/>
    <mergeCell ref="AY19:AY20"/>
    <mergeCell ref="AZ19:AZ20"/>
    <mergeCell ref="AR9:AR10"/>
    <mergeCell ref="AS9:AS10"/>
    <mergeCell ref="AT9:AT10"/>
    <mergeCell ref="AU9:AU10"/>
    <mergeCell ref="AV9:AV10"/>
    <mergeCell ref="AW9:AW10"/>
    <mergeCell ref="AX9:AX10"/>
    <mergeCell ref="AY9:AY10"/>
    <mergeCell ref="AZ9:AZ10"/>
    <mergeCell ref="AR11:AR12"/>
    <mergeCell ref="AS11:AS12"/>
    <mergeCell ref="AT11:AT12"/>
    <mergeCell ref="AU11:AU12"/>
    <mergeCell ref="AV11:AV12"/>
    <mergeCell ref="AW11:AW12"/>
    <mergeCell ref="AX11:AX12"/>
    <mergeCell ref="AH89:AH90"/>
    <mergeCell ref="AI89:AI90"/>
    <mergeCell ref="AJ89:AJ90"/>
    <mergeCell ref="AK89:AK90"/>
    <mergeCell ref="AL89:AL90"/>
    <mergeCell ref="AM89:AM90"/>
    <mergeCell ref="AN89:AN90"/>
    <mergeCell ref="BA19:BA20"/>
    <mergeCell ref="AR33:AR34"/>
    <mergeCell ref="AS33:AS34"/>
    <mergeCell ref="AT33:AT34"/>
    <mergeCell ref="AN65:AN66"/>
    <mergeCell ref="AO82:AO83"/>
    <mergeCell ref="AP82:AP83"/>
    <mergeCell ref="AQ82:AQ83"/>
    <mergeCell ref="AO89:AO90"/>
    <mergeCell ref="AP89:AP90"/>
    <mergeCell ref="AQ89:AQ90"/>
    <mergeCell ref="AO65:AO66"/>
    <mergeCell ref="AP65:AP66"/>
    <mergeCell ref="AQ65:AQ66"/>
    <mergeCell ref="AO72:AO73"/>
    <mergeCell ref="AP72:AP73"/>
    <mergeCell ref="AQ72:AQ73"/>
    <mergeCell ref="AF82:AF83"/>
    <mergeCell ref="AG82:AG83"/>
    <mergeCell ref="AH82:AH83"/>
    <mergeCell ref="AI82:AI83"/>
    <mergeCell ref="AJ82:AJ83"/>
    <mergeCell ref="AK82:AK83"/>
    <mergeCell ref="AL82:AL83"/>
    <mergeCell ref="AM82:AM83"/>
    <mergeCell ref="AN53:AN54"/>
    <mergeCell ref="AF72:AF73"/>
    <mergeCell ref="AG72:AG73"/>
    <mergeCell ref="AH72:AH73"/>
    <mergeCell ref="AI72:AI73"/>
    <mergeCell ref="AJ72:AJ73"/>
    <mergeCell ref="AK72:AK73"/>
    <mergeCell ref="AL72:AL73"/>
    <mergeCell ref="AM72:AM73"/>
    <mergeCell ref="AN72:AN73"/>
    <mergeCell ref="AF65:AF66"/>
    <mergeCell ref="AG65:AG66"/>
    <mergeCell ref="AH65:AH66"/>
    <mergeCell ref="AI65:AI66"/>
    <mergeCell ref="AJ65:AJ66"/>
    <mergeCell ref="AK65:AK66"/>
    <mergeCell ref="AK60:AK61"/>
    <mergeCell ref="AL60:AL61"/>
    <mergeCell ref="AM60:AM61"/>
    <mergeCell ref="AN60:AN61"/>
    <mergeCell ref="AO60:AO61"/>
    <mergeCell ref="AP60:AP61"/>
    <mergeCell ref="AQ60:AQ61"/>
    <mergeCell ref="AF53:AF54"/>
    <mergeCell ref="AG53:AG54"/>
    <mergeCell ref="AH53:AH54"/>
    <mergeCell ref="AI53:AI54"/>
    <mergeCell ref="AJ53:AJ54"/>
    <mergeCell ref="AK53:AK54"/>
    <mergeCell ref="AQ39:AQ40"/>
    <mergeCell ref="AO46:AO47"/>
    <mergeCell ref="AP46:AP47"/>
    <mergeCell ref="AQ46:AQ47"/>
    <mergeCell ref="AL65:AL66"/>
    <mergeCell ref="AM65:AM66"/>
    <mergeCell ref="AN39:AN40"/>
    <mergeCell ref="AO53:AO54"/>
    <mergeCell ref="AP53:AP54"/>
    <mergeCell ref="AQ53:AQ54"/>
    <mergeCell ref="AK46:AK47"/>
    <mergeCell ref="AL46:AL47"/>
    <mergeCell ref="AM46:AM47"/>
    <mergeCell ref="AN46:AN47"/>
    <mergeCell ref="AL53:AL54"/>
    <mergeCell ref="AM53:AM54"/>
    <mergeCell ref="AO19:AO20"/>
    <mergeCell ref="AP19:AP20"/>
    <mergeCell ref="AM19:AM20"/>
    <mergeCell ref="AN19:AN20"/>
    <mergeCell ref="AO39:AO40"/>
    <mergeCell ref="AP39:AP40"/>
    <mergeCell ref="AF39:AF40"/>
    <mergeCell ref="AG39:AG40"/>
    <mergeCell ref="AH39:AH40"/>
    <mergeCell ref="AI39:AI40"/>
    <mergeCell ref="AJ39:AJ40"/>
    <mergeCell ref="AE65:AE66"/>
    <mergeCell ref="AE53:AE54"/>
    <mergeCell ref="AE39:AE40"/>
    <mergeCell ref="AE19:AE20"/>
    <mergeCell ref="AF46:AF47"/>
    <mergeCell ref="AG46:AG47"/>
    <mergeCell ref="AH46:AH47"/>
    <mergeCell ref="AI46:AI47"/>
    <mergeCell ref="AJ46:AJ47"/>
    <mergeCell ref="AF60:AF61"/>
    <mergeCell ref="AG60:AG61"/>
    <mergeCell ref="AH60:AH61"/>
    <mergeCell ref="AI60:AI61"/>
    <mergeCell ref="AJ60:AJ61"/>
    <mergeCell ref="AN9:AN10"/>
    <mergeCell ref="AO9:AO10"/>
    <mergeCell ref="AP9:AP10"/>
    <mergeCell ref="AQ9:AQ10"/>
    <mergeCell ref="AQ19:AQ20"/>
    <mergeCell ref="AF33:AF34"/>
    <mergeCell ref="AG33:AG34"/>
    <mergeCell ref="AH33:AH34"/>
    <mergeCell ref="AI33:AI34"/>
    <mergeCell ref="AJ33:AJ34"/>
    <mergeCell ref="AK33:AK34"/>
    <mergeCell ref="AL33:AL34"/>
    <mergeCell ref="AM33:AM34"/>
    <mergeCell ref="AN33:AN34"/>
    <mergeCell ref="AO33:AO34"/>
    <mergeCell ref="AP33:AP34"/>
    <mergeCell ref="AQ33:AQ34"/>
    <mergeCell ref="AF19:AF20"/>
    <mergeCell ref="AG19:AG20"/>
    <mergeCell ref="AH19:AH20"/>
    <mergeCell ref="AF9:AF10"/>
    <mergeCell ref="AG9:AG10"/>
    <mergeCell ref="AH9:AH10"/>
    <mergeCell ref="AI9:AI10"/>
    <mergeCell ref="AJ9:AJ10"/>
    <mergeCell ref="AK9:AK10"/>
    <mergeCell ref="AL9:AL10"/>
    <mergeCell ref="AM9:AM10"/>
    <mergeCell ref="AK39:AK40"/>
    <mergeCell ref="AL39:AL40"/>
    <mergeCell ref="AM39:AM40"/>
    <mergeCell ref="AI19:AI20"/>
    <mergeCell ref="AJ19:AJ20"/>
    <mergeCell ref="AK19:AK20"/>
    <mergeCell ref="AL19:AL20"/>
    <mergeCell ref="P65:P66"/>
    <mergeCell ref="W65:W66"/>
    <mergeCell ref="X65:X66"/>
    <mergeCell ref="Y65:Y66"/>
    <mergeCell ref="Z65:Z66"/>
    <mergeCell ref="AA65:AA66"/>
    <mergeCell ref="AB65:AB66"/>
    <mergeCell ref="AC65:AC66"/>
    <mergeCell ref="AD65:AD66"/>
    <mergeCell ref="Q65:Q66"/>
    <mergeCell ref="R65:R66"/>
    <mergeCell ref="S65:S66"/>
    <mergeCell ref="T65:T66"/>
    <mergeCell ref="U65:U66"/>
    <mergeCell ref="V65:V66"/>
    <mergeCell ref="P53:P54"/>
    <mergeCell ref="W53:W54"/>
    <mergeCell ref="X53:X54"/>
    <mergeCell ref="Y53:Y54"/>
    <mergeCell ref="Z53:Z54"/>
    <mergeCell ref="AA53:AA54"/>
    <mergeCell ref="AB53:AB54"/>
    <mergeCell ref="AC53:AC54"/>
    <mergeCell ref="AD53:AD54"/>
    <mergeCell ref="Q53:Q54"/>
    <mergeCell ref="R53:R54"/>
    <mergeCell ref="S53:S54"/>
    <mergeCell ref="T53:T54"/>
    <mergeCell ref="U53:U54"/>
    <mergeCell ref="V53:V54"/>
    <mergeCell ref="P39:P40"/>
    <mergeCell ref="W39:W40"/>
    <mergeCell ref="X39:X40"/>
    <mergeCell ref="Y39:Y40"/>
    <mergeCell ref="Z39:Z40"/>
    <mergeCell ref="AA39:AA40"/>
    <mergeCell ref="AB39:AB40"/>
    <mergeCell ref="AC39:AC40"/>
    <mergeCell ref="AD39:AD40"/>
    <mergeCell ref="Q39:Q40"/>
    <mergeCell ref="R39:R40"/>
    <mergeCell ref="S39:S40"/>
    <mergeCell ref="T39:T40"/>
    <mergeCell ref="U39:U40"/>
    <mergeCell ref="V39:V40"/>
    <mergeCell ref="P19:P20"/>
    <mergeCell ref="W19:W20"/>
    <mergeCell ref="X19:X20"/>
    <mergeCell ref="Y19:Y20"/>
    <mergeCell ref="Z19:Z20"/>
    <mergeCell ref="AA19:AA20"/>
    <mergeCell ref="AB19:AB20"/>
    <mergeCell ref="AC19:AC20"/>
    <mergeCell ref="AD19:AD20"/>
    <mergeCell ref="AC9:AC10"/>
    <mergeCell ref="AD9:AD10"/>
    <mergeCell ref="AE9:AE10"/>
    <mergeCell ref="X11:X12"/>
    <mergeCell ref="Y11:Y12"/>
    <mergeCell ref="Z11:Z12"/>
    <mergeCell ref="AA11:AA12"/>
    <mergeCell ref="AB11:AB12"/>
    <mergeCell ref="AC11:AC12"/>
    <mergeCell ref="AD11:AD12"/>
    <mergeCell ref="AE11:AE12"/>
    <mergeCell ref="P9:P10"/>
    <mergeCell ref="W9:W10"/>
    <mergeCell ref="X9:X10"/>
    <mergeCell ref="Y9:Y10"/>
    <mergeCell ref="Z9:Z10"/>
    <mergeCell ref="AA9:AA10"/>
    <mergeCell ref="AB9:AB10"/>
    <mergeCell ref="G4:L4"/>
    <mergeCell ref="M9:M10"/>
    <mergeCell ref="Q9:Q10"/>
    <mergeCell ref="R9:R10"/>
    <mergeCell ref="S9:S10"/>
    <mergeCell ref="T9:T10"/>
    <mergeCell ref="U9:U10"/>
    <mergeCell ref="V9:V10"/>
    <mergeCell ref="Q5:S7"/>
    <mergeCell ref="T5:V7"/>
    <mergeCell ref="A5:A8"/>
    <mergeCell ref="B5:D7"/>
    <mergeCell ref="H5:J7"/>
    <mergeCell ref="K5:M7"/>
    <mergeCell ref="BB5:BD8"/>
    <mergeCell ref="N5:P7"/>
    <mergeCell ref="W5:Y7"/>
    <mergeCell ref="Z5:AB7"/>
    <mergeCell ref="AC5:AE7"/>
    <mergeCell ref="AF5:AH7"/>
    <mergeCell ref="AI5:AK7"/>
    <mergeCell ref="AL5:AN7"/>
    <mergeCell ref="AR5:AT7"/>
    <mergeCell ref="AO5:AQ7"/>
    <mergeCell ref="E5:G7"/>
    <mergeCell ref="AU5:AW7"/>
    <mergeCell ref="AX5:BA7"/>
    <mergeCell ref="BB9:BD10"/>
    <mergeCell ref="A11:A12"/>
    <mergeCell ref="B11:B12"/>
    <mergeCell ref="C11:C12"/>
    <mergeCell ref="D11:D12"/>
    <mergeCell ref="E11:E12"/>
    <mergeCell ref="F11:F12"/>
    <mergeCell ref="G11:G12"/>
    <mergeCell ref="H11:H12"/>
    <mergeCell ref="G9:G10"/>
    <mergeCell ref="H9:H10"/>
    <mergeCell ref="I9:I10"/>
    <mergeCell ref="J9:J10"/>
    <mergeCell ref="K9:K10"/>
    <mergeCell ref="L9:L10"/>
    <mergeCell ref="A9:A10"/>
    <mergeCell ref="B9:B10"/>
    <mergeCell ref="C9:C10"/>
    <mergeCell ref="D9:D10"/>
    <mergeCell ref="E9:E10"/>
    <mergeCell ref="F9:F10"/>
    <mergeCell ref="N9:N10"/>
    <mergeCell ref="O9:O10"/>
    <mergeCell ref="I11:I12"/>
    <mergeCell ref="J11:J12"/>
    <mergeCell ref="K11:K12"/>
    <mergeCell ref="L11:L12"/>
    <mergeCell ref="M11:M12"/>
    <mergeCell ref="BB11:BD12"/>
    <mergeCell ref="N11:N12"/>
    <mergeCell ref="O11:O12"/>
    <mergeCell ref="P11:P12"/>
    <mergeCell ref="W11:W12"/>
    <mergeCell ref="AM11:AM12"/>
    <mergeCell ref="AN11:AN12"/>
    <mergeCell ref="AQ11:AQ12"/>
    <mergeCell ref="AZ11:AZ12"/>
    <mergeCell ref="BA11:BA12"/>
    <mergeCell ref="AF11:AF12"/>
    <mergeCell ref="AG11:AG12"/>
    <mergeCell ref="AH11:AH12"/>
    <mergeCell ref="AI11:AI12"/>
    <mergeCell ref="AJ11:AJ12"/>
    <mergeCell ref="AK11:AK12"/>
    <mergeCell ref="AL11:AL12"/>
    <mergeCell ref="AO11:AO12"/>
    <mergeCell ref="AP11:AP12"/>
    <mergeCell ref="AY11:AY12"/>
    <mergeCell ref="M19:M20"/>
    <mergeCell ref="BB19:BD20"/>
    <mergeCell ref="A33:A34"/>
    <mergeCell ref="B33:B34"/>
    <mergeCell ref="C33:C34"/>
    <mergeCell ref="D33:D34"/>
    <mergeCell ref="E33:E34"/>
    <mergeCell ref="F33:F34"/>
    <mergeCell ref="G33:G34"/>
    <mergeCell ref="H33:H34"/>
    <mergeCell ref="G19:G20"/>
    <mergeCell ref="H19:H20"/>
    <mergeCell ref="I19:I20"/>
    <mergeCell ref="J19:J20"/>
    <mergeCell ref="K19:K20"/>
    <mergeCell ref="L19:L20"/>
    <mergeCell ref="A19:A20"/>
    <mergeCell ref="B19:B20"/>
    <mergeCell ref="C19:C20"/>
    <mergeCell ref="D19:D20"/>
    <mergeCell ref="E19:E20"/>
    <mergeCell ref="F19:F20"/>
    <mergeCell ref="N19:N20"/>
    <mergeCell ref="O19:O20"/>
    <mergeCell ref="I33:I34"/>
    <mergeCell ref="J33:J34"/>
    <mergeCell ref="K33:K34"/>
    <mergeCell ref="L33:L34"/>
    <mergeCell ref="M33:M34"/>
    <mergeCell ref="BB33:BD34"/>
    <mergeCell ref="Z33:Z34"/>
    <mergeCell ref="AA33:AA34"/>
    <mergeCell ref="AB33:AB34"/>
    <mergeCell ref="AC33:AC34"/>
    <mergeCell ref="N33:N34"/>
    <mergeCell ref="O33:O34"/>
    <mergeCell ref="P33:P34"/>
    <mergeCell ref="W33:W34"/>
    <mergeCell ref="X33:X34"/>
    <mergeCell ref="Y33:Y34"/>
    <mergeCell ref="AD33:AD34"/>
    <mergeCell ref="AE33:AE34"/>
    <mergeCell ref="Q33:Q34"/>
    <mergeCell ref="R33:R34"/>
    <mergeCell ref="S33:S34"/>
    <mergeCell ref="T33:T34"/>
    <mergeCell ref="U33:U34"/>
    <mergeCell ref="V33:V34"/>
    <mergeCell ref="M39:M40"/>
    <mergeCell ref="BB39:BD40"/>
    <mergeCell ref="A46:A47"/>
    <mergeCell ref="B46:B47"/>
    <mergeCell ref="C46:C47"/>
    <mergeCell ref="D46:D47"/>
    <mergeCell ref="E46:E47"/>
    <mergeCell ref="F46:F47"/>
    <mergeCell ref="G46:G47"/>
    <mergeCell ref="H46:H47"/>
    <mergeCell ref="G39:G40"/>
    <mergeCell ref="H39:H40"/>
    <mergeCell ref="I39:I40"/>
    <mergeCell ref="J39:J40"/>
    <mergeCell ref="K39:K40"/>
    <mergeCell ref="L39:L40"/>
    <mergeCell ref="A39:A40"/>
    <mergeCell ref="B39:B40"/>
    <mergeCell ref="C39:C40"/>
    <mergeCell ref="D39:D40"/>
    <mergeCell ref="E39:E40"/>
    <mergeCell ref="F39:F40"/>
    <mergeCell ref="N39:N40"/>
    <mergeCell ref="O39:O40"/>
    <mergeCell ref="I46:I47"/>
    <mergeCell ref="J46:J47"/>
    <mergeCell ref="K46:K47"/>
    <mergeCell ref="L46:L47"/>
    <mergeCell ref="M46:M47"/>
    <mergeCell ref="BB46:BD47"/>
    <mergeCell ref="Z46:Z47"/>
    <mergeCell ref="AA46:AA47"/>
    <mergeCell ref="AB46:AB47"/>
    <mergeCell ref="AC46:AC47"/>
    <mergeCell ref="N46:N47"/>
    <mergeCell ref="O46:O47"/>
    <mergeCell ref="P46:P47"/>
    <mergeCell ref="W46:W47"/>
    <mergeCell ref="X46:X47"/>
    <mergeCell ref="Y46:Y47"/>
    <mergeCell ref="AD46:AD47"/>
    <mergeCell ref="AE46:AE47"/>
    <mergeCell ref="Q46:Q47"/>
    <mergeCell ref="R46:R47"/>
    <mergeCell ref="S46:S47"/>
    <mergeCell ref="T46:T47"/>
    <mergeCell ref="U46:U47"/>
    <mergeCell ref="V46:V47"/>
    <mergeCell ref="M53:M54"/>
    <mergeCell ref="BB53:BD54"/>
    <mergeCell ref="A60:A61"/>
    <mergeCell ref="B60:B61"/>
    <mergeCell ref="C60:C61"/>
    <mergeCell ref="D60:D61"/>
    <mergeCell ref="E60:E61"/>
    <mergeCell ref="F60:F61"/>
    <mergeCell ref="G60:G61"/>
    <mergeCell ref="H60:H61"/>
    <mergeCell ref="G53:G54"/>
    <mergeCell ref="H53:H54"/>
    <mergeCell ref="I53:I54"/>
    <mergeCell ref="J53:J54"/>
    <mergeCell ref="K53:K54"/>
    <mergeCell ref="L53:L54"/>
    <mergeCell ref="A53:A54"/>
    <mergeCell ref="B53:B54"/>
    <mergeCell ref="C53:C54"/>
    <mergeCell ref="D53:D54"/>
    <mergeCell ref="E53:E54"/>
    <mergeCell ref="F53:F54"/>
    <mergeCell ref="N53:N54"/>
    <mergeCell ref="O53:O54"/>
    <mergeCell ref="I60:I61"/>
    <mergeCell ref="J60:J61"/>
    <mergeCell ref="K60:K61"/>
    <mergeCell ref="L60:L61"/>
    <mergeCell ref="M60:M61"/>
    <mergeCell ref="BB60:BD61"/>
    <mergeCell ref="Z60:Z61"/>
    <mergeCell ref="AA60:AA61"/>
    <mergeCell ref="AB60:AB61"/>
    <mergeCell ref="AC60:AC61"/>
    <mergeCell ref="N60:N61"/>
    <mergeCell ref="O60:O61"/>
    <mergeCell ref="P60:P61"/>
    <mergeCell ref="W60:W61"/>
    <mergeCell ref="X60:X61"/>
    <mergeCell ref="Y60:Y61"/>
    <mergeCell ref="AD60:AD61"/>
    <mergeCell ref="AE60:AE61"/>
    <mergeCell ref="Q60:Q61"/>
    <mergeCell ref="R60:R61"/>
    <mergeCell ref="S60:S61"/>
    <mergeCell ref="T60:T61"/>
    <mergeCell ref="U60:U61"/>
    <mergeCell ref="V60:V61"/>
    <mergeCell ref="M65:M66"/>
    <mergeCell ref="BB65:BD66"/>
    <mergeCell ref="A72:A73"/>
    <mergeCell ref="B72:B73"/>
    <mergeCell ref="C72:C73"/>
    <mergeCell ref="D72:D73"/>
    <mergeCell ref="E72:E73"/>
    <mergeCell ref="F72:F73"/>
    <mergeCell ref="G72:G73"/>
    <mergeCell ref="H72:H73"/>
    <mergeCell ref="G65:G66"/>
    <mergeCell ref="H65:H66"/>
    <mergeCell ref="I65:I66"/>
    <mergeCell ref="J65:J66"/>
    <mergeCell ref="K65:K66"/>
    <mergeCell ref="L65:L66"/>
    <mergeCell ref="A65:A66"/>
    <mergeCell ref="B65:B66"/>
    <mergeCell ref="C65:C66"/>
    <mergeCell ref="D65:D66"/>
    <mergeCell ref="E65:E66"/>
    <mergeCell ref="F65:F66"/>
    <mergeCell ref="N65:N66"/>
    <mergeCell ref="O65:O66"/>
    <mergeCell ref="I72:I73"/>
    <mergeCell ref="J72:J73"/>
    <mergeCell ref="K72:K73"/>
    <mergeCell ref="L72:L73"/>
    <mergeCell ref="M72:M73"/>
    <mergeCell ref="BB72:BD73"/>
    <mergeCell ref="Z72:Z73"/>
    <mergeCell ref="AA72:AA73"/>
    <mergeCell ref="AB72:AB73"/>
    <mergeCell ref="AC72:AC73"/>
    <mergeCell ref="N72:N73"/>
    <mergeCell ref="O72:O73"/>
    <mergeCell ref="P72:P73"/>
    <mergeCell ref="W72:W73"/>
    <mergeCell ref="X72:X73"/>
    <mergeCell ref="Y72:Y73"/>
    <mergeCell ref="AD72:AD73"/>
    <mergeCell ref="AE72:AE73"/>
    <mergeCell ref="Q72:Q73"/>
    <mergeCell ref="R72:R73"/>
    <mergeCell ref="S72:S73"/>
    <mergeCell ref="T72:T73"/>
    <mergeCell ref="U72:U73"/>
    <mergeCell ref="V72:V73"/>
    <mergeCell ref="G82:G83"/>
    <mergeCell ref="H82:H83"/>
    <mergeCell ref="I82:I83"/>
    <mergeCell ref="J82:J83"/>
    <mergeCell ref="K82:K83"/>
    <mergeCell ref="L82:L83"/>
    <mergeCell ref="A82:A83"/>
    <mergeCell ref="B82:B83"/>
    <mergeCell ref="C82:C83"/>
    <mergeCell ref="D82:D83"/>
    <mergeCell ref="E82:E83"/>
    <mergeCell ref="F82:F83"/>
    <mergeCell ref="M82:M83"/>
    <mergeCell ref="BB82:BD83"/>
    <mergeCell ref="N82:N83"/>
    <mergeCell ref="O82:O83"/>
    <mergeCell ref="P82:P83"/>
    <mergeCell ref="W82:W83"/>
    <mergeCell ref="X82:X83"/>
    <mergeCell ref="Y82:Y83"/>
    <mergeCell ref="Z82:Z83"/>
    <mergeCell ref="AA82:AA83"/>
    <mergeCell ref="AB82:AB83"/>
    <mergeCell ref="AC82:AC83"/>
    <mergeCell ref="AD82:AD83"/>
    <mergeCell ref="AE82:AE83"/>
    <mergeCell ref="AN82:AN83"/>
    <mergeCell ref="AR82:AR83"/>
    <mergeCell ref="AS82:AS83"/>
    <mergeCell ref="AT82:AT83"/>
    <mergeCell ref="AU82:AU83"/>
    <mergeCell ref="AV82:AV83"/>
    <mergeCell ref="AW82:AW83"/>
    <mergeCell ref="AX82:AX83"/>
    <mergeCell ref="BA82:BA83"/>
    <mergeCell ref="AY82:AY83"/>
    <mergeCell ref="L89:L90"/>
    <mergeCell ref="M89:M90"/>
    <mergeCell ref="Y89:Y90"/>
    <mergeCell ref="AD89:AD90"/>
    <mergeCell ref="AE89:AE90"/>
    <mergeCell ref="BB89:BD90"/>
    <mergeCell ref="Z89:Z90"/>
    <mergeCell ref="AA89:AA90"/>
    <mergeCell ref="AB89:AB90"/>
    <mergeCell ref="AC89:AC90"/>
    <mergeCell ref="N89:N90"/>
    <mergeCell ref="O89:O90"/>
    <mergeCell ref="P89:P90"/>
    <mergeCell ref="W89:W90"/>
    <mergeCell ref="X89:X90"/>
    <mergeCell ref="AR89:AR90"/>
    <mergeCell ref="AS89:AS90"/>
    <mergeCell ref="AT89:AT90"/>
    <mergeCell ref="S89:S90"/>
    <mergeCell ref="T89:T90"/>
    <mergeCell ref="U89:U90"/>
    <mergeCell ref="V89:V90"/>
    <mergeCell ref="AF89:AF90"/>
    <mergeCell ref="AG89:AG90"/>
    <mergeCell ref="I89:I90"/>
    <mergeCell ref="J89:J90"/>
    <mergeCell ref="K89:K90"/>
    <mergeCell ref="A89:A90"/>
    <mergeCell ref="B89:B90"/>
    <mergeCell ref="C89:C90"/>
    <mergeCell ref="D89:D90"/>
    <mergeCell ref="E89:E90"/>
    <mergeCell ref="F89:F90"/>
    <mergeCell ref="G89:G90"/>
    <mergeCell ref="H89:H90"/>
    <mergeCell ref="A104:A105"/>
    <mergeCell ref="B104:B105"/>
    <mergeCell ref="C104:C105"/>
    <mergeCell ref="D104:D105"/>
    <mergeCell ref="E104:E105"/>
    <mergeCell ref="F104:F105"/>
    <mergeCell ref="N104:N105"/>
    <mergeCell ref="O104:O105"/>
    <mergeCell ref="P104:P105"/>
    <mergeCell ref="AP104:AP105"/>
    <mergeCell ref="W104:W105"/>
    <mergeCell ref="X104:X105"/>
    <mergeCell ref="Y104:Y105"/>
    <mergeCell ref="Z104:Z105"/>
    <mergeCell ref="AA104:AA105"/>
    <mergeCell ref="AD104:AD105"/>
    <mergeCell ref="Q104:Q105"/>
    <mergeCell ref="R104:R105"/>
    <mergeCell ref="S104:S105"/>
    <mergeCell ref="T104:T105"/>
    <mergeCell ref="U104:U105"/>
    <mergeCell ref="V104:V105"/>
    <mergeCell ref="AQ104:AQ105"/>
    <mergeCell ref="AE104:AE105"/>
    <mergeCell ref="A2:X2"/>
    <mergeCell ref="A3:W3"/>
    <mergeCell ref="M104:M105"/>
    <mergeCell ref="BB104:BD105"/>
    <mergeCell ref="G104:G105"/>
    <mergeCell ref="H104:H105"/>
    <mergeCell ref="I104:I105"/>
    <mergeCell ref="J104:J105"/>
    <mergeCell ref="K104:K105"/>
    <mergeCell ref="L104:L105"/>
    <mergeCell ref="AB104:AB105"/>
    <mergeCell ref="AC104:AC105"/>
    <mergeCell ref="AF104:AF105"/>
    <mergeCell ref="AG104:AG105"/>
    <mergeCell ref="AH104:AH105"/>
    <mergeCell ref="AI104:AI105"/>
    <mergeCell ref="AJ104:AJ105"/>
    <mergeCell ref="AK104:AK105"/>
    <mergeCell ref="AL104:AL105"/>
    <mergeCell ref="AM104:AM105"/>
    <mergeCell ref="AN104:AN105"/>
    <mergeCell ref="AO104:AO105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F114"/>
  <sheetViews>
    <sheetView workbookViewId="0">
      <selection activeCell="A10" sqref="A10:A11"/>
    </sheetView>
  </sheetViews>
  <sheetFormatPr defaultRowHeight="10.199999999999999" x14ac:dyDescent="0.2"/>
  <cols>
    <col min="1" max="1" width="35.33203125" style="1" customWidth="1"/>
    <col min="2" max="3" width="7.88671875" style="1" bestFit="1" customWidth="1"/>
    <col min="4" max="4" width="8.6640625" style="1" bestFit="1" customWidth="1"/>
    <col min="5" max="6" width="7.109375" style="1" bestFit="1" customWidth="1"/>
    <col min="7" max="7" width="7.88671875" style="1" bestFit="1" customWidth="1"/>
    <col min="8" max="9" width="7.109375" style="1" bestFit="1" customWidth="1"/>
    <col min="10" max="10" width="8.6640625" style="1" bestFit="1" customWidth="1"/>
    <col min="11" max="12" width="7.109375" style="1" bestFit="1" customWidth="1"/>
    <col min="13" max="13" width="8.88671875" style="1" customWidth="1"/>
    <col min="14" max="15" width="7.109375" style="1" bestFit="1" customWidth="1"/>
    <col min="16" max="18" width="7.88671875" style="1" bestFit="1" customWidth="1"/>
    <col min="19" max="19" width="9.109375" style="1" customWidth="1"/>
    <col min="20" max="21" width="7.109375" style="1" bestFit="1" customWidth="1"/>
    <col min="22" max="22" width="7.88671875" style="1" bestFit="1" customWidth="1"/>
    <col min="23" max="24" width="7.109375" style="1" bestFit="1" customWidth="1"/>
    <col min="25" max="25" width="7.88671875" style="1" bestFit="1" customWidth="1"/>
    <col min="26" max="26" width="5.88671875" style="1" bestFit="1" customWidth="1"/>
    <col min="27" max="27" width="5.109375" style="1" bestFit="1" customWidth="1"/>
    <col min="28" max="28" width="7.109375" style="1" bestFit="1" customWidth="1"/>
    <col min="29" max="30" width="5.88671875" style="1" bestFit="1" customWidth="1"/>
    <col min="31" max="31" width="7.88671875" style="1" bestFit="1" customWidth="1"/>
    <col min="32" max="33" width="7.109375" style="1" bestFit="1" customWidth="1"/>
    <col min="34" max="34" width="7.88671875" style="1" bestFit="1" customWidth="1"/>
    <col min="35" max="36" width="7.109375" style="1" bestFit="1" customWidth="1"/>
    <col min="37" max="37" width="8.88671875" style="1"/>
    <col min="38" max="39" width="7.109375" style="1" bestFit="1" customWidth="1"/>
    <col min="40" max="40" width="7.88671875" style="1" bestFit="1" customWidth="1"/>
    <col min="41" max="42" width="5.109375" style="1" bestFit="1" customWidth="1"/>
    <col min="43" max="43" width="5.88671875" style="1" bestFit="1" customWidth="1"/>
    <col min="44" max="46" width="8.6640625" style="1" bestFit="1" customWidth="1"/>
    <col min="47" max="47" width="9.88671875" style="1" bestFit="1" customWidth="1"/>
    <col min="48" max="16384" width="8.88671875" style="1"/>
  </cols>
  <sheetData>
    <row r="1" spans="1:58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</row>
    <row r="2" spans="1:58" s="27" customFormat="1" ht="13.2" x14ac:dyDescent="0.25"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30"/>
      <c r="AZ2" s="30"/>
      <c r="BA2" s="30"/>
      <c r="BB2" s="30"/>
      <c r="BC2" s="30"/>
      <c r="BD2" s="30"/>
      <c r="BE2" s="30"/>
      <c r="BF2" s="30"/>
    </row>
    <row r="3" spans="1:58" s="27" customFormat="1" ht="13.2" x14ac:dyDescent="0.25"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28"/>
      <c r="S3" s="28"/>
      <c r="T3" s="28"/>
      <c r="U3" s="28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30"/>
      <c r="AZ3" s="30"/>
      <c r="BA3" s="30"/>
      <c r="BB3" s="30"/>
      <c r="BC3" s="30"/>
      <c r="BD3" s="30"/>
      <c r="BE3" s="30"/>
      <c r="BF3" s="30"/>
    </row>
    <row r="4" spans="1:58" s="22" customFormat="1" ht="12" x14ac:dyDescent="0.2">
      <c r="B4" s="25"/>
      <c r="C4" s="25"/>
      <c r="D4" s="25"/>
      <c r="E4" s="25"/>
      <c r="F4" s="25"/>
      <c r="G4" s="25"/>
      <c r="H4" s="25"/>
      <c r="I4" s="25"/>
      <c r="K4" s="26"/>
      <c r="L4" s="26"/>
      <c r="M4" s="26"/>
      <c r="N4" s="26"/>
      <c r="O4" s="26"/>
      <c r="P4" s="26"/>
      <c r="Q4" s="26"/>
      <c r="R4" s="26"/>
      <c r="S4" s="26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4"/>
      <c r="AZ4" s="24"/>
      <c r="BA4" s="24"/>
      <c r="BB4" s="24"/>
      <c r="BC4" s="24"/>
      <c r="BD4" s="24"/>
      <c r="BE4" s="24"/>
      <c r="BF4" s="24"/>
    </row>
    <row r="5" spans="1:58" ht="10.8" thickBot="1" x14ac:dyDescent="0.25">
      <c r="A5" s="4"/>
      <c r="B5" s="18"/>
      <c r="C5" s="18"/>
      <c r="D5" s="18"/>
      <c r="E5" s="18"/>
      <c r="F5" s="18"/>
      <c r="G5" s="134"/>
      <c r="H5" s="134"/>
      <c r="I5" s="134"/>
      <c r="J5" s="134"/>
      <c r="K5" s="134"/>
      <c r="L5" s="134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16"/>
      <c r="AW5" s="135"/>
      <c r="AX5" s="135"/>
      <c r="AZ5" s="5"/>
      <c r="BA5" s="5"/>
      <c r="BB5" s="5"/>
      <c r="BC5" s="5"/>
      <c r="BD5" s="5"/>
      <c r="BE5" s="5"/>
      <c r="BF5" s="5"/>
    </row>
    <row r="6" spans="1:58" x14ac:dyDescent="0.2">
      <c r="A6" s="136"/>
      <c r="B6" s="139"/>
      <c r="C6" s="140"/>
      <c r="D6" s="140"/>
      <c r="E6" s="145"/>
      <c r="F6" s="140"/>
      <c r="G6" s="146"/>
      <c r="H6" s="145"/>
      <c r="I6" s="140"/>
      <c r="J6" s="146"/>
      <c r="K6" s="145"/>
      <c r="L6" s="140"/>
      <c r="M6" s="146"/>
      <c r="N6" s="140"/>
      <c r="O6" s="140"/>
      <c r="P6" s="146"/>
      <c r="Q6" s="145"/>
      <c r="R6" s="140"/>
      <c r="S6" s="146"/>
      <c r="T6" s="145"/>
      <c r="U6" s="140"/>
      <c r="V6" s="146"/>
      <c r="W6" s="145"/>
      <c r="X6" s="140"/>
      <c r="Y6" s="146"/>
      <c r="Z6" s="140"/>
      <c r="AA6" s="140"/>
      <c r="AB6" s="140"/>
      <c r="AC6" s="145"/>
      <c r="AD6" s="140"/>
      <c r="AE6" s="146"/>
      <c r="AF6" s="145"/>
      <c r="AG6" s="140"/>
      <c r="AH6" s="146"/>
      <c r="AI6" s="145"/>
      <c r="AJ6" s="140"/>
      <c r="AK6" s="146"/>
      <c r="AL6" s="140"/>
      <c r="AM6" s="140"/>
      <c r="AN6" s="146"/>
      <c r="AO6" s="145"/>
      <c r="AP6" s="140"/>
      <c r="AQ6" s="146"/>
      <c r="AR6" s="145"/>
      <c r="AS6" s="140"/>
      <c r="AT6" s="140"/>
      <c r="AU6" s="151"/>
      <c r="AV6" s="142"/>
      <c r="AW6" s="142"/>
      <c r="AX6" s="142"/>
    </row>
    <row r="7" spans="1:58" x14ac:dyDescent="0.2">
      <c r="A7" s="137"/>
      <c r="B7" s="141"/>
      <c r="C7" s="142"/>
      <c r="D7" s="142"/>
      <c r="E7" s="147"/>
      <c r="F7" s="142"/>
      <c r="G7" s="148"/>
      <c r="H7" s="147"/>
      <c r="I7" s="142"/>
      <c r="J7" s="148"/>
      <c r="K7" s="147"/>
      <c r="L7" s="142"/>
      <c r="M7" s="148"/>
      <c r="N7" s="142"/>
      <c r="O7" s="142"/>
      <c r="P7" s="148"/>
      <c r="Q7" s="147"/>
      <c r="R7" s="142"/>
      <c r="S7" s="148"/>
      <c r="T7" s="147"/>
      <c r="U7" s="142"/>
      <c r="V7" s="148"/>
      <c r="W7" s="147"/>
      <c r="X7" s="142"/>
      <c r="Y7" s="148"/>
      <c r="Z7" s="142"/>
      <c r="AA7" s="142"/>
      <c r="AB7" s="142"/>
      <c r="AC7" s="147"/>
      <c r="AD7" s="142"/>
      <c r="AE7" s="148"/>
      <c r="AF7" s="147"/>
      <c r="AG7" s="142"/>
      <c r="AH7" s="148"/>
      <c r="AI7" s="147"/>
      <c r="AJ7" s="142"/>
      <c r="AK7" s="148"/>
      <c r="AL7" s="142"/>
      <c r="AM7" s="142"/>
      <c r="AN7" s="148"/>
      <c r="AO7" s="147"/>
      <c r="AP7" s="142"/>
      <c r="AQ7" s="148"/>
      <c r="AR7" s="147"/>
      <c r="AS7" s="142"/>
      <c r="AT7" s="142"/>
      <c r="AU7" s="152"/>
      <c r="AV7" s="142"/>
      <c r="AW7" s="142"/>
      <c r="AX7" s="142"/>
    </row>
    <row r="8" spans="1:58" x14ac:dyDescent="0.2">
      <c r="A8" s="137"/>
      <c r="B8" s="143"/>
      <c r="C8" s="144"/>
      <c r="D8" s="144"/>
      <c r="E8" s="149"/>
      <c r="F8" s="144"/>
      <c r="G8" s="150"/>
      <c r="H8" s="149"/>
      <c r="I8" s="144"/>
      <c r="J8" s="150"/>
      <c r="K8" s="149"/>
      <c r="L8" s="144"/>
      <c r="M8" s="150"/>
      <c r="N8" s="144"/>
      <c r="O8" s="144"/>
      <c r="P8" s="150"/>
      <c r="Q8" s="149"/>
      <c r="R8" s="144"/>
      <c r="S8" s="150"/>
      <c r="T8" s="149"/>
      <c r="U8" s="144"/>
      <c r="V8" s="150"/>
      <c r="W8" s="149"/>
      <c r="X8" s="144"/>
      <c r="Y8" s="150"/>
      <c r="Z8" s="144"/>
      <c r="AA8" s="144"/>
      <c r="AB8" s="144"/>
      <c r="AC8" s="149"/>
      <c r="AD8" s="144"/>
      <c r="AE8" s="150"/>
      <c r="AF8" s="149"/>
      <c r="AG8" s="144"/>
      <c r="AH8" s="150"/>
      <c r="AI8" s="149"/>
      <c r="AJ8" s="144"/>
      <c r="AK8" s="150"/>
      <c r="AL8" s="144"/>
      <c r="AM8" s="144"/>
      <c r="AN8" s="150"/>
      <c r="AO8" s="149"/>
      <c r="AP8" s="144"/>
      <c r="AQ8" s="150"/>
      <c r="AR8" s="149"/>
      <c r="AS8" s="144"/>
      <c r="AT8" s="144"/>
      <c r="AU8" s="153"/>
      <c r="AV8" s="142"/>
      <c r="AW8" s="142"/>
      <c r="AX8" s="142"/>
    </row>
    <row r="9" spans="1:58" x14ac:dyDescent="0.2">
      <c r="A9" s="138"/>
      <c r="B9" s="6"/>
      <c r="C9" s="7"/>
      <c r="D9" s="8"/>
      <c r="E9" s="9"/>
      <c r="F9" s="7"/>
      <c r="G9" s="7"/>
      <c r="H9" s="9"/>
      <c r="I9" s="7"/>
      <c r="J9" s="7"/>
      <c r="K9" s="9"/>
      <c r="L9" s="7"/>
      <c r="M9" s="7"/>
      <c r="N9" s="7"/>
      <c r="O9" s="7"/>
      <c r="P9" s="8"/>
      <c r="Q9" s="9"/>
      <c r="R9" s="7"/>
      <c r="S9" s="7"/>
      <c r="T9" s="9"/>
      <c r="U9" s="7"/>
      <c r="V9" s="7"/>
      <c r="W9" s="9"/>
      <c r="X9" s="7"/>
      <c r="Y9" s="7"/>
      <c r="Z9" s="7"/>
      <c r="AA9" s="7"/>
      <c r="AB9" s="8"/>
      <c r="AC9" s="9"/>
      <c r="AD9" s="7"/>
      <c r="AE9" s="7"/>
      <c r="AF9" s="9"/>
      <c r="AG9" s="7"/>
      <c r="AH9" s="7"/>
      <c r="AI9" s="9"/>
      <c r="AJ9" s="7"/>
      <c r="AK9" s="7"/>
      <c r="AL9" s="7"/>
      <c r="AM9" s="7"/>
      <c r="AN9" s="7"/>
      <c r="AO9" s="9"/>
      <c r="AP9" s="7"/>
      <c r="AQ9" s="7"/>
      <c r="AR9" s="9"/>
      <c r="AS9" s="7"/>
      <c r="AT9" s="9"/>
      <c r="AU9" s="13"/>
      <c r="AV9" s="144"/>
      <c r="AW9" s="144"/>
      <c r="AX9" s="144"/>
    </row>
    <row r="10" spans="1:58" x14ac:dyDescent="0.2">
      <c r="A10" s="154"/>
      <c r="B10" s="156"/>
      <c r="C10" s="158"/>
      <c r="D10" s="158"/>
      <c r="E10" s="158"/>
      <c r="F10" s="158"/>
      <c r="G10" s="158"/>
      <c r="H10" s="158"/>
      <c r="I10" s="158"/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  <c r="Y10" s="158"/>
      <c r="Z10" s="158"/>
      <c r="AA10" s="158"/>
      <c r="AB10" s="158"/>
      <c r="AC10" s="158"/>
      <c r="AD10" s="158"/>
      <c r="AE10" s="158"/>
      <c r="AF10" s="158"/>
      <c r="AG10" s="158"/>
      <c r="AH10" s="158"/>
      <c r="AI10" s="158"/>
      <c r="AJ10" s="158"/>
      <c r="AK10" s="158"/>
      <c r="AL10" s="158"/>
      <c r="AM10" s="158"/>
      <c r="AN10" s="158"/>
      <c r="AO10" s="158"/>
      <c r="AP10" s="158"/>
      <c r="AQ10" s="158"/>
      <c r="AR10" s="158"/>
      <c r="AS10" s="158"/>
      <c r="AT10" s="158"/>
      <c r="AU10" s="162"/>
      <c r="AV10" s="137"/>
      <c r="AW10" s="137"/>
      <c r="AX10" s="137"/>
    </row>
    <row r="11" spans="1:58" x14ac:dyDescent="0.2">
      <c r="A11" s="155"/>
      <c r="B11" s="157"/>
      <c r="C11" s="159"/>
      <c r="D11" s="159"/>
      <c r="E11" s="159"/>
      <c r="F11" s="159"/>
      <c r="G11" s="159"/>
      <c r="H11" s="159"/>
      <c r="I11" s="159"/>
      <c r="J11" s="159"/>
      <c r="K11" s="159"/>
      <c r="L11" s="159"/>
      <c r="M11" s="159"/>
      <c r="N11" s="159"/>
      <c r="O11" s="159"/>
      <c r="P11" s="159"/>
      <c r="Q11" s="159"/>
      <c r="R11" s="159"/>
      <c r="S11" s="159"/>
      <c r="T11" s="159"/>
      <c r="U11" s="159"/>
      <c r="V11" s="159"/>
      <c r="W11" s="159"/>
      <c r="X11" s="159"/>
      <c r="Y11" s="159"/>
      <c r="Z11" s="159"/>
      <c r="AA11" s="159"/>
      <c r="AB11" s="159"/>
      <c r="AC11" s="159"/>
      <c r="AD11" s="159"/>
      <c r="AE11" s="159"/>
      <c r="AF11" s="159"/>
      <c r="AG11" s="159"/>
      <c r="AH11" s="159"/>
      <c r="AI11" s="159"/>
      <c r="AJ11" s="159"/>
      <c r="AK11" s="159"/>
      <c r="AL11" s="159"/>
      <c r="AM11" s="159"/>
      <c r="AN11" s="159"/>
      <c r="AO11" s="159"/>
      <c r="AP11" s="159"/>
      <c r="AQ11" s="159"/>
      <c r="AR11" s="159"/>
      <c r="AS11" s="159"/>
      <c r="AT11" s="159"/>
      <c r="AU11" s="163"/>
      <c r="AV11" s="137"/>
      <c r="AW11" s="137"/>
      <c r="AX11" s="137"/>
    </row>
    <row r="12" spans="1:58" x14ac:dyDescent="0.2">
      <c r="A12" s="160"/>
      <c r="B12" s="157"/>
      <c r="C12" s="159"/>
      <c r="D12" s="159"/>
      <c r="E12" s="159"/>
      <c r="F12" s="159"/>
      <c r="G12" s="159"/>
      <c r="H12" s="161"/>
      <c r="I12" s="161"/>
      <c r="J12" s="161"/>
      <c r="K12" s="165"/>
      <c r="L12" s="165"/>
      <c r="M12" s="165"/>
      <c r="N12" s="159"/>
      <c r="O12" s="159"/>
      <c r="P12" s="159"/>
      <c r="Q12" s="159"/>
      <c r="R12" s="159"/>
      <c r="S12" s="159"/>
      <c r="T12" s="164"/>
      <c r="U12" s="159"/>
      <c r="V12" s="159"/>
      <c r="W12" s="159"/>
      <c r="X12" s="159"/>
      <c r="Y12" s="159"/>
      <c r="Z12" s="159"/>
      <c r="AA12" s="159"/>
      <c r="AB12" s="159"/>
      <c r="AC12" s="159"/>
      <c r="AD12" s="159"/>
      <c r="AE12" s="159"/>
      <c r="AF12" s="159"/>
      <c r="AG12" s="159"/>
      <c r="AH12" s="159"/>
      <c r="AI12" s="159"/>
      <c r="AJ12" s="159"/>
      <c r="AK12" s="159"/>
      <c r="AL12" s="159"/>
      <c r="AM12" s="159"/>
      <c r="AN12" s="159"/>
      <c r="AO12" s="159"/>
      <c r="AP12" s="159"/>
      <c r="AQ12" s="159"/>
      <c r="AR12" s="159"/>
      <c r="AS12" s="159"/>
      <c r="AT12" s="159"/>
      <c r="AU12" s="163"/>
      <c r="AV12" s="166"/>
      <c r="AW12" s="166"/>
      <c r="AX12" s="166"/>
    </row>
    <row r="13" spans="1:58" x14ac:dyDescent="0.2">
      <c r="A13" s="160"/>
      <c r="B13" s="157"/>
      <c r="C13" s="159"/>
      <c r="D13" s="159"/>
      <c r="E13" s="159"/>
      <c r="F13" s="159"/>
      <c r="G13" s="159"/>
      <c r="H13" s="159"/>
      <c r="I13" s="159"/>
      <c r="J13" s="159"/>
      <c r="K13" s="165"/>
      <c r="L13" s="165"/>
      <c r="M13" s="165"/>
      <c r="N13" s="159"/>
      <c r="O13" s="159"/>
      <c r="P13" s="159"/>
      <c r="Q13" s="159"/>
      <c r="R13" s="159"/>
      <c r="S13" s="159"/>
      <c r="T13" s="164"/>
      <c r="U13" s="159"/>
      <c r="V13" s="159"/>
      <c r="W13" s="159"/>
      <c r="X13" s="159"/>
      <c r="Y13" s="159"/>
      <c r="Z13" s="159"/>
      <c r="AA13" s="159"/>
      <c r="AB13" s="159"/>
      <c r="AC13" s="159"/>
      <c r="AD13" s="159"/>
      <c r="AE13" s="159"/>
      <c r="AF13" s="159"/>
      <c r="AG13" s="159"/>
      <c r="AH13" s="159"/>
      <c r="AI13" s="159"/>
      <c r="AJ13" s="159"/>
      <c r="AK13" s="159"/>
      <c r="AL13" s="159"/>
      <c r="AM13" s="159"/>
      <c r="AN13" s="159"/>
      <c r="AO13" s="159"/>
      <c r="AP13" s="159"/>
      <c r="AQ13" s="159"/>
      <c r="AR13" s="159"/>
      <c r="AS13" s="159"/>
      <c r="AT13" s="159"/>
      <c r="AU13" s="163"/>
      <c r="AV13" s="166"/>
      <c r="AW13" s="166"/>
      <c r="AX13" s="166"/>
    </row>
    <row r="14" spans="1:58" x14ac:dyDescent="0.2">
      <c r="A14" s="45"/>
      <c r="B14" s="35"/>
      <c r="C14" s="32"/>
      <c r="D14" s="31"/>
      <c r="E14" s="32"/>
      <c r="F14" s="31"/>
      <c r="G14" s="32"/>
      <c r="H14" s="31"/>
      <c r="I14" s="32"/>
      <c r="J14" s="31"/>
      <c r="K14" s="33"/>
      <c r="L14" s="34"/>
      <c r="M14" s="33"/>
      <c r="N14" s="34"/>
      <c r="O14" s="33"/>
      <c r="P14" s="34"/>
      <c r="Q14" s="33"/>
      <c r="R14" s="34"/>
      <c r="S14" s="33"/>
      <c r="T14" s="34"/>
      <c r="U14" s="33"/>
      <c r="V14" s="34"/>
      <c r="W14" s="33"/>
      <c r="X14" s="34"/>
      <c r="Y14" s="33"/>
      <c r="Z14" s="34"/>
      <c r="AA14" s="33"/>
      <c r="AB14" s="34"/>
      <c r="AC14" s="32"/>
      <c r="AD14" s="31"/>
      <c r="AE14" s="32"/>
      <c r="AF14" s="34"/>
      <c r="AG14" s="33"/>
      <c r="AH14" s="34"/>
      <c r="AI14" s="33"/>
      <c r="AJ14" s="34"/>
      <c r="AK14" s="33"/>
      <c r="AL14" s="31"/>
      <c r="AM14" s="33"/>
      <c r="AN14" s="31"/>
      <c r="AO14" s="33"/>
      <c r="AP14" s="34"/>
      <c r="AQ14" s="33"/>
      <c r="AR14" s="34"/>
      <c r="AS14" s="33"/>
      <c r="AT14" s="34"/>
      <c r="AU14" s="36"/>
      <c r="AV14" s="48"/>
      <c r="AW14" s="10"/>
      <c r="AX14" s="10"/>
    </row>
    <row r="15" spans="1:58" x14ac:dyDescent="0.2">
      <c r="A15" s="45"/>
      <c r="B15" s="35"/>
      <c r="C15" s="32"/>
      <c r="D15" s="31"/>
      <c r="E15" s="32"/>
      <c r="F15" s="31"/>
      <c r="G15" s="32"/>
      <c r="H15" s="31"/>
      <c r="I15" s="32"/>
      <c r="J15" s="31"/>
      <c r="K15" s="33"/>
      <c r="L15" s="34"/>
      <c r="M15" s="33"/>
      <c r="N15" s="34"/>
      <c r="O15" s="33"/>
      <c r="P15" s="34"/>
      <c r="Q15" s="33"/>
      <c r="R15" s="34"/>
      <c r="S15" s="33"/>
      <c r="T15" s="34"/>
      <c r="U15" s="33"/>
      <c r="V15" s="34"/>
      <c r="W15" s="33"/>
      <c r="X15" s="34"/>
      <c r="Y15" s="33"/>
      <c r="Z15" s="34"/>
      <c r="AA15" s="33"/>
      <c r="AB15" s="34"/>
      <c r="AC15" s="32"/>
      <c r="AD15" s="31"/>
      <c r="AE15" s="32"/>
      <c r="AF15" s="34"/>
      <c r="AG15" s="33"/>
      <c r="AH15" s="34"/>
      <c r="AI15" s="33"/>
      <c r="AJ15" s="34"/>
      <c r="AK15" s="33"/>
      <c r="AL15" s="34"/>
      <c r="AM15" s="33"/>
      <c r="AN15" s="34"/>
      <c r="AO15" s="33"/>
      <c r="AP15" s="34"/>
      <c r="AQ15" s="33"/>
      <c r="AR15" s="34"/>
      <c r="AS15" s="33"/>
      <c r="AT15" s="34"/>
      <c r="AU15" s="36"/>
      <c r="AV15" s="48"/>
      <c r="AW15" s="10"/>
      <c r="AX15" s="10"/>
    </row>
    <row r="16" spans="1:58" x14ac:dyDescent="0.2">
      <c r="A16" s="45"/>
      <c r="B16" s="35"/>
      <c r="C16" s="32"/>
      <c r="D16" s="31"/>
      <c r="E16" s="32"/>
      <c r="F16" s="31"/>
      <c r="G16" s="33"/>
      <c r="H16" s="31"/>
      <c r="I16" s="32"/>
      <c r="J16" s="31"/>
      <c r="K16" s="33"/>
      <c r="L16" s="34"/>
      <c r="M16" s="33"/>
      <c r="N16" s="34"/>
      <c r="O16" s="33"/>
      <c r="P16" s="34"/>
      <c r="Q16" s="33"/>
      <c r="R16" s="34"/>
      <c r="S16" s="33"/>
      <c r="T16" s="34"/>
      <c r="U16" s="33"/>
      <c r="V16" s="34"/>
      <c r="W16" s="33"/>
      <c r="X16" s="34"/>
      <c r="Y16" s="33"/>
      <c r="Z16" s="34"/>
      <c r="AA16" s="33"/>
      <c r="AB16" s="34"/>
      <c r="AC16" s="32"/>
      <c r="AD16" s="31"/>
      <c r="AE16" s="32"/>
      <c r="AF16" s="34"/>
      <c r="AG16" s="33"/>
      <c r="AH16" s="34"/>
      <c r="AI16" s="33"/>
      <c r="AJ16" s="34"/>
      <c r="AK16" s="33"/>
      <c r="AL16" s="34"/>
      <c r="AM16" s="33"/>
      <c r="AN16" s="34"/>
      <c r="AO16" s="33"/>
      <c r="AP16" s="34"/>
      <c r="AQ16" s="33"/>
      <c r="AR16" s="34"/>
      <c r="AS16" s="33"/>
      <c r="AT16" s="34"/>
      <c r="AU16" s="36"/>
      <c r="AV16" s="48"/>
      <c r="AW16" s="10"/>
      <c r="AX16" s="10"/>
    </row>
    <row r="17" spans="1:50" x14ac:dyDescent="0.2">
      <c r="A17" s="45"/>
      <c r="B17" s="35"/>
      <c r="C17" s="32"/>
      <c r="D17" s="31"/>
      <c r="E17" s="32"/>
      <c r="F17" s="31"/>
      <c r="G17" s="33"/>
      <c r="H17" s="31"/>
      <c r="I17" s="32"/>
      <c r="J17" s="31"/>
      <c r="K17" s="33"/>
      <c r="L17" s="34"/>
      <c r="M17" s="33"/>
      <c r="N17" s="34"/>
      <c r="O17" s="33"/>
      <c r="P17" s="34"/>
      <c r="Q17" s="33"/>
      <c r="R17" s="34"/>
      <c r="S17" s="33"/>
      <c r="T17" s="31"/>
      <c r="U17" s="32"/>
      <c r="V17" s="34"/>
      <c r="W17" s="33"/>
      <c r="X17" s="34"/>
      <c r="Y17" s="33"/>
      <c r="Z17" s="31"/>
      <c r="AA17" s="32"/>
      <c r="AB17" s="34"/>
      <c r="AC17" s="32"/>
      <c r="AD17" s="31"/>
      <c r="AE17" s="32"/>
      <c r="AF17" s="34"/>
      <c r="AG17" s="33"/>
      <c r="AH17" s="34"/>
      <c r="AI17" s="33"/>
      <c r="AJ17" s="34"/>
      <c r="AK17" s="33"/>
      <c r="AL17" s="31"/>
      <c r="AM17" s="32"/>
      <c r="AN17" s="34"/>
      <c r="AO17" s="33"/>
      <c r="AP17" s="34"/>
      <c r="AQ17" s="33"/>
      <c r="AR17" s="34"/>
      <c r="AS17" s="33"/>
      <c r="AT17" s="34"/>
      <c r="AU17" s="36"/>
      <c r="AV17" s="48"/>
      <c r="AW17" s="10"/>
      <c r="AX17" s="10"/>
    </row>
    <row r="18" spans="1:50" x14ac:dyDescent="0.2">
      <c r="A18" s="45"/>
      <c r="B18" s="35"/>
      <c r="C18" s="32"/>
      <c r="D18" s="31"/>
      <c r="E18" s="32"/>
      <c r="F18" s="31"/>
      <c r="G18" s="32"/>
      <c r="H18" s="31"/>
      <c r="I18" s="33"/>
      <c r="J18" s="34"/>
      <c r="K18" s="33"/>
      <c r="L18" s="34"/>
      <c r="M18" s="33"/>
      <c r="N18" s="34"/>
      <c r="O18" s="33"/>
      <c r="P18" s="34"/>
      <c r="Q18" s="33"/>
      <c r="R18" s="34"/>
      <c r="S18" s="33"/>
      <c r="T18" s="34"/>
      <c r="U18" s="33"/>
      <c r="V18" s="34"/>
      <c r="W18" s="33"/>
      <c r="X18" s="34"/>
      <c r="Y18" s="33"/>
      <c r="Z18" s="34"/>
      <c r="AA18" s="33"/>
      <c r="AB18" s="34"/>
      <c r="AC18" s="32"/>
      <c r="AD18" s="31"/>
      <c r="AE18" s="32"/>
      <c r="AF18" s="34"/>
      <c r="AG18" s="33"/>
      <c r="AH18" s="34"/>
      <c r="AI18" s="33"/>
      <c r="AJ18" s="34"/>
      <c r="AK18" s="33"/>
      <c r="AL18" s="34"/>
      <c r="AM18" s="33"/>
      <c r="AN18" s="34"/>
      <c r="AO18" s="33"/>
      <c r="AP18" s="34"/>
      <c r="AQ18" s="33"/>
      <c r="AR18" s="34"/>
      <c r="AS18" s="33"/>
      <c r="AT18" s="34"/>
      <c r="AU18" s="36"/>
      <c r="AV18" s="48"/>
      <c r="AW18" s="10"/>
      <c r="AX18" s="10"/>
    </row>
    <row r="19" spans="1:50" x14ac:dyDescent="0.2">
      <c r="A19" s="45"/>
      <c r="B19" s="35"/>
      <c r="C19" s="32"/>
      <c r="D19" s="31"/>
      <c r="E19" s="32"/>
      <c r="F19" s="31"/>
      <c r="G19" s="32"/>
      <c r="H19" s="31"/>
      <c r="I19" s="32"/>
      <c r="J19" s="31"/>
      <c r="K19" s="33"/>
      <c r="L19" s="34"/>
      <c r="M19" s="33"/>
      <c r="N19" s="34"/>
      <c r="O19" s="33"/>
      <c r="P19" s="34"/>
      <c r="Q19" s="33"/>
      <c r="R19" s="34"/>
      <c r="S19" s="33"/>
      <c r="T19" s="34"/>
      <c r="U19" s="33"/>
      <c r="V19" s="34"/>
      <c r="W19" s="33"/>
      <c r="X19" s="34"/>
      <c r="Y19" s="33"/>
      <c r="Z19" s="34"/>
      <c r="AA19" s="33"/>
      <c r="AB19" s="34"/>
      <c r="AC19" s="32"/>
      <c r="AD19" s="31"/>
      <c r="AE19" s="32"/>
      <c r="AF19" s="34"/>
      <c r="AG19" s="33"/>
      <c r="AH19" s="34"/>
      <c r="AI19" s="33"/>
      <c r="AJ19" s="34"/>
      <c r="AK19" s="33"/>
      <c r="AL19" s="34"/>
      <c r="AM19" s="33"/>
      <c r="AN19" s="34"/>
      <c r="AO19" s="33"/>
      <c r="AP19" s="34"/>
      <c r="AQ19" s="33"/>
      <c r="AR19" s="34"/>
      <c r="AS19" s="33"/>
      <c r="AT19" s="34"/>
      <c r="AU19" s="36"/>
      <c r="AV19" s="48"/>
      <c r="AW19" s="10"/>
      <c r="AX19" s="10"/>
    </row>
    <row r="20" spans="1:50" x14ac:dyDescent="0.2">
      <c r="A20" s="160"/>
      <c r="B20" s="157"/>
      <c r="C20" s="159"/>
      <c r="D20" s="159"/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59"/>
      <c r="R20" s="159"/>
      <c r="S20" s="159"/>
      <c r="T20" s="159"/>
      <c r="U20" s="159"/>
      <c r="V20" s="159"/>
      <c r="W20" s="159"/>
      <c r="X20" s="159"/>
      <c r="Y20" s="159"/>
      <c r="Z20" s="159"/>
      <c r="AA20" s="159"/>
      <c r="AB20" s="159"/>
      <c r="AC20" s="159"/>
      <c r="AD20" s="159"/>
      <c r="AE20" s="159"/>
      <c r="AF20" s="159"/>
      <c r="AG20" s="159"/>
      <c r="AH20" s="159"/>
      <c r="AI20" s="159"/>
      <c r="AJ20" s="159"/>
      <c r="AK20" s="159"/>
      <c r="AL20" s="159"/>
      <c r="AM20" s="159"/>
      <c r="AN20" s="159"/>
      <c r="AO20" s="159"/>
      <c r="AP20" s="159"/>
      <c r="AQ20" s="159"/>
      <c r="AR20" s="159"/>
      <c r="AS20" s="159"/>
      <c r="AT20" s="159"/>
      <c r="AU20" s="163"/>
      <c r="AV20" s="167"/>
      <c r="AW20" s="167"/>
      <c r="AX20" s="167"/>
    </row>
    <row r="21" spans="1:50" x14ac:dyDescent="0.2">
      <c r="A21" s="160"/>
      <c r="B21" s="157"/>
      <c r="C21" s="159"/>
      <c r="D21" s="159"/>
      <c r="E21" s="159"/>
      <c r="F21" s="159"/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59"/>
      <c r="R21" s="159"/>
      <c r="S21" s="159"/>
      <c r="T21" s="159"/>
      <c r="U21" s="159"/>
      <c r="V21" s="159"/>
      <c r="W21" s="159"/>
      <c r="X21" s="159"/>
      <c r="Y21" s="159"/>
      <c r="Z21" s="159"/>
      <c r="AA21" s="159"/>
      <c r="AB21" s="159"/>
      <c r="AC21" s="159"/>
      <c r="AD21" s="159"/>
      <c r="AE21" s="159"/>
      <c r="AF21" s="159"/>
      <c r="AG21" s="159"/>
      <c r="AH21" s="159"/>
      <c r="AI21" s="159"/>
      <c r="AJ21" s="159"/>
      <c r="AK21" s="159"/>
      <c r="AL21" s="159"/>
      <c r="AM21" s="159"/>
      <c r="AN21" s="159"/>
      <c r="AO21" s="159"/>
      <c r="AP21" s="159"/>
      <c r="AQ21" s="159"/>
      <c r="AR21" s="159"/>
      <c r="AS21" s="159"/>
      <c r="AT21" s="159"/>
      <c r="AU21" s="163"/>
      <c r="AV21" s="167"/>
      <c r="AW21" s="167"/>
      <c r="AX21" s="167"/>
    </row>
    <row r="22" spans="1:50" x14ac:dyDescent="0.2">
      <c r="A22" s="45"/>
      <c r="B22" s="35"/>
      <c r="C22" s="32"/>
      <c r="D22" s="31"/>
      <c r="E22" s="32"/>
      <c r="F22" s="31"/>
      <c r="G22" s="32"/>
      <c r="H22" s="31"/>
      <c r="I22" s="33"/>
      <c r="J22" s="31"/>
      <c r="K22" s="33"/>
      <c r="L22" s="34"/>
      <c r="M22" s="33"/>
      <c r="N22" s="34"/>
      <c r="O22" s="33"/>
      <c r="P22" s="34"/>
      <c r="Q22" s="33"/>
      <c r="R22" s="34"/>
      <c r="S22" s="33"/>
      <c r="T22" s="34"/>
      <c r="U22" s="33"/>
      <c r="V22" s="34"/>
      <c r="W22" s="33"/>
      <c r="X22" s="34"/>
      <c r="Y22" s="33"/>
      <c r="Z22" s="34"/>
      <c r="AA22" s="33"/>
      <c r="AB22" s="34"/>
      <c r="AC22" s="32"/>
      <c r="AD22" s="31"/>
      <c r="AE22" s="32"/>
      <c r="AF22" s="34"/>
      <c r="AG22" s="33"/>
      <c r="AH22" s="34"/>
      <c r="AI22" s="33"/>
      <c r="AJ22" s="34"/>
      <c r="AK22" s="33"/>
      <c r="AL22" s="34"/>
      <c r="AM22" s="33"/>
      <c r="AN22" s="34"/>
      <c r="AO22" s="33"/>
      <c r="AP22" s="34"/>
      <c r="AQ22" s="33"/>
      <c r="AR22" s="34"/>
      <c r="AS22" s="33"/>
      <c r="AT22" s="34"/>
      <c r="AU22" s="36"/>
      <c r="AV22" s="48"/>
      <c r="AW22" s="10"/>
      <c r="AX22" s="10"/>
    </row>
    <row r="23" spans="1:50" x14ac:dyDescent="0.2">
      <c r="A23" s="45"/>
      <c r="B23" s="35"/>
      <c r="C23" s="32"/>
      <c r="D23" s="31"/>
      <c r="E23" s="32"/>
      <c r="F23" s="34"/>
      <c r="G23" s="33"/>
      <c r="H23" s="31"/>
      <c r="I23" s="32"/>
      <c r="J23" s="31"/>
      <c r="K23" s="33"/>
      <c r="L23" s="34"/>
      <c r="M23" s="33"/>
      <c r="N23" s="34"/>
      <c r="O23" s="33"/>
      <c r="P23" s="34"/>
      <c r="Q23" s="33"/>
      <c r="R23" s="34"/>
      <c r="S23" s="33"/>
      <c r="T23" s="34"/>
      <c r="U23" s="33"/>
      <c r="V23" s="34"/>
      <c r="W23" s="33"/>
      <c r="X23" s="34"/>
      <c r="Y23" s="33"/>
      <c r="Z23" s="34"/>
      <c r="AA23" s="33"/>
      <c r="AB23" s="34"/>
      <c r="AC23" s="32"/>
      <c r="AD23" s="31"/>
      <c r="AE23" s="32"/>
      <c r="AF23" s="34"/>
      <c r="AG23" s="33"/>
      <c r="AH23" s="34"/>
      <c r="AI23" s="33"/>
      <c r="AJ23" s="34"/>
      <c r="AK23" s="33"/>
      <c r="AL23" s="34"/>
      <c r="AM23" s="33"/>
      <c r="AN23" s="34"/>
      <c r="AO23" s="33"/>
      <c r="AP23" s="34"/>
      <c r="AQ23" s="33"/>
      <c r="AR23" s="34"/>
      <c r="AS23" s="33"/>
      <c r="AT23" s="34"/>
      <c r="AU23" s="36"/>
      <c r="AV23" s="48"/>
      <c r="AW23" s="10"/>
      <c r="AX23" s="10"/>
    </row>
    <row r="24" spans="1:50" x14ac:dyDescent="0.2">
      <c r="A24" s="45"/>
      <c r="B24" s="35"/>
      <c r="C24" s="32"/>
      <c r="D24" s="31"/>
      <c r="E24" s="32"/>
      <c r="F24" s="34"/>
      <c r="G24" s="33"/>
      <c r="H24" s="31"/>
      <c r="I24" s="32"/>
      <c r="J24" s="31"/>
      <c r="K24" s="32"/>
      <c r="L24" s="34"/>
      <c r="M24" s="33"/>
      <c r="N24" s="31"/>
      <c r="O24" s="33"/>
      <c r="P24" s="34"/>
      <c r="Q24" s="33"/>
      <c r="R24" s="34"/>
      <c r="S24" s="33"/>
      <c r="T24" s="31"/>
      <c r="U24" s="33"/>
      <c r="V24" s="34"/>
      <c r="W24" s="32"/>
      <c r="X24" s="34"/>
      <c r="Y24" s="33"/>
      <c r="Z24" s="31"/>
      <c r="AA24" s="33"/>
      <c r="AB24" s="34"/>
      <c r="AC24" s="32"/>
      <c r="AD24" s="34"/>
      <c r="AE24" s="32"/>
      <c r="AF24" s="31"/>
      <c r="AG24" s="33"/>
      <c r="AH24" s="34"/>
      <c r="AI24" s="32"/>
      <c r="AJ24" s="34"/>
      <c r="AK24" s="33"/>
      <c r="AL24" s="31"/>
      <c r="AM24" s="33"/>
      <c r="AN24" s="34"/>
      <c r="AO24" s="32"/>
      <c r="AP24" s="34"/>
      <c r="AQ24" s="33"/>
      <c r="AR24" s="34"/>
      <c r="AS24" s="33"/>
      <c r="AT24" s="34"/>
      <c r="AU24" s="36"/>
      <c r="AV24" s="48"/>
      <c r="AW24" s="10"/>
      <c r="AX24" s="10"/>
    </row>
    <row r="25" spans="1:50" x14ac:dyDescent="0.2">
      <c r="A25" s="45"/>
      <c r="B25" s="35"/>
      <c r="C25" s="32"/>
      <c r="D25" s="31"/>
      <c r="E25" s="32"/>
      <c r="F25" s="31"/>
      <c r="G25" s="32"/>
      <c r="H25" s="31"/>
      <c r="I25" s="32"/>
      <c r="J25" s="31"/>
      <c r="K25" s="33"/>
      <c r="L25" s="34"/>
      <c r="M25" s="33"/>
      <c r="N25" s="34"/>
      <c r="O25" s="33"/>
      <c r="P25" s="34"/>
      <c r="Q25" s="33"/>
      <c r="R25" s="34"/>
      <c r="S25" s="33"/>
      <c r="T25" s="34"/>
      <c r="U25" s="33"/>
      <c r="V25" s="34"/>
      <c r="W25" s="33"/>
      <c r="X25" s="34"/>
      <c r="Y25" s="33"/>
      <c r="Z25" s="34"/>
      <c r="AA25" s="33"/>
      <c r="AB25" s="34"/>
      <c r="AC25" s="32"/>
      <c r="AD25" s="31"/>
      <c r="AE25" s="32"/>
      <c r="AF25" s="34"/>
      <c r="AG25" s="33"/>
      <c r="AH25" s="34"/>
      <c r="AI25" s="33"/>
      <c r="AJ25" s="34"/>
      <c r="AK25" s="33"/>
      <c r="AL25" s="34"/>
      <c r="AM25" s="33"/>
      <c r="AN25" s="34"/>
      <c r="AO25" s="33"/>
      <c r="AP25" s="34"/>
      <c r="AQ25" s="33"/>
      <c r="AR25" s="34"/>
      <c r="AS25" s="33"/>
      <c r="AT25" s="34"/>
      <c r="AU25" s="36"/>
      <c r="AV25" s="48"/>
      <c r="AW25" s="10"/>
      <c r="AX25" s="10"/>
    </row>
    <row r="26" spans="1:50" x14ac:dyDescent="0.2">
      <c r="A26" s="45"/>
      <c r="B26" s="35"/>
      <c r="C26" s="32"/>
      <c r="D26" s="31"/>
      <c r="E26" s="32"/>
      <c r="F26" s="31"/>
      <c r="G26" s="32"/>
      <c r="H26" s="31"/>
      <c r="I26" s="32"/>
      <c r="J26" s="31"/>
      <c r="K26" s="33"/>
      <c r="L26" s="34"/>
      <c r="M26" s="33"/>
      <c r="N26" s="34"/>
      <c r="O26" s="33"/>
      <c r="P26" s="34"/>
      <c r="Q26" s="33"/>
      <c r="R26" s="34"/>
      <c r="S26" s="33"/>
      <c r="T26" s="34"/>
      <c r="U26" s="33"/>
      <c r="V26" s="34"/>
      <c r="W26" s="33"/>
      <c r="X26" s="34"/>
      <c r="Y26" s="33"/>
      <c r="Z26" s="34"/>
      <c r="AA26" s="33"/>
      <c r="AB26" s="34"/>
      <c r="AC26" s="32"/>
      <c r="AD26" s="34"/>
      <c r="AE26" s="33"/>
      <c r="AF26" s="34"/>
      <c r="AG26" s="33"/>
      <c r="AH26" s="34"/>
      <c r="AI26" s="33"/>
      <c r="AJ26" s="34"/>
      <c r="AK26" s="33"/>
      <c r="AL26" s="34"/>
      <c r="AM26" s="33"/>
      <c r="AN26" s="34"/>
      <c r="AO26" s="32"/>
      <c r="AP26" s="34"/>
      <c r="AQ26" s="33"/>
      <c r="AR26" s="34"/>
      <c r="AS26" s="33"/>
      <c r="AT26" s="34"/>
      <c r="AU26" s="36"/>
      <c r="AV26" s="48"/>
      <c r="AW26" s="10"/>
      <c r="AX26" s="10"/>
    </row>
    <row r="27" spans="1:50" x14ac:dyDescent="0.2">
      <c r="A27" s="45"/>
      <c r="B27" s="35"/>
      <c r="C27" s="32"/>
      <c r="D27" s="31"/>
      <c r="E27" s="32"/>
      <c r="F27" s="34"/>
      <c r="G27" s="32"/>
      <c r="H27" s="31"/>
      <c r="I27" s="32"/>
      <c r="J27" s="31"/>
      <c r="K27" s="33"/>
      <c r="L27" s="34"/>
      <c r="M27" s="33"/>
      <c r="N27" s="34"/>
      <c r="O27" s="33"/>
      <c r="P27" s="34"/>
      <c r="Q27" s="33"/>
      <c r="R27" s="34"/>
      <c r="S27" s="33"/>
      <c r="T27" s="34"/>
      <c r="U27" s="33"/>
      <c r="V27" s="34"/>
      <c r="W27" s="33"/>
      <c r="X27" s="34"/>
      <c r="Y27" s="33"/>
      <c r="Z27" s="31"/>
      <c r="AA27" s="33"/>
      <c r="AB27" s="34"/>
      <c r="AC27" s="32"/>
      <c r="AD27" s="31"/>
      <c r="AE27" s="32"/>
      <c r="AF27" s="34"/>
      <c r="AG27" s="33"/>
      <c r="AH27" s="34"/>
      <c r="AI27" s="33"/>
      <c r="AJ27" s="34"/>
      <c r="AK27" s="33"/>
      <c r="AL27" s="31"/>
      <c r="AM27" s="33"/>
      <c r="AN27" s="34"/>
      <c r="AO27" s="32"/>
      <c r="AP27" s="34"/>
      <c r="AQ27" s="33"/>
      <c r="AR27" s="34"/>
      <c r="AS27" s="33"/>
      <c r="AT27" s="34"/>
      <c r="AU27" s="36"/>
      <c r="AV27" s="48"/>
      <c r="AW27" s="10"/>
      <c r="AX27" s="10"/>
    </row>
    <row r="28" spans="1:50" x14ac:dyDescent="0.2">
      <c r="A28" s="45"/>
      <c r="B28" s="35"/>
      <c r="C28" s="33"/>
      <c r="D28" s="34"/>
      <c r="E28" s="32"/>
      <c r="F28" s="34"/>
      <c r="G28" s="33"/>
      <c r="H28" s="31"/>
      <c r="I28" s="33"/>
      <c r="J28" s="34"/>
      <c r="K28" s="32"/>
      <c r="L28" s="34"/>
      <c r="M28" s="33"/>
      <c r="N28" s="34"/>
      <c r="O28" s="33"/>
      <c r="P28" s="34"/>
      <c r="Q28" s="33"/>
      <c r="R28" s="34"/>
      <c r="S28" s="33"/>
      <c r="T28" s="31"/>
      <c r="U28" s="33"/>
      <c r="V28" s="34"/>
      <c r="W28" s="32"/>
      <c r="X28" s="34"/>
      <c r="Y28" s="33"/>
      <c r="Z28" s="34"/>
      <c r="AA28" s="33"/>
      <c r="AB28" s="34"/>
      <c r="AC28" s="32"/>
      <c r="AD28" s="31"/>
      <c r="AE28" s="32"/>
      <c r="AF28" s="34"/>
      <c r="AG28" s="33"/>
      <c r="AH28" s="34"/>
      <c r="AI28" s="33"/>
      <c r="AJ28" s="34"/>
      <c r="AK28" s="33"/>
      <c r="AL28" s="31"/>
      <c r="AM28" s="33"/>
      <c r="AN28" s="34"/>
      <c r="AO28" s="32"/>
      <c r="AP28" s="34"/>
      <c r="AQ28" s="33"/>
      <c r="AR28" s="34"/>
      <c r="AS28" s="33"/>
      <c r="AT28" s="34"/>
      <c r="AU28" s="36"/>
      <c r="AV28" s="48"/>
      <c r="AW28" s="10"/>
      <c r="AX28" s="10"/>
    </row>
    <row r="29" spans="1:50" ht="22.2" customHeight="1" x14ac:dyDescent="0.2">
      <c r="A29" s="21"/>
      <c r="B29" s="19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20"/>
      <c r="AV29" s="17"/>
      <c r="AW29" s="10"/>
      <c r="AX29" s="10"/>
    </row>
    <row r="30" spans="1:50" x14ac:dyDescent="0.2">
      <c r="A30" s="45"/>
      <c r="B30" s="35"/>
      <c r="C30" s="32"/>
      <c r="D30" s="31"/>
      <c r="E30" s="32"/>
      <c r="F30" s="31"/>
      <c r="G30" s="32"/>
      <c r="H30" s="31"/>
      <c r="I30" s="32"/>
      <c r="J30" s="31"/>
      <c r="K30" s="33"/>
      <c r="L30" s="34"/>
      <c r="M30" s="33"/>
      <c r="N30" s="34"/>
      <c r="O30" s="33"/>
      <c r="P30" s="34"/>
      <c r="Q30" s="33"/>
      <c r="R30" s="34"/>
      <c r="S30" s="33"/>
      <c r="T30" s="34"/>
      <c r="U30" s="33"/>
      <c r="V30" s="34"/>
      <c r="W30" s="33"/>
      <c r="X30" s="34"/>
      <c r="Y30" s="33"/>
      <c r="Z30" s="34"/>
      <c r="AA30" s="33"/>
      <c r="AB30" s="34"/>
      <c r="AC30" s="32"/>
      <c r="AD30" s="31"/>
      <c r="AE30" s="32"/>
      <c r="AF30" s="34"/>
      <c r="AG30" s="33"/>
      <c r="AH30" s="34"/>
      <c r="AI30" s="33"/>
      <c r="AJ30" s="34"/>
      <c r="AK30" s="33"/>
      <c r="AL30" s="34"/>
      <c r="AM30" s="33"/>
      <c r="AN30" s="34"/>
      <c r="AO30" s="33"/>
      <c r="AP30" s="34"/>
      <c r="AQ30" s="33"/>
      <c r="AR30" s="34"/>
      <c r="AS30" s="33"/>
      <c r="AT30" s="34"/>
      <c r="AU30" s="36"/>
      <c r="AV30" s="48"/>
      <c r="AW30" s="10"/>
      <c r="AX30" s="10"/>
    </row>
    <row r="31" spans="1:50" x14ac:dyDescent="0.2">
      <c r="A31" s="45"/>
      <c r="B31" s="35"/>
      <c r="C31" s="32"/>
      <c r="D31" s="31"/>
      <c r="E31" s="32"/>
      <c r="F31" s="31"/>
      <c r="G31" s="32"/>
      <c r="H31" s="31"/>
      <c r="I31" s="32"/>
      <c r="J31" s="31"/>
      <c r="K31" s="33"/>
      <c r="L31" s="34"/>
      <c r="M31" s="33"/>
      <c r="N31" s="34"/>
      <c r="O31" s="33"/>
      <c r="P31" s="34"/>
      <c r="Q31" s="33"/>
      <c r="R31" s="34"/>
      <c r="S31" s="33"/>
      <c r="T31" s="34"/>
      <c r="U31" s="33"/>
      <c r="V31" s="34"/>
      <c r="W31" s="33"/>
      <c r="X31" s="34"/>
      <c r="Y31" s="33"/>
      <c r="Z31" s="31"/>
      <c r="AA31" s="32"/>
      <c r="AB31" s="34"/>
      <c r="AC31" s="32"/>
      <c r="AD31" s="31"/>
      <c r="AE31" s="32"/>
      <c r="AF31" s="34"/>
      <c r="AG31" s="33"/>
      <c r="AH31" s="34"/>
      <c r="AI31" s="33"/>
      <c r="AJ31" s="34"/>
      <c r="AK31" s="33"/>
      <c r="AL31" s="31"/>
      <c r="AM31" s="33"/>
      <c r="AN31" s="34"/>
      <c r="AO31" s="32"/>
      <c r="AP31" s="34"/>
      <c r="AQ31" s="32"/>
      <c r="AR31" s="34"/>
      <c r="AS31" s="33"/>
      <c r="AT31" s="31"/>
      <c r="AU31" s="37"/>
      <c r="AV31" s="48"/>
      <c r="AW31" s="10"/>
      <c r="AX31" s="10"/>
    </row>
    <row r="32" spans="1:50" x14ac:dyDescent="0.2">
      <c r="A32" s="45"/>
      <c r="B32" s="35"/>
      <c r="C32" s="32"/>
      <c r="D32" s="31"/>
      <c r="E32" s="32"/>
      <c r="F32" s="31"/>
      <c r="G32" s="32"/>
      <c r="H32" s="31"/>
      <c r="I32" s="32"/>
      <c r="J32" s="31"/>
      <c r="K32" s="33"/>
      <c r="L32" s="34"/>
      <c r="M32" s="33"/>
      <c r="N32" s="34"/>
      <c r="O32" s="33"/>
      <c r="P32" s="34"/>
      <c r="Q32" s="33"/>
      <c r="R32" s="34"/>
      <c r="S32" s="33"/>
      <c r="T32" s="31"/>
      <c r="U32" s="33"/>
      <c r="V32" s="34"/>
      <c r="W32" s="33"/>
      <c r="X32" s="34"/>
      <c r="Y32" s="33"/>
      <c r="Z32" s="31"/>
      <c r="AA32" s="32"/>
      <c r="AB32" s="34"/>
      <c r="AC32" s="32"/>
      <c r="AD32" s="31"/>
      <c r="AE32" s="33"/>
      <c r="AF32" s="34"/>
      <c r="AG32" s="33"/>
      <c r="AH32" s="34"/>
      <c r="AI32" s="33"/>
      <c r="AJ32" s="34"/>
      <c r="AK32" s="33"/>
      <c r="AL32" s="34"/>
      <c r="AM32" s="33"/>
      <c r="AN32" s="34"/>
      <c r="AO32" s="33"/>
      <c r="AP32" s="34"/>
      <c r="AQ32" s="33"/>
      <c r="AR32" s="34"/>
      <c r="AS32" s="33"/>
      <c r="AT32" s="31"/>
      <c r="AU32" s="37"/>
      <c r="AV32" s="48"/>
      <c r="AW32" s="10"/>
      <c r="AX32" s="10"/>
    </row>
    <row r="33" spans="1:50" x14ac:dyDescent="0.2">
      <c r="A33" s="45"/>
      <c r="B33" s="35"/>
      <c r="C33" s="32"/>
      <c r="D33" s="31"/>
      <c r="E33" s="32"/>
      <c r="F33" s="31"/>
      <c r="G33" s="32"/>
      <c r="H33" s="31"/>
      <c r="I33" s="32"/>
      <c r="J33" s="31"/>
      <c r="K33" s="33"/>
      <c r="L33" s="34"/>
      <c r="M33" s="33"/>
      <c r="N33" s="34"/>
      <c r="O33" s="33"/>
      <c r="P33" s="34"/>
      <c r="Q33" s="33"/>
      <c r="R33" s="34"/>
      <c r="S33" s="33"/>
      <c r="T33" s="34"/>
      <c r="U33" s="33"/>
      <c r="V33" s="34"/>
      <c r="W33" s="33"/>
      <c r="X33" s="34"/>
      <c r="Y33" s="33"/>
      <c r="Z33" s="31"/>
      <c r="AA33" s="33"/>
      <c r="AB33" s="34"/>
      <c r="AC33" s="32"/>
      <c r="AD33" s="31"/>
      <c r="AE33" s="32"/>
      <c r="AF33" s="34"/>
      <c r="AG33" s="33"/>
      <c r="AH33" s="34"/>
      <c r="AI33" s="33"/>
      <c r="AJ33" s="34"/>
      <c r="AK33" s="33"/>
      <c r="AL33" s="34"/>
      <c r="AM33" s="33"/>
      <c r="AN33" s="34"/>
      <c r="AO33" s="32"/>
      <c r="AP33" s="34"/>
      <c r="AQ33" s="33"/>
      <c r="AR33" s="34"/>
      <c r="AS33" s="33"/>
      <c r="AT33" s="31"/>
      <c r="AU33" s="37"/>
      <c r="AV33" s="48"/>
      <c r="AW33" s="10"/>
      <c r="AX33" s="10"/>
    </row>
    <row r="34" spans="1:50" x14ac:dyDescent="0.2">
      <c r="A34" s="160"/>
      <c r="B34" s="157"/>
      <c r="C34" s="159"/>
      <c r="D34" s="159"/>
      <c r="E34" s="159"/>
      <c r="F34" s="159"/>
      <c r="G34" s="159"/>
      <c r="H34" s="159"/>
      <c r="I34" s="159"/>
      <c r="J34" s="159"/>
      <c r="K34" s="159"/>
      <c r="L34" s="159"/>
      <c r="M34" s="159"/>
      <c r="N34" s="159"/>
      <c r="O34" s="159"/>
      <c r="P34" s="159"/>
      <c r="Q34" s="159"/>
      <c r="R34" s="159"/>
      <c r="S34" s="159"/>
      <c r="T34" s="164"/>
      <c r="U34" s="159"/>
      <c r="V34" s="159"/>
      <c r="W34" s="159"/>
      <c r="X34" s="159"/>
      <c r="Y34" s="159"/>
      <c r="Z34" s="159"/>
      <c r="AA34" s="159"/>
      <c r="AB34" s="159"/>
      <c r="AC34" s="159"/>
      <c r="AD34" s="159"/>
      <c r="AE34" s="159"/>
      <c r="AF34" s="159"/>
      <c r="AG34" s="159"/>
      <c r="AH34" s="159"/>
      <c r="AI34" s="159"/>
      <c r="AJ34" s="159"/>
      <c r="AK34" s="159"/>
      <c r="AL34" s="159"/>
      <c r="AM34" s="159"/>
      <c r="AN34" s="159"/>
      <c r="AO34" s="159"/>
      <c r="AP34" s="159"/>
      <c r="AQ34" s="159"/>
      <c r="AR34" s="159"/>
      <c r="AS34" s="159"/>
      <c r="AT34" s="159"/>
      <c r="AU34" s="163"/>
      <c r="AV34" s="168"/>
      <c r="AW34" s="168"/>
      <c r="AX34" s="168"/>
    </row>
    <row r="35" spans="1:50" x14ac:dyDescent="0.2">
      <c r="A35" s="160"/>
      <c r="B35" s="157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64"/>
      <c r="U35" s="159"/>
      <c r="V35" s="159"/>
      <c r="W35" s="159"/>
      <c r="X35" s="159"/>
      <c r="Y35" s="159"/>
      <c r="Z35" s="159"/>
      <c r="AA35" s="159"/>
      <c r="AB35" s="159"/>
      <c r="AC35" s="159"/>
      <c r="AD35" s="159"/>
      <c r="AE35" s="159"/>
      <c r="AF35" s="159"/>
      <c r="AG35" s="159"/>
      <c r="AH35" s="159"/>
      <c r="AI35" s="159"/>
      <c r="AJ35" s="159"/>
      <c r="AK35" s="159"/>
      <c r="AL35" s="159"/>
      <c r="AM35" s="159"/>
      <c r="AN35" s="159"/>
      <c r="AO35" s="159"/>
      <c r="AP35" s="159"/>
      <c r="AQ35" s="159"/>
      <c r="AR35" s="159"/>
      <c r="AS35" s="159"/>
      <c r="AT35" s="159"/>
      <c r="AU35" s="163"/>
      <c r="AV35" s="168"/>
      <c r="AW35" s="168"/>
      <c r="AX35" s="168"/>
    </row>
    <row r="36" spans="1:50" x14ac:dyDescent="0.2">
      <c r="A36" s="45"/>
      <c r="B36" s="38"/>
      <c r="C36" s="33"/>
      <c r="D36" s="34"/>
      <c r="E36" s="32"/>
      <c r="F36" s="31"/>
      <c r="G36" s="32"/>
      <c r="H36" s="31"/>
      <c r="I36" s="32"/>
      <c r="J36" s="31"/>
      <c r="K36" s="33"/>
      <c r="L36" s="34"/>
      <c r="M36" s="33"/>
      <c r="N36" s="34"/>
      <c r="O36" s="33"/>
      <c r="P36" s="34"/>
      <c r="Q36" s="33"/>
      <c r="R36" s="34"/>
      <c r="S36" s="33"/>
      <c r="T36" s="34"/>
      <c r="U36" s="33"/>
      <c r="V36" s="34"/>
      <c r="W36" s="33"/>
      <c r="X36" s="34"/>
      <c r="Y36" s="33"/>
      <c r="Z36" s="31"/>
      <c r="AA36" s="32"/>
      <c r="AB36" s="34"/>
      <c r="AC36" s="32"/>
      <c r="AD36" s="31"/>
      <c r="AE36" s="33"/>
      <c r="AF36" s="34"/>
      <c r="AG36" s="33"/>
      <c r="AH36" s="34"/>
      <c r="AI36" s="33"/>
      <c r="AJ36" s="34"/>
      <c r="AK36" s="33"/>
      <c r="AL36" s="34"/>
      <c r="AM36" s="33"/>
      <c r="AN36" s="34"/>
      <c r="AO36" s="33"/>
      <c r="AP36" s="34"/>
      <c r="AQ36" s="33"/>
      <c r="AR36" s="34"/>
      <c r="AS36" s="33"/>
      <c r="AT36" s="34"/>
      <c r="AU36" s="36"/>
      <c r="AV36" s="48"/>
      <c r="AW36" s="10"/>
      <c r="AX36" s="10"/>
    </row>
    <row r="37" spans="1:50" x14ac:dyDescent="0.2">
      <c r="A37" s="45"/>
      <c r="B37" s="38"/>
      <c r="C37" s="33"/>
      <c r="D37" s="34"/>
      <c r="E37" s="33"/>
      <c r="F37" s="34"/>
      <c r="G37" s="33"/>
      <c r="H37" s="34"/>
      <c r="I37" s="33"/>
      <c r="J37" s="34"/>
      <c r="K37" s="33"/>
      <c r="L37" s="34"/>
      <c r="M37" s="33"/>
      <c r="N37" s="34"/>
      <c r="O37" s="33"/>
      <c r="P37" s="34"/>
      <c r="Q37" s="33"/>
      <c r="R37" s="34"/>
      <c r="S37" s="33"/>
      <c r="T37" s="34"/>
      <c r="U37" s="33"/>
      <c r="V37" s="34"/>
      <c r="W37" s="33"/>
      <c r="X37" s="34"/>
      <c r="Y37" s="33"/>
      <c r="Z37" s="34"/>
      <c r="AA37" s="33"/>
      <c r="AB37" s="34"/>
      <c r="AC37" s="32"/>
      <c r="AD37" s="31"/>
      <c r="AE37" s="33"/>
      <c r="AF37" s="34"/>
      <c r="AG37" s="33"/>
      <c r="AH37" s="34"/>
      <c r="AI37" s="33"/>
      <c r="AJ37" s="34"/>
      <c r="AK37" s="33"/>
      <c r="AL37" s="34"/>
      <c r="AM37" s="33"/>
      <c r="AN37" s="34"/>
      <c r="AO37" s="33"/>
      <c r="AP37" s="34"/>
      <c r="AQ37" s="33"/>
      <c r="AR37" s="34"/>
      <c r="AS37" s="33"/>
      <c r="AT37" s="34"/>
      <c r="AU37" s="36"/>
      <c r="AV37" s="48"/>
      <c r="AW37" s="10"/>
      <c r="AX37" s="10"/>
    </row>
    <row r="38" spans="1:50" x14ac:dyDescent="0.2">
      <c r="A38" s="45"/>
      <c r="B38" s="38"/>
      <c r="C38" s="33"/>
      <c r="D38" s="34"/>
      <c r="E38" s="33"/>
      <c r="F38" s="34"/>
      <c r="G38" s="33"/>
      <c r="H38" s="34"/>
      <c r="I38" s="33"/>
      <c r="J38" s="34"/>
      <c r="K38" s="33"/>
      <c r="L38" s="34"/>
      <c r="M38" s="33"/>
      <c r="N38" s="34"/>
      <c r="O38" s="33"/>
      <c r="P38" s="34"/>
      <c r="Q38" s="33"/>
      <c r="R38" s="34"/>
      <c r="S38" s="33"/>
      <c r="T38" s="34"/>
      <c r="U38" s="33"/>
      <c r="V38" s="34"/>
      <c r="W38" s="33"/>
      <c r="X38" s="34"/>
      <c r="Y38" s="33"/>
      <c r="Z38" s="34"/>
      <c r="AA38" s="33"/>
      <c r="AB38" s="34"/>
      <c r="AC38" s="32"/>
      <c r="AD38" s="31"/>
      <c r="AE38" s="33"/>
      <c r="AF38" s="34"/>
      <c r="AG38" s="33"/>
      <c r="AH38" s="34"/>
      <c r="AI38" s="33"/>
      <c r="AJ38" s="34"/>
      <c r="AK38" s="33"/>
      <c r="AL38" s="34"/>
      <c r="AM38" s="33"/>
      <c r="AN38" s="34"/>
      <c r="AO38" s="32"/>
      <c r="AP38" s="34"/>
      <c r="AQ38" s="33"/>
      <c r="AR38" s="34"/>
      <c r="AS38" s="33"/>
      <c r="AT38" s="34"/>
      <c r="AU38" s="36"/>
      <c r="AV38" s="48"/>
      <c r="AW38" s="10"/>
      <c r="AX38" s="10"/>
    </row>
    <row r="39" spans="1:50" x14ac:dyDescent="0.2">
      <c r="A39" s="45"/>
      <c r="B39" s="38"/>
      <c r="C39" s="33"/>
      <c r="D39" s="34"/>
      <c r="E39" s="33"/>
      <c r="F39" s="34"/>
      <c r="G39" s="33"/>
      <c r="H39" s="34"/>
      <c r="I39" s="33"/>
      <c r="J39" s="34"/>
      <c r="K39" s="33"/>
      <c r="L39" s="34"/>
      <c r="M39" s="33"/>
      <c r="N39" s="34"/>
      <c r="O39" s="33"/>
      <c r="P39" s="34"/>
      <c r="Q39" s="33"/>
      <c r="R39" s="34"/>
      <c r="S39" s="33"/>
      <c r="T39" s="34"/>
      <c r="U39" s="33"/>
      <c r="V39" s="34"/>
      <c r="W39" s="33"/>
      <c r="X39" s="34"/>
      <c r="Y39" s="33"/>
      <c r="Z39" s="34"/>
      <c r="AA39" s="33"/>
      <c r="AB39" s="34"/>
      <c r="AC39" s="33"/>
      <c r="AD39" s="34"/>
      <c r="AE39" s="33"/>
      <c r="AF39" s="34"/>
      <c r="AG39" s="33"/>
      <c r="AH39" s="34"/>
      <c r="AI39" s="33"/>
      <c r="AJ39" s="34"/>
      <c r="AK39" s="33"/>
      <c r="AL39" s="31"/>
      <c r="AM39" s="32"/>
      <c r="AN39" s="31"/>
      <c r="AO39" s="32"/>
      <c r="AP39" s="31"/>
      <c r="AQ39" s="32"/>
      <c r="AR39" s="34"/>
      <c r="AS39" s="33"/>
      <c r="AT39" s="34"/>
      <c r="AU39" s="36"/>
      <c r="AV39" s="48"/>
      <c r="AW39" s="10"/>
      <c r="AX39" s="10"/>
    </row>
    <row r="40" spans="1:50" x14ac:dyDescent="0.2">
      <c r="A40" s="160"/>
      <c r="B40" s="157"/>
      <c r="C40" s="159"/>
      <c r="D40" s="159"/>
      <c r="E40" s="159"/>
      <c r="F40" s="159"/>
      <c r="G40" s="159"/>
      <c r="H40" s="159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64"/>
      <c r="U40" s="159"/>
      <c r="V40" s="159"/>
      <c r="W40" s="159"/>
      <c r="X40" s="159"/>
      <c r="Y40" s="159"/>
      <c r="Z40" s="159"/>
      <c r="AA40" s="159"/>
      <c r="AB40" s="159"/>
      <c r="AC40" s="159"/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  <c r="AO40" s="159"/>
      <c r="AP40" s="159"/>
      <c r="AQ40" s="159"/>
      <c r="AR40" s="159"/>
      <c r="AS40" s="159"/>
      <c r="AT40" s="159"/>
      <c r="AU40" s="163"/>
      <c r="AV40" s="168"/>
      <c r="AW40" s="168"/>
      <c r="AX40" s="168"/>
    </row>
    <row r="41" spans="1:50" x14ac:dyDescent="0.2">
      <c r="A41" s="160"/>
      <c r="B41" s="157"/>
      <c r="C41" s="159"/>
      <c r="D41" s="159"/>
      <c r="E41" s="159"/>
      <c r="F41" s="159"/>
      <c r="G41" s="159"/>
      <c r="H41" s="15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64"/>
      <c r="U41" s="159"/>
      <c r="V41" s="159"/>
      <c r="W41" s="159"/>
      <c r="X41" s="159"/>
      <c r="Y41" s="159"/>
      <c r="Z41" s="159"/>
      <c r="AA41" s="159"/>
      <c r="AB41" s="159"/>
      <c r="AC41" s="159"/>
      <c r="AD41" s="159"/>
      <c r="AE41" s="159"/>
      <c r="AF41" s="159"/>
      <c r="AG41" s="159"/>
      <c r="AH41" s="159"/>
      <c r="AI41" s="159"/>
      <c r="AJ41" s="159"/>
      <c r="AK41" s="159"/>
      <c r="AL41" s="159"/>
      <c r="AM41" s="159"/>
      <c r="AN41" s="159"/>
      <c r="AO41" s="159"/>
      <c r="AP41" s="159"/>
      <c r="AQ41" s="159"/>
      <c r="AR41" s="159"/>
      <c r="AS41" s="159"/>
      <c r="AT41" s="159"/>
      <c r="AU41" s="163"/>
      <c r="AV41" s="168"/>
      <c r="AW41" s="168"/>
      <c r="AX41" s="168"/>
    </row>
    <row r="42" spans="1:50" x14ac:dyDescent="0.2">
      <c r="A42" s="45"/>
      <c r="B42" s="35"/>
      <c r="C42" s="32"/>
      <c r="D42" s="34"/>
      <c r="E42" s="32"/>
      <c r="F42" s="31"/>
      <c r="G42" s="33"/>
      <c r="H42" s="31"/>
      <c r="I42" s="32"/>
      <c r="J42" s="34"/>
      <c r="K42" s="33"/>
      <c r="L42" s="34"/>
      <c r="M42" s="33"/>
      <c r="N42" s="34"/>
      <c r="O42" s="33"/>
      <c r="P42" s="34"/>
      <c r="Q42" s="33"/>
      <c r="R42" s="34"/>
      <c r="S42" s="33"/>
      <c r="T42" s="34"/>
      <c r="U42" s="33"/>
      <c r="V42" s="34"/>
      <c r="W42" s="33"/>
      <c r="X42" s="34"/>
      <c r="Y42" s="33"/>
      <c r="Z42" s="34"/>
      <c r="AA42" s="33"/>
      <c r="AB42" s="34"/>
      <c r="AC42" s="33"/>
      <c r="AD42" s="34"/>
      <c r="AE42" s="33"/>
      <c r="AF42" s="34"/>
      <c r="AG42" s="33"/>
      <c r="AH42" s="34"/>
      <c r="AI42" s="33"/>
      <c r="AJ42" s="34"/>
      <c r="AK42" s="33"/>
      <c r="AL42" s="34"/>
      <c r="AM42" s="33"/>
      <c r="AN42" s="34"/>
      <c r="AO42" s="33"/>
      <c r="AP42" s="34"/>
      <c r="AQ42" s="33"/>
      <c r="AR42" s="34"/>
      <c r="AS42" s="33"/>
      <c r="AT42" s="34"/>
      <c r="AU42" s="36"/>
      <c r="AV42" s="48"/>
      <c r="AW42" s="10"/>
      <c r="AX42" s="10"/>
    </row>
    <row r="43" spans="1:50" x14ac:dyDescent="0.2">
      <c r="A43" s="45"/>
      <c r="B43" s="35"/>
      <c r="C43" s="32"/>
      <c r="D43" s="31"/>
      <c r="E43" s="32"/>
      <c r="F43" s="31"/>
      <c r="G43" s="32"/>
      <c r="H43" s="31"/>
      <c r="I43" s="32"/>
      <c r="J43" s="31"/>
      <c r="K43" s="33"/>
      <c r="L43" s="34"/>
      <c r="M43" s="33"/>
      <c r="N43" s="34"/>
      <c r="O43" s="33"/>
      <c r="P43" s="34"/>
      <c r="Q43" s="33"/>
      <c r="R43" s="34"/>
      <c r="S43" s="33"/>
      <c r="T43" s="34"/>
      <c r="U43" s="33"/>
      <c r="V43" s="34"/>
      <c r="W43" s="33"/>
      <c r="X43" s="34"/>
      <c r="Y43" s="33"/>
      <c r="Z43" s="34"/>
      <c r="AA43" s="33"/>
      <c r="AB43" s="34"/>
      <c r="AC43" s="32"/>
      <c r="AD43" s="34"/>
      <c r="AE43" s="32"/>
      <c r="AF43" s="34"/>
      <c r="AG43" s="33"/>
      <c r="AH43" s="34"/>
      <c r="AI43" s="33"/>
      <c r="AJ43" s="34"/>
      <c r="AK43" s="33"/>
      <c r="AL43" s="34"/>
      <c r="AM43" s="33"/>
      <c r="AN43" s="34"/>
      <c r="AO43" s="32"/>
      <c r="AP43" s="34"/>
      <c r="AQ43" s="33"/>
      <c r="AR43" s="34"/>
      <c r="AS43" s="33"/>
      <c r="AT43" s="34"/>
      <c r="AU43" s="36"/>
      <c r="AV43" s="48"/>
      <c r="AW43" s="10"/>
      <c r="AX43" s="10"/>
    </row>
    <row r="44" spans="1:50" x14ac:dyDescent="0.2">
      <c r="A44" s="45"/>
      <c r="B44" s="38"/>
      <c r="C44" s="33"/>
      <c r="D44" s="34"/>
      <c r="E44" s="33"/>
      <c r="F44" s="34"/>
      <c r="G44" s="33"/>
      <c r="H44" s="34"/>
      <c r="I44" s="33"/>
      <c r="J44" s="34"/>
      <c r="K44" s="33"/>
      <c r="L44" s="34"/>
      <c r="M44" s="33"/>
      <c r="N44" s="34"/>
      <c r="O44" s="33"/>
      <c r="P44" s="34"/>
      <c r="Q44" s="33"/>
      <c r="R44" s="34"/>
      <c r="S44" s="33"/>
      <c r="T44" s="34"/>
      <c r="U44" s="33"/>
      <c r="V44" s="34"/>
      <c r="W44" s="33"/>
      <c r="X44" s="34"/>
      <c r="Y44" s="33"/>
      <c r="Z44" s="34"/>
      <c r="AA44" s="33"/>
      <c r="AB44" s="34"/>
      <c r="AC44" s="32"/>
      <c r="AD44" s="31"/>
      <c r="AE44" s="32"/>
      <c r="AF44" s="34"/>
      <c r="AG44" s="33"/>
      <c r="AH44" s="34"/>
      <c r="AI44" s="33"/>
      <c r="AJ44" s="34"/>
      <c r="AK44" s="33"/>
      <c r="AL44" s="34"/>
      <c r="AM44" s="33"/>
      <c r="AN44" s="34"/>
      <c r="AO44" s="32"/>
      <c r="AP44" s="34"/>
      <c r="AQ44" s="33"/>
      <c r="AR44" s="34"/>
      <c r="AS44" s="33"/>
      <c r="AT44" s="34"/>
      <c r="AU44" s="36"/>
      <c r="AV44" s="48"/>
      <c r="AW44" s="10"/>
      <c r="AX44" s="10"/>
    </row>
    <row r="45" spans="1:50" x14ac:dyDescent="0.2">
      <c r="A45" s="45"/>
      <c r="B45" s="38"/>
      <c r="C45" s="33"/>
      <c r="D45" s="34"/>
      <c r="E45" s="33"/>
      <c r="F45" s="34"/>
      <c r="G45" s="33"/>
      <c r="H45" s="31"/>
      <c r="I45" s="32"/>
      <c r="J45" s="34"/>
      <c r="K45" s="32"/>
      <c r="L45" s="34"/>
      <c r="M45" s="33"/>
      <c r="N45" s="34"/>
      <c r="O45" s="33"/>
      <c r="P45" s="34"/>
      <c r="Q45" s="33"/>
      <c r="R45" s="34"/>
      <c r="S45" s="33"/>
      <c r="T45" s="34"/>
      <c r="U45" s="33"/>
      <c r="V45" s="34"/>
      <c r="W45" s="33"/>
      <c r="X45" s="34"/>
      <c r="Y45" s="33"/>
      <c r="Z45" s="34"/>
      <c r="AA45" s="33"/>
      <c r="AB45" s="34"/>
      <c r="AC45" s="32"/>
      <c r="AD45" s="31"/>
      <c r="AE45" s="32"/>
      <c r="AF45" s="34"/>
      <c r="AG45" s="33"/>
      <c r="AH45" s="34"/>
      <c r="AI45" s="33"/>
      <c r="AJ45" s="34"/>
      <c r="AK45" s="33"/>
      <c r="AL45" s="31"/>
      <c r="AM45" s="32"/>
      <c r="AN45" s="31"/>
      <c r="AO45" s="32"/>
      <c r="AP45" s="31"/>
      <c r="AQ45" s="32"/>
      <c r="AR45" s="34"/>
      <c r="AS45" s="33"/>
      <c r="AT45" s="34"/>
      <c r="AU45" s="36"/>
      <c r="AV45" s="48"/>
      <c r="AW45" s="10"/>
      <c r="AX45" s="10"/>
    </row>
    <row r="46" spans="1:50" x14ac:dyDescent="0.2">
      <c r="A46" s="45"/>
      <c r="B46" s="35"/>
      <c r="C46" s="32"/>
      <c r="D46" s="34"/>
      <c r="E46" s="32"/>
      <c r="F46" s="31"/>
      <c r="G46" s="33"/>
      <c r="H46" s="31"/>
      <c r="I46" s="32"/>
      <c r="J46" s="31"/>
      <c r="K46" s="33"/>
      <c r="L46" s="34"/>
      <c r="M46" s="33"/>
      <c r="N46" s="34"/>
      <c r="O46" s="33"/>
      <c r="P46" s="34"/>
      <c r="Q46" s="33"/>
      <c r="R46" s="34"/>
      <c r="S46" s="33"/>
      <c r="T46" s="34"/>
      <c r="U46" s="33"/>
      <c r="V46" s="34"/>
      <c r="W46" s="33"/>
      <c r="X46" s="34"/>
      <c r="Y46" s="33"/>
      <c r="Z46" s="34"/>
      <c r="AA46" s="33"/>
      <c r="AB46" s="34"/>
      <c r="AC46" s="32"/>
      <c r="AD46" s="31"/>
      <c r="AE46" s="32"/>
      <c r="AF46" s="34"/>
      <c r="AG46" s="33"/>
      <c r="AH46" s="34"/>
      <c r="AI46" s="33"/>
      <c r="AJ46" s="34"/>
      <c r="AK46" s="33"/>
      <c r="AL46" s="34"/>
      <c r="AM46" s="33"/>
      <c r="AN46" s="34"/>
      <c r="AO46" s="33"/>
      <c r="AP46" s="34"/>
      <c r="AQ46" s="33"/>
      <c r="AR46" s="34"/>
      <c r="AS46" s="33"/>
      <c r="AT46" s="34"/>
      <c r="AU46" s="36"/>
      <c r="AV46" s="48"/>
      <c r="AW46" s="10"/>
      <c r="AX46" s="10"/>
    </row>
    <row r="47" spans="1:50" x14ac:dyDescent="0.2">
      <c r="A47" s="160"/>
      <c r="B47" s="157"/>
      <c r="C47" s="159"/>
      <c r="D47" s="159"/>
      <c r="E47" s="159"/>
      <c r="F47" s="159"/>
      <c r="G47" s="159"/>
      <c r="H47" s="159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64"/>
      <c r="U47" s="159"/>
      <c r="V47" s="159"/>
      <c r="W47" s="159"/>
      <c r="X47" s="159"/>
      <c r="Y47" s="159"/>
      <c r="Z47" s="159"/>
      <c r="AA47" s="159"/>
      <c r="AB47" s="159"/>
      <c r="AC47" s="159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63"/>
      <c r="AV47" s="168"/>
      <c r="AW47" s="168"/>
      <c r="AX47" s="168"/>
    </row>
    <row r="48" spans="1:50" x14ac:dyDescent="0.2">
      <c r="A48" s="160"/>
      <c r="B48" s="157"/>
      <c r="C48" s="159"/>
      <c r="D48" s="159"/>
      <c r="E48" s="159"/>
      <c r="F48" s="159"/>
      <c r="G48" s="159"/>
      <c r="H48" s="159"/>
      <c r="I48" s="159"/>
      <c r="J48" s="159"/>
      <c r="K48" s="159"/>
      <c r="L48" s="159"/>
      <c r="M48" s="159"/>
      <c r="N48" s="159"/>
      <c r="O48" s="159"/>
      <c r="P48" s="159"/>
      <c r="Q48" s="159"/>
      <c r="R48" s="159"/>
      <c r="S48" s="159"/>
      <c r="T48" s="164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63"/>
      <c r="AV48" s="168"/>
      <c r="AW48" s="168"/>
      <c r="AX48" s="168"/>
    </row>
    <row r="49" spans="1:50" x14ac:dyDescent="0.2">
      <c r="A49" s="45"/>
      <c r="B49" s="38"/>
      <c r="C49" s="33"/>
      <c r="D49" s="34"/>
      <c r="E49" s="33"/>
      <c r="F49" s="34"/>
      <c r="G49" s="33"/>
      <c r="H49" s="34"/>
      <c r="I49" s="33"/>
      <c r="J49" s="34"/>
      <c r="K49" s="33"/>
      <c r="L49" s="34"/>
      <c r="M49" s="33"/>
      <c r="N49" s="34"/>
      <c r="O49" s="33"/>
      <c r="P49" s="34"/>
      <c r="Q49" s="33"/>
      <c r="R49" s="34"/>
      <c r="S49" s="33"/>
      <c r="T49" s="34"/>
      <c r="U49" s="33"/>
      <c r="V49" s="34"/>
      <c r="W49" s="33"/>
      <c r="X49" s="34"/>
      <c r="Y49" s="33"/>
      <c r="Z49" s="34"/>
      <c r="AA49" s="33"/>
      <c r="AB49" s="34"/>
      <c r="AC49" s="32"/>
      <c r="AD49" s="31"/>
      <c r="AE49" s="33"/>
      <c r="AF49" s="34"/>
      <c r="AG49" s="33"/>
      <c r="AH49" s="34"/>
      <c r="AI49" s="33"/>
      <c r="AJ49" s="34"/>
      <c r="AK49" s="33"/>
      <c r="AL49" s="34"/>
      <c r="AM49" s="33"/>
      <c r="AN49" s="34"/>
      <c r="AO49" s="33"/>
      <c r="AP49" s="34"/>
      <c r="AQ49" s="33"/>
      <c r="AR49" s="34"/>
      <c r="AS49" s="33"/>
      <c r="AT49" s="34"/>
      <c r="AU49" s="36"/>
      <c r="AV49" s="48"/>
      <c r="AW49" s="10"/>
      <c r="AX49" s="10"/>
    </row>
    <row r="50" spans="1:50" x14ac:dyDescent="0.2">
      <c r="A50" s="45"/>
      <c r="B50" s="38"/>
      <c r="C50" s="33"/>
      <c r="D50" s="34"/>
      <c r="E50" s="33"/>
      <c r="F50" s="34"/>
      <c r="G50" s="33"/>
      <c r="H50" s="34"/>
      <c r="I50" s="33"/>
      <c r="J50" s="34"/>
      <c r="K50" s="33"/>
      <c r="L50" s="34"/>
      <c r="M50" s="33"/>
      <c r="N50" s="34"/>
      <c r="O50" s="33"/>
      <c r="P50" s="34"/>
      <c r="Q50" s="33"/>
      <c r="R50" s="34"/>
      <c r="S50" s="33"/>
      <c r="T50" s="34"/>
      <c r="U50" s="33"/>
      <c r="V50" s="34"/>
      <c r="W50" s="33"/>
      <c r="X50" s="34"/>
      <c r="Y50" s="33"/>
      <c r="Z50" s="34"/>
      <c r="AA50" s="33"/>
      <c r="AB50" s="34"/>
      <c r="AC50" s="32"/>
      <c r="AD50" s="34"/>
      <c r="AE50" s="33"/>
      <c r="AF50" s="34"/>
      <c r="AG50" s="33"/>
      <c r="AH50" s="34"/>
      <c r="AI50" s="33"/>
      <c r="AJ50" s="34"/>
      <c r="AK50" s="33"/>
      <c r="AL50" s="31"/>
      <c r="AM50" s="32"/>
      <c r="AN50" s="31"/>
      <c r="AO50" s="32"/>
      <c r="AP50" s="34"/>
      <c r="AQ50" s="33"/>
      <c r="AR50" s="34"/>
      <c r="AS50" s="33"/>
      <c r="AT50" s="34"/>
      <c r="AU50" s="36"/>
      <c r="AV50" s="48"/>
      <c r="AW50" s="10"/>
      <c r="AX50" s="10"/>
    </row>
    <row r="51" spans="1:50" x14ac:dyDescent="0.2">
      <c r="A51" s="45"/>
      <c r="B51" s="38"/>
      <c r="C51" s="33"/>
      <c r="D51" s="34"/>
      <c r="E51" s="33"/>
      <c r="F51" s="34"/>
      <c r="G51" s="33"/>
      <c r="H51" s="34"/>
      <c r="I51" s="33"/>
      <c r="J51" s="34"/>
      <c r="K51" s="33"/>
      <c r="L51" s="34"/>
      <c r="M51" s="33"/>
      <c r="N51" s="34"/>
      <c r="O51" s="33"/>
      <c r="P51" s="34"/>
      <c r="Q51" s="33"/>
      <c r="R51" s="34"/>
      <c r="S51" s="33"/>
      <c r="T51" s="34"/>
      <c r="U51" s="33"/>
      <c r="V51" s="34"/>
      <c r="W51" s="33"/>
      <c r="X51" s="34"/>
      <c r="Y51" s="33"/>
      <c r="Z51" s="34"/>
      <c r="AA51" s="33"/>
      <c r="AB51" s="34"/>
      <c r="AC51" s="33"/>
      <c r="AD51" s="34"/>
      <c r="AE51" s="33"/>
      <c r="AF51" s="34"/>
      <c r="AG51" s="33"/>
      <c r="AH51" s="34"/>
      <c r="AI51" s="33"/>
      <c r="AJ51" s="34"/>
      <c r="AK51" s="33"/>
      <c r="AL51" s="34"/>
      <c r="AM51" s="33"/>
      <c r="AN51" s="34"/>
      <c r="AO51" s="32"/>
      <c r="AP51" s="34"/>
      <c r="AQ51" s="33"/>
      <c r="AR51" s="34"/>
      <c r="AS51" s="33"/>
      <c r="AT51" s="34"/>
      <c r="AU51" s="36"/>
      <c r="AV51" s="48"/>
      <c r="AW51" s="10"/>
      <c r="AX51" s="10"/>
    </row>
    <row r="52" spans="1:50" x14ac:dyDescent="0.2">
      <c r="A52" s="45"/>
      <c r="B52" s="35"/>
      <c r="C52" s="32"/>
      <c r="D52" s="34"/>
      <c r="E52" s="32"/>
      <c r="F52" s="31"/>
      <c r="G52" s="33"/>
      <c r="H52" s="31"/>
      <c r="I52" s="32"/>
      <c r="J52" s="31"/>
      <c r="K52" s="33"/>
      <c r="L52" s="34"/>
      <c r="M52" s="33"/>
      <c r="N52" s="34"/>
      <c r="O52" s="33"/>
      <c r="P52" s="34"/>
      <c r="Q52" s="33"/>
      <c r="R52" s="34"/>
      <c r="S52" s="33"/>
      <c r="T52" s="31"/>
      <c r="U52" s="32"/>
      <c r="V52" s="34"/>
      <c r="W52" s="33"/>
      <c r="X52" s="34"/>
      <c r="Y52" s="33"/>
      <c r="Z52" s="31"/>
      <c r="AA52" s="32"/>
      <c r="AB52" s="34"/>
      <c r="AC52" s="32"/>
      <c r="AD52" s="31"/>
      <c r="AE52" s="32"/>
      <c r="AF52" s="34"/>
      <c r="AG52" s="33"/>
      <c r="AH52" s="34"/>
      <c r="AI52" s="33"/>
      <c r="AJ52" s="34"/>
      <c r="AK52" s="33"/>
      <c r="AL52" s="34"/>
      <c r="AM52" s="33"/>
      <c r="AN52" s="34"/>
      <c r="AO52" s="32"/>
      <c r="AP52" s="34"/>
      <c r="AQ52" s="33"/>
      <c r="AR52" s="34"/>
      <c r="AS52" s="33"/>
      <c r="AT52" s="34"/>
      <c r="AU52" s="36"/>
      <c r="AV52" s="48"/>
      <c r="AW52" s="10"/>
      <c r="AX52" s="10"/>
    </row>
    <row r="53" spans="1:50" x14ac:dyDescent="0.2">
      <c r="A53" s="45"/>
      <c r="B53" s="38"/>
      <c r="C53" s="33"/>
      <c r="D53" s="34"/>
      <c r="E53" s="33"/>
      <c r="F53" s="34"/>
      <c r="G53" s="33"/>
      <c r="H53" s="34"/>
      <c r="I53" s="33"/>
      <c r="J53" s="34"/>
      <c r="K53" s="33"/>
      <c r="L53" s="34"/>
      <c r="M53" s="33"/>
      <c r="N53" s="34"/>
      <c r="O53" s="33"/>
      <c r="P53" s="34"/>
      <c r="Q53" s="33"/>
      <c r="R53" s="34"/>
      <c r="S53" s="33"/>
      <c r="T53" s="31"/>
      <c r="U53" s="32"/>
      <c r="V53" s="34"/>
      <c r="W53" s="33"/>
      <c r="X53" s="34"/>
      <c r="Y53" s="33"/>
      <c r="Z53" s="31"/>
      <c r="AA53" s="32"/>
      <c r="AB53" s="34"/>
      <c r="AC53" s="32"/>
      <c r="AD53" s="31"/>
      <c r="AE53" s="33"/>
      <c r="AF53" s="34"/>
      <c r="AG53" s="33"/>
      <c r="AH53" s="34"/>
      <c r="AI53" s="33"/>
      <c r="AJ53" s="34"/>
      <c r="AK53" s="33"/>
      <c r="AL53" s="34"/>
      <c r="AM53" s="33"/>
      <c r="AN53" s="34"/>
      <c r="AO53" s="32"/>
      <c r="AP53" s="31"/>
      <c r="AQ53" s="32"/>
      <c r="AR53" s="34"/>
      <c r="AS53" s="33"/>
      <c r="AT53" s="34"/>
      <c r="AU53" s="36"/>
      <c r="AV53" s="48"/>
      <c r="AW53" s="10"/>
      <c r="AX53" s="10"/>
    </row>
    <row r="54" spans="1:50" x14ac:dyDescent="0.2">
      <c r="A54" s="160"/>
      <c r="B54" s="157"/>
      <c r="C54" s="159"/>
      <c r="D54" s="159"/>
      <c r="E54" s="159"/>
      <c r="F54" s="159"/>
      <c r="G54" s="159"/>
      <c r="H54" s="159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64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63"/>
      <c r="AV54" s="168"/>
      <c r="AW54" s="168"/>
      <c r="AX54" s="168"/>
    </row>
    <row r="55" spans="1:50" x14ac:dyDescent="0.2">
      <c r="A55" s="160"/>
      <c r="B55" s="157"/>
      <c r="C55" s="159"/>
      <c r="D55" s="159"/>
      <c r="E55" s="159"/>
      <c r="F55" s="159"/>
      <c r="G55" s="159"/>
      <c r="H55" s="159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64"/>
      <c r="U55" s="159"/>
      <c r="V55" s="159"/>
      <c r="W55" s="159"/>
      <c r="X55" s="159"/>
      <c r="Y55" s="159"/>
      <c r="Z55" s="159"/>
      <c r="AA55" s="159"/>
      <c r="AB55" s="159"/>
      <c r="AC55" s="159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63"/>
      <c r="AV55" s="168"/>
      <c r="AW55" s="168"/>
      <c r="AX55" s="168"/>
    </row>
    <row r="56" spans="1:50" x14ac:dyDescent="0.2">
      <c r="A56" s="45"/>
      <c r="B56" s="38"/>
      <c r="C56" s="33"/>
      <c r="D56" s="34"/>
      <c r="E56" s="33"/>
      <c r="F56" s="34"/>
      <c r="G56" s="33"/>
      <c r="H56" s="34"/>
      <c r="I56" s="33"/>
      <c r="J56" s="34"/>
      <c r="K56" s="33"/>
      <c r="L56" s="34"/>
      <c r="M56" s="33"/>
      <c r="N56" s="34"/>
      <c r="O56" s="33"/>
      <c r="P56" s="34"/>
      <c r="Q56" s="33"/>
      <c r="R56" s="34"/>
      <c r="S56" s="33"/>
      <c r="T56" s="34"/>
      <c r="U56" s="33"/>
      <c r="V56" s="34"/>
      <c r="W56" s="33"/>
      <c r="X56" s="34"/>
      <c r="Y56" s="33"/>
      <c r="Z56" s="34"/>
      <c r="AA56" s="33"/>
      <c r="AB56" s="34"/>
      <c r="AC56" s="32"/>
      <c r="AD56" s="31"/>
      <c r="AE56" s="32"/>
      <c r="AF56" s="34"/>
      <c r="AG56" s="33"/>
      <c r="AH56" s="34"/>
      <c r="AI56" s="33"/>
      <c r="AJ56" s="34"/>
      <c r="AK56" s="33"/>
      <c r="AL56" s="31"/>
      <c r="AM56" s="32"/>
      <c r="AN56" s="34"/>
      <c r="AO56" s="33"/>
      <c r="AP56" s="34"/>
      <c r="AQ56" s="33"/>
      <c r="AR56" s="34"/>
      <c r="AS56" s="33"/>
      <c r="AT56" s="34"/>
      <c r="AU56" s="36"/>
      <c r="AV56" s="48"/>
      <c r="AW56" s="10"/>
      <c r="AX56" s="10"/>
    </row>
    <row r="57" spans="1:50" x14ac:dyDescent="0.2">
      <c r="A57" s="45"/>
      <c r="B57" s="38"/>
      <c r="C57" s="33"/>
      <c r="D57" s="34"/>
      <c r="E57" s="33"/>
      <c r="F57" s="34"/>
      <c r="G57" s="33"/>
      <c r="H57" s="34"/>
      <c r="I57" s="33"/>
      <c r="J57" s="34"/>
      <c r="K57" s="32"/>
      <c r="L57" s="31"/>
      <c r="M57" s="33"/>
      <c r="N57" s="31"/>
      <c r="O57" s="32"/>
      <c r="P57" s="34"/>
      <c r="Q57" s="33"/>
      <c r="R57" s="34"/>
      <c r="S57" s="33"/>
      <c r="T57" s="34"/>
      <c r="U57" s="33"/>
      <c r="V57" s="34"/>
      <c r="W57" s="32"/>
      <c r="X57" s="31"/>
      <c r="Y57" s="33"/>
      <c r="Z57" s="31"/>
      <c r="AA57" s="32"/>
      <c r="AB57" s="34"/>
      <c r="AC57" s="32"/>
      <c r="AD57" s="31"/>
      <c r="AE57" s="33"/>
      <c r="AF57" s="34"/>
      <c r="AG57" s="33"/>
      <c r="AH57" s="34"/>
      <c r="AI57" s="33"/>
      <c r="AJ57" s="34"/>
      <c r="AK57" s="33"/>
      <c r="AL57" s="31"/>
      <c r="AM57" s="32"/>
      <c r="AN57" s="31"/>
      <c r="AO57" s="32"/>
      <c r="AP57" s="31"/>
      <c r="AQ57" s="32"/>
      <c r="AR57" s="34"/>
      <c r="AS57" s="33"/>
      <c r="AT57" s="34"/>
      <c r="AU57" s="36"/>
      <c r="AV57" s="48"/>
      <c r="AW57" s="10"/>
      <c r="AX57" s="10"/>
    </row>
    <row r="58" spans="1:50" x14ac:dyDescent="0.2">
      <c r="A58" s="45"/>
      <c r="B58" s="38"/>
      <c r="C58" s="33"/>
      <c r="D58" s="34"/>
      <c r="E58" s="33"/>
      <c r="F58" s="34"/>
      <c r="G58" s="33"/>
      <c r="H58" s="31"/>
      <c r="I58" s="32"/>
      <c r="J58" s="34"/>
      <c r="K58" s="32"/>
      <c r="L58" s="31"/>
      <c r="M58" s="33"/>
      <c r="N58" s="34"/>
      <c r="O58" s="33"/>
      <c r="P58" s="34"/>
      <c r="Q58" s="33"/>
      <c r="R58" s="34"/>
      <c r="S58" s="33"/>
      <c r="T58" s="31"/>
      <c r="U58" s="32"/>
      <c r="V58" s="34"/>
      <c r="W58" s="32"/>
      <c r="X58" s="31"/>
      <c r="Y58" s="33"/>
      <c r="Z58" s="31"/>
      <c r="AA58" s="32"/>
      <c r="AB58" s="34"/>
      <c r="AC58" s="32"/>
      <c r="AD58" s="31"/>
      <c r="AE58" s="32"/>
      <c r="AF58" s="34"/>
      <c r="AG58" s="33"/>
      <c r="AH58" s="34"/>
      <c r="AI58" s="33"/>
      <c r="AJ58" s="34"/>
      <c r="AK58" s="33"/>
      <c r="AL58" s="31"/>
      <c r="AM58" s="32"/>
      <c r="AN58" s="34"/>
      <c r="AO58" s="32"/>
      <c r="AP58" s="31"/>
      <c r="AQ58" s="32"/>
      <c r="AR58" s="34"/>
      <c r="AS58" s="33"/>
      <c r="AT58" s="34"/>
      <c r="AU58" s="36"/>
      <c r="AV58" s="48"/>
      <c r="AW58" s="10"/>
      <c r="AX58" s="10"/>
    </row>
    <row r="59" spans="1:50" x14ac:dyDescent="0.2">
      <c r="A59" s="45"/>
      <c r="B59" s="38"/>
      <c r="C59" s="33"/>
      <c r="D59" s="34"/>
      <c r="E59" s="33"/>
      <c r="F59" s="34"/>
      <c r="G59" s="33"/>
      <c r="H59" s="34"/>
      <c r="I59" s="33"/>
      <c r="J59" s="34"/>
      <c r="K59" s="33"/>
      <c r="L59" s="34"/>
      <c r="M59" s="33"/>
      <c r="N59" s="34"/>
      <c r="O59" s="33"/>
      <c r="P59" s="34"/>
      <c r="Q59" s="33"/>
      <c r="R59" s="34"/>
      <c r="S59" s="33"/>
      <c r="T59" s="34"/>
      <c r="U59" s="33"/>
      <c r="V59" s="34"/>
      <c r="W59" s="33"/>
      <c r="X59" s="34"/>
      <c r="Y59" s="33"/>
      <c r="Z59" s="34"/>
      <c r="AA59" s="33"/>
      <c r="AB59" s="34"/>
      <c r="AC59" s="32"/>
      <c r="AD59" s="31"/>
      <c r="AE59" s="32"/>
      <c r="AF59" s="34"/>
      <c r="AG59" s="33"/>
      <c r="AH59" s="34"/>
      <c r="AI59" s="33"/>
      <c r="AJ59" s="34"/>
      <c r="AK59" s="33"/>
      <c r="AL59" s="31"/>
      <c r="AM59" s="32"/>
      <c r="AN59" s="31"/>
      <c r="AO59" s="32"/>
      <c r="AP59" s="31"/>
      <c r="AQ59" s="32"/>
      <c r="AR59" s="34"/>
      <c r="AS59" s="33"/>
      <c r="AT59" s="34"/>
      <c r="AU59" s="36"/>
      <c r="AV59" s="48"/>
      <c r="AW59" s="10"/>
      <c r="AX59" s="10"/>
    </row>
    <row r="60" spans="1:50" x14ac:dyDescent="0.2">
      <c r="A60" s="45"/>
      <c r="B60" s="38"/>
      <c r="C60" s="33"/>
      <c r="D60" s="34"/>
      <c r="E60" s="33"/>
      <c r="F60" s="34"/>
      <c r="G60" s="33"/>
      <c r="H60" s="34"/>
      <c r="I60" s="33"/>
      <c r="J60" s="34"/>
      <c r="K60" s="32"/>
      <c r="L60" s="31"/>
      <c r="M60" s="33"/>
      <c r="N60" s="31"/>
      <c r="O60" s="32"/>
      <c r="P60" s="34"/>
      <c r="Q60" s="33"/>
      <c r="R60" s="34"/>
      <c r="S60" s="33"/>
      <c r="T60" s="31"/>
      <c r="U60" s="32"/>
      <c r="V60" s="34"/>
      <c r="W60" s="32"/>
      <c r="X60" s="31"/>
      <c r="Y60" s="33"/>
      <c r="Z60" s="31"/>
      <c r="AA60" s="32"/>
      <c r="AB60" s="34"/>
      <c r="AC60" s="32"/>
      <c r="AD60" s="31"/>
      <c r="AE60" s="32"/>
      <c r="AF60" s="34"/>
      <c r="AG60" s="33"/>
      <c r="AH60" s="34"/>
      <c r="AI60" s="32"/>
      <c r="AJ60" s="31"/>
      <c r="AK60" s="33"/>
      <c r="AL60" s="31"/>
      <c r="AM60" s="32"/>
      <c r="AN60" s="31"/>
      <c r="AO60" s="32"/>
      <c r="AP60" s="31"/>
      <c r="AQ60" s="32"/>
      <c r="AR60" s="34"/>
      <c r="AS60" s="33"/>
      <c r="AT60" s="34"/>
      <c r="AU60" s="36"/>
      <c r="AV60" s="48"/>
      <c r="AW60" s="10"/>
      <c r="AX60" s="10"/>
    </row>
    <row r="61" spans="1:50" x14ac:dyDescent="0.2">
      <c r="A61" s="160"/>
      <c r="B61" s="157"/>
      <c r="C61" s="159"/>
      <c r="D61" s="159"/>
      <c r="E61" s="159"/>
      <c r="F61" s="159"/>
      <c r="G61" s="159"/>
      <c r="H61" s="159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64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63"/>
      <c r="AV61" s="168"/>
      <c r="AW61" s="168"/>
      <c r="AX61" s="168"/>
    </row>
    <row r="62" spans="1:50" x14ac:dyDescent="0.2">
      <c r="A62" s="160"/>
      <c r="B62" s="157"/>
      <c r="C62" s="159"/>
      <c r="D62" s="159"/>
      <c r="E62" s="159"/>
      <c r="F62" s="159"/>
      <c r="G62" s="159"/>
      <c r="H62" s="159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64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63"/>
      <c r="AV62" s="168"/>
      <c r="AW62" s="168"/>
      <c r="AX62" s="168"/>
    </row>
    <row r="63" spans="1:50" x14ac:dyDescent="0.2">
      <c r="A63" s="45"/>
      <c r="B63" s="38"/>
      <c r="C63" s="33"/>
      <c r="D63" s="34"/>
      <c r="E63" s="33"/>
      <c r="F63" s="34"/>
      <c r="G63" s="33"/>
      <c r="H63" s="34"/>
      <c r="I63" s="33"/>
      <c r="J63" s="34"/>
      <c r="K63" s="33"/>
      <c r="L63" s="34"/>
      <c r="M63" s="33"/>
      <c r="N63" s="34"/>
      <c r="O63" s="33"/>
      <c r="P63" s="34"/>
      <c r="Q63" s="33"/>
      <c r="R63" s="34"/>
      <c r="S63" s="33"/>
      <c r="T63" s="34"/>
      <c r="U63" s="33"/>
      <c r="V63" s="34"/>
      <c r="W63" s="33"/>
      <c r="X63" s="34"/>
      <c r="Y63" s="33"/>
      <c r="Z63" s="34"/>
      <c r="AA63" s="33"/>
      <c r="AB63" s="34"/>
      <c r="AC63" s="32"/>
      <c r="AD63" s="31"/>
      <c r="AE63" s="33"/>
      <c r="AF63" s="34"/>
      <c r="AG63" s="33"/>
      <c r="AH63" s="34"/>
      <c r="AI63" s="33"/>
      <c r="AJ63" s="34"/>
      <c r="AK63" s="33"/>
      <c r="AL63" s="34"/>
      <c r="AM63" s="33"/>
      <c r="AN63" s="34"/>
      <c r="AO63" s="32"/>
      <c r="AP63" s="31"/>
      <c r="AQ63" s="32"/>
      <c r="AR63" s="34"/>
      <c r="AS63" s="33"/>
      <c r="AT63" s="34"/>
      <c r="AU63" s="36"/>
      <c r="AV63" s="48"/>
      <c r="AW63" s="10"/>
      <c r="AX63" s="10"/>
    </row>
    <row r="64" spans="1:50" x14ac:dyDescent="0.2">
      <c r="A64" s="45"/>
      <c r="B64" s="38"/>
      <c r="C64" s="33"/>
      <c r="D64" s="34"/>
      <c r="E64" s="33"/>
      <c r="F64" s="34"/>
      <c r="G64" s="33"/>
      <c r="H64" s="34"/>
      <c r="I64" s="33"/>
      <c r="J64" s="34"/>
      <c r="K64" s="33"/>
      <c r="L64" s="34"/>
      <c r="M64" s="33"/>
      <c r="N64" s="34"/>
      <c r="O64" s="33"/>
      <c r="P64" s="34"/>
      <c r="Q64" s="33"/>
      <c r="R64" s="34"/>
      <c r="S64" s="33"/>
      <c r="T64" s="34"/>
      <c r="U64" s="33"/>
      <c r="V64" s="34"/>
      <c r="W64" s="33"/>
      <c r="X64" s="34"/>
      <c r="Y64" s="33"/>
      <c r="Z64" s="34"/>
      <c r="AA64" s="33"/>
      <c r="AB64" s="34"/>
      <c r="AC64" s="32"/>
      <c r="AD64" s="31"/>
      <c r="AE64" s="33"/>
      <c r="AF64" s="34"/>
      <c r="AG64" s="33"/>
      <c r="AH64" s="34"/>
      <c r="AI64" s="33"/>
      <c r="AJ64" s="34"/>
      <c r="AK64" s="33"/>
      <c r="AL64" s="34"/>
      <c r="AM64" s="33"/>
      <c r="AN64" s="34"/>
      <c r="AO64" s="32"/>
      <c r="AP64" s="31"/>
      <c r="AQ64" s="32"/>
      <c r="AR64" s="34"/>
      <c r="AS64" s="33"/>
      <c r="AT64" s="34"/>
      <c r="AU64" s="36"/>
      <c r="AV64" s="48"/>
      <c r="AW64" s="10"/>
      <c r="AX64" s="10"/>
    </row>
    <row r="65" spans="1:50" x14ac:dyDescent="0.2">
      <c r="A65" s="45"/>
      <c r="B65" s="38"/>
      <c r="C65" s="33"/>
      <c r="D65" s="34"/>
      <c r="E65" s="33"/>
      <c r="F65" s="34"/>
      <c r="G65" s="33"/>
      <c r="H65" s="34"/>
      <c r="I65" s="33"/>
      <c r="J65" s="34"/>
      <c r="K65" s="33"/>
      <c r="L65" s="34"/>
      <c r="M65" s="33"/>
      <c r="N65" s="34"/>
      <c r="O65" s="33"/>
      <c r="P65" s="34"/>
      <c r="Q65" s="33"/>
      <c r="R65" s="34"/>
      <c r="S65" s="33"/>
      <c r="T65" s="34"/>
      <c r="U65" s="33"/>
      <c r="V65" s="34"/>
      <c r="W65" s="33"/>
      <c r="X65" s="34"/>
      <c r="Y65" s="33"/>
      <c r="Z65" s="34"/>
      <c r="AA65" s="33"/>
      <c r="AB65" s="34"/>
      <c r="AC65" s="32"/>
      <c r="AD65" s="31"/>
      <c r="AE65" s="33"/>
      <c r="AF65" s="34"/>
      <c r="AG65" s="33"/>
      <c r="AH65" s="34"/>
      <c r="AI65" s="33"/>
      <c r="AJ65" s="34"/>
      <c r="AK65" s="33"/>
      <c r="AL65" s="34"/>
      <c r="AM65" s="33"/>
      <c r="AN65" s="34"/>
      <c r="AO65" s="33"/>
      <c r="AP65" s="34"/>
      <c r="AQ65" s="33"/>
      <c r="AR65" s="34"/>
      <c r="AS65" s="33"/>
      <c r="AT65" s="34"/>
      <c r="AU65" s="36"/>
      <c r="AV65" s="48"/>
      <c r="AW65" s="10"/>
      <c r="AX65" s="10"/>
    </row>
    <row r="66" spans="1:50" x14ac:dyDescent="0.2">
      <c r="A66" s="160"/>
      <c r="B66" s="157"/>
      <c r="C66" s="159"/>
      <c r="D66" s="159"/>
      <c r="E66" s="159"/>
      <c r="F66" s="159"/>
      <c r="G66" s="159"/>
      <c r="H66" s="159"/>
      <c r="I66" s="159"/>
      <c r="J66" s="159"/>
      <c r="K66" s="159"/>
      <c r="L66" s="159"/>
      <c r="M66" s="159"/>
      <c r="N66" s="159"/>
      <c r="O66" s="159"/>
      <c r="P66" s="159"/>
      <c r="Q66" s="159"/>
      <c r="R66" s="159"/>
      <c r="S66" s="159"/>
      <c r="T66" s="164"/>
      <c r="U66" s="159"/>
      <c r="V66" s="159"/>
      <c r="W66" s="159"/>
      <c r="X66" s="159"/>
      <c r="Y66" s="159"/>
      <c r="Z66" s="159"/>
      <c r="AA66" s="159"/>
      <c r="AB66" s="159"/>
      <c r="AC66" s="159"/>
      <c r="AD66" s="159"/>
      <c r="AE66" s="159"/>
      <c r="AF66" s="159"/>
      <c r="AG66" s="159"/>
      <c r="AH66" s="159"/>
      <c r="AI66" s="159"/>
      <c r="AJ66" s="159"/>
      <c r="AK66" s="159"/>
      <c r="AL66" s="159"/>
      <c r="AM66" s="159"/>
      <c r="AN66" s="159"/>
      <c r="AO66" s="159"/>
      <c r="AP66" s="159"/>
      <c r="AQ66" s="159"/>
      <c r="AR66" s="159"/>
      <c r="AS66" s="159"/>
      <c r="AT66" s="159"/>
      <c r="AU66" s="163"/>
      <c r="AV66" s="168"/>
      <c r="AW66" s="168"/>
      <c r="AX66" s="168"/>
    </row>
    <row r="67" spans="1:50" x14ac:dyDescent="0.2">
      <c r="A67" s="160"/>
      <c r="B67" s="157"/>
      <c r="C67" s="159"/>
      <c r="D67" s="159"/>
      <c r="E67" s="159"/>
      <c r="F67" s="159"/>
      <c r="G67" s="159"/>
      <c r="H67" s="159"/>
      <c r="I67" s="159"/>
      <c r="J67" s="159"/>
      <c r="K67" s="159"/>
      <c r="L67" s="159"/>
      <c r="M67" s="159"/>
      <c r="N67" s="159"/>
      <c r="O67" s="159"/>
      <c r="P67" s="159"/>
      <c r="Q67" s="159"/>
      <c r="R67" s="159"/>
      <c r="S67" s="159"/>
      <c r="T67" s="164"/>
      <c r="U67" s="159"/>
      <c r="V67" s="159"/>
      <c r="W67" s="159"/>
      <c r="X67" s="159"/>
      <c r="Y67" s="159"/>
      <c r="Z67" s="159"/>
      <c r="AA67" s="159"/>
      <c r="AB67" s="159"/>
      <c r="AC67" s="159"/>
      <c r="AD67" s="159"/>
      <c r="AE67" s="159"/>
      <c r="AF67" s="159"/>
      <c r="AG67" s="159"/>
      <c r="AH67" s="159"/>
      <c r="AI67" s="159"/>
      <c r="AJ67" s="159"/>
      <c r="AK67" s="159"/>
      <c r="AL67" s="159"/>
      <c r="AM67" s="159"/>
      <c r="AN67" s="159"/>
      <c r="AO67" s="159"/>
      <c r="AP67" s="159"/>
      <c r="AQ67" s="159"/>
      <c r="AR67" s="159"/>
      <c r="AS67" s="159"/>
      <c r="AT67" s="159"/>
      <c r="AU67" s="163"/>
      <c r="AV67" s="168"/>
      <c r="AW67" s="168"/>
      <c r="AX67" s="168"/>
    </row>
    <row r="68" spans="1:50" x14ac:dyDescent="0.2">
      <c r="A68" s="45"/>
      <c r="B68" s="38"/>
      <c r="C68" s="33"/>
      <c r="D68" s="34"/>
      <c r="E68" s="33"/>
      <c r="F68" s="34"/>
      <c r="G68" s="33"/>
      <c r="H68" s="34"/>
      <c r="I68" s="33"/>
      <c r="J68" s="34"/>
      <c r="K68" s="33"/>
      <c r="L68" s="34"/>
      <c r="M68" s="33"/>
      <c r="N68" s="34"/>
      <c r="O68" s="33"/>
      <c r="P68" s="34"/>
      <c r="Q68" s="33"/>
      <c r="R68" s="34"/>
      <c r="S68" s="33"/>
      <c r="T68" s="34"/>
      <c r="U68" s="33"/>
      <c r="V68" s="34"/>
      <c r="W68" s="33"/>
      <c r="X68" s="34"/>
      <c r="Y68" s="33"/>
      <c r="Z68" s="34"/>
      <c r="AA68" s="33"/>
      <c r="AB68" s="34"/>
      <c r="AC68" s="33"/>
      <c r="AD68" s="34"/>
      <c r="AE68" s="33"/>
      <c r="AF68" s="34"/>
      <c r="AG68" s="33"/>
      <c r="AH68" s="34"/>
      <c r="AI68" s="33"/>
      <c r="AJ68" s="34"/>
      <c r="AK68" s="33"/>
      <c r="AL68" s="34"/>
      <c r="AM68" s="33"/>
      <c r="AN68" s="34"/>
      <c r="AO68" s="33"/>
      <c r="AP68" s="34"/>
      <c r="AQ68" s="33"/>
      <c r="AR68" s="34"/>
      <c r="AS68" s="33"/>
      <c r="AT68" s="34"/>
      <c r="AU68" s="36"/>
      <c r="AV68" s="48"/>
      <c r="AW68" s="10"/>
      <c r="AX68" s="10"/>
    </row>
    <row r="69" spans="1:50" x14ac:dyDescent="0.2">
      <c r="A69" s="45"/>
      <c r="B69" s="38"/>
      <c r="C69" s="33"/>
      <c r="D69" s="34"/>
      <c r="E69" s="33"/>
      <c r="F69" s="34"/>
      <c r="G69" s="33"/>
      <c r="H69" s="34"/>
      <c r="I69" s="33"/>
      <c r="J69" s="34"/>
      <c r="K69" s="33"/>
      <c r="L69" s="34"/>
      <c r="M69" s="33"/>
      <c r="N69" s="34"/>
      <c r="O69" s="33"/>
      <c r="P69" s="34"/>
      <c r="Q69" s="33"/>
      <c r="R69" s="34"/>
      <c r="S69" s="33"/>
      <c r="T69" s="34"/>
      <c r="U69" s="33"/>
      <c r="V69" s="34"/>
      <c r="W69" s="32"/>
      <c r="X69" s="31"/>
      <c r="Y69" s="33"/>
      <c r="Z69" s="34"/>
      <c r="AA69" s="33"/>
      <c r="AB69" s="34"/>
      <c r="AC69" s="33"/>
      <c r="AD69" s="34"/>
      <c r="AE69" s="33"/>
      <c r="AF69" s="34"/>
      <c r="AG69" s="33"/>
      <c r="AH69" s="34"/>
      <c r="AI69" s="33"/>
      <c r="AJ69" s="34"/>
      <c r="AK69" s="33"/>
      <c r="AL69" s="31"/>
      <c r="AM69" s="32"/>
      <c r="AN69" s="31"/>
      <c r="AO69" s="32"/>
      <c r="AP69" s="31"/>
      <c r="AQ69" s="32"/>
      <c r="AR69" s="34"/>
      <c r="AS69" s="33"/>
      <c r="AT69" s="34"/>
      <c r="AU69" s="36"/>
      <c r="AV69" s="48"/>
      <c r="AW69" s="10"/>
      <c r="AX69" s="10"/>
    </row>
    <row r="70" spans="1:50" x14ac:dyDescent="0.2">
      <c r="A70" s="45"/>
      <c r="B70" s="38"/>
      <c r="C70" s="33"/>
      <c r="D70" s="34"/>
      <c r="E70" s="33"/>
      <c r="F70" s="34"/>
      <c r="G70" s="33"/>
      <c r="H70" s="34"/>
      <c r="I70" s="33"/>
      <c r="J70" s="34"/>
      <c r="K70" s="33"/>
      <c r="L70" s="34"/>
      <c r="M70" s="33"/>
      <c r="N70" s="34"/>
      <c r="O70" s="33"/>
      <c r="P70" s="34"/>
      <c r="Q70" s="33"/>
      <c r="R70" s="34"/>
      <c r="S70" s="33"/>
      <c r="T70" s="34"/>
      <c r="U70" s="33"/>
      <c r="V70" s="34"/>
      <c r="W70" s="33"/>
      <c r="X70" s="34"/>
      <c r="Y70" s="33"/>
      <c r="Z70" s="34"/>
      <c r="AA70" s="33"/>
      <c r="AB70" s="34"/>
      <c r="AC70" s="32"/>
      <c r="AD70" s="34"/>
      <c r="AE70" s="33"/>
      <c r="AF70" s="34"/>
      <c r="AG70" s="33"/>
      <c r="AH70" s="34"/>
      <c r="AI70" s="33"/>
      <c r="AJ70" s="34"/>
      <c r="AK70" s="33"/>
      <c r="AL70" s="34"/>
      <c r="AM70" s="33"/>
      <c r="AN70" s="34"/>
      <c r="AO70" s="32"/>
      <c r="AP70" s="34"/>
      <c r="AQ70" s="33"/>
      <c r="AR70" s="34"/>
      <c r="AS70" s="33"/>
      <c r="AT70" s="34"/>
      <c r="AU70" s="36"/>
      <c r="AV70" s="48"/>
      <c r="AW70" s="10"/>
      <c r="AX70" s="10"/>
    </row>
    <row r="71" spans="1:50" x14ac:dyDescent="0.2">
      <c r="A71" s="45"/>
      <c r="B71" s="38"/>
      <c r="C71" s="33"/>
      <c r="D71" s="34"/>
      <c r="E71" s="33"/>
      <c r="F71" s="34"/>
      <c r="G71" s="33"/>
      <c r="H71" s="34"/>
      <c r="I71" s="33"/>
      <c r="J71" s="34"/>
      <c r="K71" s="33"/>
      <c r="L71" s="34"/>
      <c r="M71" s="33"/>
      <c r="N71" s="34"/>
      <c r="O71" s="33"/>
      <c r="P71" s="34"/>
      <c r="Q71" s="33"/>
      <c r="R71" s="34"/>
      <c r="S71" s="33"/>
      <c r="T71" s="34"/>
      <c r="U71" s="33"/>
      <c r="V71" s="34"/>
      <c r="W71" s="33"/>
      <c r="X71" s="34"/>
      <c r="Y71" s="33"/>
      <c r="Z71" s="34"/>
      <c r="AA71" s="33"/>
      <c r="AB71" s="34"/>
      <c r="AC71" s="33"/>
      <c r="AD71" s="34"/>
      <c r="AE71" s="33"/>
      <c r="AF71" s="34"/>
      <c r="AG71" s="33"/>
      <c r="AH71" s="34"/>
      <c r="AI71" s="33"/>
      <c r="AJ71" s="34"/>
      <c r="AK71" s="33"/>
      <c r="AL71" s="34"/>
      <c r="AM71" s="33"/>
      <c r="AN71" s="34"/>
      <c r="AO71" s="32"/>
      <c r="AP71" s="31"/>
      <c r="AQ71" s="33"/>
      <c r="AR71" s="34"/>
      <c r="AS71" s="33"/>
      <c r="AT71" s="34"/>
      <c r="AU71" s="36"/>
      <c r="AV71" s="48"/>
      <c r="AW71" s="10"/>
      <c r="AX71" s="10"/>
    </row>
    <row r="72" spans="1:50" x14ac:dyDescent="0.2">
      <c r="A72" s="45"/>
      <c r="B72" s="38"/>
      <c r="C72" s="33"/>
      <c r="D72" s="34"/>
      <c r="E72" s="33"/>
      <c r="F72" s="34"/>
      <c r="G72" s="33"/>
      <c r="H72" s="34"/>
      <c r="I72" s="33"/>
      <c r="J72" s="34"/>
      <c r="K72" s="33"/>
      <c r="L72" s="34"/>
      <c r="M72" s="33"/>
      <c r="N72" s="34"/>
      <c r="O72" s="33"/>
      <c r="P72" s="34"/>
      <c r="Q72" s="33"/>
      <c r="R72" s="34"/>
      <c r="S72" s="33"/>
      <c r="T72" s="34"/>
      <c r="U72" s="33"/>
      <c r="V72" s="34"/>
      <c r="W72" s="33"/>
      <c r="X72" s="34"/>
      <c r="Y72" s="33"/>
      <c r="Z72" s="34"/>
      <c r="AA72" s="33"/>
      <c r="AB72" s="34"/>
      <c r="AC72" s="33"/>
      <c r="AD72" s="34"/>
      <c r="AE72" s="33"/>
      <c r="AF72" s="34"/>
      <c r="AG72" s="33"/>
      <c r="AH72" s="34"/>
      <c r="AI72" s="33"/>
      <c r="AJ72" s="34"/>
      <c r="AK72" s="33"/>
      <c r="AL72" s="34"/>
      <c r="AM72" s="33"/>
      <c r="AN72" s="34"/>
      <c r="AO72" s="32"/>
      <c r="AP72" s="31"/>
      <c r="AQ72" s="33"/>
      <c r="AR72" s="34"/>
      <c r="AS72" s="33"/>
      <c r="AT72" s="34"/>
      <c r="AU72" s="36"/>
      <c r="AV72" s="48"/>
      <c r="AW72" s="10"/>
      <c r="AX72" s="10"/>
    </row>
    <row r="73" spans="1:50" x14ac:dyDescent="0.2">
      <c r="A73" s="160"/>
      <c r="B73" s="157"/>
      <c r="C73" s="159"/>
      <c r="D73" s="159"/>
      <c r="E73" s="159"/>
      <c r="F73" s="159"/>
      <c r="G73" s="159"/>
      <c r="H73" s="159"/>
      <c r="I73" s="159"/>
      <c r="J73" s="159"/>
      <c r="K73" s="159"/>
      <c r="L73" s="159"/>
      <c r="M73" s="159"/>
      <c r="N73" s="159"/>
      <c r="O73" s="159"/>
      <c r="P73" s="159"/>
      <c r="Q73" s="159"/>
      <c r="R73" s="159"/>
      <c r="S73" s="159"/>
      <c r="T73" s="164"/>
      <c r="U73" s="159"/>
      <c r="V73" s="159"/>
      <c r="W73" s="159"/>
      <c r="X73" s="159"/>
      <c r="Y73" s="159"/>
      <c r="Z73" s="159"/>
      <c r="AA73" s="159"/>
      <c r="AB73" s="159"/>
      <c r="AC73" s="159"/>
      <c r="AD73" s="159"/>
      <c r="AE73" s="159"/>
      <c r="AF73" s="159"/>
      <c r="AG73" s="159"/>
      <c r="AH73" s="159"/>
      <c r="AI73" s="159"/>
      <c r="AJ73" s="159"/>
      <c r="AK73" s="159"/>
      <c r="AL73" s="161"/>
      <c r="AM73" s="161"/>
      <c r="AN73" s="161"/>
      <c r="AO73" s="161"/>
      <c r="AP73" s="161"/>
      <c r="AQ73" s="161"/>
      <c r="AR73" s="161"/>
      <c r="AS73" s="161"/>
      <c r="AT73" s="161"/>
      <c r="AU73" s="169"/>
      <c r="AV73" s="168"/>
      <c r="AW73" s="168"/>
      <c r="AX73" s="168"/>
    </row>
    <row r="74" spans="1:50" x14ac:dyDescent="0.2">
      <c r="A74" s="160"/>
      <c r="B74" s="157"/>
      <c r="C74" s="159"/>
      <c r="D74" s="159"/>
      <c r="E74" s="159"/>
      <c r="F74" s="159"/>
      <c r="G74" s="159"/>
      <c r="H74" s="159"/>
      <c r="I74" s="159"/>
      <c r="J74" s="159"/>
      <c r="K74" s="159"/>
      <c r="L74" s="159"/>
      <c r="M74" s="159"/>
      <c r="N74" s="159"/>
      <c r="O74" s="159"/>
      <c r="P74" s="159"/>
      <c r="Q74" s="159"/>
      <c r="R74" s="159"/>
      <c r="S74" s="159"/>
      <c r="T74" s="164"/>
      <c r="U74" s="159"/>
      <c r="V74" s="159"/>
      <c r="W74" s="159"/>
      <c r="X74" s="159"/>
      <c r="Y74" s="159"/>
      <c r="Z74" s="159"/>
      <c r="AA74" s="159"/>
      <c r="AB74" s="159"/>
      <c r="AC74" s="159"/>
      <c r="AD74" s="159"/>
      <c r="AE74" s="159"/>
      <c r="AF74" s="159"/>
      <c r="AG74" s="159"/>
      <c r="AH74" s="159"/>
      <c r="AI74" s="159"/>
      <c r="AJ74" s="159"/>
      <c r="AK74" s="159"/>
      <c r="AL74" s="159"/>
      <c r="AM74" s="159"/>
      <c r="AN74" s="159"/>
      <c r="AO74" s="159"/>
      <c r="AP74" s="159"/>
      <c r="AQ74" s="159"/>
      <c r="AR74" s="159"/>
      <c r="AS74" s="159"/>
      <c r="AT74" s="159"/>
      <c r="AU74" s="163"/>
      <c r="AV74" s="168"/>
      <c r="AW74" s="168"/>
      <c r="AX74" s="168"/>
    </row>
    <row r="75" spans="1:50" x14ac:dyDescent="0.2">
      <c r="A75" s="46"/>
      <c r="B75" s="38"/>
      <c r="C75" s="33"/>
      <c r="D75" s="34"/>
      <c r="E75" s="33"/>
      <c r="F75" s="34"/>
      <c r="G75" s="33"/>
      <c r="H75" s="34"/>
      <c r="I75" s="33"/>
      <c r="J75" s="34"/>
      <c r="K75" s="33"/>
      <c r="L75" s="34"/>
      <c r="M75" s="33"/>
      <c r="N75" s="34"/>
      <c r="O75" s="33"/>
      <c r="P75" s="34"/>
      <c r="Q75" s="33"/>
      <c r="R75" s="34"/>
      <c r="S75" s="33"/>
      <c r="T75" s="34"/>
      <c r="U75" s="33"/>
      <c r="V75" s="34"/>
      <c r="W75" s="33"/>
      <c r="X75" s="34"/>
      <c r="Y75" s="33"/>
      <c r="Z75" s="34"/>
      <c r="AA75" s="33"/>
      <c r="AB75" s="34"/>
      <c r="AC75" s="33"/>
      <c r="AD75" s="34"/>
      <c r="AE75" s="33"/>
      <c r="AF75" s="34"/>
      <c r="AG75" s="33"/>
      <c r="AH75" s="34"/>
      <c r="AI75" s="33"/>
      <c r="AJ75" s="34"/>
      <c r="AK75" s="33"/>
      <c r="AL75" s="34"/>
      <c r="AM75" s="33"/>
      <c r="AN75" s="34"/>
      <c r="AO75" s="32"/>
      <c r="AP75" s="31"/>
      <c r="AQ75" s="33"/>
      <c r="AR75" s="34"/>
      <c r="AS75" s="33"/>
      <c r="AT75" s="34"/>
      <c r="AU75" s="36"/>
      <c r="AV75" s="48"/>
      <c r="AW75" s="10"/>
      <c r="AX75" s="10"/>
    </row>
    <row r="76" spans="1:50" x14ac:dyDescent="0.2">
      <c r="A76" s="46"/>
      <c r="B76" s="35"/>
      <c r="C76" s="32"/>
      <c r="D76" s="31"/>
      <c r="E76" s="32"/>
      <c r="F76" s="31"/>
      <c r="G76" s="32"/>
      <c r="H76" s="31"/>
      <c r="I76" s="32"/>
      <c r="J76" s="31"/>
      <c r="K76" s="32"/>
      <c r="L76" s="31"/>
      <c r="M76" s="32"/>
      <c r="N76" s="31"/>
      <c r="O76" s="32"/>
      <c r="P76" s="34"/>
      <c r="Q76" s="33"/>
      <c r="R76" s="34"/>
      <c r="S76" s="33"/>
      <c r="T76" s="31"/>
      <c r="U76" s="32"/>
      <c r="V76" s="31"/>
      <c r="W76" s="32"/>
      <c r="X76" s="31"/>
      <c r="Y76" s="33"/>
      <c r="Z76" s="31"/>
      <c r="AA76" s="32"/>
      <c r="AB76" s="34"/>
      <c r="AC76" s="32"/>
      <c r="AD76" s="31"/>
      <c r="AE76" s="32"/>
      <c r="AF76" s="34"/>
      <c r="AG76" s="33"/>
      <c r="AH76" s="34"/>
      <c r="AI76" s="32"/>
      <c r="AJ76" s="31"/>
      <c r="AK76" s="32"/>
      <c r="AL76" s="31"/>
      <c r="AM76" s="32"/>
      <c r="AN76" s="31"/>
      <c r="AO76" s="32"/>
      <c r="AP76" s="31"/>
      <c r="AQ76" s="32"/>
      <c r="AR76" s="34"/>
      <c r="AS76" s="33"/>
      <c r="AT76" s="34"/>
      <c r="AU76" s="36"/>
      <c r="AV76" s="48"/>
      <c r="AW76" s="10"/>
      <c r="AX76" s="10"/>
    </row>
    <row r="77" spans="1:50" x14ac:dyDescent="0.2">
      <c r="A77" s="46"/>
      <c r="B77" s="35"/>
      <c r="C77" s="32"/>
      <c r="D77" s="31"/>
      <c r="E77" s="32"/>
      <c r="F77" s="31"/>
      <c r="G77" s="32"/>
      <c r="H77" s="31"/>
      <c r="I77" s="32"/>
      <c r="J77" s="31"/>
      <c r="K77" s="32"/>
      <c r="L77" s="31"/>
      <c r="M77" s="32"/>
      <c r="N77" s="31"/>
      <c r="O77" s="32"/>
      <c r="P77" s="31"/>
      <c r="Q77" s="33"/>
      <c r="R77" s="34"/>
      <c r="S77" s="33"/>
      <c r="T77" s="31"/>
      <c r="U77" s="32"/>
      <c r="V77" s="31"/>
      <c r="W77" s="32"/>
      <c r="X77" s="31"/>
      <c r="Y77" s="32"/>
      <c r="Z77" s="31"/>
      <c r="AA77" s="33"/>
      <c r="AB77" s="34"/>
      <c r="AC77" s="32"/>
      <c r="AD77" s="31"/>
      <c r="AE77" s="32"/>
      <c r="AF77" s="31"/>
      <c r="AG77" s="32"/>
      <c r="AH77" s="31"/>
      <c r="AI77" s="32"/>
      <c r="AJ77" s="31"/>
      <c r="AK77" s="32"/>
      <c r="AL77" s="31"/>
      <c r="AM77" s="32"/>
      <c r="AN77" s="31"/>
      <c r="AO77" s="32"/>
      <c r="AP77" s="34"/>
      <c r="AQ77" s="33"/>
      <c r="AR77" s="34"/>
      <c r="AS77" s="33"/>
      <c r="AT77" s="31"/>
      <c r="AU77" s="36"/>
      <c r="AV77" s="48"/>
      <c r="AW77" s="10"/>
      <c r="AX77" s="10"/>
    </row>
    <row r="78" spans="1:50" x14ac:dyDescent="0.2">
      <c r="A78" s="46"/>
      <c r="B78" s="35"/>
      <c r="C78" s="32"/>
      <c r="D78" s="31"/>
      <c r="E78" s="32"/>
      <c r="F78" s="31"/>
      <c r="G78" s="32"/>
      <c r="H78" s="31"/>
      <c r="I78" s="32"/>
      <c r="J78" s="31"/>
      <c r="K78" s="32"/>
      <c r="L78" s="31"/>
      <c r="M78" s="32"/>
      <c r="N78" s="31"/>
      <c r="O78" s="32"/>
      <c r="P78" s="31"/>
      <c r="Q78" s="33"/>
      <c r="R78" s="34"/>
      <c r="S78" s="33"/>
      <c r="T78" s="31"/>
      <c r="U78" s="32"/>
      <c r="V78" s="31"/>
      <c r="W78" s="32"/>
      <c r="X78" s="31"/>
      <c r="Y78" s="32"/>
      <c r="Z78" s="31"/>
      <c r="AA78" s="33"/>
      <c r="AB78" s="34"/>
      <c r="AC78" s="32"/>
      <c r="AD78" s="31"/>
      <c r="AE78" s="32"/>
      <c r="AF78" s="31"/>
      <c r="AG78" s="32"/>
      <c r="AH78" s="31"/>
      <c r="AI78" s="32"/>
      <c r="AJ78" s="31"/>
      <c r="AK78" s="32"/>
      <c r="AL78" s="31"/>
      <c r="AM78" s="32"/>
      <c r="AN78" s="31"/>
      <c r="AO78" s="32"/>
      <c r="AP78" s="34"/>
      <c r="AQ78" s="33"/>
      <c r="AR78" s="34"/>
      <c r="AS78" s="33"/>
      <c r="AT78" s="31"/>
      <c r="AU78" s="36"/>
      <c r="AV78" s="48"/>
      <c r="AW78" s="10"/>
      <c r="AX78" s="10"/>
    </row>
    <row r="79" spans="1:50" x14ac:dyDescent="0.2">
      <c r="A79" s="46"/>
      <c r="B79" s="38"/>
      <c r="C79" s="33"/>
      <c r="D79" s="34"/>
      <c r="E79" s="33"/>
      <c r="F79" s="34"/>
      <c r="G79" s="33"/>
      <c r="H79" s="34"/>
      <c r="I79" s="33"/>
      <c r="J79" s="34"/>
      <c r="K79" s="33"/>
      <c r="L79" s="34"/>
      <c r="M79" s="33"/>
      <c r="N79" s="34"/>
      <c r="O79" s="33"/>
      <c r="P79" s="34"/>
      <c r="Q79" s="33"/>
      <c r="R79" s="34"/>
      <c r="S79" s="33"/>
      <c r="T79" s="34"/>
      <c r="U79" s="33"/>
      <c r="V79" s="34"/>
      <c r="W79" s="33"/>
      <c r="X79" s="34"/>
      <c r="Y79" s="33"/>
      <c r="Z79" s="34"/>
      <c r="AA79" s="33"/>
      <c r="AB79" s="34"/>
      <c r="AC79" s="32"/>
      <c r="AD79" s="34"/>
      <c r="AE79" s="33"/>
      <c r="AF79" s="34"/>
      <c r="AG79" s="33"/>
      <c r="AH79" s="34"/>
      <c r="AI79" s="33"/>
      <c r="AJ79" s="34"/>
      <c r="AK79" s="33"/>
      <c r="AL79" s="31"/>
      <c r="AM79" s="33"/>
      <c r="AN79" s="34"/>
      <c r="AO79" s="32"/>
      <c r="AP79" s="31"/>
      <c r="AQ79" s="33"/>
      <c r="AR79" s="34"/>
      <c r="AS79" s="33"/>
      <c r="AT79" s="34"/>
      <c r="AU79" s="36"/>
      <c r="AV79" s="48"/>
      <c r="AW79" s="10"/>
      <c r="AX79" s="10"/>
    </row>
    <row r="80" spans="1:50" x14ac:dyDescent="0.2">
      <c r="A80" s="46"/>
      <c r="B80" s="38"/>
      <c r="C80" s="33"/>
      <c r="D80" s="34"/>
      <c r="E80" s="33"/>
      <c r="F80" s="34"/>
      <c r="G80" s="33"/>
      <c r="H80" s="34"/>
      <c r="I80" s="33"/>
      <c r="J80" s="34"/>
      <c r="K80" s="32"/>
      <c r="L80" s="31"/>
      <c r="M80" s="33"/>
      <c r="N80" s="34"/>
      <c r="O80" s="33"/>
      <c r="P80" s="34"/>
      <c r="Q80" s="33"/>
      <c r="R80" s="34"/>
      <c r="S80" s="33"/>
      <c r="T80" s="34"/>
      <c r="U80" s="33"/>
      <c r="V80" s="34"/>
      <c r="W80" s="32"/>
      <c r="X80" s="31"/>
      <c r="Y80" s="33"/>
      <c r="Z80" s="31"/>
      <c r="AA80" s="32"/>
      <c r="AB80" s="34"/>
      <c r="AC80" s="32"/>
      <c r="AD80" s="31"/>
      <c r="AE80" s="33"/>
      <c r="AF80" s="34"/>
      <c r="AG80" s="33"/>
      <c r="AH80" s="34"/>
      <c r="AI80" s="32"/>
      <c r="AJ80" s="31"/>
      <c r="AK80" s="33"/>
      <c r="AL80" s="31"/>
      <c r="AM80" s="32"/>
      <c r="AN80" s="31"/>
      <c r="AO80" s="32"/>
      <c r="AP80" s="31"/>
      <c r="AQ80" s="32"/>
      <c r="AR80" s="34"/>
      <c r="AS80" s="33"/>
      <c r="AT80" s="34"/>
      <c r="AU80" s="36"/>
      <c r="AV80" s="48"/>
      <c r="AW80" s="10"/>
      <c r="AX80" s="10"/>
    </row>
    <row r="81" spans="1:50" x14ac:dyDescent="0.2">
      <c r="A81" s="46"/>
      <c r="B81" s="38"/>
      <c r="C81" s="33"/>
      <c r="D81" s="34"/>
      <c r="E81" s="33"/>
      <c r="F81" s="34"/>
      <c r="G81" s="33"/>
      <c r="H81" s="34"/>
      <c r="I81" s="33"/>
      <c r="J81" s="34"/>
      <c r="K81" s="32"/>
      <c r="L81" s="31"/>
      <c r="M81" s="33"/>
      <c r="N81" s="34"/>
      <c r="O81" s="33"/>
      <c r="P81" s="34"/>
      <c r="Q81" s="33"/>
      <c r="R81" s="34"/>
      <c r="S81" s="33"/>
      <c r="T81" s="34"/>
      <c r="U81" s="33"/>
      <c r="V81" s="34"/>
      <c r="W81" s="32"/>
      <c r="X81" s="31"/>
      <c r="Y81" s="33"/>
      <c r="Z81" s="31"/>
      <c r="AA81" s="32"/>
      <c r="AB81" s="34"/>
      <c r="AC81" s="32"/>
      <c r="AD81" s="31"/>
      <c r="AE81" s="33"/>
      <c r="AF81" s="34"/>
      <c r="AG81" s="33"/>
      <c r="AH81" s="34"/>
      <c r="AI81" s="32"/>
      <c r="AJ81" s="31"/>
      <c r="AK81" s="33"/>
      <c r="AL81" s="31"/>
      <c r="AM81" s="32"/>
      <c r="AN81" s="31"/>
      <c r="AO81" s="32"/>
      <c r="AP81" s="31"/>
      <c r="AQ81" s="32"/>
      <c r="AR81" s="34"/>
      <c r="AS81" s="33"/>
      <c r="AT81" s="34"/>
      <c r="AU81" s="36"/>
      <c r="AV81" s="48"/>
      <c r="AW81" s="10"/>
      <c r="AX81" s="10"/>
    </row>
    <row r="82" spans="1:50" x14ac:dyDescent="0.2">
      <c r="A82" s="46"/>
      <c r="B82" s="38"/>
      <c r="C82" s="33"/>
      <c r="D82" s="34"/>
      <c r="E82" s="33"/>
      <c r="F82" s="34"/>
      <c r="G82" s="33"/>
      <c r="H82" s="34"/>
      <c r="I82" s="33"/>
      <c r="J82" s="34"/>
      <c r="K82" s="32"/>
      <c r="L82" s="31"/>
      <c r="M82" s="33"/>
      <c r="N82" s="34"/>
      <c r="O82" s="33"/>
      <c r="P82" s="34"/>
      <c r="Q82" s="33"/>
      <c r="R82" s="34"/>
      <c r="S82" s="33"/>
      <c r="T82" s="34"/>
      <c r="U82" s="33"/>
      <c r="V82" s="34"/>
      <c r="W82" s="32"/>
      <c r="X82" s="31"/>
      <c r="Y82" s="33"/>
      <c r="Z82" s="34"/>
      <c r="AA82" s="33"/>
      <c r="AB82" s="34"/>
      <c r="AC82" s="32"/>
      <c r="AD82" s="31"/>
      <c r="AE82" s="32"/>
      <c r="AF82" s="34"/>
      <c r="AG82" s="33"/>
      <c r="AH82" s="34"/>
      <c r="AI82" s="33"/>
      <c r="AJ82" s="34"/>
      <c r="AK82" s="33"/>
      <c r="AL82" s="31"/>
      <c r="AM82" s="32"/>
      <c r="AN82" s="31"/>
      <c r="AO82" s="32"/>
      <c r="AP82" s="31"/>
      <c r="AQ82" s="32"/>
      <c r="AR82" s="34"/>
      <c r="AS82" s="33"/>
      <c r="AT82" s="34"/>
      <c r="AU82" s="36"/>
      <c r="AV82" s="48"/>
      <c r="AW82" s="10"/>
      <c r="AX82" s="10"/>
    </row>
    <row r="83" spans="1:50" x14ac:dyDescent="0.2">
      <c r="A83" s="160"/>
      <c r="B83" s="157"/>
      <c r="C83" s="159"/>
      <c r="D83" s="159"/>
      <c r="E83" s="159"/>
      <c r="F83" s="159"/>
      <c r="G83" s="159"/>
      <c r="H83" s="159"/>
      <c r="I83" s="159"/>
      <c r="J83" s="159"/>
      <c r="K83" s="159"/>
      <c r="L83" s="159"/>
      <c r="M83" s="159"/>
      <c r="N83" s="159"/>
      <c r="O83" s="159"/>
      <c r="P83" s="159"/>
      <c r="Q83" s="159"/>
      <c r="R83" s="159"/>
      <c r="S83" s="159"/>
      <c r="T83" s="164"/>
      <c r="U83" s="159"/>
      <c r="V83" s="159"/>
      <c r="W83" s="159"/>
      <c r="X83" s="159"/>
      <c r="Y83" s="159"/>
      <c r="Z83" s="159"/>
      <c r="AA83" s="159"/>
      <c r="AB83" s="159"/>
      <c r="AC83" s="159"/>
      <c r="AD83" s="159"/>
      <c r="AE83" s="159"/>
      <c r="AF83" s="159"/>
      <c r="AG83" s="159"/>
      <c r="AH83" s="159"/>
      <c r="AI83" s="159"/>
      <c r="AJ83" s="159"/>
      <c r="AK83" s="159"/>
      <c r="AL83" s="159"/>
      <c r="AM83" s="159"/>
      <c r="AN83" s="159"/>
      <c r="AO83" s="159"/>
      <c r="AP83" s="159"/>
      <c r="AQ83" s="159"/>
      <c r="AR83" s="159"/>
      <c r="AS83" s="159"/>
      <c r="AT83" s="159"/>
      <c r="AU83" s="163"/>
      <c r="AV83" s="168"/>
      <c r="AW83" s="168"/>
      <c r="AX83" s="168"/>
    </row>
    <row r="84" spans="1:50" x14ac:dyDescent="0.2">
      <c r="A84" s="160"/>
      <c r="B84" s="157"/>
      <c r="C84" s="159"/>
      <c r="D84" s="159"/>
      <c r="E84" s="159"/>
      <c r="F84" s="159"/>
      <c r="G84" s="159"/>
      <c r="H84" s="159"/>
      <c r="I84" s="159"/>
      <c r="J84" s="159"/>
      <c r="K84" s="159"/>
      <c r="L84" s="159"/>
      <c r="M84" s="159"/>
      <c r="N84" s="159"/>
      <c r="O84" s="159"/>
      <c r="P84" s="159"/>
      <c r="Q84" s="159"/>
      <c r="R84" s="159"/>
      <c r="S84" s="159"/>
      <c r="T84" s="164"/>
      <c r="U84" s="159"/>
      <c r="V84" s="159"/>
      <c r="W84" s="159"/>
      <c r="X84" s="159"/>
      <c r="Y84" s="159"/>
      <c r="Z84" s="159"/>
      <c r="AA84" s="159"/>
      <c r="AB84" s="159"/>
      <c r="AC84" s="159"/>
      <c r="AD84" s="159"/>
      <c r="AE84" s="159"/>
      <c r="AF84" s="159"/>
      <c r="AG84" s="159"/>
      <c r="AH84" s="159"/>
      <c r="AI84" s="159"/>
      <c r="AJ84" s="159"/>
      <c r="AK84" s="159"/>
      <c r="AL84" s="159"/>
      <c r="AM84" s="159"/>
      <c r="AN84" s="159"/>
      <c r="AO84" s="159"/>
      <c r="AP84" s="159"/>
      <c r="AQ84" s="159"/>
      <c r="AR84" s="159"/>
      <c r="AS84" s="159"/>
      <c r="AT84" s="159"/>
      <c r="AU84" s="163"/>
      <c r="AV84" s="168"/>
      <c r="AW84" s="168"/>
      <c r="AX84" s="168"/>
    </row>
    <row r="85" spans="1:50" x14ac:dyDescent="0.2">
      <c r="A85" s="45"/>
      <c r="B85" s="38"/>
      <c r="C85" s="33"/>
      <c r="D85" s="34"/>
      <c r="E85" s="33"/>
      <c r="F85" s="34"/>
      <c r="G85" s="33"/>
      <c r="H85" s="34"/>
      <c r="I85" s="33"/>
      <c r="J85" s="34"/>
      <c r="K85" s="33"/>
      <c r="L85" s="34"/>
      <c r="M85" s="33"/>
      <c r="N85" s="34"/>
      <c r="O85" s="33"/>
      <c r="P85" s="34"/>
      <c r="Q85" s="33"/>
      <c r="R85" s="34"/>
      <c r="S85" s="33"/>
      <c r="T85" s="34"/>
      <c r="U85" s="33"/>
      <c r="V85" s="34"/>
      <c r="W85" s="33"/>
      <c r="X85" s="34"/>
      <c r="Y85" s="33"/>
      <c r="Z85" s="34"/>
      <c r="AA85" s="33"/>
      <c r="AB85" s="34"/>
      <c r="AC85" s="33"/>
      <c r="AD85" s="34"/>
      <c r="AE85" s="33"/>
      <c r="AF85" s="34"/>
      <c r="AG85" s="33"/>
      <c r="AH85" s="34"/>
      <c r="AI85" s="33"/>
      <c r="AJ85" s="34"/>
      <c r="AK85" s="33"/>
      <c r="AL85" s="34"/>
      <c r="AM85" s="33"/>
      <c r="AN85" s="34"/>
      <c r="AO85" s="32"/>
      <c r="AP85" s="31"/>
      <c r="AQ85" s="33"/>
      <c r="AR85" s="34"/>
      <c r="AS85" s="33"/>
      <c r="AT85" s="34"/>
      <c r="AU85" s="36"/>
      <c r="AV85" s="48"/>
      <c r="AW85" s="10"/>
      <c r="AX85" s="10"/>
    </row>
    <row r="86" spans="1:50" x14ac:dyDescent="0.2">
      <c r="A86" s="45"/>
      <c r="B86" s="38"/>
      <c r="C86" s="33"/>
      <c r="D86" s="34"/>
      <c r="E86" s="33"/>
      <c r="F86" s="34"/>
      <c r="G86" s="33"/>
      <c r="H86" s="34"/>
      <c r="I86" s="33"/>
      <c r="J86" s="34"/>
      <c r="K86" s="33"/>
      <c r="L86" s="34"/>
      <c r="M86" s="33"/>
      <c r="N86" s="34"/>
      <c r="O86" s="33"/>
      <c r="P86" s="34"/>
      <c r="Q86" s="33"/>
      <c r="R86" s="34"/>
      <c r="S86" s="33"/>
      <c r="T86" s="34"/>
      <c r="U86" s="33"/>
      <c r="V86" s="34"/>
      <c r="W86" s="33"/>
      <c r="X86" s="34"/>
      <c r="Y86" s="33"/>
      <c r="Z86" s="31"/>
      <c r="AA86" s="32"/>
      <c r="AB86" s="34"/>
      <c r="AC86" s="32"/>
      <c r="AD86" s="31"/>
      <c r="AE86" s="33"/>
      <c r="AF86" s="31"/>
      <c r="AG86" s="32"/>
      <c r="AH86" s="34"/>
      <c r="AI86" s="33"/>
      <c r="AJ86" s="34"/>
      <c r="AK86" s="33"/>
      <c r="AL86" s="34"/>
      <c r="AM86" s="33"/>
      <c r="AN86" s="34"/>
      <c r="AO86" s="32"/>
      <c r="AP86" s="31"/>
      <c r="AQ86" s="32"/>
      <c r="AR86" s="34"/>
      <c r="AS86" s="33"/>
      <c r="AT86" s="34"/>
      <c r="AU86" s="36"/>
      <c r="AV86" s="48"/>
      <c r="AW86" s="10"/>
      <c r="AX86" s="10"/>
    </row>
    <row r="87" spans="1:50" x14ac:dyDescent="0.2">
      <c r="A87" s="45"/>
      <c r="B87" s="38"/>
      <c r="C87" s="33"/>
      <c r="D87" s="34"/>
      <c r="E87" s="33"/>
      <c r="F87" s="34"/>
      <c r="G87" s="33"/>
      <c r="H87" s="31"/>
      <c r="I87" s="32"/>
      <c r="J87" s="34"/>
      <c r="K87" s="33"/>
      <c r="L87" s="34"/>
      <c r="M87" s="33"/>
      <c r="N87" s="34"/>
      <c r="O87" s="33"/>
      <c r="P87" s="34"/>
      <c r="Q87" s="33"/>
      <c r="R87" s="34"/>
      <c r="S87" s="33"/>
      <c r="T87" s="31"/>
      <c r="U87" s="32"/>
      <c r="V87" s="34"/>
      <c r="W87" s="32"/>
      <c r="X87" s="31"/>
      <c r="Y87" s="33"/>
      <c r="Z87" s="34"/>
      <c r="AA87" s="33"/>
      <c r="AB87" s="34"/>
      <c r="AC87" s="33"/>
      <c r="AD87" s="34"/>
      <c r="AE87" s="33"/>
      <c r="AF87" s="34"/>
      <c r="AG87" s="33"/>
      <c r="AH87" s="34"/>
      <c r="AI87" s="32"/>
      <c r="AJ87" s="31"/>
      <c r="AK87" s="33"/>
      <c r="AL87" s="31"/>
      <c r="AM87" s="32"/>
      <c r="AN87" s="31"/>
      <c r="AO87" s="32"/>
      <c r="AP87" s="31"/>
      <c r="AQ87" s="32"/>
      <c r="AR87" s="34"/>
      <c r="AS87" s="33"/>
      <c r="AT87" s="34"/>
      <c r="AU87" s="36"/>
      <c r="AV87" s="48"/>
      <c r="AW87" s="10"/>
      <c r="AX87" s="10"/>
    </row>
    <row r="88" spans="1:50" x14ac:dyDescent="0.2">
      <c r="A88" s="45"/>
      <c r="B88" s="38"/>
      <c r="C88" s="33"/>
      <c r="D88" s="34"/>
      <c r="E88" s="33"/>
      <c r="F88" s="34"/>
      <c r="G88" s="33"/>
      <c r="H88" s="34"/>
      <c r="I88" s="33"/>
      <c r="J88" s="34"/>
      <c r="K88" s="33"/>
      <c r="L88" s="34"/>
      <c r="M88" s="33"/>
      <c r="N88" s="34"/>
      <c r="O88" s="33"/>
      <c r="P88" s="34"/>
      <c r="Q88" s="33"/>
      <c r="R88" s="34"/>
      <c r="S88" s="33"/>
      <c r="T88" s="34"/>
      <c r="U88" s="33"/>
      <c r="V88" s="34"/>
      <c r="W88" s="33"/>
      <c r="X88" s="34"/>
      <c r="Y88" s="33"/>
      <c r="Z88" s="34"/>
      <c r="AA88" s="33"/>
      <c r="AB88" s="34"/>
      <c r="AC88" s="33"/>
      <c r="AD88" s="34"/>
      <c r="AE88" s="33"/>
      <c r="AF88" s="34"/>
      <c r="AG88" s="33"/>
      <c r="AH88" s="34"/>
      <c r="AI88" s="32"/>
      <c r="AJ88" s="31"/>
      <c r="AK88" s="33"/>
      <c r="AL88" s="34"/>
      <c r="AM88" s="33"/>
      <c r="AN88" s="34"/>
      <c r="AO88" s="32"/>
      <c r="AP88" s="31"/>
      <c r="AQ88" s="32"/>
      <c r="AR88" s="34"/>
      <c r="AS88" s="33"/>
      <c r="AT88" s="34"/>
      <c r="AU88" s="36"/>
      <c r="AV88" s="48"/>
      <c r="AW88" s="10"/>
      <c r="AX88" s="10"/>
    </row>
    <row r="89" spans="1:50" x14ac:dyDescent="0.2">
      <c r="A89" s="45"/>
      <c r="B89" s="38"/>
      <c r="C89" s="33"/>
      <c r="D89" s="34"/>
      <c r="E89" s="33"/>
      <c r="F89" s="34"/>
      <c r="G89" s="33"/>
      <c r="H89" s="34"/>
      <c r="I89" s="33"/>
      <c r="J89" s="34"/>
      <c r="K89" s="32"/>
      <c r="L89" s="31"/>
      <c r="M89" s="33"/>
      <c r="N89" s="31"/>
      <c r="O89" s="32"/>
      <c r="P89" s="34"/>
      <c r="Q89" s="33"/>
      <c r="R89" s="34"/>
      <c r="S89" s="33"/>
      <c r="T89" s="34"/>
      <c r="U89" s="33"/>
      <c r="V89" s="34"/>
      <c r="W89" s="33"/>
      <c r="X89" s="34"/>
      <c r="Y89" s="33"/>
      <c r="Z89" s="34"/>
      <c r="AA89" s="33"/>
      <c r="AB89" s="34"/>
      <c r="AC89" s="33"/>
      <c r="AD89" s="34"/>
      <c r="AE89" s="33"/>
      <c r="AF89" s="34"/>
      <c r="AG89" s="33"/>
      <c r="AH89" s="34"/>
      <c r="AI89" s="33"/>
      <c r="AJ89" s="34"/>
      <c r="AK89" s="33"/>
      <c r="AL89" s="31"/>
      <c r="AM89" s="32"/>
      <c r="AN89" s="34"/>
      <c r="AO89" s="32"/>
      <c r="AP89" s="31"/>
      <c r="AQ89" s="32"/>
      <c r="AR89" s="34"/>
      <c r="AS89" s="33"/>
      <c r="AT89" s="34"/>
      <c r="AU89" s="36"/>
      <c r="AV89" s="48"/>
      <c r="AW89" s="10"/>
      <c r="AX89" s="10"/>
    </row>
    <row r="90" spans="1:50" x14ac:dyDescent="0.2">
      <c r="A90" s="160"/>
      <c r="B90" s="157"/>
      <c r="C90" s="159"/>
      <c r="D90" s="159"/>
      <c r="E90" s="159"/>
      <c r="F90" s="159"/>
      <c r="G90" s="159"/>
      <c r="H90" s="159"/>
      <c r="I90" s="159"/>
      <c r="J90" s="159"/>
      <c r="K90" s="159"/>
      <c r="L90" s="159"/>
      <c r="M90" s="159"/>
      <c r="N90" s="159"/>
      <c r="O90" s="159"/>
      <c r="P90" s="159"/>
      <c r="Q90" s="159"/>
      <c r="R90" s="159"/>
      <c r="S90" s="159"/>
      <c r="T90" s="164"/>
      <c r="U90" s="159"/>
      <c r="V90" s="159"/>
      <c r="W90" s="159"/>
      <c r="X90" s="159"/>
      <c r="Y90" s="159"/>
      <c r="Z90" s="159"/>
      <c r="AA90" s="159"/>
      <c r="AB90" s="159"/>
      <c r="AC90" s="159"/>
      <c r="AD90" s="159"/>
      <c r="AE90" s="159"/>
      <c r="AF90" s="159"/>
      <c r="AG90" s="159"/>
      <c r="AH90" s="159"/>
      <c r="AI90" s="159"/>
      <c r="AJ90" s="159"/>
      <c r="AK90" s="159"/>
      <c r="AL90" s="159"/>
      <c r="AM90" s="159"/>
      <c r="AN90" s="159"/>
      <c r="AO90" s="159"/>
      <c r="AP90" s="159"/>
      <c r="AQ90" s="159"/>
      <c r="AR90" s="159"/>
      <c r="AS90" s="159"/>
      <c r="AT90" s="159"/>
      <c r="AU90" s="163"/>
      <c r="AV90" s="168"/>
      <c r="AW90" s="168"/>
      <c r="AX90" s="168"/>
    </row>
    <row r="91" spans="1:50" x14ac:dyDescent="0.2">
      <c r="A91" s="160"/>
      <c r="B91" s="157"/>
      <c r="C91" s="159"/>
      <c r="D91" s="159"/>
      <c r="E91" s="159"/>
      <c r="F91" s="159"/>
      <c r="G91" s="159"/>
      <c r="H91" s="159"/>
      <c r="I91" s="159"/>
      <c r="J91" s="159"/>
      <c r="K91" s="159"/>
      <c r="L91" s="159"/>
      <c r="M91" s="159"/>
      <c r="N91" s="159"/>
      <c r="O91" s="159"/>
      <c r="P91" s="159"/>
      <c r="Q91" s="159"/>
      <c r="R91" s="159"/>
      <c r="S91" s="159"/>
      <c r="T91" s="164"/>
      <c r="U91" s="159"/>
      <c r="V91" s="159"/>
      <c r="W91" s="159"/>
      <c r="X91" s="159"/>
      <c r="Y91" s="159"/>
      <c r="Z91" s="159"/>
      <c r="AA91" s="159"/>
      <c r="AB91" s="159"/>
      <c r="AC91" s="159"/>
      <c r="AD91" s="159"/>
      <c r="AE91" s="159"/>
      <c r="AF91" s="159"/>
      <c r="AG91" s="159"/>
      <c r="AH91" s="159"/>
      <c r="AI91" s="159"/>
      <c r="AJ91" s="159"/>
      <c r="AK91" s="159"/>
      <c r="AL91" s="159"/>
      <c r="AM91" s="159"/>
      <c r="AN91" s="159"/>
      <c r="AO91" s="159"/>
      <c r="AP91" s="159"/>
      <c r="AQ91" s="159"/>
      <c r="AR91" s="159"/>
      <c r="AS91" s="159"/>
      <c r="AT91" s="159"/>
      <c r="AU91" s="163"/>
      <c r="AV91" s="168"/>
      <c r="AW91" s="168"/>
      <c r="AX91" s="168"/>
    </row>
    <row r="92" spans="1:50" x14ac:dyDescent="0.2">
      <c r="A92" s="45"/>
      <c r="B92" s="38"/>
      <c r="C92" s="33"/>
      <c r="D92" s="34"/>
      <c r="E92" s="33"/>
      <c r="F92" s="34"/>
      <c r="G92" s="33"/>
      <c r="H92" s="34"/>
      <c r="I92" s="33"/>
      <c r="J92" s="34"/>
      <c r="K92" s="32"/>
      <c r="L92" s="31"/>
      <c r="M92" s="32"/>
      <c r="N92" s="34"/>
      <c r="O92" s="33"/>
      <c r="P92" s="34"/>
      <c r="Q92" s="33"/>
      <c r="R92" s="34"/>
      <c r="S92" s="33"/>
      <c r="T92" s="31"/>
      <c r="U92" s="32"/>
      <c r="V92" s="34"/>
      <c r="W92" s="32"/>
      <c r="X92" s="31"/>
      <c r="Y92" s="32"/>
      <c r="Z92" s="34"/>
      <c r="AA92" s="33"/>
      <c r="AB92" s="34"/>
      <c r="AC92" s="33"/>
      <c r="AD92" s="34"/>
      <c r="AE92" s="33"/>
      <c r="AF92" s="34"/>
      <c r="AG92" s="33"/>
      <c r="AH92" s="34"/>
      <c r="AI92" s="32"/>
      <c r="AJ92" s="31"/>
      <c r="AK92" s="32"/>
      <c r="AL92" s="31"/>
      <c r="AM92" s="32"/>
      <c r="AN92" s="31"/>
      <c r="AO92" s="32"/>
      <c r="AP92" s="31"/>
      <c r="AQ92" s="32"/>
      <c r="AR92" s="34"/>
      <c r="AS92" s="33"/>
      <c r="AT92" s="34"/>
      <c r="AU92" s="36"/>
      <c r="AV92" s="48"/>
      <c r="AW92" s="10"/>
      <c r="AX92" s="10"/>
    </row>
    <row r="93" spans="1:50" x14ac:dyDescent="0.2">
      <c r="A93" s="45"/>
      <c r="B93" s="35"/>
      <c r="C93" s="32"/>
      <c r="D93" s="34"/>
      <c r="E93" s="33"/>
      <c r="F93" s="34"/>
      <c r="G93" s="33"/>
      <c r="H93" s="31"/>
      <c r="I93" s="32"/>
      <c r="J93" s="34"/>
      <c r="K93" s="32"/>
      <c r="L93" s="31"/>
      <c r="M93" s="33"/>
      <c r="N93" s="31"/>
      <c r="O93" s="32"/>
      <c r="P93" s="34"/>
      <c r="Q93" s="33"/>
      <c r="R93" s="34"/>
      <c r="S93" s="33"/>
      <c r="T93" s="31"/>
      <c r="U93" s="32"/>
      <c r="V93" s="34"/>
      <c r="W93" s="32"/>
      <c r="X93" s="31"/>
      <c r="Y93" s="33"/>
      <c r="Z93" s="31"/>
      <c r="AA93" s="32"/>
      <c r="AB93" s="34"/>
      <c r="AC93" s="32"/>
      <c r="AD93" s="31"/>
      <c r="AE93" s="33"/>
      <c r="AF93" s="31"/>
      <c r="AG93" s="32"/>
      <c r="AH93" s="34"/>
      <c r="AI93" s="32"/>
      <c r="AJ93" s="31"/>
      <c r="AK93" s="33"/>
      <c r="AL93" s="31"/>
      <c r="AM93" s="32"/>
      <c r="AN93" s="34"/>
      <c r="AO93" s="32"/>
      <c r="AP93" s="31"/>
      <c r="AQ93" s="32"/>
      <c r="AR93" s="34"/>
      <c r="AS93" s="33"/>
      <c r="AT93" s="34"/>
      <c r="AU93" s="36"/>
      <c r="AV93" s="48"/>
      <c r="AW93" s="10"/>
      <c r="AX93" s="10"/>
    </row>
    <row r="94" spans="1:50" x14ac:dyDescent="0.2">
      <c r="A94" s="45"/>
      <c r="B94" s="38"/>
      <c r="C94" s="33"/>
      <c r="D94" s="34"/>
      <c r="E94" s="33"/>
      <c r="F94" s="34"/>
      <c r="G94" s="33"/>
      <c r="H94" s="31"/>
      <c r="I94" s="32"/>
      <c r="J94" s="34"/>
      <c r="K94" s="32"/>
      <c r="L94" s="31"/>
      <c r="M94" s="33"/>
      <c r="N94" s="31"/>
      <c r="O94" s="32"/>
      <c r="P94" s="34"/>
      <c r="Q94" s="33"/>
      <c r="R94" s="34"/>
      <c r="S94" s="33"/>
      <c r="T94" s="31"/>
      <c r="U94" s="32"/>
      <c r="V94" s="34"/>
      <c r="W94" s="32"/>
      <c r="X94" s="31"/>
      <c r="Y94" s="32"/>
      <c r="Z94" s="31"/>
      <c r="AA94" s="32"/>
      <c r="AB94" s="34"/>
      <c r="AC94" s="32"/>
      <c r="AD94" s="31"/>
      <c r="AE94" s="33"/>
      <c r="AF94" s="34"/>
      <c r="AG94" s="33"/>
      <c r="AH94" s="34"/>
      <c r="AI94" s="32"/>
      <c r="AJ94" s="31"/>
      <c r="AK94" s="33"/>
      <c r="AL94" s="31"/>
      <c r="AM94" s="32"/>
      <c r="AN94" s="31"/>
      <c r="AO94" s="32"/>
      <c r="AP94" s="31"/>
      <c r="AQ94" s="33"/>
      <c r="AR94" s="34"/>
      <c r="AS94" s="33"/>
      <c r="AT94" s="34"/>
      <c r="AU94" s="36"/>
      <c r="AV94" s="48"/>
      <c r="AW94" s="10"/>
      <c r="AX94" s="10"/>
    </row>
    <row r="95" spans="1:50" x14ac:dyDescent="0.2">
      <c r="A95" s="45"/>
      <c r="B95" s="38"/>
      <c r="C95" s="33"/>
      <c r="D95" s="34"/>
      <c r="E95" s="33"/>
      <c r="F95" s="34"/>
      <c r="G95" s="33"/>
      <c r="H95" s="34"/>
      <c r="I95" s="33"/>
      <c r="J95" s="34"/>
      <c r="K95" s="32"/>
      <c r="L95" s="34"/>
      <c r="M95" s="33"/>
      <c r="N95" s="34"/>
      <c r="O95" s="33"/>
      <c r="P95" s="34"/>
      <c r="Q95" s="33"/>
      <c r="R95" s="34"/>
      <c r="S95" s="33"/>
      <c r="T95" s="34"/>
      <c r="U95" s="33"/>
      <c r="V95" s="34"/>
      <c r="W95" s="32"/>
      <c r="X95" s="31"/>
      <c r="Y95" s="32"/>
      <c r="Z95" s="34"/>
      <c r="AA95" s="33"/>
      <c r="AB95" s="34"/>
      <c r="AC95" s="33"/>
      <c r="AD95" s="34"/>
      <c r="AE95" s="33"/>
      <c r="AF95" s="34"/>
      <c r="AG95" s="33"/>
      <c r="AH95" s="34"/>
      <c r="AI95" s="32"/>
      <c r="AJ95" s="31"/>
      <c r="AK95" s="32"/>
      <c r="AL95" s="31"/>
      <c r="AM95" s="32"/>
      <c r="AN95" s="31"/>
      <c r="AO95" s="32"/>
      <c r="AP95" s="31"/>
      <c r="AQ95" s="32"/>
      <c r="AR95" s="34"/>
      <c r="AS95" s="33"/>
      <c r="AT95" s="34"/>
      <c r="AU95" s="36"/>
      <c r="AV95" s="48"/>
      <c r="AW95" s="10"/>
      <c r="AX95" s="10"/>
    </row>
    <row r="96" spans="1:50" x14ac:dyDescent="0.2">
      <c r="A96" s="45"/>
      <c r="B96" s="38"/>
      <c r="C96" s="33"/>
      <c r="D96" s="34"/>
      <c r="E96" s="33"/>
      <c r="F96" s="34"/>
      <c r="G96" s="33"/>
      <c r="H96" s="34"/>
      <c r="I96" s="33"/>
      <c r="J96" s="34"/>
      <c r="K96" s="33"/>
      <c r="L96" s="34"/>
      <c r="M96" s="33"/>
      <c r="N96" s="34"/>
      <c r="O96" s="33"/>
      <c r="P96" s="34"/>
      <c r="Q96" s="33"/>
      <c r="R96" s="34"/>
      <c r="S96" s="33"/>
      <c r="T96" s="34"/>
      <c r="U96" s="33"/>
      <c r="V96" s="34"/>
      <c r="W96" s="33"/>
      <c r="X96" s="34"/>
      <c r="Y96" s="33"/>
      <c r="Z96" s="34"/>
      <c r="AA96" s="33"/>
      <c r="AB96" s="34"/>
      <c r="AC96" s="33"/>
      <c r="AD96" s="34"/>
      <c r="AE96" s="33"/>
      <c r="AF96" s="34"/>
      <c r="AG96" s="33"/>
      <c r="AH96" s="34"/>
      <c r="AI96" s="33"/>
      <c r="AJ96" s="34"/>
      <c r="AK96" s="33"/>
      <c r="AL96" s="31"/>
      <c r="AM96" s="32"/>
      <c r="AN96" s="31"/>
      <c r="AO96" s="32"/>
      <c r="AP96" s="31"/>
      <c r="AQ96" s="33"/>
      <c r="AR96" s="34"/>
      <c r="AS96" s="33"/>
      <c r="AT96" s="34"/>
      <c r="AU96" s="36"/>
      <c r="AV96" s="48"/>
      <c r="AW96" s="10"/>
      <c r="AX96" s="10"/>
    </row>
    <row r="97" spans="1:50" x14ac:dyDescent="0.2">
      <c r="A97" s="45"/>
      <c r="B97" s="38"/>
      <c r="C97" s="33"/>
      <c r="D97" s="34"/>
      <c r="E97" s="33"/>
      <c r="F97" s="34"/>
      <c r="G97" s="33"/>
      <c r="H97" s="31"/>
      <c r="I97" s="33"/>
      <c r="J97" s="34"/>
      <c r="K97" s="32"/>
      <c r="L97" s="31"/>
      <c r="M97" s="32"/>
      <c r="N97" s="34"/>
      <c r="O97" s="33"/>
      <c r="P97" s="34"/>
      <c r="Q97" s="33"/>
      <c r="R97" s="34"/>
      <c r="S97" s="33"/>
      <c r="T97" s="34"/>
      <c r="U97" s="33"/>
      <c r="V97" s="34"/>
      <c r="W97" s="32"/>
      <c r="X97" s="31"/>
      <c r="Y97" s="32"/>
      <c r="Z97" s="31"/>
      <c r="AA97" s="32"/>
      <c r="AB97" s="34"/>
      <c r="AC97" s="32"/>
      <c r="AD97" s="31"/>
      <c r="AE97" s="33"/>
      <c r="AF97" s="34"/>
      <c r="AG97" s="33"/>
      <c r="AH97" s="34"/>
      <c r="AI97" s="32"/>
      <c r="AJ97" s="31"/>
      <c r="AK97" s="32"/>
      <c r="AL97" s="31"/>
      <c r="AM97" s="32"/>
      <c r="AN97" s="31"/>
      <c r="AO97" s="32"/>
      <c r="AP97" s="31"/>
      <c r="AQ97" s="32"/>
      <c r="AR97" s="34"/>
      <c r="AS97" s="33"/>
      <c r="AT97" s="34"/>
      <c r="AU97" s="36"/>
      <c r="AV97" s="48"/>
      <c r="AW97" s="10"/>
      <c r="AX97" s="10"/>
    </row>
    <row r="98" spans="1:50" x14ac:dyDescent="0.2">
      <c r="A98" s="45"/>
      <c r="B98" s="38"/>
      <c r="C98" s="33"/>
      <c r="D98" s="34"/>
      <c r="E98" s="33"/>
      <c r="F98" s="34"/>
      <c r="G98" s="33"/>
      <c r="H98" s="34"/>
      <c r="I98" s="33"/>
      <c r="J98" s="34"/>
      <c r="K98" s="32"/>
      <c r="L98" s="31"/>
      <c r="M98" s="32"/>
      <c r="N98" s="34"/>
      <c r="O98" s="33"/>
      <c r="P98" s="34"/>
      <c r="Q98" s="33"/>
      <c r="R98" s="34"/>
      <c r="S98" s="33"/>
      <c r="T98" s="34"/>
      <c r="U98" s="33"/>
      <c r="V98" s="34"/>
      <c r="W98" s="32"/>
      <c r="X98" s="31"/>
      <c r="Y98" s="32"/>
      <c r="Z98" s="34"/>
      <c r="AA98" s="33"/>
      <c r="AB98" s="34"/>
      <c r="AC98" s="32"/>
      <c r="AD98" s="31"/>
      <c r="AE98" s="32"/>
      <c r="AF98" s="34"/>
      <c r="AG98" s="33"/>
      <c r="AH98" s="34"/>
      <c r="AI98" s="32"/>
      <c r="AJ98" s="31"/>
      <c r="AK98" s="33"/>
      <c r="AL98" s="31"/>
      <c r="AM98" s="32"/>
      <c r="AN98" s="31"/>
      <c r="AO98" s="32"/>
      <c r="AP98" s="31"/>
      <c r="AQ98" s="32"/>
      <c r="AR98" s="34"/>
      <c r="AS98" s="33"/>
      <c r="AT98" s="34"/>
      <c r="AU98" s="36"/>
      <c r="AV98" s="48"/>
      <c r="AW98" s="10"/>
      <c r="AX98" s="10"/>
    </row>
    <row r="99" spans="1:50" x14ac:dyDescent="0.2">
      <c r="A99" s="45"/>
      <c r="B99" s="38"/>
      <c r="C99" s="33"/>
      <c r="D99" s="34"/>
      <c r="E99" s="33"/>
      <c r="F99" s="34"/>
      <c r="G99" s="33"/>
      <c r="H99" s="34"/>
      <c r="I99" s="33"/>
      <c r="J99" s="34"/>
      <c r="K99" s="32"/>
      <c r="L99" s="31"/>
      <c r="M99" s="33"/>
      <c r="N99" s="34"/>
      <c r="O99" s="33"/>
      <c r="P99" s="34"/>
      <c r="Q99" s="33"/>
      <c r="R99" s="34"/>
      <c r="S99" s="33"/>
      <c r="T99" s="34"/>
      <c r="U99" s="33"/>
      <c r="V99" s="34"/>
      <c r="W99" s="32"/>
      <c r="X99" s="31"/>
      <c r="Y99" s="32"/>
      <c r="Z99" s="34"/>
      <c r="AA99" s="33"/>
      <c r="AB99" s="34"/>
      <c r="AC99" s="32"/>
      <c r="AD99" s="31"/>
      <c r="AE99" s="33"/>
      <c r="AF99" s="34"/>
      <c r="AG99" s="33"/>
      <c r="AH99" s="34"/>
      <c r="AI99" s="32"/>
      <c r="AJ99" s="31"/>
      <c r="AK99" s="33"/>
      <c r="AL99" s="31"/>
      <c r="AM99" s="32"/>
      <c r="AN99" s="31"/>
      <c r="AO99" s="32"/>
      <c r="AP99" s="31"/>
      <c r="AQ99" s="32"/>
      <c r="AR99" s="34"/>
      <c r="AS99" s="33"/>
      <c r="AT99" s="34"/>
      <c r="AU99" s="36"/>
      <c r="AV99" s="48"/>
      <c r="AW99" s="10"/>
      <c r="AX99" s="10"/>
    </row>
    <row r="100" spans="1:50" x14ac:dyDescent="0.2">
      <c r="A100" s="45"/>
      <c r="B100" s="38"/>
      <c r="C100" s="33"/>
      <c r="D100" s="34"/>
      <c r="E100" s="33"/>
      <c r="F100" s="34"/>
      <c r="G100" s="33"/>
      <c r="H100" s="31"/>
      <c r="I100" s="32"/>
      <c r="J100" s="34"/>
      <c r="K100" s="32"/>
      <c r="L100" s="31"/>
      <c r="M100" s="33"/>
      <c r="N100" s="31"/>
      <c r="O100" s="32"/>
      <c r="P100" s="34"/>
      <c r="Q100" s="33"/>
      <c r="R100" s="34"/>
      <c r="S100" s="33"/>
      <c r="T100" s="31"/>
      <c r="U100" s="32"/>
      <c r="V100" s="34"/>
      <c r="W100" s="32"/>
      <c r="X100" s="31"/>
      <c r="Y100" s="32"/>
      <c r="Z100" s="34"/>
      <c r="AA100" s="33"/>
      <c r="AB100" s="34"/>
      <c r="AC100" s="33"/>
      <c r="AD100" s="34"/>
      <c r="AE100" s="33"/>
      <c r="AF100" s="31"/>
      <c r="AG100" s="32"/>
      <c r="AH100" s="34"/>
      <c r="AI100" s="32"/>
      <c r="AJ100" s="31"/>
      <c r="AK100" s="32"/>
      <c r="AL100" s="31"/>
      <c r="AM100" s="32"/>
      <c r="AN100" s="31"/>
      <c r="AO100" s="32"/>
      <c r="AP100" s="31"/>
      <c r="AQ100" s="32"/>
      <c r="AR100" s="34"/>
      <c r="AS100" s="33"/>
      <c r="AT100" s="34"/>
      <c r="AU100" s="36"/>
      <c r="AV100" s="48"/>
      <c r="AW100" s="10"/>
      <c r="AX100" s="10"/>
    </row>
    <row r="101" spans="1:50" x14ac:dyDescent="0.2">
      <c r="A101" s="45"/>
      <c r="B101" s="38"/>
      <c r="C101" s="33"/>
      <c r="D101" s="34"/>
      <c r="E101" s="33"/>
      <c r="F101" s="34"/>
      <c r="G101" s="33"/>
      <c r="H101" s="34"/>
      <c r="I101" s="33"/>
      <c r="J101" s="34"/>
      <c r="K101" s="33"/>
      <c r="L101" s="34"/>
      <c r="M101" s="33"/>
      <c r="N101" s="34"/>
      <c r="O101" s="33"/>
      <c r="P101" s="34"/>
      <c r="Q101" s="33"/>
      <c r="R101" s="34"/>
      <c r="S101" s="33"/>
      <c r="T101" s="34"/>
      <c r="U101" s="33"/>
      <c r="V101" s="34"/>
      <c r="W101" s="32"/>
      <c r="X101" s="31"/>
      <c r="Y101" s="33"/>
      <c r="Z101" s="34"/>
      <c r="AA101" s="33"/>
      <c r="AB101" s="34"/>
      <c r="AC101" s="33"/>
      <c r="AD101" s="34"/>
      <c r="AE101" s="33"/>
      <c r="AF101" s="34"/>
      <c r="AG101" s="33"/>
      <c r="AH101" s="34"/>
      <c r="AI101" s="33"/>
      <c r="AJ101" s="34"/>
      <c r="AK101" s="33"/>
      <c r="AL101" s="31"/>
      <c r="AM101" s="32"/>
      <c r="AN101" s="34"/>
      <c r="AO101" s="32"/>
      <c r="AP101" s="31"/>
      <c r="AQ101" s="32"/>
      <c r="AR101" s="34"/>
      <c r="AS101" s="33"/>
      <c r="AT101" s="34"/>
      <c r="AU101" s="36"/>
      <c r="AV101" s="48"/>
      <c r="AW101" s="10"/>
      <c r="AX101" s="10"/>
    </row>
    <row r="102" spans="1:50" x14ac:dyDescent="0.2">
      <c r="A102" s="45"/>
      <c r="B102" s="38"/>
      <c r="C102" s="33"/>
      <c r="D102" s="34"/>
      <c r="E102" s="33"/>
      <c r="F102" s="34"/>
      <c r="G102" s="33"/>
      <c r="H102" s="34"/>
      <c r="I102" s="33"/>
      <c r="J102" s="34"/>
      <c r="K102" s="32"/>
      <c r="L102" s="31"/>
      <c r="M102" s="32"/>
      <c r="N102" s="34"/>
      <c r="O102" s="33"/>
      <c r="P102" s="34"/>
      <c r="Q102" s="33"/>
      <c r="R102" s="34"/>
      <c r="S102" s="33"/>
      <c r="T102" s="34"/>
      <c r="U102" s="33"/>
      <c r="V102" s="34"/>
      <c r="W102" s="32"/>
      <c r="X102" s="31"/>
      <c r="Y102" s="32"/>
      <c r="Z102" s="31"/>
      <c r="AA102" s="33"/>
      <c r="AB102" s="31"/>
      <c r="AC102" s="32"/>
      <c r="AD102" s="31"/>
      <c r="AE102" s="32"/>
      <c r="AF102" s="34"/>
      <c r="AG102" s="33"/>
      <c r="AH102" s="34"/>
      <c r="AI102" s="32"/>
      <c r="AJ102" s="31"/>
      <c r="AK102" s="32"/>
      <c r="AL102" s="31"/>
      <c r="AM102" s="32"/>
      <c r="AN102" s="31"/>
      <c r="AO102" s="32"/>
      <c r="AP102" s="31"/>
      <c r="AQ102" s="32"/>
      <c r="AR102" s="34"/>
      <c r="AS102" s="33"/>
      <c r="AT102" s="34"/>
      <c r="AU102" s="36"/>
      <c r="AV102" s="48"/>
      <c r="AW102" s="10"/>
      <c r="AX102" s="10"/>
    </row>
    <row r="103" spans="1:50" x14ac:dyDescent="0.2">
      <c r="A103" s="45"/>
      <c r="B103" s="38"/>
      <c r="C103" s="33"/>
      <c r="D103" s="34"/>
      <c r="E103" s="33"/>
      <c r="F103" s="34"/>
      <c r="G103" s="33"/>
      <c r="H103" s="34"/>
      <c r="I103" s="33"/>
      <c r="J103" s="34"/>
      <c r="K103" s="33"/>
      <c r="L103" s="34"/>
      <c r="M103" s="33"/>
      <c r="N103" s="34"/>
      <c r="O103" s="33"/>
      <c r="P103" s="34"/>
      <c r="Q103" s="33"/>
      <c r="R103" s="34"/>
      <c r="S103" s="33"/>
      <c r="T103" s="34"/>
      <c r="U103" s="33"/>
      <c r="V103" s="34"/>
      <c r="W103" s="32"/>
      <c r="X103" s="31"/>
      <c r="Y103" s="32"/>
      <c r="Z103" s="34"/>
      <c r="AA103" s="33"/>
      <c r="AB103" s="34"/>
      <c r="AC103" s="32"/>
      <c r="AD103" s="31"/>
      <c r="AE103" s="33"/>
      <c r="AF103" s="31"/>
      <c r="AG103" s="32"/>
      <c r="AH103" s="34"/>
      <c r="AI103" s="33"/>
      <c r="AJ103" s="34"/>
      <c r="AK103" s="33"/>
      <c r="AL103" s="31"/>
      <c r="AM103" s="32"/>
      <c r="AN103" s="34"/>
      <c r="AO103" s="32"/>
      <c r="AP103" s="31"/>
      <c r="AQ103" s="33"/>
      <c r="AR103" s="34"/>
      <c r="AS103" s="33"/>
      <c r="AT103" s="34"/>
      <c r="AU103" s="36"/>
      <c r="AV103" s="48"/>
      <c r="AW103" s="10"/>
      <c r="AX103" s="10"/>
    </row>
    <row r="104" spans="1:50" x14ac:dyDescent="0.2">
      <c r="A104" s="45"/>
      <c r="B104" s="38"/>
      <c r="C104" s="33"/>
      <c r="D104" s="34"/>
      <c r="E104" s="33"/>
      <c r="F104" s="34"/>
      <c r="G104" s="33"/>
      <c r="H104" s="34"/>
      <c r="I104" s="33"/>
      <c r="J104" s="34"/>
      <c r="K104" s="33"/>
      <c r="L104" s="34"/>
      <c r="M104" s="33"/>
      <c r="N104" s="34"/>
      <c r="O104" s="33"/>
      <c r="P104" s="34"/>
      <c r="Q104" s="33"/>
      <c r="R104" s="34"/>
      <c r="S104" s="33"/>
      <c r="T104" s="34"/>
      <c r="U104" s="33"/>
      <c r="V104" s="34"/>
      <c r="W104" s="32"/>
      <c r="X104" s="31"/>
      <c r="Y104" s="33"/>
      <c r="Z104" s="34"/>
      <c r="AA104" s="33"/>
      <c r="AB104" s="34"/>
      <c r="AC104" s="33"/>
      <c r="AD104" s="34"/>
      <c r="AE104" s="33"/>
      <c r="AF104" s="34"/>
      <c r="AG104" s="33"/>
      <c r="AH104" s="34"/>
      <c r="AI104" s="32"/>
      <c r="AJ104" s="31"/>
      <c r="AK104" s="33"/>
      <c r="AL104" s="31"/>
      <c r="AM104" s="32"/>
      <c r="AN104" s="31"/>
      <c r="AO104" s="32"/>
      <c r="AP104" s="31"/>
      <c r="AQ104" s="32"/>
      <c r="AR104" s="34"/>
      <c r="AS104" s="33"/>
      <c r="AT104" s="34"/>
      <c r="AU104" s="36"/>
      <c r="AV104" s="48"/>
      <c r="AW104" s="10"/>
      <c r="AX104" s="10"/>
    </row>
    <row r="105" spans="1:50" x14ac:dyDescent="0.2">
      <c r="A105" s="160"/>
      <c r="B105" s="157"/>
      <c r="C105" s="159"/>
      <c r="D105" s="159"/>
      <c r="E105" s="159"/>
      <c r="F105" s="159"/>
      <c r="G105" s="159"/>
      <c r="H105" s="159"/>
      <c r="I105" s="159"/>
      <c r="J105" s="159"/>
      <c r="K105" s="159"/>
      <c r="L105" s="159"/>
      <c r="M105" s="159"/>
      <c r="N105" s="159"/>
      <c r="O105" s="159"/>
      <c r="P105" s="159"/>
      <c r="Q105" s="159"/>
      <c r="R105" s="159"/>
      <c r="S105" s="159"/>
      <c r="T105" s="164"/>
      <c r="U105" s="159"/>
      <c r="V105" s="159"/>
      <c r="W105" s="159"/>
      <c r="X105" s="159"/>
      <c r="Y105" s="159"/>
      <c r="Z105" s="159"/>
      <c r="AA105" s="159"/>
      <c r="AB105" s="159"/>
      <c r="AC105" s="159"/>
      <c r="AD105" s="159"/>
      <c r="AE105" s="159"/>
      <c r="AF105" s="159"/>
      <c r="AG105" s="159"/>
      <c r="AH105" s="159"/>
      <c r="AI105" s="159"/>
      <c r="AJ105" s="159"/>
      <c r="AK105" s="159"/>
      <c r="AL105" s="159"/>
      <c r="AM105" s="159"/>
      <c r="AN105" s="159"/>
      <c r="AO105" s="159"/>
      <c r="AP105" s="159"/>
      <c r="AQ105" s="159"/>
      <c r="AR105" s="159"/>
      <c r="AS105" s="159"/>
      <c r="AT105" s="159"/>
      <c r="AU105" s="163"/>
      <c r="AV105" s="168"/>
      <c r="AW105" s="168"/>
      <c r="AX105" s="168"/>
    </row>
    <row r="106" spans="1:50" x14ac:dyDescent="0.2">
      <c r="A106" s="160"/>
      <c r="B106" s="157"/>
      <c r="C106" s="159"/>
      <c r="D106" s="159"/>
      <c r="E106" s="159"/>
      <c r="F106" s="159"/>
      <c r="G106" s="159"/>
      <c r="H106" s="159"/>
      <c r="I106" s="159"/>
      <c r="J106" s="159"/>
      <c r="K106" s="159"/>
      <c r="L106" s="159"/>
      <c r="M106" s="159"/>
      <c r="N106" s="159"/>
      <c r="O106" s="159"/>
      <c r="P106" s="159"/>
      <c r="Q106" s="159"/>
      <c r="R106" s="159"/>
      <c r="S106" s="159"/>
      <c r="T106" s="164"/>
      <c r="U106" s="159"/>
      <c r="V106" s="159"/>
      <c r="W106" s="159"/>
      <c r="X106" s="159"/>
      <c r="Y106" s="159"/>
      <c r="Z106" s="159"/>
      <c r="AA106" s="159"/>
      <c r="AB106" s="159"/>
      <c r="AC106" s="159"/>
      <c r="AD106" s="159"/>
      <c r="AE106" s="159"/>
      <c r="AF106" s="159"/>
      <c r="AG106" s="159"/>
      <c r="AH106" s="159"/>
      <c r="AI106" s="159"/>
      <c r="AJ106" s="159"/>
      <c r="AK106" s="159"/>
      <c r="AL106" s="159"/>
      <c r="AM106" s="159"/>
      <c r="AN106" s="159"/>
      <c r="AO106" s="159"/>
      <c r="AP106" s="159"/>
      <c r="AQ106" s="159"/>
      <c r="AR106" s="159"/>
      <c r="AS106" s="159"/>
      <c r="AT106" s="159"/>
      <c r="AU106" s="163"/>
      <c r="AV106" s="168"/>
      <c r="AW106" s="168"/>
      <c r="AX106" s="168"/>
    </row>
    <row r="107" spans="1:50" x14ac:dyDescent="0.2">
      <c r="A107" s="45"/>
      <c r="B107" s="38"/>
      <c r="C107" s="33"/>
      <c r="D107" s="34"/>
      <c r="E107" s="33"/>
      <c r="F107" s="34"/>
      <c r="G107" s="33"/>
      <c r="H107" s="34"/>
      <c r="I107" s="33"/>
      <c r="J107" s="34"/>
      <c r="K107" s="33"/>
      <c r="L107" s="34"/>
      <c r="M107" s="33"/>
      <c r="N107" s="34"/>
      <c r="O107" s="33"/>
      <c r="P107" s="34"/>
      <c r="Q107" s="33"/>
      <c r="R107" s="34"/>
      <c r="S107" s="33"/>
      <c r="T107" s="34"/>
      <c r="U107" s="33"/>
      <c r="V107" s="34"/>
      <c r="W107" s="33"/>
      <c r="X107" s="34"/>
      <c r="Y107" s="33"/>
      <c r="Z107" s="34"/>
      <c r="AA107" s="33"/>
      <c r="AB107" s="34"/>
      <c r="AC107" s="32"/>
      <c r="AD107" s="31"/>
      <c r="AE107" s="33"/>
      <c r="AF107" s="34"/>
      <c r="AG107" s="33"/>
      <c r="AH107" s="34"/>
      <c r="AI107" s="33"/>
      <c r="AJ107" s="34"/>
      <c r="AK107" s="33"/>
      <c r="AL107" s="31"/>
      <c r="AM107" s="32"/>
      <c r="AN107" s="34"/>
      <c r="AO107" s="32"/>
      <c r="AP107" s="31"/>
      <c r="AQ107" s="33"/>
      <c r="AR107" s="34"/>
      <c r="AS107" s="33"/>
      <c r="AT107" s="34"/>
      <c r="AU107" s="36"/>
      <c r="AV107" s="48"/>
      <c r="AW107" s="10"/>
      <c r="AX107" s="10"/>
    </row>
    <row r="108" spans="1:50" x14ac:dyDescent="0.2">
      <c r="A108" s="45"/>
      <c r="B108" s="38"/>
      <c r="C108" s="33"/>
      <c r="D108" s="34"/>
      <c r="E108" s="33"/>
      <c r="F108" s="34"/>
      <c r="G108" s="33"/>
      <c r="H108" s="34"/>
      <c r="I108" s="33"/>
      <c r="J108" s="34"/>
      <c r="K108" s="33"/>
      <c r="L108" s="34"/>
      <c r="M108" s="33"/>
      <c r="N108" s="34"/>
      <c r="O108" s="33"/>
      <c r="P108" s="34"/>
      <c r="Q108" s="33"/>
      <c r="R108" s="34"/>
      <c r="S108" s="33"/>
      <c r="T108" s="34"/>
      <c r="U108" s="33"/>
      <c r="V108" s="34"/>
      <c r="W108" s="33"/>
      <c r="X108" s="34"/>
      <c r="Y108" s="33"/>
      <c r="Z108" s="31"/>
      <c r="AA108" s="32"/>
      <c r="AB108" s="34"/>
      <c r="AC108" s="32"/>
      <c r="AD108" s="31"/>
      <c r="AE108" s="32"/>
      <c r="AF108" s="34"/>
      <c r="AG108" s="33"/>
      <c r="AH108" s="34"/>
      <c r="AI108" s="33"/>
      <c r="AJ108" s="34"/>
      <c r="AK108" s="33"/>
      <c r="AL108" s="34"/>
      <c r="AM108" s="33"/>
      <c r="AN108" s="34"/>
      <c r="AO108" s="32"/>
      <c r="AP108" s="31"/>
      <c r="AQ108" s="33"/>
      <c r="AR108" s="34"/>
      <c r="AS108" s="33"/>
      <c r="AT108" s="34"/>
      <c r="AU108" s="36"/>
      <c r="AV108" s="48"/>
      <c r="AW108" s="10"/>
      <c r="AX108" s="10"/>
    </row>
    <row r="109" spans="1:50" x14ac:dyDescent="0.2">
      <c r="A109" s="45"/>
      <c r="B109" s="38"/>
      <c r="C109" s="33"/>
      <c r="D109" s="34"/>
      <c r="E109" s="33"/>
      <c r="F109" s="34"/>
      <c r="G109" s="33"/>
      <c r="H109" s="34"/>
      <c r="I109" s="33"/>
      <c r="J109" s="34"/>
      <c r="K109" s="33"/>
      <c r="L109" s="34"/>
      <c r="M109" s="33"/>
      <c r="N109" s="34"/>
      <c r="O109" s="33"/>
      <c r="P109" s="34"/>
      <c r="Q109" s="33"/>
      <c r="R109" s="34"/>
      <c r="S109" s="33"/>
      <c r="T109" s="34"/>
      <c r="U109" s="33"/>
      <c r="V109" s="34"/>
      <c r="W109" s="33"/>
      <c r="X109" s="34"/>
      <c r="Y109" s="33"/>
      <c r="Z109" s="34"/>
      <c r="AA109" s="33"/>
      <c r="AB109" s="34"/>
      <c r="AC109" s="32"/>
      <c r="AD109" s="31"/>
      <c r="AE109" s="33"/>
      <c r="AF109" s="34"/>
      <c r="AG109" s="33"/>
      <c r="AH109" s="34"/>
      <c r="AI109" s="33"/>
      <c r="AJ109" s="34"/>
      <c r="AK109" s="33"/>
      <c r="AL109" s="34"/>
      <c r="AM109" s="33"/>
      <c r="AN109" s="34"/>
      <c r="AO109" s="32"/>
      <c r="AP109" s="31"/>
      <c r="AQ109" s="33"/>
      <c r="AR109" s="34"/>
      <c r="AS109" s="33"/>
      <c r="AT109" s="34"/>
      <c r="AU109" s="36"/>
      <c r="AV109" s="48"/>
      <c r="AW109" s="10"/>
      <c r="AX109" s="10"/>
    </row>
    <row r="110" spans="1:50" ht="10.8" thickBot="1" x14ac:dyDescent="0.25">
      <c r="A110" s="47"/>
      <c r="B110" s="39"/>
      <c r="C110" s="40"/>
      <c r="D110" s="41"/>
      <c r="E110" s="40"/>
      <c r="F110" s="41"/>
      <c r="G110" s="40"/>
      <c r="H110" s="41"/>
      <c r="I110" s="40"/>
      <c r="J110" s="41"/>
      <c r="K110" s="40"/>
      <c r="L110" s="41"/>
      <c r="M110" s="40"/>
      <c r="N110" s="41"/>
      <c r="O110" s="40"/>
      <c r="P110" s="41"/>
      <c r="Q110" s="40"/>
      <c r="R110" s="41"/>
      <c r="S110" s="40"/>
      <c r="T110" s="41"/>
      <c r="U110" s="40"/>
      <c r="V110" s="41"/>
      <c r="W110" s="40"/>
      <c r="X110" s="41"/>
      <c r="Y110" s="40"/>
      <c r="Z110" s="41"/>
      <c r="AA110" s="40"/>
      <c r="AB110" s="41"/>
      <c r="AC110" s="42"/>
      <c r="AD110" s="43"/>
      <c r="AE110" s="40"/>
      <c r="AF110" s="41"/>
      <c r="AG110" s="40"/>
      <c r="AH110" s="41"/>
      <c r="AI110" s="40"/>
      <c r="AJ110" s="41"/>
      <c r="AK110" s="40"/>
      <c r="AL110" s="41"/>
      <c r="AM110" s="40"/>
      <c r="AN110" s="41"/>
      <c r="AO110" s="42"/>
      <c r="AP110" s="43"/>
      <c r="AQ110" s="40"/>
      <c r="AR110" s="41"/>
      <c r="AS110" s="40"/>
      <c r="AT110" s="41"/>
      <c r="AU110" s="44"/>
      <c r="AV110" s="49"/>
      <c r="AW110" s="14"/>
      <c r="AX110" s="14"/>
    </row>
    <row r="112" spans="1:50" x14ac:dyDescent="0.2">
      <c r="A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</row>
    <row r="113" spans="1:47" x14ac:dyDescent="0.2">
      <c r="A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</row>
    <row r="114" spans="1:47" x14ac:dyDescent="0.2">
      <c r="A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</row>
  </sheetData>
  <mergeCells count="645">
    <mergeCell ref="AV105:AX106"/>
    <mergeCell ref="AP105:AP106"/>
    <mergeCell ref="AQ105:AQ106"/>
    <mergeCell ref="AR105:AR106"/>
    <mergeCell ref="AS105:AS106"/>
    <mergeCell ref="AT105:AT106"/>
    <mergeCell ref="AU105:AU106"/>
    <mergeCell ref="AJ105:AJ106"/>
    <mergeCell ref="AK105:AK106"/>
    <mergeCell ref="AL105:AL106"/>
    <mergeCell ref="AM105:AM106"/>
    <mergeCell ref="AN105:AN106"/>
    <mergeCell ref="AO105:AO106"/>
    <mergeCell ref="AD105:AD106"/>
    <mergeCell ref="AE105:AE106"/>
    <mergeCell ref="AF105:AF106"/>
    <mergeCell ref="AG105:AG106"/>
    <mergeCell ref="AH105:AH106"/>
    <mergeCell ref="AI105:AI106"/>
    <mergeCell ref="X105:X106"/>
    <mergeCell ref="Y105:Y106"/>
    <mergeCell ref="Z105:Z106"/>
    <mergeCell ref="AA105:AA106"/>
    <mergeCell ref="AB105:AB106"/>
    <mergeCell ref="AC105:AC106"/>
    <mergeCell ref="R105:R106"/>
    <mergeCell ref="S105:S106"/>
    <mergeCell ref="T105:T106"/>
    <mergeCell ref="U105:U106"/>
    <mergeCell ref="V105:V106"/>
    <mergeCell ref="W105:W106"/>
    <mergeCell ref="L105:L106"/>
    <mergeCell ref="M105:M106"/>
    <mergeCell ref="N105:N106"/>
    <mergeCell ref="O105:O106"/>
    <mergeCell ref="P105:P106"/>
    <mergeCell ref="Q105:Q106"/>
    <mergeCell ref="F105:F106"/>
    <mergeCell ref="G105:G106"/>
    <mergeCell ref="H105:H106"/>
    <mergeCell ref="I105:I106"/>
    <mergeCell ref="J105:J106"/>
    <mergeCell ref="K105:K106"/>
    <mergeCell ref="AR90:AR91"/>
    <mergeCell ref="AS90:AS91"/>
    <mergeCell ref="AT90:AT91"/>
    <mergeCell ref="AE90:AE91"/>
    <mergeCell ref="T90:T91"/>
    <mergeCell ref="U90:U91"/>
    <mergeCell ref="V90:V91"/>
    <mergeCell ref="W90:W91"/>
    <mergeCell ref="X90:X91"/>
    <mergeCell ref="Y90:Y91"/>
    <mergeCell ref="N90:N91"/>
    <mergeCell ref="O90:O91"/>
    <mergeCell ref="P90:P91"/>
    <mergeCell ref="Q90:Q91"/>
    <mergeCell ref="R90:R91"/>
    <mergeCell ref="S90:S91"/>
    <mergeCell ref="H90:H91"/>
    <mergeCell ref="I90:I91"/>
    <mergeCell ref="AU90:AU91"/>
    <mergeCell ref="AV90:AX91"/>
    <mergeCell ref="A105:A106"/>
    <mergeCell ref="B105:B106"/>
    <mergeCell ref="C105:C106"/>
    <mergeCell ref="D105:D106"/>
    <mergeCell ref="E105:E106"/>
    <mergeCell ref="AL90:AL91"/>
    <mergeCell ref="AM90:AM91"/>
    <mergeCell ref="AN90:AN91"/>
    <mergeCell ref="AO90:AO91"/>
    <mergeCell ref="AP90:AP91"/>
    <mergeCell ref="AQ90:AQ91"/>
    <mergeCell ref="AF90:AF91"/>
    <mergeCell ref="AG90:AG91"/>
    <mergeCell ref="AH90:AH91"/>
    <mergeCell ref="AI90:AI91"/>
    <mergeCell ref="AJ90:AJ91"/>
    <mergeCell ref="AK90:AK91"/>
    <mergeCell ref="Z90:Z91"/>
    <mergeCell ref="AA90:AA91"/>
    <mergeCell ref="AB90:AB91"/>
    <mergeCell ref="AC90:AC91"/>
    <mergeCell ref="AD90:AD91"/>
    <mergeCell ref="J90:J91"/>
    <mergeCell ref="K90:K91"/>
    <mergeCell ref="L90:L91"/>
    <mergeCell ref="M90:M91"/>
    <mergeCell ref="AT83:AT84"/>
    <mergeCell ref="AU83:AU84"/>
    <mergeCell ref="AV83:AX84"/>
    <mergeCell ref="A90:A91"/>
    <mergeCell ref="B90:B91"/>
    <mergeCell ref="C90:C91"/>
    <mergeCell ref="D90:D91"/>
    <mergeCell ref="E90:E91"/>
    <mergeCell ref="F90:F91"/>
    <mergeCell ref="G90:G91"/>
    <mergeCell ref="AN83:AN84"/>
    <mergeCell ref="AO83:AO84"/>
    <mergeCell ref="AP83:AP84"/>
    <mergeCell ref="AQ83:AQ84"/>
    <mergeCell ref="AR83:AR84"/>
    <mergeCell ref="AS83:AS84"/>
    <mergeCell ref="AH83:AH84"/>
    <mergeCell ref="AI83:AI84"/>
    <mergeCell ref="AJ83:AJ84"/>
    <mergeCell ref="AK83:AK84"/>
    <mergeCell ref="AL83:AL84"/>
    <mergeCell ref="AM83:AM84"/>
    <mergeCell ref="AB83:AB84"/>
    <mergeCell ref="AC83:AC84"/>
    <mergeCell ref="AD83:AD84"/>
    <mergeCell ref="AE83:AE84"/>
    <mergeCell ref="AF83:AF84"/>
    <mergeCell ref="AG83:AG84"/>
    <mergeCell ref="V83:V84"/>
    <mergeCell ref="W83:W84"/>
    <mergeCell ref="X83:X84"/>
    <mergeCell ref="Y83:Y84"/>
    <mergeCell ref="Z83:Z84"/>
    <mergeCell ref="AA83:AA84"/>
    <mergeCell ref="P83:P84"/>
    <mergeCell ref="Q83:Q84"/>
    <mergeCell ref="R83:R84"/>
    <mergeCell ref="S83:S84"/>
    <mergeCell ref="T83:T84"/>
    <mergeCell ref="U83:U84"/>
    <mergeCell ref="J83:J84"/>
    <mergeCell ref="K83:K84"/>
    <mergeCell ref="L83:L84"/>
    <mergeCell ref="M83:M84"/>
    <mergeCell ref="N83:N84"/>
    <mergeCell ref="O83:O84"/>
    <mergeCell ref="AV73:AX74"/>
    <mergeCell ref="A83:A84"/>
    <mergeCell ref="B83:B84"/>
    <mergeCell ref="C83:C84"/>
    <mergeCell ref="D83:D84"/>
    <mergeCell ref="E83:E84"/>
    <mergeCell ref="F83:F84"/>
    <mergeCell ref="G83:G84"/>
    <mergeCell ref="H83:H84"/>
    <mergeCell ref="I83:I84"/>
    <mergeCell ref="AP73:AP74"/>
    <mergeCell ref="AQ73:AQ74"/>
    <mergeCell ref="AR73:AR74"/>
    <mergeCell ref="AS73:AS74"/>
    <mergeCell ref="AT73:AT74"/>
    <mergeCell ref="AU73:AU74"/>
    <mergeCell ref="AJ73:AJ74"/>
    <mergeCell ref="AK73:AK74"/>
    <mergeCell ref="AL73:AL74"/>
    <mergeCell ref="AM73:AM74"/>
    <mergeCell ref="AN73:AN74"/>
    <mergeCell ref="AO73:AO74"/>
    <mergeCell ref="AD73:AD74"/>
    <mergeCell ref="AE73:AE74"/>
    <mergeCell ref="AF73:AF74"/>
    <mergeCell ref="AG73:AG74"/>
    <mergeCell ref="AH73:AH74"/>
    <mergeCell ref="AI73:AI74"/>
    <mergeCell ref="X73:X74"/>
    <mergeCell ref="Y73:Y74"/>
    <mergeCell ref="Z73:Z74"/>
    <mergeCell ref="AA73:AA74"/>
    <mergeCell ref="AB73:AB74"/>
    <mergeCell ref="AC73:AC74"/>
    <mergeCell ref="R73:R74"/>
    <mergeCell ref="S73:S74"/>
    <mergeCell ref="T73:T74"/>
    <mergeCell ref="U73:U74"/>
    <mergeCell ref="V73:V74"/>
    <mergeCell ref="W73:W74"/>
    <mergeCell ref="L73:L74"/>
    <mergeCell ref="M73:M74"/>
    <mergeCell ref="N73:N74"/>
    <mergeCell ref="O73:O74"/>
    <mergeCell ref="P73:P74"/>
    <mergeCell ref="Q73:Q74"/>
    <mergeCell ref="F73:F74"/>
    <mergeCell ref="G73:G74"/>
    <mergeCell ref="H73:H74"/>
    <mergeCell ref="I73:I74"/>
    <mergeCell ref="J73:J74"/>
    <mergeCell ref="K73:K74"/>
    <mergeCell ref="AR66:AR67"/>
    <mergeCell ref="AS66:AS67"/>
    <mergeCell ref="AT66:AT67"/>
    <mergeCell ref="AE66:AE67"/>
    <mergeCell ref="T66:T67"/>
    <mergeCell ref="U66:U67"/>
    <mergeCell ref="V66:V67"/>
    <mergeCell ref="W66:W67"/>
    <mergeCell ref="X66:X67"/>
    <mergeCell ref="Y66:Y67"/>
    <mergeCell ref="N66:N67"/>
    <mergeCell ref="O66:O67"/>
    <mergeCell ref="P66:P67"/>
    <mergeCell ref="Q66:Q67"/>
    <mergeCell ref="R66:R67"/>
    <mergeCell ref="S66:S67"/>
    <mergeCell ref="H66:H67"/>
    <mergeCell ref="I66:I67"/>
    <mergeCell ref="AU66:AU67"/>
    <mergeCell ref="AV66:AX67"/>
    <mergeCell ref="A73:A74"/>
    <mergeCell ref="B73:B74"/>
    <mergeCell ref="C73:C74"/>
    <mergeCell ref="D73:D74"/>
    <mergeCell ref="E73:E74"/>
    <mergeCell ref="AL66:AL67"/>
    <mergeCell ref="AM66:AM67"/>
    <mergeCell ref="AN66:AN67"/>
    <mergeCell ref="AO66:AO67"/>
    <mergeCell ref="AP66:AP67"/>
    <mergeCell ref="AQ66:AQ67"/>
    <mergeCell ref="AF66:AF67"/>
    <mergeCell ref="AG66:AG67"/>
    <mergeCell ref="AH66:AH67"/>
    <mergeCell ref="AI66:AI67"/>
    <mergeCell ref="AJ66:AJ67"/>
    <mergeCell ref="AK66:AK67"/>
    <mergeCell ref="Z66:Z67"/>
    <mergeCell ref="AA66:AA67"/>
    <mergeCell ref="AB66:AB67"/>
    <mergeCell ref="AC66:AC67"/>
    <mergeCell ref="AD66:AD67"/>
    <mergeCell ref="J66:J67"/>
    <mergeCell ref="K66:K67"/>
    <mergeCell ref="L66:L67"/>
    <mergeCell ref="M66:M67"/>
    <mergeCell ref="AT61:AT62"/>
    <mergeCell ref="AU61:AU62"/>
    <mergeCell ref="AV61:AX62"/>
    <mergeCell ref="A66:A67"/>
    <mergeCell ref="B66:B67"/>
    <mergeCell ref="C66:C67"/>
    <mergeCell ref="D66:D67"/>
    <mergeCell ref="E66:E67"/>
    <mergeCell ref="F66:F67"/>
    <mergeCell ref="G66:G67"/>
    <mergeCell ref="AN61:AN62"/>
    <mergeCell ref="AO61:AO62"/>
    <mergeCell ref="AP61:AP62"/>
    <mergeCell ref="AQ61:AQ62"/>
    <mergeCell ref="AR61:AR62"/>
    <mergeCell ref="AS61:AS62"/>
    <mergeCell ref="AH61:AH62"/>
    <mergeCell ref="AI61:AI62"/>
    <mergeCell ref="AJ61:AJ62"/>
    <mergeCell ref="AK61:AK62"/>
    <mergeCell ref="AL61:AL62"/>
    <mergeCell ref="AM61:AM62"/>
    <mergeCell ref="AB61:AB62"/>
    <mergeCell ref="AC61:AC62"/>
    <mergeCell ref="AD61:AD62"/>
    <mergeCell ref="AE61:AE62"/>
    <mergeCell ref="AF61:AF62"/>
    <mergeCell ref="AG61:AG62"/>
    <mergeCell ref="V61:V62"/>
    <mergeCell ref="W61:W62"/>
    <mergeCell ref="X61:X62"/>
    <mergeCell ref="Y61:Y62"/>
    <mergeCell ref="Z61:Z62"/>
    <mergeCell ref="AA61:AA62"/>
    <mergeCell ref="P61:P62"/>
    <mergeCell ref="Q61:Q62"/>
    <mergeCell ref="R61:R62"/>
    <mergeCell ref="S61:S62"/>
    <mergeCell ref="T61:T62"/>
    <mergeCell ref="U61:U62"/>
    <mergeCell ref="J61:J62"/>
    <mergeCell ref="K61:K62"/>
    <mergeCell ref="L61:L62"/>
    <mergeCell ref="M61:M62"/>
    <mergeCell ref="N61:N62"/>
    <mergeCell ref="O61:O62"/>
    <mergeCell ref="AV54:AX55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AP54:AP55"/>
    <mergeCell ref="AQ54:AQ55"/>
    <mergeCell ref="AR54:AR55"/>
    <mergeCell ref="AS54:AS55"/>
    <mergeCell ref="AT54:AT55"/>
    <mergeCell ref="AU54:AU55"/>
    <mergeCell ref="AJ54:AJ55"/>
    <mergeCell ref="AK54:AK55"/>
    <mergeCell ref="AL54:AL55"/>
    <mergeCell ref="AM54:AM55"/>
    <mergeCell ref="AN54:AN55"/>
    <mergeCell ref="AO54:AO55"/>
    <mergeCell ref="AD54:AD55"/>
    <mergeCell ref="AE54:AE55"/>
    <mergeCell ref="AF54:AF55"/>
    <mergeCell ref="AG54:AG55"/>
    <mergeCell ref="AH54:AH55"/>
    <mergeCell ref="AI54:AI55"/>
    <mergeCell ref="X54:X55"/>
    <mergeCell ref="Y54:Y55"/>
    <mergeCell ref="Z54:Z55"/>
    <mergeCell ref="AA54:AA55"/>
    <mergeCell ref="AB54:AB55"/>
    <mergeCell ref="AC54:AC55"/>
    <mergeCell ref="R54:R55"/>
    <mergeCell ref="S54:S55"/>
    <mergeCell ref="T54:T55"/>
    <mergeCell ref="U54:U55"/>
    <mergeCell ref="V54:V55"/>
    <mergeCell ref="W54:W55"/>
    <mergeCell ref="L54:L55"/>
    <mergeCell ref="M54:M55"/>
    <mergeCell ref="N54:N55"/>
    <mergeCell ref="O54:O55"/>
    <mergeCell ref="P54:P55"/>
    <mergeCell ref="Q54:Q55"/>
    <mergeCell ref="F54:F55"/>
    <mergeCell ref="G54:G55"/>
    <mergeCell ref="H54:H55"/>
    <mergeCell ref="I54:I55"/>
    <mergeCell ref="J54:J55"/>
    <mergeCell ref="K54:K55"/>
    <mergeCell ref="AR47:AR48"/>
    <mergeCell ref="AS47:AS48"/>
    <mergeCell ref="AT47:AT48"/>
    <mergeCell ref="AE47:AE48"/>
    <mergeCell ref="T47:T48"/>
    <mergeCell ref="U47:U48"/>
    <mergeCell ref="V47:V48"/>
    <mergeCell ref="W47:W48"/>
    <mergeCell ref="X47:X48"/>
    <mergeCell ref="Y47:Y48"/>
    <mergeCell ref="N47:N48"/>
    <mergeCell ref="O47:O48"/>
    <mergeCell ref="P47:P48"/>
    <mergeCell ref="Q47:Q48"/>
    <mergeCell ref="R47:R48"/>
    <mergeCell ref="S47:S48"/>
    <mergeCell ref="H47:H48"/>
    <mergeCell ref="I47:I48"/>
    <mergeCell ref="AU47:AU48"/>
    <mergeCell ref="AV47:AX48"/>
    <mergeCell ref="A54:A55"/>
    <mergeCell ref="B54:B55"/>
    <mergeCell ref="C54:C55"/>
    <mergeCell ref="D54:D55"/>
    <mergeCell ref="E54:E55"/>
    <mergeCell ref="AL47:AL48"/>
    <mergeCell ref="AM47:AM48"/>
    <mergeCell ref="AN47:AN48"/>
    <mergeCell ref="AO47:AO48"/>
    <mergeCell ref="AP47:AP48"/>
    <mergeCell ref="AQ47:AQ48"/>
    <mergeCell ref="AF47:AF48"/>
    <mergeCell ref="AG47:AG48"/>
    <mergeCell ref="AH47:AH48"/>
    <mergeCell ref="AI47:AI48"/>
    <mergeCell ref="AJ47:AJ48"/>
    <mergeCell ref="AK47:AK48"/>
    <mergeCell ref="Z47:Z48"/>
    <mergeCell ref="AA47:AA48"/>
    <mergeCell ref="AB47:AB48"/>
    <mergeCell ref="AC47:AC48"/>
    <mergeCell ref="AD47:AD48"/>
    <mergeCell ref="J47:J48"/>
    <mergeCell ref="K47:K48"/>
    <mergeCell ref="L47:L48"/>
    <mergeCell ref="M47:M48"/>
    <mergeCell ref="AT40:AT41"/>
    <mergeCell ref="AU40:AU41"/>
    <mergeCell ref="AV40:AX41"/>
    <mergeCell ref="A47:A48"/>
    <mergeCell ref="B47:B48"/>
    <mergeCell ref="C47:C48"/>
    <mergeCell ref="D47:D48"/>
    <mergeCell ref="E47:E48"/>
    <mergeCell ref="F47:F48"/>
    <mergeCell ref="G47:G48"/>
    <mergeCell ref="AN40:AN41"/>
    <mergeCell ref="AO40:AO41"/>
    <mergeCell ref="AP40:AP41"/>
    <mergeCell ref="AQ40:AQ41"/>
    <mergeCell ref="AR40:AR41"/>
    <mergeCell ref="AS40:AS41"/>
    <mergeCell ref="AH40:AH41"/>
    <mergeCell ref="AI40:AI41"/>
    <mergeCell ref="AJ40:AJ41"/>
    <mergeCell ref="AK40:AK41"/>
    <mergeCell ref="AL40:AL41"/>
    <mergeCell ref="AM40:AM41"/>
    <mergeCell ref="AB40:AB41"/>
    <mergeCell ref="AC40:AC41"/>
    <mergeCell ref="AD40:AD41"/>
    <mergeCell ref="AE40:AE41"/>
    <mergeCell ref="AF40:AF41"/>
    <mergeCell ref="AG40:AG41"/>
    <mergeCell ref="V40:V41"/>
    <mergeCell ref="W40:W41"/>
    <mergeCell ref="X40:X41"/>
    <mergeCell ref="Y40:Y41"/>
    <mergeCell ref="Z40:Z41"/>
    <mergeCell ref="AA40:AA41"/>
    <mergeCell ref="P40:P41"/>
    <mergeCell ref="Q40:Q41"/>
    <mergeCell ref="R40:R41"/>
    <mergeCell ref="S40:S41"/>
    <mergeCell ref="T40:T41"/>
    <mergeCell ref="U40:U41"/>
    <mergeCell ref="J40:J41"/>
    <mergeCell ref="K40:K41"/>
    <mergeCell ref="L40:L41"/>
    <mergeCell ref="M40:M41"/>
    <mergeCell ref="N40:N41"/>
    <mergeCell ref="O40:O41"/>
    <mergeCell ref="AV34:AX35"/>
    <mergeCell ref="A40:A41"/>
    <mergeCell ref="B40:B41"/>
    <mergeCell ref="C40:C41"/>
    <mergeCell ref="D40:D41"/>
    <mergeCell ref="E40:E41"/>
    <mergeCell ref="F40:F41"/>
    <mergeCell ref="G40:G41"/>
    <mergeCell ref="H40:H41"/>
    <mergeCell ref="I40:I41"/>
    <mergeCell ref="AP34:AP35"/>
    <mergeCell ref="AQ34:AQ35"/>
    <mergeCell ref="AR34:AR35"/>
    <mergeCell ref="AS34:AS35"/>
    <mergeCell ref="AT34:AT35"/>
    <mergeCell ref="AU34:AU35"/>
    <mergeCell ref="AJ34:AJ35"/>
    <mergeCell ref="AK34:AK35"/>
    <mergeCell ref="AL34:AL35"/>
    <mergeCell ref="AM34:AM35"/>
    <mergeCell ref="AN34:AN35"/>
    <mergeCell ref="AO34:AO35"/>
    <mergeCell ref="AD34:AD35"/>
    <mergeCell ref="AE34:AE35"/>
    <mergeCell ref="AF34:AF35"/>
    <mergeCell ref="AG34:AG35"/>
    <mergeCell ref="AH34:AH35"/>
    <mergeCell ref="AI34:AI35"/>
    <mergeCell ref="X34:X35"/>
    <mergeCell ref="Y34:Y35"/>
    <mergeCell ref="Z34:Z35"/>
    <mergeCell ref="AA34:AA35"/>
    <mergeCell ref="AB34:AB35"/>
    <mergeCell ref="AC34:AC35"/>
    <mergeCell ref="R34:R35"/>
    <mergeCell ref="S34:S35"/>
    <mergeCell ref="T34:T35"/>
    <mergeCell ref="U34:U35"/>
    <mergeCell ref="V34:V35"/>
    <mergeCell ref="W34:W35"/>
    <mergeCell ref="L34:L35"/>
    <mergeCell ref="M34:M35"/>
    <mergeCell ref="N34:N35"/>
    <mergeCell ref="O34:O35"/>
    <mergeCell ref="P34:P35"/>
    <mergeCell ref="Q34:Q35"/>
    <mergeCell ref="F34:F35"/>
    <mergeCell ref="G34:G35"/>
    <mergeCell ref="H34:H35"/>
    <mergeCell ref="I34:I35"/>
    <mergeCell ref="J34:J35"/>
    <mergeCell ref="K34:K35"/>
    <mergeCell ref="AR20:AR21"/>
    <mergeCell ref="AS20:AS21"/>
    <mergeCell ref="AT20:AT21"/>
    <mergeCell ref="AE20:AE21"/>
    <mergeCell ref="T20:T21"/>
    <mergeCell ref="U20:U21"/>
    <mergeCell ref="V20:V21"/>
    <mergeCell ref="W20:W21"/>
    <mergeCell ref="X20:X21"/>
    <mergeCell ref="Y20:Y21"/>
    <mergeCell ref="N20:N21"/>
    <mergeCell ref="O20:O21"/>
    <mergeCell ref="P20:P21"/>
    <mergeCell ref="Q20:Q21"/>
    <mergeCell ref="R20:R21"/>
    <mergeCell ref="S20:S21"/>
    <mergeCell ref="H20:H21"/>
    <mergeCell ref="I20:I21"/>
    <mergeCell ref="AU20:AU21"/>
    <mergeCell ref="AV20:AX21"/>
    <mergeCell ref="A34:A35"/>
    <mergeCell ref="B34:B35"/>
    <mergeCell ref="C34:C35"/>
    <mergeCell ref="D34:D35"/>
    <mergeCell ref="E34:E35"/>
    <mergeCell ref="AL20:AL21"/>
    <mergeCell ref="AM20:AM21"/>
    <mergeCell ref="AN20:AN21"/>
    <mergeCell ref="AO20:AO21"/>
    <mergeCell ref="AP20:AP21"/>
    <mergeCell ref="AQ20:AQ21"/>
    <mergeCell ref="AF20:AF21"/>
    <mergeCell ref="AG20:AG21"/>
    <mergeCell ref="AH20:AH21"/>
    <mergeCell ref="AI20:AI21"/>
    <mergeCell ref="AJ20:AJ21"/>
    <mergeCell ref="AK20:AK21"/>
    <mergeCell ref="Z20:Z21"/>
    <mergeCell ref="AA20:AA21"/>
    <mergeCell ref="AB20:AB21"/>
    <mergeCell ref="AC20:AC21"/>
    <mergeCell ref="AD20:AD21"/>
    <mergeCell ref="J20:J21"/>
    <mergeCell ref="K20:K21"/>
    <mergeCell ref="L20:L21"/>
    <mergeCell ref="M20:M21"/>
    <mergeCell ref="AT12:AT13"/>
    <mergeCell ref="AU12:AU13"/>
    <mergeCell ref="AV12:AX13"/>
    <mergeCell ref="A20:A21"/>
    <mergeCell ref="B20:B21"/>
    <mergeCell ref="C20:C21"/>
    <mergeCell ref="D20:D21"/>
    <mergeCell ref="E20:E21"/>
    <mergeCell ref="F20:F21"/>
    <mergeCell ref="G20:G21"/>
    <mergeCell ref="AN12:AN13"/>
    <mergeCell ref="AO12:AO13"/>
    <mergeCell ref="AP12:AP13"/>
    <mergeCell ref="AQ12:AQ13"/>
    <mergeCell ref="AR12:AR13"/>
    <mergeCell ref="AS12:AS13"/>
    <mergeCell ref="AH12:AH13"/>
    <mergeCell ref="AI12:AI13"/>
    <mergeCell ref="AJ12:AJ13"/>
    <mergeCell ref="AK12:AK13"/>
    <mergeCell ref="AL12:AL13"/>
    <mergeCell ref="AM12:AM13"/>
    <mergeCell ref="AB12:AB13"/>
    <mergeCell ref="AC12:AC13"/>
    <mergeCell ref="AD12:AD13"/>
    <mergeCell ref="AE12:AE13"/>
    <mergeCell ref="AF12:AF13"/>
    <mergeCell ref="AG12:AG13"/>
    <mergeCell ref="V12:V13"/>
    <mergeCell ref="W12:W13"/>
    <mergeCell ref="X12:X13"/>
    <mergeCell ref="Y12:Y13"/>
    <mergeCell ref="Z12:Z13"/>
    <mergeCell ref="AA12:AA13"/>
    <mergeCell ref="P12:P13"/>
    <mergeCell ref="Q12:Q13"/>
    <mergeCell ref="R12:R13"/>
    <mergeCell ref="S12:S13"/>
    <mergeCell ref="T12:T13"/>
    <mergeCell ref="U12:U13"/>
    <mergeCell ref="J12:J13"/>
    <mergeCell ref="K12:K13"/>
    <mergeCell ref="L12:L13"/>
    <mergeCell ref="M12:M13"/>
    <mergeCell ref="N12:N13"/>
    <mergeCell ref="O12:O13"/>
    <mergeCell ref="AV10:AX11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AP10:AP11"/>
    <mergeCell ref="AQ10:AQ11"/>
    <mergeCell ref="AR10:AR11"/>
    <mergeCell ref="AS10:AS11"/>
    <mergeCell ref="AT10:AT11"/>
    <mergeCell ref="AU10:AU11"/>
    <mergeCell ref="AJ10:AJ11"/>
    <mergeCell ref="AK10:AK11"/>
    <mergeCell ref="AL10:AL11"/>
    <mergeCell ref="AM10:AM11"/>
    <mergeCell ref="AN10:AN11"/>
    <mergeCell ref="AO10:AO11"/>
    <mergeCell ref="AD10:AD11"/>
    <mergeCell ref="AE10:AE11"/>
    <mergeCell ref="O10:O11"/>
    <mergeCell ref="P10:P11"/>
    <mergeCell ref="Q10:Q11"/>
    <mergeCell ref="AF10:AF11"/>
    <mergeCell ref="AG10:AG11"/>
    <mergeCell ref="AH10:AH11"/>
    <mergeCell ref="AI10:AI11"/>
    <mergeCell ref="X10:X11"/>
    <mergeCell ref="Y10:Y11"/>
    <mergeCell ref="Z10:Z11"/>
    <mergeCell ref="AA10:AA11"/>
    <mergeCell ref="AB10:AB11"/>
    <mergeCell ref="AC10:AC11"/>
    <mergeCell ref="A10:A11"/>
    <mergeCell ref="B10:B11"/>
    <mergeCell ref="C10:C11"/>
    <mergeCell ref="D10:D11"/>
    <mergeCell ref="E10:E11"/>
    <mergeCell ref="Q6:S8"/>
    <mergeCell ref="T6:V8"/>
    <mergeCell ref="W6:Y8"/>
    <mergeCell ref="Z6:AB8"/>
    <mergeCell ref="F10:F11"/>
    <mergeCell ref="G10:G11"/>
    <mergeCell ref="H10:H11"/>
    <mergeCell ref="I10:I11"/>
    <mergeCell ref="J10:J11"/>
    <mergeCell ref="K10:K11"/>
    <mergeCell ref="R10:R11"/>
    <mergeCell ref="S10:S11"/>
    <mergeCell ref="T10:T11"/>
    <mergeCell ref="U10:U11"/>
    <mergeCell ref="V10:V11"/>
    <mergeCell ref="W10:W11"/>
    <mergeCell ref="L10:L11"/>
    <mergeCell ref="M10:M11"/>
    <mergeCell ref="N10:N11"/>
    <mergeCell ref="B2:R2"/>
    <mergeCell ref="B3:Q3"/>
    <mergeCell ref="G5:L5"/>
    <mergeCell ref="AW5:AX5"/>
    <mergeCell ref="A6:A9"/>
    <mergeCell ref="B6:D8"/>
    <mergeCell ref="E6:G8"/>
    <mergeCell ref="H6:J8"/>
    <mergeCell ref="K6:M8"/>
    <mergeCell ref="N6:P8"/>
    <mergeCell ref="AR6:AU8"/>
    <mergeCell ref="AV6:AX9"/>
    <mergeCell ref="AC6:AE8"/>
    <mergeCell ref="AF6:AH8"/>
    <mergeCell ref="AI6:AK8"/>
    <mergeCell ref="AL6:AN8"/>
    <mergeCell ref="AO6:AQ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dcterms:created xsi:type="dcterms:W3CDTF">2015-05-22T06:42:43Z</dcterms:created>
  <dcterms:modified xsi:type="dcterms:W3CDTF">2024-06-05T08:10:40Z</dcterms:modified>
</cp:coreProperties>
</file>