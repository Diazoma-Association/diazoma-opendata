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3. 2023 ΑΝΑΛΥΤΙΚΟΙ ΠΙΝΑΚΕΣ\"/>
    </mc:Choice>
  </mc:AlternateContent>
  <xr:revisionPtr revIDLastSave="0" documentId="13_ncr:1_{C85FF447-3748-4D26-A090-084E94D04E2A}" xr6:coauthVersionLast="47" xr6:coauthVersionMax="47" xr10:uidLastSave="{00000000-0000-0000-0000-000000000000}"/>
  <bookViews>
    <workbookView xWindow="-108" yWindow="-108" windowWidth="30936" windowHeight="17040" firstSheet="1" activeTab="1" xr2:uid="{00000000-000D-0000-FFFF-FFFF00000000}"/>
  </bookViews>
  <sheets>
    <sheet name="ListOfRegions" sheetId="2" state="hidden" r:id="rId1"/>
    <sheet name="Πίνακας2(α)Συνολικός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R14" i="1"/>
  <c r="B17" i="1"/>
  <c r="H31" i="1"/>
  <c r="B18" i="1"/>
  <c r="D14" i="1"/>
  <c r="B16" i="1"/>
  <c r="B65" i="1"/>
  <c r="B62" i="1"/>
  <c r="B61" i="1"/>
  <c r="B60" i="1"/>
  <c r="B59" i="1"/>
  <c r="B58" i="1"/>
  <c r="C42" i="1"/>
  <c r="C14" i="1"/>
  <c r="C22" i="1"/>
  <c r="B44" i="1"/>
  <c r="B45" i="1"/>
  <c r="B46" i="1"/>
  <c r="B47" i="1"/>
  <c r="B48" i="1"/>
  <c r="B32" i="1"/>
  <c r="D31" i="1"/>
  <c r="E31" i="1"/>
  <c r="F31" i="1"/>
  <c r="G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C31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B24" i="1"/>
  <c r="Q14" i="1"/>
  <c r="I42" i="1"/>
  <c r="Q107" i="1"/>
  <c r="Q92" i="1"/>
  <c r="Q85" i="1"/>
  <c r="Q75" i="1"/>
  <c r="Q68" i="1"/>
  <c r="Q63" i="1"/>
  <c r="Q56" i="1"/>
  <c r="Q49" i="1"/>
  <c r="Q42" i="1"/>
  <c r="Q36" i="1"/>
  <c r="B25" i="1"/>
  <c r="B26" i="1"/>
  <c r="B27" i="1"/>
  <c r="B28" i="1"/>
  <c r="B29" i="1"/>
  <c r="B30" i="1"/>
  <c r="B33" i="1"/>
  <c r="B34" i="1"/>
  <c r="B35" i="1"/>
  <c r="B41" i="1"/>
  <c r="B39" i="1"/>
  <c r="B112" i="1"/>
  <c r="B111" i="1"/>
  <c r="B110" i="1"/>
  <c r="B109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1" i="1"/>
  <c r="B90" i="1"/>
  <c r="B89" i="1"/>
  <c r="B88" i="1"/>
  <c r="B87" i="1"/>
  <c r="B84" i="1"/>
  <c r="B83" i="1"/>
  <c r="B82" i="1"/>
  <c r="B81" i="1"/>
  <c r="B80" i="1"/>
  <c r="B79" i="1"/>
  <c r="B78" i="1"/>
  <c r="B77" i="1"/>
  <c r="B74" i="1"/>
  <c r="B73" i="1"/>
  <c r="B72" i="1"/>
  <c r="B71" i="1"/>
  <c r="B70" i="1"/>
  <c r="B67" i="1"/>
  <c r="B66" i="1"/>
  <c r="B55" i="1"/>
  <c r="B54" i="1"/>
  <c r="B53" i="1"/>
  <c r="B52" i="1"/>
  <c r="B51" i="1"/>
  <c r="B40" i="1"/>
  <c r="B38" i="1"/>
  <c r="B19" i="1"/>
  <c r="B21" i="1"/>
  <c r="P14" i="1"/>
  <c r="V107" i="1"/>
  <c r="U107" i="1"/>
  <c r="T107" i="1"/>
  <c r="S107" i="1"/>
  <c r="R107" i="1"/>
  <c r="P107" i="1"/>
  <c r="O107" i="1"/>
  <c r="N107" i="1"/>
  <c r="M107" i="1"/>
  <c r="V92" i="1"/>
  <c r="U92" i="1"/>
  <c r="T92" i="1"/>
  <c r="S92" i="1"/>
  <c r="R92" i="1"/>
  <c r="P92" i="1"/>
  <c r="O92" i="1"/>
  <c r="N92" i="1"/>
  <c r="M92" i="1"/>
  <c r="V85" i="1"/>
  <c r="U85" i="1"/>
  <c r="T85" i="1"/>
  <c r="S85" i="1"/>
  <c r="R85" i="1"/>
  <c r="P85" i="1"/>
  <c r="O85" i="1"/>
  <c r="N85" i="1"/>
  <c r="M85" i="1"/>
  <c r="V75" i="1"/>
  <c r="U75" i="1"/>
  <c r="T75" i="1"/>
  <c r="S75" i="1"/>
  <c r="R75" i="1"/>
  <c r="P75" i="1"/>
  <c r="O75" i="1"/>
  <c r="N75" i="1"/>
  <c r="M75" i="1"/>
  <c r="V68" i="1"/>
  <c r="U68" i="1"/>
  <c r="T68" i="1"/>
  <c r="S68" i="1"/>
  <c r="R68" i="1"/>
  <c r="P68" i="1"/>
  <c r="O68" i="1"/>
  <c r="N68" i="1"/>
  <c r="M68" i="1"/>
  <c r="V63" i="1"/>
  <c r="U63" i="1"/>
  <c r="T63" i="1"/>
  <c r="S63" i="1"/>
  <c r="R63" i="1"/>
  <c r="P63" i="1"/>
  <c r="O63" i="1"/>
  <c r="N63" i="1"/>
  <c r="M63" i="1"/>
  <c r="V56" i="1"/>
  <c r="U56" i="1"/>
  <c r="T56" i="1"/>
  <c r="S56" i="1"/>
  <c r="R56" i="1"/>
  <c r="P56" i="1"/>
  <c r="O56" i="1"/>
  <c r="N56" i="1"/>
  <c r="M56" i="1"/>
  <c r="V49" i="1"/>
  <c r="U49" i="1"/>
  <c r="T49" i="1"/>
  <c r="S49" i="1"/>
  <c r="R49" i="1"/>
  <c r="P49" i="1"/>
  <c r="O49" i="1"/>
  <c r="N49" i="1"/>
  <c r="M49" i="1"/>
  <c r="V42" i="1"/>
  <c r="U42" i="1"/>
  <c r="T42" i="1"/>
  <c r="S42" i="1"/>
  <c r="R42" i="1"/>
  <c r="P42" i="1"/>
  <c r="O42" i="1"/>
  <c r="N42" i="1"/>
  <c r="M42" i="1"/>
  <c r="V36" i="1"/>
  <c r="U36" i="1"/>
  <c r="T36" i="1"/>
  <c r="S36" i="1"/>
  <c r="R36" i="1"/>
  <c r="P36" i="1"/>
  <c r="O36" i="1"/>
  <c r="N36" i="1"/>
  <c r="M36" i="1"/>
  <c r="V14" i="1"/>
  <c r="U14" i="1"/>
  <c r="T14" i="1"/>
  <c r="S14" i="1"/>
  <c r="O14" i="1"/>
  <c r="N14" i="1"/>
  <c r="M14" i="1"/>
  <c r="D107" i="1"/>
  <c r="E107" i="1"/>
  <c r="F107" i="1"/>
  <c r="G107" i="1"/>
  <c r="H107" i="1"/>
  <c r="I107" i="1"/>
  <c r="J107" i="1"/>
  <c r="K107" i="1"/>
  <c r="L107" i="1"/>
  <c r="C107" i="1"/>
  <c r="D92" i="1"/>
  <c r="E92" i="1"/>
  <c r="F92" i="1"/>
  <c r="G92" i="1"/>
  <c r="H92" i="1"/>
  <c r="I92" i="1"/>
  <c r="J92" i="1"/>
  <c r="K92" i="1"/>
  <c r="L92" i="1"/>
  <c r="C92" i="1"/>
  <c r="D85" i="1"/>
  <c r="E85" i="1"/>
  <c r="F85" i="1"/>
  <c r="G85" i="1"/>
  <c r="H85" i="1"/>
  <c r="I85" i="1"/>
  <c r="J85" i="1"/>
  <c r="K85" i="1"/>
  <c r="L85" i="1"/>
  <c r="C85" i="1"/>
  <c r="D75" i="1"/>
  <c r="E75" i="1"/>
  <c r="F75" i="1"/>
  <c r="G75" i="1"/>
  <c r="H75" i="1"/>
  <c r="I75" i="1"/>
  <c r="J75" i="1"/>
  <c r="K75" i="1"/>
  <c r="L75" i="1"/>
  <c r="C75" i="1"/>
  <c r="D68" i="1"/>
  <c r="E68" i="1"/>
  <c r="F68" i="1"/>
  <c r="G68" i="1"/>
  <c r="H68" i="1"/>
  <c r="I68" i="1"/>
  <c r="J68" i="1"/>
  <c r="K68" i="1"/>
  <c r="L68" i="1"/>
  <c r="C68" i="1"/>
  <c r="D56" i="1"/>
  <c r="E56" i="1"/>
  <c r="F56" i="1"/>
  <c r="G56" i="1"/>
  <c r="H56" i="1"/>
  <c r="I56" i="1"/>
  <c r="J56" i="1"/>
  <c r="K56" i="1"/>
  <c r="L56" i="1"/>
  <c r="C56" i="1"/>
  <c r="D49" i="1"/>
  <c r="E49" i="1"/>
  <c r="F49" i="1"/>
  <c r="G49" i="1"/>
  <c r="H49" i="1"/>
  <c r="I49" i="1"/>
  <c r="J49" i="1"/>
  <c r="K49" i="1"/>
  <c r="L49" i="1"/>
  <c r="C49" i="1"/>
  <c r="D63" i="1"/>
  <c r="E63" i="1"/>
  <c r="F63" i="1"/>
  <c r="G63" i="1"/>
  <c r="H63" i="1"/>
  <c r="I63" i="1"/>
  <c r="J63" i="1"/>
  <c r="K63" i="1"/>
  <c r="L63" i="1"/>
  <c r="C63" i="1"/>
  <c r="D42" i="1"/>
  <c r="E42" i="1"/>
  <c r="F42" i="1"/>
  <c r="G42" i="1"/>
  <c r="H42" i="1"/>
  <c r="J42" i="1"/>
  <c r="K42" i="1"/>
  <c r="L42" i="1"/>
  <c r="E36" i="1"/>
  <c r="F36" i="1"/>
  <c r="G36" i="1"/>
  <c r="H36" i="1"/>
  <c r="I36" i="1"/>
  <c r="J36" i="1"/>
  <c r="K36" i="1"/>
  <c r="L36" i="1"/>
  <c r="D36" i="1"/>
  <c r="C36" i="1"/>
  <c r="L14" i="1"/>
  <c r="K14" i="1"/>
  <c r="J14" i="1"/>
  <c r="I14" i="1"/>
  <c r="G14" i="1"/>
  <c r="F14" i="1"/>
  <c r="E14" i="1"/>
  <c r="B20" i="1"/>
  <c r="B56" i="1" l="1"/>
  <c r="B14" i="1"/>
  <c r="B36" i="1"/>
  <c r="B107" i="1"/>
  <c r="B85" i="1"/>
  <c r="B49" i="1"/>
  <c r="B22" i="1"/>
  <c r="C12" i="1"/>
  <c r="B75" i="1"/>
  <c r="B68" i="1"/>
  <c r="H12" i="1"/>
  <c r="B92" i="1"/>
  <c r="B63" i="1"/>
  <c r="B42" i="1"/>
  <c r="B31" i="1"/>
  <c r="R12" i="1"/>
  <c r="V12" i="1"/>
  <c r="T12" i="1"/>
  <c r="N12" i="1"/>
  <c r="E12" i="1"/>
  <c r="G12" i="1"/>
  <c r="I12" i="1"/>
  <c r="K12" i="1"/>
  <c r="F12" i="1"/>
  <c r="J12" i="1"/>
  <c r="L12" i="1"/>
  <c r="D12" i="1"/>
  <c r="P12" i="1"/>
  <c r="M12" i="1"/>
  <c r="O12" i="1"/>
  <c r="S12" i="1"/>
  <c r="U12" i="1"/>
  <c r="Q12" i="1"/>
  <c r="B12" i="1" l="1"/>
</calcChain>
</file>

<file path=xl/sharedStrings.xml><?xml version="1.0" encoding="utf-8"?>
<sst xmlns="http://schemas.openxmlformats.org/spreadsheetml/2006/main" count="1023" uniqueCount="315">
  <si>
    <t xml:space="preserve">2. Αροτραίες καλλιέργειες </t>
  </si>
  <si>
    <t>2. Crops on arable land</t>
  </si>
  <si>
    <t>Εκτάσεις σε στρέμματα, παραγωγή σε τόνους</t>
  </si>
  <si>
    <t>Regions and Regional Unities (NUTS 2)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</si>
  <si>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</si>
  <si>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</si>
  <si>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</si>
  <si>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</si>
  <si>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</si>
  <si>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</si>
  <si>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</si>
  <si>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</si>
  <si>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</si>
  <si>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</si>
  <si>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</si>
  <si>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</si>
  <si>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</si>
  <si>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</si>
  <si>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</si>
  <si>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</si>
  <si>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</si>
  <si>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</si>
  <si>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</si>
  <si>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</si>
  <si>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</si>
  <si>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</si>
  <si>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</si>
  <si>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</si>
  <si>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</si>
  <si>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</si>
  <si>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</si>
  <si>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</si>
  <si>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</si>
  <si>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</si>
  <si>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</si>
  <si>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</si>
  <si>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</si>
  <si>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</si>
  <si>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</si>
  <si>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</si>
  <si>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</si>
  <si>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</si>
  <si>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</si>
  <si>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</si>
  <si>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</si>
  <si>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</si>
  <si>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</si>
  <si>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</si>
  <si>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</si>
  <si>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</si>
  <si>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</si>
  <si>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</si>
  <si>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</si>
  <si>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</si>
  <si>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</si>
  <si>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</si>
  <si>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</si>
  <si>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</si>
  <si>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</si>
  <si>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</si>
  <si>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</si>
  <si>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</si>
  <si>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</si>
  <si>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</si>
  <si>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</si>
  <si>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</si>
  <si>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</si>
  <si>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</si>
  <si>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</si>
  <si>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</si>
  <si>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</si>
  <si>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</si>
  <si>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</si>
  <si>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</si>
  <si>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ΑΠΟΚΕΝΤΡΩΜΕΝΗ ΔΙΟΙΚΗΣΗ ΜΑΚΕΔΟΝΙΑΣ - ΘΡΑΚΗΣ</t>
  </si>
  <si>
    <t>ΠΕΡΙΦΕΡΕΙΑ ΑΝΑΤΟΛΙΚΗΣ ΜΑΚΕΔΟΝΙΑΣ</t>
  </si>
  <si>
    <t>ΚΑΙ ΘΡΑΚΗΣ</t>
  </si>
  <si>
    <t>ΠΕΡΙΦΕΡΕΙΑ ΚΕΝΤΡΙΚΗΣ ΜΑΚΕΔΟΝΙΑΣ</t>
  </si>
  <si>
    <t>ΠΕΡΙΦΕΡΕΙΑ ΗΠΕΙΡΟΥ</t>
  </si>
  <si>
    <t>ΑΠΟΚΕΝΤΡΩΜΕΝΗ ΔΙΟΙΚΗΣΗ ΘΕΣΣΑΛΙΑΣ - ΣΤΕΡΕΑΣ ΕΛΛΑΔΑΣ</t>
  </si>
  <si>
    <t>ΠΕΡΙΦΕΡΕΙΑ ΘΕΣΣΑΛΙΑΣ</t>
  </si>
  <si>
    <t>ΠΕΡΙΦΕΡΕΙΑ ΣΤΕΡΕΑΣ ΕΛΛΑΔΑΣ</t>
  </si>
  <si>
    <t>ΑΠΟΚΕΝΤΡΩΜΕΝΗ ΔΙΟΙΚΗΣΗ ΠΕΛΟΠΟΝΝΗΣΟΥ, ΔΥΤΙΚΗΣ ΕΛΛΑΔΑΣ ΚΑΙ ΙΟΝΙΟΥ</t>
  </si>
  <si>
    <t>ΠΕΡΙΦΕΡΕΙΑ ΙΟΝΙΩΝ ΝΗΣΩΝ</t>
  </si>
  <si>
    <t>ΠΕΡΙΦΕΡΕΙΑ ΔΥΤΙΚΗΣ ΕΛΛΑΔΑΣ</t>
  </si>
  <si>
    <t>ΠΕΡΙΦΕΡΕΙΑ ΠΕΛΟΠΟΝΝΗΣΟΥ</t>
  </si>
  <si>
    <t>45</t>
  </si>
  <si>
    <t>ΑΠΟΚΕΝΤΡΩΜΕΝΗ ΔΙΟΙΚΗΣΗ ΑΤΤΙΚΗΣ</t>
  </si>
  <si>
    <t>47</t>
  </si>
  <si>
    <t>48</t>
  </si>
  <si>
    <t>ΠΕΡΙΦΕΡΕΙΑ ΑΤΤΙΚΗΣ</t>
  </si>
  <si>
    <t>51</t>
  </si>
  <si>
    <t>ΑΠΟΚΕΝΤΡΩΜΕΝΗ ΔΙΟΙΚΗΣΗ ΑΙΓΑΙΟΥ</t>
  </si>
  <si>
    <t>ΠΕΡΙΦΕΡΕΙΑ ΒΟΡΕΙΟΥ ΑΙΓΑΙΟΥ</t>
  </si>
  <si>
    <t>ΠΕΡΙΦΕΡΕΙΑ ΝΟΤΙΟΥ ΑΙΓΑΙΟΥ</t>
  </si>
  <si>
    <t>ΑΠΟΚΕΝΤΡΩΜΕΝΗ ΔΙΟΙΚΗΣΗ ΚΡΗΤΗΣ</t>
  </si>
  <si>
    <t>ΠΕΡΙΦΕΡΕΙΑ ΚΡΗΤΗΣ</t>
  </si>
  <si>
    <t>99</t>
  </si>
  <si>
    <t>ΑΓΙΟ ΟΡΟΣ (ΑΥΤΟΔΙΟΙΚΗΤΟ)</t>
  </si>
  <si>
    <t>Σύνολο Ελλάδας</t>
  </si>
  <si>
    <t>Περιφέρεια Ανατολικής Μακεδονίας και Θράκης</t>
  </si>
  <si>
    <t>Περιφέρεια Κεντρικής Μακεδονίας</t>
  </si>
  <si>
    <t>Περιφέρεια Θεσσαλίας</t>
  </si>
  <si>
    <t>Περιφέρεια Στερεάς Ελλάδας</t>
  </si>
  <si>
    <t>Περιφέρεια Ιονίων Νήσων</t>
  </si>
  <si>
    <t>Περιφέρεια Δυτικής Ελλάδας</t>
  </si>
  <si>
    <t>Περιφέρεια Πελοποννήσου</t>
  </si>
  <si>
    <t>Περιφέρεια Αττικής</t>
  </si>
  <si>
    <t>Περιφέρεια Βορείου Αιγαίου</t>
  </si>
  <si>
    <t>Περιφέρεια Νοτίου Αιγαίου</t>
  </si>
  <si>
    <t>Περιφέρεια Κρήτης</t>
  </si>
  <si>
    <t>Περιφέρεια Ηπείρου</t>
  </si>
  <si>
    <t>1=εκτάσεις,  2=παραγωγή</t>
  </si>
  <si>
    <t>1=area,  2=production</t>
  </si>
  <si>
    <t>Region of Eastern Macedonia and Thrace</t>
  </si>
  <si>
    <t>Region of Central Macedonia</t>
  </si>
  <si>
    <t>Region of Epirus</t>
  </si>
  <si>
    <t>Region of Central Greece</t>
  </si>
  <si>
    <t>Region of Ionian Islands</t>
  </si>
  <si>
    <t>Region of Western Greece</t>
  </si>
  <si>
    <t>Region of Peloponnese</t>
  </si>
  <si>
    <t>Region of Attica</t>
  </si>
  <si>
    <t>Region of Northern Aegean</t>
  </si>
  <si>
    <t>Region of Southern Aegean</t>
  </si>
  <si>
    <t>Region of Crete</t>
  </si>
  <si>
    <t>Region of Thessally</t>
  </si>
  <si>
    <t>Greece Total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</si>
  <si>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</si>
  <si>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</si>
  <si>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</si>
  <si>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</si>
  <si>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</si>
  <si>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</si>
  <si>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</si>
  <si>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</si>
  <si>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</si>
  <si>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</si>
  <si>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</si>
  <si>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</si>
  <si>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</si>
  <si>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</si>
  <si>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</si>
  <si>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</si>
  <si>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</si>
  <si>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 xml:space="preserve">  Ionnina</t>
  </si>
  <si>
    <t xml:space="preserve">  Arta</t>
  </si>
  <si>
    <t xml:space="preserve">  Thesprotia</t>
  </si>
  <si>
    <t xml:space="preserve">  Preveza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</si>
  <si>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</si>
  <si>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</si>
  <si>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</si>
  <si>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</si>
  <si>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</si>
  <si>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</si>
  <si>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</si>
  <si>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</si>
  <si>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</si>
  <si>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</si>
  <si>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</si>
  <si>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</si>
  <si>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</si>
  <si>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</si>
  <si>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</si>
  <si>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 xml:space="preserve">  Achaia</t>
  </si>
  <si>
    <t xml:space="preserve">  Etolia and Akarnania</t>
  </si>
  <si>
    <t xml:space="preserve">  Ilia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</si>
  <si>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</si>
  <si>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</si>
  <si>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</si>
  <si>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</si>
  <si>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</si>
  <si>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</si>
  <si>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</si>
  <si>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</si>
  <si>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</si>
  <si>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</si>
  <si>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</si>
  <si>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</si>
  <si>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</si>
  <si>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</si>
  <si>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</si>
  <si>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</si>
  <si>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</si>
  <si>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</si>
  <si>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 xml:space="preserve">  Syros</t>
  </si>
  <si>
    <t xml:space="preserve">  Andros</t>
  </si>
  <si>
    <t xml:space="preserve">  Thira</t>
  </si>
  <si>
    <t xml:space="preserve">  Kalimnos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</si>
  <si>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</si>
  <si>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</si>
  <si>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</si>
  <si>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</si>
  <si>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</si>
  <si>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</si>
  <si>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</si>
  <si>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</si>
  <si>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</si>
  <si>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</si>
  <si>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</si>
  <si>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</si>
  <si>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</si>
  <si>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</si>
  <si>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</si>
  <si>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</si>
  <si>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</si>
  <si>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</si>
  <si>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</si>
  <si>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</si>
  <si>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</si>
  <si>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</si>
  <si>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</si>
  <si>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</si>
  <si>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</si>
  <si>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</si>
  <si>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</si>
  <si>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</si>
  <si>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</si>
  <si>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</si>
  <si>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</si>
  <si>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</si>
  <si>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</si>
  <si>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</si>
  <si>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</si>
  <si>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</si>
  <si>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</si>
  <si>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</si>
  <si>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</si>
  <si>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</si>
  <si>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</si>
  <si>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</si>
  <si>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</si>
  <si>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</si>
  <si>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</si>
  <si>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</si>
  <si>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</si>
  <si>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</si>
  <si>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</si>
  <si>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</si>
  <si>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</si>
  <si>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</si>
  <si>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</si>
  <si>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</si>
  <si>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</si>
  <si>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Κεντρικού Τομέα Αθηνών</t>
  </si>
  <si>
    <t xml:space="preserve"> 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</si>
  <si>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</si>
  <si>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</si>
  <si>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</si>
  <si>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</si>
  <si>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</si>
  <si>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</si>
  <si>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</si>
  <si>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</si>
  <si>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</si>
  <si>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</si>
  <si>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</si>
  <si>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</si>
  <si>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</si>
  <si>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</si>
  <si>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</si>
  <si>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</si>
  <si>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</si>
  <si>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</si>
  <si>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</si>
  <si>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</si>
  <si>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</si>
  <si>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</si>
  <si>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</si>
  <si>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</si>
  <si>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</si>
  <si>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</si>
  <si>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</si>
  <si>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</si>
  <si>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 xml:space="preserve">  Αγίου Όρους</t>
  </si>
  <si>
    <t xml:space="preserve">Περιφέρειες και Περιφερειακές Ενότητες      </t>
  </si>
  <si>
    <t>―</t>
  </si>
  <si>
    <t>(1) Σμιγδάνι, Κεχρί, φαλαρίδα, τριτικάλι, κλπ.</t>
  </si>
  <si>
    <t>(2) Maslin, millet, phalaris, triticale, etc.</t>
  </si>
  <si>
    <t>—</t>
  </si>
  <si>
    <t>Περιφέρεια Δυτικής Μακεδονίας</t>
  </si>
  <si>
    <t>Region of Western Macedonia</t>
  </si>
  <si>
    <t xml:space="preserve">  Βορείου Τομέα Αθηνών</t>
  </si>
  <si>
    <t>Areas in stremmas (1 stremma = 0.1 ha), production in tons</t>
  </si>
  <si>
    <t xml:space="preserve">  Καρπάθου - Ηρωικής Νήσου Κάσου</t>
  </si>
  <si>
    <t xml:space="preserve">  Karpathos - Heroic Island of Kasos</t>
  </si>
  <si>
    <t xml:space="preserve">  Κέας - Κύθνου</t>
  </si>
  <si>
    <t xml:space="preserve">  Kea - Kythnos</t>
  </si>
  <si>
    <t>2α. Σιτηρά για καρπό. Εκτάσεις και παραγωγή κατά Περιφέρεια και Περιφερειακή Ενότητα, 2023</t>
  </si>
  <si>
    <t>Table 2a. Cereals for grain. Areas and production, by Region and Regional Unities, 2023</t>
  </si>
  <si>
    <t>Σιτάρι</t>
  </si>
  <si>
    <t>Wheat</t>
  </si>
  <si>
    <t>Κριθάρι</t>
  </si>
  <si>
    <t>Barley</t>
  </si>
  <si>
    <t xml:space="preserve">Βρώμη </t>
  </si>
  <si>
    <t>Oats</t>
  </si>
  <si>
    <t xml:space="preserve">Σίκαλη </t>
  </si>
  <si>
    <t>Rye</t>
  </si>
  <si>
    <t xml:space="preserve">Αραβόσιτος </t>
  </si>
  <si>
    <t>Maize</t>
  </si>
  <si>
    <t>Common</t>
  </si>
  <si>
    <t>Μαλακό</t>
  </si>
  <si>
    <t>Durum</t>
  </si>
  <si>
    <t>Σκληρό</t>
  </si>
  <si>
    <t xml:space="preserve"> χωρίς συγκαλλιέργεια</t>
  </si>
  <si>
    <t xml:space="preserve">συγκαλλιεργούμενος με φασόλια και άλλα είδη </t>
  </si>
  <si>
    <t>Total cultivated areas</t>
  </si>
  <si>
    <t>Σύνολο καλλιε-ργούμενων εκτάσεων</t>
  </si>
  <si>
    <t>without intercropping</t>
  </si>
  <si>
    <t>intercropped with beans and other crops</t>
  </si>
  <si>
    <t>Ρύζι</t>
  </si>
  <si>
    <t>Rice</t>
  </si>
  <si>
    <t>Σόργο</t>
  </si>
  <si>
    <t>Sorghum</t>
  </si>
  <si>
    <r>
      <t>Λοιπά</t>
    </r>
    <r>
      <rPr>
        <vertAlign val="superscript"/>
        <sz val="11"/>
        <rFont val="Calibri"/>
        <family val="2"/>
        <charset val="161"/>
        <scheme val="minor"/>
      </rPr>
      <t>(1)</t>
    </r>
  </si>
  <si>
    <r>
      <t>Other</t>
    </r>
    <r>
      <rPr>
        <vertAlign val="superscript"/>
        <sz val="11"/>
        <rFont val="Calibri"/>
        <family val="2"/>
        <charset val="161"/>
        <scheme val="minor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</si>
</sst>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charset val="161"/>
      <scheme val="minor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sz val="10"/>
      <color indexed="64"/>
      <name val="Arial"/>
      <family val="2"/>
      <charset val="161"/>
    </font>
    <font>
      <sz val="10"/>
      <color theme="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b/>
      <sz val="10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2"/>
      <name val="Calibri"/>
      <family val="2"/>
      <charset val="161"/>
      <scheme val="minor"/>
    </font>
    <font>
      <sz val="12"/>
      <color theme="1"/>
      <name val="Calibri"/>
      <family val="2"/>
      <charset val="161"/>
      <scheme val="minor"/>
    </font>
    <font>
      <b/>
      <sz val="12"/>
      <name val="Calibri"/>
      <family val="2"/>
      <charset val="161"/>
      <scheme val="minor"/>
    </font>
    <font>
      <sz val="12"/>
      <color indexed="8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3">
    <xf numFmtId="0" fontId="0" fillId="0" borderId="0" xfId="0"/>
    <xf numFmtId="49" fontId="3" fillId="2" borderId="1" xfId="0" applyNumberFormat="1" applyFont="1" applyFill="1" applyBorder="1"/>
    <xf numFmtId="49" fontId="3" fillId="2" borderId="2" xfId="0" applyNumberFormat="1" applyFont="1" applyFill="1" applyBorder="1" applyAlignment="1">
      <alignment horizontal="left"/>
    </xf>
    <xf numFmtId="0" fontId="4" fillId="2" borderId="2" xfId="0" applyFont="1" applyFill="1" applyBorder="1"/>
    <xf numFmtId="49" fontId="5" fillId="2" borderId="0" xfId="0" applyNumberFormat="1" applyFont="1" applyFill="1" applyAlignment="1">
      <alignment horizontal="centerContinuous" vertical="center" wrapText="1"/>
    </xf>
    <xf numFmtId="49" fontId="5" fillId="2" borderId="2" xfId="0" applyNumberFormat="1" applyFont="1" applyFill="1" applyBorder="1" applyAlignment="1">
      <alignment vertical="center" textRotation="90"/>
    </xf>
    <xf numFmtId="0" fontId="4" fillId="2" borderId="3" xfId="0" applyFont="1" applyFill="1" applyBorder="1"/>
    <xf numFmtId="49" fontId="3" fillId="2" borderId="4" xfId="0" applyNumberFormat="1" applyFont="1" applyFill="1" applyBorder="1"/>
    <xf numFmtId="49" fontId="3" fillId="2" borderId="0" xfId="0" applyNumberFormat="1" applyFont="1" applyFill="1" applyAlignment="1">
      <alignment horizontal="left"/>
    </xf>
    <xf numFmtId="0" fontId="4" fillId="2" borderId="0" xfId="0" applyFont="1" applyFill="1"/>
    <xf numFmtId="49" fontId="5" fillId="2" borderId="0" xfId="0" applyNumberFormat="1" applyFont="1" applyFill="1" applyAlignment="1">
      <alignment vertical="center" textRotation="90"/>
    </xf>
    <xf numFmtId="0" fontId="4" fillId="2" borderId="5" xfId="0" applyFont="1" applyFill="1" applyBorder="1"/>
    <xf numFmtId="0" fontId="7" fillId="2" borderId="0" xfId="0" applyFont="1" applyFill="1"/>
    <xf numFmtId="49" fontId="3" fillId="8" borderId="4" xfId="0" applyNumberFormat="1" applyFont="1" applyFill="1" applyBorder="1"/>
    <xf numFmtId="49" fontId="3" fillId="8" borderId="0" xfId="0" applyNumberFormat="1" applyFont="1" applyFill="1" applyAlignment="1">
      <alignment horizontal="left"/>
    </xf>
    <xf numFmtId="0" fontId="4" fillId="8" borderId="0" xfId="0" applyFont="1" applyFill="1"/>
    <xf numFmtId="49" fontId="5" fillId="8" borderId="0" xfId="0" applyNumberFormat="1" applyFont="1" applyFill="1"/>
    <xf numFmtId="49" fontId="5" fillId="8" borderId="0" xfId="0" applyNumberFormat="1" applyFont="1" applyFill="1" applyAlignment="1">
      <alignment vertical="center" textRotation="90"/>
    </xf>
    <xf numFmtId="0" fontId="4" fillId="8" borderId="5" xfId="0" applyFont="1" applyFill="1" applyBorder="1"/>
    <xf numFmtId="49" fontId="3" fillId="8" borderId="0" xfId="0" applyNumberFormat="1" applyFont="1" applyFill="1"/>
    <xf numFmtId="49" fontId="5" fillId="8" borderId="0" xfId="0" applyNumberFormat="1" applyFont="1" applyFill="1" applyAlignment="1">
      <alignment horizontal="left"/>
    </xf>
    <xf numFmtId="49" fontId="6" fillId="8" borderId="0" xfId="0" applyNumberFormat="1" applyFont="1" applyFill="1"/>
    <xf numFmtId="49" fontId="3" fillId="4" borderId="4" xfId="0" applyNumberFormat="1" applyFont="1" applyFill="1" applyBorder="1"/>
    <xf numFmtId="49" fontId="3" fillId="4" borderId="0" xfId="0" applyNumberFormat="1" applyFont="1" applyFill="1"/>
    <xf numFmtId="0" fontId="4" fillId="4" borderId="0" xfId="0" applyFont="1" applyFill="1"/>
    <xf numFmtId="49" fontId="5" fillId="4" borderId="0" xfId="0" applyNumberFormat="1" applyFont="1" applyFill="1"/>
    <xf numFmtId="49" fontId="5" fillId="9" borderId="0" xfId="0" applyNumberFormat="1" applyFont="1" applyFill="1" applyAlignment="1">
      <alignment vertical="center" textRotation="90"/>
    </xf>
    <xf numFmtId="0" fontId="4" fillId="4" borderId="5" xfId="0" applyFont="1" applyFill="1" applyBorder="1"/>
    <xf numFmtId="49" fontId="6" fillId="4" borderId="0" xfId="0" applyNumberFormat="1" applyFont="1" applyFill="1"/>
    <xf numFmtId="49" fontId="3" fillId="4" borderId="6" xfId="0" applyNumberFormat="1" applyFont="1" applyFill="1" applyBorder="1"/>
    <xf numFmtId="49" fontId="3" fillId="4" borderId="7" xfId="0" applyNumberFormat="1" applyFont="1" applyFill="1" applyBorder="1"/>
    <xf numFmtId="0" fontId="4" fillId="4" borderId="7" xfId="0" applyFont="1" applyFill="1" applyBorder="1"/>
    <xf numFmtId="49" fontId="5" fillId="9" borderId="7" xfId="0" applyNumberFormat="1" applyFont="1" applyFill="1" applyBorder="1" applyAlignment="1">
      <alignment vertical="center" textRotation="90"/>
    </xf>
    <xf numFmtId="0" fontId="4" fillId="4" borderId="8" xfId="0" applyFont="1" applyFill="1" applyBorder="1"/>
    <xf numFmtId="49" fontId="3" fillId="10" borderId="1" xfId="0" applyNumberFormat="1" applyFont="1" applyFill="1" applyBorder="1"/>
    <xf numFmtId="49" fontId="3" fillId="10" borderId="2" xfId="0" applyNumberFormat="1" applyFont="1" applyFill="1" applyBorder="1"/>
    <xf numFmtId="0" fontId="4" fillId="10" borderId="2" xfId="0" applyFont="1" applyFill="1" applyBorder="1"/>
    <xf numFmtId="49" fontId="5" fillId="10" borderId="2" xfId="0" applyNumberFormat="1" applyFont="1" applyFill="1" applyBorder="1"/>
    <xf numFmtId="49" fontId="5" fillId="10" borderId="2" xfId="0" applyNumberFormat="1" applyFont="1" applyFill="1" applyBorder="1" applyAlignment="1">
      <alignment vertical="center" textRotation="90"/>
    </xf>
    <xf numFmtId="0" fontId="4" fillId="10" borderId="3" xfId="0" applyFont="1" applyFill="1" applyBorder="1"/>
    <xf numFmtId="49" fontId="3" fillId="10" borderId="4" xfId="0" applyNumberFormat="1" applyFont="1" applyFill="1" applyBorder="1"/>
    <xf numFmtId="49" fontId="3" fillId="10" borderId="0" xfId="0" applyNumberFormat="1" applyFont="1" applyFill="1"/>
    <xf numFmtId="0" fontId="4" fillId="10" borderId="0" xfId="0" applyFont="1" applyFill="1"/>
    <xf numFmtId="49" fontId="5" fillId="10" borderId="0" xfId="0" applyNumberFormat="1" applyFont="1" applyFill="1" applyAlignment="1">
      <alignment vertical="center" textRotation="90"/>
    </xf>
    <xf numFmtId="0" fontId="4" fillId="10" borderId="5" xfId="0" applyFont="1" applyFill="1" applyBorder="1"/>
    <xf numFmtId="49" fontId="6" fillId="10" borderId="0" xfId="0" applyNumberFormat="1" applyFont="1" applyFill="1"/>
    <xf numFmtId="49" fontId="3" fillId="5" borderId="4" xfId="0" applyNumberFormat="1" applyFont="1" applyFill="1" applyBorder="1"/>
    <xf numFmtId="49" fontId="3" fillId="5" borderId="0" xfId="0" applyNumberFormat="1" applyFont="1" applyFill="1"/>
    <xf numFmtId="0" fontId="4" fillId="5" borderId="0" xfId="0" applyFont="1" applyFill="1"/>
    <xf numFmtId="49" fontId="5" fillId="5" borderId="0" xfId="0" applyNumberFormat="1" applyFont="1" applyFill="1"/>
    <xf numFmtId="49" fontId="5" fillId="5" borderId="0" xfId="0" applyNumberFormat="1" applyFont="1" applyFill="1" applyAlignment="1">
      <alignment vertical="center" textRotation="90"/>
    </xf>
    <xf numFmtId="0" fontId="4" fillId="5" borderId="5" xfId="0" applyFont="1" applyFill="1" applyBorder="1"/>
    <xf numFmtId="49" fontId="6" fillId="5" borderId="0" xfId="0" applyNumberFormat="1" applyFont="1" applyFill="1"/>
    <xf numFmtId="49" fontId="3" fillId="5" borderId="6" xfId="0" applyNumberFormat="1" applyFont="1" applyFill="1" applyBorder="1"/>
    <xf numFmtId="49" fontId="3" fillId="5" borderId="7" xfId="0" applyNumberFormat="1" applyFont="1" applyFill="1" applyBorder="1"/>
    <xf numFmtId="0" fontId="4" fillId="5" borderId="7" xfId="0" applyFont="1" applyFill="1" applyBorder="1"/>
    <xf numFmtId="49" fontId="5" fillId="5" borderId="7" xfId="0" applyNumberFormat="1" applyFont="1" applyFill="1" applyBorder="1" applyAlignment="1">
      <alignment vertical="center" textRotation="90"/>
    </xf>
    <xf numFmtId="0" fontId="4" fillId="5" borderId="8" xfId="0" applyFont="1" applyFill="1" applyBorder="1"/>
    <xf numFmtId="49" fontId="3" fillId="6" borderId="1" xfId="0" applyNumberFormat="1" applyFont="1" applyFill="1" applyBorder="1"/>
    <xf numFmtId="49" fontId="3" fillId="6" borderId="2" xfId="0" applyNumberFormat="1" applyFont="1" applyFill="1" applyBorder="1"/>
    <xf numFmtId="0" fontId="4" fillId="6" borderId="2" xfId="0" applyFont="1" applyFill="1" applyBorder="1"/>
    <xf numFmtId="49" fontId="5" fillId="6" borderId="2" xfId="0" applyNumberFormat="1" applyFont="1" applyFill="1" applyBorder="1"/>
    <xf numFmtId="0" fontId="7" fillId="6" borderId="2" xfId="0" applyFont="1" applyFill="1" applyBorder="1"/>
    <xf numFmtId="49" fontId="5" fillId="6" borderId="2" xfId="0" applyNumberFormat="1" applyFont="1" applyFill="1" applyBorder="1" applyAlignment="1">
      <alignment vertical="center" textRotation="90"/>
    </xf>
    <xf numFmtId="0" fontId="7" fillId="6" borderId="3" xfId="0" applyFont="1" applyFill="1" applyBorder="1"/>
    <xf numFmtId="49" fontId="3" fillId="6" borderId="4" xfId="0" applyNumberFormat="1" applyFont="1" applyFill="1" applyBorder="1"/>
    <xf numFmtId="49" fontId="3" fillId="6" borderId="0" xfId="0" applyNumberFormat="1" applyFont="1" applyFill="1"/>
    <xf numFmtId="0" fontId="4" fillId="6" borderId="0" xfId="0" applyFont="1" applyFill="1"/>
    <xf numFmtId="49" fontId="5" fillId="6" borderId="0" xfId="0" applyNumberFormat="1" applyFont="1" applyFill="1" applyAlignment="1">
      <alignment vertical="center" textRotation="90"/>
    </xf>
    <xf numFmtId="0" fontId="4" fillId="6" borderId="5" xfId="0" applyFont="1" applyFill="1" applyBorder="1"/>
    <xf numFmtId="49" fontId="6" fillId="6" borderId="0" xfId="0" applyNumberFormat="1" applyFont="1" applyFill="1"/>
    <xf numFmtId="49" fontId="3" fillId="11" borderId="4" xfId="0" applyNumberFormat="1" applyFont="1" applyFill="1" applyBorder="1"/>
    <xf numFmtId="49" fontId="3" fillId="11" borderId="0" xfId="0" applyNumberFormat="1" applyFont="1" applyFill="1"/>
    <xf numFmtId="0" fontId="4" fillId="11" borderId="0" xfId="0" applyFont="1" applyFill="1"/>
    <xf numFmtId="49" fontId="5" fillId="11" borderId="0" xfId="0" applyNumberFormat="1" applyFont="1" applyFill="1"/>
    <xf numFmtId="49" fontId="5" fillId="11" borderId="0" xfId="0" applyNumberFormat="1" applyFont="1" applyFill="1" applyAlignment="1">
      <alignment vertical="center" textRotation="90"/>
    </xf>
    <xf numFmtId="0" fontId="4" fillId="11" borderId="5" xfId="0" applyFont="1" applyFill="1" applyBorder="1"/>
    <xf numFmtId="49" fontId="6" fillId="11" borderId="0" xfId="0" applyNumberFormat="1" applyFont="1" applyFill="1"/>
    <xf numFmtId="0" fontId="1" fillId="6" borderId="2" xfId="0" applyFont="1" applyFill="1" applyBorder="1"/>
    <xf numFmtId="0" fontId="4" fillId="6" borderId="3" xfId="0" applyFont="1" applyFill="1" applyBorder="1"/>
    <xf numFmtId="0" fontId="7" fillId="6" borderId="0" xfId="0" applyFont="1" applyFill="1"/>
    <xf numFmtId="49" fontId="3" fillId="6" borderId="6" xfId="0" applyNumberFormat="1" applyFont="1" applyFill="1" applyBorder="1"/>
    <xf numFmtId="49" fontId="3" fillId="6" borderId="7" xfId="0" applyNumberFormat="1" applyFont="1" applyFill="1" applyBorder="1"/>
    <xf numFmtId="0" fontId="4" fillId="6" borderId="7" xfId="0" applyFont="1" applyFill="1" applyBorder="1"/>
    <xf numFmtId="0" fontId="4" fillId="6" borderId="8" xfId="0" applyFont="1" applyFill="1" applyBorder="1"/>
    <xf numFmtId="49" fontId="3" fillId="2" borderId="2" xfId="0" applyNumberFormat="1" applyFont="1" applyFill="1" applyBorder="1"/>
    <xf numFmtId="49" fontId="5" fillId="2" borderId="2" xfId="0" applyNumberFormat="1" applyFont="1" applyFill="1" applyBorder="1"/>
    <xf numFmtId="49" fontId="3" fillId="2" borderId="0" xfId="0" applyNumberFormat="1" applyFont="1" applyFill="1"/>
    <xf numFmtId="49" fontId="6" fillId="2" borderId="0" xfId="0" applyNumberFormat="1" applyFont="1" applyFill="1"/>
    <xf numFmtId="49" fontId="3" fillId="8" borderId="1" xfId="0" applyNumberFormat="1" applyFont="1" applyFill="1" applyBorder="1"/>
    <xf numFmtId="49" fontId="2" fillId="8" borderId="0" xfId="0" applyNumberFormat="1" applyFont="1" applyFill="1"/>
    <xf numFmtId="0" fontId="4" fillId="8" borderId="2" xfId="0" applyFont="1" applyFill="1" applyBorder="1"/>
    <xf numFmtId="49" fontId="5" fillId="8" borderId="2" xfId="0" applyNumberFormat="1" applyFont="1" applyFill="1" applyBorder="1"/>
    <xf numFmtId="49" fontId="3" fillId="8" borderId="2" xfId="0" applyNumberFormat="1" applyFont="1" applyFill="1" applyBorder="1"/>
    <xf numFmtId="0" fontId="4" fillId="8" borderId="3" xfId="0" applyFont="1" applyFill="1" applyBorder="1"/>
    <xf numFmtId="49" fontId="6" fillId="12" borderId="0" xfId="0" applyNumberFormat="1" applyFont="1" applyFill="1" applyAlignment="1">
      <alignment horizontal="left"/>
    </xf>
    <xf numFmtId="0" fontId="4" fillId="12" borderId="0" xfId="0" applyFont="1" applyFill="1" applyAlignment="1">
      <alignment horizontal="left"/>
    </xf>
    <xf numFmtId="49" fontId="8" fillId="12" borderId="0" xfId="0" applyNumberFormat="1" applyFont="1" applyFill="1" applyAlignment="1">
      <alignment horizontal="left"/>
    </xf>
    <xf numFmtId="49" fontId="3" fillId="8" borderId="6" xfId="0" applyNumberFormat="1" applyFont="1" applyFill="1" applyBorder="1"/>
    <xf numFmtId="0" fontId="4" fillId="8" borderId="7" xfId="0" applyFont="1" applyFill="1" applyBorder="1"/>
    <xf numFmtId="49" fontId="3" fillId="8" borderId="7" xfId="0" applyNumberFormat="1" applyFont="1" applyFill="1" applyBorder="1"/>
    <xf numFmtId="0" fontId="4" fillId="8" borderId="8" xfId="0" applyFont="1" applyFill="1" applyBorder="1"/>
    <xf numFmtId="49" fontId="3" fillId="2" borderId="9" xfId="0" applyNumberFormat="1" applyFont="1" applyFill="1" applyBorder="1"/>
    <xf numFmtId="49" fontId="2" fillId="13" borderId="10" xfId="0" applyNumberFormat="1" applyFont="1" applyFill="1" applyBorder="1"/>
    <xf numFmtId="0" fontId="4" fillId="2" borderId="11" xfId="0" applyFont="1" applyFill="1" applyBorder="1"/>
    <xf numFmtId="49" fontId="6" fillId="2" borderId="11" xfId="0" applyNumberFormat="1" applyFont="1" applyFill="1" applyBorder="1"/>
    <xf numFmtId="49" fontId="3" fillId="2" borderId="11" xfId="0" applyNumberFormat="1" applyFont="1" applyFill="1" applyBorder="1"/>
    <xf numFmtId="0" fontId="4" fillId="2" borderId="12" xfId="0" applyFont="1" applyFill="1" applyBorder="1"/>
    <xf numFmtId="49" fontId="3" fillId="14" borderId="4" xfId="0" applyNumberFormat="1" applyFont="1" applyFill="1" applyBorder="1"/>
    <xf numFmtId="49" fontId="3" fillId="14" borderId="0" xfId="0" applyNumberFormat="1" applyFont="1" applyFill="1"/>
    <xf numFmtId="0" fontId="4" fillId="14" borderId="0" xfId="0" applyFont="1" applyFill="1"/>
    <xf numFmtId="49" fontId="5" fillId="14" borderId="0" xfId="0" applyNumberFormat="1" applyFont="1" applyFill="1"/>
    <xf numFmtId="0" fontId="7" fillId="14" borderId="0" xfId="0" applyFont="1" applyFill="1"/>
    <xf numFmtId="49" fontId="5" fillId="14" borderId="0" xfId="0" applyNumberFormat="1" applyFont="1" applyFill="1" applyAlignment="1">
      <alignment vertical="center" textRotation="90"/>
    </xf>
    <xf numFmtId="49" fontId="3" fillId="14" borderId="6" xfId="0" applyNumberFormat="1" applyFont="1" applyFill="1" applyBorder="1"/>
    <xf numFmtId="49" fontId="3" fillId="14" borderId="7" xfId="0" applyNumberFormat="1" applyFont="1" applyFill="1" applyBorder="1"/>
    <xf numFmtId="0" fontId="4" fillId="14" borderId="7" xfId="0" applyFont="1" applyFill="1" applyBorder="1"/>
    <xf numFmtId="49" fontId="5" fillId="14" borderId="7" xfId="0" applyNumberFormat="1" applyFont="1" applyFill="1" applyBorder="1" applyAlignment="1">
      <alignment vertical="center" textRotation="90"/>
    </xf>
    <xf numFmtId="0" fontId="4" fillId="14" borderId="5" xfId="0" applyFont="1" applyFill="1" applyBorder="1"/>
    <xf numFmtId="0" fontId="4" fillId="14" borderId="8" xfId="0" applyFont="1" applyFill="1" applyBorder="1"/>
    <xf numFmtId="0" fontId="9" fillId="0" borderId="0" xfId="0" applyFont="1"/>
    <xf numFmtId="0" fontId="10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/>
    <xf numFmtId="49" fontId="9" fillId="0" borderId="0" xfId="0" applyNumberFormat="1" applyFont="1"/>
    <xf numFmtId="0" fontId="9" fillId="0" borderId="0" xfId="0" applyFont="1" applyAlignment="1">
      <alignment horizontal="left" indent="2"/>
    </xf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horizontal="left" indent="2"/>
    </xf>
    <xf numFmtId="0" fontId="17" fillId="0" borderId="0" xfId="0" applyFont="1" applyAlignment="1">
      <alignment horizontal="center"/>
    </xf>
    <xf numFmtId="49" fontId="16" fillId="0" borderId="0" xfId="0" applyNumberFormat="1" applyFont="1" applyAlignment="1">
      <alignment horizontal="left" indent="2"/>
    </xf>
    <xf numFmtId="0" fontId="14" fillId="0" borderId="0" xfId="0" applyFont="1" applyAlignment="1">
      <alignment horizontal="center" vertical="center" wrapText="1"/>
    </xf>
    <xf numFmtId="49" fontId="15" fillId="0" borderId="0" xfId="0" applyNumberFormat="1" applyFont="1"/>
    <xf numFmtId="0" fontId="15" fillId="0" borderId="0" xfId="0" applyFont="1" applyAlignment="1">
      <alignment horizontal="left" indent="2"/>
    </xf>
    <xf numFmtId="0" fontId="20" fillId="0" borderId="7" xfId="0" applyFont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21" fillId="0" borderId="7" xfId="0" applyFont="1" applyBorder="1"/>
    <xf numFmtId="0" fontId="20" fillId="0" borderId="7" xfId="0" applyFont="1" applyBorder="1"/>
    <xf numFmtId="0" fontId="21" fillId="0" borderId="7" xfId="0" applyFont="1" applyBorder="1" applyAlignment="1">
      <alignment horizontal="right"/>
    </xf>
    <xf numFmtId="0" fontId="20" fillId="0" borderId="7" xfId="0" applyFont="1" applyBorder="1" applyAlignment="1">
      <alignment horizontal="right"/>
    </xf>
    <xf numFmtId="0" fontId="21" fillId="0" borderId="0" xfId="0" applyFont="1"/>
    <xf numFmtId="0" fontId="24" fillId="0" borderId="13" xfId="0" applyFont="1" applyBorder="1" applyAlignment="1">
      <alignment horizontal="center"/>
    </xf>
    <xf numFmtId="0" fontId="24" fillId="0" borderId="35" xfId="0" applyFont="1" applyBorder="1" applyAlignment="1">
      <alignment horizontal="center"/>
    </xf>
    <xf numFmtId="3" fontId="21" fillId="0" borderId="0" xfId="0" applyNumberFormat="1" applyFont="1" applyAlignment="1">
      <alignment horizontal="left" wrapText="1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3" fontId="22" fillId="0" borderId="0" xfId="0" applyNumberFormat="1" applyFont="1" applyAlignment="1">
      <alignment vertical="center" wrapText="1"/>
    </xf>
    <xf numFmtId="0" fontId="19" fillId="0" borderId="0" xfId="0" applyFont="1" applyAlignment="1">
      <alignment horizontal="left" vertical="center"/>
    </xf>
    <xf numFmtId="3" fontId="21" fillId="0" borderId="7" xfId="0" applyNumberFormat="1" applyFont="1" applyBorder="1" applyAlignment="1">
      <alignment horizontal="left" wrapText="1" indent="1"/>
    </xf>
    <xf numFmtId="0" fontId="0" fillId="0" borderId="7" xfId="0" applyBorder="1" applyAlignment="1">
      <alignment horizontal="left" indent="1"/>
    </xf>
    <xf numFmtId="0" fontId="0" fillId="0" borderId="7" xfId="0" applyBorder="1" applyAlignment="1">
      <alignment horizontal="left"/>
    </xf>
    <xf numFmtId="49" fontId="21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49" fontId="21" fillId="0" borderId="0" xfId="0" applyNumberFormat="1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right" vertical="center"/>
    </xf>
    <xf numFmtId="49" fontId="21" fillId="0" borderId="0" xfId="0" applyNumberFormat="1" applyFont="1"/>
    <xf numFmtId="3" fontId="26" fillId="0" borderId="0" xfId="0" applyNumberFormat="1" applyFont="1" applyAlignment="1">
      <alignment horizontal="right" vertical="top"/>
    </xf>
    <xf numFmtId="3" fontId="26" fillId="0" borderId="16" xfId="0" applyNumberFormat="1" applyFont="1" applyBorder="1" applyAlignment="1">
      <alignment horizontal="right" vertical="top"/>
    </xf>
    <xf numFmtId="0" fontId="26" fillId="0" borderId="0" xfId="0" applyFont="1" applyAlignment="1">
      <alignment horizontal="right" vertical="top"/>
    </xf>
    <xf numFmtId="0" fontId="26" fillId="0" borderId="16" xfId="0" applyFont="1" applyBorder="1" applyAlignment="1">
      <alignment horizontal="right" vertical="top"/>
    </xf>
    <xf numFmtId="3" fontId="26" fillId="0" borderId="34" xfId="0" applyNumberFormat="1" applyFont="1" applyBorder="1" applyAlignment="1">
      <alignment horizontal="right" vertical="top"/>
    </xf>
    <xf numFmtId="3" fontId="26" fillId="0" borderId="17" xfId="0" applyNumberFormat="1" applyFont="1" applyBorder="1" applyAlignment="1">
      <alignment horizontal="right" vertical="top"/>
    </xf>
    <xf numFmtId="0" fontId="26" fillId="0" borderId="7" xfId="0" applyFont="1" applyBorder="1" applyAlignment="1">
      <alignment horizontal="right" vertical="top"/>
    </xf>
    <xf numFmtId="3" fontId="26" fillId="0" borderId="7" xfId="0" applyNumberFormat="1" applyFont="1" applyBorder="1" applyAlignment="1">
      <alignment horizontal="right" vertical="top"/>
    </xf>
    <xf numFmtId="3" fontId="26" fillId="0" borderId="36" xfId="0" applyNumberFormat="1" applyFont="1" applyBorder="1" applyAlignment="1">
      <alignment horizontal="right" vertical="top"/>
    </xf>
    <xf numFmtId="3" fontId="9" fillId="0" borderId="0" xfId="0" applyNumberFormat="1" applyFont="1" applyAlignment="1">
      <alignment vertical="center"/>
    </xf>
    <xf numFmtId="3" fontId="19" fillId="16" borderId="16" xfId="0" applyNumberFormat="1" applyFont="1" applyFill="1" applyBorder="1" applyAlignment="1">
      <alignment horizontal="right" vertical="center" wrapText="1"/>
    </xf>
    <xf numFmtId="3" fontId="19" fillId="16" borderId="0" xfId="0" applyNumberFormat="1" applyFont="1" applyFill="1" applyAlignment="1">
      <alignment horizontal="right" vertical="center" wrapText="1"/>
    </xf>
    <xf numFmtId="3" fontId="19" fillId="16" borderId="5" xfId="0" applyNumberFormat="1" applyFont="1" applyFill="1" applyBorder="1" applyAlignment="1">
      <alignment horizontal="right" vertical="center" wrapText="1"/>
    </xf>
    <xf numFmtId="3" fontId="21" fillId="16" borderId="4" xfId="0" applyNumberFormat="1" applyFont="1" applyFill="1" applyBorder="1" applyAlignment="1">
      <alignment horizontal="right" vertical="center" wrapText="1"/>
    </xf>
    <xf numFmtId="3" fontId="19" fillId="16" borderId="23" xfId="0" applyNumberFormat="1" applyFont="1" applyFill="1" applyBorder="1" applyAlignment="1">
      <alignment horizontal="right" vertical="center" wrapText="1"/>
    </xf>
    <xf numFmtId="3" fontId="21" fillId="16" borderId="6" xfId="0" applyNumberFormat="1" applyFont="1" applyFill="1" applyBorder="1" applyAlignment="1">
      <alignment horizontal="right" vertical="center" wrapText="1"/>
    </xf>
    <xf numFmtId="49" fontId="5" fillId="15" borderId="2" xfId="0" applyNumberFormat="1" applyFont="1" applyFill="1" applyBorder="1" applyAlignment="1">
      <alignment horizontal="center" vertical="center" textRotation="90"/>
    </xf>
    <xf numFmtId="49" fontId="5" fillId="15" borderId="0" xfId="0" applyNumberFormat="1" applyFont="1" applyFill="1" applyAlignment="1">
      <alignment horizontal="center" vertical="center" textRotation="90"/>
    </xf>
    <xf numFmtId="49" fontId="5" fillId="15" borderId="7" xfId="0" applyNumberFormat="1" applyFont="1" applyFill="1" applyBorder="1" applyAlignment="1">
      <alignment horizontal="center" vertical="center" textRotation="90"/>
    </xf>
    <xf numFmtId="49" fontId="5" fillId="3" borderId="2" xfId="0" applyNumberFormat="1" applyFont="1" applyFill="1" applyBorder="1" applyAlignment="1">
      <alignment horizontal="center" vertical="center" textRotation="90" wrapText="1"/>
    </xf>
    <xf numFmtId="49" fontId="5" fillId="3" borderId="0" xfId="0" applyNumberFormat="1" applyFont="1" applyFill="1" applyAlignment="1">
      <alignment horizontal="center" vertical="center" textRotation="90" wrapText="1"/>
    </xf>
    <xf numFmtId="49" fontId="5" fillId="3" borderId="7" xfId="0" applyNumberFormat="1" applyFont="1" applyFill="1" applyBorder="1" applyAlignment="1">
      <alignment horizontal="center" vertical="center" textRotation="90" wrapText="1"/>
    </xf>
    <xf numFmtId="49" fontId="6" fillId="2" borderId="0" xfId="0" applyNumberFormat="1" applyFont="1" applyFill="1" applyAlignment="1">
      <alignment horizontal="left" vertical="center" wrapText="1"/>
    </xf>
    <xf numFmtId="49" fontId="5" fillId="2" borderId="2" xfId="0" applyNumberFormat="1" applyFont="1" applyFill="1" applyBorder="1" applyAlignment="1">
      <alignment horizontal="center" vertical="center" textRotation="90" wrapText="1"/>
    </xf>
    <xf numFmtId="49" fontId="5" fillId="2" borderId="0" xfId="0" applyNumberFormat="1" applyFont="1" applyFill="1" applyAlignment="1">
      <alignment horizontal="center" vertical="center" textRotation="90" wrapText="1"/>
    </xf>
    <xf numFmtId="49" fontId="5" fillId="2" borderId="7" xfId="0" applyNumberFormat="1" applyFont="1" applyFill="1" applyBorder="1" applyAlignment="1">
      <alignment horizontal="center" vertical="center" textRotation="90" wrapText="1"/>
    </xf>
    <xf numFmtId="49" fontId="5" fillId="7" borderId="2" xfId="0" applyNumberFormat="1" applyFont="1" applyFill="1" applyBorder="1" applyAlignment="1">
      <alignment horizontal="center" vertical="center" textRotation="90" wrapText="1"/>
    </xf>
    <xf numFmtId="49" fontId="5" fillId="7" borderId="0" xfId="0" applyNumberFormat="1" applyFont="1" applyFill="1" applyAlignment="1">
      <alignment horizontal="center" vertical="center" textRotation="90" wrapText="1"/>
    </xf>
    <xf numFmtId="49" fontId="5" fillId="7" borderId="7" xfId="0" applyNumberFormat="1" applyFont="1" applyFill="1" applyBorder="1" applyAlignment="1">
      <alignment horizontal="center" vertical="center" textRotation="90" wrapText="1"/>
    </xf>
    <xf numFmtId="3" fontId="22" fillId="16" borderId="16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3" fontId="22" fillId="16" borderId="0" xfId="0" applyNumberFormat="1" applyFont="1" applyFill="1" applyAlignment="1">
      <alignment horizontal="right" vertical="center"/>
    </xf>
    <xf numFmtId="49" fontId="22" fillId="0" borderId="0" xfId="0" applyNumberFormat="1" applyFont="1" applyAlignment="1">
      <alignment horizontal="left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3" fontId="22" fillId="16" borderId="29" xfId="0" applyNumberFormat="1" applyFont="1" applyFill="1" applyBorder="1" applyAlignment="1">
      <alignment horizontal="right" vertical="center" wrapText="1"/>
    </xf>
    <xf numFmtId="3" fontId="22" fillId="16" borderId="16" xfId="0" applyNumberFormat="1" applyFont="1" applyFill="1" applyBorder="1" applyAlignment="1">
      <alignment horizontal="right" vertical="center" wrapText="1"/>
    </xf>
    <xf numFmtId="3" fontId="22" fillId="16" borderId="28" xfId="0" applyNumberFormat="1" applyFont="1" applyFill="1" applyBorder="1" applyAlignment="1">
      <alignment horizontal="right" vertical="center" wrapText="1"/>
    </xf>
    <xf numFmtId="3" fontId="22" fillId="16" borderId="0" xfId="0" applyNumberFormat="1" applyFont="1" applyFill="1" applyAlignment="1">
      <alignment horizontal="right" vertical="center" wrapText="1"/>
    </xf>
    <xf numFmtId="3" fontId="22" fillId="16" borderId="5" xfId="0" applyNumberFormat="1" applyFont="1" applyFill="1" applyBorder="1" applyAlignment="1">
      <alignment horizontal="right" vertical="center"/>
    </xf>
    <xf numFmtId="0" fontId="22" fillId="0" borderId="28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3" fontId="22" fillId="16" borderId="30" xfId="0" applyNumberFormat="1" applyFont="1" applyFill="1" applyBorder="1" applyAlignment="1">
      <alignment horizontal="right" vertical="center" wrapText="1"/>
    </xf>
    <xf numFmtId="3" fontId="22" fillId="16" borderId="5" xfId="0" applyNumberFormat="1" applyFont="1" applyFill="1" applyBorder="1" applyAlignment="1">
      <alignment horizontal="right" vertical="center" wrapText="1"/>
    </xf>
    <xf numFmtId="3" fontId="25" fillId="16" borderId="16" xfId="0" applyNumberFormat="1" applyFont="1" applyFill="1" applyBorder="1" applyAlignment="1">
      <alignment horizontal="right" vertical="center"/>
    </xf>
    <xf numFmtId="3" fontId="22" fillId="16" borderId="34" xfId="0" applyNumberFormat="1" applyFont="1" applyFill="1" applyBorder="1" applyAlignment="1">
      <alignment horizontal="right" vertical="center"/>
    </xf>
    <xf numFmtId="3" fontId="25" fillId="16" borderId="0" xfId="0" applyNumberFormat="1" applyFont="1" applyFill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49" fontId="12" fillId="0" borderId="0" xfId="0" applyNumberFormat="1" applyFont="1" applyAlignment="1">
      <alignment horizontal="left" vertical="center"/>
    </xf>
    <xf numFmtId="49" fontId="18" fillId="0" borderId="0" xfId="0" applyNumberFormat="1" applyFont="1" applyAlignment="1">
      <alignment horizontal="left" vertical="center" wrapText="1"/>
    </xf>
    <xf numFmtId="49" fontId="18" fillId="0" borderId="0" xfId="0" applyNumberFormat="1" applyFont="1" applyAlignment="1">
      <alignment horizontal="left" vertical="center"/>
    </xf>
    <xf numFmtId="3" fontId="22" fillId="16" borderId="23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3" fontId="22" fillId="16" borderId="31" xfId="0" applyNumberFormat="1" applyFont="1" applyFill="1" applyBorder="1" applyAlignment="1">
      <alignment horizontal="right" vertical="center" wrapText="1"/>
    </xf>
    <xf numFmtId="3" fontId="22" fillId="16" borderId="4" xfId="0" applyNumberFormat="1" applyFont="1" applyFill="1" applyBorder="1" applyAlignment="1">
      <alignment horizontal="right" vertical="center" wrapText="1"/>
    </xf>
    <xf numFmtId="3" fontId="25" fillId="16" borderId="4" xfId="0" applyNumberFormat="1" applyFont="1" applyFill="1" applyBorder="1" applyAlignment="1">
      <alignment horizontal="right" vertical="center"/>
    </xf>
    <xf numFmtId="49" fontId="22" fillId="0" borderId="30" xfId="0" applyNumberFormat="1" applyFont="1" applyBorder="1" applyAlignment="1">
      <alignment vertical="center" wrapText="1"/>
    </xf>
    <xf numFmtId="49" fontId="22" fillId="0" borderId="5" xfId="0" applyNumberFormat="1" applyFont="1" applyBorder="1" applyAlignment="1">
      <alignment vertical="center" wrapText="1"/>
    </xf>
    <xf numFmtId="0" fontId="21" fillId="0" borderId="14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21" fillId="0" borderId="37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 wrapText="1"/>
    </xf>
    <xf numFmtId="0" fontId="21" fillId="0" borderId="39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1" fillId="0" borderId="40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zoomScale="80" zoomScaleNormal="80" workbookViewId="0">
      <selection sqref="A1:IV65536"/>
    </sheetView>
  </sheetViews>
  <sheetFormatPr defaultRowHeight="14.4" x14ac:dyDescent="0.3"/>
  <cols>
    <col min="2" max="2" width="35.6640625" bestFit="1" customWidth="1"/>
  </cols>
  <sheetData>
    <row r="1" spans="1:13" x14ac:dyDescent="0.3">
      <c r="A1" s="1" t="s">
        <v>4</v>
      </c>
      <c r="B1" s="2" t="s">
        <v>199</v>
      </c>
      <c r="C1" s="3"/>
      <c r="D1" s="4"/>
      <c r="E1" s="4"/>
      <c r="F1" s="4"/>
      <c r="G1" s="4"/>
      <c r="H1" s="177" t="s">
        <v>74</v>
      </c>
      <c r="I1" s="5"/>
      <c r="J1" s="3"/>
      <c r="K1" s="3"/>
      <c r="L1" s="3"/>
      <c r="M1" s="6"/>
    </row>
    <row r="2" spans="1:13" x14ac:dyDescent="0.3">
      <c r="A2" s="7" t="s">
        <v>5</v>
      </c>
      <c r="B2" s="8" t="s">
        <v>200</v>
      </c>
      <c r="C2" s="9"/>
      <c r="D2" s="9"/>
      <c r="E2" s="9"/>
      <c r="F2" s="9"/>
      <c r="G2" s="9"/>
      <c r="H2" s="178"/>
      <c r="I2" s="10"/>
      <c r="J2" s="9"/>
      <c r="K2" s="9"/>
      <c r="L2" s="9"/>
      <c r="M2" s="11"/>
    </row>
    <row r="3" spans="1:13" x14ac:dyDescent="0.3">
      <c r="A3" s="7" t="s">
        <v>6</v>
      </c>
      <c r="B3" s="8" t="s">
        <v>201</v>
      </c>
      <c r="C3" s="9"/>
      <c r="D3" s="180" t="s">
        <v>75</v>
      </c>
      <c r="E3" s="180"/>
      <c r="F3" s="180"/>
      <c r="G3" s="180"/>
      <c r="H3" s="178"/>
      <c r="I3" s="10"/>
      <c r="J3" s="9"/>
      <c r="K3" s="9"/>
      <c r="L3" s="9"/>
      <c r="M3" s="11"/>
    </row>
    <row r="4" spans="1:13" x14ac:dyDescent="0.3">
      <c r="A4" s="7" t="s">
        <v>7</v>
      </c>
      <c r="B4" s="8" t="s">
        <v>202</v>
      </c>
      <c r="C4" s="9"/>
      <c r="D4" s="12" t="s">
        <v>76</v>
      </c>
      <c r="E4" s="9"/>
      <c r="F4" s="9"/>
      <c r="G4" s="9"/>
      <c r="H4" s="178"/>
      <c r="I4" s="10"/>
      <c r="J4" s="9"/>
      <c r="K4" s="9"/>
      <c r="L4" s="9"/>
      <c r="M4" s="11"/>
    </row>
    <row r="5" spans="1:13" x14ac:dyDescent="0.3">
      <c r="A5" s="7" t="s">
        <v>8</v>
      </c>
      <c r="B5" s="8" t="s">
        <v>203</v>
      </c>
      <c r="C5" s="9"/>
      <c r="D5" s="9"/>
      <c r="E5" s="9"/>
      <c r="F5" s="9"/>
      <c r="G5" s="9"/>
      <c r="H5" s="178"/>
      <c r="I5" s="10"/>
      <c r="J5" s="9"/>
      <c r="K5" s="9"/>
      <c r="L5" s="9"/>
      <c r="M5" s="11"/>
    </row>
    <row r="6" spans="1:13" x14ac:dyDescent="0.3">
      <c r="A6" s="7" t="s">
        <v>9</v>
      </c>
      <c r="B6" s="8" t="s">
        <v>204</v>
      </c>
      <c r="C6" s="9"/>
      <c r="D6" s="9"/>
      <c r="E6" s="9"/>
      <c r="F6" s="9"/>
      <c r="G6" s="9"/>
      <c r="H6" s="178"/>
      <c r="I6" s="10"/>
      <c r="J6" s="9"/>
      <c r="K6" s="9"/>
      <c r="L6" s="9"/>
      <c r="M6" s="11"/>
    </row>
    <row r="7" spans="1:13" x14ac:dyDescent="0.3">
      <c r="A7" s="13" t="s">
        <v>10</v>
      </c>
      <c r="B7" s="14" t="s">
        <v>205</v>
      </c>
      <c r="C7" s="15"/>
      <c r="D7" s="16"/>
      <c r="E7" s="15"/>
      <c r="F7" s="15"/>
      <c r="G7" s="15"/>
      <c r="H7" s="178"/>
      <c r="I7" s="17"/>
      <c r="J7" s="15"/>
      <c r="K7" s="15"/>
      <c r="L7" s="15"/>
      <c r="M7" s="18"/>
    </row>
    <row r="8" spans="1:13" x14ac:dyDescent="0.3">
      <c r="A8" s="13" t="s">
        <v>11</v>
      </c>
      <c r="B8" s="19" t="s">
        <v>206</v>
      </c>
      <c r="C8" s="15"/>
      <c r="D8" s="15"/>
      <c r="E8" s="15"/>
      <c r="F8" s="15"/>
      <c r="G8" s="15"/>
      <c r="H8" s="178"/>
      <c r="I8" s="17"/>
      <c r="J8" s="19"/>
      <c r="K8" s="20"/>
      <c r="L8" s="15"/>
      <c r="M8" s="18"/>
    </row>
    <row r="9" spans="1:13" x14ac:dyDescent="0.3">
      <c r="A9" s="13" t="s">
        <v>12</v>
      </c>
      <c r="B9" s="19" t="s">
        <v>207</v>
      </c>
      <c r="C9" s="15"/>
      <c r="D9" s="15"/>
      <c r="E9" s="15"/>
      <c r="F9" s="15"/>
      <c r="G9" s="15"/>
      <c r="H9" s="178"/>
      <c r="I9" s="17"/>
      <c r="J9" s="15"/>
      <c r="K9" s="15"/>
      <c r="L9" s="15"/>
      <c r="M9" s="18"/>
    </row>
    <row r="10" spans="1:13" x14ac:dyDescent="0.3">
      <c r="A10" s="13" t="s">
        <v>13</v>
      </c>
      <c r="B10" s="19" t="s">
        <v>208</v>
      </c>
      <c r="C10" s="15"/>
      <c r="D10" s="15"/>
      <c r="E10" s="15"/>
      <c r="F10" s="15"/>
      <c r="G10" s="15"/>
      <c r="H10" s="178"/>
      <c r="I10" s="17"/>
      <c r="J10" s="15"/>
      <c r="K10" s="15"/>
      <c r="L10" s="15"/>
      <c r="M10" s="18"/>
    </row>
    <row r="11" spans="1:13" x14ac:dyDescent="0.3">
      <c r="A11" s="13" t="s">
        <v>14</v>
      </c>
      <c r="B11" s="19" t="s">
        <v>209</v>
      </c>
      <c r="C11" s="15"/>
      <c r="D11" s="21" t="s">
        <v>77</v>
      </c>
      <c r="E11" s="15"/>
      <c r="F11" s="15"/>
      <c r="G11" s="15"/>
      <c r="H11" s="178"/>
      <c r="I11" s="17"/>
      <c r="J11" s="15"/>
      <c r="K11" s="15"/>
      <c r="L11" s="15"/>
      <c r="M11" s="18"/>
    </row>
    <row r="12" spans="1:13" x14ac:dyDescent="0.3">
      <c r="A12" s="13" t="s">
        <v>15</v>
      </c>
      <c r="B12" s="19" t="s">
        <v>210</v>
      </c>
      <c r="C12" s="15"/>
      <c r="D12" s="15"/>
      <c r="E12" s="15"/>
      <c r="F12" s="15"/>
      <c r="G12" s="15"/>
      <c r="H12" s="178"/>
      <c r="I12" s="17"/>
      <c r="J12" s="15"/>
      <c r="K12" s="15"/>
      <c r="L12" s="15"/>
      <c r="M12" s="18"/>
    </row>
    <row r="13" spans="1:13" x14ac:dyDescent="0.3">
      <c r="A13" s="13" t="s">
        <v>16</v>
      </c>
      <c r="B13" s="19" t="s">
        <v>211</v>
      </c>
      <c r="C13" s="15"/>
      <c r="D13" s="15"/>
      <c r="E13" s="15"/>
      <c r="F13" s="15"/>
      <c r="G13" s="15"/>
      <c r="H13" s="178"/>
      <c r="I13" s="17"/>
      <c r="J13" s="15"/>
      <c r="K13" s="15"/>
      <c r="L13" s="15"/>
      <c r="M13" s="18"/>
    </row>
    <row r="14" spans="1:13" x14ac:dyDescent="0.3">
      <c r="A14" s="13" t="s">
        <v>17</v>
      </c>
      <c r="B14" s="19" t="s">
        <v>212</v>
      </c>
      <c r="C14" s="15"/>
      <c r="D14" s="15"/>
      <c r="E14" s="15"/>
      <c r="F14" s="15"/>
      <c r="G14" s="15"/>
      <c r="H14" s="178"/>
      <c r="I14" s="17"/>
      <c r="J14" s="15"/>
      <c r="K14" s="15"/>
      <c r="L14" s="15"/>
      <c r="M14" s="18"/>
    </row>
    <row r="15" spans="1:13" x14ac:dyDescent="0.3">
      <c r="A15" s="13" t="s">
        <v>18</v>
      </c>
      <c r="B15" s="19" t="s">
        <v>213</v>
      </c>
      <c r="C15" s="15"/>
      <c r="D15" s="15"/>
      <c r="E15" s="15"/>
      <c r="F15" s="15"/>
      <c r="G15" s="15"/>
      <c r="H15" s="178"/>
      <c r="I15" s="17"/>
      <c r="J15" s="15"/>
      <c r="K15" s="15"/>
      <c r="L15" s="15"/>
      <c r="M15" s="18"/>
    </row>
    <row r="16" spans="1:13" x14ac:dyDescent="0.3">
      <c r="A16" s="13" t="s">
        <v>19</v>
      </c>
      <c r="B16" s="19" t="s">
        <v>214</v>
      </c>
      <c r="C16" s="15"/>
      <c r="D16" s="15"/>
      <c r="E16" s="15"/>
      <c r="F16" s="15"/>
      <c r="G16" s="15"/>
      <c r="H16" s="178"/>
      <c r="I16" s="17"/>
      <c r="J16" s="15"/>
      <c r="K16" s="15"/>
      <c r="L16" s="15"/>
      <c r="M16" s="18"/>
    </row>
    <row r="17" spans="1:13" x14ac:dyDescent="0.3">
      <c r="A17" s="13" t="s">
        <v>20</v>
      </c>
      <c r="B17" s="19" t="s">
        <v>215</v>
      </c>
      <c r="C17" s="15"/>
      <c r="D17" s="15"/>
      <c r="E17" s="15"/>
      <c r="F17" s="15"/>
      <c r="G17" s="15"/>
      <c r="H17" s="178"/>
      <c r="I17" s="17"/>
      <c r="J17" s="15"/>
      <c r="K17" s="15"/>
      <c r="L17" s="15"/>
      <c r="M17" s="18"/>
    </row>
    <row r="18" spans="1:13" x14ac:dyDescent="0.3">
      <c r="A18" s="22" t="s">
        <v>21</v>
      </c>
      <c r="B18" s="23" t="s">
        <v>216</v>
      </c>
      <c r="C18" s="24"/>
      <c r="D18" s="25"/>
      <c r="E18" s="24"/>
      <c r="F18" s="24"/>
      <c r="G18" s="24"/>
      <c r="H18" s="178"/>
      <c r="I18" s="26"/>
      <c r="J18" s="23"/>
      <c r="K18" s="23"/>
      <c r="L18" s="24"/>
      <c r="M18" s="27"/>
    </row>
    <row r="19" spans="1:13" x14ac:dyDescent="0.3">
      <c r="A19" s="22" t="s">
        <v>22</v>
      </c>
      <c r="B19" s="23" t="s">
        <v>217</v>
      </c>
      <c r="C19" s="24"/>
      <c r="D19" s="24"/>
      <c r="E19" s="24"/>
      <c r="F19" s="24"/>
      <c r="G19" s="24"/>
      <c r="H19" s="178"/>
      <c r="I19" s="26"/>
      <c r="J19" s="23"/>
      <c r="K19" s="23"/>
      <c r="L19" s="24"/>
      <c r="M19" s="27"/>
    </row>
    <row r="20" spans="1:13" x14ac:dyDescent="0.3">
      <c r="A20" s="22" t="s">
        <v>23</v>
      </c>
      <c r="B20" s="23" t="s">
        <v>218</v>
      </c>
      <c r="C20" s="24"/>
      <c r="D20" s="28" t="s">
        <v>78</v>
      </c>
      <c r="E20" s="24"/>
      <c r="F20" s="24"/>
      <c r="G20" s="24"/>
      <c r="H20" s="178"/>
      <c r="I20" s="26"/>
      <c r="J20" s="23"/>
      <c r="K20" s="23"/>
      <c r="L20" s="24"/>
      <c r="M20" s="27"/>
    </row>
    <row r="21" spans="1:13" ht="15" thickBot="1" x14ac:dyDescent="0.35">
      <c r="A21" s="29" t="s">
        <v>24</v>
      </c>
      <c r="B21" s="30" t="s">
        <v>219</v>
      </c>
      <c r="C21" s="31"/>
      <c r="D21" s="31"/>
      <c r="E21" s="31"/>
      <c r="F21" s="31"/>
      <c r="G21" s="31"/>
      <c r="H21" s="179"/>
      <c r="I21" s="32"/>
      <c r="J21" s="30"/>
      <c r="K21" s="30"/>
      <c r="L21" s="31"/>
      <c r="M21" s="33"/>
    </row>
    <row r="22" spans="1:13" x14ac:dyDescent="0.3">
      <c r="A22" s="34" t="s">
        <v>25</v>
      </c>
      <c r="B22" s="35" t="s">
        <v>220</v>
      </c>
      <c r="C22" s="36"/>
      <c r="D22" s="37"/>
      <c r="E22" s="36"/>
      <c r="F22" s="36"/>
      <c r="G22" s="38"/>
      <c r="H22" s="181" t="s">
        <v>79</v>
      </c>
      <c r="I22" s="36"/>
      <c r="J22" s="35"/>
      <c r="K22" s="35"/>
      <c r="L22" s="36"/>
      <c r="M22" s="39"/>
    </row>
    <row r="23" spans="1:13" x14ac:dyDescent="0.3">
      <c r="A23" s="40" t="s">
        <v>26</v>
      </c>
      <c r="B23" s="41" t="s">
        <v>221</v>
      </c>
      <c r="C23" s="42"/>
      <c r="D23" s="42"/>
      <c r="E23" s="42"/>
      <c r="F23" s="42"/>
      <c r="G23" s="43"/>
      <c r="H23" s="182"/>
      <c r="I23" s="42"/>
      <c r="J23" s="41"/>
      <c r="K23" s="41"/>
      <c r="L23" s="42"/>
      <c r="M23" s="44"/>
    </row>
    <row r="24" spans="1:13" x14ac:dyDescent="0.3">
      <c r="A24" s="40" t="s">
        <v>27</v>
      </c>
      <c r="B24" s="41" t="s">
        <v>222</v>
      </c>
      <c r="C24" s="42"/>
      <c r="D24" s="45" t="s">
        <v>80</v>
      </c>
      <c r="E24" s="42"/>
      <c r="F24" s="42"/>
      <c r="G24" s="43"/>
      <c r="H24" s="182"/>
      <c r="I24" s="42"/>
      <c r="J24" s="41"/>
      <c r="K24" s="41"/>
      <c r="L24" s="42"/>
      <c r="M24" s="44"/>
    </row>
    <row r="25" spans="1:13" x14ac:dyDescent="0.3">
      <c r="A25" s="40" t="s">
        <v>28</v>
      </c>
      <c r="B25" s="41" t="s">
        <v>223</v>
      </c>
      <c r="C25" s="42"/>
      <c r="D25" s="42"/>
      <c r="E25" s="42"/>
      <c r="F25" s="42"/>
      <c r="G25" s="43"/>
      <c r="H25" s="182"/>
      <c r="I25" s="42"/>
      <c r="J25" s="41"/>
      <c r="K25" s="41"/>
      <c r="L25" s="42"/>
      <c r="M25" s="44"/>
    </row>
    <row r="26" spans="1:13" x14ac:dyDescent="0.3">
      <c r="A26" s="40" t="s">
        <v>29</v>
      </c>
      <c r="B26" s="41" t="s">
        <v>224</v>
      </c>
      <c r="C26" s="42"/>
      <c r="D26" s="42"/>
      <c r="E26" s="42"/>
      <c r="F26" s="42"/>
      <c r="G26" s="43"/>
      <c r="H26" s="182"/>
      <c r="I26" s="42"/>
      <c r="J26" s="41"/>
      <c r="K26" s="41"/>
      <c r="L26" s="42"/>
      <c r="M26" s="44"/>
    </row>
    <row r="27" spans="1:13" x14ac:dyDescent="0.3">
      <c r="A27" s="46" t="s">
        <v>30</v>
      </c>
      <c r="B27" s="47" t="s">
        <v>225</v>
      </c>
      <c r="C27" s="48"/>
      <c r="D27" s="49"/>
      <c r="E27" s="48"/>
      <c r="F27" s="48"/>
      <c r="G27" s="50"/>
      <c r="H27" s="182"/>
      <c r="I27" s="48"/>
      <c r="J27" s="47"/>
      <c r="K27" s="47"/>
      <c r="L27" s="48"/>
      <c r="M27" s="51"/>
    </row>
    <row r="28" spans="1:13" x14ac:dyDescent="0.3">
      <c r="A28" s="46" t="s">
        <v>31</v>
      </c>
      <c r="B28" s="47" t="s">
        <v>226</v>
      </c>
      <c r="C28" s="48"/>
      <c r="D28" s="48"/>
      <c r="E28" s="48"/>
      <c r="F28" s="48"/>
      <c r="G28" s="50"/>
      <c r="H28" s="182"/>
      <c r="I28" s="48"/>
      <c r="J28" s="47"/>
      <c r="K28" s="47"/>
      <c r="L28" s="48"/>
      <c r="M28" s="51"/>
    </row>
    <row r="29" spans="1:13" x14ac:dyDescent="0.3">
      <c r="A29" s="46" t="s">
        <v>32</v>
      </c>
      <c r="B29" s="47" t="s">
        <v>227</v>
      </c>
      <c r="C29" s="48"/>
      <c r="D29" s="52" t="s">
        <v>81</v>
      </c>
      <c r="E29" s="48"/>
      <c r="F29" s="48"/>
      <c r="G29" s="50"/>
      <c r="H29" s="182"/>
      <c r="I29" s="48"/>
      <c r="J29" s="47"/>
      <c r="K29" s="47"/>
      <c r="L29" s="48"/>
      <c r="M29" s="51"/>
    </row>
    <row r="30" spans="1:13" x14ac:dyDescent="0.3">
      <c r="A30" s="46" t="s">
        <v>33</v>
      </c>
      <c r="B30" s="47" t="s">
        <v>228</v>
      </c>
      <c r="C30" s="48"/>
      <c r="D30" s="48"/>
      <c r="E30" s="48"/>
      <c r="F30" s="48"/>
      <c r="G30" s="50"/>
      <c r="H30" s="182"/>
      <c r="I30" s="48"/>
      <c r="J30" s="47"/>
      <c r="K30" s="47"/>
      <c r="L30" s="48"/>
      <c r="M30" s="51"/>
    </row>
    <row r="31" spans="1:13" ht="15" thickBot="1" x14ac:dyDescent="0.35">
      <c r="A31" s="53" t="s">
        <v>34</v>
      </c>
      <c r="B31" s="54" t="s">
        <v>229</v>
      </c>
      <c r="C31" s="55"/>
      <c r="D31" s="55"/>
      <c r="E31" s="55"/>
      <c r="F31" s="55"/>
      <c r="G31" s="56"/>
      <c r="H31" s="183"/>
      <c r="I31" s="55"/>
      <c r="J31" s="54"/>
      <c r="K31" s="54"/>
      <c r="L31" s="55"/>
      <c r="M31" s="57"/>
    </row>
    <row r="32" spans="1:13" x14ac:dyDescent="0.3">
      <c r="A32" s="58" t="s">
        <v>35</v>
      </c>
      <c r="B32" s="59" t="s">
        <v>230</v>
      </c>
      <c r="C32" s="60"/>
      <c r="D32" s="61"/>
      <c r="E32" s="62"/>
      <c r="F32" s="62"/>
      <c r="G32" s="63"/>
      <c r="H32" s="184" t="s">
        <v>82</v>
      </c>
      <c r="I32" s="62"/>
      <c r="J32" s="61"/>
      <c r="K32" s="61"/>
      <c r="L32" s="62"/>
      <c r="M32" s="64"/>
    </row>
    <row r="33" spans="1:13" x14ac:dyDescent="0.3">
      <c r="A33" s="65" t="s">
        <v>36</v>
      </c>
      <c r="B33" s="66" t="s">
        <v>231</v>
      </c>
      <c r="C33" s="67"/>
      <c r="D33" s="67"/>
      <c r="E33" s="67"/>
      <c r="F33" s="67"/>
      <c r="G33" s="68"/>
      <c r="H33" s="185"/>
      <c r="I33" s="67"/>
      <c r="J33" s="66"/>
      <c r="K33" s="66"/>
      <c r="L33" s="67"/>
      <c r="M33" s="69"/>
    </row>
    <row r="34" spans="1:13" x14ac:dyDescent="0.3">
      <c r="A34" s="65" t="s">
        <v>37</v>
      </c>
      <c r="B34" s="66" t="s">
        <v>232</v>
      </c>
      <c r="C34" s="67"/>
      <c r="D34" s="70" t="s">
        <v>83</v>
      </c>
      <c r="E34" s="67"/>
      <c r="F34" s="67"/>
      <c r="G34" s="68"/>
      <c r="H34" s="185"/>
      <c r="I34" s="67"/>
      <c r="J34" s="66"/>
      <c r="K34" s="66"/>
      <c r="L34" s="67"/>
      <c r="M34" s="69"/>
    </row>
    <row r="35" spans="1:13" x14ac:dyDescent="0.3">
      <c r="A35" s="65" t="s">
        <v>38</v>
      </c>
      <c r="B35" s="66" t="s">
        <v>233</v>
      </c>
      <c r="C35" s="67"/>
      <c r="D35" s="67"/>
      <c r="E35" s="67"/>
      <c r="F35" s="67"/>
      <c r="G35" s="68"/>
      <c r="H35" s="185"/>
      <c r="I35" s="67"/>
      <c r="J35" s="66"/>
      <c r="K35" s="66"/>
      <c r="L35" s="67"/>
      <c r="M35" s="69"/>
    </row>
    <row r="36" spans="1:13" x14ac:dyDescent="0.3">
      <c r="A36" s="65" t="s">
        <v>39</v>
      </c>
      <c r="B36" s="66" t="s">
        <v>234</v>
      </c>
      <c r="C36" s="67"/>
      <c r="D36" s="67"/>
      <c r="E36" s="67"/>
      <c r="F36" s="67"/>
      <c r="G36" s="68"/>
      <c r="H36" s="185"/>
      <c r="I36" s="67"/>
      <c r="J36" s="66"/>
      <c r="K36" s="66"/>
      <c r="L36" s="67"/>
      <c r="M36" s="69"/>
    </row>
    <row r="37" spans="1:13" x14ac:dyDescent="0.3">
      <c r="A37" s="71" t="s">
        <v>40</v>
      </c>
      <c r="B37" s="72" t="s">
        <v>235</v>
      </c>
      <c r="C37" s="73"/>
      <c r="D37" s="74"/>
      <c r="E37" s="73"/>
      <c r="F37" s="73"/>
      <c r="G37" s="75"/>
      <c r="H37" s="185"/>
      <c r="I37" s="73"/>
      <c r="J37" s="72"/>
      <c r="K37" s="72"/>
      <c r="L37" s="73"/>
      <c r="M37" s="76"/>
    </row>
    <row r="38" spans="1:13" x14ac:dyDescent="0.3">
      <c r="A38" s="71" t="s">
        <v>41</v>
      </c>
      <c r="B38" s="72" t="s">
        <v>236</v>
      </c>
      <c r="C38" s="73"/>
      <c r="D38" s="77" t="s">
        <v>84</v>
      </c>
      <c r="E38" s="73"/>
      <c r="F38" s="73"/>
      <c r="G38" s="75"/>
      <c r="H38" s="185"/>
      <c r="I38" s="73"/>
      <c r="J38" s="72"/>
      <c r="K38" s="72"/>
      <c r="L38" s="73"/>
      <c r="M38" s="76"/>
    </row>
    <row r="39" spans="1:13" x14ac:dyDescent="0.3">
      <c r="A39" s="71" t="s">
        <v>42</v>
      </c>
      <c r="B39" s="72" t="s">
        <v>237</v>
      </c>
      <c r="C39" s="73"/>
      <c r="D39" s="73"/>
      <c r="E39" s="73"/>
      <c r="F39" s="73"/>
      <c r="G39" s="75"/>
      <c r="H39" s="185"/>
      <c r="I39" s="73"/>
      <c r="J39" s="72"/>
      <c r="K39" s="72"/>
      <c r="L39" s="73"/>
      <c r="M39" s="76"/>
    </row>
    <row r="40" spans="1:13" x14ac:dyDescent="0.3">
      <c r="A40" s="108" t="s">
        <v>43</v>
      </c>
      <c r="B40" s="109" t="s">
        <v>238</v>
      </c>
      <c r="C40" s="110"/>
      <c r="D40" s="111"/>
      <c r="E40" s="112"/>
      <c r="F40" s="112"/>
      <c r="G40" s="113"/>
      <c r="H40" s="185"/>
      <c r="I40" s="110"/>
      <c r="J40" s="109"/>
      <c r="K40" s="109"/>
      <c r="L40" s="110"/>
      <c r="M40" s="118"/>
    </row>
    <row r="41" spans="1:13" x14ac:dyDescent="0.3">
      <c r="A41" s="108" t="s">
        <v>44</v>
      </c>
      <c r="B41" s="109" t="s">
        <v>239</v>
      </c>
      <c r="C41" s="110"/>
      <c r="D41" s="110"/>
      <c r="E41" s="110"/>
      <c r="F41" s="110"/>
      <c r="G41" s="113"/>
      <c r="H41" s="185"/>
      <c r="I41" s="110"/>
      <c r="J41" s="109"/>
      <c r="K41" s="109"/>
      <c r="L41" s="110"/>
      <c r="M41" s="118"/>
    </row>
    <row r="42" spans="1:13" x14ac:dyDescent="0.3">
      <c r="A42" s="108" t="s">
        <v>45</v>
      </c>
      <c r="B42" s="109" t="s">
        <v>240</v>
      </c>
      <c r="C42" s="110"/>
      <c r="D42" s="111" t="s">
        <v>85</v>
      </c>
      <c r="E42" s="110"/>
      <c r="F42" s="110"/>
      <c r="G42" s="113"/>
      <c r="H42" s="185"/>
      <c r="I42" s="110"/>
      <c r="J42" s="109"/>
      <c r="K42" s="109"/>
      <c r="L42" s="110"/>
      <c r="M42" s="118"/>
    </row>
    <row r="43" spans="1:13" x14ac:dyDescent="0.3">
      <c r="A43" s="108" t="s">
        <v>46</v>
      </c>
      <c r="B43" s="109" t="s">
        <v>241</v>
      </c>
      <c r="C43" s="110"/>
      <c r="D43" s="110"/>
      <c r="E43" s="110"/>
      <c r="F43" s="110"/>
      <c r="G43" s="113"/>
      <c r="H43" s="185"/>
      <c r="I43" s="110"/>
      <c r="J43" s="109"/>
      <c r="K43" s="109"/>
      <c r="L43" s="110"/>
      <c r="M43" s="118"/>
    </row>
    <row r="44" spans="1:13" ht="15" thickBot="1" x14ac:dyDescent="0.35">
      <c r="A44" s="114" t="s">
        <v>47</v>
      </c>
      <c r="B44" s="115" t="s">
        <v>242</v>
      </c>
      <c r="C44" s="116"/>
      <c r="D44" s="116"/>
      <c r="E44" s="116"/>
      <c r="F44" s="116"/>
      <c r="G44" s="117"/>
      <c r="H44" s="186"/>
      <c r="I44" s="116"/>
      <c r="J44" s="115"/>
      <c r="K44" s="115"/>
      <c r="L44" s="116"/>
      <c r="M44" s="119"/>
    </row>
    <row r="45" spans="1:13" x14ac:dyDescent="0.3">
      <c r="A45" s="58" t="s">
        <v>86</v>
      </c>
      <c r="B45" s="59" t="s">
        <v>243</v>
      </c>
      <c r="C45" s="60"/>
      <c r="D45" s="60"/>
      <c r="E45" s="78"/>
      <c r="F45" s="60"/>
      <c r="G45" s="60"/>
      <c r="H45" s="177" t="s">
        <v>87</v>
      </c>
      <c r="I45" s="60"/>
      <c r="J45" s="59"/>
      <c r="K45" s="59"/>
      <c r="L45" s="60"/>
      <c r="M45" s="79"/>
    </row>
    <row r="46" spans="1:13" x14ac:dyDescent="0.3">
      <c r="A46" s="65" t="s">
        <v>48</v>
      </c>
      <c r="B46" s="66" t="s">
        <v>244</v>
      </c>
      <c r="C46" s="67"/>
      <c r="D46" s="67"/>
      <c r="E46" s="67"/>
      <c r="F46" s="67"/>
      <c r="G46" s="67"/>
      <c r="H46" s="178"/>
      <c r="I46" s="67"/>
      <c r="J46" s="66"/>
      <c r="K46" s="66"/>
      <c r="L46" s="67"/>
      <c r="M46" s="69"/>
    </row>
    <row r="47" spans="1:13" x14ac:dyDescent="0.3">
      <c r="A47" s="65" t="s">
        <v>88</v>
      </c>
      <c r="B47" s="66" t="s">
        <v>245</v>
      </c>
      <c r="C47" s="67"/>
      <c r="D47" s="67"/>
      <c r="E47" s="67"/>
      <c r="F47" s="67"/>
      <c r="G47" s="67"/>
      <c r="H47" s="178"/>
      <c r="I47" s="67"/>
      <c r="J47" s="66"/>
      <c r="K47" s="66"/>
      <c r="L47" s="67"/>
      <c r="M47" s="69"/>
    </row>
    <row r="48" spans="1:13" x14ac:dyDescent="0.3">
      <c r="A48" s="65" t="s">
        <v>89</v>
      </c>
      <c r="B48" s="66" t="s">
        <v>246</v>
      </c>
      <c r="C48" s="67"/>
      <c r="D48" s="67"/>
      <c r="E48" s="67"/>
      <c r="F48" s="67"/>
      <c r="G48" s="67"/>
      <c r="H48" s="178"/>
      <c r="I48" s="67"/>
      <c r="J48" s="66"/>
      <c r="K48" s="66"/>
      <c r="L48" s="67"/>
      <c r="M48" s="69"/>
    </row>
    <row r="49" spans="1:13" x14ac:dyDescent="0.3">
      <c r="A49" s="65" t="s">
        <v>49</v>
      </c>
      <c r="B49" s="66" t="s">
        <v>247</v>
      </c>
      <c r="C49" s="67"/>
      <c r="D49" s="67"/>
      <c r="E49" s="80" t="s">
        <v>90</v>
      </c>
      <c r="F49" s="67"/>
      <c r="G49" s="67"/>
      <c r="H49" s="178"/>
      <c r="I49" s="67"/>
      <c r="J49" s="66"/>
      <c r="K49" s="66"/>
      <c r="L49" s="67"/>
      <c r="M49" s="69"/>
    </row>
    <row r="50" spans="1:13" x14ac:dyDescent="0.3">
      <c r="A50" s="65" t="s">
        <v>50</v>
      </c>
      <c r="B50" s="66" t="s">
        <v>248</v>
      </c>
      <c r="C50" s="67"/>
      <c r="D50" s="67"/>
      <c r="E50" s="67"/>
      <c r="F50" s="67"/>
      <c r="G50" s="67"/>
      <c r="H50" s="178"/>
      <c r="I50" s="67"/>
      <c r="J50" s="66"/>
      <c r="K50" s="66"/>
      <c r="L50" s="67"/>
      <c r="M50" s="69"/>
    </row>
    <row r="51" spans="1:13" x14ac:dyDescent="0.3">
      <c r="A51" s="65" t="s">
        <v>91</v>
      </c>
      <c r="B51" s="66" t="s">
        <v>249</v>
      </c>
      <c r="C51" s="67"/>
      <c r="D51" s="67"/>
      <c r="E51" s="67"/>
      <c r="F51" s="67"/>
      <c r="G51" s="67"/>
      <c r="H51" s="178"/>
      <c r="I51" s="67"/>
      <c r="J51" s="66"/>
      <c r="K51" s="66"/>
      <c r="L51" s="67"/>
      <c r="M51" s="69"/>
    </row>
    <row r="52" spans="1:13" ht="15" thickBot="1" x14ac:dyDescent="0.35">
      <c r="A52" s="81" t="s">
        <v>51</v>
      </c>
      <c r="B52" s="82" t="s">
        <v>250</v>
      </c>
      <c r="C52" s="83"/>
      <c r="D52" s="83"/>
      <c r="E52" s="83"/>
      <c r="F52" s="83"/>
      <c r="G52" s="83"/>
      <c r="H52" s="179"/>
      <c r="I52" s="83"/>
      <c r="J52" s="82"/>
      <c r="K52" s="82"/>
      <c r="L52" s="83"/>
      <c r="M52" s="84"/>
    </row>
    <row r="53" spans="1:13" x14ac:dyDescent="0.3">
      <c r="A53" s="1" t="s">
        <v>52</v>
      </c>
      <c r="B53" s="85" t="s">
        <v>251</v>
      </c>
      <c r="C53" s="3"/>
      <c r="D53" s="86"/>
      <c r="E53" s="3"/>
      <c r="F53" s="3"/>
      <c r="G53" s="3"/>
      <c r="H53" s="174" t="s">
        <v>92</v>
      </c>
      <c r="I53" s="3"/>
      <c r="J53" s="85"/>
      <c r="K53" s="85"/>
      <c r="L53" s="3"/>
      <c r="M53" s="6"/>
    </row>
    <row r="54" spans="1:13" x14ac:dyDescent="0.3">
      <c r="A54" s="7" t="s">
        <v>53</v>
      </c>
      <c r="B54" s="87" t="s">
        <v>252</v>
      </c>
      <c r="C54" s="9"/>
      <c r="D54" s="9"/>
      <c r="E54" s="9"/>
      <c r="F54" s="9"/>
      <c r="G54" s="9"/>
      <c r="H54" s="175"/>
      <c r="I54" s="9"/>
      <c r="J54" s="87"/>
      <c r="K54" s="87"/>
      <c r="L54" s="9"/>
      <c r="M54" s="11"/>
    </row>
    <row r="55" spans="1:13" x14ac:dyDescent="0.3">
      <c r="A55" s="7" t="s">
        <v>54</v>
      </c>
      <c r="B55" s="87" t="s">
        <v>253</v>
      </c>
      <c r="C55" s="9"/>
      <c r="D55" s="88" t="s">
        <v>93</v>
      </c>
      <c r="E55" s="9"/>
      <c r="F55" s="9"/>
      <c r="G55" s="9"/>
      <c r="H55" s="175"/>
      <c r="I55" s="9"/>
      <c r="J55" s="87"/>
      <c r="K55" s="87"/>
      <c r="L55" s="9"/>
      <c r="M55" s="11"/>
    </row>
    <row r="56" spans="1:13" x14ac:dyDescent="0.3">
      <c r="A56" s="7" t="s">
        <v>55</v>
      </c>
      <c r="B56" s="87" t="s">
        <v>254</v>
      </c>
      <c r="C56" s="9"/>
      <c r="D56" s="9"/>
      <c r="E56" s="9"/>
      <c r="F56" s="9"/>
      <c r="G56" s="9"/>
      <c r="H56" s="175"/>
      <c r="I56" s="9"/>
      <c r="J56" s="87"/>
      <c r="K56" s="87"/>
      <c r="L56" s="9"/>
      <c r="M56" s="11"/>
    </row>
    <row r="57" spans="1:13" x14ac:dyDescent="0.3">
      <c r="A57" s="7" t="s">
        <v>56</v>
      </c>
      <c r="B57" s="87" t="s">
        <v>255</v>
      </c>
      <c r="C57" s="9"/>
      <c r="D57" s="9"/>
      <c r="E57" s="9"/>
      <c r="F57" s="9"/>
      <c r="G57" s="9"/>
      <c r="H57" s="175"/>
      <c r="I57" s="9"/>
      <c r="J57" s="87"/>
      <c r="K57" s="87"/>
      <c r="L57" s="9"/>
      <c r="M57" s="11"/>
    </row>
    <row r="58" spans="1:13" x14ac:dyDescent="0.3">
      <c r="A58" s="46" t="s">
        <v>57</v>
      </c>
      <c r="B58" s="47" t="s">
        <v>256</v>
      </c>
      <c r="C58" s="48"/>
      <c r="D58" s="49"/>
      <c r="E58" s="48"/>
      <c r="F58" s="48"/>
      <c r="G58" s="48"/>
      <c r="H58" s="175"/>
      <c r="I58" s="48"/>
      <c r="J58" s="47"/>
      <c r="K58" s="47"/>
      <c r="L58" s="48"/>
      <c r="M58" s="51"/>
    </row>
    <row r="59" spans="1:13" x14ac:dyDescent="0.3">
      <c r="A59" s="46" t="s">
        <v>58</v>
      </c>
      <c r="B59" s="47" t="s">
        <v>257</v>
      </c>
      <c r="C59" s="48"/>
      <c r="D59" s="48"/>
      <c r="E59" s="48"/>
      <c r="F59" s="48"/>
      <c r="G59" s="48"/>
      <c r="H59" s="175"/>
      <c r="I59" s="48"/>
      <c r="J59" s="47"/>
      <c r="K59" s="47"/>
      <c r="L59" s="48"/>
      <c r="M59" s="51"/>
    </row>
    <row r="60" spans="1:13" x14ac:dyDescent="0.3">
      <c r="A60" s="46" t="s">
        <v>59</v>
      </c>
      <c r="B60" s="47" t="s">
        <v>258</v>
      </c>
      <c r="C60" s="48"/>
      <c r="D60" s="48"/>
      <c r="E60" s="48"/>
      <c r="F60" s="48"/>
      <c r="G60" s="48"/>
      <c r="H60" s="175"/>
      <c r="I60" s="48"/>
      <c r="J60" s="47"/>
      <c r="K60" s="47"/>
      <c r="L60" s="48"/>
      <c r="M60" s="51"/>
    </row>
    <row r="61" spans="1:13" x14ac:dyDescent="0.3">
      <c r="A61" s="46" t="s">
        <v>60</v>
      </c>
      <c r="B61" s="47" t="s">
        <v>259</v>
      </c>
      <c r="C61" s="48"/>
      <c r="D61" s="48"/>
      <c r="E61" s="48"/>
      <c r="F61" s="48"/>
      <c r="G61" s="48"/>
      <c r="H61" s="175"/>
      <c r="I61" s="48"/>
      <c r="J61" s="47"/>
      <c r="K61" s="47"/>
      <c r="L61" s="48"/>
      <c r="M61" s="51"/>
    </row>
    <row r="62" spans="1:13" x14ac:dyDescent="0.3">
      <c r="A62" s="46" t="s">
        <v>61</v>
      </c>
      <c r="B62" s="47" t="s">
        <v>260</v>
      </c>
      <c r="C62" s="48"/>
      <c r="D62" s="48"/>
      <c r="E62" s="48"/>
      <c r="F62" s="48"/>
      <c r="G62" s="48"/>
      <c r="H62" s="175"/>
      <c r="I62" s="48"/>
      <c r="J62" s="47"/>
      <c r="K62" s="47"/>
      <c r="L62" s="48"/>
      <c r="M62" s="51"/>
    </row>
    <row r="63" spans="1:13" x14ac:dyDescent="0.3">
      <c r="A63" s="46" t="s">
        <v>62</v>
      </c>
      <c r="B63" s="47" t="s">
        <v>261</v>
      </c>
      <c r="C63" s="48"/>
      <c r="D63" s="52" t="s">
        <v>94</v>
      </c>
      <c r="E63" s="48"/>
      <c r="F63" s="48"/>
      <c r="G63" s="48"/>
      <c r="H63" s="175"/>
      <c r="I63" s="48"/>
      <c r="J63" s="47"/>
      <c r="K63" s="47"/>
      <c r="L63" s="48"/>
      <c r="M63" s="51"/>
    </row>
    <row r="64" spans="1:13" x14ac:dyDescent="0.3">
      <c r="A64" s="46" t="s">
        <v>63</v>
      </c>
      <c r="B64" s="47" t="s">
        <v>262</v>
      </c>
      <c r="C64" s="48"/>
      <c r="D64" s="48"/>
      <c r="E64" s="48"/>
      <c r="F64" s="48"/>
      <c r="G64" s="48"/>
      <c r="H64" s="175"/>
      <c r="I64" s="48"/>
      <c r="J64" s="47"/>
      <c r="K64" s="47"/>
      <c r="L64" s="48"/>
      <c r="M64" s="51"/>
    </row>
    <row r="65" spans="1:13" x14ac:dyDescent="0.3">
      <c r="A65" s="46" t="s">
        <v>64</v>
      </c>
      <c r="B65" s="47" t="s">
        <v>263</v>
      </c>
      <c r="C65" s="48"/>
      <c r="D65" s="48"/>
      <c r="E65" s="48"/>
      <c r="F65" s="48"/>
      <c r="G65" s="48"/>
      <c r="H65" s="175"/>
      <c r="I65" s="48"/>
      <c r="J65" s="47"/>
      <c r="K65" s="47"/>
      <c r="L65" s="48"/>
      <c r="M65" s="51"/>
    </row>
    <row r="66" spans="1:13" x14ac:dyDescent="0.3">
      <c r="A66" s="46" t="s">
        <v>65</v>
      </c>
      <c r="B66" s="47" t="s">
        <v>264</v>
      </c>
      <c r="C66" s="48"/>
      <c r="D66" s="48"/>
      <c r="E66" s="48"/>
      <c r="F66" s="48"/>
      <c r="G66" s="48"/>
      <c r="H66" s="175"/>
      <c r="I66" s="48"/>
      <c r="J66" s="47"/>
      <c r="K66" s="47"/>
      <c r="L66" s="48"/>
      <c r="M66" s="51"/>
    </row>
    <row r="67" spans="1:13" x14ac:dyDescent="0.3">
      <c r="A67" s="46" t="s">
        <v>66</v>
      </c>
      <c r="B67" s="47" t="s">
        <v>265</v>
      </c>
      <c r="C67" s="48"/>
      <c r="D67" s="48"/>
      <c r="E67" s="48"/>
      <c r="F67" s="48"/>
      <c r="G67" s="48"/>
      <c r="H67" s="175"/>
      <c r="I67" s="48"/>
      <c r="J67" s="47"/>
      <c r="K67" s="47"/>
      <c r="L67" s="48"/>
      <c r="M67" s="51"/>
    </row>
    <row r="68" spans="1:13" x14ac:dyDescent="0.3">
      <c r="A68" s="46" t="s">
        <v>67</v>
      </c>
      <c r="B68" s="47" t="s">
        <v>266</v>
      </c>
      <c r="C68" s="48"/>
      <c r="D68" s="48"/>
      <c r="E68" s="48"/>
      <c r="F68" s="48"/>
      <c r="G68" s="48"/>
      <c r="H68" s="175"/>
      <c r="I68" s="48"/>
      <c r="J68" s="47"/>
      <c r="K68" s="47"/>
      <c r="L68" s="48"/>
      <c r="M68" s="51"/>
    </row>
    <row r="69" spans="1:13" x14ac:dyDescent="0.3">
      <c r="A69" s="46" t="s">
        <v>68</v>
      </c>
      <c r="B69" s="47" t="s">
        <v>267</v>
      </c>
      <c r="C69" s="48"/>
      <c r="D69" s="48"/>
      <c r="E69" s="48"/>
      <c r="F69" s="48"/>
      <c r="G69" s="48"/>
      <c r="H69" s="175"/>
      <c r="I69" s="48"/>
      <c r="J69" s="47"/>
      <c r="K69" s="47"/>
      <c r="L69" s="48"/>
      <c r="M69" s="51"/>
    </row>
    <row r="70" spans="1:13" ht="15" thickBot="1" x14ac:dyDescent="0.35">
      <c r="A70" s="53" t="s">
        <v>69</v>
      </c>
      <c r="B70" s="54" t="s">
        <v>268</v>
      </c>
      <c r="C70" s="55"/>
      <c r="D70" s="55"/>
      <c r="E70" s="55"/>
      <c r="F70" s="55"/>
      <c r="G70" s="55"/>
      <c r="H70" s="176"/>
      <c r="I70" s="55"/>
      <c r="J70" s="54"/>
      <c r="K70" s="54"/>
      <c r="L70" s="55"/>
      <c r="M70" s="57"/>
    </row>
    <row r="71" spans="1:13" x14ac:dyDescent="0.3">
      <c r="A71" s="89" t="s">
        <v>70</v>
      </c>
      <c r="B71" s="90" t="s">
        <v>269</v>
      </c>
      <c r="C71" s="91"/>
      <c r="D71" s="92"/>
      <c r="E71" s="91"/>
      <c r="F71" s="91"/>
      <c r="G71" s="15"/>
      <c r="H71" s="91"/>
      <c r="I71" s="91"/>
      <c r="J71" s="93"/>
      <c r="K71" s="93"/>
      <c r="L71" s="91"/>
      <c r="M71" s="94"/>
    </row>
    <row r="72" spans="1:13" x14ac:dyDescent="0.3">
      <c r="A72" s="13" t="s">
        <v>71</v>
      </c>
      <c r="B72" s="90" t="s">
        <v>270</v>
      </c>
      <c r="C72" s="15"/>
      <c r="D72" s="15"/>
      <c r="E72" s="15"/>
      <c r="F72" s="15"/>
      <c r="G72" s="15"/>
      <c r="H72" s="95" t="s">
        <v>95</v>
      </c>
      <c r="I72" s="96"/>
      <c r="J72" s="97"/>
      <c r="K72" s="97"/>
      <c r="L72" s="15"/>
      <c r="M72" s="18"/>
    </row>
    <row r="73" spans="1:13" x14ac:dyDescent="0.3">
      <c r="A73" s="13" t="s">
        <v>72</v>
      </c>
      <c r="B73" s="90" t="s">
        <v>271</v>
      </c>
      <c r="C73" s="15"/>
      <c r="D73" s="21" t="s">
        <v>96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98" t="s">
        <v>73</v>
      </c>
      <c r="B74" s="90" t="s">
        <v>272</v>
      </c>
      <c r="C74" s="99"/>
      <c r="D74" s="99"/>
      <c r="E74" s="99"/>
      <c r="F74" s="99"/>
      <c r="G74" s="99"/>
      <c r="H74" s="99"/>
      <c r="I74" s="99"/>
      <c r="J74" s="100"/>
      <c r="K74" s="100"/>
      <c r="L74" s="99"/>
      <c r="M74" s="101"/>
    </row>
    <row r="75" spans="1:13" ht="15" thickBot="1" x14ac:dyDescent="0.35">
      <c r="A75" s="102" t="s">
        <v>97</v>
      </c>
      <c r="B75" s="103" t="s">
        <v>273</v>
      </c>
      <c r="C75" s="104"/>
      <c r="D75" s="105" t="s">
        <v>98</v>
      </c>
      <c r="E75" s="104"/>
      <c r="F75" s="104"/>
      <c r="G75" s="104"/>
      <c r="H75" s="104"/>
      <c r="I75" s="104"/>
      <c r="J75" s="106"/>
      <c r="K75" s="106"/>
      <c r="L75" s="104"/>
      <c r="M75" s="107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B238"/>
  <sheetViews>
    <sheetView showGridLines="0" tabSelected="1" zoomScaleNormal="100" workbookViewId="0">
      <selection activeCell="B17" sqref="B17"/>
    </sheetView>
  </sheetViews>
  <sheetFormatPr defaultRowHeight="13.8" x14ac:dyDescent="0.3"/>
  <cols>
    <col min="1" max="1" width="45" style="120" bestFit="1" customWidth="1"/>
    <col min="2" max="2" width="10.88671875" style="120" customWidth="1"/>
    <col min="3" max="3" width="9.109375" style="120" bestFit="1" customWidth="1"/>
    <col min="4" max="4" width="7.5546875" style="120" bestFit="1" customWidth="1"/>
    <col min="5" max="7" width="9.109375" style="120" bestFit="1" customWidth="1"/>
    <col min="8" max="9" width="7.5546875" style="120" bestFit="1" customWidth="1"/>
    <col min="10" max="12" width="6.5546875" style="120" bestFit="1" customWidth="1"/>
    <col min="13" max="13" width="9.88671875" style="120" bestFit="1" customWidth="1"/>
    <col min="14" max="14" width="9.109375" style="120" bestFit="1" customWidth="1"/>
    <col min="15" max="16" width="11" style="120" customWidth="1"/>
    <col min="17" max="18" width="7.5546875" style="120" bestFit="1" customWidth="1"/>
    <col min="19" max="19" width="5.5546875" style="120" bestFit="1" customWidth="1"/>
    <col min="20" max="20" width="4" style="120" bestFit="1" customWidth="1"/>
    <col min="21" max="21" width="7.5546875" style="120" bestFit="1" customWidth="1"/>
    <col min="22" max="22" width="6.5546875" style="120" bestFit="1" customWidth="1"/>
    <col min="23" max="23" width="30.21875" style="120" bestFit="1" customWidth="1"/>
    <col min="24" max="24" width="8" style="120" customWidth="1"/>
    <col min="25" max="25" width="11.5546875" style="120" customWidth="1"/>
    <col min="26" max="26" width="10.109375" style="120" customWidth="1"/>
    <col min="27" max="27" width="8.88671875" style="120"/>
    <col min="28" max="28" width="2.5546875" style="120" bestFit="1" customWidth="1"/>
    <col min="29" max="16384" width="8.88671875" style="120"/>
  </cols>
  <sheetData>
    <row r="2" spans="1:26" ht="18" x14ac:dyDescent="0.35">
      <c r="B2" s="244" t="s">
        <v>0</v>
      </c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R2" s="121"/>
      <c r="S2" s="121"/>
      <c r="T2" s="121"/>
      <c r="U2" s="122"/>
      <c r="V2" s="122"/>
      <c r="W2" s="122"/>
      <c r="X2" s="122"/>
      <c r="Y2" s="122"/>
      <c r="Z2" s="122"/>
    </row>
    <row r="3" spans="1:26" ht="18" x14ac:dyDescent="0.3">
      <c r="B3" s="245" t="s">
        <v>287</v>
      </c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W3" s="167"/>
      <c r="X3" s="122"/>
      <c r="Y3" s="122"/>
      <c r="Z3" s="122"/>
    </row>
    <row r="4" spans="1:26" ht="18" x14ac:dyDescent="0.35">
      <c r="B4" s="246" t="s">
        <v>1</v>
      </c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123"/>
      <c r="R4" s="123"/>
      <c r="S4" s="123"/>
      <c r="T4" s="123"/>
      <c r="U4" s="123"/>
      <c r="V4" s="123"/>
      <c r="W4" s="122"/>
      <c r="X4" s="122"/>
      <c r="Y4" s="122"/>
      <c r="Z4" s="122"/>
    </row>
    <row r="5" spans="1:26" ht="18" x14ac:dyDescent="0.3">
      <c r="B5" s="245" t="s">
        <v>288</v>
      </c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123"/>
      <c r="R5" s="123"/>
      <c r="S5" s="123"/>
      <c r="T5" s="123"/>
      <c r="U5" s="123"/>
      <c r="V5" s="123"/>
      <c r="W5" s="122"/>
      <c r="X5" s="122"/>
      <c r="Y5" s="122"/>
      <c r="Z5" s="122"/>
    </row>
    <row r="6" spans="1:26" customFormat="1" ht="15" customHeight="1" thickBot="1" x14ac:dyDescent="0.35">
      <c r="A6" s="135" t="s">
        <v>2</v>
      </c>
      <c r="B6" s="136"/>
      <c r="C6" s="136"/>
      <c r="D6" s="136"/>
      <c r="E6" s="136"/>
      <c r="F6" s="136"/>
      <c r="G6" s="137"/>
      <c r="H6" s="137"/>
      <c r="I6" s="137"/>
      <c r="J6" s="137"/>
      <c r="K6" s="137"/>
      <c r="L6" s="137"/>
      <c r="M6" s="243"/>
      <c r="N6" s="243"/>
      <c r="O6" s="243"/>
      <c r="P6" s="243"/>
      <c r="Q6" s="137"/>
      <c r="R6" s="137"/>
      <c r="S6" s="137"/>
      <c r="T6" s="137"/>
      <c r="U6" s="137"/>
      <c r="V6" s="137"/>
      <c r="W6" s="138"/>
      <c r="X6" s="139"/>
      <c r="Y6" s="140" t="s">
        <v>282</v>
      </c>
      <c r="Z6" s="141"/>
    </row>
    <row r="7" spans="1:26" customFormat="1" ht="13.2" customHeight="1" x14ac:dyDescent="0.3">
      <c r="A7" s="237" t="s">
        <v>274</v>
      </c>
      <c r="B7" s="240" t="s">
        <v>306</v>
      </c>
      <c r="C7" s="247" t="s">
        <v>289</v>
      </c>
      <c r="D7" s="248"/>
      <c r="E7" s="248"/>
      <c r="F7" s="249"/>
      <c r="G7" s="191" t="s">
        <v>291</v>
      </c>
      <c r="H7" s="192"/>
      <c r="I7" s="191" t="s">
        <v>293</v>
      </c>
      <c r="J7" s="192"/>
      <c r="K7" s="191" t="s">
        <v>295</v>
      </c>
      <c r="L7" s="192"/>
      <c r="M7" s="247" t="s">
        <v>297</v>
      </c>
      <c r="N7" s="248"/>
      <c r="O7" s="248"/>
      <c r="P7" s="249"/>
      <c r="Q7" s="191" t="s">
        <v>309</v>
      </c>
      <c r="R7" s="192"/>
      <c r="S7" s="191" t="s">
        <v>311</v>
      </c>
      <c r="T7" s="192"/>
      <c r="U7" s="191" t="s">
        <v>313</v>
      </c>
      <c r="V7" s="197"/>
      <c r="W7" s="210" t="s">
        <v>3</v>
      </c>
      <c r="X7" s="210"/>
      <c r="Y7" s="210"/>
    </row>
    <row r="8" spans="1:26" customFormat="1" ht="36.6" customHeight="1" x14ac:dyDescent="0.3">
      <c r="A8" s="238"/>
      <c r="B8" s="241"/>
      <c r="C8" s="200" t="s">
        <v>300</v>
      </c>
      <c r="D8" s="236"/>
      <c r="E8" s="201" t="s">
        <v>302</v>
      </c>
      <c r="F8" s="236"/>
      <c r="G8" s="193"/>
      <c r="H8" s="194"/>
      <c r="I8" s="193"/>
      <c r="J8" s="194"/>
      <c r="K8" s="193"/>
      <c r="L8" s="194"/>
      <c r="M8" s="200" t="s">
        <v>303</v>
      </c>
      <c r="N8" s="236"/>
      <c r="O8" s="200" t="s">
        <v>304</v>
      </c>
      <c r="P8" s="236"/>
      <c r="Q8" s="193"/>
      <c r="R8" s="194"/>
      <c r="S8" s="193"/>
      <c r="T8" s="194"/>
      <c r="U8" s="193"/>
      <c r="V8" s="198"/>
      <c r="W8" s="210"/>
      <c r="X8" s="210"/>
      <c r="Y8" s="210"/>
    </row>
    <row r="9" spans="1:26" customFormat="1" ht="14.4" x14ac:dyDescent="0.3">
      <c r="A9" s="238"/>
      <c r="B9" s="242"/>
      <c r="C9" s="200" t="s">
        <v>290</v>
      </c>
      <c r="D9" s="201"/>
      <c r="E9" s="201"/>
      <c r="F9" s="236"/>
      <c r="G9" s="195"/>
      <c r="H9" s="196"/>
      <c r="I9" s="195"/>
      <c r="J9" s="196"/>
      <c r="K9" s="195"/>
      <c r="L9" s="196"/>
      <c r="M9" s="200" t="s">
        <v>298</v>
      </c>
      <c r="N9" s="201"/>
      <c r="O9" s="201"/>
      <c r="P9" s="236"/>
      <c r="Q9" s="195"/>
      <c r="R9" s="196"/>
      <c r="S9" s="195"/>
      <c r="T9" s="196"/>
      <c r="U9" s="195"/>
      <c r="V9" s="199"/>
      <c r="W9" s="210"/>
      <c r="X9" s="210"/>
      <c r="Y9" s="210"/>
    </row>
    <row r="10" spans="1:26" customFormat="1" ht="32.4" customHeight="1" x14ac:dyDescent="0.3">
      <c r="A10" s="238"/>
      <c r="B10" s="241" t="s">
        <v>305</v>
      </c>
      <c r="C10" s="200" t="s">
        <v>299</v>
      </c>
      <c r="D10" s="236"/>
      <c r="E10" s="200" t="s">
        <v>301</v>
      </c>
      <c r="F10" s="236"/>
      <c r="G10" s="195" t="s">
        <v>292</v>
      </c>
      <c r="H10" s="196"/>
      <c r="I10" s="250" t="s">
        <v>294</v>
      </c>
      <c r="J10" s="251"/>
      <c r="K10" s="195" t="s">
        <v>296</v>
      </c>
      <c r="L10" s="196"/>
      <c r="M10" s="200" t="s">
        <v>307</v>
      </c>
      <c r="N10" s="236"/>
      <c r="O10" s="200" t="s">
        <v>308</v>
      </c>
      <c r="P10" s="236"/>
      <c r="Q10" s="200" t="s">
        <v>310</v>
      </c>
      <c r="R10" s="236"/>
      <c r="S10" s="200" t="s">
        <v>312</v>
      </c>
      <c r="T10" s="236"/>
      <c r="U10" s="200" t="s">
        <v>314</v>
      </c>
      <c r="V10" s="252"/>
      <c r="W10" s="210"/>
      <c r="X10" s="210"/>
      <c r="Y10" s="210"/>
    </row>
    <row r="11" spans="1:26" customFormat="1" ht="14.4" x14ac:dyDescent="0.3">
      <c r="A11" s="239"/>
      <c r="B11" s="242"/>
      <c r="C11" s="142">
        <v>1</v>
      </c>
      <c r="D11" s="142">
        <v>2</v>
      </c>
      <c r="E11" s="142">
        <v>1</v>
      </c>
      <c r="F11" s="142">
        <v>2</v>
      </c>
      <c r="G11" s="142">
        <v>1</v>
      </c>
      <c r="H11" s="142">
        <v>2</v>
      </c>
      <c r="I11" s="142">
        <v>1</v>
      </c>
      <c r="J11" s="142">
        <v>2</v>
      </c>
      <c r="K11" s="142">
        <v>1</v>
      </c>
      <c r="L11" s="142">
        <v>2</v>
      </c>
      <c r="M11" s="142">
        <v>1</v>
      </c>
      <c r="N11" s="142">
        <v>2</v>
      </c>
      <c r="O11" s="142">
        <v>1</v>
      </c>
      <c r="P11" s="142">
        <v>2</v>
      </c>
      <c r="Q11" s="142">
        <v>1</v>
      </c>
      <c r="R11" s="142">
        <v>2</v>
      </c>
      <c r="S11" s="142">
        <v>1</v>
      </c>
      <c r="T11" s="142">
        <v>2</v>
      </c>
      <c r="U11" s="142">
        <v>1</v>
      </c>
      <c r="V11" s="143">
        <v>2</v>
      </c>
      <c r="W11" s="211"/>
      <c r="X11" s="211"/>
      <c r="Y11" s="211"/>
    </row>
    <row r="12" spans="1:26" customFormat="1" ht="11.4" customHeight="1" x14ac:dyDescent="0.3">
      <c r="A12" s="234" t="s">
        <v>99</v>
      </c>
      <c r="B12" s="231">
        <f>SUM(C12,E12,G12,I12,K12,M12,O12,Q12,S12,U12)</f>
        <v>7380512</v>
      </c>
      <c r="C12" s="202">
        <f>SUM(C14,C22,C31,C36,C42,C49,C56,C63,C68,C75,C85,C92,C107)</f>
        <v>1050715</v>
      </c>
      <c r="D12" s="204">
        <f>SUM(D14,D22,D31,D36,D42,D49,D56,D63,D68,D75,D85,D92,D107)</f>
        <v>325673.08400000009</v>
      </c>
      <c r="E12" s="202">
        <f t="shared" ref="E12:V12" si="0">SUM(E14,E22,E31,E36,E42,E49,E56,E63,E68,E75,E85,E92,E107)</f>
        <v>3222455</v>
      </c>
      <c r="F12" s="204">
        <f t="shared" si="0"/>
        <v>1010288.2520000002</v>
      </c>
      <c r="G12" s="202">
        <f t="shared" si="0"/>
        <v>1146070</v>
      </c>
      <c r="H12" s="204">
        <f>SUM(H14,H22,H31,H36,H42,H49,H56,H63,H68,H75,H85,H92,H107)</f>
        <v>361066.31099999993</v>
      </c>
      <c r="I12" s="202">
        <f t="shared" si="0"/>
        <v>355335</v>
      </c>
      <c r="J12" s="204">
        <f t="shared" si="0"/>
        <v>84424.228000000003</v>
      </c>
      <c r="K12" s="202">
        <f t="shared" si="0"/>
        <v>81416</v>
      </c>
      <c r="L12" s="204">
        <f t="shared" si="0"/>
        <v>18766.681</v>
      </c>
      <c r="M12" s="202">
        <f t="shared" si="0"/>
        <v>1166798</v>
      </c>
      <c r="N12" s="204">
        <f t="shared" si="0"/>
        <v>1372315.808</v>
      </c>
      <c r="O12" s="202">
        <f t="shared" si="0"/>
        <v>2785</v>
      </c>
      <c r="P12" s="204">
        <f t="shared" si="0"/>
        <v>3188.0919999999996</v>
      </c>
      <c r="Q12" s="202">
        <f t="shared" si="0"/>
        <v>236554</v>
      </c>
      <c r="R12" s="204">
        <f t="shared" si="0"/>
        <v>187705.45100000006</v>
      </c>
      <c r="S12" s="202">
        <f t="shared" si="0"/>
        <v>2356</v>
      </c>
      <c r="T12" s="204">
        <f t="shared" si="0"/>
        <v>598.51799999999992</v>
      </c>
      <c r="U12" s="202">
        <f t="shared" si="0"/>
        <v>116028</v>
      </c>
      <c r="V12" s="212">
        <f t="shared" si="0"/>
        <v>30094.425999999999</v>
      </c>
      <c r="W12" s="207" t="s">
        <v>126</v>
      </c>
      <c r="X12" s="207"/>
      <c r="Y12" s="207"/>
    </row>
    <row r="13" spans="1:26" customFormat="1" ht="14.4" x14ac:dyDescent="0.3">
      <c r="A13" s="235"/>
      <c r="B13" s="232"/>
      <c r="C13" s="203"/>
      <c r="D13" s="205"/>
      <c r="E13" s="203"/>
      <c r="F13" s="205"/>
      <c r="G13" s="203"/>
      <c r="H13" s="205"/>
      <c r="I13" s="203"/>
      <c r="J13" s="205"/>
      <c r="K13" s="203"/>
      <c r="L13" s="205"/>
      <c r="M13" s="203"/>
      <c r="N13" s="205"/>
      <c r="O13" s="203"/>
      <c r="P13" s="205"/>
      <c r="Q13" s="203"/>
      <c r="R13" s="205"/>
      <c r="S13" s="203"/>
      <c r="T13" s="205"/>
      <c r="U13" s="203"/>
      <c r="V13" s="213"/>
      <c r="W13" s="208"/>
      <c r="X13" s="208"/>
      <c r="Y13" s="208"/>
    </row>
    <row r="14" spans="1:26" customFormat="1" ht="10.199999999999999" customHeight="1" x14ac:dyDescent="0.3">
      <c r="A14" s="190" t="s">
        <v>100</v>
      </c>
      <c r="B14" s="233">
        <f>SUM(B16:B21)</f>
        <v>1194078</v>
      </c>
      <c r="C14" s="214">
        <f>SUM(C16:C21)</f>
        <v>217364</v>
      </c>
      <c r="D14" s="216">
        <f>SUM(D16:D21)</f>
        <v>76521.332999999999</v>
      </c>
      <c r="E14" s="214">
        <f t="shared" ref="E14:L14" si="1">SUM(E16:E21)</f>
        <v>517610</v>
      </c>
      <c r="F14" s="216">
        <f t="shared" si="1"/>
        <v>177406.89199999999</v>
      </c>
      <c r="G14" s="214">
        <f t="shared" si="1"/>
        <v>92575</v>
      </c>
      <c r="H14" s="216">
        <f>SUM(H16:H21)</f>
        <v>31543.555</v>
      </c>
      <c r="I14" s="214">
        <f t="shared" si="1"/>
        <v>8817</v>
      </c>
      <c r="J14" s="216">
        <f t="shared" si="1"/>
        <v>2832.915</v>
      </c>
      <c r="K14" s="214">
        <f t="shared" si="1"/>
        <v>4331</v>
      </c>
      <c r="L14" s="216">
        <f t="shared" si="1"/>
        <v>1089.5140000000001</v>
      </c>
      <c r="M14" s="214">
        <f>SUM(M16:M21)</f>
        <v>328901</v>
      </c>
      <c r="N14" s="189">
        <f t="shared" ref="N14:V14" si="2">SUM(N16:N21)</f>
        <v>373905.97100000002</v>
      </c>
      <c r="O14" s="214">
        <f t="shared" si="2"/>
        <v>117</v>
      </c>
      <c r="P14" s="189">
        <f t="shared" si="2"/>
        <v>110</v>
      </c>
      <c r="Q14" s="214">
        <f>SUM(Q16:Q21)</f>
        <v>18618</v>
      </c>
      <c r="R14" s="189">
        <f>SUM(R16:R21)</f>
        <v>14629.594000000001</v>
      </c>
      <c r="S14" s="214">
        <f t="shared" si="2"/>
        <v>575</v>
      </c>
      <c r="T14" s="189">
        <f t="shared" si="2"/>
        <v>148.6</v>
      </c>
      <c r="U14" s="214">
        <f t="shared" si="2"/>
        <v>5170</v>
      </c>
      <c r="V14" s="206">
        <f t="shared" si="2"/>
        <v>1342.3430000000001</v>
      </c>
      <c r="W14" s="208" t="s">
        <v>114</v>
      </c>
      <c r="X14" s="208"/>
      <c r="Y14" s="208"/>
    </row>
    <row r="15" spans="1:26" customFormat="1" ht="12" customHeight="1" x14ac:dyDescent="0.3">
      <c r="A15" s="190"/>
      <c r="B15" s="233"/>
      <c r="C15" s="214"/>
      <c r="D15" s="216"/>
      <c r="E15" s="214"/>
      <c r="F15" s="216"/>
      <c r="G15" s="214"/>
      <c r="H15" s="216"/>
      <c r="I15" s="214"/>
      <c r="J15" s="216"/>
      <c r="K15" s="214"/>
      <c r="L15" s="216"/>
      <c r="M15" s="214"/>
      <c r="N15" s="189"/>
      <c r="O15" s="214"/>
      <c r="P15" s="189"/>
      <c r="Q15" s="214"/>
      <c r="R15" s="189"/>
      <c r="S15" s="214"/>
      <c r="T15" s="189"/>
      <c r="U15" s="214"/>
      <c r="V15" s="206"/>
      <c r="W15" s="208"/>
      <c r="X15" s="208"/>
      <c r="Y15" s="208"/>
    </row>
    <row r="16" spans="1:26" customFormat="1" ht="14.4" x14ac:dyDescent="0.3">
      <c r="A16" s="144" t="s">
        <v>199</v>
      </c>
      <c r="B16" s="171">
        <f>SUM(C16,E16,G16,I16,K16,M16,O16,Q16,S16,U16)</f>
        <v>250605</v>
      </c>
      <c r="C16" s="159">
        <v>63620</v>
      </c>
      <c r="D16" s="159">
        <v>24215.203000000001</v>
      </c>
      <c r="E16" s="158">
        <v>129776</v>
      </c>
      <c r="F16" s="159">
        <v>43282.64</v>
      </c>
      <c r="G16" s="158">
        <v>30851</v>
      </c>
      <c r="H16" s="159">
        <v>10707.573</v>
      </c>
      <c r="I16" s="158">
        <v>501</v>
      </c>
      <c r="J16" s="159">
        <v>116.515</v>
      </c>
      <c r="K16" s="158">
        <v>748</v>
      </c>
      <c r="L16" s="159">
        <v>159.13</v>
      </c>
      <c r="M16" s="158">
        <v>22327</v>
      </c>
      <c r="N16" s="159">
        <v>23744.195</v>
      </c>
      <c r="O16" s="160" t="s">
        <v>278</v>
      </c>
      <c r="P16" s="159" t="s">
        <v>278</v>
      </c>
      <c r="Q16" s="158" t="s">
        <v>278</v>
      </c>
      <c r="R16" s="159" t="s">
        <v>278</v>
      </c>
      <c r="S16" s="158" t="s">
        <v>278</v>
      </c>
      <c r="T16" s="159" t="s">
        <v>278</v>
      </c>
      <c r="U16" s="158">
        <v>2782</v>
      </c>
      <c r="V16" s="162">
        <v>764.90499999999997</v>
      </c>
      <c r="W16" s="145" t="s">
        <v>127</v>
      </c>
      <c r="X16" s="146"/>
      <c r="Y16" s="146"/>
    </row>
    <row r="17" spans="1:28" customFormat="1" ht="14.4" x14ac:dyDescent="0.3">
      <c r="A17" s="144" t="s">
        <v>200</v>
      </c>
      <c r="B17" s="171">
        <f>SUM(C17,E17,G17,I17,K17,M17,O17,Q17,S17,U17)</f>
        <v>184516</v>
      </c>
      <c r="C17" s="159">
        <v>28459</v>
      </c>
      <c r="D17" s="159">
        <v>8004.13</v>
      </c>
      <c r="E17" s="158">
        <v>57494</v>
      </c>
      <c r="F17" s="159">
        <v>17536.37</v>
      </c>
      <c r="G17" s="158">
        <v>9192</v>
      </c>
      <c r="H17" s="159">
        <v>2749.48</v>
      </c>
      <c r="I17" s="158">
        <v>2423</v>
      </c>
      <c r="J17" s="159">
        <v>687.14</v>
      </c>
      <c r="K17" s="158">
        <v>423</v>
      </c>
      <c r="L17" s="159">
        <v>99.01</v>
      </c>
      <c r="M17" s="158">
        <v>85479</v>
      </c>
      <c r="N17" s="159">
        <v>96055.827000000005</v>
      </c>
      <c r="O17" s="158" t="s">
        <v>278</v>
      </c>
      <c r="P17" s="159" t="s">
        <v>278</v>
      </c>
      <c r="Q17" s="158" t="s">
        <v>278</v>
      </c>
      <c r="R17" s="159" t="s">
        <v>278</v>
      </c>
      <c r="S17" s="160" t="s">
        <v>278</v>
      </c>
      <c r="T17" s="159" t="s">
        <v>278</v>
      </c>
      <c r="U17" s="158">
        <v>1046</v>
      </c>
      <c r="V17" s="162">
        <v>263.10000000000002</v>
      </c>
      <c r="W17" s="145" t="s">
        <v>128</v>
      </c>
      <c r="X17" s="146"/>
      <c r="Y17" s="146"/>
    </row>
    <row r="18" spans="1:28" customFormat="1" ht="14.4" x14ac:dyDescent="0.3">
      <c r="A18" s="144" t="s">
        <v>201</v>
      </c>
      <c r="B18" s="171">
        <f>SUM(C18,E18,G18,I18,K18,M18,O18,Q18,S18,U18)</f>
        <v>435541</v>
      </c>
      <c r="C18" s="159">
        <v>54013</v>
      </c>
      <c r="D18" s="159">
        <v>19853.438999999998</v>
      </c>
      <c r="E18" s="158">
        <v>307264</v>
      </c>
      <c r="F18" s="159">
        <v>108713.49</v>
      </c>
      <c r="G18" s="158">
        <v>20368</v>
      </c>
      <c r="H18" s="159">
        <v>7580.8450000000003</v>
      </c>
      <c r="I18" s="158">
        <v>208</v>
      </c>
      <c r="J18" s="159">
        <v>46.555</v>
      </c>
      <c r="K18" s="158">
        <v>1714</v>
      </c>
      <c r="L18" s="159">
        <v>404.97300000000001</v>
      </c>
      <c r="M18" s="158">
        <v>39877</v>
      </c>
      <c r="N18" s="159">
        <v>46244.114000000001</v>
      </c>
      <c r="O18" s="160">
        <v>117</v>
      </c>
      <c r="P18" s="159">
        <v>110</v>
      </c>
      <c r="Q18" s="158">
        <v>10742</v>
      </c>
      <c r="R18" s="159">
        <v>8223.44</v>
      </c>
      <c r="S18" s="160">
        <v>46</v>
      </c>
      <c r="T18" s="159">
        <v>11.5</v>
      </c>
      <c r="U18" s="158">
        <v>1192</v>
      </c>
      <c r="V18" s="162">
        <v>270.14999999999998</v>
      </c>
      <c r="W18" s="145" t="s">
        <v>129</v>
      </c>
      <c r="X18" s="146"/>
      <c r="Y18" s="146"/>
    </row>
    <row r="19" spans="1:28" customFormat="1" ht="14.4" x14ac:dyDescent="0.3">
      <c r="A19" s="144" t="s">
        <v>202</v>
      </c>
      <c r="B19" s="171">
        <f t="shared" ref="B19:B21" si="3">SUM(C19,E19,G19,I19,K19,M19,O19,Q19,S19,U19)</f>
        <v>0</v>
      </c>
      <c r="C19" s="161" t="s">
        <v>278</v>
      </c>
      <c r="D19" s="159" t="s">
        <v>278</v>
      </c>
      <c r="E19" s="160" t="s">
        <v>278</v>
      </c>
      <c r="F19" s="159" t="s">
        <v>278</v>
      </c>
      <c r="G19" s="160" t="s">
        <v>278</v>
      </c>
      <c r="H19" s="159" t="s">
        <v>278</v>
      </c>
      <c r="I19" s="160" t="s">
        <v>278</v>
      </c>
      <c r="J19" s="159" t="s">
        <v>278</v>
      </c>
      <c r="K19" s="160" t="s">
        <v>278</v>
      </c>
      <c r="L19" s="159" t="s">
        <v>278</v>
      </c>
      <c r="M19" s="158" t="s">
        <v>278</v>
      </c>
      <c r="N19" s="159" t="s">
        <v>278</v>
      </c>
      <c r="O19" s="160" t="s">
        <v>278</v>
      </c>
      <c r="P19" s="159" t="s">
        <v>278</v>
      </c>
      <c r="Q19" s="158" t="s">
        <v>278</v>
      </c>
      <c r="R19" s="159" t="s">
        <v>278</v>
      </c>
      <c r="S19" s="160" t="s">
        <v>278</v>
      </c>
      <c r="T19" s="159" t="s">
        <v>278</v>
      </c>
      <c r="U19" s="160" t="s">
        <v>278</v>
      </c>
      <c r="V19" s="162" t="s">
        <v>278</v>
      </c>
      <c r="W19" s="145" t="s">
        <v>130</v>
      </c>
      <c r="X19" s="146"/>
      <c r="Y19" s="146"/>
    </row>
    <row r="20" spans="1:28" customFormat="1" ht="14.4" x14ac:dyDescent="0.3">
      <c r="A20" s="144" t="s">
        <v>203</v>
      </c>
      <c r="B20" s="171">
        <f t="shared" si="3"/>
        <v>150886</v>
      </c>
      <c r="C20" s="159">
        <v>16900</v>
      </c>
      <c r="D20" s="159">
        <v>4998.4229999999998</v>
      </c>
      <c r="E20" s="158">
        <v>11879</v>
      </c>
      <c r="F20" s="159">
        <v>3345.46</v>
      </c>
      <c r="G20" s="158">
        <v>6603</v>
      </c>
      <c r="H20" s="159">
        <v>1665.6410000000001</v>
      </c>
      <c r="I20" s="158">
        <v>5587</v>
      </c>
      <c r="J20" s="159">
        <v>1952.981</v>
      </c>
      <c r="K20" s="158">
        <v>361</v>
      </c>
      <c r="L20" s="159">
        <v>97.58</v>
      </c>
      <c r="M20" s="158">
        <v>101135</v>
      </c>
      <c r="N20" s="159">
        <v>119056.649</v>
      </c>
      <c r="O20" s="160" t="s">
        <v>278</v>
      </c>
      <c r="P20" s="159" t="s">
        <v>278</v>
      </c>
      <c r="Q20" s="158">
        <v>7846</v>
      </c>
      <c r="R20" s="159">
        <v>6379.1540000000005</v>
      </c>
      <c r="S20" s="158">
        <v>529</v>
      </c>
      <c r="T20" s="159">
        <v>137.1</v>
      </c>
      <c r="U20" s="158">
        <v>46</v>
      </c>
      <c r="V20" s="162">
        <v>13.32</v>
      </c>
      <c r="W20" s="145" t="s">
        <v>131</v>
      </c>
      <c r="X20" s="146"/>
      <c r="Y20" s="146"/>
    </row>
    <row r="21" spans="1:28" customFormat="1" ht="14.4" x14ac:dyDescent="0.3">
      <c r="A21" s="144" t="s">
        <v>204</v>
      </c>
      <c r="B21" s="171">
        <f t="shared" si="3"/>
        <v>172530</v>
      </c>
      <c r="C21" s="159">
        <v>54372</v>
      </c>
      <c r="D21" s="159">
        <v>19450.137999999999</v>
      </c>
      <c r="E21" s="158">
        <v>11197</v>
      </c>
      <c r="F21" s="159">
        <v>4528.9319999999998</v>
      </c>
      <c r="G21" s="158">
        <v>25561</v>
      </c>
      <c r="H21" s="159">
        <v>8840.0159999999996</v>
      </c>
      <c r="I21" s="158">
        <v>98</v>
      </c>
      <c r="J21" s="159">
        <v>29.724</v>
      </c>
      <c r="K21" s="158">
        <v>1085</v>
      </c>
      <c r="L21" s="159">
        <v>328.82100000000003</v>
      </c>
      <c r="M21" s="158">
        <v>80083</v>
      </c>
      <c r="N21" s="159">
        <v>88805.186000000002</v>
      </c>
      <c r="O21" s="160" t="s">
        <v>278</v>
      </c>
      <c r="P21" s="159" t="s">
        <v>278</v>
      </c>
      <c r="Q21" s="158">
        <v>30</v>
      </c>
      <c r="R21" s="159">
        <v>27</v>
      </c>
      <c r="S21" s="160" t="s">
        <v>278</v>
      </c>
      <c r="T21" s="159" t="s">
        <v>278</v>
      </c>
      <c r="U21" s="158">
        <v>104</v>
      </c>
      <c r="V21" s="162">
        <v>30.867999999999999</v>
      </c>
      <c r="W21" s="145" t="s">
        <v>132</v>
      </c>
      <c r="X21" s="146"/>
      <c r="Y21" s="146"/>
    </row>
    <row r="22" spans="1:28" customFormat="1" ht="14.4" customHeight="1" x14ac:dyDescent="0.3">
      <c r="A22" s="190" t="s">
        <v>101</v>
      </c>
      <c r="B22" s="227">
        <f>SUM(B24:B30)</f>
        <v>2488219</v>
      </c>
      <c r="C22" s="187">
        <f>SUM(C24:C30)</f>
        <v>476411</v>
      </c>
      <c r="D22" s="189">
        <f t="shared" ref="D22:V22" si="4">SUM(D24:D30)</f>
        <v>143434.9</v>
      </c>
      <c r="E22" s="187">
        <f t="shared" si="4"/>
        <v>1063804</v>
      </c>
      <c r="F22" s="189">
        <f t="shared" si="4"/>
        <v>300676.85100000002</v>
      </c>
      <c r="G22" s="187">
        <f t="shared" si="4"/>
        <v>339574</v>
      </c>
      <c r="H22" s="189">
        <f t="shared" si="4"/>
        <v>110176.571</v>
      </c>
      <c r="I22" s="187">
        <f t="shared" si="4"/>
        <v>32823</v>
      </c>
      <c r="J22" s="189">
        <f t="shared" si="4"/>
        <v>6999.494999999999</v>
      </c>
      <c r="K22" s="187">
        <f t="shared" si="4"/>
        <v>9108</v>
      </c>
      <c r="L22" s="189">
        <f t="shared" si="4"/>
        <v>2164.9300000000003</v>
      </c>
      <c r="M22" s="187">
        <f t="shared" si="4"/>
        <v>326300</v>
      </c>
      <c r="N22" s="189">
        <f t="shared" si="4"/>
        <v>408592.04</v>
      </c>
      <c r="O22" s="187">
        <f t="shared" si="4"/>
        <v>2062</v>
      </c>
      <c r="P22" s="189">
        <f t="shared" si="4"/>
        <v>2399.3319999999999</v>
      </c>
      <c r="Q22" s="187">
        <f t="shared" si="4"/>
        <v>202546</v>
      </c>
      <c r="R22" s="189">
        <f t="shared" si="4"/>
        <v>160670.74200000003</v>
      </c>
      <c r="S22" s="187">
        <f t="shared" si="4"/>
        <v>69</v>
      </c>
      <c r="T22" s="189">
        <f t="shared" si="4"/>
        <v>16.95</v>
      </c>
      <c r="U22" s="187">
        <f t="shared" si="4"/>
        <v>35522</v>
      </c>
      <c r="V22" s="206">
        <f t="shared" si="4"/>
        <v>8138.3889999999992</v>
      </c>
      <c r="W22" s="209" t="s">
        <v>115</v>
      </c>
      <c r="X22" s="209"/>
      <c r="Y22" s="209"/>
    </row>
    <row r="23" spans="1:28" customFormat="1" ht="14.4" x14ac:dyDescent="0.3">
      <c r="A23" s="190"/>
      <c r="B23" s="227"/>
      <c r="C23" s="187"/>
      <c r="D23" s="189"/>
      <c r="E23" s="187"/>
      <c r="F23" s="189"/>
      <c r="G23" s="187"/>
      <c r="H23" s="189"/>
      <c r="I23" s="187"/>
      <c r="J23" s="189"/>
      <c r="K23" s="187"/>
      <c r="L23" s="189"/>
      <c r="M23" s="187"/>
      <c r="N23" s="189"/>
      <c r="O23" s="187"/>
      <c r="P23" s="189"/>
      <c r="Q23" s="187"/>
      <c r="R23" s="189"/>
      <c r="S23" s="187"/>
      <c r="T23" s="189"/>
      <c r="U23" s="187"/>
      <c r="V23" s="206"/>
      <c r="W23" s="209"/>
      <c r="X23" s="209"/>
      <c r="Y23" s="209"/>
    </row>
    <row r="24" spans="1:28" customFormat="1" ht="14.4" x14ac:dyDescent="0.3">
      <c r="A24" s="144" t="s">
        <v>205</v>
      </c>
      <c r="B24" s="171">
        <f>SUM(C24,E24,G24,I24,K24,M24,O24,Q24,S24,U24)</f>
        <v>646175</v>
      </c>
      <c r="C24" s="159">
        <v>133439</v>
      </c>
      <c r="D24" s="159">
        <v>42854.34</v>
      </c>
      <c r="E24" s="158">
        <v>187156</v>
      </c>
      <c r="F24" s="159">
        <v>54486.038999999997</v>
      </c>
      <c r="G24" s="158">
        <v>110489</v>
      </c>
      <c r="H24" s="159">
        <v>35617.040000000001</v>
      </c>
      <c r="I24" s="158">
        <v>6340</v>
      </c>
      <c r="J24" s="159">
        <v>1369.05</v>
      </c>
      <c r="K24" s="158">
        <v>2526</v>
      </c>
      <c r="L24" s="159">
        <v>549.57100000000003</v>
      </c>
      <c r="M24" s="158">
        <v>48788</v>
      </c>
      <c r="N24" s="159">
        <v>54002.856</v>
      </c>
      <c r="O24" s="160">
        <v>191</v>
      </c>
      <c r="P24" s="159">
        <v>70.981999999999999</v>
      </c>
      <c r="Q24" s="158">
        <v>148901</v>
      </c>
      <c r="R24" s="159">
        <v>120343.792</v>
      </c>
      <c r="S24" s="160">
        <v>44</v>
      </c>
      <c r="T24" s="159">
        <v>10.5</v>
      </c>
      <c r="U24" s="158">
        <v>8301</v>
      </c>
      <c r="V24" s="162">
        <v>2005.1579999999999</v>
      </c>
      <c r="W24" s="145" t="s">
        <v>133</v>
      </c>
      <c r="X24" s="146"/>
      <c r="Y24" s="146"/>
    </row>
    <row r="25" spans="1:28" customFormat="1" ht="14.4" x14ac:dyDescent="0.3">
      <c r="A25" s="144" t="s">
        <v>206</v>
      </c>
      <c r="B25" s="171">
        <f t="shared" ref="B25:B35" si="5">SUM(C25,E25,G25,I25,K25,M25,O25,Q25,S25,U25)</f>
        <v>110251</v>
      </c>
      <c r="C25" s="159">
        <v>17382</v>
      </c>
      <c r="D25" s="159">
        <v>5296.4350000000004</v>
      </c>
      <c r="E25" s="158">
        <v>28727</v>
      </c>
      <c r="F25" s="159">
        <v>7040.0360000000001</v>
      </c>
      <c r="G25" s="158">
        <v>5481</v>
      </c>
      <c r="H25" s="159">
        <v>1358.876</v>
      </c>
      <c r="I25" s="158">
        <v>83</v>
      </c>
      <c r="J25" s="159">
        <v>17.7</v>
      </c>
      <c r="K25" s="158">
        <v>32</v>
      </c>
      <c r="L25" s="159">
        <v>6.4</v>
      </c>
      <c r="M25" s="158">
        <v>30289</v>
      </c>
      <c r="N25" s="159">
        <v>32917.199999999997</v>
      </c>
      <c r="O25" s="160">
        <v>561</v>
      </c>
      <c r="P25" s="159">
        <v>841.5</v>
      </c>
      <c r="Q25" s="158">
        <v>27504</v>
      </c>
      <c r="R25" s="159">
        <v>19179.3</v>
      </c>
      <c r="S25" s="158">
        <v>20</v>
      </c>
      <c r="T25" s="159">
        <v>5</v>
      </c>
      <c r="U25" s="158">
        <v>172</v>
      </c>
      <c r="V25" s="162">
        <v>35.299999999999997</v>
      </c>
      <c r="W25" s="145" t="s">
        <v>134</v>
      </c>
      <c r="X25" s="146"/>
      <c r="Y25" s="146"/>
    </row>
    <row r="26" spans="1:28" customFormat="1" ht="14.4" x14ac:dyDescent="0.3">
      <c r="A26" s="144" t="s">
        <v>207</v>
      </c>
      <c r="B26" s="171">
        <f t="shared" si="5"/>
        <v>564261</v>
      </c>
      <c r="C26" s="159">
        <v>169745</v>
      </c>
      <c r="D26" s="159">
        <v>45997.097000000002</v>
      </c>
      <c r="E26" s="158">
        <v>279030</v>
      </c>
      <c r="F26" s="159">
        <v>60999.883000000002</v>
      </c>
      <c r="G26" s="158">
        <v>72642</v>
      </c>
      <c r="H26" s="159">
        <v>21355.15</v>
      </c>
      <c r="I26" s="158">
        <v>6967</v>
      </c>
      <c r="J26" s="159">
        <v>1543.32</v>
      </c>
      <c r="K26" s="158">
        <v>1795</v>
      </c>
      <c r="L26" s="159">
        <v>363.97</v>
      </c>
      <c r="M26" s="158">
        <v>15814</v>
      </c>
      <c r="N26" s="159">
        <v>17831.334999999999</v>
      </c>
      <c r="O26" s="160" t="s">
        <v>278</v>
      </c>
      <c r="P26" s="159" t="s">
        <v>278</v>
      </c>
      <c r="Q26" s="158" t="s">
        <v>278</v>
      </c>
      <c r="R26" s="159" t="s">
        <v>278</v>
      </c>
      <c r="S26" s="158" t="s">
        <v>278</v>
      </c>
      <c r="T26" s="159" t="s">
        <v>278</v>
      </c>
      <c r="U26" s="158">
        <v>18268</v>
      </c>
      <c r="V26" s="162">
        <v>3964.0529999999999</v>
      </c>
      <c r="W26" s="145" t="s">
        <v>135</v>
      </c>
      <c r="X26" s="146"/>
      <c r="Y26" s="146"/>
    </row>
    <row r="27" spans="1:28" customFormat="1" ht="14.4" x14ac:dyDescent="0.3">
      <c r="A27" s="144" t="s">
        <v>208</v>
      </c>
      <c r="B27" s="171">
        <f t="shared" si="5"/>
        <v>157190</v>
      </c>
      <c r="C27" s="159">
        <v>26790</v>
      </c>
      <c r="D27" s="159">
        <v>9406.17</v>
      </c>
      <c r="E27" s="158">
        <v>55598</v>
      </c>
      <c r="F27" s="159">
        <v>21967.1</v>
      </c>
      <c r="G27" s="158">
        <v>14452</v>
      </c>
      <c r="H27" s="159">
        <v>5436.3549999999996</v>
      </c>
      <c r="I27" s="158">
        <v>549</v>
      </c>
      <c r="J27" s="159">
        <v>106.4</v>
      </c>
      <c r="K27" s="158">
        <v>1294</v>
      </c>
      <c r="L27" s="159">
        <v>347.42</v>
      </c>
      <c r="M27" s="158">
        <v>55677</v>
      </c>
      <c r="N27" s="159">
        <v>79343.074999999997</v>
      </c>
      <c r="O27" s="160" t="s">
        <v>278</v>
      </c>
      <c r="P27" s="159" t="s">
        <v>278</v>
      </c>
      <c r="Q27" s="158">
        <v>1815</v>
      </c>
      <c r="R27" s="159">
        <v>1633.5</v>
      </c>
      <c r="S27" s="158" t="s">
        <v>278</v>
      </c>
      <c r="T27" s="159" t="s">
        <v>278</v>
      </c>
      <c r="U27" s="158">
        <v>1015</v>
      </c>
      <c r="V27" s="162">
        <v>224.738</v>
      </c>
      <c r="W27" s="145" t="s">
        <v>136</v>
      </c>
      <c r="X27" s="146"/>
      <c r="Y27" s="146"/>
    </row>
    <row r="28" spans="1:28" customFormat="1" ht="14.4" x14ac:dyDescent="0.3">
      <c r="A28" s="144" t="s">
        <v>209</v>
      </c>
      <c r="B28" s="171">
        <f t="shared" si="5"/>
        <v>215366</v>
      </c>
      <c r="C28" s="159">
        <v>56200</v>
      </c>
      <c r="D28" s="159">
        <v>17413.322</v>
      </c>
      <c r="E28" s="158">
        <v>105337</v>
      </c>
      <c r="F28" s="159">
        <v>26658.205999999998</v>
      </c>
      <c r="G28" s="158">
        <v>25208</v>
      </c>
      <c r="H28" s="159">
        <v>8703.6</v>
      </c>
      <c r="I28" s="158">
        <v>5074</v>
      </c>
      <c r="J28" s="159">
        <v>1244.827</v>
      </c>
      <c r="K28" s="158">
        <v>65</v>
      </c>
      <c r="L28" s="159">
        <v>18.2</v>
      </c>
      <c r="M28" s="158">
        <v>11696</v>
      </c>
      <c r="N28" s="159">
        <v>13747.016</v>
      </c>
      <c r="O28" s="160" t="s">
        <v>278</v>
      </c>
      <c r="P28" s="159" t="s">
        <v>278</v>
      </c>
      <c r="Q28" s="158">
        <v>11000</v>
      </c>
      <c r="R28" s="159">
        <v>9900</v>
      </c>
      <c r="S28" s="160" t="s">
        <v>278</v>
      </c>
      <c r="T28" s="159" t="s">
        <v>278</v>
      </c>
      <c r="U28" s="158">
        <v>786</v>
      </c>
      <c r="V28" s="162">
        <v>209.32</v>
      </c>
      <c r="W28" s="145" t="s">
        <v>137</v>
      </c>
      <c r="X28" s="146"/>
      <c r="Y28" s="146"/>
    </row>
    <row r="29" spans="1:28" customFormat="1" ht="14.4" x14ac:dyDescent="0.3">
      <c r="A29" s="144" t="s">
        <v>210</v>
      </c>
      <c r="B29" s="171">
        <f t="shared" si="5"/>
        <v>605213</v>
      </c>
      <c r="C29" s="159">
        <v>58743</v>
      </c>
      <c r="D29" s="159">
        <v>19734.107</v>
      </c>
      <c r="E29" s="158">
        <v>300406</v>
      </c>
      <c r="F29" s="159">
        <v>102162.636</v>
      </c>
      <c r="G29" s="158">
        <v>60883</v>
      </c>
      <c r="H29" s="159">
        <v>23419.249</v>
      </c>
      <c r="I29" s="158">
        <v>1181</v>
      </c>
      <c r="J29" s="159">
        <v>339.77</v>
      </c>
      <c r="K29" s="158">
        <v>2954</v>
      </c>
      <c r="L29" s="159">
        <v>780.06700000000001</v>
      </c>
      <c r="M29" s="158">
        <v>162710</v>
      </c>
      <c r="N29" s="159">
        <v>209834.91</v>
      </c>
      <c r="O29" s="160">
        <v>1310</v>
      </c>
      <c r="P29" s="159">
        <v>1486.85</v>
      </c>
      <c r="Q29" s="158">
        <v>13323</v>
      </c>
      <c r="R29" s="159">
        <v>9612.9500000000007</v>
      </c>
      <c r="S29" s="158">
        <v>5</v>
      </c>
      <c r="T29" s="159">
        <v>1.45</v>
      </c>
      <c r="U29" s="158">
        <v>3698</v>
      </c>
      <c r="V29" s="162">
        <v>1014.867</v>
      </c>
      <c r="W29" s="145" t="s">
        <v>138</v>
      </c>
      <c r="X29" s="146"/>
      <c r="Y29" s="146"/>
    </row>
    <row r="30" spans="1:28" customFormat="1" ht="14.4" x14ac:dyDescent="0.3">
      <c r="A30" s="144" t="s">
        <v>211</v>
      </c>
      <c r="B30" s="171">
        <f t="shared" si="5"/>
        <v>189763</v>
      </c>
      <c r="C30" s="159">
        <v>14112</v>
      </c>
      <c r="D30" s="159">
        <v>2733.4290000000001</v>
      </c>
      <c r="E30" s="158">
        <v>107550</v>
      </c>
      <c r="F30" s="159">
        <v>27362.951000000001</v>
      </c>
      <c r="G30" s="158">
        <v>50419</v>
      </c>
      <c r="H30" s="159">
        <v>14286.300999999999</v>
      </c>
      <c r="I30" s="158">
        <v>12629</v>
      </c>
      <c r="J30" s="159">
        <v>2378.4279999999999</v>
      </c>
      <c r="K30" s="158">
        <v>442</v>
      </c>
      <c r="L30" s="159">
        <v>99.302000000000007</v>
      </c>
      <c r="M30" s="158">
        <v>1326</v>
      </c>
      <c r="N30" s="159">
        <v>915.64800000000002</v>
      </c>
      <c r="O30" s="160" t="s">
        <v>278</v>
      </c>
      <c r="P30" s="159" t="s">
        <v>278</v>
      </c>
      <c r="Q30" s="158">
        <v>3</v>
      </c>
      <c r="R30" s="159">
        <v>1.2</v>
      </c>
      <c r="S30" s="160" t="s">
        <v>278</v>
      </c>
      <c r="T30" s="159" t="s">
        <v>278</v>
      </c>
      <c r="U30" s="158">
        <v>3282</v>
      </c>
      <c r="V30" s="162">
        <v>684.95299999999997</v>
      </c>
      <c r="W30" s="145" t="s">
        <v>139</v>
      </c>
      <c r="X30" s="146"/>
      <c r="Y30" s="146"/>
      <c r="AB30" t="s">
        <v>278</v>
      </c>
    </row>
    <row r="31" spans="1:28" customFormat="1" ht="25.8" customHeight="1" x14ac:dyDescent="0.3">
      <c r="A31" s="147" t="s">
        <v>279</v>
      </c>
      <c r="B31" s="172">
        <f>SUM(B32:B35)</f>
        <v>726597</v>
      </c>
      <c r="C31" s="168">
        <f>SUM(C32:C35)</f>
        <v>182856</v>
      </c>
      <c r="D31" s="169">
        <f t="shared" ref="D31:V31" si="6">SUM(D32:D35)</f>
        <v>48292.399999999994</v>
      </c>
      <c r="E31" s="168">
        <f t="shared" si="6"/>
        <v>255193</v>
      </c>
      <c r="F31" s="169">
        <f t="shared" si="6"/>
        <v>67185.777000000002</v>
      </c>
      <c r="G31" s="168">
        <f t="shared" si="6"/>
        <v>96777</v>
      </c>
      <c r="H31" s="169">
        <f>SUM(H32:H35)</f>
        <v>33292.213000000003</v>
      </c>
      <c r="I31" s="168">
        <f t="shared" si="6"/>
        <v>6750</v>
      </c>
      <c r="J31" s="169">
        <f t="shared" si="6"/>
        <v>1384.0920000000001</v>
      </c>
      <c r="K31" s="168">
        <f t="shared" si="6"/>
        <v>51836</v>
      </c>
      <c r="L31" s="169">
        <f t="shared" si="6"/>
        <v>11820.975</v>
      </c>
      <c r="M31" s="168">
        <f t="shared" si="6"/>
        <v>84115</v>
      </c>
      <c r="N31" s="169">
        <f t="shared" si="6"/>
        <v>104063.408</v>
      </c>
      <c r="O31" s="168">
        <f t="shared" si="6"/>
        <v>35</v>
      </c>
      <c r="P31" s="169">
        <f t="shared" si="6"/>
        <v>35</v>
      </c>
      <c r="Q31" s="168">
        <f t="shared" si="6"/>
        <v>0</v>
      </c>
      <c r="R31" s="169">
        <f t="shared" si="6"/>
        <v>0</v>
      </c>
      <c r="S31" s="168">
        <f t="shared" si="6"/>
        <v>3</v>
      </c>
      <c r="T31" s="169">
        <f t="shared" si="6"/>
        <v>0.8</v>
      </c>
      <c r="U31" s="168">
        <f t="shared" si="6"/>
        <v>49032</v>
      </c>
      <c r="V31" s="170">
        <f t="shared" si="6"/>
        <v>13082.294</v>
      </c>
      <c r="W31" s="148" t="s">
        <v>280</v>
      </c>
      <c r="X31" s="146"/>
      <c r="Y31" s="146"/>
    </row>
    <row r="32" spans="1:28" customFormat="1" ht="14.4" x14ac:dyDescent="0.3">
      <c r="A32" s="144" t="s">
        <v>212</v>
      </c>
      <c r="B32" s="171">
        <f t="shared" si="5"/>
        <v>396596</v>
      </c>
      <c r="C32" s="159">
        <v>75604</v>
      </c>
      <c r="D32" s="159">
        <v>21117.697</v>
      </c>
      <c r="E32" s="158">
        <v>195232</v>
      </c>
      <c r="F32" s="159">
        <v>50291.218999999997</v>
      </c>
      <c r="G32" s="158">
        <v>60564</v>
      </c>
      <c r="H32" s="159">
        <v>21659.626</v>
      </c>
      <c r="I32" s="158">
        <v>3151</v>
      </c>
      <c r="J32" s="159">
        <v>525.69100000000003</v>
      </c>
      <c r="K32" s="158">
        <v>19585</v>
      </c>
      <c r="L32" s="159">
        <v>3659.89</v>
      </c>
      <c r="M32" s="158">
        <v>27588</v>
      </c>
      <c r="N32" s="159">
        <v>34300.798999999999</v>
      </c>
      <c r="O32" s="160" t="s">
        <v>278</v>
      </c>
      <c r="P32" s="159" t="s">
        <v>278</v>
      </c>
      <c r="Q32" s="158" t="s">
        <v>278</v>
      </c>
      <c r="R32" s="159" t="s">
        <v>278</v>
      </c>
      <c r="S32" s="158" t="s">
        <v>278</v>
      </c>
      <c r="T32" s="159" t="s">
        <v>278</v>
      </c>
      <c r="U32" s="158">
        <v>14872</v>
      </c>
      <c r="V32" s="162">
        <v>4035.915</v>
      </c>
      <c r="W32" s="145" t="s">
        <v>140</v>
      </c>
      <c r="X32" s="146"/>
      <c r="Y32" s="146"/>
    </row>
    <row r="33" spans="1:25" customFormat="1" ht="14.4" x14ac:dyDescent="0.3">
      <c r="A33" s="144" t="s">
        <v>213</v>
      </c>
      <c r="B33" s="171">
        <f t="shared" si="5"/>
        <v>62539</v>
      </c>
      <c r="C33" s="159">
        <v>41193</v>
      </c>
      <c r="D33" s="159">
        <v>9337.3780000000006</v>
      </c>
      <c r="E33" s="158">
        <v>1624</v>
      </c>
      <c r="F33" s="159">
        <v>406.95800000000003</v>
      </c>
      <c r="G33" s="158">
        <v>10210</v>
      </c>
      <c r="H33" s="159">
        <v>2526.9</v>
      </c>
      <c r="I33" s="158">
        <v>1127</v>
      </c>
      <c r="J33" s="159">
        <v>240.911</v>
      </c>
      <c r="K33" s="158">
        <v>685</v>
      </c>
      <c r="L33" s="159">
        <v>179.75</v>
      </c>
      <c r="M33" s="158">
        <v>1954</v>
      </c>
      <c r="N33" s="159">
        <v>1755.056</v>
      </c>
      <c r="O33" s="160">
        <v>35</v>
      </c>
      <c r="P33" s="159">
        <v>35</v>
      </c>
      <c r="Q33" s="158" t="s">
        <v>278</v>
      </c>
      <c r="R33" s="159" t="s">
        <v>278</v>
      </c>
      <c r="S33" s="158" t="s">
        <v>278</v>
      </c>
      <c r="T33" s="159" t="s">
        <v>278</v>
      </c>
      <c r="U33" s="158">
        <v>5711</v>
      </c>
      <c r="V33" s="162">
        <v>1264.24</v>
      </c>
      <c r="W33" s="145" t="s">
        <v>141</v>
      </c>
      <c r="X33" s="146"/>
      <c r="Y33" s="146"/>
    </row>
    <row r="34" spans="1:25" customFormat="1" ht="14.4" x14ac:dyDescent="0.3">
      <c r="A34" s="144" t="s">
        <v>214</v>
      </c>
      <c r="B34" s="171">
        <f t="shared" si="5"/>
        <v>93134</v>
      </c>
      <c r="C34" s="159">
        <v>22798</v>
      </c>
      <c r="D34" s="159">
        <v>5777.65</v>
      </c>
      <c r="E34" s="158">
        <v>38490</v>
      </c>
      <c r="F34" s="159">
        <v>9948.94</v>
      </c>
      <c r="G34" s="158">
        <v>6163</v>
      </c>
      <c r="H34" s="159">
        <v>1600.44</v>
      </c>
      <c r="I34" s="158">
        <v>645</v>
      </c>
      <c r="J34" s="159">
        <v>148.29</v>
      </c>
      <c r="K34" s="158">
        <v>7106</v>
      </c>
      <c r="L34" s="159">
        <v>1665.4449999999999</v>
      </c>
      <c r="M34" s="158">
        <v>11688</v>
      </c>
      <c r="N34" s="159">
        <v>12102.203</v>
      </c>
      <c r="O34" s="158" t="s">
        <v>278</v>
      </c>
      <c r="P34" s="159" t="s">
        <v>278</v>
      </c>
      <c r="Q34" s="158" t="s">
        <v>278</v>
      </c>
      <c r="R34" s="159" t="s">
        <v>278</v>
      </c>
      <c r="S34" s="158">
        <v>3</v>
      </c>
      <c r="T34" s="159">
        <v>0.8</v>
      </c>
      <c r="U34" s="158">
        <v>6241</v>
      </c>
      <c r="V34" s="162">
        <v>1501.39</v>
      </c>
      <c r="W34" s="145" t="s">
        <v>142</v>
      </c>
      <c r="X34" s="146"/>
      <c r="Y34" s="146"/>
    </row>
    <row r="35" spans="1:25" customFormat="1" ht="14.4" x14ac:dyDescent="0.3">
      <c r="A35" s="144" t="s">
        <v>215</v>
      </c>
      <c r="B35" s="171">
        <f t="shared" si="5"/>
        <v>174328</v>
      </c>
      <c r="C35" s="159">
        <v>43261</v>
      </c>
      <c r="D35" s="159">
        <v>12059.674999999999</v>
      </c>
      <c r="E35" s="158">
        <v>19847</v>
      </c>
      <c r="F35" s="159">
        <v>6538.66</v>
      </c>
      <c r="G35" s="158">
        <v>19840</v>
      </c>
      <c r="H35" s="159">
        <v>7505.2470000000003</v>
      </c>
      <c r="I35" s="158">
        <v>1827</v>
      </c>
      <c r="J35" s="159">
        <v>469.2</v>
      </c>
      <c r="K35" s="158">
        <v>24460</v>
      </c>
      <c r="L35" s="159">
        <v>6315.89</v>
      </c>
      <c r="M35" s="158">
        <v>42885</v>
      </c>
      <c r="N35" s="159">
        <v>55905.35</v>
      </c>
      <c r="O35" s="160" t="s">
        <v>278</v>
      </c>
      <c r="P35" s="159" t="s">
        <v>278</v>
      </c>
      <c r="Q35" s="158" t="s">
        <v>278</v>
      </c>
      <c r="R35" s="159" t="s">
        <v>278</v>
      </c>
      <c r="S35" s="158" t="s">
        <v>278</v>
      </c>
      <c r="T35" s="159" t="s">
        <v>278</v>
      </c>
      <c r="U35" s="158">
        <v>22208</v>
      </c>
      <c r="V35" s="162">
        <v>6280.7489999999998</v>
      </c>
      <c r="W35" s="145" t="s">
        <v>143</v>
      </c>
      <c r="X35" s="146"/>
      <c r="Y35" s="146"/>
    </row>
    <row r="36" spans="1:25" customFormat="1" ht="14.4" customHeight="1" x14ac:dyDescent="0.3">
      <c r="A36" s="190" t="s">
        <v>111</v>
      </c>
      <c r="B36" s="227">
        <f>SUM(B38:B41)</f>
        <v>45874</v>
      </c>
      <c r="C36" s="187">
        <f>SUM(C38:C41)</f>
        <v>7705</v>
      </c>
      <c r="D36" s="189">
        <f>SUM(D38:D41)</f>
        <v>2197.9549999999999</v>
      </c>
      <c r="E36" s="187">
        <f t="shared" ref="E36:L36" si="7">SUM(E38:E41)</f>
        <v>892</v>
      </c>
      <c r="F36" s="189">
        <f t="shared" si="7"/>
        <v>274.96199999999999</v>
      </c>
      <c r="G36" s="187">
        <f t="shared" si="7"/>
        <v>1804</v>
      </c>
      <c r="H36" s="189">
        <f t="shared" si="7"/>
        <v>579.57999999999993</v>
      </c>
      <c r="I36" s="187">
        <f t="shared" si="7"/>
        <v>7832</v>
      </c>
      <c r="J36" s="189">
        <f t="shared" si="7"/>
        <v>2111.2399999999998</v>
      </c>
      <c r="K36" s="187">
        <f t="shared" si="7"/>
        <v>1749</v>
      </c>
      <c r="L36" s="189">
        <f t="shared" si="7"/>
        <v>474.49</v>
      </c>
      <c r="M36" s="187">
        <f>SUM(M38:M41)</f>
        <v>24982</v>
      </c>
      <c r="N36" s="189">
        <f t="shared" ref="N36:V36" si="8">SUM(N38:N41)</f>
        <v>25025.558000000001</v>
      </c>
      <c r="O36" s="187">
        <f t="shared" si="8"/>
        <v>338</v>
      </c>
      <c r="P36" s="189">
        <f t="shared" si="8"/>
        <v>414.25</v>
      </c>
      <c r="Q36" s="187">
        <f>SUM(Q38:Q41)</f>
        <v>92</v>
      </c>
      <c r="R36" s="189">
        <f t="shared" si="8"/>
        <v>80</v>
      </c>
      <c r="S36" s="187">
        <f t="shared" si="8"/>
        <v>96</v>
      </c>
      <c r="T36" s="189">
        <f t="shared" si="8"/>
        <v>24.35</v>
      </c>
      <c r="U36" s="187">
        <f t="shared" si="8"/>
        <v>384</v>
      </c>
      <c r="V36" s="206">
        <f t="shared" si="8"/>
        <v>96.43</v>
      </c>
      <c r="W36" s="188" t="s">
        <v>116</v>
      </c>
      <c r="X36" s="188"/>
      <c r="Y36" s="188"/>
    </row>
    <row r="37" spans="1:25" customFormat="1" ht="14.4" x14ac:dyDescent="0.3">
      <c r="A37" s="190"/>
      <c r="B37" s="227"/>
      <c r="C37" s="187"/>
      <c r="D37" s="189"/>
      <c r="E37" s="187"/>
      <c r="F37" s="189"/>
      <c r="G37" s="187"/>
      <c r="H37" s="189"/>
      <c r="I37" s="187"/>
      <c r="J37" s="189"/>
      <c r="K37" s="187"/>
      <c r="L37" s="189"/>
      <c r="M37" s="187"/>
      <c r="N37" s="189"/>
      <c r="O37" s="187"/>
      <c r="P37" s="189"/>
      <c r="Q37" s="187"/>
      <c r="R37" s="189"/>
      <c r="S37" s="187"/>
      <c r="T37" s="189"/>
      <c r="U37" s="187"/>
      <c r="V37" s="206"/>
      <c r="W37" s="188"/>
      <c r="X37" s="188"/>
      <c r="Y37" s="188"/>
    </row>
    <row r="38" spans="1:25" customFormat="1" ht="14.4" x14ac:dyDescent="0.3">
      <c r="A38" s="144" t="s">
        <v>216</v>
      </c>
      <c r="B38" s="171">
        <f>SUM(C38,E38,G38,I38,K38,M38,O38,Q38,S38,U38)</f>
        <v>21615</v>
      </c>
      <c r="C38" s="159">
        <v>5718</v>
      </c>
      <c r="D38" s="159">
        <v>1651.42</v>
      </c>
      <c r="E38" s="158">
        <v>213</v>
      </c>
      <c r="F38" s="159">
        <v>51.05</v>
      </c>
      <c r="G38" s="158">
        <v>1263</v>
      </c>
      <c r="H38" s="159">
        <v>330.2</v>
      </c>
      <c r="I38" s="158">
        <v>1144</v>
      </c>
      <c r="J38" s="159">
        <v>325.5</v>
      </c>
      <c r="K38" s="158">
        <v>1051</v>
      </c>
      <c r="L38" s="159">
        <v>264.69</v>
      </c>
      <c r="M38" s="158">
        <v>11999</v>
      </c>
      <c r="N38" s="159">
        <v>14257.098</v>
      </c>
      <c r="O38" s="160" t="s">
        <v>278</v>
      </c>
      <c r="P38" s="159" t="s">
        <v>278</v>
      </c>
      <c r="Q38" s="158" t="s">
        <v>278</v>
      </c>
      <c r="R38" s="159" t="s">
        <v>278</v>
      </c>
      <c r="S38" s="158">
        <v>59</v>
      </c>
      <c r="T38" s="159">
        <v>14.9</v>
      </c>
      <c r="U38" s="158">
        <v>168</v>
      </c>
      <c r="V38" s="162">
        <v>43.5</v>
      </c>
      <c r="W38" s="145" t="s">
        <v>144</v>
      </c>
      <c r="X38" s="146"/>
      <c r="Y38" s="146"/>
    </row>
    <row r="39" spans="1:25" customFormat="1" ht="14.4" x14ac:dyDescent="0.3">
      <c r="A39" s="144" t="s">
        <v>217</v>
      </c>
      <c r="B39" s="171">
        <f>SUM(C39,E39,G39,I39,K39,M39,O39,Q39,S39,U39)</f>
        <v>4103</v>
      </c>
      <c r="C39" s="159">
        <v>280</v>
      </c>
      <c r="D39" s="159">
        <v>119.58</v>
      </c>
      <c r="E39" s="158">
        <v>46</v>
      </c>
      <c r="F39" s="159">
        <v>19.059999999999999</v>
      </c>
      <c r="G39" s="158">
        <v>135</v>
      </c>
      <c r="H39" s="159">
        <v>60.25</v>
      </c>
      <c r="I39" s="158">
        <v>461</v>
      </c>
      <c r="J39" s="159">
        <v>141.63</v>
      </c>
      <c r="K39" s="158" t="s">
        <v>278</v>
      </c>
      <c r="L39" s="159" t="s">
        <v>278</v>
      </c>
      <c r="M39" s="158">
        <v>3156</v>
      </c>
      <c r="N39" s="159">
        <v>2916.6</v>
      </c>
      <c r="O39" s="160" t="s">
        <v>278</v>
      </c>
      <c r="P39" s="159" t="s">
        <v>278</v>
      </c>
      <c r="Q39" s="158" t="s">
        <v>278</v>
      </c>
      <c r="R39" s="159" t="s">
        <v>278</v>
      </c>
      <c r="S39" s="160" t="s">
        <v>278</v>
      </c>
      <c r="T39" s="159" t="s">
        <v>278</v>
      </c>
      <c r="U39" s="160">
        <v>25</v>
      </c>
      <c r="V39" s="162">
        <v>9.25</v>
      </c>
      <c r="W39" s="145" t="s">
        <v>145</v>
      </c>
      <c r="X39" s="146"/>
      <c r="Y39" s="146"/>
    </row>
    <row r="40" spans="1:25" customFormat="1" ht="14.4" x14ac:dyDescent="0.3">
      <c r="A40" s="144" t="s">
        <v>218</v>
      </c>
      <c r="B40" s="171">
        <f>SUM(C40,E40,G40,I40,K40,M40,O40,Q40,S40,U40)</f>
        <v>4897</v>
      </c>
      <c r="C40" s="159">
        <v>277</v>
      </c>
      <c r="D40" s="159">
        <v>125</v>
      </c>
      <c r="E40" s="158">
        <v>68</v>
      </c>
      <c r="F40" s="159">
        <v>29.4</v>
      </c>
      <c r="G40" s="158">
        <v>211</v>
      </c>
      <c r="H40" s="159">
        <v>114.25</v>
      </c>
      <c r="I40" s="158">
        <v>1578</v>
      </c>
      <c r="J40" s="159">
        <v>461.1</v>
      </c>
      <c r="K40" s="158">
        <v>135</v>
      </c>
      <c r="L40" s="159">
        <v>29.6</v>
      </c>
      <c r="M40" s="158">
        <v>2444</v>
      </c>
      <c r="N40" s="159">
        <v>1946.5</v>
      </c>
      <c r="O40" s="160" t="s">
        <v>278</v>
      </c>
      <c r="P40" s="159" t="s">
        <v>278</v>
      </c>
      <c r="Q40" s="158">
        <v>92</v>
      </c>
      <c r="R40" s="159">
        <v>80</v>
      </c>
      <c r="S40" s="158" t="s">
        <v>278</v>
      </c>
      <c r="T40" s="159" t="s">
        <v>278</v>
      </c>
      <c r="U40" s="158">
        <v>92</v>
      </c>
      <c r="V40" s="162">
        <v>24.9</v>
      </c>
      <c r="W40" s="145" t="s">
        <v>146</v>
      </c>
      <c r="X40" s="146"/>
      <c r="Y40" s="146"/>
    </row>
    <row r="41" spans="1:25" customFormat="1" ht="14.4" x14ac:dyDescent="0.3">
      <c r="A41" s="144" t="s">
        <v>219</v>
      </c>
      <c r="B41" s="171">
        <f>SUM(C41,E41,G41,I41,K41,M41,O41,Q41,S41,U41)</f>
        <v>15259</v>
      </c>
      <c r="C41" s="159">
        <v>1430</v>
      </c>
      <c r="D41" s="159">
        <v>301.95499999999998</v>
      </c>
      <c r="E41" s="158">
        <v>565</v>
      </c>
      <c r="F41" s="159">
        <v>175.452</v>
      </c>
      <c r="G41" s="158">
        <v>195</v>
      </c>
      <c r="H41" s="159">
        <v>74.88</v>
      </c>
      <c r="I41" s="158">
        <v>4649</v>
      </c>
      <c r="J41" s="159">
        <v>1183.01</v>
      </c>
      <c r="K41" s="158">
        <v>563</v>
      </c>
      <c r="L41" s="159">
        <v>180.2</v>
      </c>
      <c r="M41" s="158">
        <v>7383</v>
      </c>
      <c r="N41" s="159">
        <v>5905.36</v>
      </c>
      <c r="O41" s="160">
        <v>338</v>
      </c>
      <c r="P41" s="159">
        <v>414.25</v>
      </c>
      <c r="Q41" s="158" t="s">
        <v>278</v>
      </c>
      <c r="R41" s="159" t="s">
        <v>278</v>
      </c>
      <c r="S41" s="160">
        <v>37</v>
      </c>
      <c r="T41" s="159">
        <v>9.4499999999999993</v>
      </c>
      <c r="U41" s="158">
        <v>99</v>
      </c>
      <c r="V41" s="162">
        <v>18.78</v>
      </c>
      <c r="W41" s="145" t="s">
        <v>147</v>
      </c>
      <c r="X41" s="146"/>
      <c r="Y41" s="146"/>
    </row>
    <row r="42" spans="1:25" customFormat="1" ht="11.4" customHeight="1" x14ac:dyDescent="0.3">
      <c r="A42" s="190" t="s">
        <v>102</v>
      </c>
      <c r="B42" s="227">
        <f>SUM(B44:B48)</f>
        <v>1666961</v>
      </c>
      <c r="C42" s="187">
        <f>SUM(C44:C48)</f>
        <v>110871</v>
      </c>
      <c r="D42" s="189">
        <f t="shared" ref="D42:L42" si="9">SUM(D44:D48)</f>
        <v>35555.726000000002</v>
      </c>
      <c r="E42" s="187">
        <f t="shared" si="9"/>
        <v>914017</v>
      </c>
      <c r="F42" s="189">
        <f t="shared" si="9"/>
        <v>323738.32700000005</v>
      </c>
      <c r="G42" s="187">
        <f t="shared" si="9"/>
        <v>332889</v>
      </c>
      <c r="H42" s="189">
        <f t="shared" si="9"/>
        <v>118579.039</v>
      </c>
      <c r="I42" s="187">
        <f>SUM(I44:I48)</f>
        <v>45528</v>
      </c>
      <c r="J42" s="189">
        <f t="shared" si="9"/>
        <v>12681.039000000001</v>
      </c>
      <c r="K42" s="187">
        <f t="shared" si="9"/>
        <v>3424</v>
      </c>
      <c r="L42" s="189">
        <f t="shared" si="9"/>
        <v>1053.674</v>
      </c>
      <c r="M42" s="187">
        <f>SUM(M44:M48)</f>
        <v>241422</v>
      </c>
      <c r="N42" s="189">
        <f t="shared" ref="N42:V42" si="10">SUM(N44:N48)</f>
        <v>264214.76700000005</v>
      </c>
      <c r="O42" s="187">
        <f t="shared" si="10"/>
        <v>213</v>
      </c>
      <c r="P42" s="189">
        <f t="shared" si="10"/>
        <v>224.04</v>
      </c>
      <c r="Q42" s="187">
        <f>SUM(Q44:Q48)</f>
        <v>1</v>
      </c>
      <c r="R42" s="189">
        <f t="shared" si="10"/>
        <v>0.7</v>
      </c>
      <c r="S42" s="187">
        <f t="shared" si="10"/>
        <v>273</v>
      </c>
      <c r="T42" s="189">
        <f t="shared" si="10"/>
        <v>76.632000000000005</v>
      </c>
      <c r="U42" s="187">
        <f t="shared" si="10"/>
        <v>18323</v>
      </c>
      <c r="V42" s="206">
        <f t="shared" si="10"/>
        <v>5411.8</v>
      </c>
      <c r="W42" s="188" t="s">
        <v>125</v>
      </c>
      <c r="X42" s="188"/>
      <c r="Y42" s="188"/>
    </row>
    <row r="43" spans="1:25" customFormat="1" ht="14.4" x14ac:dyDescent="0.3">
      <c r="A43" s="190"/>
      <c r="B43" s="227"/>
      <c r="C43" s="187"/>
      <c r="D43" s="189"/>
      <c r="E43" s="187"/>
      <c r="F43" s="189"/>
      <c r="G43" s="187"/>
      <c r="H43" s="189"/>
      <c r="I43" s="187"/>
      <c r="J43" s="189"/>
      <c r="K43" s="187"/>
      <c r="L43" s="189"/>
      <c r="M43" s="187"/>
      <c r="N43" s="189"/>
      <c r="O43" s="187"/>
      <c r="P43" s="189"/>
      <c r="Q43" s="187"/>
      <c r="R43" s="189"/>
      <c r="S43" s="187"/>
      <c r="T43" s="189"/>
      <c r="U43" s="187"/>
      <c r="V43" s="206"/>
      <c r="W43" s="188"/>
      <c r="X43" s="188"/>
      <c r="Y43" s="188"/>
    </row>
    <row r="44" spans="1:25" customFormat="1" ht="14.4" x14ac:dyDescent="0.3">
      <c r="A44" s="144" t="s">
        <v>220</v>
      </c>
      <c r="B44" s="171">
        <f t="shared" ref="B44:B48" si="11">SUM(C44,E44,G44,I44,K44,M44,O44,Q44,S44,U44)</f>
        <v>1005342</v>
      </c>
      <c r="C44" s="159">
        <v>49789</v>
      </c>
      <c r="D44" s="159">
        <v>18295.109</v>
      </c>
      <c r="E44" s="158">
        <v>575753</v>
      </c>
      <c r="F44" s="159">
        <v>215392.91800000001</v>
      </c>
      <c r="G44" s="158">
        <v>237996</v>
      </c>
      <c r="H44" s="159">
        <v>85417.379000000001</v>
      </c>
      <c r="I44" s="158">
        <v>29591</v>
      </c>
      <c r="J44" s="159">
        <v>8836.7710000000006</v>
      </c>
      <c r="K44" s="158">
        <v>3110</v>
      </c>
      <c r="L44" s="159">
        <v>972.11</v>
      </c>
      <c r="M44" s="158">
        <v>104106</v>
      </c>
      <c r="N44" s="159">
        <v>134732.55900000001</v>
      </c>
      <c r="O44" s="158" t="s">
        <v>278</v>
      </c>
      <c r="P44" s="159" t="s">
        <v>278</v>
      </c>
      <c r="Q44" s="158" t="s">
        <v>278</v>
      </c>
      <c r="R44" s="159" t="s">
        <v>278</v>
      </c>
      <c r="S44" s="158">
        <v>273</v>
      </c>
      <c r="T44" s="159">
        <v>76.632000000000005</v>
      </c>
      <c r="U44" s="158">
        <v>4724</v>
      </c>
      <c r="V44" s="162">
        <v>1401.5050000000001</v>
      </c>
      <c r="W44" s="145" t="s">
        <v>148</v>
      </c>
      <c r="X44" s="146"/>
      <c r="Y44" s="146"/>
    </row>
    <row r="45" spans="1:25" customFormat="1" ht="14.4" x14ac:dyDescent="0.3">
      <c r="A45" s="144" t="s">
        <v>221</v>
      </c>
      <c r="B45" s="171">
        <f t="shared" si="11"/>
        <v>318758</v>
      </c>
      <c r="C45" s="159">
        <v>30022</v>
      </c>
      <c r="D45" s="159">
        <v>8019.6239999999998</v>
      </c>
      <c r="E45" s="158">
        <v>210752</v>
      </c>
      <c r="F45" s="159">
        <v>67933.535999999993</v>
      </c>
      <c r="G45" s="158">
        <v>11748</v>
      </c>
      <c r="H45" s="159">
        <v>3368.0189999999998</v>
      </c>
      <c r="I45" s="158">
        <v>5115</v>
      </c>
      <c r="J45" s="159">
        <v>1181.453</v>
      </c>
      <c r="K45" s="158">
        <v>148</v>
      </c>
      <c r="L45" s="159">
        <v>38.194000000000003</v>
      </c>
      <c r="M45" s="158">
        <v>60516</v>
      </c>
      <c r="N45" s="159">
        <v>60347.214</v>
      </c>
      <c r="O45" s="158">
        <v>212</v>
      </c>
      <c r="P45" s="159">
        <v>223.04</v>
      </c>
      <c r="Q45" s="158">
        <v>1</v>
      </c>
      <c r="R45" s="159">
        <v>0.7</v>
      </c>
      <c r="S45" s="160" t="s">
        <v>278</v>
      </c>
      <c r="T45" s="159" t="s">
        <v>278</v>
      </c>
      <c r="U45" s="158">
        <v>244</v>
      </c>
      <c r="V45" s="162">
        <v>52.74</v>
      </c>
      <c r="W45" s="145" t="s">
        <v>149</v>
      </c>
      <c r="X45" s="146"/>
      <c r="Y45" s="146"/>
    </row>
    <row r="46" spans="1:25" customFormat="1" ht="14.4" x14ac:dyDescent="0.3">
      <c r="A46" s="144" t="s">
        <v>222</v>
      </c>
      <c r="B46" s="171">
        <f t="shared" si="11"/>
        <v>189322</v>
      </c>
      <c r="C46" s="159">
        <v>11711</v>
      </c>
      <c r="D46" s="159">
        <v>3188.2649999999999</v>
      </c>
      <c r="E46" s="158">
        <v>80843</v>
      </c>
      <c r="F46" s="159">
        <v>25724.760999999999</v>
      </c>
      <c r="G46" s="158">
        <v>65307</v>
      </c>
      <c r="H46" s="159">
        <v>24375.014999999999</v>
      </c>
      <c r="I46" s="158">
        <v>7022</v>
      </c>
      <c r="J46" s="159">
        <v>1713.575</v>
      </c>
      <c r="K46" s="160">
        <v>86</v>
      </c>
      <c r="L46" s="159">
        <v>22.75</v>
      </c>
      <c r="M46" s="158">
        <v>11814</v>
      </c>
      <c r="N46" s="159">
        <v>14864.11</v>
      </c>
      <c r="O46" s="158" t="s">
        <v>278</v>
      </c>
      <c r="P46" s="159" t="s">
        <v>278</v>
      </c>
      <c r="Q46" s="158" t="s">
        <v>278</v>
      </c>
      <c r="R46" s="159" t="s">
        <v>278</v>
      </c>
      <c r="S46" s="158" t="s">
        <v>278</v>
      </c>
      <c r="T46" s="159" t="s">
        <v>278</v>
      </c>
      <c r="U46" s="158">
        <v>12539</v>
      </c>
      <c r="V46" s="162">
        <v>3724.7950000000001</v>
      </c>
      <c r="W46" s="145" t="s">
        <v>150</v>
      </c>
      <c r="X46" s="146"/>
      <c r="Y46" s="146"/>
    </row>
    <row r="47" spans="1:25" customFormat="1" ht="14.4" x14ac:dyDescent="0.3">
      <c r="A47" s="144" t="s">
        <v>223</v>
      </c>
      <c r="B47" s="171">
        <f t="shared" si="11"/>
        <v>8</v>
      </c>
      <c r="C47" s="159" t="s">
        <v>278</v>
      </c>
      <c r="D47" s="159" t="s">
        <v>278</v>
      </c>
      <c r="E47" s="158" t="s">
        <v>278</v>
      </c>
      <c r="F47" s="159" t="s">
        <v>278</v>
      </c>
      <c r="G47" s="158">
        <v>7</v>
      </c>
      <c r="H47" s="159">
        <v>1.75</v>
      </c>
      <c r="I47" s="158" t="s">
        <v>278</v>
      </c>
      <c r="J47" s="159" t="s">
        <v>278</v>
      </c>
      <c r="K47" s="160" t="s">
        <v>278</v>
      </c>
      <c r="L47" s="159" t="s">
        <v>278</v>
      </c>
      <c r="M47" s="158" t="s">
        <v>278</v>
      </c>
      <c r="N47" s="159" t="s">
        <v>278</v>
      </c>
      <c r="O47" s="158">
        <v>1</v>
      </c>
      <c r="P47" s="159">
        <v>1</v>
      </c>
      <c r="Q47" s="158" t="s">
        <v>278</v>
      </c>
      <c r="R47" s="159" t="s">
        <v>278</v>
      </c>
      <c r="S47" s="158" t="s">
        <v>278</v>
      </c>
      <c r="T47" s="159" t="s">
        <v>278</v>
      </c>
      <c r="U47" s="158" t="s">
        <v>278</v>
      </c>
      <c r="V47" s="162" t="s">
        <v>278</v>
      </c>
      <c r="W47" s="145" t="s">
        <v>151</v>
      </c>
      <c r="X47" s="146"/>
      <c r="Y47" s="146"/>
    </row>
    <row r="48" spans="1:25" customFormat="1" ht="14.4" x14ac:dyDescent="0.3">
      <c r="A48" s="144" t="s">
        <v>224</v>
      </c>
      <c r="B48" s="171">
        <f t="shared" si="11"/>
        <v>153531</v>
      </c>
      <c r="C48" s="159">
        <v>19349</v>
      </c>
      <c r="D48" s="159">
        <v>6052.7280000000001</v>
      </c>
      <c r="E48" s="158">
        <v>46669</v>
      </c>
      <c r="F48" s="159">
        <v>14687.111999999999</v>
      </c>
      <c r="G48" s="158">
        <v>17831</v>
      </c>
      <c r="H48" s="159">
        <v>5416.8760000000002</v>
      </c>
      <c r="I48" s="158">
        <v>3800</v>
      </c>
      <c r="J48" s="159">
        <v>949.24</v>
      </c>
      <c r="K48" s="158">
        <v>80</v>
      </c>
      <c r="L48" s="159">
        <v>20.62</v>
      </c>
      <c r="M48" s="158">
        <v>64986</v>
      </c>
      <c r="N48" s="159">
        <v>54270.883999999998</v>
      </c>
      <c r="O48" s="158" t="s">
        <v>278</v>
      </c>
      <c r="P48" s="159" t="s">
        <v>278</v>
      </c>
      <c r="Q48" s="158" t="s">
        <v>278</v>
      </c>
      <c r="R48" s="159" t="s">
        <v>278</v>
      </c>
      <c r="S48" s="158" t="s">
        <v>278</v>
      </c>
      <c r="T48" s="159" t="s">
        <v>278</v>
      </c>
      <c r="U48" s="158">
        <v>816</v>
      </c>
      <c r="V48" s="162">
        <v>232.76</v>
      </c>
      <c r="W48" s="145" t="s">
        <v>152</v>
      </c>
      <c r="X48" s="146"/>
      <c r="Y48" s="146"/>
    </row>
    <row r="49" spans="1:25" customFormat="1" ht="11.4" customHeight="1" x14ac:dyDescent="0.3">
      <c r="A49" s="190" t="s">
        <v>103</v>
      </c>
      <c r="B49" s="227">
        <f>SUM(B51:B55)</f>
        <v>725761</v>
      </c>
      <c r="C49" s="187">
        <f>SUM(C51:C55)</f>
        <v>19158</v>
      </c>
      <c r="D49" s="189">
        <f t="shared" ref="D49:L49" si="12">SUM(D51:D55)</f>
        <v>5919.0830000000005</v>
      </c>
      <c r="E49" s="187">
        <f t="shared" si="12"/>
        <v>423456</v>
      </c>
      <c r="F49" s="189">
        <f t="shared" si="12"/>
        <v>126662.32099999998</v>
      </c>
      <c r="G49" s="187">
        <f t="shared" si="12"/>
        <v>146459</v>
      </c>
      <c r="H49" s="189">
        <f t="shared" si="12"/>
        <v>35540.767</v>
      </c>
      <c r="I49" s="187">
        <f t="shared" si="12"/>
        <v>55952</v>
      </c>
      <c r="J49" s="189">
        <f t="shared" si="12"/>
        <v>14033.082</v>
      </c>
      <c r="K49" s="187">
        <f t="shared" si="12"/>
        <v>365</v>
      </c>
      <c r="L49" s="189">
        <f t="shared" si="12"/>
        <v>85.194999999999993</v>
      </c>
      <c r="M49" s="187">
        <f>SUM(M51:M55)</f>
        <v>65319</v>
      </c>
      <c r="N49" s="189">
        <f t="shared" ref="N49:V49" si="13">SUM(N51:N55)</f>
        <v>72157.646000000008</v>
      </c>
      <c r="O49" s="187">
        <f t="shared" si="13"/>
        <v>0</v>
      </c>
      <c r="P49" s="189">
        <f t="shared" si="13"/>
        <v>0</v>
      </c>
      <c r="Q49" s="187">
        <f>SUM(Q51:Q55)</f>
        <v>10036</v>
      </c>
      <c r="R49" s="189">
        <f t="shared" si="13"/>
        <v>8750.8150000000005</v>
      </c>
      <c r="S49" s="187">
        <f t="shared" si="13"/>
        <v>119</v>
      </c>
      <c r="T49" s="189">
        <f t="shared" si="13"/>
        <v>35.619999999999997</v>
      </c>
      <c r="U49" s="187">
        <f t="shared" si="13"/>
        <v>4897</v>
      </c>
      <c r="V49" s="206">
        <f t="shared" si="13"/>
        <v>1340.383</v>
      </c>
      <c r="W49" s="188" t="s">
        <v>117</v>
      </c>
      <c r="X49" s="188"/>
      <c r="Y49" s="188"/>
    </row>
    <row r="50" spans="1:25" customFormat="1" ht="14.4" x14ac:dyDescent="0.3">
      <c r="A50" s="190"/>
      <c r="B50" s="227"/>
      <c r="C50" s="187"/>
      <c r="D50" s="189"/>
      <c r="E50" s="187"/>
      <c r="F50" s="189"/>
      <c r="G50" s="187"/>
      <c r="H50" s="189"/>
      <c r="I50" s="187"/>
      <c r="J50" s="189"/>
      <c r="K50" s="187"/>
      <c r="L50" s="189"/>
      <c r="M50" s="187"/>
      <c r="N50" s="189"/>
      <c r="O50" s="187"/>
      <c r="P50" s="189"/>
      <c r="Q50" s="187"/>
      <c r="R50" s="189"/>
      <c r="S50" s="187"/>
      <c r="T50" s="189"/>
      <c r="U50" s="187"/>
      <c r="V50" s="206"/>
      <c r="W50" s="188"/>
      <c r="X50" s="188"/>
      <c r="Y50" s="188"/>
    </row>
    <row r="51" spans="1:25" customFormat="1" ht="14.4" x14ac:dyDescent="0.3">
      <c r="A51" s="144" t="s">
        <v>225</v>
      </c>
      <c r="B51" s="171">
        <f t="shared" ref="B51:B55" si="14">SUM(C51,E51,G51,I51,K51,M51,O51,Q51,S51,U51)</f>
        <v>309591</v>
      </c>
      <c r="C51" s="159">
        <v>11193</v>
      </c>
      <c r="D51" s="159">
        <v>3276.2739999999999</v>
      </c>
      <c r="E51" s="158">
        <v>181607</v>
      </c>
      <c r="F51" s="159">
        <v>48308.572999999997</v>
      </c>
      <c r="G51" s="158">
        <v>54514</v>
      </c>
      <c r="H51" s="159">
        <v>13763.808999999999</v>
      </c>
      <c r="I51" s="158">
        <v>17416</v>
      </c>
      <c r="J51" s="159">
        <v>4325.5450000000001</v>
      </c>
      <c r="K51" s="158">
        <v>250</v>
      </c>
      <c r="L51" s="159">
        <v>61.384999999999998</v>
      </c>
      <c r="M51" s="158">
        <v>30224</v>
      </c>
      <c r="N51" s="159">
        <v>35023.841</v>
      </c>
      <c r="O51" s="158" t="s">
        <v>278</v>
      </c>
      <c r="P51" s="159" t="s">
        <v>278</v>
      </c>
      <c r="Q51" s="158">
        <v>10036</v>
      </c>
      <c r="R51" s="159">
        <v>8750.8150000000005</v>
      </c>
      <c r="S51" s="160">
        <v>118</v>
      </c>
      <c r="T51" s="159">
        <v>35.4</v>
      </c>
      <c r="U51" s="158">
        <v>4233</v>
      </c>
      <c r="V51" s="162">
        <v>1170.0229999999999</v>
      </c>
      <c r="W51" s="145" t="s">
        <v>153</v>
      </c>
      <c r="X51" s="146"/>
      <c r="Y51" s="146"/>
    </row>
    <row r="52" spans="1:25" customFormat="1" ht="14.4" x14ac:dyDescent="0.3">
      <c r="A52" s="144" t="s">
        <v>226</v>
      </c>
      <c r="B52" s="171">
        <f t="shared" si="14"/>
        <v>326761</v>
      </c>
      <c r="C52" s="159">
        <v>936</v>
      </c>
      <c r="D52" s="159">
        <v>291.16000000000003</v>
      </c>
      <c r="E52" s="158">
        <v>207391</v>
      </c>
      <c r="F52" s="159">
        <v>68909.664999999994</v>
      </c>
      <c r="G52" s="158">
        <v>65090</v>
      </c>
      <c r="H52" s="159">
        <v>14114.768</v>
      </c>
      <c r="I52" s="158">
        <v>21148</v>
      </c>
      <c r="J52" s="159">
        <v>5746.1109999999999</v>
      </c>
      <c r="K52" s="158">
        <v>28</v>
      </c>
      <c r="L52" s="159">
        <v>6.81</v>
      </c>
      <c r="M52" s="158">
        <v>31763</v>
      </c>
      <c r="N52" s="159">
        <v>33946.42</v>
      </c>
      <c r="O52" s="158" t="s">
        <v>278</v>
      </c>
      <c r="P52" s="159" t="s">
        <v>278</v>
      </c>
      <c r="Q52" s="158" t="s">
        <v>278</v>
      </c>
      <c r="R52" s="159" t="s">
        <v>278</v>
      </c>
      <c r="S52" s="158">
        <v>1</v>
      </c>
      <c r="T52" s="159">
        <v>0.22</v>
      </c>
      <c r="U52" s="158">
        <v>404</v>
      </c>
      <c r="V52" s="162">
        <v>85.74</v>
      </c>
      <c r="W52" s="145" t="s">
        <v>154</v>
      </c>
      <c r="X52" s="146"/>
      <c r="Y52" s="146"/>
    </row>
    <row r="53" spans="1:25" customFormat="1" ht="14.4" x14ac:dyDescent="0.3">
      <c r="A53" s="144" t="s">
        <v>227</v>
      </c>
      <c r="B53" s="171">
        <f t="shared" si="14"/>
        <v>82227</v>
      </c>
      <c r="C53" s="159">
        <v>6384</v>
      </c>
      <c r="D53" s="159">
        <v>2159.3789999999999</v>
      </c>
      <c r="E53" s="158">
        <v>32621</v>
      </c>
      <c r="F53" s="159">
        <v>9002.7379999999994</v>
      </c>
      <c r="G53" s="158">
        <v>25982</v>
      </c>
      <c r="H53" s="159">
        <v>7452.05</v>
      </c>
      <c r="I53" s="158">
        <v>14982</v>
      </c>
      <c r="J53" s="159">
        <v>3320.3760000000002</v>
      </c>
      <c r="K53" s="158">
        <v>47</v>
      </c>
      <c r="L53" s="159">
        <v>11.15</v>
      </c>
      <c r="M53" s="158">
        <v>2105</v>
      </c>
      <c r="N53" s="159">
        <v>2092.5700000000002</v>
      </c>
      <c r="O53" s="158" t="s">
        <v>278</v>
      </c>
      <c r="P53" s="159" t="s">
        <v>278</v>
      </c>
      <c r="Q53" s="158" t="s">
        <v>278</v>
      </c>
      <c r="R53" s="159" t="s">
        <v>278</v>
      </c>
      <c r="S53" s="158" t="s">
        <v>278</v>
      </c>
      <c r="T53" s="159" t="s">
        <v>278</v>
      </c>
      <c r="U53" s="158">
        <v>106</v>
      </c>
      <c r="V53" s="162">
        <v>36.200000000000003</v>
      </c>
      <c r="W53" s="145" t="s">
        <v>155</v>
      </c>
      <c r="X53" s="146"/>
      <c r="Y53" s="146"/>
    </row>
    <row r="54" spans="1:25" customFormat="1" ht="14.4" x14ac:dyDescent="0.3">
      <c r="A54" s="144" t="s">
        <v>228</v>
      </c>
      <c r="B54" s="171">
        <f t="shared" si="14"/>
        <v>108</v>
      </c>
      <c r="C54" s="159" t="s">
        <v>278</v>
      </c>
      <c r="D54" s="159" t="s">
        <v>278</v>
      </c>
      <c r="E54" s="158">
        <v>26</v>
      </c>
      <c r="F54" s="159">
        <v>6.8</v>
      </c>
      <c r="G54" s="158" t="s">
        <v>278</v>
      </c>
      <c r="H54" s="159" t="s">
        <v>278</v>
      </c>
      <c r="I54" s="158">
        <v>4</v>
      </c>
      <c r="J54" s="159">
        <v>1.7</v>
      </c>
      <c r="K54" s="160" t="s">
        <v>278</v>
      </c>
      <c r="L54" s="159" t="s">
        <v>278</v>
      </c>
      <c r="M54" s="158">
        <v>78</v>
      </c>
      <c r="N54" s="159">
        <v>54.1</v>
      </c>
      <c r="O54" s="158" t="s">
        <v>278</v>
      </c>
      <c r="P54" s="159" t="s">
        <v>278</v>
      </c>
      <c r="Q54" s="158" t="s">
        <v>278</v>
      </c>
      <c r="R54" s="159" t="s">
        <v>278</v>
      </c>
      <c r="S54" s="160" t="s">
        <v>278</v>
      </c>
      <c r="T54" s="159" t="s">
        <v>278</v>
      </c>
      <c r="U54" s="160" t="s">
        <v>278</v>
      </c>
      <c r="V54" s="162" t="s">
        <v>278</v>
      </c>
      <c r="W54" s="145" t="s">
        <v>156</v>
      </c>
      <c r="X54" s="146"/>
      <c r="Y54" s="146"/>
    </row>
    <row r="55" spans="1:25" customFormat="1" ht="14.4" x14ac:dyDescent="0.3">
      <c r="A55" s="144" t="s">
        <v>229</v>
      </c>
      <c r="B55" s="171">
        <f t="shared" si="14"/>
        <v>7074</v>
      </c>
      <c r="C55" s="159">
        <v>645</v>
      </c>
      <c r="D55" s="159">
        <v>192.27</v>
      </c>
      <c r="E55" s="158">
        <v>1811</v>
      </c>
      <c r="F55" s="159">
        <v>434.54500000000002</v>
      </c>
      <c r="G55" s="158">
        <v>873</v>
      </c>
      <c r="H55" s="159">
        <v>210.14</v>
      </c>
      <c r="I55" s="158">
        <v>2402</v>
      </c>
      <c r="J55" s="159">
        <v>639.35</v>
      </c>
      <c r="K55" s="160">
        <v>40</v>
      </c>
      <c r="L55" s="159">
        <v>5.85</v>
      </c>
      <c r="M55" s="158">
        <v>1149</v>
      </c>
      <c r="N55" s="159">
        <v>1040.7149999999999</v>
      </c>
      <c r="O55" s="158" t="s">
        <v>278</v>
      </c>
      <c r="P55" s="159" t="s">
        <v>278</v>
      </c>
      <c r="Q55" s="158" t="s">
        <v>278</v>
      </c>
      <c r="R55" s="159" t="s">
        <v>278</v>
      </c>
      <c r="S55" s="158" t="s">
        <v>278</v>
      </c>
      <c r="T55" s="159" t="s">
        <v>278</v>
      </c>
      <c r="U55" s="158">
        <v>154</v>
      </c>
      <c r="V55" s="162">
        <v>48.42</v>
      </c>
      <c r="W55" s="145" t="s">
        <v>157</v>
      </c>
      <c r="X55" s="146"/>
      <c r="Y55" s="146"/>
    </row>
    <row r="56" spans="1:25" customFormat="1" ht="11.4" customHeight="1" x14ac:dyDescent="0.3">
      <c r="A56" s="190" t="s">
        <v>104</v>
      </c>
      <c r="B56" s="227">
        <f>SUM(B58:B62)</f>
        <v>2543</v>
      </c>
      <c r="C56" s="187">
        <f>SUM(C58:C62)</f>
        <v>476</v>
      </c>
      <c r="D56" s="189">
        <f t="shared" ref="D56:L56" si="15">SUM(D58:D62)</f>
        <v>85.075000000000003</v>
      </c>
      <c r="E56" s="187">
        <f t="shared" si="15"/>
        <v>208</v>
      </c>
      <c r="F56" s="189">
        <f t="shared" si="15"/>
        <v>36.832999999999998</v>
      </c>
      <c r="G56" s="187">
        <f>SUM(G58:G62)</f>
        <v>217</v>
      </c>
      <c r="H56" s="189">
        <f>SUM(H58:H62)</f>
        <v>38.811999999999998</v>
      </c>
      <c r="I56" s="187">
        <f t="shared" si="15"/>
        <v>1596</v>
      </c>
      <c r="J56" s="189">
        <f t="shared" si="15"/>
        <v>214.04</v>
      </c>
      <c r="K56" s="187">
        <f t="shared" si="15"/>
        <v>25</v>
      </c>
      <c r="L56" s="189">
        <f t="shared" si="15"/>
        <v>4.8470000000000004</v>
      </c>
      <c r="M56" s="187">
        <f>SUM(M58:M62)</f>
        <v>16</v>
      </c>
      <c r="N56" s="189">
        <f t="shared" ref="N56:V56" si="16">SUM(N58:N62)</f>
        <v>14.8</v>
      </c>
      <c r="O56" s="187">
        <f t="shared" si="16"/>
        <v>0</v>
      </c>
      <c r="P56" s="189">
        <f t="shared" si="16"/>
        <v>0</v>
      </c>
      <c r="Q56" s="187">
        <f>SUM(Q58:Q62)</f>
        <v>0</v>
      </c>
      <c r="R56" s="189">
        <f t="shared" si="16"/>
        <v>0</v>
      </c>
      <c r="S56" s="187">
        <f t="shared" si="16"/>
        <v>0</v>
      </c>
      <c r="T56" s="189">
        <f t="shared" si="16"/>
        <v>0</v>
      </c>
      <c r="U56" s="187">
        <f t="shared" si="16"/>
        <v>5</v>
      </c>
      <c r="V56" s="206">
        <f t="shared" si="16"/>
        <v>1.4</v>
      </c>
      <c r="W56" s="188" t="s">
        <v>118</v>
      </c>
      <c r="X56" s="188"/>
      <c r="Y56" s="188"/>
    </row>
    <row r="57" spans="1:25" customFormat="1" ht="11.4" customHeight="1" x14ac:dyDescent="0.3">
      <c r="A57" s="190"/>
      <c r="B57" s="227"/>
      <c r="C57" s="187"/>
      <c r="D57" s="189"/>
      <c r="E57" s="187"/>
      <c r="F57" s="189"/>
      <c r="G57" s="187"/>
      <c r="H57" s="189"/>
      <c r="I57" s="187"/>
      <c r="J57" s="189"/>
      <c r="K57" s="187"/>
      <c r="L57" s="189"/>
      <c r="M57" s="187"/>
      <c r="N57" s="189"/>
      <c r="O57" s="187"/>
      <c r="P57" s="189"/>
      <c r="Q57" s="187"/>
      <c r="R57" s="189"/>
      <c r="S57" s="187"/>
      <c r="T57" s="189"/>
      <c r="U57" s="187"/>
      <c r="V57" s="206"/>
      <c r="W57" s="188"/>
      <c r="X57" s="188"/>
      <c r="Y57" s="188"/>
    </row>
    <row r="58" spans="1:25" customFormat="1" ht="14.4" x14ac:dyDescent="0.3">
      <c r="A58" s="144" t="s">
        <v>230</v>
      </c>
      <c r="B58" s="171">
        <f>SUM(C58,E58,G58,I58,K58,M58,O58,Q58,S58,U58)</f>
        <v>52</v>
      </c>
      <c r="C58" s="161" t="s">
        <v>278</v>
      </c>
      <c r="D58" s="159" t="s">
        <v>278</v>
      </c>
      <c r="E58" s="160" t="s">
        <v>278</v>
      </c>
      <c r="F58" s="159" t="s">
        <v>278</v>
      </c>
      <c r="G58" s="158" t="s">
        <v>278</v>
      </c>
      <c r="H58" s="159" t="s">
        <v>278</v>
      </c>
      <c r="I58" s="158">
        <v>36</v>
      </c>
      <c r="J58" s="159">
        <v>6.03</v>
      </c>
      <c r="K58" s="160" t="s">
        <v>278</v>
      </c>
      <c r="L58" s="159" t="s">
        <v>278</v>
      </c>
      <c r="M58" s="158">
        <v>16</v>
      </c>
      <c r="N58" s="159">
        <v>14.8</v>
      </c>
      <c r="O58" s="158" t="s">
        <v>278</v>
      </c>
      <c r="P58" s="159" t="s">
        <v>278</v>
      </c>
      <c r="Q58" s="158" t="s">
        <v>278</v>
      </c>
      <c r="R58" s="159" t="s">
        <v>278</v>
      </c>
      <c r="S58" s="160" t="s">
        <v>278</v>
      </c>
      <c r="T58" s="159" t="s">
        <v>278</v>
      </c>
      <c r="U58" s="160" t="s">
        <v>278</v>
      </c>
      <c r="V58" s="162" t="s">
        <v>278</v>
      </c>
      <c r="W58" s="145" t="s">
        <v>158</v>
      </c>
      <c r="X58" s="146"/>
      <c r="Y58" s="146"/>
    </row>
    <row r="59" spans="1:25" customFormat="1" ht="14.4" x14ac:dyDescent="0.3">
      <c r="A59" s="144" t="s">
        <v>231</v>
      </c>
      <c r="B59" s="171">
        <f>SUM(C59,E59,G59,I59,K59,M59,O59,Q59,S59,U59)</f>
        <v>522</v>
      </c>
      <c r="C59" s="159">
        <v>282</v>
      </c>
      <c r="D59" s="159">
        <v>54.2</v>
      </c>
      <c r="E59" s="158">
        <v>123</v>
      </c>
      <c r="F59" s="159">
        <v>23.3</v>
      </c>
      <c r="G59" s="158">
        <v>88</v>
      </c>
      <c r="H59" s="159">
        <v>17.402000000000001</v>
      </c>
      <c r="I59" s="158" t="s">
        <v>278</v>
      </c>
      <c r="J59" s="159" t="s">
        <v>278</v>
      </c>
      <c r="K59" s="158">
        <v>24</v>
      </c>
      <c r="L59" s="159">
        <v>4.58</v>
      </c>
      <c r="M59" s="158" t="s">
        <v>278</v>
      </c>
      <c r="N59" s="159" t="s">
        <v>278</v>
      </c>
      <c r="O59" s="160" t="s">
        <v>278</v>
      </c>
      <c r="P59" s="159" t="s">
        <v>278</v>
      </c>
      <c r="Q59" s="158" t="s">
        <v>278</v>
      </c>
      <c r="R59" s="159" t="s">
        <v>278</v>
      </c>
      <c r="S59" s="160" t="s">
        <v>278</v>
      </c>
      <c r="T59" s="159" t="s">
        <v>278</v>
      </c>
      <c r="U59" s="160">
        <v>5</v>
      </c>
      <c r="V59" s="162">
        <v>1.4</v>
      </c>
      <c r="W59" s="145" t="s">
        <v>159</v>
      </c>
      <c r="X59" s="146"/>
      <c r="Y59" s="146"/>
    </row>
    <row r="60" spans="1:25" customFormat="1" ht="14.4" x14ac:dyDescent="0.3">
      <c r="A60" s="144" t="s">
        <v>232</v>
      </c>
      <c r="B60" s="171">
        <f>SUM(C60,E60,G60,I60,K60,M60,O60,Q60,S60,U60)</f>
        <v>0</v>
      </c>
      <c r="C60" s="161" t="s">
        <v>278</v>
      </c>
      <c r="D60" s="159" t="s">
        <v>278</v>
      </c>
      <c r="E60" s="158" t="s">
        <v>278</v>
      </c>
      <c r="F60" s="159" t="s">
        <v>278</v>
      </c>
      <c r="G60" s="160" t="s">
        <v>278</v>
      </c>
      <c r="H60" s="159" t="s">
        <v>278</v>
      </c>
      <c r="I60" s="160" t="s">
        <v>278</v>
      </c>
      <c r="J60" s="159" t="s">
        <v>278</v>
      </c>
      <c r="K60" s="160" t="s">
        <v>278</v>
      </c>
      <c r="L60" s="159" t="s">
        <v>278</v>
      </c>
      <c r="M60" s="160" t="s">
        <v>278</v>
      </c>
      <c r="N60" s="159" t="s">
        <v>278</v>
      </c>
      <c r="O60" s="160" t="s">
        <v>278</v>
      </c>
      <c r="P60" s="159" t="s">
        <v>278</v>
      </c>
      <c r="Q60" s="158" t="s">
        <v>278</v>
      </c>
      <c r="R60" s="159" t="s">
        <v>278</v>
      </c>
      <c r="S60" s="160" t="s">
        <v>278</v>
      </c>
      <c r="T60" s="159" t="s">
        <v>278</v>
      </c>
      <c r="U60" s="160" t="s">
        <v>278</v>
      </c>
      <c r="V60" s="162" t="s">
        <v>278</v>
      </c>
      <c r="W60" s="145" t="s">
        <v>160</v>
      </c>
      <c r="X60" s="146"/>
      <c r="Y60" s="146"/>
    </row>
    <row r="61" spans="1:25" customFormat="1" ht="14.4" x14ac:dyDescent="0.3">
      <c r="A61" s="144" t="s">
        <v>233</v>
      </c>
      <c r="B61" s="171">
        <f>SUM(C61,E61,G61,I61,K61,M61,O61,Q61,S61,U61)</f>
        <v>1737</v>
      </c>
      <c r="C61" s="159">
        <v>182</v>
      </c>
      <c r="D61" s="159">
        <v>29.905000000000001</v>
      </c>
      <c r="E61" s="158">
        <v>83</v>
      </c>
      <c r="F61" s="159">
        <v>13.233000000000001</v>
      </c>
      <c r="G61" s="158">
        <v>120</v>
      </c>
      <c r="H61" s="159">
        <v>20.158999999999999</v>
      </c>
      <c r="I61" s="158">
        <v>1351</v>
      </c>
      <c r="J61" s="159">
        <v>198.75</v>
      </c>
      <c r="K61" s="160">
        <v>1</v>
      </c>
      <c r="L61" s="159">
        <v>0.26700000000000002</v>
      </c>
      <c r="M61" s="160" t="s">
        <v>278</v>
      </c>
      <c r="N61" s="159" t="s">
        <v>278</v>
      </c>
      <c r="O61" s="160" t="s">
        <v>278</v>
      </c>
      <c r="P61" s="159" t="s">
        <v>278</v>
      </c>
      <c r="Q61" s="158" t="s">
        <v>278</v>
      </c>
      <c r="R61" s="159" t="s">
        <v>278</v>
      </c>
      <c r="S61" s="160" t="s">
        <v>278</v>
      </c>
      <c r="T61" s="159" t="s">
        <v>278</v>
      </c>
      <c r="U61" s="158" t="s">
        <v>278</v>
      </c>
      <c r="V61" s="162" t="s">
        <v>278</v>
      </c>
      <c r="W61" s="145" t="s">
        <v>161</v>
      </c>
      <c r="X61" s="146"/>
      <c r="Y61" s="146"/>
    </row>
    <row r="62" spans="1:25" customFormat="1" ht="14.4" x14ac:dyDescent="0.3">
      <c r="A62" s="144" t="s">
        <v>234</v>
      </c>
      <c r="B62" s="171">
        <f>SUM(C62,E62,G62,I62,K62,M62,O62,Q62,S62,U62)</f>
        <v>232</v>
      </c>
      <c r="C62" s="159">
        <v>12</v>
      </c>
      <c r="D62" s="159">
        <v>0.97</v>
      </c>
      <c r="E62" s="158">
        <v>2</v>
      </c>
      <c r="F62" s="159">
        <v>0.3</v>
      </c>
      <c r="G62" s="158">
        <v>9</v>
      </c>
      <c r="H62" s="159">
        <v>1.2509999999999999</v>
      </c>
      <c r="I62" s="158">
        <v>209</v>
      </c>
      <c r="J62" s="159">
        <v>9.26</v>
      </c>
      <c r="K62" s="160" t="s">
        <v>278</v>
      </c>
      <c r="L62" s="159" t="s">
        <v>278</v>
      </c>
      <c r="M62" s="160" t="s">
        <v>278</v>
      </c>
      <c r="N62" s="159" t="s">
        <v>278</v>
      </c>
      <c r="O62" s="160" t="s">
        <v>278</v>
      </c>
      <c r="P62" s="159" t="s">
        <v>278</v>
      </c>
      <c r="Q62" s="158" t="s">
        <v>278</v>
      </c>
      <c r="R62" s="159" t="s">
        <v>278</v>
      </c>
      <c r="S62" s="160" t="s">
        <v>278</v>
      </c>
      <c r="T62" s="159" t="s">
        <v>278</v>
      </c>
      <c r="U62" s="160" t="s">
        <v>278</v>
      </c>
      <c r="V62" s="162" t="s">
        <v>278</v>
      </c>
      <c r="W62" s="145" t="s">
        <v>162</v>
      </c>
      <c r="X62" s="146"/>
      <c r="Y62" s="146"/>
    </row>
    <row r="63" spans="1:25" customFormat="1" ht="11.4" customHeight="1" x14ac:dyDescent="0.3">
      <c r="A63" s="190" t="s">
        <v>105</v>
      </c>
      <c r="B63" s="227">
        <f>SUM(B65:B67)</f>
        <v>269973</v>
      </c>
      <c r="C63" s="187">
        <f>SUM(C65:C67)</f>
        <v>7076</v>
      </c>
      <c r="D63" s="189">
        <f t="shared" ref="D63:L63" si="17">SUM(D65:D67)</f>
        <v>2093.9569999999999</v>
      </c>
      <c r="E63" s="187">
        <f t="shared" si="17"/>
        <v>2250</v>
      </c>
      <c r="F63" s="189">
        <f t="shared" si="17"/>
        <v>591.06899999999996</v>
      </c>
      <c r="G63" s="187">
        <f t="shared" si="17"/>
        <v>14815</v>
      </c>
      <c r="H63" s="189">
        <f t="shared" si="17"/>
        <v>3811.2110000000002</v>
      </c>
      <c r="I63" s="187">
        <f t="shared" si="17"/>
        <v>144608</v>
      </c>
      <c r="J63" s="189">
        <f t="shared" si="17"/>
        <v>29620.876999999997</v>
      </c>
      <c r="K63" s="187">
        <f t="shared" si="17"/>
        <v>2789</v>
      </c>
      <c r="L63" s="189">
        <f t="shared" si="17"/>
        <v>558.49800000000005</v>
      </c>
      <c r="M63" s="187">
        <f>SUM(M65:M67)</f>
        <v>91921</v>
      </c>
      <c r="N63" s="189">
        <f t="shared" ref="N63:V63" si="18">SUM(N65:N67)</f>
        <v>120234.91</v>
      </c>
      <c r="O63" s="187">
        <f t="shared" si="18"/>
        <v>0</v>
      </c>
      <c r="P63" s="189">
        <f t="shared" si="18"/>
        <v>0</v>
      </c>
      <c r="Q63" s="187">
        <f>SUM(Q65:Q67)</f>
        <v>4993</v>
      </c>
      <c r="R63" s="189">
        <f t="shared" si="18"/>
        <v>3380.1</v>
      </c>
      <c r="S63" s="187">
        <f t="shared" si="18"/>
        <v>1111</v>
      </c>
      <c r="T63" s="189">
        <f t="shared" si="18"/>
        <v>269.42599999999999</v>
      </c>
      <c r="U63" s="187">
        <f t="shared" si="18"/>
        <v>410</v>
      </c>
      <c r="V63" s="206">
        <f t="shared" si="18"/>
        <v>113.101</v>
      </c>
      <c r="W63" s="188" t="s">
        <v>119</v>
      </c>
      <c r="X63" s="188"/>
      <c r="Y63" s="188"/>
    </row>
    <row r="64" spans="1:25" customFormat="1" ht="13.8" customHeight="1" x14ac:dyDescent="0.3">
      <c r="A64" s="190"/>
      <c r="B64" s="227"/>
      <c r="C64" s="187"/>
      <c r="D64" s="189"/>
      <c r="E64" s="187"/>
      <c r="F64" s="189"/>
      <c r="G64" s="187"/>
      <c r="H64" s="189"/>
      <c r="I64" s="187"/>
      <c r="J64" s="189"/>
      <c r="K64" s="187"/>
      <c r="L64" s="189"/>
      <c r="M64" s="187"/>
      <c r="N64" s="189"/>
      <c r="O64" s="187"/>
      <c r="P64" s="189"/>
      <c r="Q64" s="187"/>
      <c r="R64" s="189"/>
      <c r="S64" s="187"/>
      <c r="T64" s="189"/>
      <c r="U64" s="187"/>
      <c r="V64" s="206"/>
      <c r="W64" s="188"/>
      <c r="X64" s="188"/>
      <c r="Y64" s="188"/>
    </row>
    <row r="65" spans="1:25" customFormat="1" ht="14.4" x14ac:dyDescent="0.3">
      <c r="A65" s="144" t="s">
        <v>235</v>
      </c>
      <c r="B65" s="171">
        <f>SUM(C65,E65,G65,I65,K65,M65,O65,Q65,S65,U65)</f>
        <v>78000</v>
      </c>
      <c r="C65" s="159">
        <v>1614</v>
      </c>
      <c r="D65" s="159">
        <v>398.87</v>
      </c>
      <c r="E65" s="158">
        <v>969</v>
      </c>
      <c r="F65" s="159">
        <v>233.82400000000001</v>
      </c>
      <c r="G65" s="158">
        <v>5568</v>
      </c>
      <c r="H65" s="159">
        <v>1442.009</v>
      </c>
      <c r="I65" s="158">
        <v>66657</v>
      </c>
      <c r="J65" s="159">
        <v>13511.16</v>
      </c>
      <c r="K65" s="158">
        <v>264</v>
      </c>
      <c r="L65" s="159">
        <v>52.997999999999998</v>
      </c>
      <c r="M65" s="158">
        <v>2764</v>
      </c>
      <c r="N65" s="159">
        <v>3042.82</v>
      </c>
      <c r="O65" s="158" t="s">
        <v>278</v>
      </c>
      <c r="P65" s="159" t="s">
        <v>278</v>
      </c>
      <c r="Q65" s="158" t="s">
        <v>278</v>
      </c>
      <c r="R65" s="159" t="s">
        <v>278</v>
      </c>
      <c r="S65" s="158">
        <v>164</v>
      </c>
      <c r="T65" s="159">
        <v>37.880000000000003</v>
      </c>
      <c r="U65" s="158" t="s">
        <v>278</v>
      </c>
      <c r="V65" s="162" t="s">
        <v>278</v>
      </c>
      <c r="W65" s="145" t="s">
        <v>163</v>
      </c>
      <c r="X65" s="146"/>
      <c r="Y65" s="146"/>
    </row>
    <row r="66" spans="1:25" customFormat="1" ht="14.4" x14ac:dyDescent="0.3">
      <c r="A66" s="144" t="s">
        <v>236</v>
      </c>
      <c r="B66" s="171">
        <f>SUM(C66,E66,G66,I66,K66,M66,O66,Q66,S66,U66)</f>
        <v>100215</v>
      </c>
      <c r="C66" s="159">
        <v>2452</v>
      </c>
      <c r="D66" s="159">
        <v>693.54700000000003</v>
      </c>
      <c r="E66" s="158">
        <v>662</v>
      </c>
      <c r="F66" s="159">
        <v>162.98500000000001</v>
      </c>
      <c r="G66" s="158">
        <v>2569</v>
      </c>
      <c r="H66" s="159">
        <v>674.54200000000003</v>
      </c>
      <c r="I66" s="158">
        <v>44349</v>
      </c>
      <c r="J66" s="159">
        <v>9284.4169999999995</v>
      </c>
      <c r="K66" s="160">
        <v>2507</v>
      </c>
      <c r="L66" s="159">
        <v>501.5</v>
      </c>
      <c r="M66" s="158">
        <v>41399</v>
      </c>
      <c r="N66" s="159">
        <v>52753.49</v>
      </c>
      <c r="O66" s="158" t="s">
        <v>278</v>
      </c>
      <c r="P66" s="159" t="s">
        <v>278</v>
      </c>
      <c r="Q66" s="158">
        <v>4993</v>
      </c>
      <c r="R66" s="159">
        <v>3380.1</v>
      </c>
      <c r="S66" s="158">
        <v>947</v>
      </c>
      <c r="T66" s="159">
        <v>231.54599999999999</v>
      </c>
      <c r="U66" s="160">
        <v>337</v>
      </c>
      <c r="V66" s="162">
        <v>95.301000000000002</v>
      </c>
      <c r="W66" s="145" t="s">
        <v>164</v>
      </c>
      <c r="X66" s="146"/>
      <c r="Y66" s="146"/>
    </row>
    <row r="67" spans="1:25" customFormat="1" ht="14.4" x14ac:dyDescent="0.3">
      <c r="A67" s="144" t="s">
        <v>237</v>
      </c>
      <c r="B67" s="171">
        <f>SUM(C67,E67,G67,I67,K67,M67,O67,Q67,S67,U67)</f>
        <v>91758</v>
      </c>
      <c r="C67" s="159">
        <v>3010</v>
      </c>
      <c r="D67" s="159">
        <v>1001.54</v>
      </c>
      <c r="E67" s="158">
        <v>619</v>
      </c>
      <c r="F67" s="159">
        <v>194.26</v>
      </c>
      <c r="G67" s="158">
        <v>6678</v>
      </c>
      <c r="H67" s="159">
        <v>1694.66</v>
      </c>
      <c r="I67" s="158">
        <v>33602</v>
      </c>
      <c r="J67" s="159">
        <v>6825.3</v>
      </c>
      <c r="K67" s="158">
        <v>18</v>
      </c>
      <c r="L67" s="159">
        <v>4</v>
      </c>
      <c r="M67" s="158">
        <v>47758</v>
      </c>
      <c r="N67" s="159">
        <v>64438.6</v>
      </c>
      <c r="O67" s="160" t="s">
        <v>278</v>
      </c>
      <c r="P67" s="159" t="s">
        <v>278</v>
      </c>
      <c r="Q67" s="158" t="s">
        <v>278</v>
      </c>
      <c r="R67" s="159" t="s">
        <v>278</v>
      </c>
      <c r="S67" s="158" t="s">
        <v>278</v>
      </c>
      <c r="T67" s="159" t="s">
        <v>278</v>
      </c>
      <c r="U67" s="160">
        <v>73</v>
      </c>
      <c r="V67" s="162">
        <v>17.8</v>
      </c>
      <c r="W67" s="145" t="s">
        <v>165</v>
      </c>
      <c r="X67" s="146"/>
      <c r="Y67" s="146"/>
    </row>
    <row r="68" spans="1:25" customFormat="1" ht="19.2" customHeight="1" x14ac:dyDescent="0.3">
      <c r="A68" s="190" t="s">
        <v>106</v>
      </c>
      <c r="B68" s="227">
        <f>SUM(B70:B74)</f>
        <v>108857</v>
      </c>
      <c r="C68" s="187">
        <f>SUM(C70:C74)</f>
        <v>22339</v>
      </c>
      <c r="D68" s="189">
        <f t="shared" ref="D68:L68" si="19">SUM(D70:D74)</f>
        <v>9281.3209999999999</v>
      </c>
      <c r="E68" s="187">
        <f t="shared" si="19"/>
        <v>16874</v>
      </c>
      <c r="F68" s="189">
        <f t="shared" si="19"/>
        <v>5550.6109999999999</v>
      </c>
      <c r="G68" s="187">
        <f t="shared" si="19"/>
        <v>23456</v>
      </c>
      <c r="H68" s="189">
        <f t="shared" si="19"/>
        <v>8974.0350000000017</v>
      </c>
      <c r="I68" s="187">
        <f t="shared" si="19"/>
        <v>40353</v>
      </c>
      <c r="J68" s="189">
        <f t="shared" si="19"/>
        <v>12276.303</v>
      </c>
      <c r="K68" s="187">
        <f t="shared" si="19"/>
        <v>1289</v>
      </c>
      <c r="L68" s="189">
        <f t="shared" si="19"/>
        <v>319.065</v>
      </c>
      <c r="M68" s="187">
        <f>SUM(M70:M74)</f>
        <v>3196</v>
      </c>
      <c r="N68" s="189">
        <f t="shared" ref="N68:V68" si="20">SUM(N70:N74)</f>
        <v>3610.3829999999998</v>
      </c>
      <c r="O68" s="187">
        <f t="shared" si="20"/>
        <v>12</v>
      </c>
      <c r="P68" s="189">
        <f t="shared" si="20"/>
        <v>3</v>
      </c>
      <c r="Q68" s="187">
        <f>SUM(Q70:Q74)</f>
        <v>268</v>
      </c>
      <c r="R68" s="189">
        <f t="shared" si="20"/>
        <v>193.5</v>
      </c>
      <c r="S68" s="187">
        <f t="shared" si="20"/>
        <v>83</v>
      </c>
      <c r="T68" s="189">
        <f t="shared" si="20"/>
        <v>19.3</v>
      </c>
      <c r="U68" s="187">
        <f t="shared" si="20"/>
        <v>987</v>
      </c>
      <c r="V68" s="206">
        <f t="shared" si="20"/>
        <v>280.2</v>
      </c>
      <c r="W68" s="188" t="s">
        <v>120</v>
      </c>
      <c r="X68" s="188"/>
      <c r="Y68" s="188"/>
    </row>
    <row r="69" spans="1:25" customFormat="1" ht="8.4" customHeight="1" x14ac:dyDescent="0.3">
      <c r="A69" s="190"/>
      <c r="B69" s="227"/>
      <c r="C69" s="187"/>
      <c r="D69" s="189"/>
      <c r="E69" s="187"/>
      <c r="F69" s="189"/>
      <c r="G69" s="187"/>
      <c r="H69" s="189"/>
      <c r="I69" s="187"/>
      <c r="J69" s="189"/>
      <c r="K69" s="187"/>
      <c r="L69" s="189"/>
      <c r="M69" s="187"/>
      <c r="N69" s="189"/>
      <c r="O69" s="187"/>
      <c r="P69" s="189"/>
      <c r="Q69" s="187"/>
      <c r="R69" s="189"/>
      <c r="S69" s="187"/>
      <c r="T69" s="189"/>
      <c r="U69" s="187"/>
      <c r="V69" s="206"/>
      <c r="W69" s="188"/>
      <c r="X69" s="188"/>
      <c r="Y69" s="188"/>
    </row>
    <row r="70" spans="1:25" customFormat="1" ht="14.4" x14ac:dyDescent="0.3">
      <c r="A70" s="144" t="s">
        <v>238</v>
      </c>
      <c r="B70" s="171">
        <f t="shared" ref="B70:B74" si="21">SUM(C70,E70,G70,I70,K70,M70,O70,Q70,S70,U70)</f>
        <v>45366</v>
      </c>
      <c r="C70" s="159">
        <v>14487</v>
      </c>
      <c r="D70" s="159">
        <v>6332.2759999999998</v>
      </c>
      <c r="E70" s="158">
        <v>2564</v>
      </c>
      <c r="F70" s="159">
        <v>1084.0999999999999</v>
      </c>
      <c r="G70" s="158">
        <v>12599</v>
      </c>
      <c r="H70" s="159">
        <v>5225.232</v>
      </c>
      <c r="I70" s="158">
        <v>13757</v>
      </c>
      <c r="J70" s="159">
        <v>4665.62</v>
      </c>
      <c r="K70" s="158">
        <v>251</v>
      </c>
      <c r="L70" s="159">
        <v>64.3</v>
      </c>
      <c r="M70" s="158">
        <v>1279</v>
      </c>
      <c r="N70" s="159">
        <v>1496.7729999999999</v>
      </c>
      <c r="O70" s="160" t="s">
        <v>278</v>
      </c>
      <c r="P70" s="159" t="s">
        <v>278</v>
      </c>
      <c r="Q70" s="158" t="s">
        <v>278</v>
      </c>
      <c r="R70" s="159" t="s">
        <v>278</v>
      </c>
      <c r="S70" s="158">
        <v>42</v>
      </c>
      <c r="T70" s="159">
        <v>8.4</v>
      </c>
      <c r="U70" s="158">
        <v>387</v>
      </c>
      <c r="V70" s="162">
        <v>103.8</v>
      </c>
      <c r="W70" s="145" t="s">
        <v>166</v>
      </c>
      <c r="X70" s="146"/>
      <c r="Y70" s="146"/>
    </row>
    <row r="71" spans="1:25" customFormat="1" ht="14.4" x14ac:dyDescent="0.3">
      <c r="A71" s="144" t="s">
        <v>239</v>
      </c>
      <c r="B71" s="171">
        <f t="shared" si="21"/>
        <v>12414</v>
      </c>
      <c r="C71" s="159">
        <v>709</v>
      </c>
      <c r="D71" s="159">
        <v>193.42500000000001</v>
      </c>
      <c r="E71" s="158">
        <v>767</v>
      </c>
      <c r="F71" s="159">
        <v>193.67599999999999</v>
      </c>
      <c r="G71" s="158">
        <v>2463</v>
      </c>
      <c r="H71" s="159">
        <v>729.80600000000004</v>
      </c>
      <c r="I71" s="158">
        <v>7948</v>
      </c>
      <c r="J71" s="159">
        <v>1649.115</v>
      </c>
      <c r="K71" s="160">
        <v>283</v>
      </c>
      <c r="L71" s="159">
        <v>74.25</v>
      </c>
      <c r="M71" s="158">
        <v>219</v>
      </c>
      <c r="N71" s="159">
        <v>196.22200000000001</v>
      </c>
      <c r="O71" s="160" t="s">
        <v>278</v>
      </c>
      <c r="P71" s="159" t="s">
        <v>278</v>
      </c>
      <c r="Q71" s="158" t="s">
        <v>278</v>
      </c>
      <c r="R71" s="159" t="s">
        <v>278</v>
      </c>
      <c r="S71" s="160" t="s">
        <v>278</v>
      </c>
      <c r="T71" s="159" t="s">
        <v>278</v>
      </c>
      <c r="U71" s="160">
        <v>25</v>
      </c>
      <c r="V71" s="162">
        <v>6.2</v>
      </c>
      <c r="W71" s="145" t="s">
        <v>167</v>
      </c>
      <c r="X71" s="146"/>
      <c r="Y71" s="146"/>
    </row>
    <row r="72" spans="1:25" customFormat="1" ht="14.4" x14ac:dyDescent="0.3">
      <c r="A72" s="144" t="s">
        <v>240</v>
      </c>
      <c r="B72" s="171">
        <f t="shared" si="21"/>
        <v>38509</v>
      </c>
      <c r="C72" s="159">
        <v>6484</v>
      </c>
      <c r="D72" s="159">
        <v>2503.4</v>
      </c>
      <c r="E72" s="158">
        <v>13150</v>
      </c>
      <c r="F72" s="159">
        <v>4150.3549999999996</v>
      </c>
      <c r="G72" s="158">
        <v>5206</v>
      </c>
      <c r="H72" s="159">
        <v>1793.7650000000001</v>
      </c>
      <c r="I72" s="158">
        <v>12459</v>
      </c>
      <c r="J72" s="159">
        <v>3842.62</v>
      </c>
      <c r="K72" s="158">
        <v>108</v>
      </c>
      <c r="L72" s="159">
        <v>31.39</v>
      </c>
      <c r="M72" s="158">
        <v>485</v>
      </c>
      <c r="N72" s="159">
        <v>432.05</v>
      </c>
      <c r="O72" s="160">
        <v>12</v>
      </c>
      <c r="P72" s="159">
        <v>3</v>
      </c>
      <c r="Q72" s="158" t="s">
        <v>278</v>
      </c>
      <c r="R72" s="159" t="s">
        <v>278</v>
      </c>
      <c r="S72" s="160">
        <v>41</v>
      </c>
      <c r="T72" s="159">
        <v>10.9</v>
      </c>
      <c r="U72" s="158">
        <v>564</v>
      </c>
      <c r="V72" s="162">
        <v>166.7</v>
      </c>
      <c r="W72" s="145" t="s">
        <v>168</v>
      </c>
      <c r="X72" s="146"/>
      <c r="Y72" s="146"/>
    </row>
    <row r="73" spans="1:25" customFormat="1" ht="14.4" x14ac:dyDescent="0.3">
      <c r="A73" s="144" t="s">
        <v>241</v>
      </c>
      <c r="B73" s="171">
        <f t="shared" si="21"/>
        <v>8432</v>
      </c>
      <c r="C73" s="159">
        <v>609</v>
      </c>
      <c r="D73" s="159">
        <v>230.4</v>
      </c>
      <c r="E73" s="158">
        <v>162</v>
      </c>
      <c r="F73" s="159">
        <v>50.1</v>
      </c>
      <c r="G73" s="158">
        <v>2008</v>
      </c>
      <c r="H73" s="159">
        <v>687.30200000000002</v>
      </c>
      <c r="I73" s="158">
        <v>4702</v>
      </c>
      <c r="J73" s="159">
        <v>1610.1890000000001</v>
      </c>
      <c r="K73" s="158">
        <v>295</v>
      </c>
      <c r="L73" s="159">
        <v>76.075000000000003</v>
      </c>
      <c r="M73" s="158">
        <v>645</v>
      </c>
      <c r="N73" s="159">
        <v>959.7</v>
      </c>
      <c r="O73" s="158" t="s">
        <v>278</v>
      </c>
      <c r="P73" s="159" t="s">
        <v>278</v>
      </c>
      <c r="Q73" s="158" t="s">
        <v>278</v>
      </c>
      <c r="R73" s="159" t="s">
        <v>278</v>
      </c>
      <c r="S73" s="160" t="s">
        <v>278</v>
      </c>
      <c r="T73" s="159" t="s">
        <v>278</v>
      </c>
      <c r="U73" s="158">
        <v>11</v>
      </c>
      <c r="V73" s="162">
        <v>3.5</v>
      </c>
      <c r="W73" s="145" t="s">
        <v>169</v>
      </c>
      <c r="X73" s="146"/>
      <c r="Y73" s="146"/>
    </row>
    <row r="74" spans="1:25" customFormat="1" ht="14.4" x14ac:dyDescent="0.3">
      <c r="A74" s="144" t="s">
        <v>242</v>
      </c>
      <c r="B74" s="171">
        <f t="shared" si="21"/>
        <v>4136</v>
      </c>
      <c r="C74" s="159">
        <v>50</v>
      </c>
      <c r="D74" s="159">
        <v>21.82</v>
      </c>
      <c r="E74" s="158">
        <v>231</v>
      </c>
      <c r="F74" s="159">
        <v>72.38</v>
      </c>
      <c r="G74" s="158">
        <v>1180</v>
      </c>
      <c r="H74" s="159">
        <v>537.92999999999995</v>
      </c>
      <c r="I74" s="158">
        <v>1487</v>
      </c>
      <c r="J74" s="159">
        <v>508.75900000000001</v>
      </c>
      <c r="K74" s="160">
        <v>352</v>
      </c>
      <c r="L74" s="159">
        <v>73.05</v>
      </c>
      <c r="M74" s="158">
        <v>568</v>
      </c>
      <c r="N74" s="159">
        <v>525.63800000000003</v>
      </c>
      <c r="O74" s="160" t="s">
        <v>278</v>
      </c>
      <c r="P74" s="159" t="s">
        <v>278</v>
      </c>
      <c r="Q74" s="158">
        <v>268</v>
      </c>
      <c r="R74" s="159">
        <v>193.5</v>
      </c>
      <c r="S74" s="160" t="s">
        <v>278</v>
      </c>
      <c r="T74" s="159" t="s">
        <v>278</v>
      </c>
      <c r="U74" s="160" t="s">
        <v>278</v>
      </c>
      <c r="V74" s="162" t="s">
        <v>278</v>
      </c>
      <c r="W74" s="145" t="s">
        <v>170</v>
      </c>
      <c r="X74" s="146"/>
      <c r="Y74" s="146"/>
    </row>
    <row r="75" spans="1:25" customFormat="1" ht="11.4" customHeight="1" x14ac:dyDescent="0.3">
      <c r="A75" s="190" t="s">
        <v>107</v>
      </c>
      <c r="B75" s="227">
        <f>SUM(B77:B84)</f>
        <v>26613</v>
      </c>
      <c r="C75" s="187">
        <f>SUM(C77:C84)</f>
        <v>441</v>
      </c>
      <c r="D75" s="189">
        <f t="shared" ref="D75:L75" si="22">SUM(D77:D84)</f>
        <v>146.71</v>
      </c>
      <c r="E75" s="187">
        <f t="shared" si="22"/>
        <v>15905</v>
      </c>
      <c r="F75" s="189">
        <f t="shared" si="22"/>
        <v>3913.11</v>
      </c>
      <c r="G75" s="187">
        <f t="shared" si="22"/>
        <v>5916</v>
      </c>
      <c r="H75" s="189">
        <f t="shared" si="22"/>
        <v>1478.93</v>
      </c>
      <c r="I75" s="187">
        <f t="shared" si="22"/>
        <v>3951</v>
      </c>
      <c r="J75" s="189">
        <f t="shared" si="22"/>
        <v>787.1</v>
      </c>
      <c r="K75" s="187">
        <f t="shared" si="22"/>
        <v>98</v>
      </c>
      <c r="L75" s="189">
        <f t="shared" si="22"/>
        <v>23.55</v>
      </c>
      <c r="M75" s="187">
        <f>SUM(M77:M84)</f>
        <v>242</v>
      </c>
      <c r="N75" s="189">
        <f t="shared" ref="N75:V75" si="23">SUM(N77:N84)</f>
        <v>273.09999999999997</v>
      </c>
      <c r="O75" s="187">
        <f t="shared" si="23"/>
        <v>0</v>
      </c>
      <c r="P75" s="189">
        <f t="shared" si="23"/>
        <v>0</v>
      </c>
      <c r="Q75" s="187">
        <f>SUM(Q77:Q84)</f>
        <v>0</v>
      </c>
      <c r="R75" s="189">
        <f t="shared" si="23"/>
        <v>0</v>
      </c>
      <c r="S75" s="187">
        <f t="shared" si="23"/>
        <v>0</v>
      </c>
      <c r="T75" s="189">
        <f t="shared" si="23"/>
        <v>0</v>
      </c>
      <c r="U75" s="187">
        <f t="shared" si="23"/>
        <v>60</v>
      </c>
      <c r="V75" s="206">
        <f t="shared" si="23"/>
        <v>15.12</v>
      </c>
      <c r="W75" s="188" t="s">
        <v>121</v>
      </c>
      <c r="X75" s="188"/>
      <c r="Y75" s="188"/>
    </row>
    <row r="76" spans="1:25" customFormat="1" ht="11.4" customHeight="1" x14ac:dyDescent="0.3">
      <c r="A76" s="190"/>
      <c r="B76" s="227"/>
      <c r="C76" s="187"/>
      <c r="D76" s="189"/>
      <c r="E76" s="187"/>
      <c r="F76" s="189"/>
      <c r="G76" s="187"/>
      <c r="H76" s="189"/>
      <c r="I76" s="187"/>
      <c r="J76" s="189"/>
      <c r="K76" s="187"/>
      <c r="L76" s="189"/>
      <c r="M76" s="187"/>
      <c r="N76" s="189"/>
      <c r="O76" s="187"/>
      <c r="P76" s="189"/>
      <c r="Q76" s="187"/>
      <c r="R76" s="189"/>
      <c r="S76" s="187"/>
      <c r="T76" s="189"/>
      <c r="U76" s="187"/>
      <c r="V76" s="206"/>
      <c r="W76" s="188"/>
      <c r="X76" s="188"/>
      <c r="Y76" s="188"/>
    </row>
    <row r="77" spans="1:25" customFormat="1" ht="14.4" x14ac:dyDescent="0.3">
      <c r="A77" s="144" t="s">
        <v>243</v>
      </c>
      <c r="B77" s="171">
        <f t="shared" ref="B77:B84" si="24">SUM(C77,E77,G77,I77,K77,M77,O77,Q77,S77,U77)</f>
        <v>0</v>
      </c>
      <c r="C77" s="159" t="s">
        <v>278</v>
      </c>
      <c r="D77" s="159" t="s">
        <v>278</v>
      </c>
      <c r="E77" s="158" t="s">
        <v>278</v>
      </c>
      <c r="F77" s="159" t="s">
        <v>278</v>
      </c>
      <c r="G77" s="158" t="s">
        <v>278</v>
      </c>
      <c r="H77" s="159" t="s">
        <v>278</v>
      </c>
      <c r="I77" s="158" t="s">
        <v>278</v>
      </c>
      <c r="J77" s="159" t="s">
        <v>278</v>
      </c>
      <c r="K77" s="160" t="s">
        <v>278</v>
      </c>
      <c r="L77" s="159" t="s">
        <v>278</v>
      </c>
      <c r="M77" s="158" t="s">
        <v>278</v>
      </c>
      <c r="N77" s="159" t="s">
        <v>278</v>
      </c>
      <c r="O77" s="160" t="s">
        <v>278</v>
      </c>
      <c r="P77" s="159" t="s">
        <v>278</v>
      </c>
      <c r="Q77" s="158" t="s">
        <v>278</v>
      </c>
      <c r="R77" s="159" t="s">
        <v>278</v>
      </c>
      <c r="S77" s="160" t="s">
        <v>278</v>
      </c>
      <c r="T77" s="159" t="s">
        <v>278</v>
      </c>
      <c r="U77" s="160" t="s">
        <v>278</v>
      </c>
      <c r="V77" s="162" t="s">
        <v>278</v>
      </c>
      <c r="W77" s="145" t="s">
        <v>171</v>
      </c>
      <c r="X77" s="146"/>
      <c r="Y77" s="146"/>
    </row>
    <row r="78" spans="1:25" customFormat="1" ht="14.4" x14ac:dyDescent="0.3">
      <c r="A78" s="144" t="s">
        <v>281</v>
      </c>
      <c r="B78" s="171">
        <f t="shared" si="24"/>
        <v>0</v>
      </c>
      <c r="C78" s="159" t="s">
        <v>278</v>
      </c>
      <c r="D78" s="159" t="s">
        <v>278</v>
      </c>
      <c r="E78" s="158" t="s">
        <v>278</v>
      </c>
      <c r="F78" s="159" t="s">
        <v>278</v>
      </c>
      <c r="G78" s="158" t="s">
        <v>278</v>
      </c>
      <c r="H78" s="159" t="s">
        <v>278</v>
      </c>
      <c r="I78" s="158" t="s">
        <v>278</v>
      </c>
      <c r="J78" s="159" t="s">
        <v>278</v>
      </c>
      <c r="K78" s="160" t="s">
        <v>278</v>
      </c>
      <c r="L78" s="159" t="s">
        <v>278</v>
      </c>
      <c r="M78" s="158" t="s">
        <v>278</v>
      </c>
      <c r="N78" s="159" t="s">
        <v>278</v>
      </c>
      <c r="O78" s="160" t="s">
        <v>278</v>
      </c>
      <c r="P78" s="159" t="s">
        <v>278</v>
      </c>
      <c r="Q78" s="158" t="s">
        <v>278</v>
      </c>
      <c r="R78" s="159" t="s">
        <v>278</v>
      </c>
      <c r="S78" s="160" t="s">
        <v>278</v>
      </c>
      <c r="T78" s="159" t="s">
        <v>278</v>
      </c>
      <c r="U78" s="160" t="s">
        <v>278</v>
      </c>
      <c r="V78" s="162" t="s">
        <v>278</v>
      </c>
      <c r="W78" s="145" t="s">
        <v>172</v>
      </c>
      <c r="X78" s="146"/>
      <c r="Y78" s="146"/>
    </row>
    <row r="79" spans="1:25" customFormat="1" ht="14.4" x14ac:dyDescent="0.3">
      <c r="A79" s="144" t="s">
        <v>245</v>
      </c>
      <c r="B79" s="171">
        <f t="shared" si="24"/>
        <v>0</v>
      </c>
      <c r="C79" s="159" t="s">
        <v>278</v>
      </c>
      <c r="D79" s="159" t="s">
        <v>278</v>
      </c>
      <c r="E79" s="158" t="s">
        <v>278</v>
      </c>
      <c r="F79" s="159" t="s">
        <v>278</v>
      </c>
      <c r="G79" s="158" t="s">
        <v>278</v>
      </c>
      <c r="H79" s="159" t="s">
        <v>278</v>
      </c>
      <c r="I79" s="158" t="s">
        <v>278</v>
      </c>
      <c r="J79" s="159" t="s">
        <v>278</v>
      </c>
      <c r="K79" s="160" t="s">
        <v>278</v>
      </c>
      <c r="L79" s="159" t="s">
        <v>278</v>
      </c>
      <c r="M79" s="158" t="s">
        <v>278</v>
      </c>
      <c r="N79" s="159" t="s">
        <v>278</v>
      </c>
      <c r="O79" s="160" t="s">
        <v>278</v>
      </c>
      <c r="P79" s="159" t="s">
        <v>278</v>
      </c>
      <c r="Q79" s="158" t="s">
        <v>278</v>
      </c>
      <c r="R79" s="159" t="s">
        <v>278</v>
      </c>
      <c r="S79" s="160" t="s">
        <v>278</v>
      </c>
      <c r="T79" s="159" t="s">
        <v>278</v>
      </c>
      <c r="U79" s="160" t="s">
        <v>278</v>
      </c>
      <c r="V79" s="162" t="s">
        <v>278</v>
      </c>
      <c r="W79" s="145" t="s">
        <v>173</v>
      </c>
      <c r="X79" s="146"/>
      <c r="Y79" s="146"/>
    </row>
    <row r="80" spans="1:25" customFormat="1" ht="14.4" x14ac:dyDescent="0.3">
      <c r="A80" s="144" t="s">
        <v>246</v>
      </c>
      <c r="B80" s="171">
        <f t="shared" si="24"/>
        <v>0</v>
      </c>
      <c r="C80" s="159" t="s">
        <v>278</v>
      </c>
      <c r="D80" s="159" t="s">
        <v>278</v>
      </c>
      <c r="E80" s="158" t="s">
        <v>278</v>
      </c>
      <c r="F80" s="159" t="s">
        <v>278</v>
      </c>
      <c r="G80" s="158" t="s">
        <v>278</v>
      </c>
      <c r="H80" s="159" t="s">
        <v>278</v>
      </c>
      <c r="I80" s="158" t="s">
        <v>278</v>
      </c>
      <c r="J80" s="159" t="s">
        <v>278</v>
      </c>
      <c r="K80" s="160" t="s">
        <v>278</v>
      </c>
      <c r="L80" s="159" t="s">
        <v>278</v>
      </c>
      <c r="M80" s="158" t="s">
        <v>278</v>
      </c>
      <c r="N80" s="159" t="s">
        <v>278</v>
      </c>
      <c r="O80" s="160" t="s">
        <v>278</v>
      </c>
      <c r="P80" s="159" t="s">
        <v>278</v>
      </c>
      <c r="Q80" s="158" t="s">
        <v>278</v>
      </c>
      <c r="R80" s="159" t="s">
        <v>278</v>
      </c>
      <c r="S80" s="160" t="s">
        <v>278</v>
      </c>
      <c r="T80" s="159" t="s">
        <v>278</v>
      </c>
      <c r="U80" s="160" t="s">
        <v>278</v>
      </c>
      <c r="V80" s="162" t="s">
        <v>278</v>
      </c>
      <c r="W80" s="145" t="s">
        <v>174</v>
      </c>
      <c r="X80" s="146"/>
      <c r="Y80" s="146"/>
    </row>
    <row r="81" spans="1:25" customFormat="1" ht="14.4" x14ac:dyDescent="0.3">
      <c r="A81" s="144" t="s">
        <v>247</v>
      </c>
      <c r="B81" s="171">
        <f t="shared" si="24"/>
        <v>9203</v>
      </c>
      <c r="C81" s="159">
        <v>401</v>
      </c>
      <c r="D81" s="159">
        <v>134.9</v>
      </c>
      <c r="E81" s="158">
        <v>4574</v>
      </c>
      <c r="F81" s="159">
        <v>1603.02</v>
      </c>
      <c r="G81" s="158">
        <v>2369</v>
      </c>
      <c r="H81" s="159">
        <v>695.83</v>
      </c>
      <c r="I81" s="158">
        <v>1518</v>
      </c>
      <c r="J81" s="159">
        <v>309.17</v>
      </c>
      <c r="K81" s="158">
        <v>98</v>
      </c>
      <c r="L81" s="159">
        <v>23.55</v>
      </c>
      <c r="M81" s="158">
        <v>241</v>
      </c>
      <c r="N81" s="159">
        <v>271.89999999999998</v>
      </c>
      <c r="O81" s="158" t="s">
        <v>278</v>
      </c>
      <c r="P81" s="159" t="s">
        <v>278</v>
      </c>
      <c r="Q81" s="158" t="s">
        <v>278</v>
      </c>
      <c r="R81" s="159" t="s">
        <v>278</v>
      </c>
      <c r="S81" s="158" t="s">
        <v>278</v>
      </c>
      <c r="T81" s="159" t="s">
        <v>278</v>
      </c>
      <c r="U81" s="160">
        <v>2</v>
      </c>
      <c r="V81" s="162">
        <v>0.62</v>
      </c>
      <c r="W81" s="145" t="s">
        <v>175</v>
      </c>
      <c r="X81" s="146"/>
      <c r="Y81" s="146"/>
    </row>
    <row r="82" spans="1:25" customFormat="1" ht="14.4" x14ac:dyDescent="0.3">
      <c r="A82" s="144" t="s">
        <v>248</v>
      </c>
      <c r="B82" s="171">
        <f t="shared" si="24"/>
        <v>17330</v>
      </c>
      <c r="C82" s="159">
        <v>38</v>
      </c>
      <c r="D82" s="159">
        <v>11.31</v>
      </c>
      <c r="E82" s="158">
        <v>11283</v>
      </c>
      <c r="F82" s="159">
        <v>2289.09</v>
      </c>
      <c r="G82" s="158">
        <v>3547</v>
      </c>
      <c r="H82" s="159">
        <v>783.1</v>
      </c>
      <c r="I82" s="158">
        <v>2403</v>
      </c>
      <c r="J82" s="159">
        <v>471.59</v>
      </c>
      <c r="K82" s="158" t="s">
        <v>278</v>
      </c>
      <c r="L82" s="159" t="s">
        <v>278</v>
      </c>
      <c r="M82" s="158">
        <v>1</v>
      </c>
      <c r="N82" s="159">
        <v>1.2</v>
      </c>
      <c r="O82" s="160" t="s">
        <v>278</v>
      </c>
      <c r="P82" s="159" t="s">
        <v>278</v>
      </c>
      <c r="Q82" s="158" t="s">
        <v>278</v>
      </c>
      <c r="R82" s="159" t="s">
        <v>278</v>
      </c>
      <c r="S82" s="160" t="s">
        <v>278</v>
      </c>
      <c r="T82" s="159" t="s">
        <v>278</v>
      </c>
      <c r="U82" s="158">
        <v>58</v>
      </c>
      <c r="V82" s="162">
        <v>14.5</v>
      </c>
      <c r="W82" s="145" t="s">
        <v>176</v>
      </c>
      <c r="X82" s="146"/>
      <c r="Y82" s="146"/>
    </row>
    <row r="83" spans="1:25" customFormat="1" ht="14.4" x14ac:dyDescent="0.3">
      <c r="A83" s="144" t="s">
        <v>249</v>
      </c>
      <c r="B83" s="171">
        <f t="shared" si="24"/>
        <v>0</v>
      </c>
      <c r="C83" s="159" t="s">
        <v>278</v>
      </c>
      <c r="D83" s="159" t="s">
        <v>278</v>
      </c>
      <c r="E83" s="158" t="s">
        <v>278</v>
      </c>
      <c r="F83" s="159" t="s">
        <v>278</v>
      </c>
      <c r="G83" s="158" t="s">
        <v>278</v>
      </c>
      <c r="H83" s="159" t="s">
        <v>278</v>
      </c>
      <c r="I83" s="158" t="s">
        <v>278</v>
      </c>
      <c r="J83" s="159" t="s">
        <v>278</v>
      </c>
      <c r="K83" s="158" t="s">
        <v>278</v>
      </c>
      <c r="L83" s="159" t="s">
        <v>278</v>
      </c>
      <c r="M83" s="158" t="s">
        <v>278</v>
      </c>
      <c r="N83" s="159" t="s">
        <v>278</v>
      </c>
      <c r="O83" s="160" t="s">
        <v>278</v>
      </c>
      <c r="P83" s="159" t="s">
        <v>278</v>
      </c>
      <c r="Q83" s="158" t="s">
        <v>278</v>
      </c>
      <c r="R83" s="159" t="s">
        <v>278</v>
      </c>
      <c r="S83" s="160" t="s">
        <v>278</v>
      </c>
      <c r="T83" s="159" t="s">
        <v>278</v>
      </c>
      <c r="U83" s="158" t="s">
        <v>278</v>
      </c>
      <c r="V83" s="162" t="s">
        <v>278</v>
      </c>
      <c r="W83" s="145" t="s">
        <v>177</v>
      </c>
      <c r="X83" s="146"/>
      <c r="Y83" s="146"/>
    </row>
    <row r="84" spans="1:25" customFormat="1" ht="14.4" x14ac:dyDescent="0.3">
      <c r="A84" s="144" t="s">
        <v>250</v>
      </c>
      <c r="B84" s="171">
        <f t="shared" si="24"/>
        <v>80</v>
      </c>
      <c r="C84" s="159">
        <v>2</v>
      </c>
      <c r="D84" s="159">
        <v>0.5</v>
      </c>
      <c r="E84" s="158">
        <v>48</v>
      </c>
      <c r="F84" s="159">
        <v>21</v>
      </c>
      <c r="G84" s="160" t="s">
        <v>278</v>
      </c>
      <c r="H84" s="159" t="s">
        <v>278</v>
      </c>
      <c r="I84" s="160">
        <v>30</v>
      </c>
      <c r="J84" s="159">
        <v>6.34</v>
      </c>
      <c r="K84" s="160" t="s">
        <v>278</v>
      </c>
      <c r="L84" s="159" t="s">
        <v>278</v>
      </c>
      <c r="M84" s="160" t="s">
        <v>278</v>
      </c>
      <c r="N84" s="159" t="s">
        <v>278</v>
      </c>
      <c r="O84" s="160" t="s">
        <v>278</v>
      </c>
      <c r="P84" s="159" t="s">
        <v>278</v>
      </c>
      <c r="Q84" s="158" t="s">
        <v>278</v>
      </c>
      <c r="R84" s="159" t="s">
        <v>278</v>
      </c>
      <c r="S84" s="160" t="s">
        <v>278</v>
      </c>
      <c r="T84" s="159" t="s">
        <v>278</v>
      </c>
      <c r="U84" s="160" t="s">
        <v>278</v>
      </c>
      <c r="V84" s="162" t="s">
        <v>278</v>
      </c>
      <c r="W84" s="145" t="s">
        <v>178</v>
      </c>
      <c r="X84" s="146"/>
      <c r="Y84" s="146"/>
    </row>
    <row r="85" spans="1:25" customFormat="1" ht="16.8" customHeight="1" x14ac:dyDescent="0.3">
      <c r="A85" s="190" t="s">
        <v>108</v>
      </c>
      <c r="B85" s="227">
        <f>SUM(B87:B91)</f>
        <v>73531</v>
      </c>
      <c r="C85" s="187">
        <f>SUM(C87:C91)</f>
        <v>2188</v>
      </c>
      <c r="D85" s="189">
        <f t="shared" ref="D85:L85" si="25">SUM(D87:D91)</f>
        <v>677.1400000000001</v>
      </c>
      <c r="E85" s="187">
        <f t="shared" si="25"/>
        <v>3550</v>
      </c>
      <c r="F85" s="189">
        <f t="shared" si="25"/>
        <v>764.33199999999999</v>
      </c>
      <c r="G85" s="187">
        <f t="shared" si="25"/>
        <v>64015</v>
      </c>
      <c r="H85" s="189">
        <f t="shared" si="25"/>
        <v>12871.275</v>
      </c>
      <c r="I85" s="187">
        <f t="shared" si="25"/>
        <v>2885</v>
      </c>
      <c r="J85" s="189">
        <f t="shared" si="25"/>
        <v>620.86500000000001</v>
      </c>
      <c r="K85" s="187">
        <f t="shared" si="25"/>
        <v>239</v>
      </c>
      <c r="L85" s="189">
        <f t="shared" si="25"/>
        <v>50.695</v>
      </c>
      <c r="M85" s="187">
        <f>SUM(M87:M91)</f>
        <v>69</v>
      </c>
      <c r="N85" s="189">
        <f t="shared" ref="N85:V85" si="26">SUM(N87:N91)</f>
        <v>69</v>
      </c>
      <c r="O85" s="187">
        <f t="shared" si="26"/>
        <v>0</v>
      </c>
      <c r="P85" s="189">
        <f t="shared" si="26"/>
        <v>0</v>
      </c>
      <c r="Q85" s="187">
        <f>SUM(Q87:Q91)</f>
        <v>0</v>
      </c>
      <c r="R85" s="189">
        <f t="shared" si="26"/>
        <v>0</v>
      </c>
      <c r="S85" s="187">
        <f t="shared" si="26"/>
        <v>0</v>
      </c>
      <c r="T85" s="189">
        <f t="shared" si="26"/>
        <v>0</v>
      </c>
      <c r="U85" s="187">
        <f t="shared" si="26"/>
        <v>585</v>
      </c>
      <c r="V85" s="206">
        <f t="shared" si="26"/>
        <v>130.36000000000001</v>
      </c>
      <c r="W85" s="188" t="s">
        <v>122</v>
      </c>
      <c r="X85" s="188"/>
      <c r="Y85" s="188"/>
    </row>
    <row r="86" spans="1:25" customFormat="1" ht="11.4" customHeight="1" x14ac:dyDescent="0.3">
      <c r="A86" s="190"/>
      <c r="B86" s="227"/>
      <c r="C86" s="187"/>
      <c r="D86" s="189"/>
      <c r="E86" s="187"/>
      <c r="F86" s="189"/>
      <c r="G86" s="187"/>
      <c r="H86" s="189"/>
      <c r="I86" s="187"/>
      <c r="J86" s="189"/>
      <c r="K86" s="187"/>
      <c r="L86" s="189"/>
      <c r="M86" s="187"/>
      <c r="N86" s="189"/>
      <c r="O86" s="187"/>
      <c r="P86" s="189"/>
      <c r="Q86" s="187"/>
      <c r="R86" s="189"/>
      <c r="S86" s="187"/>
      <c r="T86" s="189"/>
      <c r="U86" s="187"/>
      <c r="V86" s="206"/>
      <c r="W86" s="188"/>
      <c r="X86" s="188"/>
      <c r="Y86" s="188"/>
    </row>
    <row r="87" spans="1:25" customFormat="1" ht="14.4" x14ac:dyDescent="0.3">
      <c r="A87" s="144" t="s">
        <v>251</v>
      </c>
      <c r="B87" s="171">
        <f t="shared" ref="B87:B91" si="27">SUM(C87,E87,G87,I87,K87,M87,O87,Q87,S87,U87)</f>
        <v>2530</v>
      </c>
      <c r="C87" s="159">
        <v>681</v>
      </c>
      <c r="D87" s="159">
        <v>217.68</v>
      </c>
      <c r="E87" s="158">
        <v>253</v>
      </c>
      <c r="F87" s="159">
        <v>63.25</v>
      </c>
      <c r="G87" s="158">
        <v>407</v>
      </c>
      <c r="H87" s="159">
        <v>120.5</v>
      </c>
      <c r="I87" s="158">
        <v>1048</v>
      </c>
      <c r="J87" s="159">
        <v>252.98500000000001</v>
      </c>
      <c r="K87" s="158">
        <v>7</v>
      </c>
      <c r="L87" s="159">
        <v>1.8</v>
      </c>
      <c r="M87" s="158">
        <v>64</v>
      </c>
      <c r="N87" s="159">
        <v>64</v>
      </c>
      <c r="O87" s="158" t="s">
        <v>278</v>
      </c>
      <c r="P87" s="159" t="s">
        <v>278</v>
      </c>
      <c r="Q87" s="158" t="s">
        <v>278</v>
      </c>
      <c r="R87" s="159" t="s">
        <v>278</v>
      </c>
      <c r="S87" s="160" t="s">
        <v>278</v>
      </c>
      <c r="T87" s="159" t="s">
        <v>278</v>
      </c>
      <c r="U87" s="158">
        <v>70</v>
      </c>
      <c r="V87" s="162">
        <v>16.100000000000001</v>
      </c>
      <c r="W87" s="145" t="s">
        <v>179</v>
      </c>
      <c r="X87" s="146"/>
      <c r="Y87" s="146"/>
    </row>
    <row r="88" spans="1:25" customFormat="1" ht="14.4" x14ac:dyDescent="0.3">
      <c r="A88" s="144" t="s">
        <v>252</v>
      </c>
      <c r="B88" s="171">
        <f t="shared" si="27"/>
        <v>0</v>
      </c>
      <c r="C88" s="161" t="s">
        <v>278</v>
      </c>
      <c r="D88" s="159" t="s">
        <v>278</v>
      </c>
      <c r="E88" s="158" t="s">
        <v>278</v>
      </c>
      <c r="F88" s="159" t="s">
        <v>278</v>
      </c>
      <c r="G88" s="158" t="s">
        <v>278</v>
      </c>
      <c r="H88" s="159" t="s">
        <v>278</v>
      </c>
      <c r="I88" s="158" t="s">
        <v>278</v>
      </c>
      <c r="J88" s="159" t="s">
        <v>278</v>
      </c>
      <c r="K88" s="160" t="s">
        <v>278</v>
      </c>
      <c r="L88" s="159" t="s">
        <v>278</v>
      </c>
      <c r="M88" s="158" t="s">
        <v>278</v>
      </c>
      <c r="N88" s="159" t="s">
        <v>278</v>
      </c>
      <c r="O88" s="160" t="s">
        <v>278</v>
      </c>
      <c r="P88" s="159" t="s">
        <v>278</v>
      </c>
      <c r="Q88" s="158" t="s">
        <v>278</v>
      </c>
      <c r="R88" s="159" t="s">
        <v>278</v>
      </c>
      <c r="S88" s="160" t="s">
        <v>278</v>
      </c>
      <c r="T88" s="159" t="s">
        <v>278</v>
      </c>
      <c r="U88" s="160" t="s">
        <v>278</v>
      </c>
      <c r="V88" s="162" t="s">
        <v>278</v>
      </c>
      <c r="W88" s="145" t="s">
        <v>180</v>
      </c>
      <c r="X88" s="146"/>
      <c r="Y88" s="146"/>
    </row>
    <row r="89" spans="1:25" customFormat="1" ht="14.4" x14ac:dyDescent="0.3">
      <c r="A89" s="144" t="s">
        <v>253</v>
      </c>
      <c r="B89" s="171">
        <f t="shared" si="27"/>
        <v>69494</v>
      </c>
      <c r="C89" s="159">
        <v>1452</v>
      </c>
      <c r="D89" s="159">
        <v>445.48</v>
      </c>
      <c r="E89" s="158">
        <v>2572</v>
      </c>
      <c r="F89" s="159">
        <v>514.95000000000005</v>
      </c>
      <c r="G89" s="158">
        <v>63376</v>
      </c>
      <c r="H89" s="159">
        <v>12684.95</v>
      </c>
      <c r="I89" s="158">
        <v>1515</v>
      </c>
      <c r="J89" s="159">
        <v>300.45</v>
      </c>
      <c r="K89" s="158">
        <v>59</v>
      </c>
      <c r="L89" s="159">
        <v>8.85</v>
      </c>
      <c r="M89" s="160">
        <v>5</v>
      </c>
      <c r="N89" s="159">
        <v>5</v>
      </c>
      <c r="O89" s="160" t="s">
        <v>278</v>
      </c>
      <c r="P89" s="159" t="s">
        <v>278</v>
      </c>
      <c r="Q89" s="158" t="s">
        <v>278</v>
      </c>
      <c r="R89" s="159" t="s">
        <v>278</v>
      </c>
      <c r="S89" s="160" t="s">
        <v>278</v>
      </c>
      <c r="T89" s="159" t="s">
        <v>278</v>
      </c>
      <c r="U89" s="158">
        <v>515</v>
      </c>
      <c r="V89" s="162">
        <v>114.26</v>
      </c>
      <c r="W89" s="145" t="s">
        <v>181</v>
      </c>
      <c r="X89" s="146"/>
      <c r="Y89" s="146"/>
    </row>
    <row r="90" spans="1:25" customFormat="1" ht="14.4" x14ac:dyDescent="0.3">
      <c r="A90" s="144" t="s">
        <v>254</v>
      </c>
      <c r="B90" s="171">
        <f t="shared" si="27"/>
        <v>1210</v>
      </c>
      <c r="C90" s="159">
        <v>50</v>
      </c>
      <c r="D90" s="159">
        <v>12.85</v>
      </c>
      <c r="E90" s="158">
        <v>631</v>
      </c>
      <c r="F90" s="159">
        <v>163.30000000000001</v>
      </c>
      <c r="G90" s="160">
        <v>204</v>
      </c>
      <c r="H90" s="159">
        <v>59.8</v>
      </c>
      <c r="I90" s="158">
        <v>287</v>
      </c>
      <c r="J90" s="159">
        <v>59.95</v>
      </c>
      <c r="K90" s="160">
        <v>38</v>
      </c>
      <c r="L90" s="159">
        <v>9.5</v>
      </c>
      <c r="M90" s="160" t="s">
        <v>278</v>
      </c>
      <c r="N90" s="159" t="s">
        <v>278</v>
      </c>
      <c r="O90" s="160" t="s">
        <v>278</v>
      </c>
      <c r="P90" s="159" t="s">
        <v>278</v>
      </c>
      <c r="Q90" s="158" t="s">
        <v>278</v>
      </c>
      <c r="R90" s="159" t="s">
        <v>278</v>
      </c>
      <c r="S90" s="160" t="s">
        <v>278</v>
      </c>
      <c r="T90" s="159" t="s">
        <v>278</v>
      </c>
      <c r="U90" s="160" t="s">
        <v>278</v>
      </c>
      <c r="V90" s="162" t="s">
        <v>278</v>
      </c>
      <c r="W90" s="145" t="s">
        <v>182</v>
      </c>
      <c r="X90" s="146"/>
      <c r="Y90" s="146"/>
    </row>
    <row r="91" spans="1:25" customFormat="1" ht="14.4" x14ac:dyDescent="0.3">
      <c r="A91" s="144" t="s">
        <v>255</v>
      </c>
      <c r="B91" s="171">
        <f t="shared" si="27"/>
        <v>297</v>
      </c>
      <c r="C91" s="159">
        <v>5</v>
      </c>
      <c r="D91" s="159">
        <v>1.1299999999999999</v>
      </c>
      <c r="E91" s="158">
        <v>94</v>
      </c>
      <c r="F91" s="159">
        <v>22.832000000000001</v>
      </c>
      <c r="G91" s="158">
        <v>28</v>
      </c>
      <c r="H91" s="159">
        <v>6.0250000000000004</v>
      </c>
      <c r="I91" s="158">
        <v>35</v>
      </c>
      <c r="J91" s="159">
        <v>7.48</v>
      </c>
      <c r="K91" s="160">
        <v>135</v>
      </c>
      <c r="L91" s="159">
        <v>30.545000000000002</v>
      </c>
      <c r="M91" s="160" t="s">
        <v>278</v>
      </c>
      <c r="N91" s="159" t="s">
        <v>278</v>
      </c>
      <c r="O91" s="158" t="s">
        <v>278</v>
      </c>
      <c r="P91" s="159" t="s">
        <v>278</v>
      </c>
      <c r="Q91" s="158" t="s">
        <v>278</v>
      </c>
      <c r="R91" s="159" t="s">
        <v>278</v>
      </c>
      <c r="S91" s="160" t="s">
        <v>278</v>
      </c>
      <c r="T91" s="159" t="s">
        <v>278</v>
      </c>
      <c r="U91" s="158" t="s">
        <v>278</v>
      </c>
      <c r="V91" s="162" t="s">
        <v>278</v>
      </c>
      <c r="W91" s="145" t="s">
        <v>183</v>
      </c>
      <c r="X91" s="146"/>
      <c r="Y91" s="146"/>
    </row>
    <row r="92" spans="1:25" customFormat="1" ht="16.8" customHeight="1" x14ac:dyDescent="0.3">
      <c r="A92" s="190" t="s">
        <v>109</v>
      </c>
      <c r="B92" s="227">
        <f>SUM(B94:B106)</f>
        <v>24552</v>
      </c>
      <c r="C92" s="187">
        <f>SUM(C94:C106)</f>
        <v>3089</v>
      </c>
      <c r="D92" s="189">
        <f t="shared" ref="D92:L92" si="28">SUM(D94:D106)</f>
        <v>1339.9839999999999</v>
      </c>
      <c r="E92" s="187">
        <f t="shared" si="28"/>
        <v>8318</v>
      </c>
      <c r="F92" s="189">
        <f t="shared" si="28"/>
        <v>3403.732</v>
      </c>
      <c r="G92" s="187">
        <f t="shared" si="28"/>
        <v>10606</v>
      </c>
      <c r="H92" s="189">
        <f t="shared" si="28"/>
        <v>2192.0650000000001</v>
      </c>
      <c r="I92" s="187">
        <f t="shared" si="28"/>
        <v>1354</v>
      </c>
      <c r="J92" s="189">
        <f t="shared" si="28"/>
        <v>364.57100000000003</v>
      </c>
      <c r="K92" s="187">
        <f t="shared" si="28"/>
        <v>537</v>
      </c>
      <c r="L92" s="189">
        <f t="shared" si="28"/>
        <v>108.185</v>
      </c>
      <c r="M92" s="187">
        <f>SUM(M94:M106)</f>
        <v>76</v>
      </c>
      <c r="N92" s="189">
        <f t="shared" ref="N92:V92" si="29">SUM(N94:N106)</f>
        <v>24.36</v>
      </c>
      <c r="O92" s="187">
        <f t="shared" si="29"/>
        <v>0</v>
      </c>
      <c r="P92" s="189">
        <f t="shared" si="29"/>
        <v>0</v>
      </c>
      <c r="Q92" s="187">
        <f>SUM(Q94:Q106)</f>
        <v>0</v>
      </c>
      <c r="R92" s="189">
        <f t="shared" si="29"/>
        <v>0</v>
      </c>
      <c r="S92" s="187">
        <f t="shared" si="29"/>
        <v>27</v>
      </c>
      <c r="T92" s="189">
        <f t="shared" si="29"/>
        <v>6.84</v>
      </c>
      <c r="U92" s="187">
        <f t="shared" si="29"/>
        <v>545</v>
      </c>
      <c r="V92" s="206">
        <f t="shared" si="29"/>
        <v>126.986</v>
      </c>
      <c r="W92" s="188" t="s">
        <v>123</v>
      </c>
      <c r="X92" s="188"/>
      <c r="Y92" s="188"/>
    </row>
    <row r="93" spans="1:25" customFormat="1" ht="11.4" customHeight="1" x14ac:dyDescent="0.3">
      <c r="A93" s="190"/>
      <c r="B93" s="227"/>
      <c r="C93" s="187"/>
      <c r="D93" s="189"/>
      <c r="E93" s="187"/>
      <c r="F93" s="189"/>
      <c r="G93" s="187"/>
      <c r="H93" s="189"/>
      <c r="I93" s="187"/>
      <c r="J93" s="189"/>
      <c r="K93" s="187"/>
      <c r="L93" s="189"/>
      <c r="M93" s="187"/>
      <c r="N93" s="189"/>
      <c r="O93" s="187"/>
      <c r="P93" s="189"/>
      <c r="Q93" s="187"/>
      <c r="R93" s="189"/>
      <c r="S93" s="187"/>
      <c r="T93" s="189"/>
      <c r="U93" s="187"/>
      <c r="V93" s="206"/>
      <c r="W93" s="188"/>
      <c r="X93" s="188"/>
      <c r="Y93" s="188"/>
    </row>
    <row r="94" spans="1:25" customFormat="1" ht="14.4" x14ac:dyDescent="0.3">
      <c r="A94" s="144" t="s">
        <v>256</v>
      </c>
      <c r="B94" s="171">
        <f t="shared" ref="B94:B106" si="30">SUM(C94,E94,G94,I94,K94,M94,O94,Q94,S94,U94)</f>
        <v>0</v>
      </c>
      <c r="C94" s="159" t="s">
        <v>278</v>
      </c>
      <c r="D94" s="159" t="s">
        <v>278</v>
      </c>
      <c r="E94" s="158" t="s">
        <v>278</v>
      </c>
      <c r="F94" s="159" t="s">
        <v>278</v>
      </c>
      <c r="G94" s="158" t="s">
        <v>278</v>
      </c>
      <c r="H94" s="159" t="s">
        <v>278</v>
      </c>
      <c r="I94" s="158" t="s">
        <v>278</v>
      </c>
      <c r="J94" s="159" t="s">
        <v>278</v>
      </c>
      <c r="K94" s="160" t="s">
        <v>278</v>
      </c>
      <c r="L94" s="159" t="s">
        <v>278</v>
      </c>
      <c r="M94" s="160" t="s">
        <v>278</v>
      </c>
      <c r="N94" s="159" t="s">
        <v>278</v>
      </c>
      <c r="O94" s="158" t="s">
        <v>278</v>
      </c>
      <c r="P94" s="159" t="s">
        <v>278</v>
      </c>
      <c r="Q94" s="158" t="s">
        <v>278</v>
      </c>
      <c r="R94" s="159" t="s">
        <v>278</v>
      </c>
      <c r="S94" s="160" t="s">
        <v>278</v>
      </c>
      <c r="T94" s="159" t="s">
        <v>278</v>
      </c>
      <c r="U94" s="158" t="s">
        <v>278</v>
      </c>
      <c r="V94" s="162" t="s">
        <v>278</v>
      </c>
      <c r="W94" s="145" t="s">
        <v>184</v>
      </c>
      <c r="X94" s="146"/>
      <c r="Y94" s="146"/>
    </row>
    <row r="95" spans="1:25" customFormat="1" ht="14.4" x14ac:dyDescent="0.3">
      <c r="A95" s="144" t="s">
        <v>257</v>
      </c>
      <c r="B95" s="171">
        <f t="shared" si="30"/>
        <v>57</v>
      </c>
      <c r="C95" s="161" t="s">
        <v>278</v>
      </c>
      <c r="D95" s="159" t="s">
        <v>278</v>
      </c>
      <c r="E95" s="160" t="s">
        <v>278</v>
      </c>
      <c r="F95" s="159" t="s">
        <v>278</v>
      </c>
      <c r="G95" s="158">
        <v>34</v>
      </c>
      <c r="H95" s="159">
        <v>3.96</v>
      </c>
      <c r="I95" s="158">
        <v>2</v>
      </c>
      <c r="J95" s="159">
        <v>0.2</v>
      </c>
      <c r="K95" s="160">
        <v>3</v>
      </c>
      <c r="L95" s="159">
        <v>0.6</v>
      </c>
      <c r="M95" s="158">
        <v>17</v>
      </c>
      <c r="N95" s="159">
        <v>4.97</v>
      </c>
      <c r="O95" s="158" t="s">
        <v>278</v>
      </c>
      <c r="P95" s="159" t="s">
        <v>278</v>
      </c>
      <c r="Q95" s="158" t="s">
        <v>278</v>
      </c>
      <c r="R95" s="159" t="s">
        <v>278</v>
      </c>
      <c r="S95" s="160">
        <v>1</v>
      </c>
      <c r="T95" s="159">
        <v>0.2</v>
      </c>
      <c r="U95" s="160" t="s">
        <v>278</v>
      </c>
      <c r="V95" s="162" t="s">
        <v>278</v>
      </c>
      <c r="W95" s="145" t="s">
        <v>185</v>
      </c>
      <c r="X95" s="146"/>
      <c r="Y95" s="146"/>
    </row>
    <row r="96" spans="1:25" customFormat="1" ht="14.4" x14ac:dyDescent="0.3">
      <c r="A96" s="144" t="s">
        <v>258</v>
      </c>
      <c r="B96" s="171">
        <f t="shared" si="30"/>
        <v>301</v>
      </c>
      <c r="C96" s="161" t="s">
        <v>278</v>
      </c>
      <c r="D96" s="159" t="s">
        <v>278</v>
      </c>
      <c r="E96" s="160">
        <v>54</v>
      </c>
      <c r="F96" s="159">
        <v>10.8</v>
      </c>
      <c r="G96" s="158" t="s">
        <v>278</v>
      </c>
      <c r="H96" s="159" t="s">
        <v>278</v>
      </c>
      <c r="I96" s="160" t="s">
        <v>278</v>
      </c>
      <c r="J96" s="159" t="s">
        <v>278</v>
      </c>
      <c r="K96" s="160">
        <v>56</v>
      </c>
      <c r="L96" s="159">
        <v>10.5</v>
      </c>
      <c r="M96" s="160" t="s">
        <v>278</v>
      </c>
      <c r="N96" s="159" t="s">
        <v>278</v>
      </c>
      <c r="O96" s="158" t="s">
        <v>278</v>
      </c>
      <c r="P96" s="159" t="s">
        <v>278</v>
      </c>
      <c r="Q96" s="158" t="s">
        <v>278</v>
      </c>
      <c r="R96" s="159" t="s">
        <v>278</v>
      </c>
      <c r="S96" s="160" t="s">
        <v>278</v>
      </c>
      <c r="T96" s="159" t="s">
        <v>278</v>
      </c>
      <c r="U96" s="160">
        <v>191</v>
      </c>
      <c r="V96" s="162">
        <v>28.65</v>
      </c>
      <c r="W96" s="145" t="s">
        <v>186</v>
      </c>
      <c r="X96" s="146"/>
      <c r="Y96" s="146"/>
    </row>
    <row r="97" spans="1:25" customFormat="1" ht="14.4" x14ac:dyDescent="0.3">
      <c r="A97" s="144" t="s">
        <v>259</v>
      </c>
      <c r="B97" s="171">
        <f t="shared" si="30"/>
        <v>1381</v>
      </c>
      <c r="C97" s="159">
        <v>8</v>
      </c>
      <c r="D97" s="159">
        <v>1.89</v>
      </c>
      <c r="E97" s="158" t="s">
        <v>278</v>
      </c>
      <c r="F97" s="159" t="s">
        <v>278</v>
      </c>
      <c r="G97" s="158">
        <v>1117</v>
      </c>
      <c r="H97" s="159">
        <v>560.70000000000005</v>
      </c>
      <c r="I97" s="158">
        <v>59</v>
      </c>
      <c r="J97" s="159">
        <v>16.5</v>
      </c>
      <c r="K97" s="160">
        <v>197</v>
      </c>
      <c r="L97" s="159">
        <v>34.700000000000003</v>
      </c>
      <c r="M97" s="158" t="s">
        <v>278</v>
      </c>
      <c r="N97" s="159" t="s">
        <v>278</v>
      </c>
      <c r="O97" s="160" t="s">
        <v>278</v>
      </c>
      <c r="P97" s="159" t="s">
        <v>278</v>
      </c>
      <c r="Q97" s="158" t="s">
        <v>278</v>
      </c>
      <c r="R97" s="159" t="s">
        <v>278</v>
      </c>
      <c r="S97" s="160" t="s">
        <v>278</v>
      </c>
      <c r="T97" s="159" t="s">
        <v>278</v>
      </c>
      <c r="U97" s="160" t="s">
        <v>278</v>
      </c>
      <c r="V97" s="162" t="s">
        <v>278</v>
      </c>
      <c r="W97" s="145" t="s">
        <v>187</v>
      </c>
      <c r="X97" s="146"/>
      <c r="Y97" s="146"/>
    </row>
    <row r="98" spans="1:25" customFormat="1" ht="14.4" x14ac:dyDescent="0.3">
      <c r="A98" s="144" t="s">
        <v>283</v>
      </c>
      <c r="B98" s="171">
        <f t="shared" si="30"/>
        <v>486</v>
      </c>
      <c r="C98" s="159">
        <v>141</v>
      </c>
      <c r="D98" s="159">
        <v>35.22</v>
      </c>
      <c r="E98" s="158">
        <v>110</v>
      </c>
      <c r="F98" s="159">
        <v>33.704000000000001</v>
      </c>
      <c r="G98" s="158">
        <v>160</v>
      </c>
      <c r="H98" s="159">
        <v>34</v>
      </c>
      <c r="I98" s="158">
        <v>53</v>
      </c>
      <c r="J98" s="159">
        <v>10.85</v>
      </c>
      <c r="K98" s="158" t="s">
        <v>278</v>
      </c>
      <c r="L98" s="159" t="s">
        <v>278</v>
      </c>
      <c r="M98" s="158" t="s">
        <v>278</v>
      </c>
      <c r="N98" s="159" t="s">
        <v>278</v>
      </c>
      <c r="O98" s="160" t="s">
        <v>278</v>
      </c>
      <c r="P98" s="159" t="s">
        <v>278</v>
      </c>
      <c r="Q98" s="158" t="s">
        <v>278</v>
      </c>
      <c r="R98" s="159" t="s">
        <v>278</v>
      </c>
      <c r="S98" s="160" t="s">
        <v>278</v>
      </c>
      <c r="T98" s="159" t="s">
        <v>278</v>
      </c>
      <c r="U98" s="160">
        <v>22</v>
      </c>
      <c r="V98" s="162">
        <v>4.4000000000000004</v>
      </c>
      <c r="W98" s="145" t="s">
        <v>284</v>
      </c>
      <c r="X98" s="146"/>
      <c r="Y98" s="146"/>
    </row>
    <row r="99" spans="1:25" customFormat="1" ht="14.4" x14ac:dyDescent="0.3">
      <c r="A99" s="144" t="s">
        <v>285</v>
      </c>
      <c r="B99" s="171">
        <f t="shared" si="30"/>
        <v>19</v>
      </c>
      <c r="C99" s="159" t="s">
        <v>278</v>
      </c>
      <c r="D99" s="159" t="s">
        <v>278</v>
      </c>
      <c r="E99" s="160" t="s">
        <v>278</v>
      </c>
      <c r="F99" s="159" t="s">
        <v>278</v>
      </c>
      <c r="G99" s="160" t="s">
        <v>278</v>
      </c>
      <c r="H99" s="159" t="s">
        <v>278</v>
      </c>
      <c r="I99" s="160" t="s">
        <v>278</v>
      </c>
      <c r="J99" s="159" t="s">
        <v>278</v>
      </c>
      <c r="K99" s="160">
        <v>19</v>
      </c>
      <c r="L99" s="159">
        <v>4.75</v>
      </c>
      <c r="M99" s="160" t="s">
        <v>278</v>
      </c>
      <c r="N99" s="159" t="s">
        <v>278</v>
      </c>
      <c r="O99" s="160" t="s">
        <v>278</v>
      </c>
      <c r="P99" s="159" t="s">
        <v>278</v>
      </c>
      <c r="Q99" s="158" t="s">
        <v>278</v>
      </c>
      <c r="R99" s="159" t="s">
        <v>278</v>
      </c>
      <c r="S99" s="158" t="s">
        <v>278</v>
      </c>
      <c r="T99" s="159" t="s">
        <v>278</v>
      </c>
      <c r="U99" s="160" t="s">
        <v>278</v>
      </c>
      <c r="V99" s="162" t="s">
        <v>278</v>
      </c>
      <c r="W99" s="145" t="s">
        <v>286</v>
      </c>
      <c r="X99" s="146"/>
      <c r="Y99" s="146"/>
    </row>
    <row r="100" spans="1:25" customFormat="1" ht="14.4" x14ac:dyDescent="0.3">
      <c r="A100" s="144" t="s">
        <v>262</v>
      </c>
      <c r="B100" s="171">
        <f t="shared" si="30"/>
        <v>3223</v>
      </c>
      <c r="C100" s="159">
        <v>1334</v>
      </c>
      <c r="D100" s="159">
        <v>665.8</v>
      </c>
      <c r="E100" s="158">
        <v>253</v>
      </c>
      <c r="F100" s="159">
        <v>126.5</v>
      </c>
      <c r="G100" s="158">
        <v>801</v>
      </c>
      <c r="H100" s="159">
        <v>240.3</v>
      </c>
      <c r="I100" s="158">
        <v>765</v>
      </c>
      <c r="J100" s="159">
        <v>229.5</v>
      </c>
      <c r="K100" s="158" t="s">
        <v>278</v>
      </c>
      <c r="L100" s="159" t="s">
        <v>278</v>
      </c>
      <c r="M100" s="158">
        <v>44</v>
      </c>
      <c r="N100" s="159">
        <v>14.6</v>
      </c>
      <c r="O100" s="160" t="s">
        <v>278</v>
      </c>
      <c r="P100" s="159" t="s">
        <v>278</v>
      </c>
      <c r="Q100" s="158" t="s">
        <v>278</v>
      </c>
      <c r="R100" s="159" t="s">
        <v>278</v>
      </c>
      <c r="S100" s="158">
        <v>26</v>
      </c>
      <c r="T100" s="159">
        <v>6.64</v>
      </c>
      <c r="U100" s="160" t="s">
        <v>278</v>
      </c>
      <c r="V100" s="162" t="s">
        <v>278</v>
      </c>
      <c r="W100" s="145" t="s">
        <v>188</v>
      </c>
      <c r="X100" s="146"/>
      <c r="Y100" s="146"/>
    </row>
    <row r="101" spans="1:25" customFormat="1" ht="14.4" x14ac:dyDescent="0.3">
      <c r="A101" s="144" t="s">
        <v>263</v>
      </c>
      <c r="B101" s="171">
        <f t="shared" si="30"/>
        <v>235</v>
      </c>
      <c r="C101" s="159">
        <v>21</v>
      </c>
      <c r="D101" s="159">
        <v>3.2360000000000002</v>
      </c>
      <c r="E101" s="160" t="s">
        <v>278</v>
      </c>
      <c r="F101" s="159" t="s">
        <v>278</v>
      </c>
      <c r="G101" s="158">
        <v>17</v>
      </c>
      <c r="H101" s="159">
        <v>7.1719999999999997</v>
      </c>
      <c r="I101" s="158">
        <v>9</v>
      </c>
      <c r="J101" s="159">
        <v>2.7</v>
      </c>
      <c r="K101" s="158">
        <v>171</v>
      </c>
      <c r="L101" s="159">
        <v>39.049999999999997</v>
      </c>
      <c r="M101" s="158" t="s">
        <v>278</v>
      </c>
      <c r="N101" s="159" t="s">
        <v>278</v>
      </c>
      <c r="O101" s="160" t="s">
        <v>278</v>
      </c>
      <c r="P101" s="159" t="s">
        <v>278</v>
      </c>
      <c r="Q101" s="158" t="s">
        <v>278</v>
      </c>
      <c r="R101" s="159" t="s">
        <v>278</v>
      </c>
      <c r="S101" s="158" t="s">
        <v>278</v>
      </c>
      <c r="T101" s="159" t="s">
        <v>278</v>
      </c>
      <c r="U101" s="158">
        <v>17</v>
      </c>
      <c r="V101" s="162">
        <v>3.6</v>
      </c>
      <c r="W101" s="145" t="s">
        <v>189</v>
      </c>
      <c r="X101" s="146"/>
      <c r="Y101" s="146"/>
    </row>
    <row r="102" spans="1:25" customFormat="1" ht="14.4" x14ac:dyDescent="0.3">
      <c r="A102" s="144" t="s">
        <v>264</v>
      </c>
      <c r="B102" s="171">
        <f t="shared" si="30"/>
        <v>0</v>
      </c>
      <c r="C102" s="159" t="s">
        <v>278</v>
      </c>
      <c r="D102" s="159" t="s">
        <v>278</v>
      </c>
      <c r="E102" s="160" t="s">
        <v>278</v>
      </c>
      <c r="F102" s="159" t="s">
        <v>278</v>
      </c>
      <c r="G102" s="160" t="s">
        <v>278</v>
      </c>
      <c r="H102" s="159" t="s">
        <v>278</v>
      </c>
      <c r="I102" s="160" t="s">
        <v>278</v>
      </c>
      <c r="J102" s="159" t="s">
        <v>278</v>
      </c>
      <c r="K102" s="160" t="s">
        <v>278</v>
      </c>
      <c r="L102" s="159" t="s">
        <v>278</v>
      </c>
      <c r="M102" s="160" t="s">
        <v>278</v>
      </c>
      <c r="N102" s="159" t="s">
        <v>278</v>
      </c>
      <c r="O102" s="160" t="s">
        <v>278</v>
      </c>
      <c r="P102" s="159" t="s">
        <v>278</v>
      </c>
      <c r="Q102" s="158" t="s">
        <v>278</v>
      </c>
      <c r="R102" s="159" t="s">
        <v>278</v>
      </c>
      <c r="S102" s="160" t="s">
        <v>278</v>
      </c>
      <c r="T102" s="159" t="s">
        <v>278</v>
      </c>
      <c r="U102" s="160" t="s">
        <v>278</v>
      </c>
      <c r="V102" s="162" t="s">
        <v>278</v>
      </c>
      <c r="W102" s="145" t="s">
        <v>190</v>
      </c>
      <c r="X102" s="146"/>
      <c r="Y102" s="146"/>
    </row>
    <row r="103" spans="1:25" customFormat="1" ht="14.4" x14ac:dyDescent="0.3">
      <c r="A103" s="144" t="s">
        <v>265</v>
      </c>
      <c r="B103" s="171">
        <f t="shared" si="30"/>
        <v>3181</v>
      </c>
      <c r="C103" s="159">
        <v>13</v>
      </c>
      <c r="D103" s="159">
        <v>0.97799999999999998</v>
      </c>
      <c r="E103" s="158">
        <v>5</v>
      </c>
      <c r="F103" s="159">
        <v>0.7</v>
      </c>
      <c r="G103" s="158">
        <v>2923</v>
      </c>
      <c r="H103" s="159">
        <v>396.00299999999999</v>
      </c>
      <c r="I103" s="158">
        <v>60</v>
      </c>
      <c r="J103" s="159">
        <v>6.3</v>
      </c>
      <c r="K103" s="158">
        <v>43</v>
      </c>
      <c r="L103" s="159">
        <v>7.9050000000000002</v>
      </c>
      <c r="M103" s="158" t="s">
        <v>278</v>
      </c>
      <c r="N103" s="159" t="s">
        <v>278</v>
      </c>
      <c r="O103" s="160" t="s">
        <v>278</v>
      </c>
      <c r="P103" s="159" t="s">
        <v>278</v>
      </c>
      <c r="Q103" s="158" t="s">
        <v>278</v>
      </c>
      <c r="R103" s="159" t="s">
        <v>278</v>
      </c>
      <c r="S103" s="160" t="s">
        <v>278</v>
      </c>
      <c r="T103" s="159" t="s">
        <v>278</v>
      </c>
      <c r="U103" s="158">
        <v>137</v>
      </c>
      <c r="V103" s="162">
        <v>40.72</v>
      </c>
      <c r="W103" s="145" t="s">
        <v>191</v>
      </c>
      <c r="X103" s="146"/>
      <c r="Y103" s="146"/>
    </row>
    <row r="104" spans="1:25" customFormat="1" ht="14.4" x14ac:dyDescent="0.3">
      <c r="A104" s="144" t="s">
        <v>266</v>
      </c>
      <c r="B104" s="171">
        <f t="shared" si="30"/>
        <v>4812</v>
      </c>
      <c r="C104" s="159">
        <v>179</v>
      </c>
      <c r="D104" s="159">
        <v>51</v>
      </c>
      <c r="E104" s="158">
        <v>40</v>
      </c>
      <c r="F104" s="159">
        <v>10</v>
      </c>
      <c r="G104" s="158">
        <v>4575</v>
      </c>
      <c r="H104" s="159">
        <v>667.1</v>
      </c>
      <c r="I104" s="158">
        <v>13</v>
      </c>
      <c r="J104" s="159">
        <v>2.806</v>
      </c>
      <c r="K104" s="158" t="s">
        <v>278</v>
      </c>
      <c r="L104" s="159" t="s">
        <v>278</v>
      </c>
      <c r="M104" s="160" t="s">
        <v>278</v>
      </c>
      <c r="N104" s="159" t="s">
        <v>278</v>
      </c>
      <c r="O104" s="160" t="s">
        <v>278</v>
      </c>
      <c r="P104" s="159" t="s">
        <v>278</v>
      </c>
      <c r="Q104" s="158" t="s">
        <v>278</v>
      </c>
      <c r="R104" s="159" t="s">
        <v>278</v>
      </c>
      <c r="S104" s="160" t="s">
        <v>278</v>
      </c>
      <c r="T104" s="159" t="s">
        <v>278</v>
      </c>
      <c r="U104" s="160">
        <v>5</v>
      </c>
      <c r="V104" s="162">
        <v>1</v>
      </c>
      <c r="W104" s="145" t="s">
        <v>192</v>
      </c>
      <c r="X104" s="146"/>
      <c r="Y104" s="146"/>
    </row>
    <row r="105" spans="1:25" customFormat="1" ht="14.4" x14ac:dyDescent="0.3">
      <c r="A105" s="144" t="s">
        <v>267</v>
      </c>
      <c r="B105" s="171">
        <f t="shared" si="30"/>
        <v>10857</v>
      </c>
      <c r="C105" s="159">
        <v>1393</v>
      </c>
      <c r="D105" s="159">
        <v>581.86</v>
      </c>
      <c r="E105" s="158">
        <v>7856</v>
      </c>
      <c r="F105" s="159">
        <v>3222.0279999999998</v>
      </c>
      <c r="G105" s="158">
        <v>979</v>
      </c>
      <c r="H105" s="159">
        <v>282.83</v>
      </c>
      <c r="I105" s="158">
        <v>393</v>
      </c>
      <c r="J105" s="159">
        <v>95.715000000000003</v>
      </c>
      <c r="K105" s="158">
        <v>48</v>
      </c>
      <c r="L105" s="159">
        <v>10.68</v>
      </c>
      <c r="M105" s="158">
        <v>15</v>
      </c>
      <c r="N105" s="159">
        <v>4.79</v>
      </c>
      <c r="O105" s="160" t="s">
        <v>278</v>
      </c>
      <c r="P105" s="159" t="s">
        <v>278</v>
      </c>
      <c r="Q105" s="158" t="s">
        <v>278</v>
      </c>
      <c r="R105" s="159" t="s">
        <v>278</v>
      </c>
      <c r="S105" s="160" t="s">
        <v>278</v>
      </c>
      <c r="T105" s="159" t="s">
        <v>278</v>
      </c>
      <c r="U105" s="158">
        <v>173</v>
      </c>
      <c r="V105" s="162">
        <v>48.616</v>
      </c>
      <c r="W105" s="145" t="s">
        <v>193</v>
      </c>
      <c r="X105" s="146"/>
      <c r="Y105" s="146"/>
    </row>
    <row r="106" spans="1:25" customFormat="1" ht="14.4" x14ac:dyDescent="0.3">
      <c r="A106" s="144" t="s">
        <v>268</v>
      </c>
      <c r="B106" s="171">
        <f t="shared" si="30"/>
        <v>0</v>
      </c>
      <c r="C106" s="161" t="s">
        <v>278</v>
      </c>
      <c r="D106" s="159" t="s">
        <v>278</v>
      </c>
      <c r="E106" s="160" t="s">
        <v>278</v>
      </c>
      <c r="F106" s="159" t="s">
        <v>278</v>
      </c>
      <c r="G106" s="158" t="s">
        <v>278</v>
      </c>
      <c r="H106" s="159" t="s">
        <v>278</v>
      </c>
      <c r="I106" s="160" t="s">
        <v>278</v>
      </c>
      <c r="J106" s="159" t="s">
        <v>278</v>
      </c>
      <c r="K106" s="160" t="s">
        <v>278</v>
      </c>
      <c r="L106" s="159" t="s">
        <v>278</v>
      </c>
      <c r="M106" s="160" t="s">
        <v>278</v>
      </c>
      <c r="N106" s="159" t="s">
        <v>278</v>
      </c>
      <c r="O106" s="160" t="s">
        <v>278</v>
      </c>
      <c r="P106" s="159" t="s">
        <v>278</v>
      </c>
      <c r="Q106" s="158" t="s">
        <v>278</v>
      </c>
      <c r="R106" s="159" t="s">
        <v>278</v>
      </c>
      <c r="S106" s="160" t="s">
        <v>278</v>
      </c>
      <c r="T106" s="159" t="s">
        <v>278</v>
      </c>
      <c r="U106" s="160" t="s">
        <v>278</v>
      </c>
      <c r="V106" s="162" t="s">
        <v>278</v>
      </c>
      <c r="W106" s="145" t="s">
        <v>194</v>
      </c>
      <c r="X106" s="146"/>
      <c r="Y106" s="146"/>
    </row>
    <row r="107" spans="1:25" customFormat="1" ht="11.4" customHeight="1" x14ac:dyDescent="0.3">
      <c r="A107" s="190" t="s">
        <v>110</v>
      </c>
      <c r="B107" s="227">
        <f>SUM(B109:B112)</f>
        <v>26953</v>
      </c>
      <c r="C107" s="187">
        <f>SUM(C109:C112)</f>
        <v>741</v>
      </c>
      <c r="D107" s="189">
        <f t="shared" ref="D107:L107" si="31">SUM(D109:D112)</f>
        <v>127.5</v>
      </c>
      <c r="E107" s="187">
        <f t="shared" si="31"/>
        <v>378</v>
      </c>
      <c r="F107" s="189">
        <f t="shared" si="31"/>
        <v>83.435000000000002</v>
      </c>
      <c r="G107" s="187">
        <f t="shared" si="31"/>
        <v>16967</v>
      </c>
      <c r="H107" s="189">
        <f t="shared" si="31"/>
        <v>1988.258</v>
      </c>
      <c r="I107" s="187">
        <f t="shared" si="31"/>
        <v>2886</v>
      </c>
      <c r="J107" s="189">
        <f t="shared" si="31"/>
        <v>498.60900000000004</v>
      </c>
      <c r="K107" s="187">
        <f t="shared" si="31"/>
        <v>5626</v>
      </c>
      <c r="L107" s="189">
        <f t="shared" si="31"/>
        <v>1013.0629999999999</v>
      </c>
      <c r="M107" s="187">
        <f>SUM(M109:M112)</f>
        <v>239</v>
      </c>
      <c r="N107" s="189">
        <f t="shared" ref="N107:V107" si="32">SUM(N109:N112)</f>
        <v>129.86500000000001</v>
      </c>
      <c r="O107" s="187">
        <f t="shared" si="32"/>
        <v>8</v>
      </c>
      <c r="P107" s="189">
        <f t="shared" si="32"/>
        <v>2.4699999999999998</v>
      </c>
      <c r="Q107" s="187">
        <f>SUM(Q109:Q112)</f>
        <v>0</v>
      </c>
      <c r="R107" s="189">
        <f t="shared" si="32"/>
        <v>0</v>
      </c>
      <c r="S107" s="187">
        <f t="shared" si="32"/>
        <v>0</v>
      </c>
      <c r="T107" s="189">
        <f t="shared" si="32"/>
        <v>0</v>
      </c>
      <c r="U107" s="187">
        <f t="shared" si="32"/>
        <v>108</v>
      </c>
      <c r="V107" s="215">
        <f t="shared" si="32"/>
        <v>15.620000000000001</v>
      </c>
      <c r="W107" s="188" t="s">
        <v>124</v>
      </c>
      <c r="X107" s="188"/>
      <c r="Y107" s="188"/>
    </row>
    <row r="108" spans="1:25" customFormat="1" ht="11.4" customHeight="1" x14ac:dyDescent="0.3">
      <c r="A108" s="190"/>
      <c r="B108" s="227"/>
      <c r="C108" s="187"/>
      <c r="D108" s="189"/>
      <c r="E108" s="187"/>
      <c r="F108" s="189"/>
      <c r="G108" s="187"/>
      <c r="H108" s="189"/>
      <c r="I108" s="187"/>
      <c r="J108" s="189"/>
      <c r="K108" s="187"/>
      <c r="L108" s="189"/>
      <c r="M108" s="187"/>
      <c r="N108" s="189"/>
      <c r="O108" s="187"/>
      <c r="P108" s="189"/>
      <c r="Q108" s="187"/>
      <c r="R108" s="189"/>
      <c r="S108" s="187"/>
      <c r="T108" s="189"/>
      <c r="U108" s="187"/>
      <c r="V108" s="215"/>
      <c r="W108" s="188"/>
      <c r="X108" s="188"/>
      <c r="Y108" s="188"/>
    </row>
    <row r="109" spans="1:25" customFormat="1" ht="14.4" x14ac:dyDescent="0.3">
      <c r="A109" s="144" t="s">
        <v>269</v>
      </c>
      <c r="B109" s="171">
        <f>SUM(C109,E109,G109,I109,K109,M109,O109,Q109,S109,U109)</f>
        <v>20538</v>
      </c>
      <c r="C109" s="159">
        <v>464</v>
      </c>
      <c r="D109" s="159">
        <v>60.02</v>
      </c>
      <c r="E109" s="158">
        <v>205</v>
      </c>
      <c r="F109" s="159">
        <v>28.24</v>
      </c>
      <c r="G109" s="158">
        <v>15083</v>
      </c>
      <c r="H109" s="159">
        <v>1626.3779999999999</v>
      </c>
      <c r="I109" s="158">
        <v>1767</v>
      </c>
      <c r="J109" s="159">
        <v>194.93700000000001</v>
      </c>
      <c r="K109" s="158">
        <v>2745</v>
      </c>
      <c r="L109" s="159">
        <v>347.77499999999998</v>
      </c>
      <c r="M109" s="158">
        <v>165</v>
      </c>
      <c r="N109" s="159">
        <v>63.557000000000002</v>
      </c>
      <c r="O109" s="160">
        <v>5</v>
      </c>
      <c r="P109" s="159">
        <v>0.5</v>
      </c>
      <c r="Q109" s="158" t="s">
        <v>278</v>
      </c>
      <c r="R109" s="159" t="s">
        <v>278</v>
      </c>
      <c r="S109" s="158" t="s">
        <v>278</v>
      </c>
      <c r="T109" s="159" t="s">
        <v>278</v>
      </c>
      <c r="U109" s="158">
        <v>104</v>
      </c>
      <c r="V109" s="162">
        <v>14.64</v>
      </c>
      <c r="W109" s="145" t="s">
        <v>195</v>
      </c>
      <c r="X109" s="146"/>
      <c r="Y109" s="146"/>
    </row>
    <row r="110" spans="1:25" customFormat="1" ht="14.4" x14ac:dyDescent="0.3">
      <c r="A110" s="144" t="s">
        <v>270</v>
      </c>
      <c r="B110" s="171">
        <f>SUM(C110,E110,G110,I110,K110,M110,O110,Q110,S110,U110)</f>
        <v>3943</v>
      </c>
      <c r="C110" s="159">
        <v>253</v>
      </c>
      <c r="D110" s="159">
        <v>61.104999999999997</v>
      </c>
      <c r="E110" s="158">
        <v>144</v>
      </c>
      <c r="F110" s="159">
        <v>43.604999999999997</v>
      </c>
      <c r="G110" s="158">
        <v>1481</v>
      </c>
      <c r="H110" s="159">
        <v>270.10500000000002</v>
      </c>
      <c r="I110" s="158">
        <v>242</v>
      </c>
      <c r="J110" s="159">
        <v>53.494999999999997</v>
      </c>
      <c r="K110" s="158">
        <v>1815</v>
      </c>
      <c r="L110" s="159">
        <v>449.37299999999999</v>
      </c>
      <c r="M110" s="158">
        <v>7</v>
      </c>
      <c r="N110" s="159">
        <v>5.28</v>
      </c>
      <c r="O110" s="158" t="s">
        <v>278</v>
      </c>
      <c r="P110" s="159" t="s">
        <v>278</v>
      </c>
      <c r="Q110" s="158" t="s">
        <v>278</v>
      </c>
      <c r="R110" s="159" t="s">
        <v>278</v>
      </c>
      <c r="S110" s="158" t="s">
        <v>278</v>
      </c>
      <c r="T110" s="159" t="s">
        <v>278</v>
      </c>
      <c r="U110" s="158">
        <v>1</v>
      </c>
      <c r="V110" s="162">
        <v>0.26</v>
      </c>
      <c r="W110" s="145" t="s">
        <v>196</v>
      </c>
      <c r="X110" s="146"/>
      <c r="Y110" s="146"/>
    </row>
    <row r="111" spans="1:25" customFormat="1" ht="14.4" x14ac:dyDescent="0.3">
      <c r="A111" s="144" t="s">
        <v>271</v>
      </c>
      <c r="B111" s="171">
        <f>SUM(C111,E111,G111,I111,K111,M111,O111,Q111,S111,U111)</f>
        <v>879</v>
      </c>
      <c r="C111" s="159">
        <v>19</v>
      </c>
      <c r="D111" s="159">
        <v>4.8550000000000004</v>
      </c>
      <c r="E111" s="158">
        <v>29</v>
      </c>
      <c r="F111" s="159">
        <v>11.59</v>
      </c>
      <c r="G111" s="158">
        <v>247</v>
      </c>
      <c r="H111" s="159">
        <v>53.325000000000003</v>
      </c>
      <c r="I111" s="158">
        <v>192</v>
      </c>
      <c r="J111" s="159">
        <v>49.81</v>
      </c>
      <c r="K111" s="160">
        <v>368</v>
      </c>
      <c r="L111" s="159">
        <v>77.900000000000006</v>
      </c>
      <c r="M111" s="158">
        <v>24</v>
      </c>
      <c r="N111" s="159">
        <v>25.05</v>
      </c>
      <c r="O111" s="160" t="s">
        <v>278</v>
      </c>
      <c r="P111" s="159" t="s">
        <v>278</v>
      </c>
      <c r="Q111" s="158" t="s">
        <v>278</v>
      </c>
      <c r="R111" s="159" t="s">
        <v>278</v>
      </c>
      <c r="S111" s="160" t="s">
        <v>278</v>
      </c>
      <c r="T111" s="159" t="s">
        <v>278</v>
      </c>
      <c r="U111" s="160" t="s">
        <v>278</v>
      </c>
      <c r="V111" s="162" t="s">
        <v>278</v>
      </c>
      <c r="W111" s="145" t="s">
        <v>197</v>
      </c>
      <c r="X111" s="146"/>
      <c r="Y111" s="146"/>
    </row>
    <row r="112" spans="1:25" customFormat="1" ht="15" thickBot="1" x14ac:dyDescent="0.35">
      <c r="A112" s="149" t="s">
        <v>272</v>
      </c>
      <c r="B112" s="173">
        <f>SUM(C112,E112,G112,I112,K112,M112,O112,Q112,S112,U112)</f>
        <v>1593</v>
      </c>
      <c r="C112" s="163">
        <v>5</v>
      </c>
      <c r="D112" s="163">
        <v>1.52</v>
      </c>
      <c r="E112" s="164" t="s">
        <v>278</v>
      </c>
      <c r="F112" s="163" t="s">
        <v>278</v>
      </c>
      <c r="G112" s="164">
        <v>156</v>
      </c>
      <c r="H112" s="163">
        <v>38.450000000000003</v>
      </c>
      <c r="I112" s="164">
        <v>685</v>
      </c>
      <c r="J112" s="163">
        <v>200.36699999999999</v>
      </c>
      <c r="K112" s="164">
        <v>698</v>
      </c>
      <c r="L112" s="163">
        <v>138.01499999999999</v>
      </c>
      <c r="M112" s="165">
        <v>43</v>
      </c>
      <c r="N112" s="163">
        <v>35.978000000000002</v>
      </c>
      <c r="O112" s="165">
        <v>3</v>
      </c>
      <c r="P112" s="163">
        <v>1.97</v>
      </c>
      <c r="Q112" s="165" t="s">
        <v>278</v>
      </c>
      <c r="R112" s="163" t="s">
        <v>278</v>
      </c>
      <c r="S112" s="164" t="s">
        <v>278</v>
      </c>
      <c r="T112" s="163" t="s">
        <v>278</v>
      </c>
      <c r="U112" s="164">
        <v>3</v>
      </c>
      <c r="V112" s="166">
        <v>0.72</v>
      </c>
      <c r="W112" s="150" t="s">
        <v>198</v>
      </c>
      <c r="X112" s="151"/>
      <c r="Y112" s="151"/>
    </row>
    <row r="113" spans="1:25" customFormat="1" ht="14.4" customHeight="1" x14ac:dyDescent="0.3">
      <c r="A113" s="152" t="s">
        <v>112</v>
      </c>
      <c r="K113" s="153"/>
      <c r="L113" s="153"/>
      <c r="M113" s="154"/>
      <c r="N113" s="154"/>
      <c r="W113" s="155" t="s">
        <v>113</v>
      </c>
      <c r="Y113" s="155"/>
    </row>
    <row r="114" spans="1:25" customFormat="1" ht="14.4" x14ac:dyDescent="0.3">
      <c r="A114" s="154" t="s">
        <v>276</v>
      </c>
      <c r="K114" s="156"/>
      <c r="L114" s="156"/>
      <c r="M114" s="154"/>
      <c r="N114" s="154"/>
      <c r="W114" t="s">
        <v>277</v>
      </c>
    </row>
    <row r="115" spans="1:25" customFormat="1" ht="14.4" x14ac:dyDescent="0.3">
      <c r="A115" s="157"/>
    </row>
    <row r="116" spans="1:25" customFormat="1" ht="14.4" x14ac:dyDescent="0.3">
      <c r="A116" s="157"/>
    </row>
    <row r="117" spans="1:25" customFormat="1" ht="14.4" x14ac:dyDescent="0.3"/>
    <row r="118" spans="1:25" customFormat="1" ht="14.4" x14ac:dyDescent="0.3"/>
    <row r="119" spans="1:25" customFormat="1" ht="14.4" x14ac:dyDescent="0.3"/>
    <row r="120" spans="1:25" customFormat="1" ht="14.4" x14ac:dyDescent="0.3"/>
    <row r="121" spans="1:25" customFormat="1" ht="14.4" x14ac:dyDescent="0.3"/>
    <row r="122" spans="1:25" s="128" customFormat="1" ht="15.6" x14ac:dyDescent="0.3"/>
    <row r="123" spans="1:25" s="128" customFormat="1" ht="15.6" x14ac:dyDescent="0.3"/>
    <row r="124" spans="1:25" s="128" customFormat="1" ht="15.6" x14ac:dyDescent="0.3"/>
    <row r="125" spans="1:25" s="128" customFormat="1" ht="15.6" x14ac:dyDescent="0.3"/>
    <row r="126" spans="1:25" s="128" customFormat="1" ht="15.6" x14ac:dyDescent="0.3"/>
    <row r="127" spans="1:25" s="128" customFormat="1" ht="15.6" x14ac:dyDescent="0.3">
      <c r="A127" s="129"/>
      <c r="T127" s="128" t="s">
        <v>278</v>
      </c>
    </row>
    <row r="128" spans="1:25" s="128" customFormat="1" ht="12" customHeight="1" x14ac:dyDescent="0.3">
      <c r="A128" s="220"/>
      <c r="B128" s="220"/>
      <c r="C128" s="220"/>
      <c r="D128" s="220"/>
      <c r="E128" s="220"/>
      <c r="F128" s="220"/>
      <c r="G128" s="221"/>
      <c r="H128" s="221"/>
      <c r="I128" s="221"/>
      <c r="J128" s="221"/>
      <c r="K128" s="221"/>
      <c r="L128" s="221"/>
    </row>
    <row r="129" spans="1:14" s="128" customFormat="1" ht="12" customHeight="1" x14ac:dyDescent="0.3">
      <c r="A129" s="220"/>
      <c r="B129" s="220"/>
      <c r="C129" s="220"/>
      <c r="D129" s="220"/>
      <c r="E129" s="220"/>
      <c r="F129" s="220"/>
      <c r="G129" s="221"/>
      <c r="H129" s="221"/>
      <c r="I129" s="221"/>
      <c r="J129" s="221"/>
      <c r="K129" s="221"/>
      <c r="L129" s="221"/>
    </row>
    <row r="130" spans="1:14" s="128" customFormat="1" ht="15.6" x14ac:dyDescent="0.3">
      <c r="A130" s="220"/>
      <c r="B130" s="220"/>
      <c r="C130" s="220"/>
      <c r="D130" s="220"/>
      <c r="E130" s="220"/>
      <c r="F130" s="220"/>
      <c r="G130" s="221"/>
      <c r="H130" s="221"/>
      <c r="I130" s="221"/>
      <c r="J130" s="221"/>
      <c r="K130" s="221"/>
      <c r="L130" s="221"/>
    </row>
    <row r="131" spans="1:14" s="128" customFormat="1" ht="11.4" customHeight="1" x14ac:dyDescent="0.3">
      <c r="A131" s="129"/>
      <c r="F131" s="218"/>
      <c r="G131" s="218"/>
      <c r="H131" s="218"/>
      <c r="I131" s="218"/>
      <c r="J131" s="218"/>
      <c r="K131" s="218"/>
      <c r="L131" s="218"/>
      <c r="N131" s="128" t="s">
        <v>275</v>
      </c>
    </row>
    <row r="132" spans="1:14" s="128" customFormat="1" ht="11.4" customHeight="1" x14ac:dyDescent="0.3">
      <c r="A132" s="219"/>
      <c r="B132" s="219"/>
      <c r="C132" s="223"/>
      <c r="D132" s="223"/>
      <c r="E132" s="223"/>
      <c r="F132" s="219"/>
      <c r="G132" s="219"/>
      <c r="H132" s="219"/>
      <c r="I132" s="219"/>
      <c r="J132" s="219"/>
      <c r="K132" s="219"/>
      <c r="L132" s="219"/>
    </row>
    <row r="133" spans="1:14" s="128" customFormat="1" ht="15.6" x14ac:dyDescent="0.3">
      <c r="A133" s="219"/>
      <c r="B133" s="223"/>
      <c r="C133" s="223"/>
      <c r="D133" s="223"/>
      <c r="E133" s="223"/>
      <c r="F133" s="219"/>
      <c r="G133" s="219"/>
      <c r="H133" s="219"/>
      <c r="I133" s="219"/>
      <c r="J133" s="219"/>
      <c r="K133" s="219"/>
      <c r="L133" s="219"/>
    </row>
    <row r="134" spans="1:14" s="128" customFormat="1" ht="49.2" customHeight="1" x14ac:dyDescent="0.3">
      <c r="A134" s="219"/>
      <c r="B134" s="219"/>
      <c r="C134" s="219"/>
      <c r="D134" s="219"/>
      <c r="E134" s="219"/>
      <c r="F134" s="219"/>
      <c r="G134" s="219"/>
      <c r="H134" s="219"/>
      <c r="I134" s="219"/>
      <c r="J134" s="219"/>
      <c r="K134" s="219"/>
      <c r="L134" s="219"/>
    </row>
    <row r="135" spans="1:14" s="128" customFormat="1" ht="15.6" x14ac:dyDescent="0.3">
      <c r="A135" s="219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219"/>
    </row>
    <row r="136" spans="1:14" s="128" customFormat="1" ht="11.4" customHeight="1" x14ac:dyDescent="0.3">
      <c r="A136" s="131"/>
      <c r="L136" s="132"/>
    </row>
    <row r="137" spans="1:14" s="128" customFormat="1" ht="15.6" x14ac:dyDescent="0.3">
      <c r="A137" s="133"/>
      <c r="L137" s="132"/>
    </row>
    <row r="138" spans="1:14" s="128" customFormat="1" ht="15.6" x14ac:dyDescent="0.3">
      <c r="A138" s="225"/>
      <c r="B138" s="217"/>
      <c r="C138" s="217"/>
      <c r="D138" s="217"/>
      <c r="E138" s="217"/>
      <c r="F138" s="217"/>
      <c r="G138" s="217"/>
      <c r="H138" s="217"/>
      <c r="I138" s="217"/>
      <c r="J138" s="217"/>
      <c r="K138" s="217"/>
      <c r="L138" s="228"/>
    </row>
    <row r="139" spans="1:14" s="128" customFormat="1" ht="11.4" customHeight="1" x14ac:dyDescent="0.3">
      <c r="A139" s="225"/>
      <c r="B139" s="217"/>
      <c r="C139" s="217"/>
      <c r="D139" s="217"/>
      <c r="E139" s="217"/>
      <c r="F139" s="217"/>
      <c r="G139" s="217"/>
      <c r="H139" s="217"/>
      <c r="I139" s="217"/>
      <c r="J139" s="217"/>
      <c r="K139" s="217"/>
      <c r="L139" s="228"/>
    </row>
    <row r="140" spans="1:14" s="128" customFormat="1" ht="15.6" x14ac:dyDescent="0.3">
      <c r="A140" s="225"/>
      <c r="B140" s="217"/>
      <c r="C140" s="217"/>
      <c r="D140" s="217"/>
      <c r="E140" s="217"/>
      <c r="F140" s="217"/>
      <c r="G140" s="217"/>
      <c r="H140" s="217"/>
      <c r="I140" s="217"/>
      <c r="J140" s="217"/>
      <c r="K140" s="217"/>
      <c r="L140" s="228"/>
    </row>
    <row r="141" spans="1:14" s="128" customFormat="1" ht="15.6" x14ac:dyDescent="0.3">
      <c r="A141" s="133"/>
      <c r="F141" s="127"/>
      <c r="G141" s="127"/>
      <c r="L141" s="134"/>
    </row>
    <row r="142" spans="1:14" s="128" customFormat="1" ht="15.6" x14ac:dyDescent="0.3">
      <c r="A142" s="133"/>
      <c r="F142" s="127"/>
      <c r="G142" s="127"/>
      <c r="L142" s="134"/>
    </row>
    <row r="143" spans="1:14" s="128" customFormat="1" ht="15.6" x14ac:dyDescent="0.3">
      <c r="A143" s="133"/>
      <c r="F143" s="127"/>
      <c r="G143" s="127"/>
      <c r="L143" s="134"/>
    </row>
    <row r="144" spans="1:14" s="128" customFormat="1" ht="15.6" x14ac:dyDescent="0.3">
      <c r="A144" s="133"/>
      <c r="F144" s="127"/>
      <c r="G144" s="127"/>
      <c r="L144" s="134"/>
    </row>
    <row r="145" spans="1:12" s="128" customFormat="1" ht="15.6" x14ac:dyDescent="0.3">
      <c r="A145" s="133"/>
      <c r="F145" s="127"/>
      <c r="G145" s="127"/>
      <c r="L145" s="134"/>
    </row>
    <row r="146" spans="1:12" s="128" customFormat="1" ht="15.6" x14ac:dyDescent="0.3">
      <c r="A146" s="133"/>
      <c r="F146" s="127"/>
      <c r="G146" s="127"/>
      <c r="L146" s="134"/>
    </row>
    <row r="147" spans="1:12" s="128" customFormat="1" ht="15.6" x14ac:dyDescent="0.3">
      <c r="A147" s="225"/>
      <c r="L147" s="229"/>
    </row>
    <row r="148" spans="1:12" s="128" customFormat="1" ht="15.6" x14ac:dyDescent="0.3">
      <c r="A148" s="225"/>
      <c r="L148" s="229"/>
    </row>
    <row r="149" spans="1:12" s="128" customFormat="1" ht="15.6" x14ac:dyDescent="0.3">
      <c r="A149" s="133"/>
      <c r="F149" s="127"/>
      <c r="G149" s="127"/>
      <c r="L149" s="134"/>
    </row>
    <row r="150" spans="1:12" s="128" customFormat="1" ht="15.6" x14ac:dyDescent="0.3">
      <c r="A150" s="133"/>
      <c r="F150" s="127"/>
      <c r="G150" s="127"/>
      <c r="L150" s="134"/>
    </row>
    <row r="151" spans="1:12" s="128" customFormat="1" ht="15.6" x14ac:dyDescent="0.3">
      <c r="A151" s="133"/>
      <c r="F151" s="127"/>
      <c r="G151" s="127"/>
      <c r="L151" s="134"/>
    </row>
    <row r="152" spans="1:12" s="128" customFormat="1" ht="15.6" x14ac:dyDescent="0.3">
      <c r="A152" s="133"/>
      <c r="F152" s="127"/>
      <c r="G152" s="127"/>
      <c r="L152" s="134"/>
    </row>
    <row r="153" spans="1:12" s="128" customFormat="1" ht="15.6" x14ac:dyDescent="0.3">
      <c r="A153" s="133"/>
      <c r="F153" s="127"/>
      <c r="G153" s="127"/>
      <c r="L153" s="134"/>
    </row>
    <row r="154" spans="1:12" s="128" customFormat="1" ht="15.6" x14ac:dyDescent="0.3">
      <c r="A154" s="133"/>
      <c r="F154" s="127"/>
      <c r="G154" s="127"/>
      <c r="L154" s="134"/>
    </row>
    <row r="155" spans="1:12" s="128" customFormat="1" ht="15.6" x14ac:dyDescent="0.3">
      <c r="A155" s="133"/>
      <c r="F155" s="127"/>
      <c r="G155" s="127"/>
      <c r="L155" s="134"/>
    </row>
    <row r="156" spans="1:12" s="128" customFormat="1" ht="15.6" x14ac:dyDescent="0.3">
      <c r="A156" s="133"/>
      <c r="F156" s="127"/>
      <c r="G156" s="127"/>
      <c r="L156" s="134"/>
    </row>
    <row r="157" spans="1:12" s="128" customFormat="1" ht="15.6" x14ac:dyDescent="0.3">
      <c r="A157" s="133"/>
      <c r="F157" s="127"/>
      <c r="G157" s="127"/>
      <c r="L157" s="134"/>
    </row>
    <row r="158" spans="1:12" s="128" customFormat="1" ht="15.6" x14ac:dyDescent="0.3">
      <c r="A158" s="133"/>
      <c r="F158" s="127"/>
      <c r="G158" s="127"/>
      <c r="L158" s="134"/>
    </row>
    <row r="159" spans="1:12" s="128" customFormat="1" ht="15.6" x14ac:dyDescent="0.3">
      <c r="A159" s="133"/>
      <c r="F159" s="127"/>
      <c r="G159" s="127"/>
      <c r="L159" s="134"/>
    </row>
    <row r="160" spans="1:12" s="128" customFormat="1" ht="15.6" x14ac:dyDescent="0.3">
      <c r="A160" s="226"/>
      <c r="L160" s="230"/>
    </row>
    <row r="161" spans="1:12" s="128" customFormat="1" ht="15.6" x14ac:dyDescent="0.3">
      <c r="A161" s="226"/>
      <c r="L161" s="230"/>
    </row>
    <row r="162" spans="1:12" s="128" customFormat="1" ht="15.6" x14ac:dyDescent="0.3">
      <c r="A162" s="133"/>
      <c r="F162" s="127"/>
      <c r="G162" s="127"/>
      <c r="L162" s="134"/>
    </row>
    <row r="163" spans="1:12" s="128" customFormat="1" ht="15.6" x14ac:dyDescent="0.3">
      <c r="A163" s="133"/>
      <c r="F163" s="127"/>
      <c r="G163" s="127"/>
      <c r="L163" s="134"/>
    </row>
    <row r="164" spans="1:12" s="128" customFormat="1" ht="15.6" x14ac:dyDescent="0.3">
      <c r="A164" s="133"/>
      <c r="F164" s="127"/>
      <c r="G164" s="127"/>
      <c r="L164" s="134"/>
    </row>
    <row r="165" spans="1:12" s="128" customFormat="1" ht="15.6" x14ac:dyDescent="0.3">
      <c r="A165" s="133"/>
      <c r="F165" s="127"/>
      <c r="G165" s="127"/>
      <c r="L165" s="134"/>
    </row>
    <row r="166" spans="1:12" s="128" customFormat="1" ht="15.6" x14ac:dyDescent="0.3">
      <c r="A166" s="226"/>
      <c r="L166" s="230"/>
    </row>
    <row r="167" spans="1:12" s="128" customFormat="1" ht="15.6" x14ac:dyDescent="0.3">
      <c r="A167" s="226"/>
      <c r="L167" s="230"/>
    </row>
    <row r="168" spans="1:12" s="128" customFormat="1" ht="15.6" x14ac:dyDescent="0.3">
      <c r="A168" s="133"/>
      <c r="F168" s="127"/>
      <c r="G168" s="127"/>
      <c r="L168" s="134"/>
    </row>
    <row r="169" spans="1:12" s="128" customFormat="1" ht="15.6" x14ac:dyDescent="0.3">
      <c r="A169" s="133"/>
      <c r="F169" s="127"/>
      <c r="G169" s="127"/>
      <c r="L169" s="134"/>
    </row>
    <row r="170" spans="1:12" s="128" customFormat="1" ht="15.6" x14ac:dyDescent="0.3">
      <c r="A170" s="133"/>
      <c r="F170" s="127"/>
      <c r="G170" s="127"/>
      <c r="L170" s="134"/>
    </row>
    <row r="171" spans="1:12" s="128" customFormat="1" ht="15.6" x14ac:dyDescent="0.3">
      <c r="A171" s="133"/>
      <c r="F171" s="127"/>
      <c r="G171" s="127"/>
      <c r="L171" s="134"/>
    </row>
    <row r="172" spans="1:12" s="128" customFormat="1" ht="15.6" x14ac:dyDescent="0.3">
      <c r="A172" s="133"/>
      <c r="F172" s="127"/>
      <c r="G172" s="127"/>
      <c r="L172" s="134"/>
    </row>
    <row r="173" spans="1:12" s="128" customFormat="1" ht="15.6" x14ac:dyDescent="0.3">
      <c r="A173" s="226"/>
      <c r="L173" s="230"/>
    </row>
    <row r="174" spans="1:12" s="128" customFormat="1" ht="15.6" x14ac:dyDescent="0.3">
      <c r="A174" s="226"/>
      <c r="L174" s="230"/>
    </row>
    <row r="175" spans="1:12" s="128" customFormat="1" ht="15.6" x14ac:dyDescent="0.3">
      <c r="A175" s="133"/>
      <c r="F175" s="127"/>
      <c r="G175" s="127"/>
      <c r="L175" s="134"/>
    </row>
    <row r="176" spans="1:12" s="128" customFormat="1" ht="15.6" x14ac:dyDescent="0.3">
      <c r="A176" s="133"/>
      <c r="F176" s="127"/>
      <c r="G176" s="127"/>
      <c r="L176" s="134"/>
    </row>
    <row r="177" spans="1:12" s="128" customFormat="1" ht="15.6" x14ac:dyDescent="0.3">
      <c r="A177" s="133"/>
      <c r="F177" s="127"/>
      <c r="G177" s="127"/>
      <c r="L177" s="134"/>
    </row>
    <row r="178" spans="1:12" s="128" customFormat="1" ht="15.6" x14ac:dyDescent="0.3">
      <c r="A178" s="133"/>
      <c r="F178" s="127"/>
      <c r="G178" s="127"/>
      <c r="L178" s="134"/>
    </row>
    <row r="179" spans="1:12" s="128" customFormat="1" ht="15.6" x14ac:dyDescent="0.3">
      <c r="A179" s="133"/>
      <c r="F179" s="127"/>
      <c r="G179" s="127"/>
      <c r="L179" s="134"/>
    </row>
    <row r="180" spans="1:12" s="128" customFormat="1" ht="15.6" x14ac:dyDescent="0.3">
      <c r="A180" s="226"/>
      <c r="L180" s="230"/>
    </row>
    <row r="181" spans="1:12" s="128" customFormat="1" ht="15.6" x14ac:dyDescent="0.3">
      <c r="A181" s="226"/>
      <c r="L181" s="230"/>
    </row>
    <row r="182" spans="1:12" s="128" customFormat="1" ht="15.6" x14ac:dyDescent="0.3">
      <c r="A182" s="133"/>
      <c r="F182" s="127"/>
      <c r="G182" s="127"/>
      <c r="L182" s="134"/>
    </row>
    <row r="183" spans="1:12" x14ac:dyDescent="0.3">
      <c r="A183" s="125"/>
      <c r="F183" s="124"/>
      <c r="G183" s="124"/>
      <c r="L183" s="126"/>
    </row>
    <row r="184" spans="1:12" x14ac:dyDescent="0.3">
      <c r="A184" s="125"/>
      <c r="F184" s="124"/>
      <c r="G184" s="124"/>
      <c r="L184" s="126"/>
    </row>
    <row r="185" spans="1:12" x14ac:dyDescent="0.3">
      <c r="A185" s="125"/>
      <c r="F185" s="124"/>
      <c r="G185" s="124"/>
      <c r="L185" s="126"/>
    </row>
    <row r="186" spans="1:12" x14ac:dyDescent="0.3">
      <c r="A186" s="125"/>
      <c r="F186" s="124"/>
      <c r="G186" s="124"/>
      <c r="L186" s="126"/>
    </row>
    <row r="187" spans="1:12" x14ac:dyDescent="0.3">
      <c r="A187" s="224"/>
      <c r="L187" s="222"/>
    </row>
    <row r="188" spans="1:12" x14ac:dyDescent="0.3">
      <c r="A188" s="224"/>
      <c r="L188" s="222"/>
    </row>
    <row r="189" spans="1:12" x14ac:dyDescent="0.3">
      <c r="A189" s="125"/>
      <c r="F189" s="124"/>
      <c r="G189" s="124"/>
      <c r="L189" s="126"/>
    </row>
    <row r="190" spans="1:12" x14ac:dyDescent="0.3">
      <c r="A190" s="125"/>
      <c r="F190" s="124"/>
      <c r="G190" s="124"/>
      <c r="L190" s="126"/>
    </row>
    <row r="191" spans="1:12" x14ac:dyDescent="0.3">
      <c r="A191" s="125"/>
      <c r="F191" s="124"/>
      <c r="G191" s="124"/>
      <c r="L191" s="126"/>
    </row>
    <row r="192" spans="1:12" x14ac:dyDescent="0.3">
      <c r="A192" s="224"/>
      <c r="L192" s="222"/>
    </row>
    <row r="193" spans="1:12" x14ac:dyDescent="0.3">
      <c r="A193" s="224"/>
      <c r="L193" s="222"/>
    </row>
    <row r="194" spans="1:12" x14ac:dyDescent="0.3">
      <c r="A194" s="125"/>
      <c r="F194" s="124"/>
      <c r="G194" s="124"/>
      <c r="L194" s="126"/>
    </row>
    <row r="195" spans="1:12" x14ac:dyDescent="0.3">
      <c r="A195" s="125"/>
      <c r="F195" s="124"/>
      <c r="G195" s="124"/>
      <c r="L195" s="126"/>
    </row>
    <row r="196" spans="1:12" x14ac:dyDescent="0.3">
      <c r="A196" s="125"/>
      <c r="F196" s="124"/>
      <c r="G196" s="124"/>
      <c r="L196" s="126"/>
    </row>
    <row r="197" spans="1:12" x14ac:dyDescent="0.3">
      <c r="A197" s="125"/>
      <c r="F197" s="124"/>
      <c r="G197" s="124"/>
      <c r="L197" s="126"/>
    </row>
    <row r="198" spans="1:12" x14ac:dyDescent="0.3">
      <c r="A198" s="125"/>
      <c r="F198" s="124"/>
      <c r="G198" s="124"/>
      <c r="L198" s="126"/>
    </row>
    <row r="199" spans="1:12" x14ac:dyDescent="0.3">
      <c r="A199" s="224"/>
      <c r="L199" s="222"/>
    </row>
    <row r="200" spans="1:12" x14ac:dyDescent="0.3">
      <c r="A200" s="224"/>
      <c r="L200" s="222"/>
    </row>
    <row r="201" spans="1:12" x14ac:dyDescent="0.3">
      <c r="A201" s="125"/>
      <c r="F201" s="124"/>
      <c r="G201" s="124"/>
      <c r="L201" s="126"/>
    </row>
    <row r="202" spans="1:12" x14ac:dyDescent="0.3">
      <c r="A202" s="125"/>
      <c r="F202" s="124"/>
      <c r="G202" s="124"/>
      <c r="L202" s="126"/>
    </row>
    <row r="203" spans="1:12" x14ac:dyDescent="0.3">
      <c r="A203" s="125"/>
      <c r="F203" s="124"/>
      <c r="G203" s="124"/>
      <c r="L203" s="126"/>
    </row>
    <row r="204" spans="1:12" x14ac:dyDescent="0.3">
      <c r="A204" s="125"/>
      <c r="F204" s="124"/>
      <c r="G204" s="124"/>
      <c r="L204" s="126"/>
    </row>
    <row r="205" spans="1:12" x14ac:dyDescent="0.3">
      <c r="A205" s="125"/>
      <c r="F205" s="124"/>
      <c r="G205" s="124"/>
      <c r="L205" s="126"/>
    </row>
    <row r="206" spans="1:12" x14ac:dyDescent="0.3">
      <c r="A206" s="125"/>
      <c r="F206" s="124"/>
      <c r="G206" s="124"/>
      <c r="L206" s="126"/>
    </row>
    <row r="207" spans="1:12" x14ac:dyDescent="0.3">
      <c r="A207" s="125"/>
      <c r="F207" s="124"/>
      <c r="G207" s="124"/>
      <c r="L207" s="126"/>
    </row>
    <row r="208" spans="1:12" x14ac:dyDescent="0.3">
      <c r="A208" s="125"/>
      <c r="F208" s="124"/>
      <c r="G208" s="124"/>
      <c r="L208" s="126"/>
    </row>
    <row r="209" spans="1:12" x14ac:dyDescent="0.3">
      <c r="A209" s="224"/>
      <c r="L209" s="222"/>
    </row>
    <row r="210" spans="1:12" x14ac:dyDescent="0.3">
      <c r="A210" s="224"/>
      <c r="L210" s="222"/>
    </row>
    <row r="211" spans="1:12" x14ac:dyDescent="0.3">
      <c r="A211" s="125"/>
      <c r="F211" s="124"/>
      <c r="G211" s="124"/>
      <c r="L211" s="126"/>
    </row>
    <row r="212" spans="1:12" x14ac:dyDescent="0.3">
      <c r="A212" s="125"/>
      <c r="F212" s="124"/>
      <c r="G212" s="124"/>
      <c r="L212" s="126"/>
    </row>
    <row r="213" spans="1:12" x14ac:dyDescent="0.3">
      <c r="A213" s="125"/>
      <c r="F213" s="124"/>
      <c r="G213" s="124"/>
      <c r="L213" s="126"/>
    </row>
    <row r="214" spans="1:12" x14ac:dyDescent="0.3">
      <c r="A214" s="125"/>
      <c r="F214" s="124"/>
      <c r="G214" s="124"/>
      <c r="L214" s="126"/>
    </row>
    <row r="215" spans="1:12" x14ac:dyDescent="0.3">
      <c r="A215" s="125"/>
      <c r="F215" s="124"/>
      <c r="G215" s="124"/>
      <c r="L215" s="126"/>
    </row>
    <row r="216" spans="1:12" x14ac:dyDescent="0.3">
      <c r="A216" s="224"/>
      <c r="L216" s="222"/>
    </row>
    <row r="217" spans="1:12" x14ac:dyDescent="0.3">
      <c r="A217" s="224"/>
      <c r="L217" s="222"/>
    </row>
    <row r="218" spans="1:12" x14ac:dyDescent="0.3">
      <c r="A218" s="125"/>
      <c r="F218" s="124"/>
      <c r="G218" s="124"/>
      <c r="L218" s="126"/>
    </row>
    <row r="219" spans="1:12" x14ac:dyDescent="0.3">
      <c r="A219" s="125"/>
      <c r="F219" s="124"/>
      <c r="G219" s="124"/>
      <c r="L219" s="126"/>
    </row>
    <row r="220" spans="1:12" x14ac:dyDescent="0.3">
      <c r="A220" s="125"/>
      <c r="F220" s="124"/>
      <c r="G220" s="124"/>
      <c r="L220" s="126"/>
    </row>
    <row r="221" spans="1:12" x14ac:dyDescent="0.3">
      <c r="A221" s="125"/>
      <c r="F221" s="124"/>
      <c r="G221" s="124"/>
      <c r="L221" s="126"/>
    </row>
    <row r="222" spans="1:12" x14ac:dyDescent="0.3">
      <c r="A222" s="125"/>
      <c r="F222" s="124"/>
      <c r="G222" s="124"/>
      <c r="L222" s="126"/>
    </row>
    <row r="223" spans="1:12" x14ac:dyDescent="0.3">
      <c r="A223" s="125"/>
      <c r="F223" s="124"/>
      <c r="G223" s="124"/>
      <c r="L223" s="126"/>
    </row>
    <row r="224" spans="1:12" x14ac:dyDescent="0.3">
      <c r="A224" s="125"/>
      <c r="F224" s="124"/>
      <c r="G224" s="124"/>
      <c r="L224" s="126"/>
    </row>
    <row r="225" spans="1:12" x14ac:dyDescent="0.3">
      <c r="A225" s="125"/>
      <c r="F225" s="124"/>
      <c r="G225" s="124"/>
      <c r="L225" s="126"/>
    </row>
    <row r="226" spans="1:12" x14ac:dyDescent="0.3">
      <c r="A226" s="125"/>
      <c r="F226" s="124"/>
      <c r="G226" s="124"/>
      <c r="L226" s="126"/>
    </row>
    <row r="227" spans="1:12" x14ac:dyDescent="0.3">
      <c r="A227" s="125"/>
      <c r="F227" s="124"/>
      <c r="G227" s="124"/>
      <c r="L227" s="126"/>
    </row>
    <row r="228" spans="1:12" x14ac:dyDescent="0.3">
      <c r="A228" s="125"/>
      <c r="F228" s="124"/>
      <c r="G228" s="124"/>
      <c r="L228" s="126"/>
    </row>
    <row r="229" spans="1:12" x14ac:dyDescent="0.3">
      <c r="A229" s="125"/>
      <c r="F229" s="124"/>
      <c r="G229" s="124"/>
      <c r="L229" s="126"/>
    </row>
    <row r="230" spans="1:12" x14ac:dyDescent="0.3">
      <c r="A230" s="125"/>
      <c r="F230" s="124"/>
      <c r="G230" s="124"/>
      <c r="L230" s="126"/>
    </row>
    <row r="231" spans="1:12" x14ac:dyDescent="0.3">
      <c r="A231" s="224"/>
      <c r="L231" s="222"/>
    </row>
    <row r="232" spans="1:12" x14ac:dyDescent="0.3">
      <c r="A232" s="224"/>
      <c r="L232" s="222"/>
    </row>
    <row r="233" spans="1:12" x14ac:dyDescent="0.3">
      <c r="A233" s="125"/>
      <c r="F233" s="124"/>
      <c r="G233" s="124"/>
      <c r="L233" s="126"/>
    </row>
    <row r="234" spans="1:12" x14ac:dyDescent="0.3">
      <c r="A234" s="125"/>
      <c r="F234" s="124"/>
      <c r="G234" s="124"/>
      <c r="L234" s="126"/>
    </row>
    <row r="235" spans="1:12" x14ac:dyDescent="0.3">
      <c r="A235" s="125"/>
      <c r="F235" s="124"/>
      <c r="G235" s="124"/>
      <c r="L235" s="126"/>
    </row>
    <row r="236" spans="1:12" x14ac:dyDescent="0.3">
      <c r="A236" s="125"/>
      <c r="F236" s="124"/>
      <c r="G236" s="124"/>
      <c r="L236" s="126"/>
    </row>
    <row r="237" spans="1:12" x14ac:dyDescent="0.3">
      <c r="A237" s="125"/>
    </row>
    <row r="238" spans="1:12" x14ac:dyDescent="0.3">
      <c r="A238" s="125"/>
    </row>
  </sheetData>
  <mergeCells count="377">
    <mergeCell ref="C8:D8"/>
    <mergeCell ref="E8:F8"/>
    <mergeCell ref="C9:F9"/>
    <mergeCell ref="M8:N8"/>
    <mergeCell ref="O8:P8"/>
    <mergeCell ref="M9:P9"/>
    <mergeCell ref="G10:H10"/>
    <mergeCell ref="M10:N10"/>
    <mergeCell ref="O10:P10"/>
    <mergeCell ref="Q10:R10"/>
    <mergeCell ref="S10:T10"/>
    <mergeCell ref="S7:T9"/>
    <mergeCell ref="U7:V9"/>
    <mergeCell ref="U10:V10"/>
    <mergeCell ref="A7:A11"/>
    <mergeCell ref="G7:H9"/>
    <mergeCell ref="M6:P6"/>
    <mergeCell ref="B2:P2"/>
    <mergeCell ref="B3:P3"/>
    <mergeCell ref="B4:P4"/>
    <mergeCell ref="B5:P5"/>
    <mergeCell ref="C7:F7"/>
    <mergeCell ref="I10:J10"/>
    <mergeCell ref="K10:L10"/>
    <mergeCell ref="M7:P7"/>
    <mergeCell ref="E10:F10"/>
    <mergeCell ref="C10:D10"/>
    <mergeCell ref="B7:B9"/>
    <mergeCell ref="B10:B11"/>
    <mergeCell ref="Q7:R9"/>
    <mergeCell ref="D68:D69"/>
    <mergeCell ref="E68:E69"/>
    <mergeCell ref="B12:B13"/>
    <mergeCell ref="B14:B15"/>
    <mergeCell ref="B36:B37"/>
    <mergeCell ref="B42:B43"/>
    <mergeCell ref="A42:A43"/>
    <mergeCell ref="A22:A23"/>
    <mergeCell ref="A12:A13"/>
    <mergeCell ref="A36:A37"/>
    <mergeCell ref="B22:B23"/>
    <mergeCell ref="C42:C43"/>
    <mergeCell ref="E42:E43"/>
    <mergeCell ref="D42:D43"/>
    <mergeCell ref="D56:D57"/>
    <mergeCell ref="C56:C57"/>
    <mergeCell ref="E63:E64"/>
    <mergeCell ref="D63:D64"/>
    <mergeCell ref="C63:C64"/>
    <mergeCell ref="I7:J9"/>
    <mergeCell ref="K7:L9"/>
    <mergeCell ref="B75:B76"/>
    <mergeCell ref="A49:A50"/>
    <mergeCell ref="A56:A57"/>
    <mergeCell ref="A63:A64"/>
    <mergeCell ref="A68:A69"/>
    <mergeCell ref="A75:A76"/>
    <mergeCell ref="A92:A93"/>
    <mergeCell ref="A107:A108"/>
    <mergeCell ref="B85:B86"/>
    <mergeCell ref="C36:C37"/>
    <mergeCell ref="E22:E23"/>
    <mergeCell ref="E36:E37"/>
    <mergeCell ref="D36:D37"/>
    <mergeCell ref="D22:D23"/>
    <mergeCell ref="L36:L37"/>
    <mergeCell ref="K36:K37"/>
    <mergeCell ref="J36:J37"/>
    <mergeCell ref="I36:I37"/>
    <mergeCell ref="H36:H37"/>
    <mergeCell ref="G36:G37"/>
    <mergeCell ref="K22:K23"/>
    <mergeCell ref="C22:C23"/>
    <mergeCell ref="L22:L23"/>
    <mergeCell ref="J22:J23"/>
    <mergeCell ref="I22:I23"/>
    <mergeCell ref="L231:L232"/>
    <mergeCell ref="L138:L140"/>
    <mergeCell ref="L147:L148"/>
    <mergeCell ref="L160:L161"/>
    <mergeCell ref="L166:L167"/>
    <mergeCell ref="L173:L174"/>
    <mergeCell ref="L180:L181"/>
    <mergeCell ref="L85:L86"/>
    <mergeCell ref="E75:E76"/>
    <mergeCell ref="K107:K108"/>
    <mergeCell ref="J107:J108"/>
    <mergeCell ref="I107:I108"/>
    <mergeCell ref="H107:H108"/>
    <mergeCell ref="G107:G108"/>
    <mergeCell ref="F107:F108"/>
    <mergeCell ref="E85:E86"/>
    <mergeCell ref="G92:G93"/>
    <mergeCell ref="L75:L76"/>
    <mergeCell ref="K75:K76"/>
    <mergeCell ref="J75:J76"/>
    <mergeCell ref="I75:I76"/>
    <mergeCell ref="H75:H76"/>
    <mergeCell ref="K85:K86"/>
    <mergeCell ref="J85:J86"/>
    <mergeCell ref="C85:C86"/>
    <mergeCell ref="C49:C50"/>
    <mergeCell ref="D49:D50"/>
    <mergeCell ref="E56:E57"/>
    <mergeCell ref="E49:E50"/>
    <mergeCell ref="A231:A232"/>
    <mergeCell ref="A138:A140"/>
    <mergeCell ref="A147:A148"/>
    <mergeCell ref="A160:A161"/>
    <mergeCell ref="A166:A167"/>
    <mergeCell ref="A173:A174"/>
    <mergeCell ref="A180:A181"/>
    <mergeCell ref="A187:A188"/>
    <mergeCell ref="A192:A193"/>
    <mergeCell ref="A199:A200"/>
    <mergeCell ref="A216:A217"/>
    <mergeCell ref="A209:A210"/>
    <mergeCell ref="A85:A86"/>
    <mergeCell ref="B92:B93"/>
    <mergeCell ref="B107:B108"/>
    <mergeCell ref="B49:B50"/>
    <mergeCell ref="B56:B57"/>
    <mergeCell ref="B63:B64"/>
    <mergeCell ref="B68:B69"/>
    <mergeCell ref="L187:L188"/>
    <mergeCell ref="L192:L193"/>
    <mergeCell ref="L199:L200"/>
    <mergeCell ref="L209:L210"/>
    <mergeCell ref="D85:D86"/>
    <mergeCell ref="E14:E15"/>
    <mergeCell ref="J14:J15"/>
    <mergeCell ref="I14:I15"/>
    <mergeCell ref="H14:H15"/>
    <mergeCell ref="G14:G15"/>
    <mergeCell ref="L92:L93"/>
    <mergeCell ref="K92:K93"/>
    <mergeCell ref="J92:J93"/>
    <mergeCell ref="I92:I93"/>
    <mergeCell ref="F85:F86"/>
    <mergeCell ref="F49:F50"/>
    <mergeCell ref="L49:L50"/>
    <mergeCell ref="K49:K50"/>
    <mergeCell ref="J49:J50"/>
    <mergeCell ref="F63:F64"/>
    <mergeCell ref="G49:G50"/>
    <mergeCell ref="I49:I50"/>
    <mergeCell ref="H49:H50"/>
    <mergeCell ref="H42:H43"/>
    <mergeCell ref="L216:L217"/>
    <mergeCell ref="D75:D76"/>
    <mergeCell ref="C68:C69"/>
    <mergeCell ref="L68:L69"/>
    <mergeCell ref="I68:I69"/>
    <mergeCell ref="I85:I86"/>
    <mergeCell ref="H85:H86"/>
    <mergeCell ref="G85:G86"/>
    <mergeCell ref="J63:J64"/>
    <mergeCell ref="I63:I64"/>
    <mergeCell ref="H63:H64"/>
    <mergeCell ref="G63:G64"/>
    <mergeCell ref="C75:C76"/>
    <mergeCell ref="G75:G76"/>
    <mergeCell ref="L107:L108"/>
    <mergeCell ref="D134:E134"/>
    <mergeCell ref="B132:E133"/>
    <mergeCell ref="D138:D140"/>
    <mergeCell ref="L132:L135"/>
    <mergeCell ref="G138:G140"/>
    <mergeCell ref="F138:F140"/>
    <mergeCell ref="E138:E140"/>
    <mergeCell ref="E92:E93"/>
    <mergeCell ref="D92:D93"/>
    <mergeCell ref="D14:D15"/>
    <mergeCell ref="C14:C15"/>
    <mergeCell ref="K138:K140"/>
    <mergeCell ref="E107:E108"/>
    <mergeCell ref="F132:G134"/>
    <mergeCell ref="H132:I134"/>
    <mergeCell ref="J132:K134"/>
    <mergeCell ref="A128:F130"/>
    <mergeCell ref="A132:A135"/>
    <mergeCell ref="C92:C93"/>
    <mergeCell ref="F92:F93"/>
    <mergeCell ref="D107:D108"/>
    <mergeCell ref="C107:C108"/>
    <mergeCell ref="H92:H93"/>
    <mergeCell ref="F75:F76"/>
    <mergeCell ref="K68:K69"/>
    <mergeCell ref="J68:J69"/>
    <mergeCell ref="H68:H69"/>
    <mergeCell ref="G68:G69"/>
    <mergeCell ref="F68:F69"/>
    <mergeCell ref="C138:C140"/>
    <mergeCell ref="G128:L130"/>
    <mergeCell ref="B138:B140"/>
    <mergeCell ref="B134:C134"/>
    <mergeCell ref="J138:J140"/>
    <mergeCell ref="I138:I140"/>
    <mergeCell ref="H138:H140"/>
    <mergeCell ref="M36:M37"/>
    <mergeCell ref="N36:N37"/>
    <mergeCell ref="M49:M50"/>
    <mergeCell ref="N49:N50"/>
    <mergeCell ref="M63:M64"/>
    <mergeCell ref="K14:K15"/>
    <mergeCell ref="L42:L43"/>
    <mergeCell ref="K42:K43"/>
    <mergeCell ref="J42:J43"/>
    <mergeCell ref="I42:I43"/>
    <mergeCell ref="F131:L131"/>
    <mergeCell ref="L14:L15"/>
    <mergeCell ref="L63:L64"/>
    <mergeCell ref="K63:K64"/>
    <mergeCell ref="F56:F57"/>
    <mergeCell ref="L56:L57"/>
    <mergeCell ref="K56:K57"/>
    <mergeCell ref="J56:J57"/>
    <mergeCell ref="I56:I57"/>
    <mergeCell ref="H56:H57"/>
    <mergeCell ref="G56:G57"/>
    <mergeCell ref="M42:M43"/>
    <mergeCell ref="N42:N43"/>
    <mergeCell ref="U14:U15"/>
    <mergeCell ref="V14:V15"/>
    <mergeCell ref="M22:M23"/>
    <mergeCell ref="N22:N23"/>
    <mergeCell ref="O22:O23"/>
    <mergeCell ref="P22:P23"/>
    <mergeCell ref="F14:F15"/>
    <mergeCell ref="F22:F23"/>
    <mergeCell ref="G42:G43"/>
    <mergeCell ref="F42:F43"/>
    <mergeCell ref="F36:F37"/>
    <mergeCell ref="H22:H23"/>
    <mergeCell ref="G22:G23"/>
    <mergeCell ref="S107:S108"/>
    <mergeCell ref="V68:V69"/>
    <mergeCell ref="V85:V86"/>
    <mergeCell ref="U68:U69"/>
    <mergeCell ref="V75:V76"/>
    <mergeCell ref="V92:V93"/>
    <mergeCell ref="U75:U76"/>
    <mergeCell ref="V22:V23"/>
    <mergeCell ref="O36:O37"/>
    <mergeCell ref="P36:P37"/>
    <mergeCell ref="Q36:Q37"/>
    <mergeCell ref="R36:R37"/>
    <mergeCell ref="S36:S37"/>
    <mergeCell ref="T36:T37"/>
    <mergeCell ref="U36:U37"/>
    <mergeCell ref="V36:V37"/>
    <mergeCell ref="Q22:Q23"/>
    <mergeCell ref="U22:U23"/>
    <mergeCell ref="R22:R23"/>
    <mergeCell ref="S22:S23"/>
    <mergeCell ref="T22:T23"/>
    <mergeCell ref="U107:U108"/>
    <mergeCell ref="V107:V108"/>
    <mergeCell ref="U92:U93"/>
    <mergeCell ref="M75:M76"/>
    <mergeCell ref="N75:N76"/>
    <mergeCell ref="O75:O76"/>
    <mergeCell ref="P75:P76"/>
    <mergeCell ref="Q75:Q76"/>
    <mergeCell ref="R75:R76"/>
    <mergeCell ref="S75:S76"/>
    <mergeCell ref="R68:R69"/>
    <mergeCell ref="S68:S69"/>
    <mergeCell ref="M68:M69"/>
    <mergeCell ref="N68:N69"/>
    <mergeCell ref="O68:O69"/>
    <mergeCell ref="P68:P69"/>
    <mergeCell ref="Q68:Q69"/>
    <mergeCell ref="W7:Y11"/>
    <mergeCell ref="C12:C13"/>
    <mergeCell ref="L12:L13"/>
    <mergeCell ref="K12:K13"/>
    <mergeCell ref="J12:J13"/>
    <mergeCell ref="I12:I13"/>
    <mergeCell ref="W14:Y15"/>
    <mergeCell ref="E12:E13"/>
    <mergeCell ref="D12:D13"/>
    <mergeCell ref="U12:U13"/>
    <mergeCell ref="G12:G13"/>
    <mergeCell ref="F12:F13"/>
    <mergeCell ref="V12:V13"/>
    <mergeCell ref="O14:O15"/>
    <mergeCell ref="P14:P15"/>
    <mergeCell ref="Q14:Q15"/>
    <mergeCell ref="R14:R15"/>
    <mergeCell ref="S14:S15"/>
    <mergeCell ref="T14:T15"/>
    <mergeCell ref="M14:M15"/>
    <mergeCell ref="N14:N15"/>
    <mergeCell ref="N12:N13"/>
    <mergeCell ref="H12:H13"/>
    <mergeCell ref="O12:O13"/>
    <mergeCell ref="P12:P13"/>
    <mergeCell ref="P42:P43"/>
    <mergeCell ref="Q42:Q43"/>
    <mergeCell ref="R42:R43"/>
    <mergeCell ref="S42:S43"/>
    <mergeCell ref="T42:T43"/>
    <mergeCell ref="W12:Y13"/>
    <mergeCell ref="T107:T108"/>
    <mergeCell ref="U85:U86"/>
    <mergeCell ref="S92:S93"/>
    <mergeCell ref="T92:T93"/>
    <mergeCell ref="W49:Y50"/>
    <mergeCell ref="V49:V50"/>
    <mergeCell ref="U42:U43"/>
    <mergeCell ref="V42:V43"/>
    <mergeCell ref="O42:O43"/>
    <mergeCell ref="W22:Y23"/>
    <mergeCell ref="W36:Y37"/>
    <mergeCell ref="W42:Y43"/>
    <mergeCell ref="U56:U57"/>
    <mergeCell ref="V63:V64"/>
    <mergeCell ref="T68:T69"/>
    <mergeCell ref="T75:T76"/>
    <mergeCell ref="R85:R86"/>
    <mergeCell ref="S85:S86"/>
    <mergeCell ref="T85:T86"/>
    <mergeCell ref="V56:V57"/>
    <mergeCell ref="O56:O57"/>
    <mergeCell ref="P56:P57"/>
    <mergeCell ref="Q56:Q57"/>
    <mergeCell ref="R56:R57"/>
    <mergeCell ref="S56:S57"/>
    <mergeCell ref="T56:T57"/>
    <mergeCell ref="S63:S64"/>
    <mergeCell ref="U63:U64"/>
    <mergeCell ref="T63:T64"/>
    <mergeCell ref="A14:A15"/>
    <mergeCell ref="M12:M13"/>
    <mergeCell ref="M56:M57"/>
    <mergeCell ref="N56:N57"/>
    <mergeCell ref="N63:N64"/>
    <mergeCell ref="O63:O64"/>
    <mergeCell ref="P63:P64"/>
    <mergeCell ref="Q63:Q64"/>
    <mergeCell ref="R63:R64"/>
    <mergeCell ref="O49:O50"/>
    <mergeCell ref="P49:P50"/>
    <mergeCell ref="Q49:Q50"/>
    <mergeCell ref="R49:R50"/>
    <mergeCell ref="S49:S50"/>
    <mergeCell ref="T49:T50"/>
    <mergeCell ref="U49:U50"/>
    <mergeCell ref="S12:S13"/>
    <mergeCell ref="T12:T13"/>
    <mergeCell ref="Q12:Q13"/>
    <mergeCell ref="R12:R13"/>
    <mergeCell ref="M107:M108"/>
    <mergeCell ref="W107:Y108"/>
    <mergeCell ref="W56:Y57"/>
    <mergeCell ref="W63:Y64"/>
    <mergeCell ref="W68:Y69"/>
    <mergeCell ref="W75:Y76"/>
    <mergeCell ref="W85:Y86"/>
    <mergeCell ref="W92:Y93"/>
    <mergeCell ref="M92:M93"/>
    <mergeCell ref="N92:N93"/>
    <mergeCell ref="O92:O93"/>
    <mergeCell ref="P92:P93"/>
    <mergeCell ref="Q92:Q93"/>
    <mergeCell ref="R92:R93"/>
    <mergeCell ref="N107:N108"/>
    <mergeCell ref="O107:O108"/>
    <mergeCell ref="P107:P108"/>
    <mergeCell ref="Q107:Q108"/>
    <mergeCell ref="R107:R108"/>
    <mergeCell ref="M85:M86"/>
    <mergeCell ref="N85:N86"/>
    <mergeCell ref="O85:O86"/>
    <mergeCell ref="P85:P86"/>
    <mergeCell ref="Q85:Q86"/>
  </mergeCells>
  <pageMargins left="0.7" right="0.7" top="0.75" bottom="0.75" header="0.3" footer="0.3"/>
  <pageSetup paperSize="9" orientation="portrait" horizontalDpi="200" verticalDpi="200" r:id="rId1"/>
  <ignoredErrors>
    <ignoredError sqref="B3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ListOfRegions</vt:lpstr>
      <vt:lpstr>Πίνακας2(α)Συνολικός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2015-05-06T09:29:52Z</cp:lastPrinted>
  <dcterms:created xsi:type="dcterms:W3CDTF">2015-04-23T05:14:58Z</dcterms:created>
  <dcterms:modified xsi:type="dcterms:W3CDTF">2025-06-11T10:09:07Z</dcterms:modified>
</cp:coreProperties>
</file>