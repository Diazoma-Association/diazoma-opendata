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98223479-3401-48F2-9CBA-78CC862BF8CD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D36" i="1"/>
  <c r="C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B17" i="1"/>
  <c r="C14" i="1"/>
  <c r="B80" i="1"/>
  <c r="B79" i="1"/>
  <c r="B78" i="1"/>
  <c r="B77" i="1"/>
  <c r="B72" i="1"/>
  <c r="B19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B24" i="1"/>
  <c r="C92" i="1"/>
  <c r="C85" i="1"/>
  <c r="B48" i="1"/>
  <c r="B47" i="1"/>
  <c r="B46" i="1"/>
  <c r="B45" i="1"/>
  <c r="B44" i="1"/>
  <c r="B95" i="1"/>
  <c r="B96" i="1"/>
  <c r="B97" i="1"/>
  <c r="B98" i="1"/>
  <c r="B99" i="1"/>
  <c r="B100" i="1"/>
  <c r="B101" i="1"/>
  <c r="B102" i="1"/>
  <c r="B103" i="1"/>
  <c r="B104" i="1"/>
  <c r="B105" i="1"/>
  <c r="B106" i="1"/>
  <c r="B94" i="1"/>
  <c r="B25" i="1"/>
  <c r="B26" i="1"/>
  <c r="B27" i="1"/>
  <c r="B28" i="1"/>
  <c r="B29" i="1"/>
  <c r="B30" i="1"/>
  <c r="B42" i="1" l="1"/>
  <c r="B22" i="1"/>
  <c r="B92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R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2" i="1"/>
  <c r="B112" i="1"/>
  <c r="B111" i="1"/>
  <c r="B110" i="1"/>
  <c r="B109" i="1"/>
  <c r="B91" i="1"/>
  <c r="B90" i="1"/>
  <c r="B89" i="1"/>
  <c r="B88" i="1"/>
  <c r="B87" i="1"/>
  <c r="B84" i="1"/>
  <c r="B83" i="1"/>
  <c r="B82" i="1"/>
  <c r="B81" i="1"/>
  <c r="B74" i="1"/>
  <c r="B73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1" i="1"/>
  <c r="B40" i="1"/>
  <c r="B39" i="1"/>
  <c r="B38" i="1"/>
  <c r="B35" i="1"/>
  <c r="B34" i="1"/>
  <c r="B33" i="1"/>
  <c r="B32" i="1"/>
  <c r="B21" i="1"/>
  <c r="B20" i="1"/>
  <c r="B18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B36" i="1" l="1"/>
  <c r="B75" i="1"/>
  <c r="B14" i="1"/>
  <c r="B85" i="1"/>
  <c r="B63" i="1"/>
  <c r="B56" i="1"/>
  <c r="B49" i="1"/>
  <c r="B107" i="1"/>
  <c r="B68" i="1"/>
  <c r="B31" i="1"/>
  <c r="R12" i="1"/>
  <c r="P12" i="1"/>
  <c r="N12" i="1"/>
  <c r="L12" i="1"/>
  <c r="J12" i="1"/>
  <c r="H12" i="1"/>
  <c r="F12" i="1"/>
  <c r="D12" i="1"/>
  <c r="Q12" i="1"/>
  <c r="O12" i="1"/>
  <c r="M12" i="1"/>
  <c r="K12" i="1"/>
  <c r="E12" i="1"/>
  <c r="C12" i="1"/>
  <c r="I12" i="1"/>
  <c r="G12" i="1"/>
  <c r="B12" i="1" l="1"/>
</calcChain>
</file>

<file path=xl/sharedStrings.xml><?xml version="1.0" encoding="utf-8"?>
<sst xmlns="http://schemas.openxmlformats.org/spreadsheetml/2006/main" count="962" uniqueCount="379">
  <si>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</si>
  <si>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</si>
  <si>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</si>
  <si>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</si>
  <si>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</si>
  <si>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</si>
  <si>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</si>
  <si>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</si>
  <si>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</si>
  <si>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</si>
  <si>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</si>
  <si>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</si>
  <si>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</si>
  <si>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</si>
  <si>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</si>
  <si>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</si>
  <si>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</si>
  <si>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</si>
  <si>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</si>
  <si>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</si>
  <si>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</si>
  <si>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</si>
  <si>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</si>
  <si>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</si>
  <si>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</si>
  <si>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</si>
  <si>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</si>
  <si>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</si>
  <si>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</si>
  <si>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</si>
  <si>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</si>
  <si>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</si>
  <si>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</si>
  <si>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</si>
  <si>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</si>
  <si>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</si>
  <si>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</si>
  <si>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</si>
  <si>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</si>
  <si>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</si>
  <si>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</si>
  <si>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</si>
  <si>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</si>
  <si>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</si>
  <si>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</si>
  <si>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</si>
  <si>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</si>
  <si>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</si>
  <si>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</si>
  <si>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</si>
  <si>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</si>
  <si>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</si>
  <si>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</si>
  <si>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</si>
  <si>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</si>
  <si>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</si>
  <si>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</si>
  <si>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</si>
  <si>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</si>
  <si>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</si>
  <si>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</si>
  <si>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</si>
  <si>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</si>
  <si>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</si>
  <si>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</si>
  <si>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</si>
  <si>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</si>
  <si>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</si>
  <si>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</si>
  <si>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</si>
  <si>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</si>
  <si>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</si>
  <si>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</si>
  <si>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</si>
  <si>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</si>
  <si>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</si>
  <si>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</si>
  <si>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</si>
  <si>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</si>
  <si>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</si>
  <si>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</si>
  <si>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</si>
  <si>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</si>
  <si>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</si>
  <si>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</si>
  <si>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</si>
  <si>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</si>
  <si>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</si>
  <si>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</si>
  <si>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</si>
  <si>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</si>
  <si>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</si>
  <si>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</si>
  <si>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</si>
  <si>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</si>
  <si>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</si>
  <si>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</si>
  <si>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</si>
  <si>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</si>
  <si>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</si>
  <si>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</si>
  <si>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</si>
  <si>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</si>
  <si>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</si>
  <si>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</si>
  <si>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</si>
  <si>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</si>
  <si>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</si>
  <si>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</si>
  <si>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</si>
  <si>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</si>
  <si>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</si>
  <si>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</si>
  <si>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</si>
  <si>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</si>
  <si>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</si>
  <si>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</si>
  <si>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</si>
  <si>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</si>
  <si>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</si>
  <si>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</si>
  <si>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</si>
  <si>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</si>
  <si>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</si>
  <si>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</si>
  <si>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</si>
  <si>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</si>
  <si>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</si>
  <si>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</si>
  <si>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</si>
  <si>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</si>
  <si>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</si>
  <si>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</si>
  <si>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</si>
  <si>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</si>
  <si>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</si>
  <si>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</si>
  <si>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</si>
  <si>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</si>
  <si>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</si>
  <si>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</si>
  <si>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</si>
  <si>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</si>
  <si>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</si>
  <si>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</si>
  <si>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</si>
  <si>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</si>
  <si>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</si>
  <si>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</si>
  <si>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</si>
  <si>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</si>
  <si>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</si>
  <si>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</si>
  <si>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</si>
  <si>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</si>
  <si>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</si>
  <si>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</si>
  <si>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</si>
  <si>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</si>
  <si>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</si>
  <si>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</si>
  <si>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</si>
  <si>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</si>
  <si>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</si>
  <si>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</si>
  <si>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</si>
  <si>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</si>
  <si>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</si>
  <si>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</si>
  <si>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</si>
  <si>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</si>
  <si>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</si>
  <si>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</si>
  <si>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</si>
  <si>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</si>
  <si>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</si>
  <si>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</si>
  <si>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</si>
  <si>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</si>
  <si>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</si>
  <si>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</si>
  <si>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</si>
  <si>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</si>
  <si>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</si>
  <si>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</si>
  <si>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</si>
  <si>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</si>
  <si>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</si>
  <si>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</si>
  <si>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</si>
  <si>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</si>
  <si>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</si>
  <si>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</si>
  <si>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</si>
  <si>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</si>
  <si>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</si>
  <si>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</si>
  <si>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</si>
  <si>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</si>
  <si>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</si>
  <si>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</si>
  <si>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</si>
  <si>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</si>
  <si>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</si>
  <si>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</si>
  <si>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</si>
  <si>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</si>
  <si>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</si>
  <si>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</si>
  <si>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</si>
  <si>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</si>
  <si>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</si>
  <si>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</si>
  <si>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</si>
  <si>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</si>
  <si>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</si>
  <si>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</si>
  <si>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</si>
  <si>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</si>
  <si>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</si>
  <si>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</si>
  <si>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</si>
  <si>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</si>
  <si>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</si>
  <si>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</si>
  <si>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</si>
  <si>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</si>
  <si>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</si>
  <si>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</si>
  <si>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</si>
  <si>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</si>
  <si>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</si>
  <si>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</si>
  <si>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</si>
  <si>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</si>
  <si>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</si>
  <si>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</si>
  <si>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</si>
  <si>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</si>
  <si>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</si>
  <si>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</si>
  <si>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</si>
  <si>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</si>
  <si>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</si>
  <si>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</si>
  <si>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</si>
  <si>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</si>
  <si>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</si>
  <si>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</si>
  <si>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</si>
  <si>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</si>
  <si>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</si>
  <si>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</si>
  <si>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</si>
  <si>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</si>
  <si>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</si>
  <si>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</si>
  <si>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</si>
  <si>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</si>
  <si>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</si>
  <si>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</si>
  <si>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</si>
  <si>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</si>
  <si>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</si>
  <si>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</si>
  <si>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</si>
  <si>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</si>
  <si>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</si>
  <si>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</si>
  <si>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</si>
  <si>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</si>
  <si>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</si>
  <si>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</si>
  <si>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</si>
  <si>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</si>
  <si>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</si>
  <si>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</si>
  <si>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</si>
  <si>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</si>
  <si>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</si>
  <si>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</si>
  <si>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</si>
  <si>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</si>
  <si>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</si>
  <si>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</si>
  <si>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</si>
  <si>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</si>
  <si>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</si>
  <si>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</si>
  <si>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</si>
  <si>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</si>
  <si>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</si>
  <si>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</si>
  <si>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</si>
  <si>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</si>
  <si>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</si>
  <si>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</si>
  <si>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</si>
  <si>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</si>
  <si>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</si>
  <si>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</si>
  <si>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</si>
  <si>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</si>
  <si>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</si>
  <si>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</si>
  <si>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</si>
  <si>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</si>
  <si>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</si>
  <si>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</si>
  <si>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</si>
  <si>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</si>
  <si>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</si>
  <si>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</si>
  <si>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</si>
  <si>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</si>
  <si>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</si>
  <si>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</si>
  <si>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</si>
  <si>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</si>
  <si>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</si>
  <si>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</si>
  <si>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</si>
  <si>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</si>
  <si>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</si>
  <si>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</si>
  <si>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</si>
  <si>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</si>
  <si>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</si>
  <si>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</si>
  <si>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</si>
  <si>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</si>
  <si>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</si>
  <si>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</si>
  <si>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</si>
  <si>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</si>
  <si>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</si>
  <si>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</si>
  <si>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</si>
  <si>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</si>
  <si>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</si>
  <si>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</si>
  <si>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</si>
  <si>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</si>
  <si>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</si>
  <si>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</si>
  <si>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</si>
  <si>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</si>
  <si>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</si>
  <si>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</si>
  <si>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</si>
  <si>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</si>
  <si>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</si>
  <si>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</si>
  <si>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</si>
  <si>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</si>
  <si>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</si>
  <si>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</si>
  <si>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</si>
  <si>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—</t>
  </si>
  <si>
    <t>Πίνακας 2β. Βρώσιμα όσπρια. Εκτάσεις και παραγωγή κατά Περιφέρεια και Περιφερειακή Ενότητα, 2023</t>
  </si>
  <si>
    <t>Table 2b. Edible pulses. Areas and production, by Region and Regional Unities, 2023</t>
  </si>
  <si>
    <t>Φασόλια</t>
  </si>
  <si>
    <t>Beans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</si>
  <si>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>(1)</t>
    </r>
  </si>
  <si>
    <t>without intercropping</t>
  </si>
  <si>
    <t xml:space="preserve">χωρίς συγκαλλιέργεια  </t>
  </si>
  <si>
    <r>
      <t>intercropped with maize and other crops</t>
    </r>
    <r>
      <rPr>
        <vertAlign val="superscript"/>
        <sz val="11"/>
        <color theme="1"/>
        <rFont val="Calibri"/>
        <family val="2"/>
        <charset val="161"/>
        <scheme val="minor"/>
      </rPr>
      <t>(1)</t>
    </r>
  </si>
  <si>
    <t>Κουκιά</t>
  </si>
  <si>
    <t>Broad beans</t>
  </si>
  <si>
    <t>Φακή</t>
  </si>
  <si>
    <t>Lentil</t>
  </si>
  <si>
    <t>Λαθούρι (Φάβα)</t>
  </si>
  <si>
    <t>Lathyrus</t>
  </si>
  <si>
    <t xml:space="preserve">Ρεβύθια
</t>
  </si>
  <si>
    <t>Chickpeas</t>
  </si>
  <si>
    <t>Μπιζέλια</t>
  </si>
  <si>
    <t>Peas</t>
  </si>
  <si>
    <t>Other edible pulse</t>
  </si>
  <si>
    <t>Λοιπά βρώσιμα όσπρια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</si>
</sst>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49" fontId="15" fillId="0" borderId="0" xfId="0" applyNumberFormat="1" applyFont="1" applyAlignment="1">
      <alignment horizontal="left" wrapText="1" indent="1"/>
    </xf>
    <xf numFmtId="0" fontId="15" fillId="0" borderId="0" xfId="0" applyFont="1"/>
    <xf numFmtId="49" fontId="15" fillId="0" borderId="0" xfId="0" applyNumberFormat="1" applyFont="1" applyAlignment="1">
      <alignment horizontal="left" indent="1"/>
    </xf>
    <xf numFmtId="49" fontId="15" fillId="0" borderId="0" xfId="0" applyNumberFormat="1" applyFont="1" applyAlignment="1">
      <alignment wrapText="1"/>
    </xf>
    <xf numFmtId="49" fontId="7" fillId="2" borderId="4" xfId="0" applyNumberFormat="1" applyFont="1" applyFill="1" applyBorder="1"/>
    <xf numFmtId="49" fontId="7" fillId="2" borderId="5" xfId="0" applyNumberFormat="1" applyFont="1" applyFill="1" applyBorder="1" applyAlignment="1">
      <alignment horizontal="left"/>
    </xf>
    <xf numFmtId="0" fontId="8" fillId="2" borderId="5" xfId="0" applyFont="1" applyFill="1" applyBorder="1"/>
    <xf numFmtId="49" fontId="9" fillId="2" borderId="0" xfId="0" applyNumberFormat="1" applyFont="1" applyFill="1" applyAlignment="1">
      <alignment horizontal="centerContinuous" vertical="center" wrapText="1"/>
    </xf>
    <xf numFmtId="49" fontId="9" fillId="2" borderId="5" xfId="0" applyNumberFormat="1" applyFont="1" applyFill="1" applyBorder="1" applyAlignment="1">
      <alignment vertical="center" textRotation="90"/>
    </xf>
    <xf numFmtId="0" fontId="8" fillId="2" borderId="6" xfId="0" applyFont="1" applyFill="1" applyBorder="1"/>
    <xf numFmtId="49" fontId="7" fillId="2" borderId="7" xfId="0" applyNumberFormat="1" applyFont="1" applyFill="1" applyBorder="1"/>
    <xf numFmtId="49" fontId="7" fillId="2" borderId="0" xfId="0" applyNumberFormat="1" applyFont="1" applyFill="1" applyAlignment="1">
      <alignment horizontal="left"/>
    </xf>
    <xf numFmtId="0" fontId="8" fillId="2" borderId="0" xfId="0" applyFont="1" applyFill="1"/>
    <xf numFmtId="49" fontId="9" fillId="2" borderId="0" xfId="0" applyNumberFormat="1" applyFont="1" applyFill="1" applyAlignment="1">
      <alignment vertical="center" textRotation="90"/>
    </xf>
    <xf numFmtId="0" fontId="8" fillId="2" borderId="8" xfId="0" applyFont="1" applyFill="1" applyBorder="1"/>
    <xf numFmtId="0" fontId="11" fillId="2" borderId="0" xfId="0" applyFont="1" applyFill="1"/>
    <xf numFmtId="49" fontId="7" fillId="8" borderId="7" xfId="0" applyNumberFormat="1" applyFont="1" applyFill="1" applyBorder="1"/>
    <xf numFmtId="49" fontId="7" fillId="8" borderId="0" xfId="0" applyNumberFormat="1" applyFont="1" applyFill="1" applyAlignment="1">
      <alignment horizontal="left"/>
    </xf>
    <xf numFmtId="0" fontId="8" fillId="8" borderId="0" xfId="0" applyFont="1" applyFill="1"/>
    <xf numFmtId="49" fontId="9" fillId="8" borderId="0" xfId="0" applyNumberFormat="1" applyFont="1" applyFill="1"/>
    <xf numFmtId="49" fontId="9" fillId="8" borderId="0" xfId="0" applyNumberFormat="1" applyFont="1" applyFill="1" applyAlignment="1">
      <alignment vertical="center" textRotation="90"/>
    </xf>
    <xf numFmtId="0" fontId="8" fillId="8" borderId="8" xfId="0" applyFont="1" applyFill="1" applyBorder="1"/>
    <xf numFmtId="49" fontId="7" fillId="8" borderId="0" xfId="0" applyNumberFormat="1" applyFont="1" applyFill="1"/>
    <xf numFmtId="49" fontId="9" fillId="8" borderId="0" xfId="0" applyNumberFormat="1" applyFont="1" applyFill="1" applyAlignment="1">
      <alignment horizontal="left"/>
    </xf>
    <xf numFmtId="49" fontId="10" fillId="8" borderId="0" xfId="0" applyNumberFormat="1" applyFont="1" applyFill="1"/>
    <xf numFmtId="49" fontId="7" fillId="4" borderId="7" xfId="0" applyNumberFormat="1" applyFont="1" applyFill="1" applyBorder="1"/>
    <xf numFmtId="49" fontId="7" fillId="4" borderId="0" xfId="0" applyNumberFormat="1" applyFont="1" applyFill="1"/>
    <xf numFmtId="0" fontId="8" fillId="4" borderId="0" xfId="0" applyFont="1" applyFill="1"/>
    <xf numFmtId="49" fontId="9" fillId="4" borderId="0" xfId="0" applyNumberFormat="1" applyFont="1" applyFill="1"/>
    <xf numFmtId="49" fontId="9" fillId="9" borderId="0" xfId="0" applyNumberFormat="1" applyFont="1" applyFill="1" applyAlignment="1">
      <alignment vertical="center" textRotation="90"/>
    </xf>
    <xf numFmtId="0" fontId="8" fillId="4" borderId="8" xfId="0" applyFont="1" applyFill="1" applyBorder="1"/>
    <xf numFmtId="49" fontId="10" fillId="4" borderId="0" xfId="0" applyNumberFormat="1" applyFont="1" applyFill="1"/>
    <xf numFmtId="49" fontId="7" fillId="4" borderId="9" xfId="0" applyNumberFormat="1" applyFont="1" applyFill="1" applyBorder="1"/>
    <xf numFmtId="49" fontId="7" fillId="4" borderId="1" xfId="0" applyNumberFormat="1" applyFont="1" applyFill="1" applyBorder="1"/>
    <xf numFmtId="0" fontId="8" fillId="4" borderId="1" xfId="0" applyFont="1" applyFill="1" applyBorder="1"/>
    <xf numFmtId="49" fontId="9" fillId="9" borderId="1" xfId="0" applyNumberFormat="1" applyFont="1" applyFill="1" applyBorder="1" applyAlignment="1">
      <alignment vertical="center" textRotation="90"/>
    </xf>
    <xf numFmtId="0" fontId="8" fillId="4" borderId="10" xfId="0" applyFont="1" applyFill="1" applyBorder="1"/>
    <xf numFmtId="49" fontId="7" fillId="10" borderId="4" xfId="0" applyNumberFormat="1" applyFont="1" applyFill="1" applyBorder="1"/>
    <xf numFmtId="49" fontId="7" fillId="10" borderId="5" xfId="0" applyNumberFormat="1" applyFont="1" applyFill="1" applyBorder="1"/>
    <xf numFmtId="0" fontId="8" fillId="10" borderId="5" xfId="0" applyFont="1" applyFill="1" applyBorder="1"/>
    <xf numFmtId="49" fontId="9" fillId="10" borderId="5" xfId="0" applyNumberFormat="1" applyFont="1" applyFill="1" applyBorder="1"/>
    <xf numFmtId="49" fontId="9" fillId="10" borderId="5" xfId="0" applyNumberFormat="1" applyFont="1" applyFill="1" applyBorder="1" applyAlignment="1">
      <alignment vertical="center" textRotation="90"/>
    </xf>
    <xf numFmtId="0" fontId="8" fillId="10" borderId="6" xfId="0" applyFont="1" applyFill="1" applyBorder="1"/>
    <xf numFmtId="49" fontId="7" fillId="10" borderId="7" xfId="0" applyNumberFormat="1" applyFont="1" applyFill="1" applyBorder="1"/>
    <xf numFmtId="49" fontId="7" fillId="10" borderId="0" xfId="0" applyNumberFormat="1" applyFont="1" applyFill="1"/>
    <xf numFmtId="0" fontId="8" fillId="10" borderId="0" xfId="0" applyFont="1" applyFill="1"/>
    <xf numFmtId="49" fontId="9" fillId="10" borderId="0" xfId="0" applyNumberFormat="1" applyFont="1" applyFill="1" applyAlignment="1">
      <alignment vertical="center" textRotation="90"/>
    </xf>
    <xf numFmtId="0" fontId="8" fillId="10" borderId="8" xfId="0" applyFont="1" applyFill="1" applyBorder="1"/>
    <xf numFmtId="49" fontId="10" fillId="10" borderId="0" xfId="0" applyNumberFormat="1" applyFont="1" applyFill="1"/>
    <xf numFmtId="49" fontId="7" fillId="5" borderId="7" xfId="0" applyNumberFormat="1" applyFont="1" applyFill="1" applyBorder="1"/>
    <xf numFmtId="49" fontId="7" fillId="5" borderId="0" xfId="0" applyNumberFormat="1" applyFont="1" applyFill="1"/>
    <xf numFmtId="0" fontId="8" fillId="5" borderId="0" xfId="0" applyFont="1" applyFill="1"/>
    <xf numFmtId="49" fontId="9" fillId="5" borderId="0" xfId="0" applyNumberFormat="1" applyFont="1" applyFill="1"/>
    <xf numFmtId="49" fontId="9" fillId="5" borderId="0" xfId="0" applyNumberFormat="1" applyFont="1" applyFill="1" applyAlignment="1">
      <alignment vertical="center" textRotation="90"/>
    </xf>
    <xf numFmtId="0" fontId="8" fillId="5" borderId="8" xfId="0" applyFont="1" applyFill="1" applyBorder="1"/>
    <xf numFmtId="49" fontId="10" fillId="5" borderId="0" xfId="0" applyNumberFormat="1" applyFont="1" applyFill="1"/>
    <xf numFmtId="49" fontId="7" fillId="5" borderId="9" xfId="0" applyNumberFormat="1" applyFont="1" applyFill="1" applyBorder="1"/>
    <xf numFmtId="49" fontId="7" fillId="5" borderId="1" xfId="0" applyNumberFormat="1" applyFont="1" applyFill="1" applyBorder="1"/>
    <xf numFmtId="0" fontId="8" fillId="5" borderId="1" xfId="0" applyFont="1" applyFill="1" applyBorder="1"/>
    <xf numFmtId="49" fontId="9" fillId="5" borderId="1" xfId="0" applyNumberFormat="1" applyFont="1" applyFill="1" applyBorder="1" applyAlignment="1">
      <alignment vertical="center" textRotation="90"/>
    </xf>
    <xf numFmtId="0" fontId="8" fillId="5" borderId="10" xfId="0" applyFont="1" applyFill="1" applyBorder="1"/>
    <xf numFmtId="49" fontId="7" fillId="6" borderId="4" xfId="0" applyNumberFormat="1" applyFont="1" applyFill="1" applyBorder="1"/>
    <xf numFmtId="49" fontId="7" fillId="6" borderId="5" xfId="0" applyNumberFormat="1" applyFont="1" applyFill="1" applyBorder="1"/>
    <xf numFmtId="0" fontId="8" fillId="6" borderId="5" xfId="0" applyFont="1" applyFill="1" applyBorder="1"/>
    <xf numFmtId="49" fontId="9" fillId="6" borderId="5" xfId="0" applyNumberFormat="1" applyFont="1" applyFill="1" applyBorder="1"/>
    <xf numFmtId="0" fontId="11" fillId="6" borderId="5" xfId="0" applyFont="1" applyFill="1" applyBorder="1"/>
    <xf numFmtId="49" fontId="9" fillId="6" borderId="5" xfId="0" applyNumberFormat="1" applyFont="1" applyFill="1" applyBorder="1" applyAlignment="1">
      <alignment vertical="center" textRotation="90"/>
    </xf>
    <xf numFmtId="0" fontId="11" fillId="6" borderId="6" xfId="0" applyFont="1" applyFill="1" applyBorder="1"/>
    <xf numFmtId="49" fontId="7" fillId="6" borderId="7" xfId="0" applyNumberFormat="1" applyFont="1" applyFill="1" applyBorder="1"/>
    <xf numFmtId="49" fontId="7" fillId="6" borderId="0" xfId="0" applyNumberFormat="1" applyFont="1" applyFill="1"/>
    <xf numFmtId="0" fontId="8" fillId="6" borderId="0" xfId="0" applyFont="1" applyFill="1"/>
    <xf numFmtId="49" fontId="9" fillId="6" borderId="0" xfId="0" applyNumberFormat="1" applyFont="1" applyFill="1" applyAlignment="1">
      <alignment vertical="center" textRotation="90"/>
    </xf>
    <xf numFmtId="0" fontId="8" fillId="6" borderId="8" xfId="0" applyFont="1" applyFill="1" applyBorder="1"/>
    <xf numFmtId="49" fontId="10" fillId="6" borderId="0" xfId="0" applyNumberFormat="1" applyFont="1" applyFill="1"/>
    <xf numFmtId="49" fontId="7" fillId="11" borderId="7" xfId="0" applyNumberFormat="1" applyFont="1" applyFill="1" applyBorder="1"/>
    <xf numFmtId="49" fontId="7" fillId="11" borderId="0" xfId="0" applyNumberFormat="1" applyFont="1" applyFill="1"/>
    <xf numFmtId="0" fontId="8" fillId="11" borderId="0" xfId="0" applyFont="1" applyFill="1"/>
    <xf numFmtId="49" fontId="9" fillId="11" borderId="0" xfId="0" applyNumberFormat="1" applyFont="1" applyFill="1"/>
    <xf numFmtId="49" fontId="9" fillId="11" borderId="0" xfId="0" applyNumberFormat="1" applyFont="1" applyFill="1" applyAlignment="1">
      <alignment vertical="center" textRotation="90"/>
    </xf>
    <xf numFmtId="0" fontId="8" fillId="11" borderId="8" xfId="0" applyFont="1" applyFill="1" applyBorder="1"/>
    <xf numFmtId="49" fontId="10" fillId="11" borderId="0" xfId="0" applyNumberFormat="1" applyFont="1" applyFill="1"/>
    <xf numFmtId="49" fontId="7" fillId="12" borderId="7" xfId="0" applyNumberFormat="1" applyFont="1" applyFill="1" applyBorder="1"/>
    <xf numFmtId="49" fontId="7" fillId="12" borderId="0" xfId="0" applyNumberFormat="1" applyFont="1" applyFill="1"/>
    <xf numFmtId="0" fontId="8" fillId="12" borderId="0" xfId="0" applyFont="1" applyFill="1"/>
    <xf numFmtId="49" fontId="9" fillId="12" borderId="0" xfId="0" applyNumberFormat="1" applyFont="1" applyFill="1"/>
    <xf numFmtId="0" fontId="11" fillId="12" borderId="0" xfId="0" applyFont="1" applyFill="1"/>
    <xf numFmtId="49" fontId="9" fillId="12" borderId="0" xfId="0" applyNumberFormat="1" applyFont="1" applyFill="1" applyAlignment="1">
      <alignment vertical="center" textRotation="90"/>
    </xf>
    <xf numFmtId="0" fontId="8" fillId="12" borderId="8" xfId="0" applyFont="1" applyFill="1" applyBorder="1"/>
    <xf numFmtId="49" fontId="7" fillId="12" borderId="9" xfId="0" applyNumberFormat="1" applyFont="1" applyFill="1" applyBorder="1"/>
    <xf numFmtId="49" fontId="7" fillId="12" borderId="1" xfId="0" applyNumberFormat="1" applyFont="1" applyFill="1" applyBorder="1"/>
    <xf numFmtId="0" fontId="8" fillId="12" borderId="1" xfId="0" applyFont="1" applyFill="1" applyBorder="1"/>
    <xf numFmtId="49" fontId="9" fillId="12" borderId="1" xfId="0" applyNumberFormat="1" applyFont="1" applyFill="1" applyBorder="1" applyAlignment="1">
      <alignment vertical="center" textRotation="90"/>
    </xf>
    <xf numFmtId="0" fontId="8" fillId="12" borderId="10" xfId="0" applyFont="1" applyFill="1" applyBorder="1"/>
    <xf numFmtId="0" fontId="12" fillId="6" borderId="5" xfId="0" applyFont="1" applyFill="1" applyBorder="1"/>
    <xf numFmtId="0" fontId="8" fillId="6" borderId="6" xfId="0" applyFont="1" applyFill="1" applyBorder="1"/>
    <xf numFmtId="0" fontId="11" fillId="6" borderId="0" xfId="0" applyFont="1" applyFill="1"/>
    <xf numFmtId="49" fontId="7" fillId="6" borderId="9" xfId="0" applyNumberFormat="1" applyFont="1" applyFill="1" applyBorder="1"/>
    <xf numFmtId="49" fontId="7" fillId="6" borderId="1" xfId="0" applyNumberFormat="1" applyFont="1" applyFill="1" applyBorder="1"/>
    <xf numFmtId="0" fontId="8" fillId="6" borderId="1" xfId="0" applyFont="1" applyFill="1" applyBorder="1"/>
    <xf numFmtId="0" fontId="8" fillId="6" borderId="10" xfId="0" applyFont="1" applyFill="1" applyBorder="1"/>
    <xf numFmtId="49" fontId="7" fillId="2" borderId="5" xfId="0" applyNumberFormat="1" applyFont="1" applyFill="1" applyBorder="1"/>
    <xf numFmtId="49" fontId="9" fillId="2" borderId="5" xfId="0" applyNumberFormat="1" applyFont="1" applyFill="1" applyBorder="1"/>
    <xf numFmtId="49" fontId="7" fillId="2" borderId="0" xfId="0" applyNumberFormat="1" applyFont="1" applyFill="1"/>
    <xf numFmtId="49" fontId="10" fillId="2" borderId="0" xfId="0" applyNumberFormat="1" applyFont="1" applyFill="1"/>
    <xf numFmtId="49" fontId="7" fillId="8" borderId="4" xfId="0" applyNumberFormat="1" applyFont="1" applyFill="1" applyBorder="1"/>
    <xf numFmtId="49" fontId="13" fillId="8" borderId="0" xfId="0" applyNumberFormat="1" applyFont="1" applyFill="1"/>
    <xf numFmtId="0" fontId="8" fillId="8" borderId="5" xfId="0" applyFont="1" applyFill="1" applyBorder="1"/>
    <xf numFmtId="49" fontId="9" fillId="8" borderId="5" xfId="0" applyNumberFormat="1" applyFont="1" applyFill="1" applyBorder="1"/>
    <xf numFmtId="49" fontId="7" fillId="8" borderId="5" xfId="0" applyNumberFormat="1" applyFont="1" applyFill="1" applyBorder="1"/>
    <xf numFmtId="0" fontId="8" fillId="8" borderId="6" xfId="0" applyFont="1" applyFill="1" applyBorder="1"/>
    <xf numFmtId="49" fontId="10" fillId="13" borderId="0" xfId="0" applyNumberFormat="1" applyFont="1" applyFill="1" applyAlignment="1">
      <alignment horizontal="left"/>
    </xf>
    <xf numFmtId="0" fontId="8" fillId="13" borderId="0" xfId="0" applyFont="1" applyFill="1" applyAlignment="1">
      <alignment horizontal="left"/>
    </xf>
    <xf numFmtId="49" fontId="14" fillId="13" borderId="0" xfId="0" applyNumberFormat="1" applyFont="1" applyFill="1" applyAlignment="1">
      <alignment horizontal="left"/>
    </xf>
    <xf numFmtId="49" fontId="7" fillId="8" borderId="9" xfId="0" applyNumberFormat="1" applyFont="1" applyFill="1" applyBorder="1"/>
    <xf numFmtId="0" fontId="8" fillId="8" borderId="1" xfId="0" applyFont="1" applyFill="1" applyBorder="1"/>
    <xf numFmtId="49" fontId="7" fillId="8" borderId="1" xfId="0" applyNumberFormat="1" applyFont="1" applyFill="1" applyBorder="1"/>
    <xf numFmtId="0" fontId="8" fillId="8" borderId="10" xfId="0" applyFont="1" applyFill="1" applyBorder="1"/>
    <xf numFmtId="49" fontId="7" fillId="2" borderId="11" xfId="0" applyNumberFormat="1" applyFont="1" applyFill="1" applyBorder="1"/>
    <xf numFmtId="49" fontId="13" fillId="14" borderId="12" xfId="0" applyNumberFormat="1" applyFont="1" applyFill="1" applyBorder="1"/>
    <xf numFmtId="0" fontId="8" fillId="2" borderId="13" xfId="0" applyFont="1" applyFill="1" applyBorder="1"/>
    <xf numFmtId="49" fontId="10" fillId="2" borderId="13" xfId="0" applyNumberFormat="1" applyFont="1" applyFill="1" applyBorder="1"/>
    <xf numFmtId="49" fontId="7" fillId="2" borderId="13" xfId="0" applyNumberFormat="1" applyFont="1" applyFill="1" applyBorder="1"/>
    <xf numFmtId="0" fontId="8" fillId="2" borderId="14" xfId="0" applyFont="1" applyFill="1" applyBorder="1"/>
    <xf numFmtId="0" fontId="17" fillId="0" borderId="0" xfId="0" applyFont="1" applyProtection="1">
      <protection locked="0"/>
    </xf>
    <xf numFmtId="0" fontId="18" fillId="0" borderId="0" xfId="0" applyFont="1" applyAlignment="1" applyProtection="1">
      <alignment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0" xfId="0" applyFont="1" applyAlignment="1" applyProtection="1">
      <alignment horizontal="center" vertical="top" wrapText="1"/>
      <protection locked="0"/>
    </xf>
    <xf numFmtId="0" fontId="2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49" fontId="19" fillId="0" borderId="0" xfId="0" applyNumberFormat="1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49" fontId="3" fillId="0" borderId="0" xfId="0" applyNumberFormat="1" applyFont="1" applyAlignment="1" applyProtection="1">
      <alignment horizontal="left" indent="1"/>
      <protection locked="0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Protection="1">
      <protection locked="0"/>
    </xf>
    <xf numFmtId="49" fontId="3" fillId="0" borderId="0" xfId="0" applyNumberFormat="1" applyFont="1" applyAlignment="1" applyProtection="1">
      <alignment wrapText="1"/>
      <protection locked="0"/>
    </xf>
    <xf numFmtId="49" fontId="3" fillId="0" borderId="0" xfId="0" applyNumberFormat="1" applyFont="1" applyProtection="1">
      <protection locked="0"/>
    </xf>
    <xf numFmtId="0" fontId="22" fillId="0" borderId="1" xfId="0" applyFont="1" applyBorder="1" applyAlignment="1" applyProtection="1">
      <alignment horizontal="right"/>
      <protection locked="0"/>
    </xf>
    <xf numFmtId="0" fontId="22" fillId="0" borderId="1" xfId="0" applyFont="1" applyBorder="1" applyProtection="1">
      <protection locked="0"/>
    </xf>
    <xf numFmtId="3" fontId="26" fillId="0" borderId="15" xfId="0" applyNumberFormat="1" applyFont="1" applyBorder="1" applyAlignment="1">
      <alignment horizontal="right" vertical="top"/>
    </xf>
    <xf numFmtId="3" fontId="26" fillId="0" borderId="0" xfId="0" applyNumberFormat="1" applyFont="1" applyAlignment="1">
      <alignment horizontal="right" vertical="top"/>
    </xf>
    <xf numFmtId="0" fontId="26" fillId="0" borderId="15" xfId="0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3" fontId="26" fillId="0" borderId="35" xfId="0" applyNumberFormat="1" applyFont="1" applyBorder="1" applyAlignment="1">
      <alignment horizontal="right" vertical="top"/>
    </xf>
    <xf numFmtId="3" fontId="26" fillId="0" borderId="18" xfId="0" applyNumberFormat="1" applyFont="1" applyBorder="1" applyAlignment="1">
      <alignment horizontal="right" vertical="top"/>
    </xf>
    <xf numFmtId="3" fontId="26" fillId="0" borderId="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2" fillId="0" borderId="0" xfId="0" applyNumberFormat="1" applyFont="1" applyAlignment="1" applyProtection="1">
      <alignment horizontal="left" wrapText="1"/>
      <protection locked="0"/>
    </xf>
    <xf numFmtId="0" fontId="23" fillId="0" borderId="0" xfId="0" applyFont="1" applyAlignment="1" applyProtection="1">
      <alignment horizontal="left" inden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0" fontId="2" fillId="0" borderId="0" xfId="0" applyFont="1" applyAlignment="1" applyProtection="1">
      <alignment horizontal="left" indent="1"/>
      <protection locked="0"/>
    </xf>
    <xf numFmtId="3" fontId="3" fillId="0" borderId="0" xfId="0" applyNumberFormat="1" applyFont="1" applyProtection="1">
      <protection locked="0"/>
    </xf>
    <xf numFmtId="3" fontId="19" fillId="16" borderId="15" xfId="0" applyNumberFormat="1" applyFont="1" applyFill="1" applyBorder="1" applyAlignment="1">
      <alignment vertical="center" wrapText="1"/>
    </xf>
    <xf numFmtId="3" fontId="19" fillId="16" borderId="0" xfId="0" applyNumberFormat="1" applyFont="1" applyFill="1" applyAlignment="1">
      <alignment vertical="center" wrapText="1"/>
    </xf>
    <xf numFmtId="3" fontId="19" fillId="16" borderId="8" xfId="0" applyNumberFormat="1" applyFont="1" applyFill="1" applyBorder="1" applyAlignment="1">
      <alignment vertical="center" wrapText="1"/>
    </xf>
    <xf numFmtId="3" fontId="23" fillId="16" borderId="7" xfId="0" applyNumberFormat="1" applyFont="1" applyFill="1" applyBorder="1" applyAlignment="1" applyProtection="1">
      <alignment horizontal="right" vertical="center"/>
      <protection locked="0"/>
    </xf>
    <xf numFmtId="3" fontId="19" fillId="16" borderId="31" xfId="0" applyNumberFormat="1" applyFont="1" applyFill="1" applyBorder="1" applyAlignment="1">
      <alignment vertical="center" wrapText="1"/>
    </xf>
    <xf numFmtId="3" fontId="23" fillId="16" borderId="19" xfId="0" applyNumberFormat="1" applyFont="1" applyFill="1" applyBorder="1" applyAlignment="1" applyProtection="1">
      <alignment horizontal="right" vertical="center"/>
      <protection locked="0"/>
    </xf>
    <xf numFmtId="49" fontId="9" fillId="15" borderId="5" xfId="0" applyNumberFormat="1" applyFont="1" applyFill="1" applyBorder="1" applyAlignment="1">
      <alignment horizontal="center" vertical="center" textRotation="90"/>
    </xf>
    <xf numFmtId="49" fontId="9" fillId="15" borderId="0" xfId="0" applyNumberFormat="1" applyFont="1" applyFill="1" applyAlignment="1">
      <alignment horizontal="center" vertical="center" textRotation="90"/>
    </xf>
    <xf numFmtId="49" fontId="9" fillId="15" borderId="1" xfId="0" applyNumberFormat="1" applyFont="1" applyFill="1" applyBorder="1" applyAlignment="1">
      <alignment horizontal="center" vertical="center" textRotation="90"/>
    </xf>
    <xf numFmtId="49" fontId="9" fillId="3" borderId="5" xfId="0" applyNumberFormat="1" applyFont="1" applyFill="1" applyBorder="1" applyAlignment="1">
      <alignment horizontal="center" vertical="center" textRotation="90" wrapText="1"/>
    </xf>
    <xf numFmtId="49" fontId="9" fillId="3" borderId="0" xfId="0" applyNumberFormat="1" applyFont="1" applyFill="1" applyAlignment="1">
      <alignment horizontal="center" vertical="center" textRotation="90" wrapText="1"/>
    </xf>
    <xf numFmtId="49" fontId="9" fillId="3" borderId="1" xfId="0" applyNumberFormat="1" applyFont="1" applyFill="1" applyBorder="1" applyAlignment="1">
      <alignment horizontal="center" vertical="center" textRotation="90" wrapText="1"/>
    </xf>
    <xf numFmtId="49" fontId="10" fillId="2" borderId="0" xfId="0" applyNumberFormat="1" applyFont="1" applyFill="1" applyAlignment="1">
      <alignment horizontal="left" vertical="center" wrapText="1"/>
    </xf>
    <xf numFmtId="49" fontId="9" fillId="2" borderId="5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Alignment="1">
      <alignment horizontal="center" vertical="center" textRotation="90" wrapText="1"/>
    </xf>
    <xf numFmtId="49" fontId="9" fillId="2" borderId="1" xfId="0" applyNumberFormat="1" applyFont="1" applyFill="1" applyBorder="1" applyAlignment="1">
      <alignment horizontal="center" vertical="center" textRotation="90" wrapText="1"/>
    </xf>
    <xf numFmtId="49" fontId="9" fillId="7" borderId="5" xfId="0" applyNumberFormat="1" applyFont="1" applyFill="1" applyBorder="1" applyAlignment="1">
      <alignment horizontal="center" vertical="center" textRotation="90" wrapText="1"/>
    </xf>
    <xf numFmtId="49" fontId="9" fillId="7" borderId="0" xfId="0" applyNumberFormat="1" applyFont="1" applyFill="1" applyAlignment="1">
      <alignment horizontal="center" vertical="center" textRotation="90" wrapText="1"/>
    </xf>
    <xf numFmtId="49" fontId="9" fillId="7" borderId="1" xfId="0" applyNumberFormat="1" applyFont="1" applyFill="1" applyBorder="1" applyAlignment="1">
      <alignment horizontal="center" vertical="center" textRotation="90" wrapText="1"/>
    </xf>
    <xf numFmtId="0" fontId="23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49" fontId="19" fillId="0" borderId="0" xfId="0" applyNumberFormat="1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3" fontId="19" fillId="16" borderId="0" xfId="0" applyNumberFormat="1" applyFont="1" applyFill="1" applyAlignment="1">
      <alignment horizontal="right" vertical="center"/>
    </xf>
    <xf numFmtId="3" fontId="19" fillId="16" borderId="15" xfId="0" applyNumberFormat="1" applyFont="1" applyFill="1" applyBorder="1" applyAlignment="1">
      <alignment horizontal="right" vertical="center"/>
    </xf>
    <xf numFmtId="3" fontId="19" fillId="16" borderId="16" xfId="0" applyNumberFormat="1" applyFont="1" applyFill="1" applyBorder="1" applyAlignment="1">
      <alignment horizontal="right" vertical="center"/>
    </xf>
    <xf numFmtId="3" fontId="19" fillId="16" borderId="8" xfId="0" applyNumberFormat="1" applyFont="1" applyFill="1" applyBorder="1" applyAlignment="1">
      <alignment horizontal="right" vertical="center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right"/>
      <protection locked="0"/>
    </xf>
    <xf numFmtId="3" fontId="19" fillId="16" borderId="31" xfId="0" applyNumberFormat="1" applyFont="1" applyFill="1" applyBorder="1" applyAlignment="1">
      <alignment horizontal="right" vertical="center"/>
    </xf>
    <xf numFmtId="0" fontId="22" fillId="0" borderId="1" xfId="0" applyFont="1" applyBorder="1" applyAlignment="1" applyProtection="1">
      <alignment horizontal="left"/>
      <protection locked="0"/>
    </xf>
    <xf numFmtId="3" fontId="19" fillId="16" borderId="24" xfId="0" applyNumberFormat="1" applyFont="1" applyFill="1" applyBorder="1" applyAlignment="1">
      <alignment horizontal="right" vertical="center"/>
    </xf>
    <xf numFmtId="3" fontId="19" fillId="16" borderId="7" xfId="0" applyNumberFormat="1" applyFont="1" applyFill="1" applyBorder="1" applyAlignment="1">
      <alignment horizontal="right" vertical="center"/>
    </xf>
    <xf numFmtId="3" fontId="19" fillId="16" borderId="26" xfId="0" applyNumberFormat="1" applyFont="1" applyFill="1" applyBorder="1" applyAlignment="1">
      <alignment horizontal="right" vertical="center"/>
    </xf>
    <xf numFmtId="49" fontId="19" fillId="0" borderId="26" xfId="0" applyNumberFormat="1" applyFont="1" applyBorder="1" applyAlignment="1" applyProtection="1">
      <alignment horizontal="left" vertical="center"/>
      <protection locked="0"/>
    </xf>
    <xf numFmtId="49" fontId="19" fillId="0" borderId="0" xfId="0" applyNumberFormat="1" applyFont="1" applyAlignment="1" applyProtection="1">
      <alignment horizontal="left" vertical="center"/>
      <protection locked="0"/>
    </xf>
    <xf numFmtId="3" fontId="19" fillId="16" borderId="25" xfId="0" applyNumberFormat="1" applyFont="1" applyFill="1" applyBorder="1" applyAlignment="1">
      <alignment horizontal="right" vertical="center"/>
    </xf>
    <xf numFmtId="0" fontId="23" fillId="0" borderId="1" xfId="0" applyFont="1" applyBorder="1" applyAlignment="1" applyProtection="1">
      <alignment horizontal="left"/>
      <protection locked="0"/>
    </xf>
    <xf numFmtId="0" fontId="23" fillId="0" borderId="20" xfId="0" applyFont="1" applyBorder="1" applyAlignment="1" applyProtection="1">
      <alignment horizontal="center" vertical="center" wrapText="1"/>
      <protection locked="0"/>
    </xf>
    <xf numFmtId="0" fontId="23" fillId="0" borderId="21" xfId="0" applyFont="1" applyBorder="1" applyAlignment="1" applyProtection="1">
      <alignment horizontal="center" vertical="center" wrapText="1"/>
      <protection locked="0"/>
    </xf>
    <xf numFmtId="0" fontId="23" fillId="0" borderId="17" xfId="0" applyFont="1" applyBorder="1" applyAlignment="1" applyProtection="1">
      <alignment horizontal="center" vertical="center" wrapText="1"/>
      <protection locked="0"/>
    </xf>
    <xf numFmtId="0" fontId="23" fillId="0" borderId="16" xfId="0" applyFont="1" applyBorder="1" applyAlignment="1" applyProtection="1">
      <alignment horizontal="center" vertical="center" wrapText="1"/>
      <protection locked="0"/>
    </xf>
    <xf numFmtId="0" fontId="23" fillId="0" borderId="22" xfId="0" applyFont="1" applyBorder="1" applyAlignment="1" applyProtection="1">
      <alignment horizontal="center" vertical="center" wrapText="1"/>
      <protection locked="0"/>
    </xf>
    <xf numFmtId="0" fontId="23" fillId="0" borderId="23" xfId="0" applyFont="1" applyBorder="1" applyAlignment="1" applyProtection="1">
      <alignment horizontal="center" vertical="center" wrapText="1"/>
      <protection locked="0"/>
    </xf>
    <xf numFmtId="0" fontId="20" fillId="0" borderId="26" xfId="0" applyFont="1" applyBorder="1" applyAlignment="1" applyProtection="1">
      <alignment vertical="center" wrapText="1"/>
      <protection locked="0"/>
    </xf>
    <xf numFmtId="0" fontId="20" fillId="0" borderId="0" xfId="0" applyFont="1" applyAlignment="1" applyProtection="1">
      <alignment vertical="center" wrapText="1"/>
      <protection locked="0"/>
    </xf>
    <xf numFmtId="3" fontId="19" fillId="16" borderId="34" xfId="0" applyNumberFormat="1" applyFont="1" applyFill="1" applyBorder="1" applyAlignment="1">
      <alignment horizontal="right" vertical="center"/>
    </xf>
    <xf numFmtId="0" fontId="23" fillId="0" borderId="28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0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0" fillId="0" borderId="32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20" fillId="0" borderId="27" xfId="0" applyFont="1" applyBorder="1" applyAlignment="1" applyProtection="1">
      <alignment horizontal="left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3" fillId="0" borderId="29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 applyProtection="1">
      <alignment horizontal="center" vertical="center" wrapText="1"/>
      <protection locked="0"/>
    </xf>
    <xf numFmtId="0" fontId="23" fillId="0" borderId="38" xfId="0" applyFont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23" fillId="0" borderId="41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M75"/>
  <sheetViews>
    <sheetView topLeftCell="A55" workbookViewId="0">
      <selection activeCell="A5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7" t="s">
        <v>109</v>
      </c>
      <c r="B1" s="8" t="s">
        <v>32</v>
      </c>
      <c r="C1" s="9"/>
      <c r="D1" s="10"/>
      <c r="E1" s="10"/>
      <c r="F1" s="10"/>
      <c r="G1" s="10"/>
      <c r="H1" s="172" t="s">
        <v>110</v>
      </c>
      <c r="I1" s="11"/>
      <c r="J1" s="9"/>
      <c r="K1" s="9"/>
      <c r="L1" s="9"/>
      <c r="M1" s="12"/>
    </row>
    <row r="2" spans="1:13" x14ac:dyDescent="0.3">
      <c r="A2" s="13" t="s">
        <v>111</v>
      </c>
      <c r="B2" s="14" t="s">
        <v>33</v>
      </c>
      <c r="C2" s="15"/>
      <c r="D2" s="15"/>
      <c r="E2" s="15"/>
      <c r="F2" s="15"/>
      <c r="G2" s="15"/>
      <c r="H2" s="173"/>
      <c r="I2" s="16"/>
      <c r="J2" s="15"/>
      <c r="K2" s="15"/>
      <c r="L2" s="15"/>
      <c r="M2" s="17"/>
    </row>
    <row r="3" spans="1:13" x14ac:dyDescent="0.3">
      <c r="A3" s="13" t="s">
        <v>112</v>
      </c>
      <c r="B3" s="14" t="s">
        <v>34</v>
      </c>
      <c r="C3" s="15"/>
      <c r="D3" s="175" t="s">
        <v>113</v>
      </c>
      <c r="E3" s="175"/>
      <c r="F3" s="175"/>
      <c r="G3" s="175"/>
      <c r="H3" s="173"/>
      <c r="I3" s="16"/>
      <c r="J3" s="15"/>
      <c r="K3" s="15"/>
      <c r="L3" s="15"/>
      <c r="M3" s="17"/>
    </row>
    <row r="4" spans="1:13" x14ac:dyDescent="0.3">
      <c r="A4" s="13" t="s">
        <v>114</v>
      </c>
      <c r="B4" s="14" t="s">
        <v>35</v>
      </c>
      <c r="C4" s="15"/>
      <c r="D4" s="18" t="s">
        <v>115</v>
      </c>
      <c r="E4" s="15"/>
      <c r="F4" s="15"/>
      <c r="G4" s="15"/>
      <c r="H4" s="173"/>
      <c r="I4" s="16"/>
      <c r="J4" s="15"/>
      <c r="K4" s="15"/>
      <c r="L4" s="15"/>
      <c r="M4" s="17"/>
    </row>
    <row r="5" spans="1:13" x14ac:dyDescent="0.3">
      <c r="A5" s="13" t="s">
        <v>116</v>
      </c>
      <c r="B5" s="14" t="s">
        <v>36</v>
      </c>
      <c r="C5" s="15"/>
      <c r="D5" s="15"/>
      <c r="E5" s="15"/>
      <c r="F5" s="15"/>
      <c r="G5" s="15"/>
      <c r="H5" s="173"/>
      <c r="I5" s="16"/>
      <c r="J5" s="15"/>
      <c r="K5" s="15"/>
      <c r="L5" s="15"/>
      <c r="M5" s="17"/>
    </row>
    <row r="6" spans="1:13" x14ac:dyDescent="0.3">
      <c r="A6" s="13" t="s">
        <v>117</v>
      </c>
      <c r="B6" s="14" t="s">
        <v>37</v>
      </c>
      <c r="C6" s="15"/>
      <c r="D6" s="15"/>
      <c r="E6" s="15"/>
      <c r="F6" s="15"/>
      <c r="G6" s="15"/>
      <c r="H6" s="173"/>
      <c r="I6" s="16"/>
      <c r="J6" s="15"/>
      <c r="K6" s="15"/>
      <c r="L6" s="15"/>
      <c r="M6" s="17"/>
    </row>
    <row r="7" spans="1:13" x14ac:dyDescent="0.3">
      <c r="A7" s="19" t="s">
        <v>118</v>
      </c>
      <c r="B7" s="20" t="s">
        <v>38</v>
      </c>
      <c r="C7" s="21"/>
      <c r="D7" s="22"/>
      <c r="E7" s="21"/>
      <c r="F7" s="21"/>
      <c r="G7" s="21"/>
      <c r="H7" s="173"/>
      <c r="I7" s="23"/>
      <c r="J7" s="21"/>
      <c r="K7" s="21"/>
      <c r="L7" s="21"/>
      <c r="M7" s="24"/>
    </row>
    <row r="8" spans="1:13" x14ac:dyDescent="0.3">
      <c r="A8" s="19" t="s">
        <v>119</v>
      </c>
      <c r="B8" s="25" t="s">
        <v>39</v>
      </c>
      <c r="C8" s="21"/>
      <c r="D8" s="21"/>
      <c r="E8" s="21"/>
      <c r="F8" s="21"/>
      <c r="G8" s="21"/>
      <c r="H8" s="173"/>
      <c r="I8" s="23"/>
      <c r="J8" s="25"/>
      <c r="K8" s="26"/>
      <c r="L8" s="21"/>
      <c r="M8" s="24"/>
    </row>
    <row r="9" spans="1:13" x14ac:dyDescent="0.3">
      <c r="A9" s="19" t="s">
        <v>120</v>
      </c>
      <c r="B9" s="25" t="s">
        <v>40</v>
      </c>
      <c r="C9" s="21"/>
      <c r="D9" s="21"/>
      <c r="E9" s="21"/>
      <c r="F9" s="21"/>
      <c r="G9" s="21"/>
      <c r="H9" s="173"/>
      <c r="I9" s="23"/>
      <c r="J9" s="21"/>
      <c r="K9" s="21"/>
      <c r="L9" s="21"/>
      <c r="M9" s="24"/>
    </row>
    <row r="10" spans="1:13" x14ac:dyDescent="0.3">
      <c r="A10" s="19" t="s">
        <v>121</v>
      </c>
      <c r="B10" s="25" t="s">
        <v>41</v>
      </c>
      <c r="C10" s="21"/>
      <c r="D10" s="21"/>
      <c r="E10" s="21"/>
      <c r="F10" s="21"/>
      <c r="G10" s="21"/>
      <c r="H10" s="173"/>
      <c r="I10" s="23"/>
      <c r="J10" s="21"/>
      <c r="K10" s="21"/>
      <c r="L10" s="21"/>
      <c r="M10" s="24"/>
    </row>
    <row r="11" spans="1:13" x14ac:dyDescent="0.3">
      <c r="A11" s="19" t="s">
        <v>122</v>
      </c>
      <c r="B11" s="25" t="s">
        <v>42</v>
      </c>
      <c r="C11" s="21"/>
      <c r="D11" s="27" t="s">
        <v>123</v>
      </c>
      <c r="E11" s="21"/>
      <c r="F11" s="21"/>
      <c r="G11" s="21"/>
      <c r="H11" s="173"/>
      <c r="I11" s="23"/>
      <c r="J11" s="21"/>
      <c r="K11" s="21"/>
      <c r="L11" s="21"/>
      <c r="M11" s="24"/>
    </row>
    <row r="12" spans="1:13" x14ac:dyDescent="0.3">
      <c r="A12" s="19" t="s">
        <v>124</v>
      </c>
      <c r="B12" s="25" t="s">
        <v>43</v>
      </c>
      <c r="C12" s="21"/>
      <c r="D12" s="21"/>
      <c r="E12" s="21"/>
      <c r="F12" s="21"/>
      <c r="G12" s="21"/>
      <c r="H12" s="173"/>
      <c r="I12" s="23"/>
      <c r="J12" s="21"/>
      <c r="K12" s="21"/>
      <c r="L12" s="21"/>
      <c r="M12" s="24"/>
    </row>
    <row r="13" spans="1:13" x14ac:dyDescent="0.3">
      <c r="A13" s="19" t="s">
        <v>125</v>
      </c>
      <c r="B13" s="25" t="s">
        <v>44</v>
      </c>
      <c r="C13" s="21"/>
      <c r="D13" s="21"/>
      <c r="E13" s="21"/>
      <c r="F13" s="21"/>
      <c r="G13" s="21"/>
      <c r="H13" s="173"/>
      <c r="I13" s="23"/>
      <c r="J13" s="21"/>
      <c r="K13" s="21"/>
      <c r="L13" s="21"/>
      <c r="M13" s="24"/>
    </row>
    <row r="14" spans="1:13" x14ac:dyDescent="0.3">
      <c r="A14" s="19" t="s">
        <v>126</v>
      </c>
      <c r="B14" s="25" t="s">
        <v>45</v>
      </c>
      <c r="C14" s="21"/>
      <c r="D14" s="21"/>
      <c r="E14" s="21"/>
      <c r="F14" s="21"/>
      <c r="G14" s="21"/>
      <c r="H14" s="173"/>
      <c r="I14" s="23"/>
      <c r="J14" s="21"/>
      <c r="K14" s="21"/>
      <c r="L14" s="21"/>
      <c r="M14" s="24"/>
    </row>
    <row r="15" spans="1:13" x14ac:dyDescent="0.3">
      <c r="A15" s="19" t="s">
        <v>127</v>
      </c>
      <c r="B15" s="25" t="s">
        <v>46</v>
      </c>
      <c r="C15" s="21"/>
      <c r="D15" s="21"/>
      <c r="E15" s="21"/>
      <c r="F15" s="21"/>
      <c r="G15" s="21"/>
      <c r="H15" s="173"/>
      <c r="I15" s="23"/>
      <c r="J15" s="21"/>
      <c r="K15" s="21"/>
      <c r="L15" s="21"/>
      <c r="M15" s="24"/>
    </row>
    <row r="16" spans="1:13" x14ac:dyDescent="0.3">
      <c r="A16" s="19" t="s">
        <v>128</v>
      </c>
      <c r="B16" s="25" t="s">
        <v>47</v>
      </c>
      <c r="C16" s="21"/>
      <c r="D16" s="21"/>
      <c r="E16" s="21"/>
      <c r="F16" s="21"/>
      <c r="G16" s="21"/>
      <c r="H16" s="173"/>
      <c r="I16" s="23"/>
      <c r="J16" s="21"/>
      <c r="K16" s="21"/>
      <c r="L16" s="21"/>
      <c r="M16" s="24"/>
    </row>
    <row r="17" spans="1:13" x14ac:dyDescent="0.3">
      <c r="A17" s="19" t="s">
        <v>129</v>
      </c>
      <c r="B17" s="25" t="s">
        <v>48</v>
      </c>
      <c r="C17" s="21"/>
      <c r="D17" s="21"/>
      <c r="E17" s="21"/>
      <c r="F17" s="21"/>
      <c r="G17" s="21"/>
      <c r="H17" s="173"/>
      <c r="I17" s="23"/>
      <c r="J17" s="21"/>
      <c r="K17" s="21"/>
      <c r="L17" s="21"/>
      <c r="M17" s="24"/>
    </row>
    <row r="18" spans="1:13" x14ac:dyDescent="0.3">
      <c r="A18" s="28" t="s">
        <v>130</v>
      </c>
      <c r="B18" s="29" t="s">
        <v>49</v>
      </c>
      <c r="C18" s="30"/>
      <c r="D18" s="31"/>
      <c r="E18" s="30"/>
      <c r="F18" s="30"/>
      <c r="G18" s="30"/>
      <c r="H18" s="173"/>
      <c r="I18" s="32"/>
      <c r="J18" s="29"/>
      <c r="K18" s="29"/>
      <c r="L18" s="30"/>
      <c r="M18" s="33"/>
    </row>
    <row r="19" spans="1:13" x14ac:dyDescent="0.3">
      <c r="A19" s="28" t="s">
        <v>131</v>
      </c>
      <c r="B19" s="29" t="s">
        <v>50</v>
      </c>
      <c r="C19" s="30"/>
      <c r="D19" s="30"/>
      <c r="E19" s="30"/>
      <c r="F19" s="30"/>
      <c r="G19" s="30"/>
      <c r="H19" s="173"/>
      <c r="I19" s="32"/>
      <c r="J19" s="29"/>
      <c r="K19" s="29"/>
      <c r="L19" s="30"/>
      <c r="M19" s="33"/>
    </row>
    <row r="20" spans="1:13" x14ac:dyDescent="0.3">
      <c r="A20" s="28" t="s">
        <v>132</v>
      </c>
      <c r="B20" s="29" t="s">
        <v>51</v>
      </c>
      <c r="C20" s="30"/>
      <c r="D20" s="34" t="s">
        <v>133</v>
      </c>
      <c r="E20" s="30"/>
      <c r="F20" s="30"/>
      <c r="G20" s="30"/>
      <c r="H20" s="173"/>
      <c r="I20" s="32"/>
      <c r="J20" s="29"/>
      <c r="K20" s="29"/>
      <c r="L20" s="30"/>
      <c r="M20" s="33"/>
    </row>
    <row r="21" spans="1:13" ht="15" thickBot="1" x14ac:dyDescent="0.35">
      <c r="A21" s="35" t="s">
        <v>134</v>
      </c>
      <c r="B21" s="36" t="s">
        <v>52</v>
      </c>
      <c r="C21" s="37"/>
      <c r="D21" s="37"/>
      <c r="E21" s="37"/>
      <c r="F21" s="37"/>
      <c r="G21" s="37"/>
      <c r="H21" s="174"/>
      <c r="I21" s="38"/>
      <c r="J21" s="36"/>
      <c r="K21" s="36"/>
      <c r="L21" s="37"/>
      <c r="M21" s="39"/>
    </row>
    <row r="22" spans="1:13" x14ac:dyDescent="0.3">
      <c r="A22" s="40" t="s">
        <v>135</v>
      </c>
      <c r="B22" s="41" t="s">
        <v>53</v>
      </c>
      <c r="C22" s="42"/>
      <c r="D22" s="43"/>
      <c r="E22" s="42"/>
      <c r="F22" s="42"/>
      <c r="G22" s="44"/>
      <c r="H22" s="176" t="s">
        <v>136</v>
      </c>
      <c r="I22" s="42"/>
      <c r="J22" s="41"/>
      <c r="K22" s="41"/>
      <c r="L22" s="42"/>
      <c r="M22" s="45"/>
    </row>
    <row r="23" spans="1:13" x14ac:dyDescent="0.3">
      <c r="A23" s="46" t="s">
        <v>137</v>
      </c>
      <c r="B23" s="47" t="s">
        <v>54</v>
      </c>
      <c r="C23" s="48"/>
      <c r="D23" s="48"/>
      <c r="E23" s="48"/>
      <c r="F23" s="48"/>
      <c r="G23" s="49"/>
      <c r="H23" s="177"/>
      <c r="I23" s="48"/>
      <c r="J23" s="47"/>
      <c r="K23" s="47"/>
      <c r="L23" s="48"/>
      <c r="M23" s="50"/>
    </row>
    <row r="24" spans="1:13" x14ac:dyDescent="0.3">
      <c r="A24" s="46" t="s">
        <v>138</v>
      </c>
      <c r="B24" s="47" t="s">
        <v>55</v>
      </c>
      <c r="C24" s="48"/>
      <c r="D24" s="51" t="s">
        <v>139</v>
      </c>
      <c r="E24" s="48"/>
      <c r="F24" s="48"/>
      <c r="G24" s="49"/>
      <c r="H24" s="177"/>
      <c r="I24" s="48"/>
      <c r="J24" s="47"/>
      <c r="K24" s="47"/>
      <c r="L24" s="48"/>
      <c r="M24" s="50"/>
    </row>
    <row r="25" spans="1:13" x14ac:dyDescent="0.3">
      <c r="A25" s="46" t="s">
        <v>140</v>
      </c>
      <c r="B25" s="47" t="s">
        <v>56</v>
      </c>
      <c r="C25" s="48"/>
      <c r="D25" s="48"/>
      <c r="E25" s="48"/>
      <c r="F25" s="48"/>
      <c r="G25" s="49"/>
      <c r="H25" s="177"/>
      <c r="I25" s="48"/>
      <c r="J25" s="47"/>
      <c r="K25" s="47"/>
      <c r="L25" s="48"/>
      <c r="M25" s="50"/>
    </row>
    <row r="26" spans="1:13" x14ac:dyDescent="0.3">
      <c r="A26" s="46" t="s">
        <v>141</v>
      </c>
      <c r="B26" s="47" t="s">
        <v>57</v>
      </c>
      <c r="C26" s="48"/>
      <c r="D26" s="48"/>
      <c r="E26" s="48"/>
      <c r="F26" s="48"/>
      <c r="G26" s="49"/>
      <c r="H26" s="177"/>
      <c r="I26" s="48"/>
      <c r="J26" s="47"/>
      <c r="K26" s="47"/>
      <c r="L26" s="48"/>
      <c r="M26" s="50"/>
    </row>
    <row r="27" spans="1:13" x14ac:dyDescent="0.3">
      <c r="A27" s="52" t="s">
        <v>142</v>
      </c>
      <c r="B27" s="53" t="s">
        <v>58</v>
      </c>
      <c r="C27" s="54"/>
      <c r="D27" s="55"/>
      <c r="E27" s="54"/>
      <c r="F27" s="54"/>
      <c r="G27" s="56"/>
      <c r="H27" s="177"/>
      <c r="I27" s="54"/>
      <c r="J27" s="53"/>
      <c r="K27" s="53"/>
      <c r="L27" s="54"/>
      <c r="M27" s="57"/>
    </row>
    <row r="28" spans="1:13" x14ac:dyDescent="0.3">
      <c r="A28" s="52" t="s">
        <v>143</v>
      </c>
      <c r="B28" s="53" t="s">
        <v>59</v>
      </c>
      <c r="C28" s="54"/>
      <c r="D28" s="54"/>
      <c r="E28" s="54"/>
      <c r="F28" s="54"/>
      <c r="G28" s="56"/>
      <c r="H28" s="177"/>
      <c r="I28" s="54"/>
      <c r="J28" s="53"/>
      <c r="K28" s="53"/>
      <c r="L28" s="54"/>
      <c r="M28" s="57"/>
    </row>
    <row r="29" spans="1:13" x14ac:dyDescent="0.3">
      <c r="A29" s="52" t="s">
        <v>144</v>
      </c>
      <c r="B29" s="53" t="s">
        <v>60</v>
      </c>
      <c r="C29" s="54"/>
      <c r="D29" s="58" t="s">
        <v>145</v>
      </c>
      <c r="E29" s="54"/>
      <c r="F29" s="54"/>
      <c r="G29" s="56"/>
      <c r="H29" s="177"/>
      <c r="I29" s="54"/>
      <c r="J29" s="53"/>
      <c r="K29" s="53"/>
      <c r="L29" s="54"/>
      <c r="M29" s="57"/>
    </row>
    <row r="30" spans="1:13" x14ac:dyDescent="0.3">
      <c r="A30" s="52" t="s">
        <v>146</v>
      </c>
      <c r="B30" s="53" t="s">
        <v>61</v>
      </c>
      <c r="C30" s="54"/>
      <c r="D30" s="54"/>
      <c r="E30" s="54"/>
      <c r="F30" s="54"/>
      <c r="G30" s="56"/>
      <c r="H30" s="177"/>
      <c r="I30" s="54"/>
      <c r="J30" s="53"/>
      <c r="K30" s="53"/>
      <c r="L30" s="54"/>
      <c r="M30" s="57"/>
    </row>
    <row r="31" spans="1:13" ht="15" thickBot="1" x14ac:dyDescent="0.35">
      <c r="A31" s="59" t="s">
        <v>147</v>
      </c>
      <c r="B31" s="60" t="s">
        <v>62</v>
      </c>
      <c r="C31" s="61"/>
      <c r="D31" s="61"/>
      <c r="E31" s="61"/>
      <c r="F31" s="61"/>
      <c r="G31" s="62"/>
      <c r="H31" s="178"/>
      <c r="I31" s="61"/>
      <c r="J31" s="60"/>
      <c r="K31" s="60"/>
      <c r="L31" s="61"/>
      <c r="M31" s="63"/>
    </row>
    <row r="32" spans="1:13" x14ac:dyDescent="0.3">
      <c r="A32" s="64" t="s">
        <v>148</v>
      </c>
      <c r="B32" s="65" t="s">
        <v>63</v>
      </c>
      <c r="C32" s="66"/>
      <c r="D32" s="67"/>
      <c r="E32" s="68"/>
      <c r="F32" s="68"/>
      <c r="G32" s="69"/>
      <c r="H32" s="179" t="s">
        <v>149</v>
      </c>
      <c r="I32" s="68"/>
      <c r="J32" s="67"/>
      <c r="K32" s="67"/>
      <c r="L32" s="68"/>
      <c r="M32" s="70"/>
    </row>
    <row r="33" spans="1:13" x14ac:dyDescent="0.3">
      <c r="A33" s="71" t="s">
        <v>150</v>
      </c>
      <c r="B33" s="72" t="s">
        <v>64</v>
      </c>
      <c r="C33" s="73"/>
      <c r="D33" s="73"/>
      <c r="E33" s="73"/>
      <c r="F33" s="73"/>
      <c r="G33" s="74"/>
      <c r="H33" s="180"/>
      <c r="I33" s="73"/>
      <c r="J33" s="72"/>
      <c r="K33" s="72"/>
      <c r="L33" s="73"/>
      <c r="M33" s="75"/>
    </row>
    <row r="34" spans="1:13" x14ac:dyDescent="0.3">
      <c r="A34" s="71" t="s">
        <v>151</v>
      </c>
      <c r="B34" s="72" t="s">
        <v>65</v>
      </c>
      <c r="C34" s="73"/>
      <c r="D34" s="76" t="s">
        <v>152</v>
      </c>
      <c r="E34" s="73"/>
      <c r="F34" s="73"/>
      <c r="G34" s="74"/>
      <c r="H34" s="180"/>
      <c r="I34" s="73"/>
      <c r="J34" s="72"/>
      <c r="K34" s="72"/>
      <c r="L34" s="73"/>
      <c r="M34" s="75"/>
    </row>
    <row r="35" spans="1:13" x14ac:dyDescent="0.3">
      <c r="A35" s="71" t="s">
        <v>153</v>
      </c>
      <c r="B35" s="72" t="s">
        <v>66</v>
      </c>
      <c r="C35" s="73"/>
      <c r="D35" s="73"/>
      <c r="E35" s="73"/>
      <c r="F35" s="73"/>
      <c r="G35" s="74"/>
      <c r="H35" s="180"/>
      <c r="I35" s="73"/>
      <c r="J35" s="72"/>
      <c r="K35" s="72"/>
      <c r="L35" s="73"/>
      <c r="M35" s="75"/>
    </row>
    <row r="36" spans="1:13" x14ac:dyDescent="0.3">
      <c r="A36" s="71" t="s">
        <v>154</v>
      </c>
      <c r="B36" s="72" t="s">
        <v>67</v>
      </c>
      <c r="C36" s="73"/>
      <c r="D36" s="73"/>
      <c r="E36" s="73"/>
      <c r="F36" s="73"/>
      <c r="G36" s="74"/>
      <c r="H36" s="180"/>
      <c r="I36" s="73"/>
      <c r="J36" s="72"/>
      <c r="K36" s="72"/>
      <c r="L36" s="73"/>
      <c r="M36" s="75"/>
    </row>
    <row r="37" spans="1:13" x14ac:dyDescent="0.3">
      <c r="A37" s="77" t="s">
        <v>155</v>
      </c>
      <c r="B37" s="78" t="s">
        <v>68</v>
      </c>
      <c r="C37" s="79"/>
      <c r="D37" s="80"/>
      <c r="E37" s="79"/>
      <c r="F37" s="79"/>
      <c r="G37" s="81"/>
      <c r="H37" s="180"/>
      <c r="I37" s="79"/>
      <c r="J37" s="78"/>
      <c r="K37" s="78"/>
      <c r="L37" s="79"/>
      <c r="M37" s="82"/>
    </row>
    <row r="38" spans="1:13" x14ac:dyDescent="0.3">
      <c r="A38" s="77" t="s">
        <v>156</v>
      </c>
      <c r="B38" s="78" t="s">
        <v>69</v>
      </c>
      <c r="C38" s="79"/>
      <c r="D38" s="83" t="s">
        <v>157</v>
      </c>
      <c r="E38" s="79"/>
      <c r="F38" s="79"/>
      <c r="G38" s="81"/>
      <c r="H38" s="180"/>
      <c r="I38" s="79"/>
      <c r="J38" s="78"/>
      <c r="K38" s="78"/>
      <c r="L38" s="79"/>
      <c r="M38" s="82"/>
    </row>
    <row r="39" spans="1:13" x14ac:dyDescent="0.3">
      <c r="A39" s="77" t="s">
        <v>158</v>
      </c>
      <c r="B39" s="78" t="s">
        <v>70</v>
      </c>
      <c r="C39" s="79"/>
      <c r="D39" s="79"/>
      <c r="E39" s="79"/>
      <c r="F39" s="79"/>
      <c r="G39" s="81"/>
      <c r="H39" s="180"/>
      <c r="I39" s="79"/>
      <c r="J39" s="78"/>
      <c r="K39" s="78"/>
      <c r="L39" s="79"/>
      <c r="M39" s="82"/>
    </row>
    <row r="40" spans="1:13" x14ac:dyDescent="0.3">
      <c r="A40" s="84" t="s">
        <v>159</v>
      </c>
      <c r="B40" s="85" t="s">
        <v>71</v>
      </c>
      <c r="C40" s="86"/>
      <c r="D40" s="87"/>
      <c r="E40" s="88"/>
      <c r="F40" s="88"/>
      <c r="G40" s="89"/>
      <c r="H40" s="180"/>
      <c r="I40" s="86"/>
      <c r="J40" s="85"/>
      <c r="K40" s="85"/>
      <c r="L40" s="86"/>
      <c r="M40" s="90"/>
    </row>
    <row r="41" spans="1:13" x14ac:dyDescent="0.3">
      <c r="A41" s="84" t="s">
        <v>160</v>
      </c>
      <c r="B41" s="85" t="s">
        <v>72</v>
      </c>
      <c r="C41" s="86"/>
      <c r="D41" s="86"/>
      <c r="E41" s="86"/>
      <c r="F41" s="86"/>
      <c r="G41" s="89"/>
      <c r="H41" s="180"/>
      <c r="I41" s="86"/>
      <c r="J41" s="85"/>
      <c r="K41" s="85"/>
      <c r="L41" s="86"/>
      <c r="M41" s="90"/>
    </row>
    <row r="42" spans="1:13" x14ac:dyDescent="0.3">
      <c r="A42" s="84" t="s">
        <v>161</v>
      </c>
      <c r="B42" s="85" t="s">
        <v>73</v>
      </c>
      <c r="C42" s="86"/>
      <c r="D42" s="87" t="s">
        <v>162</v>
      </c>
      <c r="E42" s="86"/>
      <c r="F42" s="86"/>
      <c r="G42" s="89"/>
      <c r="H42" s="180"/>
      <c r="I42" s="86"/>
      <c r="J42" s="85"/>
      <c r="K42" s="85"/>
      <c r="L42" s="86"/>
      <c r="M42" s="90"/>
    </row>
    <row r="43" spans="1:13" x14ac:dyDescent="0.3">
      <c r="A43" s="84" t="s">
        <v>163</v>
      </c>
      <c r="B43" s="85" t="s">
        <v>74</v>
      </c>
      <c r="C43" s="86"/>
      <c r="D43" s="86"/>
      <c r="E43" s="86"/>
      <c r="F43" s="86"/>
      <c r="G43" s="89"/>
      <c r="H43" s="180"/>
      <c r="I43" s="86"/>
      <c r="J43" s="85"/>
      <c r="K43" s="85"/>
      <c r="L43" s="86"/>
      <c r="M43" s="90"/>
    </row>
    <row r="44" spans="1:13" ht="15" thickBot="1" x14ac:dyDescent="0.35">
      <c r="A44" s="91" t="s">
        <v>164</v>
      </c>
      <c r="B44" s="92" t="s">
        <v>75</v>
      </c>
      <c r="C44" s="93"/>
      <c r="D44" s="93"/>
      <c r="E44" s="93"/>
      <c r="F44" s="93"/>
      <c r="G44" s="94"/>
      <c r="H44" s="181"/>
      <c r="I44" s="93"/>
      <c r="J44" s="92"/>
      <c r="K44" s="92"/>
      <c r="L44" s="93"/>
      <c r="M44" s="95"/>
    </row>
    <row r="45" spans="1:13" x14ac:dyDescent="0.3">
      <c r="A45" s="64" t="s">
        <v>165</v>
      </c>
      <c r="B45" s="65" t="s">
        <v>76</v>
      </c>
      <c r="C45" s="66"/>
      <c r="D45" s="66"/>
      <c r="E45" s="96"/>
      <c r="F45" s="66"/>
      <c r="G45" s="66"/>
      <c r="H45" s="172" t="s">
        <v>166</v>
      </c>
      <c r="I45" s="66"/>
      <c r="J45" s="65"/>
      <c r="K45" s="65"/>
      <c r="L45" s="66"/>
      <c r="M45" s="97"/>
    </row>
    <row r="46" spans="1:13" x14ac:dyDescent="0.3">
      <c r="A46" s="71" t="s">
        <v>167</v>
      </c>
      <c r="B46" s="72" t="s">
        <v>77</v>
      </c>
      <c r="C46" s="73"/>
      <c r="D46" s="73"/>
      <c r="E46" s="73"/>
      <c r="F46" s="73"/>
      <c r="G46" s="73"/>
      <c r="H46" s="173"/>
      <c r="I46" s="73"/>
      <c r="J46" s="72"/>
      <c r="K46" s="72"/>
      <c r="L46" s="73"/>
      <c r="M46" s="75"/>
    </row>
    <row r="47" spans="1:13" x14ac:dyDescent="0.3">
      <c r="A47" s="71" t="s">
        <v>168</v>
      </c>
      <c r="B47" s="72" t="s">
        <v>78</v>
      </c>
      <c r="C47" s="73"/>
      <c r="D47" s="73"/>
      <c r="E47" s="73"/>
      <c r="F47" s="73"/>
      <c r="G47" s="73"/>
      <c r="H47" s="173"/>
      <c r="I47" s="73"/>
      <c r="J47" s="72"/>
      <c r="K47" s="72"/>
      <c r="L47" s="73"/>
      <c r="M47" s="75"/>
    </row>
    <row r="48" spans="1:13" x14ac:dyDescent="0.3">
      <c r="A48" s="71" t="s">
        <v>169</v>
      </c>
      <c r="B48" s="72" t="s">
        <v>79</v>
      </c>
      <c r="C48" s="73"/>
      <c r="D48" s="73"/>
      <c r="E48" s="73"/>
      <c r="F48" s="73"/>
      <c r="G48" s="73"/>
      <c r="H48" s="173"/>
      <c r="I48" s="73"/>
      <c r="J48" s="72"/>
      <c r="K48" s="72"/>
      <c r="L48" s="73"/>
      <c r="M48" s="75"/>
    </row>
    <row r="49" spans="1:13" x14ac:dyDescent="0.3">
      <c r="A49" s="71" t="s">
        <v>170</v>
      </c>
      <c r="B49" s="72" t="s">
        <v>80</v>
      </c>
      <c r="C49" s="73"/>
      <c r="D49" s="73"/>
      <c r="E49" s="98" t="s">
        <v>171</v>
      </c>
      <c r="F49" s="73"/>
      <c r="G49" s="73"/>
      <c r="H49" s="173"/>
      <c r="I49" s="73"/>
      <c r="J49" s="72"/>
      <c r="K49" s="72"/>
      <c r="L49" s="73"/>
      <c r="M49" s="75"/>
    </row>
    <row r="50" spans="1:13" x14ac:dyDescent="0.3">
      <c r="A50" s="71" t="s">
        <v>172</v>
      </c>
      <c r="B50" s="72" t="s">
        <v>81</v>
      </c>
      <c r="C50" s="73"/>
      <c r="D50" s="73"/>
      <c r="E50" s="73"/>
      <c r="F50" s="73"/>
      <c r="G50" s="73"/>
      <c r="H50" s="173"/>
      <c r="I50" s="73"/>
      <c r="J50" s="72"/>
      <c r="K50" s="72"/>
      <c r="L50" s="73"/>
      <c r="M50" s="75"/>
    </row>
    <row r="51" spans="1:13" x14ac:dyDescent="0.3">
      <c r="A51" s="71" t="s">
        <v>173</v>
      </c>
      <c r="B51" s="72" t="s">
        <v>82</v>
      </c>
      <c r="C51" s="73"/>
      <c r="D51" s="73"/>
      <c r="E51" s="73"/>
      <c r="F51" s="73"/>
      <c r="G51" s="73"/>
      <c r="H51" s="173"/>
      <c r="I51" s="73"/>
      <c r="J51" s="72"/>
      <c r="K51" s="72"/>
      <c r="L51" s="73"/>
      <c r="M51" s="75"/>
    </row>
    <row r="52" spans="1:13" ht="15" thickBot="1" x14ac:dyDescent="0.35">
      <c r="A52" s="99" t="s">
        <v>174</v>
      </c>
      <c r="B52" s="100" t="s">
        <v>83</v>
      </c>
      <c r="C52" s="101"/>
      <c r="D52" s="101"/>
      <c r="E52" s="101"/>
      <c r="F52" s="101"/>
      <c r="G52" s="101"/>
      <c r="H52" s="174"/>
      <c r="I52" s="101"/>
      <c r="J52" s="100"/>
      <c r="K52" s="100"/>
      <c r="L52" s="101"/>
      <c r="M52" s="102"/>
    </row>
    <row r="53" spans="1:13" x14ac:dyDescent="0.3">
      <c r="A53" s="7" t="s">
        <v>175</v>
      </c>
      <c r="B53" s="103" t="s">
        <v>84</v>
      </c>
      <c r="C53" s="9"/>
      <c r="D53" s="104"/>
      <c r="E53" s="9"/>
      <c r="F53" s="9"/>
      <c r="G53" s="9"/>
      <c r="H53" s="169" t="s">
        <v>176</v>
      </c>
      <c r="I53" s="9"/>
      <c r="J53" s="103"/>
      <c r="K53" s="103"/>
      <c r="L53" s="9"/>
      <c r="M53" s="12"/>
    </row>
    <row r="54" spans="1:13" x14ac:dyDescent="0.3">
      <c r="A54" s="13" t="s">
        <v>177</v>
      </c>
      <c r="B54" s="105" t="s">
        <v>85</v>
      </c>
      <c r="C54" s="15"/>
      <c r="D54" s="15"/>
      <c r="E54" s="15"/>
      <c r="F54" s="15"/>
      <c r="G54" s="15"/>
      <c r="H54" s="170"/>
      <c r="I54" s="15"/>
      <c r="J54" s="105"/>
      <c r="K54" s="105"/>
      <c r="L54" s="15"/>
      <c r="M54" s="17"/>
    </row>
    <row r="55" spans="1:13" x14ac:dyDescent="0.3">
      <c r="A55" s="13" t="s">
        <v>178</v>
      </c>
      <c r="B55" s="105" t="s">
        <v>86</v>
      </c>
      <c r="C55" s="15"/>
      <c r="D55" s="106" t="s">
        <v>179</v>
      </c>
      <c r="E55" s="15"/>
      <c r="F55" s="15"/>
      <c r="G55" s="15"/>
      <c r="H55" s="170"/>
      <c r="I55" s="15"/>
      <c r="J55" s="105"/>
      <c r="K55" s="105"/>
      <c r="L55" s="15"/>
      <c r="M55" s="17"/>
    </row>
    <row r="56" spans="1:13" x14ac:dyDescent="0.3">
      <c r="A56" s="13" t="s">
        <v>180</v>
      </c>
      <c r="B56" s="105" t="s">
        <v>87</v>
      </c>
      <c r="C56" s="15"/>
      <c r="D56" s="15"/>
      <c r="E56" s="15"/>
      <c r="F56" s="15"/>
      <c r="G56" s="15"/>
      <c r="H56" s="170"/>
      <c r="I56" s="15"/>
      <c r="J56" s="105"/>
      <c r="K56" s="105"/>
      <c r="L56" s="15"/>
      <c r="M56" s="17"/>
    </row>
    <row r="57" spans="1:13" x14ac:dyDescent="0.3">
      <c r="A57" s="13" t="s">
        <v>181</v>
      </c>
      <c r="B57" s="105" t="s">
        <v>88</v>
      </c>
      <c r="C57" s="15"/>
      <c r="D57" s="15"/>
      <c r="E57" s="15"/>
      <c r="F57" s="15"/>
      <c r="G57" s="15"/>
      <c r="H57" s="170"/>
      <c r="I57" s="15"/>
      <c r="J57" s="105"/>
      <c r="K57" s="105"/>
      <c r="L57" s="15"/>
      <c r="M57" s="17"/>
    </row>
    <row r="58" spans="1:13" x14ac:dyDescent="0.3">
      <c r="A58" s="52" t="s">
        <v>182</v>
      </c>
      <c r="B58" s="53" t="s">
        <v>89</v>
      </c>
      <c r="C58" s="54"/>
      <c r="D58" s="55"/>
      <c r="E58" s="54"/>
      <c r="F58" s="54"/>
      <c r="G58" s="54"/>
      <c r="H58" s="170"/>
      <c r="I58" s="54"/>
      <c r="J58" s="53"/>
      <c r="K58" s="53"/>
      <c r="L58" s="54"/>
      <c r="M58" s="57"/>
    </row>
    <row r="59" spans="1:13" x14ac:dyDescent="0.3">
      <c r="A59" s="52" t="s">
        <v>183</v>
      </c>
      <c r="B59" s="53" t="s">
        <v>90</v>
      </c>
      <c r="C59" s="54"/>
      <c r="D59" s="54"/>
      <c r="E59" s="54"/>
      <c r="F59" s="54"/>
      <c r="G59" s="54"/>
      <c r="H59" s="170"/>
      <c r="I59" s="54"/>
      <c r="J59" s="53"/>
      <c r="K59" s="53"/>
      <c r="L59" s="54"/>
      <c r="M59" s="57"/>
    </row>
    <row r="60" spans="1:13" x14ac:dyDescent="0.3">
      <c r="A60" s="52" t="s">
        <v>184</v>
      </c>
      <c r="B60" s="53" t="s">
        <v>91</v>
      </c>
      <c r="C60" s="54"/>
      <c r="D60" s="54"/>
      <c r="E60" s="54"/>
      <c r="F60" s="54"/>
      <c r="G60" s="54"/>
      <c r="H60" s="170"/>
      <c r="I60" s="54"/>
      <c r="J60" s="53"/>
      <c r="K60" s="53"/>
      <c r="L60" s="54"/>
      <c r="M60" s="57"/>
    </row>
    <row r="61" spans="1:13" x14ac:dyDescent="0.3">
      <c r="A61" s="52" t="s">
        <v>185</v>
      </c>
      <c r="B61" s="53" t="s">
        <v>92</v>
      </c>
      <c r="C61" s="54"/>
      <c r="D61" s="54"/>
      <c r="E61" s="54"/>
      <c r="F61" s="54"/>
      <c r="G61" s="54"/>
      <c r="H61" s="170"/>
      <c r="I61" s="54"/>
      <c r="J61" s="53"/>
      <c r="K61" s="53"/>
      <c r="L61" s="54"/>
      <c r="M61" s="57"/>
    </row>
    <row r="62" spans="1:13" x14ac:dyDescent="0.3">
      <c r="A62" s="52" t="s">
        <v>186</v>
      </c>
      <c r="B62" s="53" t="s">
        <v>93</v>
      </c>
      <c r="C62" s="54"/>
      <c r="D62" s="54"/>
      <c r="E62" s="54"/>
      <c r="F62" s="54"/>
      <c r="G62" s="54"/>
      <c r="H62" s="170"/>
      <c r="I62" s="54"/>
      <c r="J62" s="53"/>
      <c r="K62" s="53"/>
      <c r="L62" s="54"/>
      <c r="M62" s="57"/>
    </row>
    <row r="63" spans="1:13" x14ac:dyDescent="0.3">
      <c r="A63" s="52" t="s">
        <v>187</v>
      </c>
      <c r="B63" s="53" t="s">
        <v>94</v>
      </c>
      <c r="C63" s="54"/>
      <c r="D63" s="58" t="s">
        <v>188</v>
      </c>
      <c r="E63" s="54"/>
      <c r="F63" s="54"/>
      <c r="G63" s="54"/>
      <c r="H63" s="170"/>
      <c r="I63" s="54"/>
      <c r="J63" s="53"/>
      <c r="K63" s="53"/>
      <c r="L63" s="54"/>
      <c r="M63" s="57"/>
    </row>
    <row r="64" spans="1:13" x14ac:dyDescent="0.3">
      <c r="A64" s="52" t="s">
        <v>189</v>
      </c>
      <c r="B64" s="53" t="s">
        <v>95</v>
      </c>
      <c r="C64" s="54"/>
      <c r="D64" s="54"/>
      <c r="E64" s="54"/>
      <c r="F64" s="54"/>
      <c r="G64" s="54"/>
      <c r="H64" s="170"/>
      <c r="I64" s="54"/>
      <c r="J64" s="53"/>
      <c r="K64" s="53"/>
      <c r="L64" s="54"/>
      <c r="M64" s="57"/>
    </row>
    <row r="65" spans="1:13" x14ac:dyDescent="0.3">
      <c r="A65" s="52" t="s">
        <v>190</v>
      </c>
      <c r="B65" s="53" t="s">
        <v>96</v>
      </c>
      <c r="C65" s="54"/>
      <c r="D65" s="54"/>
      <c r="E65" s="54"/>
      <c r="F65" s="54"/>
      <c r="G65" s="54"/>
      <c r="H65" s="170"/>
      <c r="I65" s="54"/>
      <c r="J65" s="53"/>
      <c r="K65" s="53"/>
      <c r="L65" s="54"/>
      <c r="M65" s="57"/>
    </row>
    <row r="66" spans="1:13" x14ac:dyDescent="0.3">
      <c r="A66" s="52" t="s">
        <v>191</v>
      </c>
      <c r="B66" s="53" t="s">
        <v>97</v>
      </c>
      <c r="C66" s="54"/>
      <c r="D66" s="54"/>
      <c r="E66" s="54"/>
      <c r="F66" s="54"/>
      <c r="G66" s="54"/>
      <c r="H66" s="170"/>
      <c r="I66" s="54"/>
      <c r="J66" s="53"/>
      <c r="K66" s="53"/>
      <c r="L66" s="54"/>
      <c r="M66" s="57"/>
    </row>
    <row r="67" spans="1:13" x14ac:dyDescent="0.3">
      <c r="A67" s="52" t="s">
        <v>192</v>
      </c>
      <c r="B67" s="53" t="s">
        <v>98</v>
      </c>
      <c r="C67" s="54"/>
      <c r="D67" s="54"/>
      <c r="E67" s="54"/>
      <c r="F67" s="54"/>
      <c r="G67" s="54"/>
      <c r="H67" s="170"/>
      <c r="I67" s="54"/>
      <c r="J67" s="53"/>
      <c r="K67" s="53"/>
      <c r="L67" s="54"/>
      <c r="M67" s="57"/>
    </row>
    <row r="68" spans="1:13" x14ac:dyDescent="0.3">
      <c r="A68" s="52" t="s">
        <v>193</v>
      </c>
      <c r="B68" s="53" t="s">
        <v>99</v>
      </c>
      <c r="C68" s="54"/>
      <c r="D68" s="54"/>
      <c r="E68" s="54"/>
      <c r="F68" s="54"/>
      <c r="G68" s="54"/>
      <c r="H68" s="170"/>
      <c r="I68" s="54"/>
      <c r="J68" s="53"/>
      <c r="K68" s="53"/>
      <c r="L68" s="54"/>
      <c r="M68" s="57"/>
    </row>
    <row r="69" spans="1:13" x14ac:dyDescent="0.3">
      <c r="A69" s="52" t="s">
        <v>194</v>
      </c>
      <c r="B69" s="53" t="s">
        <v>100</v>
      </c>
      <c r="C69" s="54"/>
      <c r="D69" s="54"/>
      <c r="E69" s="54"/>
      <c r="F69" s="54"/>
      <c r="G69" s="54"/>
      <c r="H69" s="170"/>
      <c r="I69" s="54"/>
      <c r="J69" s="53"/>
      <c r="K69" s="53"/>
      <c r="L69" s="54"/>
      <c r="M69" s="57"/>
    </row>
    <row r="70" spans="1:13" ht="15" thickBot="1" x14ac:dyDescent="0.35">
      <c r="A70" s="59" t="s">
        <v>195</v>
      </c>
      <c r="B70" s="60" t="s">
        <v>101</v>
      </c>
      <c r="C70" s="61"/>
      <c r="D70" s="61"/>
      <c r="E70" s="61"/>
      <c r="F70" s="61"/>
      <c r="G70" s="61"/>
      <c r="H70" s="171"/>
      <c r="I70" s="61"/>
      <c r="J70" s="60"/>
      <c r="K70" s="60"/>
      <c r="L70" s="61"/>
      <c r="M70" s="63"/>
    </row>
    <row r="71" spans="1:13" x14ac:dyDescent="0.3">
      <c r="A71" s="107" t="s">
        <v>196</v>
      </c>
      <c r="B71" s="108" t="s">
        <v>102</v>
      </c>
      <c r="C71" s="109"/>
      <c r="D71" s="110"/>
      <c r="E71" s="109"/>
      <c r="F71" s="109"/>
      <c r="G71" s="21"/>
      <c r="H71" s="109"/>
      <c r="I71" s="109"/>
      <c r="J71" s="111"/>
      <c r="K71" s="111"/>
      <c r="L71" s="109"/>
      <c r="M71" s="112"/>
    </row>
    <row r="72" spans="1:13" x14ac:dyDescent="0.3">
      <c r="A72" s="19" t="s">
        <v>197</v>
      </c>
      <c r="B72" s="108" t="s">
        <v>103</v>
      </c>
      <c r="C72" s="21"/>
      <c r="D72" s="21"/>
      <c r="E72" s="21"/>
      <c r="F72" s="21"/>
      <c r="G72" s="21"/>
      <c r="H72" s="113" t="s">
        <v>198</v>
      </c>
      <c r="I72" s="114"/>
      <c r="J72" s="115"/>
      <c r="K72" s="115"/>
      <c r="L72" s="21"/>
      <c r="M72" s="24"/>
    </row>
    <row r="73" spans="1:13" x14ac:dyDescent="0.3">
      <c r="A73" s="19" t="s">
        <v>199</v>
      </c>
      <c r="B73" s="108" t="s">
        <v>104</v>
      </c>
      <c r="C73" s="21"/>
      <c r="D73" s="27" t="s">
        <v>200</v>
      </c>
      <c r="E73" s="21"/>
      <c r="F73" s="26"/>
      <c r="G73" s="21"/>
      <c r="H73" s="21"/>
      <c r="I73" s="21"/>
      <c r="J73" s="25"/>
      <c r="K73" s="25"/>
      <c r="L73" s="21"/>
      <c r="M73" s="24"/>
    </row>
    <row r="74" spans="1:13" ht="15" thickBot="1" x14ac:dyDescent="0.35">
      <c r="A74" s="116" t="s">
        <v>201</v>
      </c>
      <c r="B74" s="108" t="s">
        <v>105</v>
      </c>
      <c r="C74" s="117"/>
      <c r="D74" s="117"/>
      <c r="E74" s="117"/>
      <c r="F74" s="117"/>
      <c r="G74" s="117"/>
      <c r="H74" s="117"/>
      <c r="I74" s="117"/>
      <c r="J74" s="118"/>
      <c r="K74" s="118"/>
      <c r="L74" s="117"/>
      <c r="M74" s="119"/>
    </row>
    <row r="75" spans="1:13" ht="15" thickBot="1" x14ac:dyDescent="0.35">
      <c r="A75" s="120" t="s">
        <v>202</v>
      </c>
      <c r="B75" s="121" t="s">
        <v>203</v>
      </c>
      <c r="C75" s="122"/>
      <c r="D75" s="123" t="s">
        <v>204</v>
      </c>
      <c r="E75" s="122"/>
      <c r="F75" s="122"/>
      <c r="G75" s="122"/>
      <c r="H75" s="122"/>
      <c r="I75" s="122"/>
      <c r="J75" s="124"/>
      <c r="K75" s="124"/>
      <c r="L75" s="122"/>
      <c r="M75" s="125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2"/>
  <dimension ref="A2:W121"/>
  <sheetViews>
    <sheetView showGridLines="0" tabSelected="1" zoomScaleNormal="100" workbookViewId="0">
      <selection activeCell="Q22" sqref="Q22:Q23"/>
    </sheetView>
  </sheetViews>
  <sheetFormatPr defaultRowHeight="13.8" x14ac:dyDescent="0.3"/>
  <cols>
    <col min="1" max="1" width="43.109375" style="126" customWidth="1"/>
    <col min="2" max="2" width="10.77734375" style="126" customWidth="1"/>
    <col min="3" max="3" width="7.33203125" style="126" customWidth="1"/>
    <col min="4" max="4" width="7.21875" style="126" customWidth="1"/>
    <col min="5" max="5" width="9.77734375" style="126" customWidth="1"/>
    <col min="6" max="6" width="9.33203125" style="126" customWidth="1"/>
    <col min="7" max="7" width="7.88671875" style="126" customWidth="1"/>
    <col min="8" max="9" width="7.44140625" style="126" customWidth="1"/>
    <col min="10" max="10" width="7.33203125" style="126" customWidth="1"/>
    <col min="11" max="11" width="7.5546875" style="126" bestFit="1" customWidth="1"/>
    <col min="12" max="12" width="7.88671875" style="126" customWidth="1"/>
    <col min="13" max="13" width="7.5546875" style="126" bestFit="1" customWidth="1"/>
    <col min="14" max="14" width="7.6640625" style="126" customWidth="1"/>
    <col min="15" max="16" width="6.44140625" style="126" customWidth="1"/>
    <col min="17" max="17" width="9" style="126" customWidth="1"/>
    <col min="18" max="18" width="8.77734375" style="126" customWidth="1"/>
    <col min="19" max="19" width="9.6640625" style="126" customWidth="1"/>
    <col min="20" max="20" width="15.109375" style="126" customWidth="1"/>
    <col min="21" max="21" width="13" style="126" customWidth="1"/>
    <col min="22" max="22" width="6.44140625" style="126" customWidth="1"/>
    <col min="23" max="16384" width="8.88671875" style="126"/>
  </cols>
  <sheetData>
    <row r="2" spans="1:23" ht="18" x14ac:dyDescent="0.35">
      <c r="B2" s="183" t="s">
        <v>0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27"/>
      <c r="T2" s="127"/>
      <c r="U2" s="127"/>
    </row>
    <row r="3" spans="1:23" ht="18" x14ac:dyDescent="0.3">
      <c r="B3" s="184" t="s">
        <v>359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28"/>
      <c r="T3" s="128"/>
      <c r="U3" s="128"/>
    </row>
    <row r="4" spans="1:23" ht="18" x14ac:dyDescent="0.35">
      <c r="A4" s="129"/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29"/>
      <c r="T4" s="182"/>
      <c r="U4" s="182"/>
    </row>
    <row r="5" spans="1:23" ht="18" x14ac:dyDescent="0.3">
      <c r="A5" s="129"/>
      <c r="B5" s="184" t="s">
        <v>360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29"/>
      <c r="T5" s="182"/>
      <c r="U5" s="182"/>
    </row>
    <row r="6" spans="1:23" s="131" customFormat="1" ht="15" thickBot="1" x14ac:dyDescent="0.35">
      <c r="A6" s="199" t="s">
        <v>2</v>
      </c>
      <c r="B6" s="199"/>
      <c r="C6" s="199"/>
      <c r="D6" s="199"/>
      <c r="E6" s="199"/>
      <c r="F6" s="199"/>
      <c r="G6" s="130"/>
      <c r="H6" s="130"/>
      <c r="I6" s="130"/>
      <c r="J6" s="130"/>
      <c r="K6" s="130"/>
      <c r="L6" s="130"/>
      <c r="M6" s="206"/>
      <c r="N6" s="206"/>
      <c r="O6" s="206"/>
      <c r="P6" s="206"/>
      <c r="Q6" s="148"/>
      <c r="R6" s="148"/>
      <c r="S6" s="148"/>
      <c r="T6" s="148"/>
      <c r="U6" s="147" t="s">
        <v>353</v>
      </c>
    </row>
    <row r="7" spans="1:23" s="131" customFormat="1" ht="14.4" customHeight="1" x14ac:dyDescent="0.3">
      <c r="A7" s="217" t="s">
        <v>352</v>
      </c>
      <c r="B7" s="220" t="s">
        <v>31</v>
      </c>
      <c r="C7" s="239" t="s">
        <v>361</v>
      </c>
      <c r="D7" s="240"/>
      <c r="E7" s="240"/>
      <c r="F7" s="241"/>
      <c r="G7" s="207" t="s">
        <v>367</v>
      </c>
      <c r="H7" s="208"/>
      <c r="I7" s="207" t="s">
        <v>369</v>
      </c>
      <c r="J7" s="208"/>
      <c r="K7" s="207" t="s">
        <v>371</v>
      </c>
      <c r="L7" s="208"/>
      <c r="M7" s="207" t="s">
        <v>373</v>
      </c>
      <c r="N7" s="208"/>
      <c r="O7" s="207" t="s">
        <v>375</v>
      </c>
      <c r="P7" s="208"/>
      <c r="Q7" s="207" t="s">
        <v>378</v>
      </c>
      <c r="R7" s="225"/>
      <c r="S7" s="223" t="s">
        <v>3</v>
      </c>
      <c r="T7" s="223"/>
      <c r="U7" s="223"/>
    </row>
    <row r="8" spans="1:23" s="131" customFormat="1" ht="35.4" customHeight="1" x14ac:dyDescent="0.3">
      <c r="A8" s="218"/>
      <c r="B8" s="221"/>
      <c r="C8" s="216" t="s">
        <v>365</v>
      </c>
      <c r="D8" s="242"/>
      <c r="E8" s="211" t="s">
        <v>363</v>
      </c>
      <c r="F8" s="212"/>
      <c r="G8" s="209"/>
      <c r="H8" s="210"/>
      <c r="I8" s="209"/>
      <c r="J8" s="210"/>
      <c r="K8" s="209"/>
      <c r="L8" s="210"/>
      <c r="M8" s="209"/>
      <c r="N8" s="210"/>
      <c r="O8" s="209"/>
      <c r="P8" s="210"/>
      <c r="Q8" s="209"/>
      <c r="R8" s="226"/>
      <c r="S8" s="188"/>
      <c r="T8" s="188"/>
      <c r="U8" s="188"/>
    </row>
    <row r="9" spans="1:23" s="131" customFormat="1" ht="14.4" x14ac:dyDescent="0.3">
      <c r="A9" s="218"/>
      <c r="B9" s="221"/>
      <c r="C9" s="243" t="s">
        <v>362</v>
      </c>
      <c r="D9" s="247"/>
      <c r="E9" s="247"/>
      <c r="F9" s="244"/>
      <c r="G9" s="211"/>
      <c r="H9" s="212"/>
      <c r="I9" s="211"/>
      <c r="J9" s="212"/>
      <c r="K9" s="211"/>
      <c r="L9" s="212"/>
      <c r="M9" s="211"/>
      <c r="N9" s="212"/>
      <c r="O9" s="211"/>
      <c r="P9" s="212"/>
      <c r="Q9" s="211"/>
      <c r="R9" s="227"/>
      <c r="S9" s="188"/>
      <c r="T9" s="188"/>
      <c r="U9" s="188"/>
    </row>
    <row r="10" spans="1:23" s="131" customFormat="1" ht="48.6" customHeight="1" x14ac:dyDescent="0.3">
      <c r="A10" s="218"/>
      <c r="B10" s="221"/>
      <c r="C10" s="245" t="s">
        <v>364</v>
      </c>
      <c r="D10" s="246"/>
      <c r="E10" s="237" t="s">
        <v>366</v>
      </c>
      <c r="F10" s="238"/>
      <c r="G10" s="243" t="s">
        <v>368</v>
      </c>
      <c r="H10" s="244"/>
      <c r="I10" s="216" t="s">
        <v>370</v>
      </c>
      <c r="J10" s="242"/>
      <c r="K10" s="216" t="s">
        <v>372</v>
      </c>
      <c r="L10" s="242"/>
      <c r="M10" s="216" t="s">
        <v>374</v>
      </c>
      <c r="N10" s="242"/>
      <c r="O10" s="216" t="s">
        <v>376</v>
      </c>
      <c r="P10" s="242"/>
      <c r="Q10" s="216" t="s">
        <v>377</v>
      </c>
      <c r="R10" s="248"/>
      <c r="S10" s="188"/>
      <c r="T10" s="188"/>
      <c r="U10" s="188"/>
    </row>
    <row r="11" spans="1:23" s="131" customFormat="1" ht="14.4" x14ac:dyDescent="0.3">
      <c r="A11" s="219"/>
      <c r="B11" s="222"/>
      <c r="C11" s="132">
        <v>1</v>
      </c>
      <c r="D11" s="132">
        <v>2</v>
      </c>
      <c r="E11" s="132">
        <v>1</v>
      </c>
      <c r="F11" s="132">
        <v>2</v>
      </c>
      <c r="G11" s="132">
        <v>1</v>
      </c>
      <c r="H11" s="132">
        <v>2</v>
      </c>
      <c r="I11" s="132">
        <v>1</v>
      </c>
      <c r="J11" s="132">
        <v>2</v>
      </c>
      <c r="K11" s="132">
        <v>1</v>
      </c>
      <c r="L11" s="132">
        <v>2</v>
      </c>
      <c r="M11" s="133">
        <v>1</v>
      </c>
      <c r="N11" s="132">
        <v>2</v>
      </c>
      <c r="O11" s="132">
        <v>1</v>
      </c>
      <c r="P11" s="132">
        <v>2</v>
      </c>
      <c r="Q11" s="133">
        <v>1</v>
      </c>
      <c r="R11" s="134">
        <v>2</v>
      </c>
      <c r="S11" s="224"/>
      <c r="T11" s="224"/>
      <c r="U11" s="224"/>
    </row>
    <row r="12" spans="1:23" s="131" customFormat="1" ht="14.4" x14ac:dyDescent="0.3">
      <c r="A12" s="203" t="s">
        <v>4</v>
      </c>
      <c r="B12" s="200">
        <f>SUM(B14,B22,B31,B36,B42,B49,B56,B63,B68,B75,B85,B92,B107)</f>
        <v>222618</v>
      </c>
      <c r="C12" s="205">
        <f>SUM(C14,C22,C31,C36,C42,C49,C56,C63,C68,C75,C85,C92,C107)</f>
        <v>47799</v>
      </c>
      <c r="D12" s="202">
        <f>SUM(D14,D22,D31,D36,D42,D49,D56,D63,D68,D75,D85,D92,D107)</f>
        <v>10375.208000000002</v>
      </c>
      <c r="E12" s="205">
        <f t="shared" ref="E12:R12" si="0">SUM(E14,E22,E31,E36,E42,E49,E56,E63,E68,E75,E85,E92,E107)</f>
        <v>350</v>
      </c>
      <c r="F12" s="202">
        <f t="shared" si="0"/>
        <v>72.881999999999991</v>
      </c>
      <c r="G12" s="205">
        <f t="shared" si="0"/>
        <v>4210</v>
      </c>
      <c r="H12" s="202">
        <f t="shared" si="0"/>
        <v>746.20700000000011</v>
      </c>
      <c r="I12" s="205">
        <f t="shared" si="0"/>
        <v>97597</v>
      </c>
      <c r="J12" s="202">
        <f>SUM(J14,J22,J31,J36,J42,J49,J56,J63,J68,J75,J85,J92,J107)</f>
        <v>11432.062999999998</v>
      </c>
      <c r="K12" s="205">
        <f t="shared" si="0"/>
        <v>11283</v>
      </c>
      <c r="L12" s="202">
        <f t="shared" si="0"/>
        <v>1911.4579999999999</v>
      </c>
      <c r="M12" s="205">
        <f t="shared" si="0"/>
        <v>60200</v>
      </c>
      <c r="N12" s="202">
        <f t="shared" si="0"/>
        <v>9205.6270000000004</v>
      </c>
      <c r="O12" s="205">
        <f t="shared" si="0"/>
        <v>940</v>
      </c>
      <c r="P12" s="202">
        <f t="shared" si="0"/>
        <v>236.47400000000002</v>
      </c>
      <c r="Q12" s="205">
        <f t="shared" si="0"/>
        <v>239</v>
      </c>
      <c r="R12" s="215">
        <f t="shared" si="0"/>
        <v>43.81</v>
      </c>
      <c r="S12" s="213" t="s">
        <v>30</v>
      </c>
      <c r="T12" s="213"/>
      <c r="U12" s="213"/>
    </row>
    <row r="13" spans="1:23" s="131" customFormat="1" ht="14.4" x14ac:dyDescent="0.3">
      <c r="A13" s="204"/>
      <c r="B13" s="201"/>
      <c r="C13" s="191"/>
      <c r="D13" s="190"/>
      <c r="E13" s="191"/>
      <c r="F13" s="190"/>
      <c r="G13" s="191"/>
      <c r="H13" s="190"/>
      <c r="I13" s="191"/>
      <c r="J13" s="190"/>
      <c r="K13" s="191"/>
      <c r="L13" s="190"/>
      <c r="M13" s="191"/>
      <c r="N13" s="190"/>
      <c r="O13" s="191"/>
      <c r="P13" s="190"/>
      <c r="Q13" s="191"/>
      <c r="R13" s="193"/>
      <c r="S13" s="214"/>
      <c r="T13" s="214"/>
      <c r="U13" s="214"/>
      <c r="W13" s="162"/>
    </row>
    <row r="14" spans="1:23" s="131" customFormat="1" ht="14.4" x14ac:dyDescent="0.3">
      <c r="A14" s="187" t="s">
        <v>5</v>
      </c>
      <c r="B14" s="198">
        <f>SUM(B16:B21)</f>
        <v>9609</v>
      </c>
      <c r="C14" s="191">
        <f>SUM(C16:C21)</f>
        <v>4513</v>
      </c>
      <c r="D14" s="190">
        <f t="shared" ref="D14:R14" si="1">SUM(D16:D21)</f>
        <v>898.97</v>
      </c>
      <c r="E14" s="191">
        <f t="shared" si="1"/>
        <v>4</v>
      </c>
      <c r="F14" s="190">
        <f t="shared" si="1"/>
        <v>0.8</v>
      </c>
      <c r="G14" s="191">
        <f t="shared" si="1"/>
        <v>33</v>
      </c>
      <c r="H14" s="190">
        <f t="shared" si="1"/>
        <v>7.194</v>
      </c>
      <c r="I14" s="191">
        <f t="shared" si="1"/>
        <v>2677</v>
      </c>
      <c r="J14" s="190">
        <f t="shared" si="1"/>
        <v>457.935</v>
      </c>
      <c r="K14" s="191">
        <f t="shared" si="1"/>
        <v>4</v>
      </c>
      <c r="L14" s="190">
        <f t="shared" si="1"/>
        <v>0.52</v>
      </c>
      <c r="M14" s="191">
        <f t="shared" si="1"/>
        <v>2359</v>
      </c>
      <c r="N14" s="190">
        <f t="shared" si="1"/>
        <v>408.20400000000006</v>
      </c>
      <c r="O14" s="191">
        <f t="shared" si="1"/>
        <v>18</v>
      </c>
      <c r="P14" s="190">
        <f t="shared" si="1"/>
        <v>3.9390000000000001</v>
      </c>
      <c r="Q14" s="191">
        <f t="shared" si="1"/>
        <v>1</v>
      </c>
      <c r="R14" s="193">
        <f t="shared" si="1"/>
        <v>0.19</v>
      </c>
      <c r="S14" s="188" t="s">
        <v>6</v>
      </c>
      <c r="T14" s="188"/>
      <c r="U14" s="188"/>
      <c r="V14" s="135"/>
    </row>
    <row r="15" spans="1:23" s="131" customFormat="1" ht="14.4" x14ac:dyDescent="0.3">
      <c r="A15" s="187"/>
      <c r="B15" s="198"/>
      <c r="C15" s="191"/>
      <c r="D15" s="190"/>
      <c r="E15" s="191"/>
      <c r="F15" s="190"/>
      <c r="G15" s="191"/>
      <c r="H15" s="190"/>
      <c r="I15" s="191"/>
      <c r="J15" s="190"/>
      <c r="K15" s="191"/>
      <c r="L15" s="190"/>
      <c r="M15" s="191"/>
      <c r="N15" s="190"/>
      <c r="O15" s="191"/>
      <c r="P15" s="190"/>
      <c r="Q15" s="191"/>
      <c r="R15" s="193"/>
      <c r="S15" s="188"/>
      <c r="T15" s="188"/>
      <c r="U15" s="188"/>
      <c r="V15" s="135"/>
    </row>
    <row r="16" spans="1:23" s="131" customFormat="1" ht="14.4" x14ac:dyDescent="0.3">
      <c r="A16" s="136" t="s">
        <v>236</v>
      </c>
      <c r="B16" s="166">
        <f>SUM(C16,E16,G16,I16,K16,M16,O16,Q16)</f>
        <v>1485</v>
      </c>
      <c r="C16" s="149">
        <v>836</v>
      </c>
      <c r="D16" s="150">
        <v>156.857</v>
      </c>
      <c r="E16" s="151" t="s">
        <v>358</v>
      </c>
      <c r="F16" s="150" t="s">
        <v>358</v>
      </c>
      <c r="G16" s="151" t="s">
        <v>358</v>
      </c>
      <c r="H16" s="150" t="s">
        <v>358</v>
      </c>
      <c r="I16" s="149">
        <v>32</v>
      </c>
      <c r="J16" s="149">
        <v>5.2</v>
      </c>
      <c r="K16" s="150" t="s">
        <v>358</v>
      </c>
      <c r="L16" s="149" t="s">
        <v>358</v>
      </c>
      <c r="M16" s="152">
        <v>617</v>
      </c>
      <c r="N16" s="149">
        <v>111.47799999999999</v>
      </c>
      <c r="O16" s="152" t="s">
        <v>358</v>
      </c>
      <c r="P16" s="149" t="s">
        <v>358</v>
      </c>
      <c r="Q16" s="152" t="s">
        <v>358</v>
      </c>
      <c r="R16" s="153" t="s">
        <v>358</v>
      </c>
      <c r="S16" s="137" t="s">
        <v>280</v>
      </c>
    </row>
    <row r="17" spans="1:21" s="131" customFormat="1" ht="14.4" x14ac:dyDescent="0.3">
      <c r="A17" s="136" t="s">
        <v>237</v>
      </c>
      <c r="B17" s="166">
        <f>SUM(C17,E17,G17,I17,K17,M17,O17,Q17)</f>
        <v>2241</v>
      </c>
      <c r="C17" s="149">
        <v>1768</v>
      </c>
      <c r="D17" s="150">
        <v>387.44</v>
      </c>
      <c r="E17" s="149" t="s">
        <v>358</v>
      </c>
      <c r="F17" s="150" t="s">
        <v>358</v>
      </c>
      <c r="G17" s="151">
        <v>21</v>
      </c>
      <c r="H17" s="150">
        <v>4.62</v>
      </c>
      <c r="I17" s="149">
        <v>172</v>
      </c>
      <c r="J17" s="149">
        <v>26.03</v>
      </c>
      <c r="K17" s="150" t="s">
        <v>358</v>
      </c>
      <c r="L17" s="149" t="s">
        <v>358</v>
      </c>
      <c r="M17" s="152">
        <v>280</v>
      </c>
      <c r="N17" s="149">
        <v>44</v>
      </c>
      <c r="O17" s="152" t="s">
        <v>358</v>
      </c>
      <c r="P17" s="149" t="s">
        <v>358</v>
      </c>
      <c r="Q17" s="152" t="s">
        <v>358</v>
      </c>
      <c r="R17" s="153" t="s">
        <v>358</v>
      </c>
      <c r="S17" s="137" t="s">
        <v>281</v>
      </c>
    </row>
    <row r="18" spans="1:21" s="131" customFormat="1" ht="14.4" x14ac:dyDescent="0.3">
      <c r="A18" s="136" t="s">
        <v>238</v>
      </c>
      <c r="B18" s="166">
        <f t="shared" ref="B18:B21" si="2">SUM(C18,E18,G18,I18,K18,M18,O18,Q18)</f>
        <v>4231</v>
      </c>
      <c r="C18" s="149">
        <v>656</v>
      </c>
      <c r="D18" s="150">
        <v>135.38900000000001</v>
      </c>
      <c r="E18" s="151">
        <v>4</v>
      </c>
      <c r="F18" s="150">
        <v>0.8</v>
      </c>
      <c r="G18" s="149">
        <v>11</v>
      </c>
      <c r="H18" s="150">
        <v>2.4039999999999999</v>
      </c>
      <c r="I18" s="149">
        <v>2317</v>
      </c>
      <c r="J18" s="149">
        <v>400.51499999999999</v>
      </c>
      <c r="K18" s="150" t="s">
        <v>358</v>
      </c>
      <c r="L18" s="149" t="s">
        <v>358</v>
      </c>
      <c r="M18" s="150">
        <v>1226</v>
      </c>
      <c r="N18" s="149">
        <v>217.375</v>
      </c>
      <c r="O18" s="152">
        <v>17</v>
      </c>
      <c r="P18" s="149">
        <v>3.65</v>
      </c>
      <c r="Q18" s="152" t="s">
        <v>358</v>
      </c>
      <c r="R18" s="153" t="s">
        <v>358</v>
      </c>
      <c r="S18" s="137" t="s">
        <v>282</v>
      </c>
    </row>
    <row r="19" spans="1:21" s="131" customFormat="1" ht="14.4" x14ac:dyDescent="0.3">
      <c r="A19" s="136" t="s">
        <v>239</v>
      </c>
      <c r="B19" s="166">
        <f>SUM(C19,E19,G19,I19,K19,M19,O19,Q19)</f>
        <v>0</v>
      </c>
      <c r="C19" s="149" t="s">
        <v>358</v>
      </c>
      <c r="D19" s="150" t="s">
        <v>358</v>
      </c>
      <c r="E19" s="151" t="s">
        <v>358</v>
      </c>
      <c r="F19" s="150" t="s">
        <v>358</v>
      </c>
      <c r="G19" s="151" t="s">
        <v>358</v>
      </c>
      <c r="H19" s="150" t="s">
        <v>358</v>
      </c>
      <c r="I19" s="151" t="s">
        <v>358</v>
      </c>
      <c r="J19" s="149" t="s">
        <v>358</v>
      </c>
      <c r="K19" s="152" t="s">
        <v>358</v>
      </c>
      <c r="L19" s="149" t="s">
        <v>358</v>
      </c>
      <c r="M19" s="152" t="s">
        <v>358</v>
      </c>
      <c r="N19" s="149" t="s">
        <v>358</v>
      </c>
      <c r="O19" s="152" t="s">
        <v>358</v>
      </c>
      <c r="P19" s="149" t="s">
        <v>358</v>
      </c>
      <c r="Q19" s="152" t="s">
        <v>358</v>
      </c>
      <c r="R19" s="153" t="s">
        <v>358</v>
      </c>
      <c r="S19" s="137" t="s">
        <v>283</v>
      </c>
    </row>
    <row r="20" spans="1:21" s="131" customFormat="1" ht="14.4" x14ac:dyDescent="0.3">
      <c r="A20" s="136" t="s">
        <v>240</v>
      </c>
      <c r="B20" s="166">
        <f t="shared" si="2"/>
        <v>1129</v>
      </c>
      <c r="C20" s="149">
        <v>980</v>
      </c>
      <c r="D20" s="150">
        <v>154.619</v>
      </c>
      <c r="E20" s="151" t="s">
        <v>358</v>
      </c>
      <c r="F20" s="150" t="s">
        <v>358</v>
      </c>
      <c r="G20" s="149">
        <v>1</v>
      </c>
      <c r="H20" s="150">
        <v>0.17</v>
      </c>
      <c r="I20" s="149">
        <v>71</v>
      </c>
      <c r="J20" s="149">
        <v>15.44</v>
      </c>
      <c r="K20" s="150">
        <v>4</v>
      </c>
      <c r="L20" s="149">
        <v>0.52</v>
      </c>
      <c r="M20" s="150">
        <v>71</v>
      </c>
      <c r="N20" s="149">
        <v>12.47</v>
      </c>
      <c r="O20" s="152">
        <v>1</v>
      </c>
      <c r="P20" s="149">
        <v>0.28899999999999998</v>
      </c>
      <c r="Q20" s="150">
        <v>1</v>
      </c>
      <c r="R20" s="153">
        <v>0.19</v>
      </c>
      <c r="S20" s="137" t="s">
        <v>284</v>
      </c>
    </row>
    <row r="21" spans="1:21" s="131" customFormat="1" ht="14.4" x14ac:dyDescent="0.3">
      <c r="A21" s="136" t="s">
        <v>241</v>
      </c>
      <c r="B21" s="166">
        <f t="shared" si="2"/>
        <v>523</v>
      </c>
      <c r="C21" s="149">
        <v>273</v>
      </c>
      <c r="D21" s="150">
        <v>64.665000000000006</v>
      </c>
      <c r="E21" s="151" t="s">
        <v>358</v>
      </c>
      <c r="F21" s="150" t="s">
        <v>358</v>
      </c>
      <c r="G21" s="151" t="s">
        <v>358</v>
      </c>
      <c r="H21" s="150" t="s">
        <v>358</v>
      </c>
      <c r="I21" s="149">
        <v>85</v>
      </c>
      <c r="J21" s="149">
        <v>10.75</v>
      </c>
      <c r="K21" s="150" t="s">
        <v>358</v>
      </c>
      <c r="L21" s="149" t="s">
        <v>358</v>
      </c>
      <c r="M21" s="152">
        <v>165</v>
      </c>
      <c r="N21" s="149">
        <v>22.881</v>
      </c>
      <c r="O21" s="152" t="s">
        <v>358</v>
      </c>
      <c r="P21" s="149" t="s">
        <v>358</v>
      </c>
      <c r="Q21" s="152" t="s">
        <v>358</v>
      </c>
      <c r="R21" s="153" t="s">
        <v>358</v>
      </c>
      <c r="S21" s="137" t="s">
        <v>285</v>
      </c>
    </row>
    <row r="22" spans="1:21" s="131" customFormat="1" ht="14.4" x14ac:dyDescent="0.3">
      <c r="A22" s="187" t="s">
        <v>7</v>
      </c>
      <c r="B22" s="198">
        <f>SUM(B24:B30)</f>
        <v>20211</v>
      </c>
      <c r="C22" s="191">
        <f>SUM(C24:C30)</f>
        <v>4853</v>
      </c>
      <c r="D22" s="190">
        <f t="shared" ref="D22:Q22" si="3">SUM(D24:D30)</f>
        <v>1039.278</v>
      </c>
      <c r="E22" s="191">
        <f t="shared" si="3"/>
        <v>164</v>
      </c>
      <c r="F22" s="190">
        <f t="shared" si="3"/>
        <v>29.251999999999999</v>
      </c>
      <c r="G22" s="191">
        <f t="shared" si="3"/>
        <v>2533</v>
      </c>
      <c r="H22" s="190">
        <f t="shared" si="3"/>
        <v>400.00300000000004</v>
      </c>
      <c r="I22" s="191">
        <f t="shared" si="3"/>
        <v>5794</v>
      </c>
      <c r="J22" s="190">
        <f t="shared" si="3"/>
        <v>726.37399999999991</v>
      </c>
      <c r="K22" s="191">
        <f t="shared" si="3"/>
        <v>75</v>
      </c>
      <c r="L22" s="190">
        <f t="shared" si="3"/>
        <v>9.5009999999999994</v>
      </c>
      <c r="M22" s="191">
        <f t="shared" si="3"/>
        <v>6768</v>
      </c>
      <c r="N22" s="190">
        <f t="shared" si="3"/>
        <v>1033.9170000000001</v>
      </c>
      <c r="O22" s="191">
        <f t="shared" si="3"/>
        <v>24</v>
      </c>
      <c r="P22" s="190">
        <f t="shared" si="3"/>
        <v>4.6000000000000005</v>
      </c>
      <c r="Q22" s="191">
        <f t="shared" si="3"/>
        <v>0</v>
      </c>
      <c r="R22" s="193">
        <f>SUM(R24:R30)</f>
        <v>0</v>
      </c>
      <c r="S22" s="195" t="s">
        <v>8</v>
      </c>
      <c r="T22" s="195"/>
      <c r="U22" s="195"/>
    </row>
    <row r="23" spans="1:21" s="131" customFormat="1" ht="14.4" x14ac:dyDescent="0.3">
      <c r="A23" s="187"/>
      <c r="B23" s="198"/>
      <c r="C23" s="191"/>
      <c r="D23" s="190"/>
      <c r="E23" s="191"/>
      <c r="F23" s="190"/>
      <c r="G23" s="191"/>
      <c r="H23" s="190"/>
      <c r="I23" s="191"/>
      <c r="J23" s="190"/>
      <c r="K23" s="191"/>
      <c r="L23" s="190"/>
      <c r="M23" s="191"/>
      <c r="N23" s="190"/>
      <c r="O23" s="191"/>
      <c r="P23" s="190"/>
      <c r="Q23" s="191"/>
      <c r="R23" s="193"/>
      <c r="S23" s="195"/>
      <c r="T23" s="195"/>
      <c r="U23" s="195"/>
    </row>
    <row r="24" spans="1:21" s="131" customFormat="1" ht="14.4" x14ac:dyDescent="0.3">
      <c r="A24" s="136" t="s">
        <v>242</v>
      </c>
      <c r="B24" s="166">
        <f>SUM(C24,E24,G24,I24,K24,M24,O24,Q24)</f>
        <v>9392</v>
      </c>
      <c r="C24" s="149">
        <v>977</v>
      </c>
      <c r="D24" s="150">
        <v>192.90899999999999</v>
      </c>
      <c r="E24" s="151">
        <v>60</v>
      </c>
      <c r="F24" s="150">
        <v>8.6120000000000001</v>
      </c>
      <c r="G24" s="149">
        <v>1847</v>
      </c>
      <c r="H24" s="150">
        <v>289.10300000000001</v>
      </c>
      <c r="I24" s="149">
        <v>3281</v>
      </c>
      <c r="J24" s="149">
        <v>357.42399999999998</v>
      </c>
      <c r="K24" s="150">
        <v>72</v>
      </c>
      <c r="L24" s="149">
        <v>8.8010000000000002</v>
      </c>
      <c r="M24" s="150">
        <v>3155</v>
      </c>
      <c r="N24" s="149">
        <v>411.79700000000003</v>
      </c>
      <c r="O24" s="150" t="s">
        <v>358</v>
      </c>
      <c r="P24" s="149" t="s">
        <v>358</v>
      </c>
      <c r="Q24" s="152" t="s">
        <v>358</v>
      </c>
      <c r="R24" s="153" t="s">
        <v>358</v>
      </c>
      <c r="S24" s="137" t="s">
        <v>286</v>
      </c>
    </row>
    <row r="25" spans="1:21" s="131" customFormat="1" ht="14.4" x14ac:dyDescent="0.3">
      <c r="A25" s="136" t="s">
        <v>243</v>
      </c>
      <c r="B25" s="166">
        <f t="shared" ref="B25:B30" si="4">SUM(C25,E25,G25,I25,K25,M25,O25,Q25)</f>
        <v>621</v>
      </c>
      <c r="C25" s="149">
        <v>88</v>
      </c>
      <c r="D25" s="150">
        <v>20.3</v>
      </c>
      <c r="E25" s="151">
        <v>17</v>
      </c>
      <c r="F25" s="150">
        <v>2.9</v>
      </c>
      <c r="G25" s="149">
        <v>22</v>
      </c>
      <c r="H25" s="150">
        <v>3.84</v>
      </c>
      <c r="I25" s="149">
        <v>108</v>
      </c>
      <c r="J25" s="149">
        <v>18.579999999999998</v>
      </c>
      <c r="K25" s="150" t="s">
        <v>358</v>
      </c>
      <c r="L25" s="149" t="s">
        <v>358</v>
      </c>
      <c r="M25" s="150">
        <v>386</v>
      </c>
      <c r="N25" s="149">
        <v>45.965000000000003</v>
      </c>
      <c r="O25" s="150" t="s">
        <v>358</v>
      </c>
      <c r="P25" s="149" t="s">
        <v>358</v>
      </c>
      <c r="Q25" s="152" t="s">
        <v>358</v>
      </c>
      <c r="R25" s="153" t="s">
        <v>358</v>
      </c>
      <c r="S25" s="137" t="s">
        <v>287</v>
      </c>
    </row>
    <row r="26" spans="1:21" s="131" customFormat="1" ht="14.4" x14ac:dyDescent="0.3">
      <c r="A26" s="136" t="s">
        <v>244</v>
      </c>
      <c r="B26" s="166">
        <f t="shared" si="4"/>
        <v>3322</v>
      </c>
      <c r="C26" s="149">
        <v>1175</v>
      </c>
      <c r="D26" s="150">
        <v>206.3</v>
      </c>
      <c r="E26" s="151" t="s">
        <v>358</v>
      </c>
      <c r="F26" s="150" t="s">
        <v>358</v>
      </c>
      <c r="G26" s="149">
        <v>597</v>
      </c>
      <c r="H26" s="150">
        <v>93.8</v>
      </c>
      <c r="I26" s="149">
        <v>790</v>
      </c>
      <c r="J26" s="149">
        <v>115.617</v>
      </c>
      <c r="K26" s="150" t="s">
        <v>358</v>
      </c>
      <c r="L26" s="149" t="s">
        <v>358</v>
      </c>
      <c r="M26" s="152">
        <v>760</v>
      </c>
      <c r="N26" s="149">
        <v>119.925</v>
      </c>
      <c r="O26" s="152" t="s">
        <v>358</v>
      </c>
      <c r="P26" s="149" t="s">
        <v>358</v>
      </c>
      <c r="Q26" s="152" t="s">
        <v>358</v>
      </c>
      <c r="R26" s="153" t="s">
        <v>358</v>
      </c>
      <c r="S26" s="137" t="s">
        <v>288</v>
      </c>
    </row>
    <row r="27" spans="1:21" s="131" customFormat="1" ht="14.4" x14ac:dyDescent="0.3">
      <c r="A27" s="136" t="s">
        <v>245</v>
      </c>
      <c r="B27" s="166">
        <f t="shared" si="4"/>
        <v>1402</v>
      </c>
      <c r="C27" s="149">
        <v>711</v>
      </c>
      <c r="D27" s="150">
        <v>213.3</v>
      </c>
      <c r="E27" s="151" t="s">
        <v>358</v>
      </c>
      <c r="F27" s="150" t="s">
        <v>358</v>
      </c>
      <c r="G27" s="149">
        <v>7</v>
      </c>
      <c r="H27" s="150">
        <v>1.54</v>
      </c>
      <c r="I27" s="149">
        <v>70</v>
      </c>
      <c r="J27" s="149">
        <v>13.025</v>
      </c>
      <c r="K27" s="150" t="s">
        <v>358</v>
      </c>
      <c r="L27" s="149" t="s">
        <v>358</v>
      </c>
      <c r="M27" s="152">
        <v>592</v>
      </c>
      <c r="N27" s="149">
        <v>165.63499999999999</v>
      </c>
      <c r="O27" s="150">
        <v>22</v>
      </c>
      <c r="P27" s="149">
        <v>4.24</v>
      </c>
      <c r="Q27" s="152" t="s">
        <v>358</v>
      </c>
      <c r="R27" s="153" t="s">
        <v>358</v>
      </c>
      <c r="S27" s="137" t="s">
        <v>289</v>
      </c>
    </row>
    <row r="28" spans="1:21" s="131" customFormat="1" ht="14.4" x14ac:dyDescent="0.3">
      <c r="A28" s="136" t="s">
        <v>246</v>
      </c>
      <c r="B28" s="166">
        <f t="shared" si="4"/>
        <v>581</v>
      </c>
      <c r="C28" s="149">
        <v>172</v>
      </c>
      <c r="D28" s="150">
        <v>32.264000000000003</v>
      </c>
      <c r="E28" s="151" t="s">
        <v>358</v>
      </c>
      <c r="F28" s="150" t="s">
        <v>358</v>
      </c>
      <c r="G28" s="149">
        <v>19</v>
      </c>
      <c r="H28" s="150">
        <v>3.8</v>
      </c>
      <c r="I28" s="149">
        <v>224</v>
      </c>
      <c r="J28" s="149">
        <v>30.79</v>
      </c>
      <c r="K28" s="150" t="s">
        <v>358</v>
      </c>
      <c r="L28" s="149" t="s">
        <v>358</v>
      </c>
      <c r="M28" s="152">
        <v>166</v>
      </c>
      <c r="N28" s="149">
        <v>28.69</v>
      </c>
      <c r="O28" s="152" t="s">
        <v>358</v>
      </c>
      <c r="P28" s="149" t="s">
        <v>358</v>
      </c>
      <c r="Q28" s="152" t="s">
        <v>358</v>
      </c>
      <c r="R28" s="153" t="s">
        <v>358</v>
      </c>
      <c r="S28" s="137" t="s">
        <v>290</v>
      </c>
    </row>
    <row r="29" spans="1:21" s="131" customFormat="1" ht="14.4" x14ac:dyDescent="0.3">
      <c r="A29" s="136" t="s">
        <v>247</v>
      </c>
      <c r="B29" s="166">
        <f t="shared" si="4"/>
        <v>3372</v>
      </c>
      <c r="C29" s="149">
        <v>1417</v>
      </c>
      <c r="D29" s="150">
        <v>328.02499999999998</v>
      </c>
      <c r="E29" s="151">
        <v>87</v>
      </c>
      <c r="F29" s="150">
        <v>17.739999999999998</v>
      </c>
      <c r="G29" s="149">
        <v>33</v>
      </c>
      <c r="H29" s="150">
        <v>6.6</v>
      </c>
      <c r="I29" s="149">
        <v>1074</v>
      </c>
      <c r="J29" s="149">
        <v>167.34</v>
      </c>
      <c r="K29" s="150" t="s">
        <v>358</v>
      </c>
      <c r="L29" s="149" t="s">
        <v>358</v>
      </c>
      <c r="M29" s="150">
        <v>759</v>
      </c>
      <c r="N29" s="149">
        <v>131.58600000000001</v>
      </c>
      <c r="O29" s="152">
        <v>2</v>
      </c>
      <c r="P29" s="149">
        <v>0.36</v>
      </c>
      <c r="Q29" s="152" t="s">
        <v>358</v>
      </c>
      <c r="R29" s="153" t="s">
        <v>358</v>
      </c>
      <c r="S29" s="137" t="s">
        <v>291</v>
      </c>
    </row>
    <row r="30" spans="1:21" s="131" customFormat="1" ht="14.4" x14ac:dyDescent="0.3">
      <c r="A30" s="136" t="s">
        <v>248</v>
      </c>
      <c r="B30" s="166">
        <f t="shared" si="4"/>
        <v>1521</v>
      </c>
      <c r="C30" s="149">
        <v>313</v>
      </c>
      <c r="D30" s="150">
        <v>46.18</v>
      </c>
      <c r="E30" s="151" t="s">
        <v>358</v>
      </c>
      <c r="F30" s="150" t="s">
        <v>358</v>
      </c>
      <c r="G30" s="149">
        <v>8</v>
      </c>
      <c r="H30" s="150">
        <v>1.32</v>
      </c>
      <c r="I30" s="149">
        <v>247</v>
      </c>
      <c r="J30" s="149">
        <v>23.597999999999999</v>
      </c>
      <c r="K30" s="150">
        <v>3</v>
      </c>
      <c r="L30" s="149">
        <v>0.7</v>
      </c>
      <c r="M30" s="150">
        <v>950</v>
      </c>
      <c r="N30" s="149">
        <v>130.31899999999999</v>
      </c>
      <c r="O30" s="150" t="s">
        <v>358</v>
      </c>
      <c r="P30" s="149" t="s">
        <v>358</v>
      </c>
      <c r="Q30" s="152" t="s">
        <v>358</v>
      </c>
      <c r="R30" s="153" t="s">
        <v>358</v>
      </c>
      <c r="S30" s="137" t="s">
        <v>292</v>
      </c>
    </row>
    <row r="31" spans="1:21" s="131" customFormat="1" ht="20.7" customHeight="1" x14ac:dyDescent="0.3">
      <c r="A31" s="138" t="s">
        <v>208</v>
      </c>
      <c r="B31" s="167">
        <f>SUM(B32:B35)</f>
        <v>82390</v>
      </c>
      <c r="C31" s="163">
        <f>SUM(C32:C35)</f>
        <v>20025</v>
      </c>
      <c r="D31" s="164">
        <f>SUM(D32:D35)</f>
        <v>4030.2660000000005</v>
      </c>
      <c r="E31" s="163">
        <f t="shared" ref="E31:R31" si="5">SUM(E32:E35)</f>
        <v>35</v>
      </c>
      <c r="F31" s="164">
        <f t="shared" si="5"/>
        <v>6.52</v>
      </c>
      <c r="G31" s="163">
        <f t="shared" si="5"/>
        <v>55</v>
      </c>
      <c r="H31" s="164">
        <f t="shared" si="5"/>
        <v>7.6259999999999994</v>
      </c>
      <c r="I31" s="163">
        <f t="shared" si="5"/>
        <v>44623</v>
      </c>
      <c r="J31" s="164">
        <f t="shared" si="5"/>
        <v>3482.8199999999997</v>
      </c>
      <c r="K31" s="163">
        <f t="shared" si="5"/>
        <v>254</v>
      </c>
      <c r="L31" s="164">
        <f t="shared" si="5"/>
        <v>30.839999999999996</v>
      </c>
      <c r="M31" s="163">
        <f t="shared" si="5"/>
        <v>17260</v>
      </c>
      <c r="N31" s="164">
        <f t="shared" si="5"/>
        <v>1665.519</v>
      </c>
      <c r="O31" s="163">
        <f t="shared" si="5"/>
        <v>138</v>
      </c>
      <c r="P31" s="164">
        <f t="shared" si="5"/>
        <v>34.93</v>
      </c>
      <c r="Q31" s="163">
        <f t="shared" si="5"/>
        <v>0</v>
      </c>
      <c r="R31" s="165">
        <f t="shared" si="5"/>
        <v>0</v>
      </c>
      <c r="S31" s="139" t="s">
        <v>209</v>
      </c>
      <c r="T31" s="140"/>
    </row>
    <row r="32" spans="1:21" s="131" customFormat="1" ht="14.4" x14ac:dyDescent="0.3">
      <c r="A32" s="136" t="s">
        <v>249</v>
      </c>
      <c r="B32" s="166">
        <f t="shared" ref="B32:B35" si="6">SUM(C32,E32,G32,I32,K32,M32,O32,Q32)</f>
        <v>19797</v>
      </c>
      <c r="C32" s="149">
        <v>442</v>
      </c>
      <c r="D32" s="150">
        <v>79.456999999999994</v>
      </c>
      <c r="E32" s="151" t="s">
        <v>358</v>
      </c>
      <c r="F32" s="150" t="s">
        <v>358</v>
      </c>
      <c r="G32" s="149">
        <v>36</v>
      </c>
      <c r="H32" s="150">
        <v>4.476</v>
      </c>
      <c r="I32" s="149">
        <v>16491</v>
      </c>
      <c r="J32" s="149">
        <v>1346.0519999999999</v>
      </c>
      <c r="K32" s="150">
        <v>13</v>
      </c>
      <c r="L32" s="149">
        <v>1.028</v>
      </c>
      <c r="M32" s="150">
        <v>2815</v>
      </c>
      <c r="N32" s="149">
        <v>271.32499999999999</v>
      </c>
      <c r="O32" s="150" t="s">
        <v>358</v>
      </c>
      <c r="P32" s="149" t="s">
        <v>358</v>
      </c>
      <c r="Q32" s="150" t="s">
        <v>358</v>
      </c>
      <c r="R32" s="153" t="s">
        <v>358</v>
      </c>
      <c r="S32" s="137" t="s">
        <v>293</v>
      </c>
    </row>
    <row r="33" spans="1:21" s="131" customFormat="1" ht="14.4" x14ac:dyDescent="0.3">
      <c r="A33" s="136" t="s">
        <v>250</v>
      </c>
      <c r="B33" s="166">
        <f t="shared" si="6"/>
        <v>37568</v>
      </c>
      <c r="C33" s="149">
        <v>1177</v>
      </c>
      <c r="D33" s="150">
        <v>179.47399999999999</v>
      </c>
      <c r="E33" s="151">
        <v>35</v>
      </c>
      <c r="F33" s="150">
        <v>6.52</v>
      </c>
      <c r="G33" s="149" t="s">
        <v>358</v>
      </c>
      <c r="H33" s="150" t="s">
        <v>358</v>
      </c>
      <c r="I33" s="149">
        <v>23221</v>
      </c>
      <c r="J33" s="149">
        <v>1619.6079999999999</v>
      </c>
      <c r="K33" s="150">
        <v>237</v>
      </c>
      <c r="L33" s="149">
        <v>29.422000000000001</v>
      </c>
      <c r="M33" s="150">
        <v>12767</v>
      </c>
      <c r="N33" s="149">
        <v>1196.7139999999999</v>
      </c>
      <c r="O33" s="152">
        <v>131</v>
      </c>
      <c r="P33" s="149">
        <v>33.18</v>
      </c>
      <c r="Q33" s="150" t="s">
        <v>358</v>
      </c>
      <c r="R33" s="153" t="s">
        <v>358</v>
      </c>
      <c r="S33" s="137" t="s">
        <v>294</v>
      </c>
    </row>
    <row r="34" spans="1:21" s="131" customFormat="1" ht="14.4" x14ac:dyDescent="0.3">
      <c r="A34" s="136" t="s">
        <v>251</v>
      </c>
      <c r="B34" s="166">
        <f t="shared" si="6"/>
        <v>15879</v>
      </c>
      <c r="C34" s="149">
        <v>9929</v>
      </c>
      <c r="D34" s="150">
        <v>1660.104</v>
      </c>
      <c r="E34" s="149" t="s">
        <v>358</v>
      </c>
      <c r="F34" s="150" t="s">
        <v>358</v>
      </c>
      <c r="G34" s="149">
        <v>8</v>
      </c>
      <c r="H34" s="150">
        <v>1.4</v>
      </c>
      <c r="I34" s="149">
        <v>4630</v>
      </c>
      <c r="J34" s="149">
        <v>465.83</v>
      </c>
      <c r="K34" s="150">
        <v>3</v>
      </c>
      <c r="L34" s="149">
        <v>0.24</v>
      </c>
      <c r="M34" s="150">
        <v>1302</v>
      </c>
      <c r="N34" s="149">
        <v>133.63999999999999</v>
      </c>
      <c r="O34" s="150">
        <v>7</v>
      </c>
      <c r="P34" s="149">
        <v>1.75</v>
      </c>
      <c r="Q34" s="152" t="s">
        <v>358</v>
      </c>
      <c r="R34" s="153" t="s">
        <v>358</v>
      </c>
      <c r="S34" s="137" t="s">
        <v>295</v>
      </c>
    </row>
    <row r="35" spans="1:21" s="131" customFormat="1" ht="14.4" x14ac:dyDescent="0.3">
      <c r="A35" s="136" t="s">
        <v>252</v>
      </c>
      <c r="B35" s="166">
        <f t="shared" si="6"/>
        <v>9146</v>
      </c>
      <c r="C35" s="149">
        <v>8477</v>
      </c>
      <c r="D35" s="150">
        <v>2111.2310000000002</v>
      </c>
      <c r="E35" s="151" t="s">
        <v>358</v>
      </c>
      <c r="F35" s="150" t="s">
        <v>358</v>
      </c>
      <c r="G35" s="149">
        <v>11</v>
      </c>
      <c r="H35" s="150">
        <v>1.75</v>
      </c>
      <c r="I35" s="149">
        <v>281</v>
      </c>
      <c r="J35" s="149">
        <v>51.33</v>
      </c>
      <c r="K35" s="150">
        <v>1</v>
      </c>
      <c r="L35" s="149">
        <v>0.15</v>
      </c>
      <c r="M35" s="152">
        <v>376</v>
      </c>
      <c r="N35" s="149">
        <v>63.84</v>
      </c>
      <c r="O35" s="152" t="s">
        <v>358</v>
      </c>
      <c r="P35" s="149" t="s">
        <v>358</v>
      </c>
      <c r="Q35" s="150" t="s">
        <v>358</v>
      </c>
      <c r="R35" s="153" t="s">
        <v>358</v>
      </c>
      <c r="S35" s="137" t="s">
        <v>296</v>
      </c>
    </row>
    <row r="36" spans="1:21" s="131" customFormat="1" ht="14.4" x14ac:dyDescent="0.3">
      <c r="A36" s="187" t="s">
        <v>9</v>
      </c>
      <c r="B36" s="198">
        <f>SUM(B38:B41)</f>
        <v>1645</v>
      </c>
      <c r="C36" s="192">
        <f t="shared" ref="C36:R36" si="7">SUM(C38:C41)</f>
        <v>1065</v>
      </c>
      <c r="D36" s="192">
        <f>SUM(D38:D41)</f>
        <v>195.47399999999999</v>
      </c>
      <c r="E36" s="192">
        <f t="shared" si="7"/>
        <v>73</v>
      </c>
      <c r="F36" s="192">
        <f t="shared" si="7"/>
        <v>15.25</v>
      </c>
      <c r="G36" s="192">
        <f t="shared" si="7"/>
        <v>40</v>
      </c>
      <c r="H36" s="192">
        <f t="shared" si="7"/>
        <v>8.4499999999999993</v>
      </c>
      <c r="I36" s="192">
        <f t="shared" si="7"/>
        <v>305</v>
      </c>
      <c r="J36" s="192">
        <f t="shared" si="7"/>
        <v>50.33</v>
      </c>
      <c r="K36" s="192">
        <f t="shared" si="7"/>
        <v>65</v>
      </c>
      <c r="L36" s="192">
        <f t="shared" si="7"/>
        <v>10.719999999999999</v>
      </c>
      <c r="M36" s="192">
        <f t="shared" si="7"/>
        <v>79</v>
      </c>
      <c r="N36" s="192">
        <f t="shared" si="7"/>
        <v>13.6</v>
      </c>
      <c r="O36" s="192">
        <f t="shared" si="7"/>
        <v>0</v>
      </c>
      <c r="P36" s="192">
        <f t="shared" si="7"/>
        <v>0</v>
      </c>
      <c r="Q36" s="192">
        <f t="shared" si="7"/>
        <v>18</v>
      </c>
      <c r="R36" s="193">
        <f t="shared" si="7"/>
        <v>3.8</v>
      </c>
      <c r="S36" s="194" t="s">
        <v>10</v>
      </c>
      <c r="T36" s="194"/>
      <c r="U36" s="194"/>
    </row>
    <row r="37" spans="1:21" s="131" customFormat="1" ht="15" thickBot="1" x14ac:dyDescent="0.35">
      <c r="A37" s="187"/>
      <c r="B37" s="198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3"/>
      <c r="S37" s="194"/>
      <c r="T37" s="194"/>
      <c r="U37" s="194"/>
    </row>
    <row r="38" spans="1:21" s="131" customFormat="1" ht="14.4" x14ac:dyDescent="0.3">
      <c r="A38" s="136" t="s">
        <v>253</v>
      </c>
      <c r="B38" s="166">
        <f>SUM(C38,E38,G38,I38,K38,M38,O38,Q38)</f>
        <v>166</v>
      </c>
      <c r="C38" s="149">
        <v>65</v>
      </c>
      <c r="D38" s="150">
        <v>18.3</v>
      </c>
      <c r="E38" s="151" t="s">
        <v>358</v>
      </c>
      <c r="F38" s="150" t="s">
        <v>358</v>
      </c>
      <c r="G38" s="151">
        <v>33</v>
      </c>
      <c r="H38" s="150">
        <v>7.6</v>
      </c>
      <c r="I38" s="149">
        <v>45</v>
      </c>
      <c r="J38" s="149">
        <v>8.82</v>
      </c>
      <c r="K38" s="150">
        <v>7</v>
      </c>
      <c r="L38" s="149">
        <v>0.95</v>
      </c>
      <c r="M38" s="152">
        <v>16</v>
      </c>
      <c r="N38" s="149">
        <v>3.66</v>
      </c>
      <c r="O38" s="150" t="s">
        <v>358</v>
      </c>
      <c r="P38" s="149" t="s">
        <v>358</v>
      </c>
      <c r="Q38" s="152" t="s">
        <v>358</v>
      </c>
      <c r="R38" s="153" t="s">
        <v>358</v>
      </c>
      <c r="S38" s="137" t="s">
        <v>297</v>
      </c>
    </row>
    <row r="39" spans="1:21" s="131" customFormat="1" ht="14.4" x14ac:dyDescent="0.3">
      <c r="A39" s="136" t="s">
        <v>254</v>
      </c>
      <c r="B39" s="166">
        <f>SUM(C39,E39,G39,I39,K39,M39,O39,Q39)</f>
        <v>36</v>
      </c>
      <c r="C39" s="149">
        <v>22</v>
      </c>
      <c r="D39" s="150">
        <v>6.3239999999999998</v>
      </c>
      <c r="E39" s="151" t="s">
        <v>358</v>
      </c>
      <c r="F39" s="150" t="s">
        <v>358</v>
      </c>
      <c r="G39" s="149" t="s">
        <v>358</v>
      </c>
      <c r="H39" s="150" t="s">
        <v>358</v>
      </c>
      <c r="I39" s="149">
        <v>11</v>
      </c>
      <c r="J39" s="149">
        <v>2.72</v>
      </c>
      <c r="K39" s="150" t="s">
        <v>358</v>
      </c>
      <c r="L39" s="149" t="s">
        <v>358</v>
      </c>
      <c r="M39" s="152">
        <v>3</v>
      </c>
      <c r="N39" s="149">
        <v>0.68</v>
      </c>
      <c r="O39" s="152" t="s">
        <v>358</v>
      </c>
      <c r="P39" s="149" t="s">
        <v>358</v>
      </c>
      <c r="Q39" s="152" t="s">
        <v>358</v>
      </c>
      <c r="R39" s="153" t="s">
        <v>358</v>
      </c>
      <c r="S39" s="137" t="s">
        <v>298</v>
      </c>
    </row>
    <row r="40" spans="1:21" s="131" customFormat="1" ht="14.4" x14ac:dyDescent="0.3">
      <c r="A40" s="136" t="s">
        <v>255</v>
      </c>
      <c r="B40" s="166">
        <f>SUM(C40,E40,G40,I40,K40,M40,O40,Q40)</f>
        <v>45</v>
      </c>
      <c r="C40" s="149" t="s">
        <v>358</v>
      </c>
      <c r="D40" s="150" t="s">
        <v>358</v>
      </c>
      <c r="E40" s="151" t="s">
        <v>358</v>
      </c>
      <c r="F40" s="150" t="s">
        <v>358</v>
      </c>
      <c r="G40" s="151" t="s">
        <v>358</v>
      </c>
      <c r="H40" s="150" t="s">
        <v>358</v>
      </c>
      <c r="I40" s="151">
        <v>45</v>
      </c>
      <c r="J40" s="149">
        <v>8.5</v>
      </c>
      <c r="K40" s="150" t="s">
        <v>358</v>
      </c>
      <c r="L40" s="149" t="s">
        <v>358</v>
      </c>
      <c r="M40" s="152" t="s">
        <v>358</v>
      </c>
      <c r="N40" s="149" t="s">
        <v>358</v>
      </c>
      <c r="O40" s="152" t="s">
        <v>358</v>
      </c>
      <c r="P40" s="149" t="s">
        <v>358</v>
      </c>
      <c r="Q40" s="152" t="s">
        <v>358</v>
      </c>
      <c r="R40" s="153" t="s">
        <v>358</v>
      </c>
      <c r="S40" s="137" t="s">
        <v>299</v>
      </c>
    </row>
    <row r="41" spans="1:21" s="131" customFormat="1" ht="14.4" x14ac:dyDescent="0.3">
      <c r="A41" s="136" t="s">
        <v>256</v>
      </c>
      <c r="B41" s="166">
        <f>SUM(C41,E41,G41,I41,K41,M41,O41,Q41)</f>
        <v>1398</v>
      </c>
      <c r="C41" s="149">
        <v>978</v>
      </c>
      <c r="D41" s="150">
        <v>170.85</v>
      </c>
      <c r="E41" s="151">
        <v>73</v>
      </c>
      <c r="F41" s="150">
        <v>15.25</v>
      </c>
      <c r="G41" s="149">
        <v>7</v>
      </c>
      <c r="H41" s="150">
        <v>0.85</v>
      </c>
      <c r="I41" s="149">
        <v>204</v>
      </c>
      <c r="J41" s="149">
        <v>30.29</v>
      </c>
      <c r="K41" s="150">
        <v>58</v>
      </c>
      <c r="L41" s="149">
        <v>9.77</v>
      </c>
      <c r="M41" s="150">
        <v>60</v>
      </c>
      <c r="N41" s="149">
        <v>9.26</v>
      </c>
      <c r="O41" s="152" t="s">
        <v>358</v>
      </c>
      <c r="P41" s="149" t="s">
        <v>358</v>
      </c>
      <c r="Q41" s="152">
        <v>18</v>
      </c>
      <c r="R41" s="153">
        <v>3.8</v>
      </c>
      <c r="S41" s="137" t="s">
        <v>300</v>
      </c>
    </row>
    <row r="42" spans="1:21" s="131" customFormat="1" ht="14.4" x14ac:dyDescent="0.3">
      <c r="A42" s="187" t="s">
        <v>11</v>
      </c>
      <c r="B42" s="198">
        <f>SUM(B44:B48)</f>
        <v>60855</v>
      </c>
      <c r="C42" s="191">
        <f>SUM(C44:C48)</f>
        <v>4956</v>
      </c>
      <c r="D42" s="190">
        <f>SUM(D44:D48)</f>
        <v>1462.124</v>
      </c>
      <c r="E42" s="191">
        <f>SUM(E44:E48)</f>
        <v>4</v>
      </c>
      <c r="F42" s="190">
        <f t="shared" ref="F42:R42" si="8">SUM(F44:F48)</f>
        <v>0.76</v>
      </c>
      <c r="G42" s="191">
        <f t="shared" si="8"/>
        <v>251</v>
      </c>
      <c r="H42" s="190">
        <f t="shared" si="8"/>
        <v>51.805</v>
      </c>
      <c r="I42" s="191">
        <f t="shared" si="8"/>
        <v>29878</v>
      </c>
      <c r="J42" s="190">
        <f t="shared" si="8"/>
        <v>5119.8369999999995</v>
      </c>
      <c r="K42" s="191">
        <f t="shared" si="8"/>
        <v>4964</v>
      </c>
      <c r="L42" s="190">
        <f t="shared" si="8"/>
        <v>1129.26</v>
      </c>
      <c r="M42" s="191">
        <f t="shared" si="8"/>
        <v>20242</v>
      </c>
      <c r="N42" s="190">
        <f t="shared" si="8"/>
        <v>3847.4430000000002</v>
      </c>
      <c r="O42" s="191">
        <f t="shared" si="8"/>
        <v>490</v>
      </c>
      <c r="P42" s="190">
        <f t="shared" si="8"/>
        <v>137.92000000000002</v>
      </c>
      <c r="Q42" s="191">
        <f t="shared" si="8"/>
        <v>70</v>
      </c>
      <c r="R42" s="193">
        <f t="shared" si="8"/>
        <v>13.58</v>
      </c>
      <c r="S42" s="194" t="s">
        <v>12</v>
      </c>
      <c r="T42" s="194"/>
      <c r="U42" s="194"/>
    </row>
    <row r="43" spans="1:21" s="131" customFormat="1" ht="14.4" x14ac:dyDescent="0.3">
      <c r="A43" s="187"/>
      <c r="B43" s="198"/>
      <c r="C43" s="191"/>
      <c r="D43" s="190"/>
      <c r="E43" s="191"/>
      <c r="F43" s="190"/>
      <c r="G43" s="191"/>
      <c r="H43" s="190"/>
      <c r="I43" s="191"/>
      <c r="J43" s="190"/>
      <c r="K43" s="191"/>
      <c r="L43" s="190"/>
      <c r="M43" s="191"/>
      <c r="N43" s="190"/>
      <c r="O43" s="191"/>
      <c r="P43" s="190"/>
      <c r="Q43" s="191"/>
      <c r="R43" s="193"/>
      <c r="S43" s="194"/>
      <c r="T43" s="194"/>
      <c r="U43" s="194"/>
    </row>
    <row r="44" spans="1:21" s="131" customFormat="1" ht="14.4" x14ac:dyDescent="0.3">
      <c r="A44" s="136" t="s">
        <v>257</v>
      </c>
      <c r="B44" s="166">
        <f>SUM(C44,E44,G44,I44,K44,M44,O44,Q44)</f>
        <v>54851</v>
      </c>
      <c r="C44" s="149">
        <v>3728</v>
      </c>
      <c r="D44" s="150">
        <v>1113.124</v>
      </c>
      <c r="E44" s="149" t="s">
        <v>358</v>
      </c>
      <c r="F44" s="150" t="s">
        <v>358</v>
      </c>
      <c r="G44" s="149">
        <v>114</v>
      </c>
      <c r="H44" s="150">
        <v>21.02</v>
      </c>
      <c r="I44" s="149">
        <v>27810</v>
      </c>
      <c r="J44" s="149">
        <v>4875.7110000000002</v>
      </c>
      <c r="K44" s="150">
        <v>4944</v>
      </c>
      <c r="L44" s="149">
        <v>1126.26</v>
      </c>
      <c r="M44" s="150">
        <v>17716</v>
      </c>
      <c r="N44" s="149">
        <v>3431.1030000000001</v>
      </c>
      <c r="O44" s="150">
        <v>479</v>
      </c>
      <c r="P44" s="149">
        <v>135.9</v>
      </c>
      <c r="Q44" s="150">
        <v>60</v>
      </c>
      <c r="R44" s="153">
        <v>12.08</v>
      </c>
      <c r="S44" s="137" t="s">
        <v>301</v>
      </c>
    </row>
    <row r="45" spans="1:21" s="131" customFormat="1" ht="14.4" x14ac:dyDescent="0.3">
      <c r="A45" s="136" t="s">
        <v>258</v>
      </c>
      <c r="B45" s="166">
        <f>SUM(C45,E45,G45,I45,K45,M45,O45,Q45)</f>
        <v>1814</v>
      </c>
      <c r="C45" s="149">
        <v>192</v>
      </c>
      <c r="D45" s="150">
        <v>40.625</v>
      </c>
      <c r="E45" s="149">
        <v>3</v>
      </c>
      <c r="F45" s="150">
        <v>0.56000000000000005</v>
      </c>
      <c r="G45" s="149">
        <v>121</v>
      </c>
      <c r="H45" s="150">
        <v>28.265000000000001</v>
      </c>
      <c r="I45" s="149">
        <v>853</v>
      </c>
      <c r="J45" s="149">
        <v>116.861</v>
      </c>
      <c r="K45" s="150" t="s">
        <v>358</v>
      </c>
      <c r="L45" s="149" t="s">
        <v>358</v>
      </c>
      <c r="M45" s="150">
        <v>635</v>
      </c>
      <c r="N45" s="149">
        <v>112.07599999999999</v>
      </c>
      <c r="O45" s="150" t="s">
        <v>358</v>
      </c>
      <c r="P45" s="149" t="s">
        <v>358</v>
      </c>
      <c r="Q45" s="152">
        <v>10</v>
      </c>
      <c r="R45" s="153">
        <v>1.5</v>
      </c>
      <c r="S45" s="137" t="s">
        <v>302</v>
      </c>
    </row>
    <row r="46" spans="1:21" s="131" customFormat="1" ht="14.4" x14ac:dyDescent="0.3">
      <c r="A46" s="136" t="s">
        <v>259</v>
      </c>
      <c r="B46" s="166">
        <f>SUM(C46,E46,G46,I46,K46,M46,O46,Q46)</f>
        <v>2088</v>
      </c>
      <c r="C46" s="149">
        <v>839</v>
      </c>
      <c r="D46" s="150">
        <v>277.05500000000001</v>
      </c>
      <c r="E46" s="149" t="s">
        <v>358</v>
      </c>
      <c r="F46" s="150" t="s">
        <v>358</v>
      </c>
      <c r="G46" s="149">
        <v>16</v>
      </c>
      <c r="H46" s="150">
        <v>2.52</v>
      </c>
      <c r="I46" s="149">
        <v>738</v>
      </c>
      <c r="J46" s="149">
        <v>82.9</v>
      </c>
      <c r="K46" s="150" t="s">
        <v>358</v>
      </c>
      <c r="L46" s="149" t="s">
        <v>358</v>
      </c>
      <c r="M46" s="152">
        <v>484</v>
      </c>
      <c r="N46" s="149">
        <v>91.48</v>
      </c>
      <c r="O46" s="152">
        <v>11</v>
      </c>
      <c r="P46" s="149">
        <v>2.02</v>
      </c>
      <c r="Q46" s="152" t="s">
        <v>358</v>
      </c>
      <c r="R46" s="153" t="s">
        <v>358</v>
      </c>
      <c r="S46" s="137" t="s">
        <v>303</v>
      </c>
    </row>
    <row r="47" spans="1:21" s="131" customFormat="1" ht="14.4" x14ac:dyDescent="0.3">
      <c r="A47" s="136" t="s">
        <v>260</v>
      </c>
      <c r="B47" s="166">
        <f>SUM(C47,E47,G47,I47,K47,M47,O47,Q47)</f>
        <v>1</v>
      </c>
      <c r="C47" s="149" t="s">
        <v>358</v>
      </c>
      <c r="D47" s="150" t="s">
        <v>358</v>
      </c>
      <c r="E47" s="149">
        <v>1</v>
      </c>
      <c r="F47" s="150">
        <v>0.2</v>
      </c>
      <c r="G47" s="149" t="s">
        <v>358</v>
      </c>
      <c r="H47" s="150" t="s">
        <v>358</v>
      </c>
      <c r="I47" s="149" t="s">
        <v>358</v>
      </c>
      <c r="J47" s="149" t="s">
        <v>358</v>
      </c>
      <c r="K47" s="150" t="s">
        <v>358</v>
      </c>
      <c r="L47" s="149" t="s">
        <v>358</v>
      </c>
      <c r="M47" s="152" t="s">
        <v>358</v>
      </c>
      <c r="N47" s="149" t="s">
        <v>358</v>
      </c>
      <c r="O47" s="152" t="s">
        <v>358</v>
      </c>
      <c r="P47" s="149" t="s">
        <v>358</v>
      </c>
      <c r="Q47" s="152" t="s">
        <v>358</v>
      </c>
      <c r="R47" s="153" t="s">
        <v>358</v>
      </c>
      <c r="S47" s="186" t="s">
        <v>304</v>
      </c>
      <c r="T47" s="186"/>
      <c r="U47" s="186"/>
    </row>
    <row r="48" spans="1:21" s="131" customFormat="1" ht="14.4" x14ac:dyDescent="0.3">
      <c r="A48" s="136" t="s">
        <v>261</v>
      </c>
      <c r="B48" s="166">
        <f>SUM(C48,E48,G48,I48,K48,M48,O48,Q48)</f>
        <v>2101</v>
      </c>
      <c r="C48" s="149">
        <v>197</v>
      </c>
      <c r="D48" s="150">
        <v>31.32</v>
      </c>
      <c r="E48" s="149" t="s">
        <v>358</v>
      </c>
      <c r="F48" s="150" t="s">
        <v>358</v>
      </c>
      <c r="G48" s="151" t="s">
        <v>358</v>
      </c>
      <c r="H48" s="150" t="s">
        <v>358</v>
      </c>
      <c r="I48" s="149">
        <v>477</v>
      </c>
      <c r="J48" s="149">
        <v>44.365000000000002</v>
      </c>
      <c r="K48" s="150">
        <v>20</v>
      </c>
      <c r="L48" s="149">
        <v>3</v>
      </c>
      <c r="M48" s="150">
        <v>1407</v>
      </c>
      <c r="N48" s="149">
        <v>212.78399999999999</v>
      </c>
      <c r="O48" s="152" t="s">
        <v>358</v>
      </c>
      <c r="P48" s="149" t="s">
        <v>358</v>
      </c>
      <c r="Q48" s="152" t="s">
        <v>358</v>
      </c>
      <c r="R48" s="153" t="s">
        <v>358</v>
      </c>
      <c r="S48" s="137" t="s">
        <v>305</v>
      </c>
    </row>
    <row r="49" spans="1:21" s="131" customFormat="1" ht="14.4" x14ac:dyDescent="0.3">
      <c r="A49" s="187" t="s">
        <v>13</v>
      </c>
      <c r="B49" s="198">
        <f>SUM(B51:B55)</f>
        <v>26874</v>
      </c>
      <c r="C49" s="191">
        <f>SUM(C51:C55)</f>
        <v>2628</v>
      </c>
      <c r="D49" s="190">
        <f t="shared" ref="D49:R49" si="9">SUM(D51:D55)</f>
        <v>542.40500000000009</v>
      </c>
      <c r="E49" s="191">
        <f t="shared" si="9"/>
        <v>0</v>
      </c>
      <c r="F49" s="190">
        <f t="shared" si="9"/>
        <v>0</v>
      </c>
      <c r="G49" s="191">
        <f t="shared" si="9"/>
        <v>394</v>
      </c>
      <c r="H49" s="190">
        <f t="shared" si="9"/>
        <v>67.582999999999998</v>
      </c>
      <c r="I49" s="191">
        <f t="shared" si="9"/>
        <v>11824</v>
      </c>
      <c r="J49" s="190">
        <f t="shared" si="9"/>
        <v>1331.1079999999999</v>
      </c>
      <c r="K49" s="191">
        <f t="shared" si="9"/>
        <v>2397</v>
      </c>
      <c r="L49" s="190">
        <f t="shared" si="9"/>
        <v>406.63300000000004</v>
      </c>
      <c r="M49" s="191">
        <f t="shared" si="9"/>
        <v>9434</v>
      </c>
      <c r="N49" s="190">
        <f t="shared" si="9"/>
        <v>1574.7269999999999</v>
      </c>
      <c r="O49" s="191">
        <f t="shared" si="9"/>
        <v>194</v>
      </c>
      <c r="P49" s="190">
        <f t="shared" si="9"/>
        <v>36.32</v>
      </c>
      <c r="Q49" s="191">
        <f t="shared" si="9"/>
        <v>3</v>
      </c>
      <c r="R49" s="193">
        <f t="shared" si="9"/>
        <v>0.56999999999999995</v>
      </c>
      <c r="S49" s="189" t="s">
        <v>14</v>
      </c>
      <c r="T49" s="189"/>
      <c r="U49" s="189"/>
    </row>
    <row r="50" spans="1:21" s="131" customFormat="1" ht="14.4" x14ac:dyDescent="0.3">
      <c r="A50" s="187"/>
      <c r="B50" s="198"/>
      <c r="C50" s="191"/>
      <c r="D50" s="190"/>
      <c r="E50" s="191"/>
      <c r="F50" s="190"/>
      <c r="G50" s="191"/>
      <c r="H50" s="190"/>
      <c r="I50" s="191"/>
      <c r="J50" s="190"/>
      <c r="K50" s="191"/>
      <c r="L50" s="190"/>
      <c r="M50" s="191"/>
      <c r="N50" s="190"/>
      <c r="O50" s="191"/>
      <c r="P50" s="190"/>
      <c r="Q50" s="191"/>
      <c r="R50" s="193"/>
      <c r="S50" s="189"/>
      <c r="T50" s="189"/>
      <c r="U50" s="189"/>
    </row>
    <row r="51" spans="1:21" s="131" customFormat="1" ht="14.4" x14ac:dyDescent="0.3">
      <c r="A51" s="136" t="s">
        <v>262</v>
      </c>
      <c r="B51" s="166">
        <f t="shared" ref="B51:B55" si="10">SUM(C51,E51,G51,I51,K51,M51,O51,Q51)</f>
        <v>13548</v>
      </c>
      <c r="C51" s="149">
        <v>1198</v>
      </c>
      <c r="D51" s="150">
        <v>277.52800000000002</v>
      </c>
      <c r="E51" s="149" t="s">
        <v>358</v>
      </c>
      <c r="F51" s="150" t="s">
        <v>358</v>
      </c>
      <c r="G51" s="149">
        <v>52</v>
      </c>
      <c r="H51" s="150">
        <v>8.2799999999999994</v>
      </c>
      <c r="I51" s="149">
        <v>6605</v>
      </c>
      <c r="J51" s="149">
        <v>684.20399999999995</v>
      </c>
      <c r="K51" s="150">
        <v>1469</v>
      </c>
      <c r="L51" s="149">
        <v>261.358</v>
      </c>
      <c r="M51" s="150">
        <v>4221</v>
      </c>
      <c r="N51" s="149">
        <v>716.81200000000001</v>
      </c>
      <c r="O51" s="152" t="s">
        <v>358</v>
      </c>
      <c r="P51" s="149" t="s">
        <v>358</v>
      </c>
      <c r="Q51" s="150">
        <v>3</v>
      </c>
      <c r="R51" s="153">
        <v>0.56999999999999995</v>
      </c>
      <c r="S51" s="137" t="s">
        <v>306</v>
      </c>
    </row>
    <row r="52" spans="1:21" s="131" customFormat="1" ht="14.4" x14ac:dyDescent="0.3">
      <c r="A52" s="136" t="s">
        <v>263</v>
      </c>
      <c r="B52" s="166">
        <f t="shared" si="10"/>
        <v>9459</v>
      </c>
      <c r="C52" s="149">
        <v>835</v>
      </c>
      <c r="D52" s="150">
        <v>160.86000000000001</v>
      </c>
      <c r="E52" s="149" t="s">
        <v>358</v>
      </c>
      <c r="F52" s="150" t="s">
        <v>358</v>
      </c>
      <c r="G52" s="149">
        <v>93</v>
      </c>
      <c r="H52" s="150">
        <v>14.083</v>
      </c>
      <c r="I52" s="149">
        <v>4602</v>
      </c>
      <c r="J52" s="149">
        <v>569.06399999999996</v>
      </c>
      <c r="K52" s="150">
        <v>521</v>
      </c>
      <c r="L52" s="149">
        <v>85.83</v>
      </c>
      <c r="M52" s="150">
        <v>3217</v>
      </c>
      <c r="N52" s="149">
        <v>633.41899999999998</v>
      </c>
      <c r="O52" s="152">
        <v>191</v>
      </c>
      <c r="P52" s="149">
        <v>35.450000000000003</v>
      </c>
      <c r="Q52" s="150" t="s">
        <v>358</v>
      </c>
      <c r="R52" s="153" t="s">
        <v>358</v>
      </c>
      <c r="S52" s="137" t="s">
        <v>307</v>
      </c>
    </row>
    <row r="53" spans="1:21" s="131" customFormat="1" ht="14.4" x14ac:dyDescent="0.3">
      <c r="A53" s="136" t="s">
        <v>264</v>
      </c>
      <c r="B53" s="166">
        <f t="shared" si="10"/>
        <v>3619</v>
      </c>
      <c r="C53" s="149">
        <v>554</v>
      </c>
      <c r="D53" s="150">
        <v>94.147000000000006</v>
      </c>
      <c r="E53" s="149" t="s">
        <v>358</v>
      </c>
      <c r="F53" s="150" t="s">
        <v>358</v>
      </c>
      <c r="G53" s="149">
        <v>242</v>
      </c>
      <c r="H53" s="150">
        <v>43.92</v>
      </c>
      <c r="I53" s="149">
        <v>548</v>
      </c>
      <c r="J53" s="149">
        <v>61.115000000000002</v>
      </c>
      <c r="K53" s="150">
        <v>291</v>
      </c>
      <c r="L53" s="149">
        <v>36.965000000000003</v>
      </c>
      <c r="M53" s="150">
        <v>1983</v>
      </c>
      <c r="N53" s="149">
        <v>222.571</v>
      </c>
      <c r="O53" s="150">
        <v>1</v>
      </c>
      <c r="P53" s="149">
        <v>0.3</v>
      </c>
      <c r="Q53" s="152" t="s">
        <v>358</v>
      </c>
      <c r="R53" s="153" t="s">
        <v>358</v>
      </c>
      <c r="S53" s="137" t="s">
        <v>308</v>
      </c>
    </row>
    <row r="54" spans="1:21" s="131" customFormat="1" ht="14.4" x14ac:dyDescent="0.3">
      <c r="A54" s="136" t="s">
        <v>265</v>
      </c>
      <c r="B54" s="166">
        <f t="shared" si="10"/>
        <v>20</v>
      </c>
      <c r="C54" s="149">
        <v>13</v>
      </c>
      <c r="D54" s="150">
        <v>2.65</v>
      </c>
      <c r="E54" s="149" t="s">
        <v>358</v>
      </c>
      <c r="F54" s="150" t="s">
        <v>358</v>
      </c>
      <c r="G54" s="149" t="s">
        <v>358</v>
      </c>
      <c r="H54" s="150" t="s">
        <v>358</v>
      </c>
      <c r="I54" s="149">
        <v>7</v>
      </c>
      <c r="J54" s="149">
        <v>0.85</v>
      </c>
      <c r="K54" s="150" t="s">
        <v>358</v>
      </c>
      <c r="L54" s="149" t="s">
        <v>358</v>
      </c>
      <c r="M54" s="152" t="s">
        <v>358</v>
      </c>
      <c r="N54" s="149" t="s">
        <v>358</v>
      </c>
      <c r="O54" s="150" t="s">
        <v>358</v>
      </c>
      <c r="P54" s="149" t="s">
        <v>358</v>
      </c>
      <c r="Q54" s="152" t="s">
        <v>358</v>
      </c>
      <c r="R54" s="153" t="s">
        <v>358</v>
      </c>
      <c r="S54" s="137" t="s">
        <v>309</v>
      </c>
    </row>
    <row r="55" spans="1:21" s="131" customFormat="1" ht="14.4" x14ac:dyDescent="0.3">
      <c r="A55" s="136" t="s">
        <v>266</v>
      </c>
      <c r="B55" s="166">
        <f t="shared" si="10"/>
        <v>228</v>
      </c>
      <c r="C55" s="149">
        <v>28</v>
      </c>
      <c r="D55" s="150">
        <v>7.22</v>
      </c>
      <c r="E55" s="149" t="s">
        <v>358</v>
      </c>
      <c r="F55" s="150" t="s">
        <v>358</v>
      </c>
      <c r="G55" s="149">
        <v>7</v>
      </c>
      <c r="H55" s="150">
        <v>1.3</v>
      </c>
      <c r="I55" s="149">
        <v>62</v>
      </c>
      <c r="J55" s="149">
        <v>15.875</v>
      </c>
      <c r="K55" s="150">
        <v>116</v>
      </c>
      <c r="L55" s="149">
        <v>22.48</v>
      </c>
      <c r="M55" s="150">
        <v>13</v>
      </c>
      <c r="N55" s="149">
        <v>1.925</v>
      </c>
      <c r="O55" s="150">
        <v>2</v>
      </c>
      <c r="P55" s="149">
        <v>0.56999999999999995</v>
      </c>
      <c r="Q55" s="152" t="s">
        <v>358</v>
      </c>
      <c r="R55" s="153" t="s">
        <v>358</v>
      </c>
      <c r="S55" s="137" t="s">
        <v>310</v>
      </c>
    </row>
    <row r="56" spans="1:21" s="131" customFormat="1" ht="14.4" x14ac:dyDescent="0.3">
      <c r="A56" s="187" t="s">
        <v>15</v>
      </c>
      <c r="B56" s="198">
        <f>SUM(B58:B62)</f>
        <v>1162</v>
      </c>
      <c r="C56" s="191">
        <f>SUM(C58:C62)</f>
        <v>73</v>
      </c>
      <c r="D56" s="190">
        <f t="shared" ref="D56:R56" si="11">SUM(D58:D62)</f>
        <v>8.2200000000000006</v>
      </c>
      <c r="E56" s="191">
        <f t="shared" si="11"/>
        <v>0</v>
      </c>
      <c r="F56" s="190">
        <f t="shared" si="11"/>
        <v>0</v>
      </c>
      <c r="G56" s="191">
        <f t="shared" si="11"/>
        <v>16</v>
      </c>
      <c r="H56" s="190">
        <f t="shared" si="11"/>
        <v>2.7600000000000002</v>
      </c>
      <c r="I56" s="191">
        <f t="shared" si="11"/>
        <v>934</v>
      </c>
      <c r="J56" s="190">
        <f t="shared" si="11"/>
        <v>54.364999999999995</v>
      </c>
      <c r="K56" s="191">
        <f t="shared" si="11"/>
        <v>51</v>
      </c>
      <c r="L56" s="190">
        <f t="shared" si="11"/>
        <v>2.38</v>
      </c>
      <c r="M56" s="191">
        <f t="shared" si="11"/>
        <v>77</v>
      </c>
      <c r="N56" s="190">
        <f t="shared" si="11"/>
        <v>8.7629999999999999</v>
      </c>
      <c r="O56" s="191">
        <f t="shared" si="11"/>
        <v>11</v>
      </c>
      <c r="P56" s="190">
        <f t="shared" si="11"/>
        <v>1.5499999999999998</v>
      </c>
      <c r="Q56" s="191">
        <f t="shared" si="11"/>
        <v>0</v>
      </c>
      <c r="R56" s="193">
        <f t="shared" si="11"/>
        <v>0</v>
      </c>
      <c r="S56" s="194" t="s">
        <v>16</v>
      </c>
      <c r="T56" s="194"/>
      <c r="U56" s="194"/>
    </row>
    <row r="57" spans="1:21" s="131" customFormat="1" ht="14.4" x14ac:dyDescent="0.3">
      <c r="A57" s="187"/>
      <c r="B57" s="198"/>
      <c r="C57" s="191"/>
      <c r="D57" s="190"/>
      <c r="E57" s="191"/>
      <c r="F57" s="190"/>
      <c r="G57" s="191"/>
      <c r="H57" s="190"/>
      <c r="I57" s="191"/>
      <c r="J57" s="190"/>
      <c r="K57" s="191"/>
      <c r="L57" s="190"/>
      <c r="M57" s="191"/>
      <c r="N57" s="190"/>
      <c r="O57" s="191"/>
      <c r="P57" s="190"/>
      <c r="Q57" s="191"/>
      <c r="R57" s="193"/>
      <c r="S57" s="194"/>
      <c r="T57" s="194"/>
      <c r="U57" s="194"/>
    </row>
    <row r="58" spans="1:21" s="131" customFormat="1" ht="14.4" x14ac:dyDescent="0.3">
      <c r="A58" s="136" t="s">
        <v>267</v>
      </c>
      <c r="B58" s="166">
        <f t="shared" ref="B58:B62" si="12">SUM(C58,E58,G58,I58,K58,M58,O58,Q58)</f>
        <v>94</v>
      </c>
      <c r="C58" s="149">
        <v>67</v>
      </c>
      <c r="D58" s="150">
        <v>7.23</v>
      </c>
      <c r="E58" s="149" t="s">
        <v>358</v>
      </c>
      <c r="F58" s="150" t="s">
        <v>358</v>
      </c>
      <c r="G58" s="149">
        <v>9</v>
      </c>
      <c r="H58" s="150">
        <v>1.28</v>
      </c>
      <c r="I58" s="149">
        <v>2</v>
      </c>
      <c r="J58" s="149">
        <v>0.22</v>
      </c>
      <c r="K58" s="150">
        <v>3</v>
      </c>
      <c r="L58" s="149">
        <v>0.35</v>
      </c>
      <c r="M58" s="150">
        <v>7</v>
      </c>
      <c r="N58" s="149">
        <v>0.93</v>
      </c>
      <c r="O58" s="150">
        <v>6</v>
      </c>
      <c r="P58" s="149">
        <v>0.71</v>
      </c>
      <c r="Q58" s="150" t="s">
        <v>358</v>
      </c>
      <c r="R58" s="153" t="s">
        <v>358</v>
      </c>
      <c r="S58" s="137" t="s">
        <v>311</v>
      </c>
    </row>
    <row r="59" spans="1:21" s="131" customFormat="1" ht="14.4" x14ac:dyDescent="0.3">
      <c r="A59" s="136" t="s">
        <v>268</v>
      </c>
      <c r="B59" s="166">
        <f t="shared" si="12"/>
        <v>8</v>
      </c>
      <c r="C59" s="151" t="s">
        <v>358</v>
      </c>
      <c r="D59" s="150" t="s">
        <v>358</v>
      </c>
      <c r="E59" s="151" t="s">
        <v>358</v>
      </c>
      <c r="F59" s="150" t="s">
        <v>358</v>
      </c>
      <c r="G59" s="151">
        <v>1</v>
      </c>
      <c r="H59" s="150">
        <v>0.25</v>
      </c>
      <c r="I59" s="149">
        <v>1</v>
      </c>
      <c r="J59" s="149">
        <v>0.2</v>
      </c>
      <c r="K59" s="152">
        <v>5</v>
      </c>
      <c r="L59" s="149">
        <v>0.86</v>
      </c>
      <c r="M59" s="150">
        <v>1</v>
      </c>
      <c r="N59" s="149">
        <v>0.2</v>
      </c>
      <c r="O59" s="152" t="s">
        <v>358</v>
      </c>
      <c r="P59" s="149" t="s">
        <v>358</v>
      </c>
      <c r="Q59" s="152" t="s">
        <v>358</v>
      </c>
      <c r="R59" s="153" t="s">
        <v>358</v>
      </c>
      <c r="S59" s="137" t="s">
        <v>312</v>
      </c>
    </row>
    <row r="60" spans="1:21" s="131" customFormat="1" ht="14.4" x14ac:dyDescent="0.3">
      <c r="A60" s="136" t="s">
        <v>269</v>
      </c>
      <c r="B60" s="166">
        <f t="shared" si="12"/>
        <v>0</v>
      </c>
      <c r="C60" s="151" t="s">
        <v>358</v>
      </c>
      <c r="D60" s="150" t="s">
        <v>358</v>
      </c>
      <c r="E60" s="151" t="s">
        <v>358</v>
      </c>
      <c r="F60" s="150" t="s">
        <v>358</v>
      </c>
      <c r="G60" s="149" t="s">
        <v>358</v>
      </c>
      <c r="H60" s="150" t="s">
        <v>358</v>
      </c>
      <c r="I60" s="149" t="s">
        <v>358</v>
      </c>
      <c r="J60" s="149" t="s">
        <v>358</v>
      </c>
      <c r="K60" s="150" t="s">
        <v>358</v>
      </c>
      <c r="L60" s="149" t="s">
        <v>358</v>
      </c>
      <c r="M60" s="152" t="s">
        <v>358</v>
      </c>
      <c r="N60" s="149" t="s">
        <v>358</v>
      </c>
      <c r="O60" s="152" t="s">
        <v>358</v>
      </c>
      <c r="P60" s="149" t="s">
        <v>358</v>
      </c>
      <c r="Q60" s="152" t="s">
        <v>358</v>
      </c>
      <c r="R60" s="153" t="s">
        <v>358</v>
      </c>
      <c r="S60" s="137" t="s">
        <v>313</v>
      </c>
    </row>
    <row r="61" spans="1:21" s="131" customFormat="1" ht="14.4" x14ac:dyDescent="0.3">
      <c r="A61" s="136" t="s">
        <v>270</v>
      </c>
      <c r="B61" s="166">
        <f t="shared" si="12"/>
        <v>117</v>
      </c>
      <c r="C61" s="151">
        <v>6</v>
      </c>
      <c r="D61" s="150">
        <v>0.99</v>
      </c>
      <c r="E61" s="151" t="s">
        <v>358</v>
      </c>
      <c r="F61" s="150" t="s">
        <v>358</v>
      </c>
      <c r="G61" s="149">
        <v>5</v>
      </c>
      <c r="H61" s="150">
        <v>1.08</v>
      </c>
      <c r="I61" s="149">
        <v>50</v>
      </c>
      <c r="J61" s="149">
        <v>10.145</v>
      </c>
      <c r="K61" s="150">
        <v>1</v>
      </c>
      <c r="L61" s="149">
        <v>0.2</v>
      </c>
      <c r="M61" s="152">
        <v>50</v>
      </c>
      <c r="N61" s="149">
        <v>6.2830000000000004</v>
      </c>
      <c r="O61" s="152">
        <v>5</v>
      </c>
      <c r="P61" s="149">
        <v>0.84</v>
      </c>
      <c r="Q61" s="152" t="s">
        <v>358</v>
      </c>
      <c r="R61" s="153" t="s">
        <v>358</v>
      </c>
      <c r="S61" s="137" t="s">
        <v>314</v>
      </c>
    </row>
    <row r="62" spans="1:21" s="131" customFormat="1" ht="14.4" x14ac:dyDescent="0.3">
      <c r="A62" s="136" t="s">
        <v>271</v>
      </c>
      <c r="B62" s="166">
        <f t="shared" si="12"/>
        <v>943</v>
      </c>
      <c r="C62" s="151" t="s">
        <v>358</v>
      </c>
      <c r="D62" s="150" t="s">
        <v>358</v>
      </c>
      <c r="E62" s="151" t="s">
        <v>358</v>
      </c>
      <c r="F62" s="150" t="s">
        <v>358</v>
      </c>
      <c r="G62" s="151">
        <v>1</v>
      </c>
      <c r="H62" s="150">
        <v>0.15</v>
      </c>
      <c r="I62" s="149">
        <v>881</v>
      </c>
      <c r="J62" s="149">
        <v>43.8</v>
      </c>
      <c r="K62" s="150">
        <v>42</v>
      </c>
      <c r="L62" s="149">
        <v>0.97</v>
      </c>
      <c r="M62" s="150">
        <v>19</v>
      </c>
      <c r="N62" s="149">
        <v>1.35</v>
      </c>
      <c r="O62" s="152" t="s">
        <v>358</v>
      </c>
      <c r="P62" s="149" t="s">
        <v>358</v>
      </c>
      <c r="Q62" s="152" t="s">
        <v>358</v>
      </c>
      <c r="R62" s="153" t="s">
        <v>358</v>
      </c>
      <c r="S62" s="137" t="s">
        <v>315</v>
      </c>
    </row>
    <row r="63" spans="1:21" s="131" customFormat="1" ht="14.4" x14ac:dyDescent="0.3">
      <c r="A63" s="187" t="s">
        <v>17</v>
      </c>
      <c r="B63" s="198">
        <f>SUM(B65:B67)</f>
        <v>1050</v>
      </c>
      <c r="C63" s="191">
        <f>SUM(C65:C67)</f>
        <v>226</v>
      </c>
      <c r="D63" s="190">
        <f t="shared" ref="D63:R63" si="13">SUM(D65:D67)</f>
        <v>46.484000000000002</v>
      </c>
      <c r="E63" s="191">
        <f t="shared" si="13"/>
        <v>0</v>
      </c>
      <c r="F63" s="190">
        <f t="shared" si="13"/>
        <v>0</v>
      </c>
      <c r="G63" s="191">
        <f t="shared" si="13"/>
        <v>158</v>
      </c>
      <c r="H63" s="190">
        <f t="shared" si="13"/>
        <v>38.590000000000003</v>
      </c>
      <c r="I63" s="191">
        <f t="shared" si="13"/>
        <v>322</v>
      </c>
      <c r="J63" s="190">
        <f t="shared" si="13"/>
        <v>43.748999999999995</v>
      </c>
      <c r="K63" s="191">
        <f t="shared" si="13"/>
        <v>31</v>
      </c>
      <c r="L63" s="190">
        <f t="shared" si="13"/>
        <v>5.4640000000000004</v>
      </c>
      <c r="M63" s="191">
        <f t="shared" si="13"/>
        <v>272</v>
      </c>
      <c r="N63" s="190">
        <f t="shared" si="13"/>
        <v>48.823999999999998</v>
      </c>
      <c r="O63" s="191">
        <f t="shared" si="13"/>
        <v>9</v>
      </c>
      <c r="P63" s="190">
        <f t="shared" si="13"/>
        <v>1.85</v>
      </c>
      <c r="Q63" s="191">
        <f t="shared" si="13"/>
        <v>32</v>
      </c>
      <c r="R63" s="193">
        <f t="shared" si="13"/>
        <v>5.28</v>
      </c>
      <c r="S63" s="189" t="s">
        <v>18</v>
      </c>
      <c r="T63" s="189"/>
      <c r="U63" s="189"/>
    </row>
    <row r="64" spans="1:21" s="131" customFormat="1" ht="14.4" x14ac:dyDescent="0.3">
      <c r="A64" s="187"/>
      <c r="B64" s="198"/>
      <c r="C64" s="191"/>
      <c r="D64" s="190"/>
      <c r="E64" s="191"/>
      <c r="F64" s="190"/>
      <c r="G64" s="191"/>
      <c r="H64" s="190"/>
      <c r="I64" s="191"/>
      <c r="J64" s="190"/>
      <c r="K64" s="191"/>
      <c r="L64" s="190"/>
      <c r="M64" s="191"/>
      <c r="N64" s="190"/>
      <c r="O64" s="191"/>
      <c r="P64" s="190"/>
      <c r="Q64" s="191"/>
      <c r="R64" s="193"/>
      <c r="S64" s="189"/>
      <c r="T64" s="189"/>
      <c r="U64" s="189"/>
    </row>
    <row r="65" spans="1:22" s="131" customFormat="1" ht="14.4" x14ac:dyDescent="0.3">
      <c r="A65" s="136" t="s">
        <v>272</v>
      </c>
      <c r="B65" s="166">
        <f>SUM(C65,E65,G65,I65,K65,M65,O65,Q65)</f>
        <v>322</v>
      </c>
      <c r="C65" s="149">
        <v>74</v>
      </c>
      <c r="D65" s="150">
        <v>13.72</v>
      </c>
      <c r="E65" s="149" t="s">
        <v>358</v>
      </c>
      <c r="F65" s="150" t="s">
        <v>358</v>
      </c>
      <c r="G65" s="149">
        <v>78</v>
      </c>
      <c r="H65" s="150">
        <v>22.5</v>
      </c>
      <c r="I65" s="149">
        <v>54</v>
      </c>
      <c r="J65" s="149">
        <v>5.7690000000000001</v>
      </c>
      <c r="K65" s="150">
        <v>16</v>
      </c>
      <c r="L65" s="149">
        <v>2.464</v>
      </c>
      <c r="M65" s="152">
        <v>93</v>
      </c>
      <c r="N65" s="149">
        <v>18.95</v>
      </c>
      <c r="O65" s="150" t="s">
        <v>358</v>
      </c>
      <c r="P65" s="149" t="s">
        <v>358</v>
      </c>
      <c r="Q65" s="150">
        <v>7</v>
      </c>
      <c r="R65" s="153">
        <v>1.35</v>
      </c>
      <c r="S65" s="137" t="s">
        <v>316</v>
      </c>
    </row>
    <row r="66" spans="1:22" s="131" customFormat="1" ht="14.4" x14ac:dyDescent="0.3">
      <c r="A66" s="136" t="s">
        <v>273</v>
      </c>
      <c r="B66" s="166">
        <f>SUM(C66,E66,G66,I66,K66,M66,O66,Q66)</f>
        <v>568</v>
      </c>
      <c r="C66" s="149">
        <v>90</v>
      </c>
      <c r="D66" s="150">
        <v>22.524000000000001</v>
      </c>
      <c r="E66" s="149" t="s">
        <v>358</v>
      </c>
      <c r="F66" s="150" t="s">
        <v>358</v>
      </c>
      <c r="G66" s="149">
        <v>37</v>
      </c>
      <c r="H66" s="150">
        <v>10.5</v>
      </c>
      <c r="I66" s="149">
        <v>249</v>
      </c>
      <c r="J66" s="149">
        <v>35.26</v>
      </c>
      <c r="K66" s="150">
        <v>15</v>
      </c>
      <c r="L66" s="149">
        <v>3</v>
      </c>
      <c r="M66" s="150">
        <v>146</v>
      </c>
      <c r="N66" s="149">
        <v>24.704000000000001</v>
      </c>
      <c r="O66" s="150">
        <v>6</v>
      </c>
      <c r="P66" s="149">
        <v>1.25</v>
      </c>
      <c r="Q66" s="150">
        <v>25</v>
      </c>
      <c r="R66" s="153">
        <v>3.93</v>
      </c>
      <c r="S66" s="186" t="s">
        <v>317</v>
      </c>
      <c r="T66" s="186"/>
      <c r="U66" s="186"/>
    </row>
    <row r="67" spans="1:22" s="131" customFormat="1" ht="14.4" x14ac:dyDescent="0.3">
      <c r="A67" s="136" t="s">
        <v>274</v>
      </c>
      <c r="B67" s="166">
        <f>SUM(C67,E67,G67,I67,K67,M67,O67,Q67)</f>
        <v>160</v>
      </c>
      <c r="C67" s="149">
        <v>62</v>
      </c>
      <c r="D67" s="150">
        <v>10.24</v>
      </c>
      <c r="E67" s="151" t="s">
        <v>358</v>
      </c>
      <c r="F67" s="150" t="s">
        <v>358</v>
      </c>
      <c r="G67" s="149">
        <v>43</v>
      </c>
      <c r="H67" s="150">
        <v>5.59</v>
      </c>
      <c r="I67" s="149">
        <v>19</v>
      </c>
      <c r="J67" s="149">
        <v>2.72</v>
      </c>
      <c r="K67" s="150" t="s">
        <v>358</v>
      </c>
      <c r="L67" s="149" t="s">
        <v>358</v>
      </c>
      <c r="M67" s="152">
        <v>33</v>
      </c>
      <c r="N67" s="149">
        <v>5.17</v>
      </c>
      <c r="O67" s="150">
        <v>3</v>
      </c>
      <c r="P67" s="149">
        <v>0.6</v>
      </c>
      <c r="Q67" s="150" t="s">
        <v>358</v>
      </c>
      <c r="R67" s="153" t="s">
        <v>358</v>
      </c>
      <c r="S67" s="137" t="s">
        <v>318</v>
      </c>
    </row>
    <row r="68" spans="1:22" s="131" customFormat="1" ht="14.4" x14ac:dyDescent="0.3">
      <c r="A68" s="187" t="s">
        <v>19</v>
      </c>
      <c r="B68" s="198">
        <f>SUM(B70:B74)</f>
        <v>4484</v>
      </c>
      <c r="C68" s="191">
        <f>SUM(C70:C74)</f>
        <v>1780</v>
      </c>
      <c r="D68" s="190">
        <f t="shared" ref="D68:R68" si="14">SUM(D70:D74)</f>
        <v>487.73499999999996</v>
      </c>
      <c r="E68" s="191">
        <f t="shared" si="14"/>
        <v>66</v>
      </c>
      <c r="F68" s="190">
        <f t="shared" si="14"/>
        <v>18.48</v>
      </c>
      <c r="G68" s="191">
        <f t="shared" si="14"/>
        <v>250</v>
      </c>
      <c r="H68" s="190">
        <f t="shared" si="14"/>
        <v>66.334999999999994</v>
      </c>
      <c r="I68" s="191">
        <f t="shared" si="14"/>
        <v>589</v>
      </c>
      <c r="J68" s="190">
        <f t="shared" si="14"/>
        <v>93.86</v>
      </c>
      <c r="K68" s="191">
        <f t="shared" si="14"/>
        <v>479</v>
      </c>
      <c r="L68" s="190">
        <f t="shared" si="14"/>
        <v>89.58</v>
      </c>
      <c r="M68" s="191">
        <f t="shared" si="14"/>
        <v>1237</v>
      </c>
      <c r="N68" s="190">
        <f t="shared" si="14"/>
        <v>233.35599999999999</v>
      </c>
      <c r="O68" s="191">
        <f t="shared" si="14"/>
        <v>19</v>
      </c>
      <c r="P68" s="190">
        <f t="shared" si="14"/>
        <v>5.5049999999999999</v>
      </c>
      <c r="Q68" s="191">
        <f t="shared" si="14"/>
        <v>64</v>
      </c>
      <c r="R68" s="193">
        <f t="shared" si="14"/>
        <v>12.35</v>
      </c>
      <c r="S68" s="189" t="s">
        <v>20</v>
      </c>
      <c r="T68" s="189"/>
      <c r="U68" s="189"/>
    </row>
    <row r="69" spans="1:22" s="131" customFormat="1" ht="14.4" x14ac:dyDescent="0.3">
      <c r="A69" s="187"/>
      <c r="B69" s="198"/>
      <c r="C69" s="191"/>
      <c r="D69" s="190"/>
      <c r="E69" s="191"/>
      <c r="F69" s="190"/>
      <c r="G69" s="191"/>
      <c r="H69" s="190"/>
      <c r="I69" s="191"/>
      <c r="J69" s="190"/>
      <c r="K69" s="191"/>
      <c r="L69" s="190"/>
      <c r="M69" s="191"/>
      <c r="N69" s="190"/>
      <c r="O69" s="191"/>
      <c r="P69" s="190"/>
      <c r="Q69" s="191"/>
      <c r="R69" s="193"/>
      <c r="S69" s="189"/>
      <c r="T69" s="189"/>
      <c r="U69" s="189"/>
    </row>
    <row r="70" spans="1:22" s="131" customFormat="1" ht="14.4" x14ac:dyDescent="0.3">
      <c r="A70" s="136" t="s">
        <v>275</v>
      </c>
      <c r="B70" s="166">
        <f t="shared" ref="B70:B74" si="15">SUM(C70,E70,G70,I70,K70,M70,O70,Q70)</f>
        <v>1074</v>
      </c>
      <c r="C70" s="149">
        <v>292</v>
      </c>
      <c r="D70" s="150">
        <v>80.680000000000007</v>
      </c>
      <c r="E70" s="151" t="s">
        <v>358</v>
      </c>
      <c r="F70" s="150" t="s">
        <v>358</v>
      </c>
      <c r="G70" s="149">
        <v>184</v>
      </c>
      <c r="H70" s="150">
        <v>54.23</v>
      </c>
      <c r="I70" s="149">
        <v>126</v>
      </c>
      <c r="J70" s="149">
        <v>24.9</v>
      </c>
      <c r="K70" s="150">
        <v>122</v>
      </c>
      <c r="L70" s="149">
        <v>20.45</v>
      </c>
      <c r="M70" s="150">
        <v>349</v>
      </c>
      <c r="N70" s="149">
        <v>60.56</v>
      </c>
      <c r="O70" s="150" t="s">
        <v>358</v>
      </c>
      <c r="P70" s="149" t="s">
        <v>358</v>
      </c>
      <c r="Q70" s="152">
        <v>1</v>
      </c>
      <c r="R70" s="153">
        <v>0.2</v>
      </c>
      <c r="S70" s="137" t="s">
        <v>319</v>
      </c>
    </row>
    <row r="71" spans="1:22" s="131" customFormat="1" ht="14.4" x14ac:dyDescent="0.3">
      <c r="A71" s="136" t="s">
        <v>276</v>
      </c>
      <c r="B71" s="166">
        <f t="shared" si="15"/>
        <v>602</v>
      </c>
      <c r="C71" s="149">
        <v>165</v>
      </c>
      <c r="D71" s="150">
        <v>41.79</v>
      </c>
      <c r="E71" s="151" t="s">
        <v>358</v>
      </c>
      <c r="F71" s="150" t="s">
        <v>358</v>
      </c>
      <c r="G71" s="149">
        <v>50</v>
      </c>
      <c r="H71" s="150">
        <v>8.82</v>
      </c>
      <c r="I71" s="151">
        <v>93</v>
      </c>
      <c r="J71" s="149">
        <v>13.08</v>
      </c>
      <c r="K71" s="152">
        <v>12</v>
      </c>
      <c r="L71" s="149">
        <v>1.82</v>
      </c>
      <c r="M71" s="152">
        <v>263</v>
      </c>
      <c r="N71" s="149">
        <v>49.65</v>
      </c>
      <c r="O71" s="152">
        <v>16</v>
      </c>
      <c r="P71" s="149">
        <v>4.6849999999999996</v>
      </c>
      <c r="Q71" s="152">
        <v>3</v>
      </c>
      <c r="R71" s="153">
        <v>0.55000000000000004</v>
      </c>
      <c r="S71" s="137" t="s">
        <v>320</v>
      </c>
    </row>
    <row r="72" spans="1:22" s="131" customFormat="1" ht="14.4" x14ac:dyDescent="0.3">
      <c r="A72" s="136" t="s">
        <v>277</v>
      </c>
      <c r="B72" s="166">
        <f>SUM(C72,E72,G72,I72,K72,M72,O72,Q72)</f>
        <v>2176</v>
      </c>
      <c r="C72" s="149">
        <v>1318</v>
      </c>
      <c r="D72" s="150">
        <v>364.08</v>
      </c>
      <c r="E72" s="151">
        <v>66</v>
      </c>
      <c r="F72" s="150">
        <v>18.48</v>
      </c>
      <c r="G72" s="149">
        <v>16</v>
      </c>
      <c r="H72" s="150">
        <v>3.2850000000000001</v>
      </c>
      <c r="I72" s="149">
        <v>227</v>
      </c>
      <c r="J72" s="149">
        <v>36.299999999999997</v>
      </c>
      <c r="K72" s="150">
        <v>345</v>
      </c>
      <c r="L72" s="149">
        <v>67.31</v>
      </c>
      <c r="M72" s="150">
        <v>144</v>
      </c>
      <c r="N72" s="149">
        <v>32.819000000000003</v>
      </c>
      <c r="O72" s="150" t="s">
        <v>358</v>
      </c>
      <c r="P72" s="149" t="s">
        <v>358</v>
      </c>
      <c r="Q72" s="152">
        <v>60</v>
      </c>
      <c r="R72" s="153">
        <v>11.6</v>
      </c>
      <c r="S72" s="137" t="s">
        <v>321</v>
      </c>
    </row>
    <row r="73" spans="1:22" s="131" customFormat="1" ht="14.4" x14ac:dyDescent="0.3">
      <c r="A73" s="136" t="s">
        <v>278</v>
      </c>
      <c r="B73" s="166">
        <f t="shared" si="15"/>
        <v>476</v>
      </c>
      <c r="C73" s="149">
        <v>3</v>
      </c>
      <c r="D73" s="150">
        <v>0.9</v>
      </c>
      <c r="E73" s="149" t="s">
        <v>358</v>
      </c>
      <c r="F73" s="150" t="s">
        <v>358</v>
      </c>
      <c r="G73" s="149" t="s">
        <v>358</v>
      </c>
      <c r="H73" s="150" t="s">
        <v>358</v>
      </c>
      <c r="I73" s="151">
        <v>66</v>
      </c>
      <c r="J73" s="149">
        <v>11.88</v>
      </c>
      <c r="K73" s="152" t="s">
        <v>358</v>
      </c>
      <c r="L73" s="149" t="s">
        <v>358</v>
      </c>
      <c r="M73" s="152">
        <v>404</v>
      </c>
      <c r="N73" s="149">
        <v>75.155000000000001</v>
      </c>
      <c r="O73" s="150">
        <v>3</v>
      </c>
      <c r="P73" s="149">
        <v>0.82</v>
      </c>
      <c r="Q73" s="152" t="s">
        <v>358</v>
      </c>
      <c r="R73" s="153" t="s">
        <v>358</v>
      </c>
      <c r="S73" s="137" t="s">
        <v>322</v>
      </c>
    </row>
    <row r="74" spans="1:22" s="131" customFormat="1" ht="14.4" x14ac:dyDescent="0.3">
      <c r="A74" s="136" t="s">
        <v>279</v>
      </c>
      <c r="B74" s="166">
        <f t="shared" si="15"/>
        <v>156</v>
      </c>
      <c r="C74" s="149">
        <v>2</v>
      </c>
      <c r="D74" s="150">
        <v>0.28499999999999998</v>
      </c>
      <c r="E74" s="151" t="s">
        <v>358</v>
      </c>
      <c r="F74" s="150" t="s">
        <v>358</v>
      </c>
      <c r="G74" s="151" t="s">
        <v>358</v>
      </c>
      <c r="H74" s="150" t="s">
        <v>358</v>
      </c>
      <c r="I74" s="151">
        <v>77</v>
      </c>
      <c r="J74" s="149">
        <v>7.7</v>
      </c>
      <c r="K74" s="150" t="s">
        <v>358</v>
      </c>
      <c r="L74" s="149" t="s">
        <v>358</v>
      </c>
      <c r="M74" s="152">
        <v>77</v>
      </c>
      <c r="N74" s="149">
        <v>15.172000000000001</v>
      </c>
      <c r="O74" s="150" t="s">
        <v>358</v>
      </c>
      <c r="P74" s="149" t="s">
        <v>358</v>
      </c>
      <c r="Q74" s="152" t="s">
        <v>358</v>
      </c>
      <c r="R74" s="153" t="s">
        <v>358</v>
      </c>
      <c r="S74" s="137" t="s">
        <v>323</v>
      </c>
    </row>
    <row r="75" spans="1:22" s="131" customFormat="1" ht="14.4" x14ac:dyDescent="0.3">
      <c r="A75" s="187" t="s">
        <v>21</v>
      </c>
      <c r="B75" s="198">
        <f>SUM(B77:B84)</f>
        <v>1264</v>
      </c>
      <c r="C75" s="191">
        <f>SUM(C77:C84)</f>
        <v>162</v>
      </c>
      <c r="D75" s="190">
        <f t="shared" ref="D75:R75" si="16">SUM(D77:D84)</f>
        <v>39.410000000000004</v>
      </c>
      <c r="E75" s="191">
        <f t="shared" si="16"/>
        <v>0</v>
      </c>
      <c r="F75" s="190">
        <f t="shared" si="16"/>
        <v>0</v>
      </c>
      <c r="G75" s="191">
        <f t="shared" si="16"/>
        <v>23</v>
      </c>
      <c r="H75" s="190">
        <f t="shared" si="16"/>
        <v>4.41</v>
      </c>
      <c r="I75" s="191">
        <f t="shared" si="16"/>
        <v>575</v>
      </c>
      <c r="J75" s="190">
        <f t="shared" si="16"/>
        <v>63.010000000000005</v>
      </c>
      <c r="K75" s="191">
        <f t="shared" si="16"/>
        <v>28</v>
      </c>
      <c r="L75" s="190">
        <f t="shared" si="16"/>
        <v>6.65</v>
      </c>
      <c r="M75" s="191">
        <f t="shared" si="16"/>
        <v>464</v>
      </c>
      <c r="N75" s="190">
        <f t="shared" si="16"/>
        <v>66.75800000000001</v>
      </c>
      <c r="O75" s="191">
        <f t="shared" si="16"/>
        <v>12</v>
      </c>
      <c r="P75" s="190">
        <f t="shared" si="16"/>
        <v>3.5</v>
      </c>
      <c r="Q75" s="191">
        <f t="shared" si="16"/>
        <v>0</v>
      </c>
      <c r="R75" s="193">
        <f t="shared" si="16"/>
        <v>0</v>
      </c>
      <c r="S75" s="194" t="s">
        <v>22</v>
      </c>
      <c r="T75" s="194"/>
      <c r="U75" s="194"/>
    </row>
    <row r="76" spans="1:22" s="131" customFormat="1" ht="14.4" x14ac:dyDescent="0.3">
      <c r="A76" s="187"/>
      <c r="B76" s="198"/>
      <c r="C76" s="191"/>
      <c r="D76" s="190"/>
      <c r="E76" s="191"/>
      <c r="F76" s="190"/>
      <c r="G76" s="191"/>
      <c r="H76" s="190"/>
      <c r="I76" s="191"/>
      <c r="J76" s="190"/>
      <c r="K76" s="191"/>
      <c r="L76" s="190"/>
      <c r="M76" s="191"/>
      <c r="N76" s="190"/>
      <c r="O76" s="191"/>
      <c r="P76" s="190"/>
      <c r="Q76" s="191"/>
      <c r="R76" s="193"/>
      <c r="S76" s="194"/>
      <c r="T76" s="194"/>
      <c r="U76" s="194"/>
    </row>
    <row r="77" spans="1:22" s="131" customFormat="1" ht="14.4" x14ac:dyDescent="0.3">
      <c r="A77" s="141" t="s">
        <v>107</v>
      </c>
      <c r="B77" s="166">
        <f t="shared" ref="B77:B80" si="17">SUM(C77,E77,G77,I77,K77,M77,O77,Q77)</f>
        <v>0</v>
      </c>
      <c r="C77" s="149" t="s">
        <v>358</v>
      </c>
      <c r="D77" s="150" t="s">
        <v>358</v>
      </c>
      <c r="E77" s="151" t="s">
        <v>358</v>
      </c>
      <c r="F77" s="150" t="s">
        <v>358</v>
      </c>
      <c r="G77" s="151" t="s">
        <v>358</v>
      </c>
      <c r="H77" s="150" t="s">
        <v>358</v>
      </c>
      <c r="I77" s="151" t="s">
        <v>358</v>
      </c>
      <c r="J77" s="149" t="s">
        <v>358</v>
      </c>
      <c r="K77" s="150" t="s">
        <v>358</v>
      </c>
      <c r="L77" s="149" t="s">
        <v>358</v>
      </c>
      <c r="M77" s="152" t="s">
        <v>358</v>
      </c>
      <c r="N77" s="149" t="s">
        <v>358</v>
      </c>
      <c r="O77" s="150" t="s">
        <v>358</v>
      </c>
      <c r="P77" s="149" t="s">
        <v>358</v>
      </c>
      <c r="Q77" s="152" t="s">
        <v>358</v>
      </c>
      <c r="R77" s="153" t="s">
        <v>358</v>
      </c>
      <c r="S77" s="186" t="s">
        <v>324</v>
      </c>
      <c r="T77" s="186"/>
      <c r="U77" s="186"/>
      <c r="V77" s="186"/>
    </row>
    <row r="78" spans="1:22" s="131" customFormat="1" ht="14.4" x14ac:dyDescent="0.3">
      <c r="A78" s="136" t="s">
        <v>108</v>
      </c>
      <c r="B78" s="166">
        <f t="shared" si="17"/>
        <v>0</v>
      </c>
      <c r="C78" s="149" t="s">
        <v>358</v>
      </c>
      <c r="D78" s="150" t="s">
        <v>358</v>
      </c>
      <c r="E78" s="151" t="s">
        <v>358</v>
      </c>
      <c r="F78" s="150" t="s">
        <v>358</v>
      </c>
      <c r="G78" s="151" t="s">
        <v>358</v>
      </c>
      <c r="H78" s="150" t="s">
        <v>358</v>
      </c>
      <c r="I78" s="151" t="s">
        <v>358</v>
      </c>
      <c r="J78" s="149" t="s">
        <v>358</v>
      </c>
      <c r="K78" s="150" t="s">
        <v>358</v>
      </c>
      <c r="L78" s="149" t="s">
        <v>358</v>
      </c>
      <c r="M78" s="152" t="s">
        <v>358</v>
      </c>
      <c r="N78" s="149" t="s">
        <v>358</v>
      </c>
      <c r="O78" s="150" t="s">
        <v>358</v>
      </c>
      <c r="P78" s="149" t="s">
        <v>358</v>
      </c>
      <c r="Q78" s="152" t="s">
        <v>358</v>
      </c>
      <c r="R78" s="153" t="s">
        <v>358</v>
      </c>
      <c r="S78" s="186" t="s">
        <v>325</v>
      </c>
      <c r="T78" s="186"/>
      <c r="U78" s="186"/>
      <c r="V78" s="186"/>
    </row>
    <row r="79" spans="1:22" s="131" customFormat="1" ht="14.4" x14ac:dyDescent="0.3">
      <c r="A79" s="136" t="s">
        <v>210</v>
      </c>
      <c r="B79" s="166">
        <f t="shared" si="17"/>
        <v>0</v>
      </c>
      <c r="C79" s="149" t="s">
        <v>358</v>
      </c>
      <c r="D79" s="150" t="s">
        <v>358</v>
      </c>
      <c r="E79" s="151" t="s">
        <v>358</v>
      </c>
      <c r="F79" s="150" t="s">
        <v>358</v>
      </c>
      <c r="G79" s="151" t="s">
        <v>358</v>
      </c>
      <c r="H79" s="150" t="s">
        <v>358</v>
      </c>
      <c r="I79" s="151" t="s">
        <v>358</v>
      </c>
      <c r="J79" s="149" t="s">
        <v>358</v>
      </c>
      <c r="K79" s="150" t="s">
        <v>358</v>
      </c>
      <c r="L79" s="149" t="s">
        <v>358</v>
      </c>
      <c r="M79" s="152" t="s">
        <v>358</v>
      </c>
      <c r="N79" s="149" t="s">
        <v>358</v>
      </c>
      <c r="O79" s="150" t="s">
        <v>358</v>
      </c>
      <c r="P79" s="149" t="s">
        <v>358</v>
      </c>
      <c r="Q79" s="152" t="s">
        <v>358</v>
      </c>
      <c r="R79" s="153" t="s">
        <v>358</v>
      </c>
      <c r="S79" s="186" t="s">
        <v>326</v>
      </c>
      <c r="T79" s="186"/>
      <c r="U79" s="186"/>
      <c r="V79" s="186"/>
    </row>
    <row r="80" spans="1:22" s="131" customFormat="1" ht="14.4" x14ac:dyDescent="0.3">
      <c r="A80" s="136" t="s">
        <v>211</v>
      </c>
      <c r="B80" s="166">
        <f t="shared" si="17"/>
        <v>0</v>
      </c>
      <c r="C80" s="149" t="s">
        <v>358</v>
      </c>
      <c r="D80" s="150" t="s">
        <v>358</v>
      </c>
      <c r="E80" s="151" t="s">
        <v>358</v>
      </c>
      <c r="F80" s="150" t="s">
        <v>358</v>
      </c>
      <c r="G80" s="151" t="s">
        <v>358</v>
      </c>
      <c r="H80" s="150" t="s">
        <v>358</v>
      </c>
      <c r="I80" s="151" t="s">
        <v>358</v>
      </c>
      <c r="J80" s="149" t="s">
        <v>358</v>
      </c>
      <c r="K80" s="150" t="s">
        <v>358</v>
      </c>
      <c r="L80" s="149" t="s">
        <v>358</v>
      </c>
      <c r="M80" s="152" t="s">
        <v>358</v>
      </c>
      <c r="N80" s="149" t="s">
        <v>358</v>
      </c>
      <c r="O80" s="150" t="s">
        <v>358</v>
      </c>
      <c r="P80" s="149" t="s">
        <v>358</v>
      </c>
      <c r="Q80" s="152" t="s">
        <v>358</v>
      </c>
      <c r="R80" s="153" t="s">
        <v>358</v>
      </c>
      <c r="S80" s="186" t="s">
        <v>327</v>
      </c>
      <c r="T80" s="186"/>
      <c r="U80" s="186"/>
      <c r="V80" s="186"/>
    </row>
    <row r="81" spans="1:22" s="131" customFormat="1" ht="14.4" x14ac:dyDescent="0.3">
      <c r="A81" s="136" t="s">
        <v>212</v>
      </c>
      <c r="B81" s="166">
        <f>SUM(C81,E81,G81,I81,K81,M81,O81,Q81)</f>
        <v>462</v>
      </c>
      <c r="C81" s="149">
        <v>94</v>
      </c>
      <c r="D81" s="150">
        <v>25.76</v>
      </c>
      <c r="E81" s="149" t="s">
        <v>358</v>
      </c>
      <c r="F81" s="150" t="s">
        <v>358</v>
      </c>
      <c r="G81" s="149">
        <v>16</v>
      </c>
      <c r="H81" s="150">
        <v>3.18</v>
      </c>
      <c r="I81" s="149">
        <v>83</v>
      </c>
      <c r="J81" s="149">
        <v>13.48</v>
      </c>
      <c r="K81" s="150">
        <v>8</v>
      </c>
      <c r="L81" s="149">
        <v>1.6</v>
      </c>
      <c r="M81" s="150">
        <v>249</v>
      </c>
      <c r="N81" s="149">
        <v>33.558</v>
      </c>
      <c r="O81" s="150">
        <v>12</v>
      </c>
      <c r="P81" s="149">
        <v>3.5</v>
      </c>
      <c r="Q81" s="152" t="s">
        <v>358</v>
      </c>
      <c r="R81" s="153" t="s">
        <v>358</v>
      </c>
      <c r="S81" s="186" t="s">
        <v>328</v>
      </c>
      <c r="T81" s="186"/>
      <c r="U81" s="186"/>
      <c r="V81" s="186"/>
    </row>
    <row r="82" spans="1:22" s="131" customFormat="1" ht="14.4" x14ac:dyDescent="0.3">
      <c r="A82" s="136" t="s">
        <v>213</v>
      </c>
      <c r="B82" s="166">
        <f>SUM(C82,E82,G82,I82,K82,M82,O82,Q82)</f>
        <v>802</v>
      </c>
      <c r="C82" s="149">
        <v>68</v>
      </c>
      <c r="D82" s="150">
        <v>13.65</v>
      </c>
      <c r="E82" s="151" t="s">
        <v>358</v>
      </c>
      <c r="F82" s="150" t="s">
        <v>358</v>
      </c>
      <c r="G82" s="149">
        <v>7</v>
      </c>
      <c r="H82" s="150">
        <v>1.23</v>
      </c>
      <c r="I82" s="149">
        <v>492</v>
      </c>
      <c r="J82" s="149">
        <v>49.53</v>
      </c>
      <c r="K82" s="150">
        <v>20</v>
      </c>
      <c r="L82" s="149">
        <v>5.05</v>
      </c>
      <c r="M82" s="150">
        <v>215</v>
      </c>
      <c r="N82" s="149">
        <v>33.200000000000003</v>
      </c>
      <c r="O82" s="150" t="s">
        <v>358</v>
      </c>
      <c r="P82" s="149" t="s">
        <v>358</v>
      </c>
      <c r="Q82" s="152" t="s">
        <v>358</v>
      </c>
      <c r="R82" s="153" t="s">
        <v>358</v>
      </c>
      <c r="S82" s="186" t="s">
        <v>329</v>
      </c>
      <c r="T82" s="186"/>
      <c r="U82" s="186"/>
      <c r="V82" s="186"/>
    </row>
    <row r="83" spans="1:22" s="131" customFormat="1" ht="14.4" x14ac:dyDescent="0.3">
      <c r="A83" s="136" t="s">
        <v>214</v>
      </c>
      <c r="B83" s="166">
        <f>SUM(C83,E83,G83,I83,K83,M83,O83,Q83)</f>
        <v>0</v>
      </c>
      <c r="C83" s="149" t="s">
        <v>358</v>
      </c>
      <c r="D83" s="150" t="s">
        <v>358</v>
      </c>
      <c r="E83" s="151" t="s">
        <v>358</v>
      </c>
      <c r="F83" s="150" t="s">
        <v>358</v>
      </c>
      <c r="G83" s="149" t="s">
        <v>358</v>
      </c>
      <c r="H83" s="150" t="s">
        <v>358</v>
      </c>
      <c r="I83" s="149" t="s">
        <v>358</v>
      </c>
      <c r="J83" s="149" t="s">
        <v>358</v>
      </c>
      <c r="K83" s="150" t="s">
        <v>358</v>
      </c>
      <c r="L83" s="149" t="s">
        <v>358</v>
      </c>
      <c r="M83" s="150" t="s">
        <v>358</v>
      </c>
      <c r="N83" s="149" t="s">
        <v>358</v>
      </c>
      <c r="O83" s="150" t="s">
        <v>358</v>
      </c>
      <c r="P83" s="149" t="s">
        <v>358</v>
      </c>
      <c r="Q83" s="152" t="s">
        <v>358</v>
      </c>
      <c r="R83" s="153" t="s">
        <v>358</v>
      </c>
      <c r="S83" s="186" t="s">
        <v>330</v>
      </c>
      <c r="T83" s="186"/>
      <c r="U83" s="186"/>
      <c r="V83" s="186"/>
    </row>
    <row r="84" spans="1:22" s="131" customFormat="1" ht="14.4" x14ac:dyDescent="0.3">
      <c r="A84" s="136" t="s">
        <v>215</v>
      </c>
      <c r="B84" s="166">
        <f>SUM(C84,E84,G84,I84,K84,M84,O84,Q84)</f>
        <v>0</v>
      </c>
      <c r="C84" s="149" t="s">
        <v>358</v>
      </c>
      <c r="D84" s="150" t="s">
        <v>358</v>
      </c>
      <c r="E84" s="151" t="s">
        <v>358</v>
      </c>
      <c r="F84" s="150" t="s">
        <v>358</v>
      </c>
      <c r="G84" s="149" t="s">
        <v>358</v>
      </c>
      <c r="H84" s="150" t="s">
        <v>358</v>
      </c>
      <c r="I84" s="149" t="s">
        <v>358</v>
      </c>
      <c r="J84" s="149" t="s">
        <v>358</v>
      </c>
      <c r="K84" s="150" t="s">
        <v>358</v>
      </c>
      <c r="L84" s="149" t="s">
        <v>358</v>
      </c>
      <c r="M84" s="150" t="s">
        <v>358</v>
      </c>
      <c r="N84" s="149" t="s">
        <v>358</v>
      </c>
      <c r="O84" s="150" t="s">
        <v>358</v>
      </c>
      <c r="P84" s="149" t="s">
        <v>358</v>
      </c>
      <c r="Q84" s="152" t="s">
        <v>358</v>
      </c>
      <c r="R84" s="153" t="s">
        <v>358</v>
      </c>
      <c r="S84" s="186" t="s">
        <v>331</v>
      </c>
      <c r="T84" s="186"/>
      <c r="U84" s="186"/>
      <c r="V84" s="186"/>
    </row>
    <row r="85" spans="1:22" s="131" customFormat="1" ht="14.4" x14ac:dyDescent="0.3">
      <c r="A85" s="187" t="s">
        <v>23</v>
      </c>
      <c r="B85" s="198">
        <f>SUM(B87:B91)</f>
        <v>9449</v>
      </c>
      <c r="C85" s="191">
        <f>SUM(C87:C91)</f>
        <v>7065</v>
      </c>
      <c r="D85" s="190">
        <f t="shared" ref="D85:R85" si="18">SUM(D87:D91)</f>
        <v>1509.0219999999999</v>
      </c>
      <c r="E85" s="191">
        <f t="shared" si="18"/>
        <v>0</v>
      </c>
      <c r="F85" s="190">
        <f t="shared" si="18"/>
        <v>0</v>
      </c>
      <c r="G85" s="191">
        <f t="shared" si="18"/>
        <v>175</v>
      </c>
      <c r="H85" s="190">
        <f t="shared" si="18"/>
        <v>38.869999999999997</v>
      </c>
      <c r="I85" s="191">
        <f t="shared" si="18"/>
        <v>47</v>
      </c>
      <c r="J85" s="190">
        <f t="shared" si="18"/>
        <v>4.875</v>
      </c>
      <c r="K85" s="191">
        <f t="shared" si="18"/>
        <v>526</v>
      </c>
      <c r="L85" s="190">
        <f t="shared" si="18"/>
        <v>121.6</v>
      </c>
      <c r="M85" s="191">
        <f t="shared" si="18"/>
        <v>1630</v>
      </c>
      <c r="N85" s="190">
        <f t="shared" si="18"/>
        <v>245.39500000000001</v>
      </c>
      <c r="O85" s="191">
        <f t="shared" si="18"/>
        <v>4</v>
      </c>
      <c r="P85" s="190">
        <f t="shared" si="18"/>
        <v>0.93</v>
      </c>
      <c r="Q85" s="191">
        <f t="shared" si="18"/>
        <v>2</v>
      </c>
      <c r="R85" s="193">
        <f t="shared" si="18"/>
        <v>0.36</v>
      </c>
      <c r="S85" s="189" t="s">
        <v>24</v>
      </c>
      <c r="T85" s="189"/>
      <c r="U85" s="189"/>
    </row>
    <row r="86" spans="1:22" s="131" customFormat="1" ht="14.4" x14ac:dyDescent="0.3">
      <c r="A86" s="187"/>
      <c r="B86" s="198"/>
      <c r="C86" s="191"/>
      <c r="D86" s="190"/>
      <c r="E86" s="191"/>
      <c r="F86" s="190"/>
      <c r="G86" s="191"/>
      <c r="H86" s="190"/>
      <c r="I86" s="191"/>
      <c r="J86" s="190"/>
      <c r="K86" s="191"/>
      <c r="L86" s="190"/>
      <c r="M86" s="191"/>
      <c r="N86" s="190"/>
      <c r="O86" s="191"/>
      <c r="P86" s="190"/>
      <c r="Q86" s="191"/>
      <c r="R86" s="193"/>
      <c r="S86" s="189"/>
      <c r="T86" s="189"/>
      <c r="U86" s="189"/>
    </row>
    <row r="87" spans="1:22" s="131" customFormat="1" ht="14.4" x14ac:dyDescent="0.3">
      <c r="A87" s="136" t="s">
        <v>216</v>
      </c>
      <c r="B87" s="166">
        <f t="shared" ref="B87:B91" si="19">SUM(C87,E87,G87,I87,K87,M87,O87,Q87)</f>
        <v>545</v>
      </c>
      <c r="C87" s="149">
        <v>117</v>
      </c>
      <c r="D87" s="150">
        <v>28.1</v>
      </c>
      <c r="E87" s="149" t="s">
        <v>358</v>
      </c>
      <c r="F87" s="150" t="s">
        <v>358</v>
      </c>
      <c r="G87" s="149">
        <v>133</v>
      </c>
      <c r="H87" s="150">
        <v>32.959000000000003</v>
      </c>
      <c r="I87" s="149" t="s">
        <v>358</v>
      </c>
      <c r="J87" s="149" t="s">
        <v>358</v>
      </c>
      <c r="K87" s="150" t="s">
        <v>358</v>
      </c>
      <c r="L87" s="149" t="s">
        <v>358</v>
      </c>
      <c r="M87" s="150">
        <v>289</v>
      </c>
      <c r="N87" s="149">
        <v>43.39</v>
      </c>
      <c r="O87" s="150">
        <v>4</v>
      </c>
      <c r="P87" s="149">
        <v>0.93</v>
      </c>
      <c r="Q87" s="152">
        <v>2</v>
      </c>
      <c r="R87" s="153">
        <v>0.36</v>
      </c>
      <c r="S87" s="137" t="s">
        <v>332</v>
      </c>
    </row>
    <row r="88" spans="1:22" s="131" customFormat="1" ht="14.4" x14ac:dyDescent="0.3">
      <c r="A88" s="136" t="s">
        <v>217</v>
      </c>
      <c r="B88" s="166">
        <f t="shared" si="19"/>
        <v>0</v>
      </c>
      <c r="C88" s="151" t="s">
        <v>358</v>
      </c>
      <c r="D88" s="150" t="s">
        <v>358</v>
      </c>
      <c r="E88" s="151" t="s">
        <v>358</v>
      </c>
      <c r="F88" s="150" t="s">
        <v>358</v>
      </c>
      <c r="G88" s="149" t="s">
        <v>358</v>
      </c>
      <c r="H88" s="150" t="s">
        <v>358</v>
      </c>
      <c r="I88" s="149" t="s">
        <v>358</v>
      </c>
      <c r="J88" s="149" t="s">
        <v>358</v>
      </c>
      <c r="K88" s="150" t="s">
        <v>358</v>
      </c>
      <c r="L88" s="149" t="s">
        <v>358</v>
      </c>
      <c r="M88" s="150" t="s">
        <v>358</v>
      </c>
      <c r="N88" s="149" t="s">
        <v>358</v>
      </c>
      <c r="O88" s="152" t="s">
        <v>358</v>
      </c>
      <c r="P88" s="149" t="s">
        <v>358</v>
      </c>
      <c r="Q88" s="152" t="s">
        <v>358</v>
      </c>
      <c r="R88" s="153" t="s">
        <v>358</v>
      </c>
      <c r="S88" s="137" t="s">
        <v>333</v>
      </c>
    </row>
    <row r="89" spans="1:22" s="131" customFormat="1" ht="14.4" x14ac:dyDescent="0.3">
      <c r="A89" s="136" t="s">
        <v>218</v>
      </c>
      <c r="B89" s="166">
        <f t="shared" si="19"/>
        <v>8670</v>
      </c>
      <c r="C89" s="149">
        <v>6935</v>
      </c>
      <c r="D89" s="150">
        <v>1477.5719999999999</v>
      </c>
      <c r="E89" s="151" t="s">
        <v>358</v>
      </c>
      <c r="F89" s="150" t="s">
        <v>358</v>
      </c>
      <c r="G89" s="151">
        <v>5</v>
      </c>
      <c r="H89" s="150">
        <v>1.25</v>
      </c>
      <c r="I89" s="149">
        <v>44</v>
      </c>
      <c r="J89" s="149">
        <v>4.41</v>
      </c>
      <c r="K89" s="150">
        <v>384</v>
      </c>
      <c r="L89" s="149">
        <v>94.7</v>
      </c>
      <c r="M89" s="150">
        <v>1302</v>
      </c>
      <c r="N89" s="149">
        <v>195.1</v>
      </c>
      <c r="O89" s="152" t="s">
        <v>358</v>
      </c>
      <c r="P89" s="149" t="s">
        <v>358</v>
      </c>
      <c r="Q89" s="152" t="s">
        <v>358</v>
      </c>
      <c r="R89" s="153" t="s">
        <v>358</v>
      </c>
      <c r="S89" s="137" t="s">
        <v>334</v>
      </c>
    </row>
    <row r="90" spans="1:22" s="131" customFormat="1" ht="14.4" x14ac:dyDescent="0.3">
      <c r="A90" s="136" t="s">
        <v>219</v>
      </c>
      <c r="B90" s="166">
        <f t="shared" si="19"/>
        <v>173</v>
      </c>
      <c r="C90" s="149">
        <v>10</v>
      </c>
      <c r="D90" s="150">
        <v>2.88</v>
      </c>
      <c r="E90" s="151" t="s">
        <v>358</v>
      </c>
      <c r="F90" s="150" t="s">
        <v>358</v>
      </c>
      <c r="G90" s="149">
        <v>1</v>
      </c>
      <c r="H90" s="150">
        <v>0.23</v>
      </c>
      <c r="I90" s="151" t="s">
        <v>358</v>
      </c>
      <c r="J90" s="149" t="s">
        <v>358</v>
      </c>
      <c r="K90" s="150">
        <v>142</v>
      </c>
      <c r="L90" s="149">
        <v>26.9</v>
      </c>
      <c r="M90" s="150">
        <v>20</v>
      </c>
      <c r="N90" s="149">
        <v>3.55</v>
      </c>
      <c r="O90" s="152" t="s">
        <v>358</v>
      </c>
      <c r="P90" s="149" t="s">
        <v>358</v>
      </c>
      <c r="Q90" s="152" t="s">
        <v>358</v>
      </c>
      <c r="R90" s="153" t="s">
        <v>358</v>
      </c>
      <c r="S90" s="137" t="s">
        <v>335</v>
      </c>
    </row>
    <row r="91" spans="1:22" s="131" customFormat="1" ht="14.4" x14ac:dyDescent="0.3">
      <c r="A91" s="136" t="s">
        <v>220</v>
      </c>
      <c r="B91" s="166">
        <f t="shared" si="19"/>
        <v>61</v>
      </c>
      <c r="C91" s="149">
        <v>3</v>
      </c>
      <c r="D91" s="150">
        <v>0.47</v>
      </c>
      <c r="E91" s="149" t="s">
        <v>358</v>
      </c>
      <c r="F91" s="150" t="s">
        <v>358</v>
      </c>
      <c r="G91" s="149">
        <v>36</v>
      </c>
      <c r="H91" s="150">
        <v>4.431</v>
      </c>
      <c r="I91" s="149">
        <v>3</v>
      </c>
      <c r="J91" s="149">
        <v>0.46500000000000002</v>
      </c>
      <c r="K91" s="150" t="s">
        <v>358</v>
      </c>
      <c r="L91" s="149" t="s">
        <v>358</v>
      </c>
      <c r="M91" s="150">
        <v>19</v>
      </c>
      <c r="N91" s="149">
        <v>3.355</v>
      </c>
      <c r="O91" s="150" t="s">
        <v>358</v>
      </c>
      <c r="P91" s="149" t="s">
        <v>358</v>
      </c>
      <c r="Q91" s="152" t="s">
        <v>358</v>
      </c>
      <c r="R91" s="153" t="s">
        <v>358</v>
      </c>
      <c r="S91" s="137" t="s">
        <v>336</v>
      </c>
    </row>
    <row r="92" spans="1:22" s="131" customFormat="1" ht="14.4" x14ac:dyDescent="0.3">
      <c r="A92" s="187" t="s">
        <v>25</v>
      </c>
      <c r="B92" s="198">
        <f>SUM(B94:B106)</f>
        <v>3058</v>
      </c>
      <c r="C92" s="191">
        <f>SUM(C94:C106)</f>
        <v>378</v>
      </c>
      <c r="D92" s="190">
        <f>SUM(D94:D106)</f>
        <v>97</v>
      </c>
      <c r="E92" s="191">
        <f t="shared" ref="E92:R92" si="20">SUM(E94:E106)</f>
        <v>0</v>
      </c>
      <c r="F92" s="190">
        <f t="shared" si="20"/>
        <v>0</v>
      </c>
      <c r="G92" s="191">
        <f t="shared" si="20"/>
        <v>80</v>
      </c>
      <c r="H92" s="190">
        <f t="shared" si="20"/>
        <v>17.984000000000002</v>
      </c>
      <c r="I92" s="191">
        <f t="shared" si="20"/>
        <v>4</v>
      </c>
      <c r="J92" s="190">
        <f t="shared" si="20"/>
        <v>0.59000000000000008</v>
      </c>
      <c r="K92" s="191">
        <f t="shared" si="20"/>
        <v>2382</v>
      </c>
      <c r="L92" s="190">
        <f t="shared" si="20"/>
        <v>94.609999999999985</v>
      </c>
      <c r="M92" s="191">
        <f t="shared" si="20"/>
        <v>162</v>
      </c>
      <c r="N92" s="190">
        <f t="shared" si="20"/>
        <v>28.587</v>
      </c>
      <c r="O92" s="191">
        <f t="shared" si="20"/>
        <v>11</v>
      </c>
      <c r="P92" s="190">
        <f t="shared" si="20"/>
        <v>2.96</v>
      </c>
      <c r="Q92" s="191">
        <f t="shared" si="20"/>
        <v>41</v>
      </c>
      <c r="R92" s="193">
        <f t="shared" si="20"/>
        <v>7.04</v>
      </c>
      <c r="S92" s="195" t="s">
        <v>26</v>
      </c>
      <c r="T92" s="195"/>
      <c r="U92" s="195"/>
    </row>
    <row r="93" spans="1:22" s="131" customFormat="1" ht="14.4" x14ac:dyDescent="0.3">
      <c r="A93" s="187"/>
      <c r="B93" s="198"/>
      <c r="C93" s="191"/>
      <c r="D93" s="190"/>
      <c r="E93" s="191"/>
      <c r="F93" s="190"/>
      <c r="G93" s="191"/>
      <c r="H93" s="190"/>
      <c r="I93" s="191"/>
      <c r="J93" s="190"/>
      <c r="K93" s="191"/>
      <c r="L93" s="190"/>
      <c r="M93" s="191"/>
      <c r="N93" s="190"/>
      <c r="O93" s="191"/>
      <c r="P93" s="190"/>
      <c r="Q93" s="191"/>
      <c r="R93" s="193"/>
      <c r="S93" s="195"/>
      <c r="T93" s="195"/>
      <c r="U93" s="195"/>
    </row>
    <row r="94" spans="1:22" s="131" customFormat="1" ht="14.4" x14ac:dyDescent="0.3">
      <c r="A94" s="136" t="s">
        <v>221</v>
      </c>
      <c r="B94" s="166">
        <f>SUM(C94,E94,G94,I94,K94,M94,O94,Q94)</f>
        <v>1</v>
      </c>
      <c r="C94" s="151">
        <v>1</v>
      </c>
      <c r="D94" s="150">
        <v>0.1</v>
      </c>
      <c r="E94" s="151" t="s">
        <v>358</v>
      </c>
      <c r="F94" s="150" t="s">
        <v>358</v>
      </c>
      <c r="G94" s="149" t="s">
        <v>358</v>
      </c>
      <c r="H94" s="150" t="s">
        <v>358</v>
      </c>
      <c r="I94" s="151" t="s">
        <v>358</v>
      </c>
      <c r="J94" s="149" t="s">
        <v>358</v>
      </c>
      <c r="K94" s="150" t="s">
        <v>358</v>
      </c>
      <c r="L94" s="149" t="s">
        <v>358</v>
      </c>
      <c r="M94" s="152" t="s">
        <v>358</v>
      </c>
      <c r="N94" s="149" t="s">
        <v>358</v>
      </c>
      <c r="O94" s="152" t="s">
        <v>358</v>
      </c>
      <c r="P94" s="149" t="s">
        <v>358</v>
      </c>
      <c r="Q94" s="152" t="s">
        <v>358</v>
      </c>
      <c r="R94" s="153" t="s">
        <v>358</v>
      </c>
      <c r="S94" s="137" t="s">
        <v>337</v>
      </c>
    </row>
    <row r="95" spans="1:22" s="131" customFormat="1" ht="14.4" x14ac:dyDescent="0.3">
      <c r="A95" s="136" t="s">
        <v>222</v>
      </c>
      <c r="B95" s="166">
        <f t="shared" ref="B95:B106" si="21">SUM(C95,E95,G95,I95,K95,M95,O95,Q95)</f>
        <v>33</v>
      </c>
      <c r="C95" s="149">
        <v>11</v>
      </c>
      <c r="D95" s="150">
        <v>2.67</v>
      </c>
      <c r="E95" s="149" t="s">
        <v>358</v>
      </c>
      <c r="F95" s="150" t="s">
        <v>358</v>
      </c>
      <c r="G95" s="149">
        <v>11</v>
      </c>
      <c r="H95" s="150">
        <v>2.42</v>
      </c>
      <c r="I95" s="151" t="s">
        <v>358</v>
      </c>
      <c r="J95" s="149" t="s">
        <v>358</v>
      </c>
      <c r="K95" s="150" t="s">
        <v>358</v>
      </c>
      <c r="L95" s="149" t="s">
        <v>358</v>
      </c>
      <c r="M95" s="152">
        <v>10</v>
      </c>
      <c r="N95" s="149">
        <v>2</v>
      </c>
      <c r="O95" s="152">
        <v>1</v>
      </c>
      <c r="P95" s="149">
        <v>0.26</v>
      </c>
      <c r="Q95" s="152" t="s">
        <v>358</v>
      </c>
      <c r="R95" s="153" t="s">
        <v>358</v>
      </c>
      <c r="S95" s="137" t="s">
        <v>338</v>
      </c>
    </row>
    <row r="96" spans="1:22" s="131" customFormat="1" ht="14.4" x14ac:dyDescent="0.3">
      <c r="A96" s="136" t="s">
        <v>223</v>
      </c>
      <c r="B96" s="166">
        <f t="shared" si="21"/>
        <v>1835</v>
      </c>
      <c r="C96" s="149">
        <v>3</v>
      </c>
      <c r="D96" s="150">
        <v>0.6</v>
      </c>
      <c r="E96" s="149" t="s">
        <v>358</v>
      </c>
      <c r="F96" s="150" t="s">
        <v>358</v>
      </c>
      <c r="G96" s="149" t="s">
        <v>358</v>
      </c>
      <c r="H96" s="150" t="s">
        <v>358</v>
      </c>
      <c r="I96" s="149" t="s">
        <v>358</v>
      </c>
      <c r="J96" s="149" t="s">
        <v>358</v>
      </c>
      <c r="K96" s="150">
        <v>1814</v>
      </c>
      <c r="L96" s="149">
        <v>36.1</v>
      </c>
      <c r="M96" s="150">
        <v>18</v>
      </c>
      <c r="N96" s="149">
        <v>3.4</v>
      </c>
      <c r="O96" s="150" t="s">
        <v>358</v>
      </c>
      <c r="P96" s="149" t="s">
        <v>358</v>
      </c>
      <c r="Q96" s="150" t="s">
        <v>358</v>
      </c>
      <c r="R96" s="153" t="s">
        <v>358</v>
      </c>
      <c r="S96" s="137" t="s">
        <v>339</v>
      </c>
    </row>
    <row r="97" spans="1:21" s="131" customFormat="1" ht="14.4" x14ac:dyDescent="0.3">
      <c r="A97" s="136" t="s">
        <v>224</v>
      </c>
      <c r="B97" s="166">
        <f t="shared" si="21"/>
        <v>0</v>
      </c>
      <c r="C97" s="149" t="s">
        <v>358</v>
      </c>
      <c r="D97" s="150" t="s">
        <v>358</v>
      </c>
      <c r="E97" s="151" t="s">
        <v>358</v>
      </c>
      <c r="F97" s="150" t="s">
        <v>358</v>
      </c>
      <c r="G97" s="151" t="s">
        <v>358</v>
      </c>
      <c r="H97" s="150" t="s">
        <v>358</v>
      </c>
      <c r="I97" s="151" t="s">
        <v>358</v>
      </c>
      <c r="J97" s="149" t="s">
        <v>358</v>
      </c>
      <c r="K97" s="152" t="s">
        <v>358</v>
      </c>
      <c r="L97" s="149" t="s">
        <v>358</v>
      </c>
      <c r="M97" s="150" t="s">
        <v>358</v>
      </c>
      <c r="N97" s="149" t="s">
        <v>358</v>
      </c>
      <c r="O97" s="152" t="s">
        <v>358</v>
      </c>
      <c r="P97" s="149" t="s">
        <v>358</v>
      </c>
      <c r="Q97" s="152" t="s">
        <v>358</v>
      </c>
      <c r="R97" s="153" t="s">
        <v>358</v>
      </c>
      <c r="S97" s="137" t="s">
        <v>340</v>
      </c>
    </row>
    <row r="98" spans="1:21" s="131" customFormat="1" ht="14.4" x14ac:dyDescent="0.3">
      <c r="A98" s="158" t="s">
        <v>354</v>
      </c>
      <c r="B98" s="166">
        <f t="shared" si="21"/>
        <v>15</v>
      </c>
      <c r="C98" s="149" t="s">
        <v>358</v>
      </c>
      <c r="D98" s="150" t="s">
        <v>358</v>
      </c>
      <c r="E98" s="151" t="s">
        <v>358</v>
      </c>
      <c r="F98" s="150" t="s">
        <v>358</v>
      </c>
      <c r="G98" s="149">
        <v>10</v>
      </c>
      <c r="H98" s="150">
        <v>2</v>
      </c>
      <c r="I98" s="149" t="s">
        <v>358</v>
      </c>
      <c r="J98" s="149" t="s">
        <v>358</v>
      </c>
      <c r="K98" s="150" t="s">
        <v>358</v>
      </c>
      <c r="L98" s="149" t="s">
        <v>358</v>
      </c>
      <c r="M98" s="150">
        <v>5</v>
      </c>
      <c r="N98" s="149">
        <v>1</v>
      </c>
      <c r="O98" s="152" t="s">
        <v>358</v>
      </c>
      <c r="P98" s="149" t="s">
        <v>358</v>
      </c>
      <c r="Q98" s="152" t="s">
        <v>358</v>
      </c>
      <c r="R98" s="153" t="s">
        <v>358</v>
      </c>
      <c r="S98" s="159" t="s">
        <v>355</v>
      </c>
    </row>
    <row r="99" spans="1:21" s="131" customFormat="1" ht="14.4" x14ac:dyDescent="0.3">
      <c r="A99" s="160" t="s">
        <v>356</v>
      </c>
      <c r="B99" s="166">
        <f t="shared" si="21"/>
        <v>1</v>
      </c>
      <c r="C99" s="149">
        <v>1</v>
      </c>
      <c r="D99" s="150">
        <v>0.1</v>
      </c>
      <c r="E99" s="151" t="s">
        <v>358</v>
      </c>
      <c r="F99" s="150" t="s">
        <v>358</v>
      </c>
      <c r="G99" s="149" t="s">
        <v>358</v>
      </c>
      <c r="H99" s="150" t="s">
        <v>358</v>
      </c>
      <c r="I99" s="149" t="s">
        <v>358</v>
      </c>
      <c r="J99" s="149" t="s">
        <v>358</v>
      </c>
      <c r="K99" s="150" t="s">
        <v>358</v>
      </c>
      <c r="L99" s="149" t="s">
        <v>358</v>
      </c>
      <c r="M99" s="150" t="s">
        <v>358</v>
      </c>
      <c r="N99" s="149" t="s">
        <v>358</v>
      </c>
      <c r="O99" s="152" t="s">
        <v>358</v>
      </c>
      <c r="P99" s="149" t="s">
        <v>358</v>
      </c>
      <c r="Q99" s="152" t="s">
        <v>358</v>
      </c>
      <c r="R99" s="153" t="s">
        <v>358</v>
      </c>
      <c r="S99" s="161" t="s">
        <v>357</v>
      </c>
    </row>
    <row r="100" spans="1:21" s="131" customFormat="1" ht="14.4" x14ac:dyDescent="0.3">
      <c r="A100" s="136" t="s">
        <v>225</v>
      </c>
      <c r="B100" s="166">
        <f t="shared" si="21"/>
        <v>160</v>
      </c>
      <c r="C100" s="149">
        <v>30</v>
      </c>
      <c r="D100" s="150">
        <v>6</v>
      </c>
      <c r="E100" s="151" t="s">
        <v>358</v>
      </c>
      <c r="F100" s="150" t="s">
        <v>358</v>
      </c>
      <c r="G100" s="149">
        <v>30</v>
      </c>
      <c r="H100" s="150">
        <v>6.18</v>
      </c>
      <c r="I100" s="149" t="s">
        <v>358</v>
      </c>
      <c r="J100" s="149" t="s">
        <v>358</v>
      </c>
      <c r="K100" s="150">
        <v>30</v>
      </c>
      <c r="L100" s="149">
        <v>4.8</v>
      </c>
      <c r="M100" s="150">
        <v>30</v>
      </c>
      <c r="N100" s="149">
        <v>5.5</v>
      </c>
      <c r="O100" s="152">
        <v>10</v>
      </c>
      <c r="P100" s="149">
        <v>2.7</v>
      </c>
      <c r="Q100" s="152">
        <v>30</v>
      </c>
      <c r="R100" s="153">
        <v>5.88</v>
      </c>
      <c r="S100" s="137" t="s">
        <v>341</v>
      </c>
    </row>
    <row r="101" spans="1:21" s="131" customFormat="1" ht="14.4" x14ac:dyDescent="0.3">
      <c r="A101" s="136" t="s">
        <v>226</v>
      </c>
      <c r="B101" s="166">
        <f t="shared" si="21"/>
        <v>89</v>
      </c>
      <c r="C101" s="149">
        <v>27</v>
      </c>
      <c r="D101" s="150">
        <v>3.65</v>
      </c>
      <c r="E101" s="151" t="s">
        <v>358</v>
      </c>
      <c r="F101" s="150" t="s">
        <v>358</v>
      </c>
      <c r="G101" s="149">
        <v>10</v>
      </c>
      <c r="H101" s="150">
        <v>2</v>
      </c>
      <c r="I101" s="149">
        <v>3</v>
      </c>
      <c r="J101" s="149">
        <v>0.39</v>
      </c>
      <c r="K101" s="150">
        <v>10</v>
      </c>
      <c r="L101" s="149">
        <v>1.25</v>
      </c>
      <c r="M101" s="150">
        <v>29</v>
      </c>
      <c r="N101" s="149">
        <v>3.85</v>
      </c>
      <c r="O101" s="152" t="s">
        <v>358</v>
      </c>
      <c r="P101" s="149" t="s">
        <v>358</v>
      </c>
      <c r="Q101" s="150">
        <v>10</v>
      </c>
      <c r="R101" s="153">
        <v>1.04</v>
      </c>
      <c r="S101" s="137" t="s">
        <v>342</v>
      </c>
    </row>
    <row r="102" spans="1:21" s="131" customFormat="1" ht="14.4" x14ac:dyDescent="0.3">
      <c r="A102" s="136" t="s">
        <v>227</v>
      </c>
      <c r="B102" s="166">
        <f t="shared" si="21"/>
        <v>3</v>
      </c>
      <c r="C102" s="149">
        <v>3</v>
      </c>
      <c r="D102" s="150">
        <v>0.3</v>
      </c>
      <c r="E102" s="151" t="s">
        <v>358</v>
      </c>
      <c r="F102" s="150" t="s">
        <v>358</v>
      </c>
      <c r="G102" s="151" t="s">
        <v>358</v>
      </c>
      <c r="H102" s="150" t="s">
        <v>358</v>
      </c>
      <c r="I102" s="151" t="s">
        <v>358</v>
      </c>
      <c r="J102" s="149" t="s">
        <v>358</v>
      </c>
      <c r="K102" s="152" t="s">
        <v>358</v>
      </c>
      <c r="L102" s="149" t="s">
        <v>358</v>
      </c>
      <c r="M102" s="152" t="s">
        <v>358</v>
      </c>
      <c r="N102" s="149" t="s">
        <v>358</v>
      </c>
      <c r="O102" s="152" t="s">
        <v>358</v>
      </c>
      <c r="P102" s="149" t="s">
        <v>358</v>
      </c>
      <c r="Q102" s="152" t="s">
        <v>358</v>
      </c>
      <c r="R102" s="153" t="s">
        <v>358</v>
      </c>
      <c r="S102" s="137" t="s">
        <v>343</v>
      </c>
    </row>
    <row r="103" spans="1:21" s="131" customFormat="1" ht="14.4" x14ac:dyDescent="0.3">
      <c r="A103" s="136" t="s">
        <v>228</v>
      </c>
      <c r="B103" s="166">
        <f t="shared" si="21"/>
        <v>577</v>
      </c>
      <c r="C103" s="149">
        <v>30</v>
      </c>
      <c r="D103" s="150">
        <v>5.31</v>
      </c>
      <c r="E103" s="151" t="s">
        <v>358</v>
      </c>
      <c r="F103" s="150" t="s">
        <v>358</v>
      </c>
      <c r="G103" s="149">
        <v>2</v>
      </c>
      <c r="H103" s="150">
        <v>0.374</v>
      </c>
      <c r="I103" s="149">
        <v>1</v>
      </c>
      <c r="J103" s="149">
        <v>0.2</v>
      </c>
      <c r="K103" s="150">
        <v>527</v>
      </c>
      <c r="L103" s="149">
        <v>52.36</v>
      </c>
      <c r="M103" s="150">
        <v>17</v>
      </c>
      <c r="N103" s="149">
        <v>3.06</v>
      </c>
      <c r="O103" s="150" t="s">
        <v>358</v>
      </c>
      <c r="P103" s="149" t="s">
        <v>358</v>
      </c>
      <c r="Q103" s="152" t="s">
        <v>358</v>
      </c>
      <c r="R103" s="153" t="s">
        <v>358</v>
      </c>
      <c r="S103" s="137" t="s">
        <v>344</v>
      </c>
    </row>
    <row r="104" spans="1:21" s="131" customFormat="1" ht="14.4" x14ac:dyDescent="0.3">
      <c r="A104" s="136" t="s">
        <v>229</v>
      </c>
      <c r="B104" s="166">
        <f t="shared" si="21"/>
        <v>10</v>
      </c>
      <c r="C104" s="149">
        <v>3</v>
      </c>
      <c r="D104" s="150">
        <v>0.6</v>
      </c>
      <c r="E104" s="151" t="s">
        <v>358</v>
      </c>
      <c r="F104" s="150" t="s">
        <v>358</v>
      </c>
      <c r="G104" s="149" t="s">
        <v>358</v>
      </c>
      <c r="H104" s="150" t="s">
        <v>358</v>
      </c>
      <c r="I104" s="151" t="s">
        <v>358</v>
      </c>
      <c r="J104" s="149" t="s">
        <v>358</v>
      </c>
      <c r="K104" s="152">
        <v>1</v>
      </c>
      <c r="L104" s="149">
        <v>0.1</v>
      </c>
      <c r="M104" s="152">
        <v>5</v>
      </c>
      <c r="N104" s="149">
        <v>1</v>
      </c>
      <c r="O104" s="152" t="s">
        <v>358</v>
      </c>
      <c r="P104" s="149" t="s">
        <v>358</v>
      </c>
      <c r="Q104" s="152">
        <v>1</v>
      </c>
      <c r="R104" s="153">
        <v>0.12</v>
      </c>
      <c r="S104" s="137" t="s">
        <v>345</v>
      </c>
    </row>
    <row r="105" spans="1:21" s="131" customFormat="1" ht="14.4" x14ac:dyDescent="0.3">
      <c r="A105" s="136" t="s">
        <v>230</v>
      </c>
      <c r="B105" s="166">
        <f t="shared" si="21"/>
        <v>330</v>
      </c>
      <c r="C105" s="149">
        <v>266</v>
      </c>
      <c r="D105" s="150">
        <v>77.37</v>
      </c>
      <c r="E105" s="151" t="s">
        <v>358</v>
      </c>
      <c r="F105" s="150" t="s">
        <v>358</v>
      </c>
      <c r="G105" s="149">
        <v>17</v>
      </c>
      <c r="H105" s="150">
        <v>5.01</v>
      </c>
      <c r="I105" s="149" t="s">
        <v>358</v>
      </c>
      <c r="J105" s="149" t="s">
        <v>358</v>
      </c>
      <c r="K105" s="150" t="s">
        <v>358</v>
      </c>
      <c r="L105" s="149" t="s">
        <v>358</v>
      </c>
      <c r="M105" s="152">
        <v>47</v>
      </c>
      <c r="N105" s="149">
        <v>8.6769999999999996</v>
      </c>
      <c r="O105" s="152" t="s">
        <v>358</v>
      </c>
      <c r="P105" s="149" t="s">
        <v>358</v>
      </c>
      <c r="Q105" s="152" t="s">
        <v>358</v>
      </c>
      <c r="R105" s="153" t="s">
        <v>358</v>
      </c>
      <c r="S105" s="137" t="s">
        <v>346</v>
      </c>
    </row>
    <row r="106" spans="1:21" s="131" customFormat="1" ht="14.4" x14ac:dyDescent="0.3">
      <c r="A106" s="136" t="s">
        <v>231</v>
      </c>
      <c r="B106" s="166">
        <f t="shared" si="21"/>
        <v>4</v>
      </c>
      <c r="C106" s="149">
        <v>3</v>
      </c>
      <c r="D106" s="150">
        <v>0.3</v>
      </c>
      <c r="E106" s="151" t="s">
        <v>358</v>
      </c>
      <c r="F106" s="150" t="s">
        <v>358</v>
      </c>
      <c r="G106" s="149" t="s">
        <v>358</v>
      </c>
      <c r="H106" s="150" t="s">
        <v>358</v>
      </c>
      <c r="I106" s="151" t="s">
        <v>358</v>
      </c>
      <c r="J106" s="149" t="s">
        <v>358</v>
      </c>
      <c r="K106" s="150" t="s">
        <v>358</v>
      </c>
      <c r="L106" s="149" t="s">
        <v>358</v>
      </c>
      <c r="M106" s="152">
        <v>1</v>
      </c>
      <c r="N106" s="149">
        <v>0.1</v>
      </c>
      <c r="O106" s="152" t="s">
        <v>358</v>
      </c>
      <c r="P106" s="149" t="s">
        <v>358</v>
      </c>
      <c r="Q106" s="152" t="s">
        <v>358</v>
      </c>
      <c r="R106" s="153" t="s">
        <v>358</v>
      </c>
      <c r="S106" s="137" t="s">
        <v>347</v>
      </c>
    </row>
    <row r="107" spans="1:21" s="131" customFormat="1" ht="14.4" x14ac:dyDescent="0.3">
      <c r="A107" s="187" t="s">
        <v>27</v>
      </c>
      <c r="B107" s="198">
        <f>SUM(B109:B112)</f>
        <v>567</v>
      </c>
      <c r="C107" s="191">
        <f>SUM(C109:C112)</f>
        <v>75</v>
      </c>
      <c r="D107" s="190">
        <f t="shared" ref="D107:R107" si="22">SUM(D109:D112)</f>
        <v>18.82</v>
      </c>
      <c r="E107" s="191">
        <f t="shared" si="22"/>
        <v>4</v>
      </c>
      <c r="F107" s="190">
        <f t="shared" si="22"/>
        <v>1.82</v>
      </c>
      <c r="G107" s="191">
        <f t="shared" si="22"/>
        <v>202</v>
      </c>
      <c r="H107" s="190">
        <f t="shared" si="22"/>
        <v>34.597000000000001</v>
      </c>
      <c r="I107" s="191">
        <f t="shared" si="22"/>
        <v>25</v>
      </c>
      <c r="J107" s="190">
        <f t="shared" si="22"/>
        <v>3.21</v>
      </c>
      <c r="K107" s="191">
        <f t="shared" si="22"/>
        <v>27</v>
      </c>
      <c r="L107" s="190">
        <f t="shared" si="22"/>
        <v>3.6999999999999997</v>
      </c>
      <c r="M107" s="191">
        <f t="shared" si="22"/>
        <v>216</v>
      </c>
      <c r="N107" s="190">
        <f t="shared" si="22"/>
        <v>30.533999999999995</v>
      </c>
      <c r="O107" s="191">
        <f t="shared" si="22"/>
        <v>10</v>
      </c>
      <c r="P107" s="190">
        <f t="shared" si="22"/>
        <v>2.4699999999999998</v>
      </c>
      <c r="Q107" s="191">
        <f t="shared" si="22"/>
        <v>8</v>
      </c>
      <c r="R107" s="193">
        <f t="shared" si="22"/>
        <v>0.64</v>
      </c>
      <c r="S107" s="194" t="s">
        <v>28</v>
      </c>
      <c r="T107" s="194"/>
      <c r="U107" s="194"/>
    </row>
    <row r="108" spans="1:21" s="131" customFormat="1" ht="14.4" x14ac:dyDescent="0.3">
      <c r="A108" s="187"/>
      <c r="B108" s="198"/>
      <c r="C108" s="191"/>
      <c r="D108" s="190"/>
      <c r="E108" s="191"/>
      <c r="F108" s="190"/>
      <c r="G108" s="191"/>
      <c r="H108" s="190"/>
      <c r="I108" s="191"/>
      <c r="J108" s="190"/>
      <c r="K108" s="191"/>
      <c r="L108" s="190"/>
      <c r="M108" s="191"/>
      <c r="N108" s="190"/>
      <c r="O108" s="191"/>
      <c r="P108" s="190"/>
      <c r="Q108" s="191"/>
      <c r="R108" s="193"/>
      <c r="S108" s="194"/>
      <c r="T108" s="194"/>
      <c r="U108" s="194"/>
    </row>
    <row r="109" spans="1:21" s="131" customFormat="1" ht="14.4" x14ac:dyDescent="0.3">
      <c r="A109" s="136" t="s">
        <v>232</v>
      </c>
      <c r="B109" s="166">
        <f>SUM(C109,E109,G109,I109,K109,M109,O109,Q109)</f>
        <v>232</v>
      </c>
      <c r="C109" s="149">
        <v>16</v>
      </c>
      <c r="D109" s="150">
        <v>1.46</v>
      </c>
      <c r="E109" s="151">
        <v>1</v>
      </c>
      <c r="F109" s="150">
        <v>0.1</v>
      </c>
      <c r="G109" s="149">
        <v>123</v>
      </c>
      <c r="H109" s="150">
        <v>16.66</v>
      </c>
      <c r="I109" s="149">
        <v>3</v>
      </c>
      <c r="J109" s="149">
        <v>0.32</v>
      </c>
      <c r="K109" s="150">
        <v>22</v>
      </c>
      <c r="L109" s="149">
        <v>2.81</v>
      </c>
      <c r="M109" s="150">
        <v>55</v>
      </c>
      <c r="N109" s="149">
        <v>4.17</v>
      </c>
      <c r="O109" s="150">
        <v>4</v>
      </c>
      <c r="P109" s="149">
        <v>0.88</v>
      </c>
      <c r="Q109" s="150">
        <v>8</v>
      </c>
      <c r="R109" s="153">
        <v>0.64</v>
      </c>
      <c r="S109" s="137" t="s">
        <v>348</v>
      </c>
    </row>
    <row r="110" spans="1:21" s="131" customFormat="1" ht="14.4" x14ac:dyDescent="0.3">
      <c r="A110" s="136" t="s">
        <v>233</v>
      </c>
      <c r="B110" s="166">
        <f>SUM(C110,E110,G110,I110,K110,M110,O110,Q110)</f>
        <v>179</v>
      </c>
      <c r="C110" s="149">
        <v>45</v>
      </c>
      <c r="D110" s="150">
        <v>13.4</v>
      </c>
      <c r="E110" s="149" t="s">
        <v>358</v>
      </c>
      <c r="F110" s="150" t="s">
        <v>358</v>
      </c>
      <c r="G110" s="149">
        <v>11</v>
      </c>
      <c r="H110" s="150">
        <v>2.56</v>
      </c>
      <c r="I110" s="149">
        <v>7</v>
      </c>
      <c r="J110" s="149">
        <v>1.0389999999999999</v>
      </c>
      <c r="K110" s="150">
        <v>2</v>
      </c>
      <c r="L110" s="149">
        <v>0.3</v>
      </c>
      <c r="M110" s="150">
        <v>114</v>
      </c>
      <c r="N110" s="149">
        <v>19.803999999999998</v>
      </c>
      <c r="O110" s="150" t="s">
        <v>358</v>
      </c>
      <c r="P110" s="149" t="s">
        <v>358</v>
      </c>
      <c r="Q110" s="150" t="s">
        <v>358</v>
      </c>
      <c r="R110" s="153" t="s">
        <v>358</v>
      </c>
      <c r="S110" s="137" t="s">
        <v>349</v>
      </c>
    </row>
    <row r="111" spans="1:21" s="131" customFormat="1" ht="14.4" x14ac:dyDescent="0.3">
      <c r="A111" s="136" t="s">
        <v>234</v>
      </c>
      <c r="B111" s="166">
        <f>SUM(C111,E111,G111,I111,K111,M111,O111,Q111)</f>
        <v>112</v>
      </c>
      <c r="C111" s="149">
        <v>14</v>
      </c>
      <c r="D111" s="150">
        <v>3.96</v>
      </c>
      <c r="E111" s="151" t="s">
        <v>358</v>
      </c>
      <c r="F111" s="150" t="s">
        <v>358</v>
      </c>
      <c r="G111" s="149">
        <v>31</v>
      </c>
      <c r="H111" s="150">
        <v>8.0350000000000001</v>
      </c>
      <c r="I111" s="149">
        <v>15</v>
      </c>
      <c r="J111" s="149">
        <v>1.851</v>
      </c>
      <c r="K111" s="150">
        <v>3</v>
      </c>
      <c r="L111" s="149">
        <v>0.59</v>
      </c>
      <c r="M111" s="150">
        <v>46</v>
      </c>
      <c r="N111" s="149">
        <v>6.41</v>
      </c>
      <c r="O111" s="150">
        <v>3</v>
      </c>
      <c r="P111" s="149">
        <v>0.81</v>
      </c>
      <c r="Q111" s="152" t="s">
        <v>358</v>
      </c>
      <c r="R111" s="153" t="s">
        <v>358</v>
      </c>
      <c r="S111" s="137" t="s">
        <v>350</v>
      </c>
    </row>
    <row r="112" spans="1:21" s="131" customFormat="1" ht="15" thickBot="1" x14ac:dyDescent="0.35">
      <c r="A112" s="142" t="s">
        <v>235</v>
      </c>
      <c r="B112" s="168">
        <f>SUM(C112,E112,G112,I112,K112,M112,O112,Q112)</f>
        <v>44</v>
      </c>
      <c r="C112" s="154" t="s">
        <v>358</v>
      </c>
      <c r="D112" s="155" t="s">
        <v>358</v>
      </c>
      <c r="E112" s="154">
        <v>3</v>
      </c>
      <c r="F112" s="155">
        <v>1.72</v>
      </c>
      <c r="G112" s="154">
        <v>37</v>
      </c>
      <c r="H112" s="155">
        <v>7.3419999999999996</v>
      </c>
      <c r="I112" s="154" t="s">
        <v>358</v>
      </c>
      <c r="J112" s="154" t="s">
        <v>358</v>
      </c>
      <c r="K112" s="155" t="s">
        <v>358</v>
      </c>
      <c r="L112" s="154" t="s">
        <v>358</v>
      </c>
      <c r="M112" s="155">
        <v>1</v>
      </c>
      <c r="N112" s="154">
        <v>0.15</v>
      </c>
      <c r="O112" s="156">
        <v>3</v>
      </c>
      <c r="P112" s="154">
        <v>0.78</v>
      </c>
      <c r="Q112" s="156" t="s">
        <v>358</v>
      </c>
      <c r="R112" s="157" t="s">
        <v>358</v>
      </c>
      <c r="S112" s="143" t="s">
        <v>351</v>
      </c>
      <c r="T112" s="144"/>
      <c r="U112" s="144"/>
    </row>
    <row r="113" spans="1:21" s="131" customFormat="1" ht="14.4" x14ac:dyDescent="0.3">
      <c r="A113" s="145" t="s">
        <v>29</v>
      </c>
      <c r="P113" s="196" t="s">
        <v>106</v>
      </c>
      <c r="Q113" s="196"/>
      <c r="R113" s="196"/>
      <c r="S113" s="197"/>
      <c r="T113" s="197"/>
      <c r="U113" s="197"/>
    </row>
    <row r="114" spans="1:21" s="131" customFormat="1" ht="14.4" x14ac:dyDescent="0.3">
      <c r="A114" s="146" t="s">
        <v>207</v>
      </c>
      <c r="P114" s="131" t="s">
        <v>206</v>
      </c>
    </row>
    <row r="115" spans="1:21" s="131" customFormat="1" ht="14.4" x14ac:dyDescent="0.3"/>
    <row r="116" spans="1:21" s="131" customFormat="1" ht="14.4" x14ac:dyDescent="0.3"/>
    <row r="117" spans="1:21" s="131" customFormat="1" ht="14.4" x14ac:dyDescent="0.3"/>
    <row r="118" spans="1:21" s="131" customFormat="1" ht="14.4" x14ac:dyDescent="0.3"/>
    <row r="121" spans="1:21" x14ac:dyDescent="0.3">
      <c r="N121" s="126" t="s">
        <v>205</v>
      </c>
    </row>
  </sheetData>
  <sheetProtection selectLockedCells="1" selectUnlockedCells="1"/>
  <mergeCells count="287">
    <mergeCell ref="E107:E108"/>
    <mergeCell ref="D107:D108"/>
    <mergeCell ref="E85:E86"/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F22:F23"/>
    <mergeCell ref="C68:C69"/>
    <mergeCell ref="B68:B69"/>
    <mergeCell ref="E75:E76"/>
    <mergeCell ref="D75:D76"/>
    <mergeCell ref="H75:H76"/>
    <mergeCell ref="G75:G76"/>
    <mergeCell ref="I75:I76"/>
    <mergeCell ref="M75:M76"/>
    <mergeCell ref="L75:L76"/>
    <mergeCell ref="K75:K76"/>
    <mergeCell ref="J75:J76"/>
    <mergeCell ref="G107:G108"/>
    <mergeCell ref="F107:F108"/>
    <mergeCell ref="N92:N93"/>
    <mergeCell ref="M92:M93"/>
    <mergeCell ref="R85:R86"/>
    <mergeCell ref="Q85:Q86"/>
    <mergeCell ref="P85:P86"/>
    <mergeCell ref="O85:O86"/>
    <mergeCell ref="N85:N86"/>
    <mergeCell ref="G85:G86"/>
    <mergeCell ref="I85:I86"/>
    <mergeCell ref="H85:H86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M42:M43"/>
    <mergeCell ref="I42:I43"/>
    <mergeCell ref="I56:I57"/>
    <mergeCell ref="H56:H57"/>
    <mergeCell ref="G56:G57"/>
    <mergeCell ref="J56:J57"/>
    <mergeCell ref="R92:R93"/>
    <mergeCell ref="Q92:Q93"/>
    <mergeCell ref="P92:P93"/>
    <mergeCell ref="R75:R76"/>
    <mergeCell ref="Q75:Q76"/>
    <mergeCell ref="P75:P76"/>
    <mergeCell ref="O75:O76"/>
    <mergeCell ref="N75:N76"/>
    <mergeCell ref="R68:R69"/>
    <mergeCell ref="Q68:Q69"/>
    <mergeCell ref="O63:O64"/>
    <mergeCell ref="N63:N64"/>
    <mergeCell ref="M63:M64"/>
    <mergeCell ref="P68:P69"/>
    <mergeCell ref="O68:O69"/>
    <mergeCell ref="N68:N69"/>
    <mergeCell ref="L63:L64"/>
    <mergeCell ref="I92:I93"/>
    <mergeCell ref="I68:I69"/>
    <mergeCell ref="H68:H69"/>
    <mergeCell ref="G68:G69"/>
    <mergeCell ref="G36:G37"/>
    <mergeCell ref="G42:G43"/>
    <mergeCell ref="G49:G50"/>
    <mergeCell ref="H36:H37"/>
    <mergeCell ref="I49:I50"/>
    <mergeCell ref="H49:H50"/>
    <mergeCell ref="H42:H43"/>
    <mergeCell ref="L68:L69"/>
    <mergeCell ref="M68:M69"/>
    <mergeCell ref="S7:U11"/>
    <mergeCell ref="K7:L9"/>
    <mergeCell ref="E10:F10"/>
    <mergeCell ref="O12:O13"/>
    <mergeCell ref="M14:M15"/>
    <mergeCell ref="R14:R15"/>
    <mergeCell ref="Q14:Q15"/>
    <mergeCell ref="N12:N13"/>
    <mergeCell ref="M12:M13"/>
    <mergeCell ref="I7:J9"/>
    <mergeCell ref="M7:N9"/>
    <mergeCell ref="Q7:R9"/>
    <mergeCell ref="I14:I15"/>
    <mergeCell ref="H14:H15"/>
    <mergeCell ref="J12:J13"/>
    <mergeCell ref="L12:L13"/>
    <mergeCell ref="G12:G13"/>
    <mergeCell ref="E22:E23"/>
    <mergeCell ref="D22:D23"/>
    <mergeCell ref="E63:E64"/>
    <mergeCell ref="D42:D43"/>
    <mergeCell ref="S12:U13"/>
    <mergeCell ref="R12:R13"/>
    <mergeCell ref="Q12:Q13"/>
    <mergeCell ref="B14:B15"/>
    <mergeCell ref="G7:H9"/>
    <mergeCell ref="D14:D15"/>
    <mergeCell ref="C14:C15"/>
    <mergeCell ref="A7:A11"/>
    <mergeCell ref="B7:B11"/>
    <mergeCell ref="E8:F8"/>
    <mergeCell ref="C7:F7"/>
    <mergeCell ref="C8:D8"/>
    <mergeCell ref="C10:D10"/>
    <mergeCell ref="C9:F9"/>
    <mergeCell ref="G10:H10"/>
    <mergeCell ref="I10:J10"/>
    <mergeCell ref="K10:L10"/>
    <mergeCell ref="M10:N10"/>
    <mergeCell ref="O10:P10"/>
    <mergeCell ref="Q10:R10"/>
    <mergeCell ref="M6:P6"/>
    <mergeCell ref="K12:K13"/>
    <mergeCell ref="G14:G15"/>
    <mergeCell ref="I12:I13"/>
    <mergeCell ref="H12:H13"/>
    <mergeCell ref="O7:P9"/>
    <mergeCell ref="E14:E15"/>
    <mergeCell ref="F12:F13"/>
    <mergeCell ref="E12:E13"/>
    <mergeCell ref="P12:P13"/>
    <mergeCell ref="P14:P15"/>
    <mergeCell ref="O14:O15"/>
    <mergeCell ref="A68:A69"/>
    <mergeCell ref="A6:F6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B107:B108"/>
    <mergeCell ref="C107:C108"/>
    <mergeCell ref="C75:C76"/>
    <mergeCell ref="B92:B93"/>
    <mergeCell ref="C85:C86"/>
    <mergeCell ref="B85:B86"/>
    <mergeCell ref="D92:D93"/>
    <mergeCell ref="C92:C93"/>
    <mergeCell ref="R22:R23"/>
    <mergeCell ref="R36:R37"/>
    <mergeCell ref="Q36:Q37"/>
    <mergeCell ref="P36:P37"/>
    <mergeCell ref="O36:O37"/>
    <mergeCell ref="Q22:Q23"/>
    <mergeCell ref="O42:O43"/>
    <mergeCell ref="P113:R113"/>
    <mergeCell ref="S113:U113"/>
    <mergeCell ref="S92:U93"/>
    <mergeCell ref="S107:U108"/>
    <mergeCell ref="S79:V79"/>
    <mergeCell ref="R107:R108"/>
    <mergeCell ref="Q107:Q108"/>
    <mergeCell ref="P107:P108"/>
    <mergeCell ref="S85:U86"/>
    <mergeCell ref="P56:P57"/>
    <mergeCell ref="S36:U37"/>
    <mergeCell ref="S42:U43"/>
    <mergeCell ref="R49:R50"/>
    <mergeCell ref="Q49:Q50"/>
    <mergeCell ref="P49:P50"/>
    <mergeCell ref="P42:P43"/>
    <mergeCell ref="Q63:Q64"/>
    <mergeCell ref="M36:M37"/>
    <mergeCell ref="L36:L37"/>
    <mergeCell ref="K36:K37"/>
    <mergeCell ref="J36:J37"/>
    <mergeCell ref="S77:V77"/>
    <mergeCell ref="S84:V84"/>
    <mergeCell ref="S83:V83"/>
    <mergeCell ref="S82:V82"/>
    <mergeCell ref="S81:V81"/>
    <mergeCell ref="K42:K43"/>
    <mergeCell ref="J42:J43"/>
    <mergeCell ref="J49:J50"/>
    <mergeCell ref="S56:U57"/>
    <mergeCell ref="S68:U69"/>
    <mergeCell ref="S80:V80"/>
    <mergeCell ref="L42:L43"/>
    <mergeCell ref="L49:L50"/>
    <mergeCell ref="K49:K50"/>
    <mergeCell ref="N42:N43"/>
    <mergeCell ref="P63:P64"/>
    <mergeCell ref="K63:K64"/>
    <mergeCell ref="J63:J64"/>
    <mergeCell ref="K68:K69"/>
    <mergeCell ref="J68:J69"/>
    <mergeCell ref="N22:N23"/>
    <mergeCell ref="K22:K23"/>
    <mergeCell ref="J22:J23"/>
    <mergeCell ref="H22:H23"/>
    <mergeCell ref="M22:M23"/>
    <mergeCell ref="L22:L23"/>
    <mergeCell ref="G22:G23"/>
    <mergeCell ref="S75:U76"/>
    <mergeCell ref="S22:U23"/>
    <mergeCell ref="O49:O50"/>
    <mergeCell ref="N49:N50"/>
    <mergeCell ref="R56:R57"/>
    <mergeCell ref="Q56:Q57"/>
    <mergeCell ref="O56:O57"/>
    <mergeCell ref="N56:N57"/>
    <mergeCell ref="M56:M57"/>
    <mergeCell ref="L56:L57"/>
    <mergeCell ref="K56:K57"/>
    <mergeCell ref="M49:M50"/>
    <mergeCell ref="I63:I64"/>
    <mergeCell ref="H63:H64"/>
    <mergeCell ref="G63:G64"/>
    <mergeCell ref="R63:R64"/>
    <mergeCell ref="N36:N37"/>
    <mergeCell ref="T4:U5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</mergeCells>
  <pageMargins left="0.7" right="0.7" top="0.75" bottom="0.75" header="0.3" footer="0.3"/>
  <pageSetup paperSize="9" orientation="portrait" horizontalDpi="200" verticalDpi="200" r:id="rId1"/>
  <ignoredErrors>
    <ignoredError sqref="B41 B67 B70:B71 B81:B84 B87:B91 B109:B112 B32:B35 B38:B40 B65:B66 B58:B62 B51:B55 C49:R50 C56:R57 C63:R64 D31:Q31 B24:B30 B44:B48 B94:B106 B20:B21 B73:B74 B18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Φύλλο3"/>
  <dimension ref="A1:H110"/>
  <sheetViews>
    <sheetView showGridLines="0" zoomScale="80" zoomScaleNormal="80" workbookViewId="0">
      <selection activeCell="A11" sqref="A11:A12"/>
    </sheetView>
  </sheetViews>
  <sheetFormatPr defaultRowHeight="14.4" x14ac:dyDescent="0.3"/>
  <cols>
    <col min="1" max="1" width="37.21875" bestFit="1" customWidth="1"/>
  </cols>
  <sheetData>
    <row r="1" spans="1:8" x14ac:dyDescent="0.3">
      <c r="A1" s="228"/>
      <c r="B1" s="228"/>
      <c r="C1" s="228"/>
      <c r="D1" s="228"/>
      <c r="E1" s="228"/>
      <c r="F1" s="228"/>
      <c r="G1" s="228"/>
      <c r="H1" s="228"/>
    </row>
    <row r="2" spans="1:8" x14ac:dyDescent="0.3">
      <c r="A2" s="229"/>
      <c r="B2" s="229"/>
      <c r="C2" s="229"/>
      <c r="D2" s="229"/>
      <c r="E2" s="229"/>
      <c r="F2" s="229"/>
      <c r="G2" s="229"/>
      <c r="H2" s="229"/>
    </row>
    <row r="3" spans="1:8" x14ac:dyDescent="0.3">
      <c r="A3" s="229"/>
      <c r="B3" s="229"/>
      <c r="C3" s="229"/>
      <c r="D3" s="229"/>
      <c r="E3" s="229"/>
      <c r="F3" s="229"/>
      <c r="G3" s="229"/>
      <c r="H3" s="229"/>
    </row>
    <row r="4" spans="1:8" x14ac:dyDescent="0.3">
      <c r="A4" s="230"/>
      <c r="B4" s="230"/>
      <c r="C4" s="230"/>
      <c r="D4" s="230"/>
      <c r="E4" s="230"/>
      <c r="F4" s="230"/>
      <c r="G4" s="1"/>
      <c r="H4" s="1"/>
    </row>
    <row r="5" spans="1:8" x14ac:dyDescent="0.3">
      <c r="A5" s="231"/>
      <c r="B5" s="231"/>
      <c r="C5" s="231"/>
      <c r="D5" s="232"/>
      <c r="E5" s="232"/>
      <c r="F5" s="232"/>
      <c r="G5" s="231"/>
      <c r="H5" s="231"/>
    </row>
    <row r="6" spans="1:8" x14ac:dyDescent="0.3">
      <c r="A6" s="231"/>
      <c r="B6" s="231"/>
      <c r="C6" s="232"/>
      <c r="D6" s="232"/>
      <c r="E6" s="232"/>
      <c r="F6" s="232"/>
      <c r="G6" s="231"/>
      <c r="H6" s="231"/>
    </row>
    <row r="7" spans="1:8" x14ac:dyDescent="0.3">
      <c r="A7" s="231"/>
      <c r="B7" s="231"/>
      <c r="C7" s="231"/>
      <c r="D7" s="231"/>
      <c r="E7" s="231"/>
      <c r="F7" s="231"/>
      <c r="G7" s="231"/>
      <c r="H7" s="231"/>
    </row>
    <row r="8" spans="1:8" x14ac:dyDescent="0.3">
      <c r="A8" s="231"/>
      <c r="B8" s="231"/>
      <c r="C8" s="2"/>
      <c r="D8" s="2"/>
      <c r="E8" s="2"/>
      <c r="F8" s="2"/>
      <c r="G8" s="2"/>
      <c r="H8" s="2"/>
    </row>
    <row r="9" spans="1:8" x14ac:dyDescent="0.3">
      <c r="A9" s="235"/>
      <c r="B9" s="234"/>
      <c r="C9" s="234"/>
      <c r="D9" s="234"/>
      <c r="E9" s="234"/>
      <c r="F9" s="234"/>
      <c r="G9" s="234"/>
      <c r="H9" s="234"/>
    </row>
    <row r="10" spans="1:8" x14ac:dyDescent="0.3">
      <c r="A10" s="235"/>
      <c r="B10" s="234"/>
      <c r="C10" s="234"/>
      <c r="D10" s="234"/>
      <c r="E10" s="234"/>
      <c r="F10" s="234"/>
      <c r="G10" s="234"/>
      <c r="H10" s="234"/>
    </row>
    <row r="11" spans="1:8" x14ac:dyDescent="0.3">
      <c r="A11" s="233"/>
      <c r="B11" s="234"/>
      <c r="C11" s="234"/>
      <c r="D11" s="234"/>
      <c r="E11" s="234"/>
      <c r="F11" s="234"/>
      <c r="G11" s="234"/>
      <c r="H11" s="234"/>
    </row>
    <row r="12" spans="1:8" x14ac:dyDescent="0.3">
      <c r="A12" s="233"/>
      <c r="B12" s="234"/>
      <c r="C12" s="234"/>
      <c r="D12" s="234"/>
      <c r="E12" s="234"/>
      <c r="F12" s="234"/>
      <c r="G12" s="234"/>
      <c r="H12" s="234"/>
    </row>
    <row r="13" spans="1:8" x14ac:dyDescent="0.3">
      <c r="A13" s="3"/>
      <c r="B13" s="4"/>
      <c r="C13" s="4"/>
      <c r="D13" s="4"/>
      <c r="E13" s="4"/>
      <c r="F13" s="4"/>
      <c r="G13" s="4"/>
      <c r="H13" s="4"/>
    </row>
    <row r="14" spans="1:8" x14ac:dyDescent="0.3">
      <c r="A14" s="3"/>
      <c r="B14" s="4"/>
      <c r="C14" s="4"/>
      <c r="D14" s="4"/>
      <c r="E14" s="4"/>
      <c r="F14" s="4"/>
      <c r="G14" s="4"/>
      <c r="H14" s="4"/>
    </row>
    <row r="15" spans="1:8" x14ac:dyDescent="0.3">
      <c r="A15" s="3"/>
      <c r="B15" s="4"/>
      <c r="C15" s="4"/>
      <c r="D15" s="4"/>
      <c r="E15" s="4"/>
      <c r="F15" s="4"/>
      <c r="G15" s="4"/>
      <c r="H15" s="4"/>
    </row>
    <row r="16" spans="1:8" x14ac:dyDescent="0.3">
      <c r="A16" s="3"/>
      <c r="B16" s="4"/>
      <c r="C16" s="4"/>
      <c r="D16" s="4"/>
      <c r="E16" s="4"/>
      <c r="F16" s="4"/>
      <c r="G16" s="4"/>
      <c r="H16" s="4"/>
    </row>
    <row r="17" spans="1:8" x14ac:dyDescent="0.3">
      <c r="A17" s="3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4"/>
      <c r="C18" s="4"/>
      <c r="D18" s="4"/>
      <c r="E18" s="4"/>
      <c r="F18" s="4"/>
      <c r="G18" s="4"/>
      <c r="H18" s="4"/>
    </row>
    <row r="19" spans="1:8" x14ac:dyDescent="0.3">
      <c r="A19" s="233"/>
      <c r="B19" s="4"/>
      <c r="C19" s="4"/>
      <c r="D19" s="4"/>
      <c r="E19" s="4"/>
      <c r="F19" s="4"/>
      <c r="G19" s="4"/>
      <c r="H19" s="4"/>
    </row>
    <row r="20" spans="1:8" x14ac:dyDescent="0.3">
      <c r="A20" s="233"/>
      <c r="B20" s="4"/>
      <c r="C20" s="4"/>
      <c r="D20" s="4"/>
      <c r="E20" s="4"/>
      <c r="F20" s="4"/>
      <c r="G20" s="4"/>
      <c r="H20" s="4"/>
    </row>
    <row r="21" spans="1:8" x14ac:dyDescent="0.3">
      <c r="A21" s="3"/>
      <c r="B21" s="4"/>
      <c r="C21" s="4"/>
      <c r="D21" s="4"/>
      <c r="E21" s="4"/>
      <c r="F21" s="4"/>
      <c r="G21" s="4"/>
      <c r="H21" s="4"/>
    </row>
    <row r="22" spans="1:8" x14ac:dyDescent="0.3">
      <c r="A22" s="3"/>
      <c r="B22" s="4"/>
      <c r="C22" s="4"/>
      <c r="D22" s="4"/>
      <c r="E22" s="4"/>
      <c r="F22" s="4"/>
      <c r="G22" s="4"/>
      <c r="H22" s="4"/>
    </row>
    <row r="23" spans="1:8" x14ac:dyDescent="0.3">
      <c r="A23" s="3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4"/>
      <c r="C24" s="4"/>
      <c r="D24" s="4"/>
      <c r="E24" s="4"/>
      <c r="F24" s="4"/>
      <c r="G24" s="4"/>
      <c r="H24" s="4"/>
    </row>
    <row r="25" spans="1:8" x14ac:dyDescent="0.3">
      <c r="A25" s="3"/>
      <c r="B25" s="4"/>
      <c r="C25" s="4"/>
      <c r="D25" s="4"/>
      <c r="E25" s="4"/>
      <c r="F25" s="4"/>
      <c r="G25" s="4"/>
      <c r="H25" s="4"/>
    </row>
    <row r="26" spans="1:8" x14ac:dyDescent="0.3">
      <c r="A26" s="3"/>
      <c r="B26" s="4"/>
      <c r="C26" s="4"/>
      <c r="D26" s="4"/>
      <c r="E26" s="4"/>
      <c r="F26" s="4"/>
      <c r="G26" s="4"/>
      <c r="H26" s="4"/>
    </row>
    <row r="27" spans="1:8" x14ac:dyDescent="0.3">
      <c r="A27" s="3"/>
      <c r="B27" s="4"/>
      <c r="C27" s="4"/>
      <c r="D27" s="4"/>
      <c r="E27" s="4"/>
      <c r="F27" s="4"/>
      <c r="G27" s="4"/>
      <c r="H27" s="4"/>
    </row>
    <row r="28" spans="1:8" x14ac:dyDescent="0.3">
      <c r="A28" s="3"/>
      <c r="B28" s="4"/>
      <c r="C28" s="4"/>
      <c r="D28" s="4"/>
      <c r="E28" s="4"/>
      <c r="F28" s="4"/>
      <c r="G28" s="4"/>
      <c r="H28" s="4"/>
    </row>
    <row r="29" spans="1:8" x14ac:dyDescent="0.3">
      <c r="A29" s="3"/>
      <c r="B29" s="4"/>
      <c r="C29" s="4"/>
      <c r="D29" s="4"/>
      <c r="E29" s="4"/>
      <c r="F29" s="4"/>
      <c r="G29" s="4"/>
      <c r="H29" s="4"/>
    </row>
    <row r="30" spans="1:8" x14ac:dyDescent="0.3">
      <c r="A30" s="3"/>
      <c r="B30" s="4"/>
      <c r="C30" s="4"/>
      <c r="D30" s="4"/>
      <c r="E30" s="4"/>
      <c r="F30" s="4"/>
      <c r="G30" s="4"/>
      <c r="H30" s="4"/>
    </row>
    <row r="31" spans="1:8" x14ac:dyDescent="0.3">
      <c r="A31" s="3"/>
      <c r="B31" s="4"/>
      <c r="C31" s="4"/>
      <c r="D31" s="4"/>
      <c r="E31" s="4"/>
      <c r="F31" s="4"/>
      <c r="G31" s="4"/>
      <c r="H31" s="4"/>
    </row>
    <row r="32" spans="1:8" x14ac:dyDescent="0.3">
      <c r="A32" s="233"/>
      <c r="B32" s="234"/>
      <c r="C32" s="234"/>
      <c r="D32" s="234"/>
      <c r="E32" s="234"/>
      <c r="F32" s="234"/>
      <c r="G32" s="234"/>
      <c r="H32" s="234"/>
    </row>
    <row r="33" spans="1:8" x14ac:dyDescent="0.3">
      <c r="A33" s="233"/>
      <c r="B33" s="234"/>
      <c r="C33" s="234"/>
      <c r="D33" s="234"/>
      <c r="E33" s="234"/>
      <c r="F33" s="234"/>
      <c r="G33" s="234"/>
      <c r="H33" s="234"/>
    </row>
    <row r="34" spans="1:8" x14ac:dyDescent="0.3">
      <c r="A34" s="3"/>
      <c r="B34" s="4"/>
      <c r="C34" s="4"/>
      <c r="D34" s="4"/>
      <c r="E34" s="4"/>
      <c r="F34" s="4"/>
      <c r="G34" s="4"/>
      <c r="H34" s="4"/>
    </row>
    <row r="35" spans="1:8" x14ac:dyDescent="0.3">
      <c r="A35" s="3"/>
      <c r="B35" s="4"/>
      <c r="C35" s="4"/>
      <c r="D35" s="4"/>
      <c r="E35" s="4"/>
      <c r="F35" s="4"/>
      <c r="G35" s="4"/>
      <c r="H35" s="4"/>
    </row>
    <row r="36" spans="1:8" x14ac:dyDescent="0.3">
      <c r="A36" s="3"/>
      <c r="B36" s="4"/>
      <c r="C36" s="4"/>
      <c r="D36" s="4"/>
      <c r="E36" s="4"/>
      <c r="F36" s="4"/>
      <c r="G36" s="4"/>
      <c r="H36" s="4"/>
    </row>
    <row r="37" spans="1:8" x14ac:dyDescent="0.3">
      <c r="A37" s="3"/>
      <c r="B37" s="4"/>
      <c r="C37" s="4"/>
      <c r="D37" s="4"/>
      <c r="E37" s="4"/>
      <c r="F37" s="4"/>
      <c r="G37" s="4"/>
      <c r="H37" s="4"/>
    </row>
    <row r="38" spans="1:8" x14ac:dyDescent="0.3">
      <c r="A38" s="233"/>
      <c r="B38" s="234"/>
      <c r="C38" s="234"/>
      <c r="D38" s="234"/>
      <c r="E38" s="234"/>
      <c r="F38" s="234"/>
      <c r="G38" s="234"/>
      <c r="H38" s="234"/>
    </row>
    <row r="39" spans="1:8" x14ac:dyDescent="0.3">
      <c r="A39" s="233"/>
      <c r="B39" s="234"/>
      <c r="C39" s="234"/>
      <c r="D39" s="234"/>
      <c r="E39" s="234"/>
      <c r="F39" s="234"/>
      <c r="G39" s="234"/>
      <c r="H39" s="234"/>
    </row>
    <row r="40" spans="1:8" x14ac:dyDescent="0.3">
      <c r="A40" s="3"/>
      <c r="B40" s="4"/>
      <c r="C40" s="4"/>
      <c r="D40" s="4"/>
      <c r="E40" s="4"/>
      <c r="F40" s="4"/>
      <c r="G40" s="4"/>
      <c r="H40" s="4"/>
    </row>
    <row r="41" spans="1:8" x14ac:dyDescent="0.3">
      <c r="A41" s="3"/>
      <c r="B41" s="4"/>
      <c r="C41" s="4"/>
      <c r="D41" s="4"/>
      <c r="E41" s="4"/>
      <c r="F41" s="4"/>
      <c r="G41" s="4"/>
      <c r="H41" s="4"/>
    </row>
    <row r="42" spans="1:8" x14ac:dyDescent="0.3">
      <c r="A42" s="3"/>
      <c r="B42" s="4"/>
      <c r="C42" s="4"/>
      <c r="D42" s="4"/>
      <c r="E42" s="4"/>
      <c r="F42" s="4"/>
      <c r="G42" s="4"/>
      <c r="H42" s="4"/>
    </row>
    <row r="43" spans="1:8" x14ac:dyDescent="0.3">
      <c r="A43" s="3"/>
      <c r="B43" s="4"/>
      <c r="C43" s="4"/>
      <c r="D43" s="4"/>
      <c r="E43" s="4"/>
      <c r="F43" s="4"/>
      <c r="G43" s="4"/>
      <c r="H43" s="4"/>
    </row>
    <row r="44" spans="1:8" x14ac:dyDescent="0.3">
      <c r="A44" s="3"/>
      <c r="B44" s="4"/>
      <c r="C44" s="4"/>
      <c r="D44" s="4"/>
      <c r="E44" s="4"/>
      <c r="F44" s="4"/>
      <c r="G44" s="4"/>
      <c r="H44" s="4"/>
    </row>
    <row r="45" spans="1:8" x14ac:dyDescent="0.3">
      <c r="A45" s="233"/>
      <c r="B45" s="234"/>
      <c r="C45" s="234"/>
      <c r="D45" s="234"/>
      <c r="E45" s="234"/>
      <c r="F45" s="234"/>
      <c r="G45" s="234"/>
      <c r="H45" s="234"/>
    </row>
    <row r="46" spans="1:8" x14ac:dyDescent="0.3">
      <c r="A46" s="233"/>
      <c r="B46" s="234"/>
      <c r="C46" s="234"/>
      <c r="D46" s="234"/>
      <c r="E46" s="234"/>
      <c r="F46" s="234"/>
      <c r="G46" s="234"/>
      <c r="H46" s="234"/>
    </row>
    <row r="47" spans="1:8" x14ac:dyDescent="0.3">
      <c r="A47" s="3"/>
      <c r="B47" s="4"/>
      <c r="C47" s="4"/>
      <c r="D47" s="4"/>
      <c r="E47" s="4"/>
      <c r="F47" s="4"/>
      <c r="G47" s="4"/>
      <c r="H47" s="4"/>
    </row>
    <row r="48" spans="1:8" x14ac:dyDescent="0.3">
      <c r="A48" s="3"/>
      <c r="B48" s="4"/>
      <c r="C48" s="4"/>
      <c r="D48" s="4"/>
      <c r="E48" s="4"/>
      <c r="F48" s="4"/>
      <c r="G48" s="4"/>
      <c r="H48" s="4"/>
    </row>
    <row r="49" spans="1:8" x14ac:dyDescent="0.3">
      <c r="A49" s="3"/>
      <c r="B49" s="4"/>
      <c r="C49" s="4"/>
      <c r="D49" s="4"/>
      <c r="E49" s="4"/>
      <c r="F49" s="4"/>
      <c r="G49" s="4"/>
      <c r="H49" s="4"/>
    </row>
    <row r="50" spans="1:8" x14ac:dyDescent="0.3">
      <c r="A50" s="3"/>
      <c r="B50" s="4"/>
      <c r="C50" s="4"/>
      <c r="D50" s="4"/>
      <c r="E50" s="4"/>
      <c r="F50" s="4"/>
      <c r="G50" s="4"/>
      <c r="H50" s="4"/>
    </row>
    <row r="51" spans="1:8" x14ac:dyDescent="0.3">
      <c r="A51" s="3"/>
      <c r="B51" s="4"/>
      <c r="C51" s="4"/>
      <c r="D51" s="4"/>
      <c r="E51" s="4"/>
      <c r="F51" s="4"/>
      <c r="G51" s="4"/>
      <c r="H51" s="4"/>
    </row>
    <row r="52" spans="1:8" x14ac:dyDescent="0.3">
      <c r="A52" s="233"/>
      <c r="B52" s="234"/>
      <c r="C52" s="234"/>
      <c r="D52" s="234"/>
      <c r="E52" s="234"/>
      <c r="F52" s="234"/>
      <c r="G52" s="234"/>
      <c r="H52" s="234"/>
    </row>
    <row r="53" spans="1:8" x14ac:dyDescent="0.3">
      <c r="A53" s="233"/>
      <c r="B53" s="234"/>
      <c r="C53" s="234"/>
      <c r="D53" s="234"/>
      <c r="E53" s="234"/>
      <c r="F53" s="234"/>
      <c r="G53" s="234"/>
      <c r="H53" s="234"/>
    </row>
    <row r="54" spans="1:8" x14ac:dyDescent="0.3">
      <c r="A54" s="3"/>
      <c r="B54" s="4"/>
      <c r="C54" s="4"/>
      <c r="D54" s="4"/>
      <c r="E54" s="4"/>
      <c r="F54" s="4"/>
      <c r="G54" s="4"/>
      <c r="H54" s="4"/>
    </row>
    <row r="55" spans="1:8" x14ac:dyDescent="0.3">
      <c r="A55" s="3"/>
      <c r="B55" s="4"/>
      <c r="C55" s="4"/>
      <c r="D55" s="4"/>
      <c r="E55" s="4"/>
      <c r="F55" s="4"/>
      <c r="G55" s="4"/>
      <c r="H55" s="4"/>
    </row>
    <row r="56" spans="1:8" x14ac:dyDescent="0.3">
      <c r="A56" s="3"/>
      <c r="B56" s="4"/>
      <c r="C56" s="4"/>
      <c r="D56" s="4"/>
      <c r="E56" s="4"/>
      <c r="F56" s="4"/>
      <c r="G56" s="4"/>
      <c r="H56" s="4"/>
    </row>
    <row r="57" spans="1:8" x14ac:dyDescent="0.3">
      <c r="A57" s="3"/>
      <c r="B57" s="4"/>
      <c r="C57" s="4"/>
      <c r="D57" s="4"/>
      <c r="E57" s="4"/>
      <c r="F57" s="4"/>
      <c r="G57" s="4"/>
      <c r="H57" s="4"/>
    </row>
    <row r="58" spans="1:8" x14ac:dyDescent="0.3">
      <c r="A58" s="3"/>
      <c r="B58" s="4"/>
      <c r="C58" s="4"/>
      <c r="D58" s="4"/>
      <c r="E58" s="4"/>
      <c r="F58" s="4"/>
      <c r="G58" s="4"/>
      <c r="H58" s="4"/>
    </row>
    <row r="59" spans="1:8" x14ac:dyDescent="0.3">
      <c r="A59" s="236"/>
      <c r="B59" s="234"/>
      <c r="C59" s="234"/>
      <c r="D59" s="234"/>
      <c r="E59" s="234"/>
      <c r="F59" s="234"/>
      <c r="G59" s="234"/>
      <c r="H59" s="234"/>
    </row>
    <row r="60" spans="1:8" x14ac:dyDescent="0.3">
      <c r="A60" s="236"/>
      <c r="B60" s="234"/>
      <c r="C60" s="234"/>
      <c r="D60" s="234"/>
      <c r="E60" s="234"/>
      <c r="F60" s="234"/>
      <c r="G60" s="234"/>
      <c r="H60" s="234"/>
    </row>
    <row r="61" spans="1:8" x14ac:dyDescent="0.3">
      <c r="A61" s="3"/>
      <c r="B61" s="4"/>
      <c r="C61" s="4"/>
      <c r="D61" s="4"/>
      <c r="E61" s="4"/>
      <c r="F61" s="4"/>
      <c r="G61" s="4"/>
      <c r="H61" s="4"/>
    </row>
    <row r="62" spans="1:8" x14ac:dyDescent="0.3">
      <c r="A62" s="3"/>
      <c r="B62" s="4"/>
      <c r="C62" s="4"/>
      <c r="D62" s="4"/>
      <c r="E62" s="4"/>
      <c r="F62" s="4"/>
      <c r="G62" s="4"/>
      <c r="H62" s="4"/>
    </row>
    <row r="63" spans="1:8" x14ac:dyDescent="0.3">
      <c r="A63" s="3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233"/>
      <c r="B65" s="234"/>
      <c r="C65" s="234"/>
      <c r="D65" s="234"/>
      <c r="E65" s="234"/>
      <c r="F65" s="234"/>
      <c r="G65" s="234"/>
      <c r="H65" s="234"/>
    </row>
    <row r="66" spans="1:8" x14ac:dyDescent="0.3">
      <c r="A66" s="233"/>
      <c r="B66" s="234"/>
      <c r="C66" s="234"/>
      <c r="D66" s="234"/>
      <c r="E66" s="234"/>
      <c r="F66" s="234"/>
      <c r="G66" s="234"/>
      <c r="H66" s="234"/>
    </row>
    <row r="67" spans="1:8" x14ac:dyDescent="0.3">
      <c r="A67" s="3"/>
      <c r="B67" s="4"/>
      <c r="C67" s="4"/>
      <c r="D67" s="4"/>
      <c r="E67" s="4"/>
      <c r="F67" s="4"/>
      <c r="G67" s="4"/>
      <c r="H67" s="4"/>
    </row>
    <row r="68" spans="1:8" x14ac:dyDescent="0.3">
      <c r="A68" s="3"/>
      <c r="B68" s="4"/>
      <c r="C68" s="4"/>
      <c r="D68" s="4"/>
      <c r="E68" s="4"/>
      <c r="F68" s="4"/>
      <c r="G68" s="4"/>
      <c r="H68" s="4"/>
    </row>
    <row r="69" spans="1:8" x14ac:dyDescent="0.3">
      <c r="A69" s="3"/>
      <c r="B69" s="4"/>
      <c r="C69" s="4"/>
      <c r="D69" s="4"/>
      <c r="E69" s="4"/>
      <c r="F69" s="4"/>
      <c r="G69" s="4"/>
      <c r="H69" s="4"/>
    </row>
    <row r="70" spans="1:8" x14ac:dyDescent="0.3">
      <c r="A70" s="3"/>
      <c r="B70" s="4"/>
      <c r="C70" s="4"/>
      <c r="D70" s="4"/>
      <c r="E70" s="4"/>
      <c r="F70" s="4"/>
      <c r="G70" s="4"/>
      <c r="H70" s="4"/>
    </row>
    <row r="71" spans="1:8" x14ac:dyDescent="0.3">
      <c r="A71" s="3"/>
      <c r="B71" s="4"/>
      <c r="C71" s="4"/>
      <c r="D71" s="4"/>
      <c r="E71" s="4"/>
      <c r="F71" s="4"/>
      <c r="G71" s="4"/>
      <c r="H71" s="4"/>
    </row>
    <row r="72" spans="1:8" x14ac:dyDescent="0.3">
      <c r="A72" s="233"/>
      <c r="B72" s="234"/>
      <c r="C72" s="234"/>
      <c r="D72" s="234"/>
      <c r="E72" s="234"/>
      <c r="F72" s="234"/>
      <c r="G72" s="234"/>
      <c r="H72" s="234"/>
    </row>
    <row r="73" spans="1:8" x14ac:dyDescent="0.3">
      <c r="A73" s="233"/>
      <c r="B73" s="234"/>
      <c r="C73" s="234"/>
      <c r="D73" s="234"/>
      <c r="E73" s="234"/>
      <c r="F73" s="234"/>
      <c r="G73" s="234"/>
      <c r="H73" s="234"/>
    </row>
    <row r="74" spans="1:8" x14ac:dyDescent="0.3">
      <c r="A74" s="5"/>
      <c r="B74" s="4"/>
      <c r="C74" s="4"/>
      <c r="D74" s="4"/>
      <c r="E74" s="4"/>
      <c r="F74" s="4"/>
      <c r="G74" s="4"/>
      <c r="H74" s="4"/>
    </row>
    <row r="75" spans="1:8" x14ac:dyDescent="0.3">
      <c r="A75" s="3"/>
      <c r="B75" s="4"/>
      <c r="C75" s="4"/>
      <c r="D75" s="4"/>
      <c r="E75" s="4"/>
      <c r="F75" s="4"/>
      <c r="G75" s="4"/>
      <c r="H75" s="4"/>
    </row>
    <row r="76" spans="1:8" x14ac:dyDescent="0.3">
      <c r="A76" s="3"/>
      <c r="B76" s="4"/>
      <c r="C76" s="4"/>
      <c r="D76" s="4"/>
      <c r="E76" s="4"/>
      <c r="F76" s="4"/>
      <c r="G76" s="4"/>
      <c r="H76" s="4"/>
    </row>
    <row r="77" spans="1:8" x14ac:dyDescent="0.3">
      <c r="A77" s="3"/>
      <c r="B77" s="4"/>
      <c r="C77" s="4"/>
      <c r="D77" s="4"/>
      <c r="E77" s="4"/>
      <c r="F77" s="4"/>
      <c r="G77" s="4"/>
      <c r="H77" s="4"/>
    </row>
    <row r="78" spans="1:8" x14ac:dyDescent="0.3">
      <c r="A78" s="3"/>
      <c r="B78" s="4"/>
      <c r="C78" s="4"/>
      <c r="D78" s="4"/>
      <c r="E78" s="4"/>
      <c r="F78" s="4"/>
      <c r="G78" s="4"/>
      <c r="H78" s="4"/>
    </row>
    <row r="79" spans="1:8" x14ac:dyDescent="0.3">
      <c r="A79" s="3"/>
      <c r="B79" s="4"/>
      <c r="C79" s="4"/>
      <c r="D79" s="4"/>
      <c r="E79" s="4"/>
      <c r="F79" s="4"/>
      <c r="G79" s="4"/>
      <c r="H79" s="4"/>
    </row>
    <row r="80" spans="1:8" x14ac:dyDescent="0.3">
      <c r="A80" s="3"/>
      <c r="B80" s="4"/>
      <c r="C80" s="4"/>
      <c r="D80" s="4"/>
      <c r="E80" s="4"/>
      <c r="F80" s="4"/>
      <c r="G80" s="4"/>
      <c r="H80" s="4"/>
    </row>
    <row r="81" spans="1:8" x14ac:dyDescent="0.3">
      <c r="A81" s="3"/>
      <c r="B81" s="4"/>
      <c r="C81" s="4"/>
      <c r="D81" s="4"/>
      <c r="E81" s="4"/>
      <c r="F81" s="4"/>
      <c r="G81" s="4"/>
      <c r="H81" s="4"/>
    </row>
    <row r="82" spans="1:8" x14ac:dyDescent="0.3">
      <c r="A82" s="233"/>
      <c r="B82" s="234"/>
      <c r="C82" s="234"/>
      <c r="D82" s="234"/>
      <c r="E82" s="234"/>
      <c r="F82" s="234"/>
      <c r="G82" s="234"/>
      <c r="H82" s="234"/>
    </row>
    <row r="83" spans="1:8" x14ac:dyDescent="0.3">
      <c r="A83" s="233"/>
      <c r="B83" s="234"/>
      <c r="C83" s="234"/>
      <c r="D83" s="234"/>
      <c r="E83" s="234"/>
      <c r="F83" s="234"/>
      <c r="G83" s="234"/>
      <c r="H83" s="234"/>
    </row>
    <row r="84" spans="1:8" x14ac:dyDescent="0.3">
      <c r="A84" s="3"/>
      <c r="B84" s="4"/>
      <c r="C84" s="4"/>
      <c r="D84" s="4"/>
      <c r="E84" s="4"/>
      <c r="F84" s="4"/>
      <c r="G84" s="4"/>
      <c r="H84" s="4"/>
    </row>
    <row r="85" spans="1:8" x14ac:dyDescent="0.3">
      <c r="A85" s="3"/>
      <c r="B85" s="4"/>
      <c r="C85" s="4"/>
      <c r="D85" s="4"/>
      <c r="E85" s="4"/>
      <c r="F85" s="4"/>
      <c r="G85" s="4"/>
      <c r="H85" s="4"/>
    </row>
    <row r="86" spans="1:8" x14ac:dyDescent="0.3">
      <c r="A86" s="3"/>
      <c r="B86" s="4"/>
      <c r="C86" s="4"/>
      <c r="D86" s="4"/>
      <c r="E86" s="4"/>
      <c r="F86" s="4"/>
      <c r="G86" s="4"/>
      <c r="H86" s="4"/>
    </row>
    <row r="87" spans="1:8" x14ac:dyDescent="0.3">
      <c r="A87" s="3"/>
      <c r="B87" s="4"/>
      <c r="C87" s="4"/>
      <c r="D87" s="4"/>
      <c r="E87" s="4"/>
      <c r="F87" s="4"/>
      <c r="G87" s="4"/>
      <c r="H87" s="4"/>
    </row>
    <row r="88" spans="1:8" x14ac:dyDescent="0.3">
      <c r="A88" s="3"/>
      <c r="B88" s="4"/>
      <c r="C88" s="4"/>
      <c r="D88" s="4"/>
      <c r="E88" s="4"/>
      <c r="F88" s="4"/>
      <c r="G88" s="4"/>
      <c r="H88" s="4"/>
    </row>
    <row r="89" spans="1:8" x14ac:dyDescent="0.3">
      <c r="A89" s="233"/>
      <c r="B89" s="234"/>
      <c r="C89" s="234"/>
      <c r="D89" s="234"/>
      <c r="E89" s="234"/>
      <c r="F89" s="234"/>
      <c r="G89" s="234"/>
      <c r="H89" s="234"/>
    </row>
    <row r="90" spans="1:8" x14ac:dyDescent="0.3">
      <c r="A90" s="233"/>
      <c r="B90" s="234"/>
      <c r="C90" s="234"/>
      <c r="D90" s="234"/>
      <c r="E90" s="234"/>
      <c r="F90" s="234"/>
      <c r="G90" s="234"/>
      <c r="H90" s="234"/>
    </row>
    <row r="91" spans="1:8" x14ac:dyDescent="0.3">
      <c r="A91" s="3"/>
      <c r="B91" s="4"/>
      <c r="C91" s="4"/>
      <c r="D91" s="4"/>
      <c r="E91" s="4"/>
      <c r="F91" s="4"/>
      <c r="G91" s="4"/>
      <c r="H91" s="4"/>
    </row>
    <row r="92" spans="1:8" x14ac:dyDescent="0.3">
      <c r="A92" s="3"/>
      <c r="B92" s="4"/>
      <c r="C92" s="4"/>
      <c r="D92" s="4"/>
      <c r="E92" s="4"/>
      <c r="F92" s="4"/>
      <c r="G92" s="4"/>
      <c r="H92" s="4"/>
    </row>
    <row r="93" spans="1:8" x14ac:dyDescent="0.3">
      <c r="A93" s="3"/>
      <c r="B93" s="4"/>
      <c r="C93" s="4"/>
      <c r="D93" s="4"/>
      <c r="E93" s="4"/>
      <c r="F93" s="4"/>
      <c r="G93" s="4"/>
      <c r="H93" s="4"/>
    </row>
    <row r="94" spans="1:8" x14ac:dyDescent="0.3">
      <c r="A94" s="3"/>
      <c r="B94" s="4"/>
      <c r="C94" s="4"/>
      <c r="D94" s="4"/>
      <c r="E94" s="4"/>
      <c r="F94" s="4"/>
      <c r="G94" s="4"/>
      <c r="H94" s="4"/>
    </row>
    <row r="95" spans="1:8" x14ac:dyDescent="0.3">
      <c r="A95" s="3"/>
      <c r="B95" s="4"/>
      <c r="C95" s="4"/>
      <c r="D95" s="4"/>
      <c r="E95" s="4"/>
      <c r="F95" s="4"/>
      <c r="G95" s="4"/>
      <c r="H95" s="4"/>
    </row>
    <row r="96" spans="1:8" x14ac:dyDescent="0.3">
      <c r="A96" s="3"/>
      <c r="B96" s="4"/>
      <c r="C96" s="4"/>
      <c r="D96" s="4"/>
      <c r="E96" s="4"/>
      <c r="F96" s="4"/>
      <c r="G96" s="4"/>
      <c r="H96" s="4"/>
    </row>
    <row r="97" spans="1:8" x14ac:dyDescent="0.3">
      <c r="A97" s="3"/>
      <c r="B97" s="4"/>
      <c r="C97" s="4"/>
      <c r="D97" s="4"/>
      <c r="E97" s="4"/>
      <c r="F97" s="4"/>
      <c r="G97" s="4"/>
      <c r="H97" s="4"/>
    </row>
    <row r="98" spans="1:8" x14ac:dyDescent="0.3">
      <c r="A98" s="3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4"/>
      <c r="C99" s="4"/>
      <c r="D99" s="4"/>
      <c r="E99" s="4"/>
      <c r="F99" s="4"/>
      <c r="G99" s="4"/>
      <c r="H99" s="4"/>
    </row>
    <row r="100" spans="1:8" x14ac:dyDescent="0.3">
      <c r="A100" s="3"/>
      <c r="B100" s="4"/>
      <c r="C100" s="4"/>
      <c r="D100" s="4"/>
      <c r="E100" s="4"/>
      <c r="F100" s="4"/>
      <c r="G100" s="4"/>
      <c r="H100" s="4"/>
    </row>
    <row r="101" spans="1:8" x14ac:dyDescent="0.3">
      <c r="A101" s="3"/>
      <c r="B101" s="4"/>
      <c r="C101" s="4"/>
      <c r="D101" s="4"/>
      <c r="E101" s="4"/>
      <c r="F101" s="4"/>
      <c r="G101" s="4"/>
      <c r="H101" s="4"/>
    </row>
    <row r="102" spans="1:8" x14ac:dyDescent="0.3">
      <c r="A102" s="3"/>
      <c r="B102" s="4"/>
      <c r="C102" s="4"/>
      <c r="D102" s="4"/>
      <c r="E102" s="4"/>
      <c r="F102" s="4"/>
      <c r="G102" s="4"/>
      <c r="H102" s="4"/>
    </row>
    <row r="103" spans="1:8" x14ac:dyDescent="0.3">
      <c r="A103" s="3"/>
      <c r="B103" s="4"/>
      <c r="C103" s="4"/>
      <c r="D103" s="4"/>
      <c r="E103" s="4"/>
      <c r="F103" s="4"/>
      <c r="G103" s="4"/>
      <c r="H103" s="4"/>
    </row>
    <row r="104" spans="1:8" x14ac:dyDescent="0.3">
      <c r="A104" s="233"/>
      <c r="B104" s="234"/>
      <c r="C104" s="234"/>
      <c r="D104" s="234"/>
      <c r="E104" s="234"/>
      <c r="F104" s="234"/>
      <c r="G104" s="234"/>
      <c r="H104" s="234"/>
    </row>
    <row r="105" spans="1:8" x14ac:dyDescent="0.3">
      <c r="A105" s="233"/>
      <c r="B105" s="234"/>
      <c r="C105" s="234"/>
      <c r="D105" s="234"/>
      <c r="E105" s="234"/>
      <c r="F105" s="234"/>
      <c r="G105" s="234"/>
      <c r="H105" s="234"/>
    </row>
    <row r="106" spans="1:8" x14ac:dyDescent="0.3">
      <c r="A106" s="3"/>
      <c r="B106" s="4"/>
      <c r="C106" s="4"/>
      <c r="D106" s="4"/>
      <c r="E106" s="4"/>
      <c r="F106" s="4"/>
      <c r="G106" s="4"/>
      <c r="H106" s="4"/>
    </row>
    <row r="107" spans="1:8" x14ac:dyDescent="0.3">
      <c r="A107" s="3"/>
      <c r="B107" s="4"/>
      <c r="C107" s="4"/>
      <c r="D107" s="4"/>
      <c r="E107" s="4"/>
      <c r="F107" s="4"/>
      <c r="G107" s="4"/>
      <c r="H107" s="4"/>
    </row>
    <row r="108" spans="1:8" x14ac:dyDescent="0.3">
      <c r="A108" s="3"/>
      <c r="B108" s="4"/>
      <c r="C108" s="4"/>
      <c r="D108" s="4"/>
      <c r="E108" s="4"/>
      <c r="F108" s="4"/>
      <c r="G108" s="4"/>
      <c r="H108" s="4"/>
    </row>
    <row r="109" spans="1:8" x14ac:dyDescent="0.3">
      <c r="A109" s="3"/>
      <c r="B109" s="4"/>
      <c r="C109" s="4"/>
      <c r="D109" s="4"/>
      <c r="E109" s="4"/>
      <c r="F109" s="4"/>
      <c r="G109" s="4"/>
      <c r="H109" s="4"/>
    </row>
    <row r="110" spans="1:8" x14ac:dyDescent="0.3">
      <c r="A110" s="6"/>
      <c r="B110" s="4"/>
      <c r="C110" s="4"/>
      <c r="D110" s="4"/>
      <c r="E110" s="4"/>
      <c r="F110" s="4"/>
      <c r="G110" s="4"/>
      <c r="H110" s="4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Φύλλο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2015-04-30T09:20:35Z</cp:lastPrinted>
  <dcterms:created xsi:type="dcterms:W3CDTF">2015-04-28T10:32:32Z</dcterms:created>
  <dcterms:modified xsi:type="dcterms:W3CDTF">2025-06-11T10:32:51Z</dcterms:modified>
</cp:coreProperties>
</file>