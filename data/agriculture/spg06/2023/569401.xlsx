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3. 2023 ΑΝΑΛΥΤΙΚΟΙ ΠΙΝΑΚΕΣ\"/>
    </mc:Choice>
  </mc:AlternateContent>
  <xr:revisionPtr revIDLastSave="0" documentId="13_ncr:1_{9B0DF547-4F8C-4060-9117-0ADF28CA47E1}" xr6:coauthVersionLast="47" xr6:coauthVersionMax="47" xr10:uidLastSave="{00000000-0000-0000-0000-000000000000}"/>
  <bookViews>
    <workbookView xWindow="-108" yWindow="-108" windowWidth="30936" windowHeight="17040" firstSheet="1" activeTab="1" xr2:uid="{00000000-000D-0000-FFFF-FFFF00000000}"/>
  </bookViews>
  <sheets>
    <sheet name="ListOfValues" sheetId="1" state="hidden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2" l="1"/>
  <c r="B111" i="2"/>
  <c r="B110" i="2"/>
  <c r="B109" i="2"/>
  <c r="B108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0" i="2"/>
  <c r="B89" i="2"/>
  <c r="B88" i="2"/>
  <c r="B87" i="2"/>
  <c r="B86" i="2"/>
  <c r="B83" i="2"/>
  <c r="B82" i="2"/>
  <c r="B81" i="2"/>
  <c r="B80" i="2"/>
  <c r="B79" i="2"/>
  <c r="B78" i="2"/>
  <c r="B77" i="2"/>
  <c r="B76" i="2"/>
  <c r="B73" i="2"/>
  <c r="B72" i="2"/>
  <c r="B71" i="2"/>
  <c r="B70" i="2"/>
  <c r="B69" i="2"/>
  <c r="B66" i="2"/>
  <c r="B65" i="2"/>
  <c r="B64" i="2"/>
  <c r="B61" i="2"/>
  <c r="B60" i="2"/>
  <c r="B59" i="2"/>
  <c r="B58" i="2"/>
  <c r="B57" i="2"/>
  <c r="B54" i="2"/>
  <c r="B53" i="2"/>
  <c r="B52" i="2"/>
  <c r="B51" i="2"/>
  <c r="B50" i="2"/>
  <c r="B47" i="2"/>
  <c r="B46" i="2"/>
  <c r="B45" i="2"/>
  <c r="B44" i="2"/>
  <c r="B43" i="2"/>
  <c r="B40" i="2"/>
  <c r="B39" i="2"/>
  <c r="B38" i="2"/>
  <c r="B37" i="2"/>
  <c r="B34" i="2"/>
  <c r="B33" i="2"/>
  <c r="B32" i="2"/>
  <c r="B31" i="2"/>
  <c r="B29" i="2"/>
  <c r="B28" i="2"/>
  <c r="B27" i="2"/>
  <c r="B26" i="2"/>
  <c r="B25" i="2"/>
  <c r="B24" i="2"/>
  <c r="B23" i="2"/>
  <c r="B16" i="2"/>
  <c r="B18" i="2"/>
  <c r="B19" i="2"/>
  <c r="B20" i="2"/>
  <c r="B15" i="2"/>
  <c r="O106" i="2"/>
  <c r="P106" i="2"/>
  <c r="O91" i="2"/>
  <c r="P91" i="2"/>
  <c r="O84" i="2"/>
  <c r="P84" i="2"/>
  <c r="O74" i="2"/>
  <c r="P74" i="2"/>
  <c r="O67" i="2"/>
  <c r="P67" i="2"/>
  <c r="O62" i="2"/>
  <c r="P62" i="2"/>
  <c r="O55" i="2"/>
  <c r="P55" i="2"/>
  <c r="O48" i="2"/>
  <c r="P48" i="2"/>
  <c r="O41" i="2"/>
  <c r="P41" i="2"/>
  <c r="O35" i="2"/>
  <c r="P35" i="2"/>
  <c r="O30" i="2"/>
  <c r="P30" i="2"/>
  <c r="O21" i="2"/>
  <c r="P21" i="2"/>
  <c r="O13" i="2"/>
  <c r="P13" i="2"/>
  <c r="P11" i="2" l="1"/>
  <c r="O11" i="2"/>
  <c r="D21" i="2" l="1"/>
  <c r="C13" i="2"/>
  <c r="D13" i="2"/>
  <c r="D30" i="2"/>
  <c r="E30" i="2"/>
  <c r="F30" i="2"/>
  <c r="G30" i="2"/>
  <c r="H30" i="2"/>
  <c r="I30" i="2"/>
  <c r="J30" i="2"/>
  <c r="K30" i="2"/>
  <c r="L30" i="2"/>
  <c r="M30" i="2"/>
  <c r="N30" i="2"/>
  <c r="Q30" i="2"/>
  <c r="R30" i="2"/>
  <c r="C30" i="2"/>
  <c r="G21" i="2"/>
  <c r="F21" i="2"/>
  <c r="E21" i="2"/>
  <c r="H21" i="2"/>
  <c r="I21" i="2"/>
  <c r="J21" i="2"/>
  <c r="K21" i="2"/>
  <c r="L21" i="2"/>
  <c r="M21" i="2"/>
  <c r="N21" i="2"/>
  <c r="Q21" i="2"/>
  <c r="R21" i="2"/>
  <c r="C21" i="2"/>
  <c r="R106" i="2"/>
  <c r="Q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R91" i="2"/>
  <c r="Q91" i="2"/>
  <c r="N91" i="2"/>
  <c r="M91" i="2"/>
  <c r="L91" i="2"/>
  <c r="K91" i="2"/>
  <c r="J91" i="2"/>
  <c r="I91" i="2"/>
  <c r="H91" i="2"/>
  <c r="G91" i="2"/>
  <c r="F91" i="2"/>
  <c r="E91" i="2"/>
  <c r="D91" i="2"/>
  <c r="C91" i="2"/>
  <c r="R84" i="2"/>
  <c r="Q84" i="2"/>
  <c r="N84" i="2"/>
  <c r="M84" i="2"/>
  <c r="L84" i="2"/>
  <c r="K84" i="2"/>
  <c r="J84" i="2"/>
  <c r="I84" i="2"/>
  <c r="H84" i="2"/>
  <c r="G84" i="2"/>
  <c r="F84" i="2"/>
  <c r="E84" i="2"/>
  <c r="D84" i="2"/>
  <c r="C84" i="2"/>
  <c r="R74" i="2"/>
  <c r="Q74" i="2"/>
  <c r="N74" i="2"/>
  <c r="M74" i="2"/>
  <c r="L74" i="2"/>
  <c r="K74" i="2"/>
  <c r="J74" i="2"/>
  <c r="I74" i="2"/>
  <c r="H74" i="2"/>
  <c r="G74" i="2"/>
  <c r="F74" i="2"/>
  <c r="E74" i="2"/>
  <c r="D74" i="2"/>
  <c r="C74" i="2"/>
  <c r="R67" i="2"/>
  <c r="Q67" i="2"/>
  <c r="N67" i="2"/>
  <c r="M67" i="2"/>
  <c r="L67" i="2"/>
  <c r="K67" i="2"/>
  <c r="J67" i="2"/>
  <c r="I67" i="2"/>
  <c r="H67" i="2"/>
  <c r="G67" i="2"/>
  <c r="F67" i="2"/>
  <c r="E67" i="2"/>
  <c r="D67" i="2"/>
  <c r="C67" i="2"/>
  <c r="R62" i="2"/>
  <c r="Q62" i="2"/>
  <c r="N62" i="2"/>
  <c r="M62" i="2"/>
  <c r="L62" i="2"/>
  <c r="K62" i="2"/>
  <c r="J62" i="2"/>
  <c r="I62" i="2"/>
  <c r="H62" i="2"/>
  <c r="G62" i="2"/>
  <c r="F62" i="2"/>
  <c r="E62" i="2"/>
  <c r="D62" i="2"/>
  <c r="C62" i="2"/>
  <c r="R55" i="2"/>
  <c r="Q55" i="2"/>
  <c r="N55" i="2"/>
  <c r="M55" i="2"/>
  <c r="L55" i="2"/>
  <c r="K55" i="2"/>
  <c r="J55" i="2"/>
  <c r="I55" i="2"/>
  <c r="H55" i="2"/>
  <c r="G55" i="2"/>
  <c r="F55" i="2"/>
  <c r="E55" i="2"/>
  <c r="D55" i="2"/>
  <c r="C55" i="2"/>
  <c r="R48" i="2"/>
  <c r="Q48" i="2"/>
  <c r="N48" i="2"/>
  <c r="M48" i="2"/>
  <c r="L48" i="2"/>
  <c r="K48" i="2"/>
  <c r="J48" i="2"/>
  <c r="I48" i="2"/>
  <c r="H48" i="2"/>
  <c r="G48" i="2"/>
  <c r="F48" i="2"/>
  <c r="E48" i="2"/>
  <c r="D48" i="2"/>
  <c r="C48" i="2"/>
  <c r="R41" i="2"/>
  <c r="Q41" i="2"/>
  <c r="N41" i="2"/>
  <c r="M41" i="2"/>
  <c r="L41" i="2"/>
  <c r="K41" i="2"/>
  <c r="J41" i="2"/>
  <c r="I41" i="2"/>
  <c r="H41" i="2"/>
  <c r="G41" i="2"/>
  <c r="F41" i="2"/>
  <c r="E41" i="2"/>
  <c r="D41" i="2"/>
  <c r="C41" i="2"/>
  <c r="R35" i="2"/>
  <c r="Q35" i="2"/>
  <c r="N35" i="2"/>
  <c r="M35" i="2"/>
  <c r="L35" i="2"/>
  <c r="K35" i="2"/>
  <c r="J35" i="2"/>
  <c r="I35" i="2"/>
  <c r="H35" i="2"/>
  <c r="G35" i="2"/>
  <c r="F35" i="2"/>
  <c r="E35" i="2"/>
  <c r="D35" i="2"/>
  <c r="C35" i="2"/>
  <c r="R13" i="2"/>
  <c r="Q13" i="2"/>
  <c r="N13" i="2"/>
  <c r="M13" i="2"/>
  <c r="L13" i="2"/>
  <c r="K13" i="2"/>
  <c r="J13" i="2"/>
  <c r="I13" i="2"/>
  <c r="H13" i="2"/>
  <c r="G13" i="2"/>
  <c r="F13" i="2"/>
  <c r="E13" i="2"/>
  <c r="B74" i="2" l="1"/>
  <c r="B35" i="2"/>
  <c r="B48" i="2"/>
  <c r="B91" i="2"/>
  <c r="E11" i="2"/>
  <c r="G11" i="2"/>
  <c r="B30" i="2"/>
  <c r="B106" i="2"/>
  <c r="B67" i="2"/>
  <c r="B55" i="2"/>
  <c r="B41" i="2"/>
  <c r="B21" i="2"/>
  <c r="B13" i="2"/>
  <c r="B84" i="2"/>
  <c r="B62" i="2"/>
  <c r="I11" i="2"/>
  <c r="K11" i="2"/>
  <c r="M11" i="2"/>
  <c r="Q11" i="2"/>
  <c r="C11" i="2"/>
  <c r="F11" i="2"/>
  <c r="H11" i="2"/>
  <c r="J11" i="2"/>
  <c r="L11" i="2"/>
  <c r="N11" i="2"/>
  <c r="R11" i="2"/>
  <c r="D11" i="2"/>
  <c r="B11" i="2" l="1"/>
</calcChain>
</file>

<file path=xl/sharedStrings.xml><?xml version="1.0" encoding="utf-8"?>
<sst xmlns="http://schemas.openxmlformats.org/spreadsheetml/2006/main" count="554" uniqueCount="307">
  <si>
    <t>01</t>
  </si>
  <si>
    <t xml:space="preserve">  Ροδόπης</t>
  </si>
  <si>
    <t>ΑΠΟΚΕΝΤΡΩΜΕΝΗ ΔΙΟΙΚΗΣΗ ΜΑΚΕΔΟΝΙΑΣ - ΘΡΑΚΗΣ</t>
  </si>
  <si>
    <t>02</t>
  </si>
  <si>
    <t xml:space="preserve">  Δράμας</t>
  </si>
  <si>
    <t>03</t>
  </si>
  <si>
    <t xml:space="preserve">  Έβρου</t>
  </si>
  <si>
    <t>ΠΕΡΙΦΕΡΕΙΑ ΑΝΑΤΟΛΙΚΗΣ ΜΑΚΕΔΟΝΙΑΣ</t>
  </si>
  <si>
    <t>04</t>
  </si>
  <si>
    <t xml:space="preserve">  Θάσου</t>
  </si>
  <si>
    <t>ΚΑΙ ΘΡΑΚΗΣ</t>
  </si>
  <si>
    <t>05</t>
  </si>
  <si>
    <t xml:space="preserve">  Καβάλας</t>
  </si>
  <si>
    <t>06</t>
  </si>
  <si>
    <t xml:space="preserve">  Ξάνθης</t>
  </si>
  <si>
    <t>07</t>
  </si>
  <si>
    <t xml:space="preserve">  Θεσσαλονίκης</t>
  </si>
  <si>
    <t>08</t>
  </si>
  <si>
    <t xml:space="preserve">  Ημαθίας</t>
  </si>
  <si>
    <t>09</t>
  </si>
  <si>
    <t xml:space="preserve">  Κιλκίς</t>
  </si>
  <si>
    <t>10</t>
  </si>
  <si>
    <t xml:space="preserve">  Πέλλας</t>
  </si>
  <si>
    <t>11</t>
  </si>
  <si>
    <t xml:space="preserve">  Πιερίας</t>
  </si>
  <si>
    <t>ΠΕΡΙΦΕΡΕΙΑ ΚΕΝΤΡΙΚΗΣ ΜΑΚΕΔΟΝΙΑΣ</t>
  </si>
  <si>
    <t>12</t>
  </si>
  <si>
    <t xml:space="preserve">  Σερρών</t>
  </si>
  <si>
    <t>13</t>
  </si>
  <si>
    <t xml:space="preserve">  Χαλκιδικής</t>
  </si>
  <si>
    <t>14</t>
  </si>
  <si>
    <t xml:space="preserve">  Κοζάνης</t>
  </si>
  <si>
    <t>15</t>
  </si>
  <si>
    <t xml:space="preserve">  Γρεβενών</t>
  </si>
  <si>
    <t>16</t>
  </si>
  <si>
    <t xml:space="preserve">  Καστοριάς</t>
  </si>
  <si>
    <t>17</t>
  </si>
  <si>
    <t xml:space="preserve">  Φλώρινας</t>
  </si>
  <si>
    <t>18</t>
  </si>
  <si>
    <t xml:space="preserve">  Ιωαννίνων</t>
  </si>
  <si>
    <t>19</t>
  </si>
  <si>
    <t xml:space="preserve">  Άρτας</t>
  </si>
  <si>
    <t>20</t>
  </si>
  <si>
    <t xml:space="preserve">  Θεσπρωτίας</t>
  </si>
  <si>
    <t>ΠΕΡΙΦΕΡΕΙΑ ΗΠΕΙΡΟΥ</t>
  </si>
  <si>
    <t>21</t>
  </si>
  <si>
    <t xml:space="preserve">  Πρέβεζας</t>
  </si>
  <si>
    <t>22</t>
  </si>
  <si>
    <t xml:space="preserve">  Λάρισας</t>
  </si>
  <si>
    <t>ΑΠΟΚΕΝΤΡΩΜΕΝΗ ΔΙΟΙΚΗΣΗ ΘΕΣΣΑΛΙΑΣ - ΣΤΕΡΕΑΣ ΕΛΛΑΔΑΣ</t>
  </si>
  <si>
    <t>23</t>
  </si>
  <si>
    <t xml:space="preserve">  Καρδίτσας</t>
  </si>
  <si>
    <t>24</t>
  </si>
  <si>
    <t xml:space="preserve">  Μαγνησίας</t>
  </si>
  <si>
    <t>ΠΕΡΙΦΕΡΕΙΑ ΘΕΣΣΑΛΙΑΣ</t>
  </si>
  <si>
    <t>25</t>
  </si>
  <si>
    <t xml:space="preserve">  Σποράδων</t>
  </si>
  <si>
    <t>26</t>
  </si>
  <si>
    <t xml:space="preserve">  Τρικάλων</t>
  </si>
  <si>
    <t>27</t>
  </si>
  <si>
    <t xml:space="preserve">  Φθιώτιδας</t>
  </si>
  <si>
    <t>28</t>
  </si>
  <si>
    <t xml:space="preserve">  Βοιωτίας</t>
  </si>
  <si>
    <t>29</t>
  </si>
  <si>
    <t xml:space="preserve">  Εύβοιας</t>
  </si>
  <si>
    <t>ΠΕΡΙΦΕΡΕΙΑ ΣΤΕΡΕΑΣ ΕΛΛΑΔΑΣ</t>
  </si>
  <si>
    <t>30</t>
  </si>
  <si>
    <t xml:space="preserve">  Ευρυτανίας</t>
  </si>
  <si>
    <t>31</t>
  </si>
  <si>
    <t xml:space="preserve">  Φωκίδας</t>
  </si>
  <si>
    <t>32</t>
  </si>
  <si>
    <t xml:space="preserve">  Κέρκυρας</t>
  </si>
  <si>
    <t>ΑΠΟΚΕΝΤΡΩΜΕΝΗ ΔΙΟΙΚΗΣΗ ΠΕΛΟΠΟΝΝΗΣΟΥ, ΔΥΤΙΚΗΣ ΕΛΛΑΔΑΣ ΚΑΙ ΙΟΝΙΟΥ</t>
  </si>
  <si>
    <t>33</t>
  </si>
  <si>
    <t xml:space="preserve">  Ζακύνθου</t>
  </si>
  <si>
    <t>34</t>
  </si>
  <si>
    <t xml:space="preserve">  Ιθάκης</t>
  </si>
  <si>
    <t>ΠΕΡΙΦΕΡΕΙΑ ΙΟΝΙΩΝ ΝΗΣΩΝ</t>
  </si>
  <si>
    <t>35</t>
  </si>
  <si>
    <t xml:space="preserve">  Κεφαλληνίας</t>
  </si>
  <si>
    <t>36</t>
  </si>
  <si>
    <t xml:space="preserve">  Λευκάδας</t>
  </si>
  <si>
    <t>37</t>
  </si>
  <si>
    <t xml:space="preserve">  Αχαϊας</t>
  </si>
  <si>
    <t>38</t>
  </si>
  <si>
    <t xml:space="preserve">  Αιτωλ/νανίας</t>
  </si>
  <si>
    <t>ΠΕΡΙΦΕΡΕΙΑ ΔΥΤΙΚΗΣ ΕΛΛΑΔΑΣ</t>
  </si>
  <si>
    <t>39</t>
  </si>
  <si>
    <t xml:space="preserve">  Ηλείας</t>
  </si>
  <si>
    <t>40</t>
  </si>
  <si>
    <t xml:space="preserve">  Αρκαδίας</t>
  </si>
  <si>
    <t>41</t>
  </si>
  <si>
    <t xml:space="preserve">  Αργολίδας</t>
  </si>
  <si>
    <t>42</t>
  </si>
  <si>
    <t xml:space="preserve">  Κορινθίας</t>
  </si>
  <si>
    <t>ΠΕΡΙΦΕΡΕΙΑ ΠΕΛΟΠΟΝΝΗΣΟΥ</t>
  </si>
  <si>
    <t>43</t>
  </si>
  <si>
    <t xml:space="preserve">  Λακωνίας</t>
  </si>
  <si>
    <t>44</t>
  </si>
  <si>
    <t xml:space="preserve">  Μεσσηνίας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</si>
  <si>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</si>
  <si>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</si>
  <si>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</si>
  <si>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</si>
  <si>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</si>
  <si>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</si>
  <si>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</si>
  <si>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</si>
  <si>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</si>
  <si>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</si>
  <si>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</si>
  <si>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</si>
  <si>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</si>
  <si>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</si>
  <si>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</si>
  <si>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</si>
  <si>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</si>
  <si>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</si>
  <si>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</si>
  <si>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 xml:space="preserve">  Λέσβου</t>
  </si>
  <si>
    <t>ΑΠΟΚΕΝΤΡΩΜΕΝΗ ΔΙΟΙΚΗΣΗ ΑΙΓΑΙΟΥ</t>
  </si>
  <si>
    <t>54</t>
  </si>
  <si>
    <t xml:space="preserve">  Ικαρίας</t>
  </si>
  <si>
    <t>55</t>
  </si>
  <si>
    <t xml:space="preserve">  Λήμνου</t>
  </si>
  <si>
    <t>ΠΕΡΙΦΕΡΕΙΑ ΒΟΡΕΙΟΥ ΑΙΓΑΙΟΥ</t>
  </si>
  <si>
    <t>56</t>
  </si>
  <si>
    <t xml:space="preserve">  Σάμου.</t>
  </si>
  <si>
    <t>57</t>
  </si>
  <si>
    <t xml:space="preserve">  Χίου</t>
  </si>
  <si>
    <t>58</t>
  </si>
  <si>
    <t xml:space="preserve">  Σύρου</t>
  </si>
  <si>
    <t>59</t>
  </si>
  <si>
    <t xml:space="preserve">  Άνδρου</t>
  </si>
  <si>
    <t>60</t>
  </si>
  <si>
    <t xml:space="preserve">  Θήρας</t>
  </si>
  <si>
    <t>61</t>
  </si>
  <si>
    <t xml:space="preserve">  Καλύμνου</t>
  </si>
  <si>
    <t>62</t>
  </si>
  <si>
    <t xml:space="preserve">  Καρπάθου</t>
  </si>
  <si>
    <t>63</t>
  </si>
  <si>
    <t xml:space="preserve">  Κύθνου</t>
  </si>
  <si>
    <t>ΠΕΡΙΦΕΡΕΙΑ ΝΟΤΙΟΥ ΑΙΓΑΙΟΥ</t>
  </si>
  <si>
    <t>64</t>
  </si>
  <si>
    <t xml:space="preserve">  Κω</t>
  </si>
  <si>
    <t>65</t>
  </si>
  <si>
    <t xml:space="preserve">  Μήλου</t>
  </si>
  <si>
    <t>66</t>
  </si>
  <si>
    <t xml:space="preserve">  Μυκόνου.</t>
  </si>
  <si>
    <t>67</t>
  </si>
  <si>
    <t xml:space="preserve">  Νάξου</t>
  </si>
  <si>
    <t>68</t>
  </si>
  <si>
    <t xml:space="preserve">  Πάρου</t>
  </si>
  <si>
    <t>69</t>
  </si>
  <si>
    <t xml:space="preserve">  Ρόδου</t>
  </si>
  <si>
    <t>70</t>
  </si>
  <si>
    <t xml:space="preserve">  Τήνου</t>
  </si>
  <si>
    <t>71</t>
  </si>
  <si>
    <t xml:space="preserve">  Ηρακλείου</t>
  </si>
  <si>
    <t>72</t>
  </si>
  <si>
    <t xml:space="preserve">  Λασιθίου</t>
  </si>
  <si>
    <t>ΑΠΟΚΕΝΤΡΩΜΕΝΗ ΔΙΟΙΚΗΣΗ ΚΡΗΤΗΣ</t>
  </si>
  <si>
    <t>73</t>
  </si>
  <si>
    <t xml:space="preserve">  Ρεθύμνης</t>
  </si>
  <si>
    <t>ΠΕΡΙΦΕΡΕΙΑ ΚΡΗΤΗΣ</t>
  </si>
  <si>
    <t>74</t>
  </si>
  <si>
    <t xml:space="preserve">  Χανίων</t>
  </si>
  <si>
    <t>99</t>
  </si>
  <si>
    <t xml:space="preserve">  Αγίου Όρους</t>
  </si>
  <si>
    <t>ΑΓΙΟ ΟΡΟΣ (ΑΥΤΟΔΙΟΙΚΗΤΟ)</t>
  </si>
  <si>
    <t>Εκτάσεις σε στρέμματα, παραγωγή σε τόνους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</si>
  <si>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</si>
  <si>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</si>
  <si>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</si>
  <si>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</si>
  <si>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</si>
  <si>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</si>
  <si>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</si>
  <si>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</si>
  <si>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</si>
  <si>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</si>
  <si>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</si>
  <si>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</si>
  <si>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</si>
  <si>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</si>
  <si>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</si>
  <si>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</si>
  <si>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</si>
  <si>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</si>
  <si>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</si>
  <si>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</si>
  <si>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</si>
  <si>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</si>
  <si>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</si>
  <si>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</si>
  <si>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</si>
  <si>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</si>
  <si>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</si>
  <si>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</si>
  <si>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</si>
  <si>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</si>
  <si>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</si>
  <si>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</si>
  <si>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</si>
  <si>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</si>
  <si>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</si>
  <si>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</si>
  <si>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</si>
  <si>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</si>
  <si>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</si>
  <si>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</si>
  <si>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</si>
  <si>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</si>
  <si>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</si>
  <si>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</si>
  <si>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</si>
  <si>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</si>
  <si>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</si>
  <si>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</si>
  <si>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</si>
  <si>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</si>
  <si>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</si>
  <si>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</si>
  <si>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</si>
  <si>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</si>
  <si>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</si>
  <si>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</si>
  <si>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</si>
  <si>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</si>
  <si>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</si>
  <si>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</si>
  <si>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</si>
  <si>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</si>
  <si>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</si>
  <si>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</si>
  <si>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</si>
  <si>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</si>
  <si>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</si>
  <si>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</si>
  <si>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</si>
  <si>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</si>
  <si>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</si>
  <si>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</si>
  <si>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</si>
  <si>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</si>
  <si>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</si>
  <si>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</si>
  <si>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</si>
  <si>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</si>
  <si>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</si>
  <si>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</si>
  <si>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</si>
  <si>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</si>
  <si>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</si>
  <si>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</si>
  <si>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</si>
  <si>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</si>
  <si>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</si>
  <si>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</si>
  <si>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</si>
  <si>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</si>
  <si>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</si>
  <si>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</si>
  <si>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</si>
  <si>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</si>
  <si>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</si>
  <si>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</si>
  <si>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</si>
  <si>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</si>
  <si>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</si>
  <si>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</si>
  <si>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</si>
  <si>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1=εκτάσεις,  2=παραγωγή</t>
  </si>
  <si>
    <t>Κεντρικού Τομέα Αθηνών</t>
  </si>
  <si>
    <t>Βορείου Τομέα Αθηνών</t>
  </si>
  <si>
    <t>1=areas  2=production</t>
  </si>
  <si>
    <t>(1) Production refers to hey from self-grown grass or grass from fallow land</t>
  </si>
  <si>
    <t>(2) Bitter veltch, veltching, peas, lentil, etc.</t>
  </si>
  <si>
    <t>Περιφέρειες και Περιφερειακές Ενότητες</t>
  </si>
  <si>
    <t>Περιφέρεια Δυτικής Μακεδονίας</t>
  </si>
  <si>
    <t>Region of Western Macedonia</t>
  </si>
  <si>
    <t>Areas in stremmas (1 stremma = 0.1 ha), production in tons</t>
  </si>
  <si>
    <t>—</t>
  </si>
  <si>
    <t>(1) Η παραγωγή αναφέρεται σε σανό αυτοφυούς χόρτου (κοφτολίβαδων και χόρτου αγραναπαύσεων)</t>
  </si>
  <si>
    <t>(2) Σόργο χλωρό, ρόβη, λαθούρι, μπιζέλια, φακή κλπ.</t>
  </si>
  <si>
    <t>Πίνακας 2ε. Κτηνοτροφικά φυτά για σανό. Εκτάσεις και παραγωγή, κατά Περιφέρεια και Περιφερειακή Ενότητα, 2023</t>
  </si>
  <si>
    <t>Table 2e. Fodder plants for hey. Areas and production, by Region and Regional Unities, 2023</t>
  </si>
  <si>
    <t>Clovers</t>
  </si>
  <si>
    <t>Multiannual
(alfalfa, etc)</t>
  </si>
  <si>
    <t xml:space="preserve">Πολυετή 
(μηδική, κλπ.) 
</t>
  </si>
  <si>
    <t>Ετήσια</t>
  </si>
  <si>
    <t>Annual</t>
  </si>
  <si>
    <t>Τριφύλλια</t>
  </si>
  <si>
    <t>Total cultivated area</t>
  </si>
  <si>
    <t>Σύνολο
καλλιεργού-μενων εκτάσεων</t>
  </si>
  <si>
    <t xml:space="preserve"> Κριθάρι</t>
  </si>
  <si>
    <t>Barley for hay</t>
  </si>
  <si>
    <t>Βρώμη</t>
  </si>
  <si>
    <t>Oats for hay</t>
  </si>
  <si>
    <t>Veltch for hay</t>
  </si>
  <si>
    <t>Βίκος</t>
  </si>
  <si>
    <r>
      <t>Κοφτολίβαδα</t>
    </r>
    <r>
      <rPr>
        <vertAlign val="superscript"/>
        <sz val="11"/>
        <rFont val="Calibri"/>
        <family val="2"/>
        <charset val="161"/>
        <scheme val="minor"/>
      </rPr>
      <t>(1)</t>
    </r>
  </si>
  <si>
    <r>
      <t>Low land meadows for hey</t>
    </r>
    <r>
      <rPr>
        <vertAlign val="superscript"/>
        <sz val="11"/>
        <rFont val="Calibri"/>
        <family val="2"/>
        <charset val="161"/>
        <scheme val="minor"/>
      </rPr>
      <t>(1)</t>
    </r>
  </si>
  <si>
    <t>Αραβόσιτος χλωρός</t>
  </si>
  <si>
    <t>Maize, fresh</t>
  </si>
  <si>
    <r>
      <t>Λοιπά σανά</t>
    </r>
    <r>
      <rPr>
        <vertAlign val="superscript"/>
        <sz val="11"/>
        <rFont val="Calibri"/>
        <family val="2"/>
        <charset val="161"/>
        <scheme val="minor"/>
      </rPr>
      <t>(2)</t>
    </r>
  </si>
  <si>
    <r>
      <t>Other</t>
    </r>
    <r>
      <rPr>
        <vertAlign val="superscript"/>
        <sz val="11"/>
        <rFont val="Calibri"/>
        <family val="2"/>
        <charset val="161"/>
        <scheme val="minor"/>
      </rPr>
      <t>(2)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</si>
</sst>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10"/>
      <name val="Calibri"/>
      <family val="2"/>
      <charset val="161"/>
      <scheme val="minor"/>
    </font>
    <font>
      <sz val="10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9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0" fontId="2" fillId="2" borderId="2" xfId="0" applyFont="1" applyFill="1" applyBorder="1"/>
    <xf numFmtId="49" fontId="3" fillId="2" borderId="0" xfId="0" applyNumberFormat="1" applyFont="1" applyFill="1" applyAlignment="1">
      <alignment horizontal="centerContinuous" vertical="center" wrapText="1"/>
    </xf>
    <xf numFmtId="49" fontId="3" fillId="2" borderId="2" xfId="0" applyNumberFormat="1" applyFont="1" applyFill="1" applyBorder="1" applyAlignment="1">
      <alignment vertical="center" textRotation="90"/>
    </xf>
    <xf numFmtId="0" fontId="2" fillId="2" borderId="3" xfId="0" applyFont="1" applyFill="1" applyBorder="1"/>
    <xf numFmtId="49" fontId="1" fillId="2" borderId="4" xfId="0" applyNumberFormat="1" applyFont="1" applyFill="1" applyBorder="1"/>
    <xf numFmtId="49" fontId="1" fillId="2" borderId="0" xfId="0" applyNumberFormat="1" applyFont="1" applyFill="1" applyAlignment="1">
      <alignment horizontal="left"/>
    </xf>
    <xf numFmtId="0" fontId="2" fillId="2" borderId="0" xfId="0" applyFont="1" applyFill="1"/>
    <xf numFmtId="49" fontId="3" fillId="2" borderId="0" xfId="0" applyNumberFormat="1" applyFont="1" applyFill="1" applyAlignment="1">
      <alignment vertical="center" textRotation="90"/>
    </xf>
    <xf numFmtId="0" fontId="2" fillId="2" borderId="5" xfId="0" applyFont="1" applyFill="1" applyBorder="1"/>
    <xf numFmtId="0" fontId="5" fillId="2" borderId="0" xfId="0" applyFont="1" applyFill="1"/>
    <xf numFmtId="49" fontId="1" fillId="8" borderId="4" xfId="0" applyNumberFormat="1" applyFont="1" applyFill="1" applyBorder="1"/>
    <xf numFmtId="49" fontId="1" fillId="8" borderId="0" xfId="0" applyNumberFormat="1" applyFont="1" applyFill="1" applyAlignment="1">
      <alignment horizontal="left"/>
    </xf>
    <xf numFmtId="0" fontId="2" fillId="8" borderId="0" xfId="0" applyFont="1" applyFill="1"/>
    <xf numFmtId="49" fontId="3" fillId="8" borderId="0" xfId="0" applyNumberFormat="1" applyFont="1" applyFill="1"/>
    <xf numFmtId="49" fontId="3" fillId="8" borderId="0" xfId="0" applyNumberFormat="1" applyFont="1" applyFill="1" applyAlignment="1">
      <alignment vertical="center" textRotation="90"/>
    </xf>
    <xf numFmtId="0" fontId="2" fillId="8" borderId="5" xfId="0" applyFont="1" applyFill="1" applyBorder="1"/>
    <xf numFmtId="49" fontId="1" fillId="8" borderId="0" xfId="0" applyNumberFormat="1" applyFont="1" applyFill="1"/>
    <xf numFmtId="49" fontId="3" fillId="8" borderId="0" xfId="0" applyNumberFormat="1" applyFont="1" applyFill="1" applyAlignment="1">
      <alignment horizontal="left"/>
    </xf>
    <xf numFmtId="49" fontId="4" fillId="8" borderId="0" xfId="0" applyNumberFormat="1" applyFont="1" applyFill="1"/>
    <xf numFmtId="49" fontId="1" fillId="4" borderId="4" xfId="0" applyNumberFormat="1" applyFont="1" applyFill="1" applyBorder="1"/>
    <xf numFmtId="49" fontId="1" fillId="4" borderId="0" xfId="0" applyNumberFormat="1" applyFont="1" applyFill="1"/>
    <xf numFmtId="0" fontId="2" fillId="4" borderId="0" xfId="0" applyFont="1" applyFill="1"/>
    <xf numFmtId="49" fontId="3" fillId="4" borderId="0" xfId="0" applyNumberFormat="1" applyFont="1" applyFill="1"/>
    <xf numFmtId="49" fontId="3" fillId="9" borderId="0" xfId="0" applyNumberFormat="1" applyFont="1" applyFill="1" applyAlignment="1">
      <alignment vertical="center" textRotation="90"/>
    </xf>
    <xf numFmtId="0" fontId="2" fillId="4" borderId="5" xfId="0" applyFont="1" applyFill="1" applyBorder="1"/>
    <xf numFmtId="49" fontId="4" fillId="4" borderId="0" xfId="0" applyNumberFormat="1" applyFont="1" applyFill="1"/>
    <xf numFmtId="49" fontId="1" fillId="4" borderId="6" xfId="0" applyNumberFormat="1" applyFont="1" applyFill="1" applyBorder="1"/>
    <xf numFmtId="49" fontId="1" fillId="4" borderId="7" xfId="0" applyNumberFormat="1" applyFont="1" applyFill="1" applyBorder="1"/>
    <xf numFmtId="0" fontId="2" fillId="4" borderId="7" xfId="0" applyFont="1" applyFill="1" applyBorder="1"/>
    <xf numFmtId="49" fontId="3" fillId="9" borderId="7" xfId="0" applyNumberFormat="1" applyFont="1" applyFill="1" applyBorder="1" applyAlignment="1">
      <alignment vertical="center" textRotation="90"/>
    </xf>
    <xf numFmtId="0" fontId="2" fillId="4" borderId="8" xfId="0" applyFont="1" applyFill="1" applyBorder="1"/>
    <xf numFmtId="49" fontId="1" fillId="10" borderId="1" xfId="0" applyNumberFormat="1" applyFont="1" applyFill="1" applyBorder="1"/>
    <xf numFmtId="49" fontId="1" fillId="10" borderId="2" xfId="0" applyNumberFormat="1" applyFont="1" applyFill="1" applyBorder="1"/>
    <xf numFmtId="0" fontId="2" fillId="10" borderId="2" xfId="0" applyFont="1" applyFill="1" applyBorder="1"/>
    <xf numFmtId="49" fontId="3" fillId="10" borderId="2" xfId="0" applyNumberFormat="1" applyFont="1" applyFill="1" applyBorder="1"/>
    <xf numFmtId="49" fontId="3" fillId="10" borderId="2" xfId="0" applyNumberFormat="1" applyFont="1" applyFill="1" applyBorder="1" applyAlignment="1">
      <alignment vertical="center" textRotation="90"/>
    </xf>
    <xf numFmtId="0" fontId="2" fillId="10" borderId="3" xfId="0" applyFont="1" applyFill="1" applyBorder="1"/>
    <xf numFmtId="49" fontId="1" fillId="10" borderId="4" xfId="0" applyNumberFormat="1" applyFont="1" applyFill="1" applyBorder="1"/>
    <xf numFmtId="49" fontId="1" fillId="10" borderId="0" xfId="0" applyNumberFormat="1" applyFont="1" applyFill="1"/>
    <xf numFmtId="0" fontId="2" fillId="10" borderId="0" xfId="0" applyFont="1" applyFill="1"/>
    <xf numFmtId="49" fontId="3" fillId="10" borderId="0" xfId="0" applyNumberFormat="1" applyFont="1" applyFill="1" applyAlignment="1">
      <alignment vertical="center" textRotation="90"/>
    </xf>
    <xf numFmtId="0" fontId="2" fillId="10" borderId="5" xfId="0" applyFont="1" applyFill="1" applyBorder="1"/>
    <xf numFmtId="49" fontId="4" fillId="10" borderId="0" xfId="0" applyNumberFormat="1" applyFont="1" applyFill="1"/>
    <xf numFmtId="49" fontId="1" fillId="5" borderId="4" xfId="0" applyNumberFormat="1" applyFont="1" applyFill="1" applyBorder="1"/>
    <xf numFmtId="49" fontId="1" fillId="5" borderId="0" xfId="0" applyNumberFormat="1" applyFont="1" applyFill="1"/>
    <xf numFmtId="0" fontId="2" fillId="5" borderId="0" xfId="0" applyFont="1" applyFill="1"/>
    <xf numFmtId="49" fontId="3" fillId="5" borderId="0" xfId="0" applyNumberFormat="1" applyFont="1" applyFill="1"/>
    <xf numFmtId="49" fontId="3" fillId="5" borderId="0" xfId="0" applyNumberFormat="1" applyFont="1" applyFill="1" applyAlignment="1">
      <alignment vertical="center" textRotation="90"/>
    </xf>
    <xf numFmtId="0" fontId="2" fillId="5" borderId="5" xfId="0" applyFont="1" applyFill="1" applyBorder="1"/>
    <xf numFmtId="49" fontId="4" fillId="5" borderId="0" xfId="0" applyNumberFormat="1" applyFont="1" applyFill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0" fontId="2" fillId="5" borderId="7" xfId="0" applyFont="1" applyFill="1" applyBorder="1"/>
    <xf numFmtId="49" fontId="3" fillId="5" borderId="7" xfId="0" applyNumberFormat="1" applyFont="1" applyFill="1" applyBorder="1" applyAlignment="1">
      <alignment vertical="center" textRotation="90"/>
    </xf>
    <xf numFmtId="0" fontId="2" fillId="5" borderId="8" xfId="0" applyFont="1" applyFill="1" applyBorder="1"/>
    <xf numFmtId="49" fontId="1" fillId="6" borderId="1" xfId="0" applyNumberFormat="1" applyFont="1" applyFill="1" applyBorder="1"/>
    <xf numFmtId="49" fontId="1" fillId="6" borderId="2" xfId="0" applyNumberFormat="1" applyFont="1" applyFill="1" applyBorder="1"/>
    <xf numFmtId="0" fontId="2" fillId="6" borderId="2" xfId="0" applyFont="1" applyFill="1" applyBorder="1"/>
    <xf numFmtId="49" fontId="3" fillId="6" borderId="2" xfId="0" applyNumberFormat="1" applyFont="1" applyFill="1" applyBorder="1"/>
    <xf numFmtId="0" fontId="5" fillId="6" borderId="2" xfId="0" applyFont="1" applyFill="1" applyBorder="1"/>
    <xf numFmtId="49" fontId="3" fillId="6" borderId="2" xfId="0" applyNumberFormat="1" applyFont="1" applyFill="1" applyBorder="1" applyAlignment="1">
      <alignment vertical="center" textRotation="90"/>
    </xf>
    <xf numFmtId="0" fontId="5" fillId="6" borderId="3" xfId="0" applyFont="1" applyFill="1" applyBorder="1"/>
    <xf numFmtId="49" fontId="1" fillId="6" borderId="4" xfId="0" applyNumberFormat="1" applyFont="1" applyFill="1" applyBorder="1"/>
    <xf numFmtId="49" fontId="1" fillId="6" borderId="0" xfId="0" applyNumberFormat="1" applyFont="1" applyFill="1"/>
    <xf numFmtId="0" fontId="2" fillId="6" borderId="0" xfId="0" applyFont="1" applyFill="1"/>
    <xf numFmtId="49" fontId="3" fillId="6" borderId="0" xfId="0" applyNumberFormat="1" applyFont="1" applyFill="1" applyAlignment="1">
      <alignment vertical="center" textRotation="90"/>
    </xf>
    <xf numFmtId="0" fontId="2" fillId="6" borderId="5" xfId="0" applyFont="1" applyFill="1" applyBorder="1"/>
    <xf numFmtId="49" fontId="4" fillId="6" borderId="0" xfId="0" applyNumberFormat="1" applyFont="1" applyFill="1"/>
    <xf numFmtId="49" fontId="1" fillId="11" borderId="4" xfId="0" applyNumberFormat="1" applyFont="1" applyFill="1" applyBorder="1"/>
    <xf numFmtId="49" fontId="1" fillId="11" borderId="0" xfId="0" applyNumberFormat="1" applyFont="1" applyFill="1"/>
    <xf numFmtId="0" fontId="2" fillId="11" borderId="0" xfId="0" applyFont="1" applyFill="1"/>
    <xf numFmtId="49" fontId="3" fillId="11" borderId="0" xfId="0" applyNumberFormat="1" applyFont="1" applyFill="1"/>
    <xf numFmtId="49" fontId="3" fillId="11" borderId="0" xfId="0" applyNumberFormat="1" applyFont="1" applyFill="1" applyAlignment="1">
      <alignment vertical="center" textRotation="90"/>
    </xf>
    <xf numFmtId="0" fontId="2" fillId="11" borderId="5" xfId="0" applyFont="1" applyFill="1" applyBorder="1"/>
    <xf numFmtId="49" fontId="4" fillId="11" borderId="0" xfId="0" applyNumberFormat="1" applyFont="1" applyFill="1"/>
    <xf numFmtId="49" fontId="1" fillId="12" borderId="4" xfId="0" applyNumberFormat="1" applyFont="1" applyFill="1" applyBorder="1"/>
    <xf numFmtId="49" fontId="1" fillId="12" borderId="0" xfId="0" applyNumberFormat="1" applyFont="1" applyFill="1"/>
    <xf numFmtId="0" fontId="2" fillId="12" borderId="0" xfId="0" applyFont="1" applyFill="1"/>
    <xf numFmtId="49" fontId="3" fillId="12" borderId="0" xfId="0" applyNumberFormat="1" applyFont="1" applyFill="1"/>
    <xf numFmtId="0" fontId="5" fillId="12" borderId="0" xfId="0" applyFont="1" applyFill="1"/>
    <xf numFmtId="49" fontId="3" fillId="12" borderId="0" xfId="0" applyNumberFormat="1" applyFont="1" applyFill="1" applyAlignment="1">
      <alignment vertical="center" textRotation="90"/>
    </xf>
    <xf numFmtId="0" fontId="2" fillId="12" borderId="5" xfId="0" applyFont="1" applyFill="1" applyBorder="1"/>
    <xf numFmtId="49" fontId="1" fillId="12" borderId="6" xfId="0" applyNumberFormat="1" applyFont="1" applyFill="1" applyBorder="1"/>
    <xf numFmtId="49" fontId="1" fillId="12" borderId="7" xfId="0" applyNumberFormat="1" applyFont="1" applyFill="1" applyBorder="1"/>
    <xf numFmtId="0" fontId="2" fillId="12" borderId="7" xfId="0" applyFont="1" applyFill="1" applyBorder="1"/>
    <xf numFmtId="49" fontId="3" fillId="12" borderId="7" xfId="0" applyNumberFormat="1" applyFont="1" applyFill="1" applyBorder="1" applyAlignment="1">
      <alignment vertical="center" textRotation="90"/>
    </xf>
    <xf numFmtId="0" fontId="2" fillId="12" borderId="8" xfId="0" applyFont="1" applyFill="1" applyBorder="1"/>
    <xf numFmtId="0" fontId="6" fillId="6" borderId="2" xfId="0" applyFont="1" applyFill="1" applyBorder="1"/>
    <xf numFmtId="0" fontId="2" fillId="6" borderId="3" xfId="0" applyFont="1" applyFill="1" applyBorder="1"/>
    <xf numFmtId="0" fontId="5" fillId="6" borderId="0" xfId="0" applyFont="1" applyFill="1"/>
    <xf numFmtId="49" fontId="1" fillId="6" borderId="6" xfId="0" applyNumberFormat="1" applyFont="1" applyFill="1" applyBorder="1"/>
    <xf numFmtId="49" fontId="1" fillId="6" borderId="7" xfId="0" applyNumberFormat="1" applyFont="1" applyFill="1" applyBorder="1"/>
    <xf numFmtId="0" fontId="2" fillId="6" borderId="7" xfId="0" applyFont="1" applyFill="1" applyBorder="1"/>
    <xf numFmtId="0" fontId="2" fillId="6" borderId="8" xfId="0" applyFont="1" applyFill="1" applyBorder="1"/>
    <xf numFmtId="49" fontId="1" fillId="2" borderId="2" xfId="0" applyNumberFormat="1" applyFont="1" applyFill="1" applyBorder="1"/>
    <xf numFmtId="49" fontId="3" fillId="2" borderId="2" xfId="0" applyNumberFormat="1" applyFont="1" applyFill="1" applyBorder="1"/>
    <xf numFmtId="49" fontId="1" fillId="2" borderId="0" xfId="0" applyNumberFormat="1" applyFont="1" applyFill="1"/>
    <xf numFmtId="49" fontId="4" fillId="2" borderId="0" xfId="0" applyNumberFormat="1" applyFont="1" applyFill="1"/>
    <xf numFmtId="49" fontId="1" fillId="8" borderId="1" xfId="0" applyNumberFormat="1" applyFont="1" applyFill="1" applyBorder="1"/>
    <xf numFmtId="49" fontId="7" fillId="8" borderId="0" xfId="0" applyNumberFormat="1" applyFont="1" applyFill="1"/>
    <xf numFmtId="0" fontId="2" fillId="8" borderId="2" xfId="0" applyFont="1" applyFill="1" applyBorder="1"/>
    <xf numFmtId="49" fontId="3" fillId="8" borderId="2" xfId="0" applyNumberFormat="1" applyFont="1" applyFill="1" applyBorder="1"/>
    <xf numFmtId="49" fontId="1" fillId="8" borderId="2" xfId="0" applyNumberFormat="1" applyFont="1" applyFill="1" applyBorder="1"/>
    <xf numFmtId="0" fontId="2" fillId="8" borderId="3" xfId="0" applyFont="1" applyFill="1" applyBorder="1"/>
    <xf numFmtId="49" fontId="4" fillId="13" borderId="0" xfId="0" applyNumberFormat="1" applyFont="1" applyFill="1" applyAlignment="1">
      <alignment horizontal="left"/>
    </xf>
    <xf numFmtId="0" fontId="2" fillId="13" borderId="0" xfId="0" applyFont="1" applyFill="1" applyAlignment="1">
      <alignment horizontal="left"/>
    </xf>
    <xf numFmtId="49" fontId="8" fillId="13" borderId="0" xfId="0" applyNumberFormat="1" applyFont="1" applyFill="1" applyAlignment="1">
      <alignment horizontal="left"/>
    </xf>
    <xf numFmtId="49" fontId="1" fillId="8" borderId="6" xfId="0" applyNumberFormat="1" applyFont="1" applyFill="1" applyBorder="1"/>
    <xf numFmtId="0" fontId="2" fillId="8" borderId="7" xfId="0" applyFont="1" applyFill="1" applyBorder="1"/>
    <xf numFmtId="49" fontId="1" fillId="8" borderId="7" xfId="0" applyNumberFormat="1" applyFont="1" applyFill="1" applyBorder="1"/>
    <xf numFmtId="0" fontId="2" fillId="8" borderId="8" xfId="0" applyFont="1" applyFill="1" applyBorder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Font="1" applyFill="1" applyBorder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Font="1" applyFill="1" applyBorder="1"/>
    <xf numFmtId="0" fontId="10" fillId="0" borderId="0" xfId="0" applyFont="1" applyProtection="1">
      <protection locked="0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 wrapText="1"/>
      <protection locked="0"/>
    </xf>
    <xf numFmtId="0" fontId="14" fillId="0" borderId="7" xfId="0" applyFont="1" applyBorder="1" applyProtection="1">
      <protection locked="0"/>
    </xf>
    <xf numFmtId="0" fontId="0" fillId="0" borderId="0" xfId="0" applyProtection="1">
      <protection locked="0"/>
    </xf>
    <xf numFmtId="0" fontId="17" fillId="0" borderId="14" xfId="0" applyFont="1" applyBorder="1" applyAlignment="1" applyProtection="1">
      <alignment horizontal="center"/>
      <protection locked="0"/>
    </xf>
    <xf numFmtId="0" fontId="17" fillId="0" borderId="13" xfId="0" applyFont="1" applyBorder="1" applyAlignment="1" applyProtection="1">
      <alignment horizontal="center"/>
      <protection locked="0"/>
    </xf>
    <xf numFmtId="0" fontId="17" fillId="0" borderId="29" xfId="0" applyFont="1" applyBorder="1" applyAlignment="1" applyProtection="1">
      <alignment horizontal="center"/>
      <protection locked="0"/>
    </xf>
    <xf numFmtId="0" fontId="17" fillId="0" borderId="30" xfId="0" applyFont="1" applyBorder="1" applyAlignment="1" applyProtection="1">
      <alignment horizontal="center"/>
      <protection locked="0"/>
    </xf>
    <xf numFmtId="49" fontId="0" fillId="0" borderId="0" xfId="0" applyNumberFormat="1" applyAlignment="1" applyProtection="1">
      <alignment horizontal="left" wrapText="1" indent="1"/>
      <protection locked="0"/>
    </xf>
    <xf numFmtId="3" fontId="18" fillId="0" borderId="15" xfId="0" applyNumberFormat="1" applyFont="1" applyBorder="1" applyAlignment="1">
      <alignment horizontal="right" vertical="top"/>
    </xf>
    <xf numFmtId="3" fontId="18" fillId="0" borderId="0" xfId="0" applyNumberFormat="1" applyFont="1" applyAlignment="1">
      <alignment horizontal="right" vertical="top"/>
    </xf>
    <xf numFmtId="49" fontId="11" fillId="0" borderId="0" xfId="0" applyNumberFormat="1" applyFont="1" applyAlignment="1" applyProtection="1">
      <alignment horizontal="left" vertical="center" wrapText="1"/>
      <protection locked="0"/>
    </xf>
    <xf numFmtId="0" fontId="11" fillId="0" borderId="0" xfId="0" applyFont="1" applyAlignment="1" applyProtection="1">
      <alignment vertical="center"/>
      <protection locked="0"/>
    </xf>
    <xf numFmtId="0" fontId="18" fillId="0" borderId="15" xfId="0" applyFont="1" applyBorder="1" applyAlignment="1">
      <alignment horizontal="right" vertical="top"/>
    </xf>
    <xf numFmtId="49" fontId="0" fillId="0" borderId="0" xfId="0" applyNumberFormat="1" applyAlignment="1" applyProtection="1">
      <alignment horizontal="left" indent="2"/>
      <protection locked="0"/>
    </xf>
    <xf numFmtId="49" fontId="0" fillId="0" borderId="0" xfId="0" applyNumberFormat="1" applyAlignment="1" applyProtection="1">
      <alignment horizontal="left" wrapText="1" indent="2"/>
      <protection locked="0"/>
    </xf>
    <xf numFmtId="49" fontId="0" fillId="0" borderId="7" xfId="0" applyNumberFormat="1" applyBorder="1" applyAlignment="1" applyProtection="1">
      <alignment horizontal="left" wrapText="1" indent="1"/>
      <protection locked="0"/>
    </xf>
    <xf numFmtId="3" fontId="18" fillId="0" borderId="33" xfId="0" applyNumberFormat="1" applyFont="1" applyBorder="1" applyAlignment="1">
      <alignment horizontal="right" vertical="top"/>
    </xf>
    <xf numFmtId="3" fontId="18" fillId="0" borderId="7" xfId="0" applyNumberFormat="1" applyFont="1" applyBorder="1" applyAlignment="1">
      <alignment horizontal="right" vertical="top"/>
    </xf>
    <xf numFmtId="0" fontId="0" fillId="0" borderId="7" xfId="0" applyBorder="1" applyProtection="1">
      <protection locked="0"/>
    </xf>
    <xf numFmtId="49" fontId="0" fillId="0" borderId="0" xfId="0" applyNumberFormat="1" applyAlignment="1" applyProtection="1">
      <alignment wrapText="1"/>
      <protection locked="0"/>
    </xf>
    <xf numFmtId="49" fontId="0" fillId="0" borderId="0" xfId="0" applyNumberFormat="1" applyProtection="1">
      <protection locked="0"/>
    </xf>
    <xf numFmtId="0" fontId="13" fillId="0" borderId="7" xfId="0" applyFont="1" applyBorder="1" applyProtection="1">
      <protection locked="0"/>
    </xf>
    <xf numFmtId="0" fontId="15" fillId="0" borderId="0" xfId="0" applyFont="1" applyAlignment="1" applyProtection="1">
      <alignment vertical="center" wrapText="1"/>
      <protection locked="0"/>
    </xf>
    <xf numFmtId="0" fontId="13" fillId="0" borderId="0" xfId="0" applyFont="1" applyProtection="1">
      <protection locked="0"/>
    </xf>
    <xf numFmtId="0" fontId="13" fillId="0" borderId="0" xfId="0" applyFont="1" applyAlignment="1" applyProtection="1">
      <alignment horizontal="right"/>
      <protection locked="0"/>
    </xf>
    <xf numFmtId="0" fontId="0" fillId="0" borderId="4" xfId="0" applyBorder="1" applyAlignment="1" applyProtection="1">
      <alignment horizontal="left" indent="1"/>
      <protection locked="0"/>
    </xf>
    <xf numFmtId="0" fontId="11" fillId="0" borderId="4" xfId="0" applyFont="1" applyBorder="1" applyAlignment="1" applyProtection="1">
      <alignment horizontal="left" vertical="center"/>
      <protection locked="0"/>
    </xf>
    <xf numFmtId="0" fontId="0" fillId="0" borderId="6" xfId="0" applyBorder="1" applyAlignment="1" applyProtection="1">
      <alignment horizontal="left" indent="1"/>
      <protection locked="0"/>
    </xf>
    <xf numFmtId="0" fontId="0" fillId="0" borderId="2" xfId="0" applyBorder="1" applyProtection="1">
      <protection locked="0"/>
    </xf>
    <xf numFmtId="0" fontId="15" fillId="0" borderId="4" xfId="0" applyFont="1" applyBorder="1" applyAlignment="1" applyProtection="1">
      <alignment horizontal="center" vertical="center" wrapText="1"/>
      <protection locked="0"/>
    </xf>
    <xf numFmtId="3" fontId="15" fillId="16" borderId="15" xfId="0" applyNumberFormat="1" applyFont="1" applyFill="1" applyBorder="1" applyAlignment="1">
      <alignment horizontal="right" vertical="center" wrapText="1"/>
    </xf>
    <xf numFmtId="3" fontId="15" fillId="16" borderId="21" xfId="0" applyNumberFormat="1" applyFont="1" applyFill="1" applyBorder="1" applyAlignment="1">
      <alignment horizontal="right" vertical="center" wrapText="1"/>
    </xf>
    <xf numFmtId="3" fontId="15" fillId="16" borderId="16" xfId="0" applyNumberFormat="1" applyFont="1" applyFill="1" applyBorder="1" applyAlignment="1">
      <alignment horizontal="right" vertical="center" wrapText="1"/>
    </xf>
    <xf numFmtId="3" fontId="14" fillId="16" borderId="18" xfId="0" applyNumberFormat="1" applyFont="1" applyFill="1" applyBorder="1" applyAlignment="1" applyProtection="1">
      <alignment horizontal="right" vertical="center"/>
      <protection locked="0"/>
    </xf>
    <xf numFmtId="3" fontId="15" fillId="16" borderId="18" xfId="0" applyNumberFormat="1" applyFont="1" applyFill="1" applyBorder="1" applyAlignment="1">
      <alignment horizontal="right" vertical="center" wrapText="1"/>
    </xf>
    <xf numFmtId="3" fontId="14" fillId="16" borderId="32" xfId="0" applyNumberFormat="1" applyFont="1" applyFill="1" applyBorder="1" applyAlignment="1" applyProtection="1">
      <alignment horizontal="right" vertical="center"/>
      <protection locked="0"/>
    </xf>
    <xf numFmtId="49" fontId="3" fillId="15" borderId="2" xfId="0" applyNumberFormat="1" applyFont="1" applyFill="1" applyBorder="1" applyAlignment="1">
      <alignment horizontal="center" vertical="center" textRotation="90"/>
    </xf>
    <xf numFmtId="49" fontId="3" fillId="15" borderId="0" xfId="0" applyNumberFormat="1" applyFont="1" applyFill="1" applyAlignment="1">
      <alignment horizontal="center" vertical="center" textRotation="90"/>
    </xf>
    <xf numFmtId="49" fontId="3" fillId="15" borderId="7" xfId="0" applyNumberFormat="1" applyFont="1" applyFill="1" applyBorder="1" applyAlignment="1">
      <alignment horizontal="center" vertical="center" textRotation="90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Alignment="1">
      <alignment horizontal="center" vertical="center" textRotation="90" wrapText="1"/>
    </xf>
    <xf numFmtId="49" fontId="3" fillId="3" borderId="7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Alignment="1">
      <alignment horizontal="center" vertical="center" textRotation="90" wrapText="1"/>
    </xf>
    <xf numFmtId="49" fontId="3" fillId="2" borderId="7" xfId="0" applyNumberFormat="1" applyFont="1" applyFill="1" applyBorder="1" applyAlignment="1">
      <alignment horizontal="center" vertical="center" textRotation="90" wrapText="1"/>
    </xf>
    <xf numFmtId="49" fontId="3" fillId="7" borderId="2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Alignment="1">
      <alignment horizontal="center" vertical="center" textRotation="90" wrapText="1"/>
    </xf>
    <xf numFmtId="49" fontId="3" fillId="7" borderId="7" xfId="0" applyNumberFormat="1" applyFont="1" applyFill="1" applyBorder="1" applyAlignment="1">
      <alignment horizontal="center" vertical="center" textRotation="90" wrapText="1"/>
    </xf>
    <xf numFmtId="3" fontId="15" fillId="16" borderId="15" xfId="0" applyNumberFormat="1" applyFont="1" applyFill="1" applyBorder="1" applyAlignment="1">
      <alignment horizontal="right" vertical="center"/>
    </xf>
    <xf numFmtId="0" fontId="11" fillId="0" borderId="4" xfId="0" applyFont="1" applyBorder="1" applyAlignment="1" applyProtection="1">
      <alignment horizontal="left" vertical="center" wrapText="1"/>
      <protection locked="0"/>
    </xf>
    <xf numFmtId="0" fontId="11" fillId="0" borderId="0" xfId="0" applyFont="1" applyAlignment="1" applyProtection="1">
      <alignment horizontal="left" vertical="center" wrapText="1"/>
      <protection locked="0"/>
    </xf>
    <xf numFmtId="0" fontId="11" fillId="0" borderId="4" xfId="0" applyFont="1" applyBorder="1" applyAlignment="1" applyProtection="1">
      <alignment vertical="center" wrapText="1"/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11" fillId="0" borderId="4" xfId="0" applyFont="1" applyBorder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horizontal="right"/>
      <protection locked="0"/>
    </xf>
    <xf numFmtId="3" fontId="15" fillId="16" borderId="21" xfId="0" applyNumberFormat="1" applyFont="1" applyFill="1" applyBorder="1" applyAlignment="1">
      <alignment horizontal="right" vertical="center"/>
    </xf>
    <xf numFmtId="0" fontId="0" fillId="0" borderId="4" xfId="0" applyBorder="1" applyAlignment="1" applyProtection="1">
      <alignment horizontal="left" wrapText="1" indent="1"/>
      <protection locked="0"/>
    </xf>
    <xf numFmtId="0" fontId="0" fillId="0" borderId="0" xfId="0" applyAlignment="1" applyProtection="1">
      <alignment horizontal="left" wrapText="1" indent="1"/>
      <protection locked="0"/>
    </xf>
    <xf numFmtId="3" fontId="15" fillId="16" borderId="34" xfId="0" applyNumberFormat="1" applyFont="1" applyFill="1" applyBorder="1" applyAlignment="1">
      <alignment horizontal="right" vertical="center"/>
    </xf>
    <xf numFmtId="3" fontId="15" fillId="16" borderId="0" xfId="0" applyNumberFormat="1" applyFont="1" applyFill="1" applyAlignment="1">
      <alignment horizontal="right" vertical="center"/>
    </xf>
    <xf numFmtId="0" fontId="15" fillId="0" borderId="31" xfId="0" applyFont="1" applyBorder="1" applyAlignment="1" applyProtection="1">
      <alignment vertical="center" wrapText="1"/>
      <protection locked="0"/>
    </xf>
    <xf numFmtId="0" fontId="15" fillId="0" borderId="26" xfId="0" applyFont="1" applyBorder="1" applyAlignment="1" applyProtection="1">
      <alignment vertical="center" wrapText="1"/>
      <protection locked="0"/>
    </xf>
    <xf numFmtId="0" fontId="15" fillId="0" borderId="4" xfId="0" applyFont="1" applyBorder="1" applyAlignment="1" applyProtection="1">
      <alignment vertical="center" wrapText="1"/>
      <protection locked="0"/>
    </xf>
    <xf numFmtId="0" fontId="15" fillId="0" borderId="0" xfId="0" applyFont="1" applyAlignment="1" applyProtection="1">
      <alignment vertical="center" wrapText="1"/>
      <protection locked="0"/>
    </xf>
    <xf numFmtId="0" fontId="15" fillId="0" borderId="4" xfId="0" applyFont="1" applyBorder="1" applyAlignment="1" applyProtection="1">
      <alignment horizontal="left" vertical="center" wrapText="1"/>
      <protection locked="0"/>
    </xf>
    <xf numFmtId="0" fontId="15" fillId="0" borderId="0" xfId="0" applyFont="1" applyAlignment="1" applyProtection="1">
      <alignment horizontal="left" vertical="center" wrapText="1"/>
      <protection locked="0"/>
    </xf>
    <xf numFmtId="3" fontId="15" fillId="16" borderId="25" xfId="0" applyNumberFormat="1" applyFont="1" applyFill="1" applyBorder="1" applyAlignment="1">
      <alignment horizontal="right" vertical="center"/>
    </xf>
    <xf numFmtId="3" fontId="15" fillId="16" borderId="16" xfId="0" applyNumberFormat="1" applyFont="1" applyFill="1" applyBorder="1" applyAlignment="1">
      <alignment horizontal="right" vertical="center"/>
    </xf>
    <xf numFmtId="49" fontId="11" fillId="0" borderId="0" xfId="0" applyNumberFormat="1" applyFont="1" applyAlignment="1" applyProtection="1">
      <alignment horizontal="left" vertical="center" wrapText="1"/>
      <protection locked="0"/>
    </xf>
    <xf numFmtId="3" fontId="15" fillId="16" borderId="18" xfId="0" applyNumberFormat="1" applyFont="1" applyFill="1" applyBorder="1" applyAlignment="1">
      <alignment horizontal="right" vertical="center"/>
    </xf>
    <xf numFmtId="3" fontId="15" fillId="16" borderId="4" xfId="0" applyNumberFormat="1" applyFont="1" applyFill="1" applyBorder="1" applyAlignment="1">
      <alignment horizontal="right" vertical="center"/>
    </xf>
    <xf numFmtId="49" fontId="11" fillId="0" borderId="26" xfId="0" applyNumberFormat="1" applyFont="1" applyBorder="1" applyAlignment="1" applyProtection="1">
      <alignment horizontal="left" vertical="center"/>
      <protection locked="0"/>
    </xf>
    <xf numFmtId="49" fontId="11" fillId="0" borderId="0" xfId="0" applyNumberFormat="1" applyFont="1" applyAlignment="1" applyProtection="1">
      <alignment horizontal="left" vertical="center"/>
      <protection locked="0"/>
    </xf>
    <xf numFmtId="3" fontId="15" fillId="16" borderId="31" xfId="0" applyNumberFormat="1" applyFont="1" applyFill="1" applyBorder="1" applyAlignment="1">
      <alignment horizontal="right" vertical="center"/>
    </xf>
    <xf numFmtId="0" fontId="12" fillId="0" borderId="0" xfId="0" applyFont="1" applyAlignment="1" applyProtection="1">
      <alignment horizontal="center" vertical="center"/>
      <protection locked="0"/>
    </xf>
    <xf numFmtId="0" fontId="14" fillId="0" borderId="27" xfId="0" applyFont="1" applyBorder="1" applyAlignment="1" applyProtection="1">
      <alignment horizontal="center" vertical="center" wrapText="1"/>
      <protection locked="0"/>
    </xf>
    <xf numFmtId="0" fontId="14" fillId="0" borderId="21" xfId="0" applyFont="1" applyBorder="1" applyAlignment="1" applyProtection="1">
      <alignment horizontal="center" vertical="center" wrapText="1"/>
      <protection locked="0"/>
    </xf>
    <xf numFmtId="0" fontId="14" fillId="0" borderId="20" xfId="0" applyFont="1" applyBorder="1" applyAlignment="1" applyProtection="1">
      <alignment horizontal="center" vertical="center" wrapText="1"/>
      <protection locked="0"/>
    </xf>
    <xf numFmtId="0" fontId="14" fillId="0" borderId="24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2" xfId="0" applyFont="1" applyBorder="1" applyAlignment="1" applyProtection="1">
      <alignment horizontal="center" vertical="center" wrapText="1"/>
      <protection locked="0"/>
    </xf>
    <xf numFmtId="0" fontId="15" fillId="0" borderId="4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35" xfId="0" applyFont="1" applyBorder="1" applyAlignment="1" applyProtection="1">
      <alignment horizontal="center" vertical="center" wrapText="1"/>
      <protection locked="0"/>
    </xf>
    <xf numFmtId="0" fontId="15" fillId="0" borderId="24" xfId="0" applyFont="1" applyBorder="1" applyAlignment="1" applyProtection="1">
      <alignment horizontal="center" vertical="center" wrapText="1"/>
      <protection locked="0"/>
    </xf>
    <xf numFmtId="0" fontId="14" fillId="0" borderId="17" xfId="0" applyFont="1" applyBorder="1" applyAlignment="1" applyProtection="1">
      <alignment horizontal="center" vertical="center" wrapText="1"/>
      <protection locked="0"/>
    </xf>
    <xf numFmtId="0" fontId="14" fillId="0" borderId="16" xfId="0" applyFont="1" applyBorder="1" applyAlignment="1" applyProtection="1">
      <alignment horizontal="center" vertical="center" wrapText="1"/>
      <protection locked="0"/>
    </xf>
    <xf numFmtId="0" fontId="14" fillId="0" borderId="28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5" xfId="0" applyFont="1" applyBorder="1" applyAlignment="1" applyProtection="1">
      <alignment horizontal="center" vertical="center" wrapText="1"/>
      <protection locked="0"/>
    </xf>
    <xf numFmtId="0" fontId="15" fillId="0" borderId="22" xfId="0" applyFont="1" applyBorder="1" applyAlignment="1" applyProtection="1">
      <alignment horizontal="center" vertical="center" wrapText="1"/>
      <protection locked="0"/>
    </xf>
    <xf numFmtId="0" fontId="15" fillId="0" borderId="23" xfId="0" applyFont="1" applyBorder="1" applyAlignment="1" applyProtection="1">
      <alignment horizontal="center" vertical="center" wrapText="1"/>
      <protection locked="0"/>
    </xf>
    <xf numFmtId="0" fontId="15" fillId="0" borderId="18" xfId="0" applyFont="1" applyBorder="1" applyAlignment="1" applyProtection="1">
      <alignment horizontal="center" vertical="center" wrapText="1"/>
      <protection locked="0"/>
    </xf>
    <xf numFmtId="0" fontId="15" fillId="0" borderId="19" xfId="0" applyFont="1" applyBorder="1" applyAlignment="1" applyProtection="1">
      <alignment horizontal="center" vertical="center" wrapText="1"/>
      <protection locked="0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3" fontId="15" fillId="16" borderId="36" xfId="0" applyNumberFormat="1" applyFont="1" applyFill="1" applyBorder="1" applyAlignment="1">
      <alignment horizontal="right" vertical="center"/>
    </xf>
    <xf numFmtId="0" fontId="15" fillId="0" borderId="19" xfId="0" applyFont="1" applyBorder="1" applyAlignment="1" applyProtection="1">
      <alignment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0" fillId="0" borderId="0" xfId="0" applyBorder="1" applyProtection="1">
      <protection locked="0"/>
    </xf>
    <xf numFmtId="0" fontId="14" fillId="0" borderId="29" xfId="0" applyFont="1" applyBorder="1" applyAlignment="1" applyProtection="1">
      <alignment horizontal="center" vertical="center" wrapText="1"/>
      <protection locked="0"/>
    </xf>
    <xf numFmtId="0" fontId="14" fillId="0" borderId="30" xfId="0" applyFont="1" applyBorder="1" applyAlignment="1" applyProtection="1">
      <alignment horizontal="center" vertical="center" wrapText="1"/>
      <protection locked="0"/>
    </xf>
    <xf numFmtId="0" fontId="14" fillId="0" borderId="37" xfId="0" applyFont="1" applyBorder="1" applyAlignment="1" applyProtection="1">
      <alignment horizontal="center" vertical="center" wrapText="1"/>
      <protection locked="0"/>
    </xf>
    <xf numFmtId="0" fontId="14" fillId="0" borderId="38" xfId="0" applyFont="1" applyBorder="1" applyAlignment="1" applyProtection="1">
      <alignment horizontal="center" vertical="center" wrapText="1"/>
      <protection locked="0"/>
    </xf>
    <xf numFmtId="0" fontId="14" fillId="0" borderId="39" xfId="0" applyFont="1" applyBorder="1" applyAlignment="1" applyProtection="1">
      <alignment horizontal="center" vertical="center" wrapText="1"/>
      <protection locked="0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4" fillId="0" borderId="3" xfId="0" applyFont="1" applyBorder="1" applyAlignment="1" applyProtection="1">
      <alignment horizontal="center" vertical="center" wrapText="1"/>
      <protection locked="0"/>
    </xf>
    <xf numFmtId="0" fontId="14" fillId="0" borderId="5" xfId="0" applyFont="1" applyBorder="1" applyAlignment="1" applyProtection="1">
      <alignment horizontal="center" vertical="center" wrapText="1"/>
      <protection locked="0"/>
    </xf>
    <xf numFmtId="0" fontId="14" fillId="0" borderId="22" xfId="0" applyFont="1" applyBorder="1" applyAlignment="1" applyProtection="1">
      <alignment horizontal="center" vertical="center" wrapText="1"/>
      <protection locked="0"/>
    </xf>
    <xf numFmtId="0" fontId="14" fillId="0" borderId="40" xfId="0" applyFont="1" applyBorder="1" applyAlignment="1" applyProtection="1">
      <alignment horizontal="center" vertical="center" wrapText="1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showGridLines="0" zoomScale="80" zoomScaleNormal="80" workbookViewId="0">
      <selection activeCell="I23" sqref="I23"/>
    </sheetView>
  </sheetViews>
  <sheetFormatPr defaultRowHeight="14.4" x14ac:dyDescent="0.3"/>
  <cols>
    <col min="2" max="2" width="20.109375" bestFit="1" customWidth="1"/>
  </cols>
  <sheetData>
    <row r="1" spans="1:13" x14ac:dyDescent="0.3">
      <c r="A1" s="1" t="s">
        <v>0</v>
      </c>
      <c r="B1" s="2" t="s">
        <v>1</v>
      </c>
      <c r="C1" s="3"/>
      <c r="D1" s="4"/>
      <c r="E1" s="4"/>
      <c r="F1" s="4"/>
      <c r="G1" s="4"/>
      <c r="H1" s="161" t="s">
        <v>2</v>
      </c>
      <c r="I1" s="5"/>
      <c r="J1" s="3"/>
      <c r="K1" s="3"/>
      <c r="L1" s="3"/>
      <c r="M1" s="6"/>
    </row>
    <row r="2" spans="1:13" x14ac:dyDescent="0.3">
      <c r="A2" s="7" t="s">
        <v>3</v>
      </c>
      <c r="B2" s="8" t="s">
        <v>4</v>
      </c>
      <c r="C2" s="9"/>
      <c r="D2" s="9"/>
      <c r="E2" s="9"/>
      <c r="F2" s="9"/>
      <c r="G2" s="9"/>
      <c r="H2" s="162"/>
      <c r="I2" s="10"/>
      <c r="J2" s="9"/>
      <c r="K2" s="9"/>
      <c r="L2" s="9"/>
      <c r="M2" s="11"/>
    </row>
    <row r="3" spans="1:13" x14ac:dyDescent="0.3">
      <c r="A3" s="7" t="s">
        <v>5</v>
      </c>
      <c r="B3" s="8" t="s">
        <v>6</v>
      </c>
      <c r="C3" s="9"/>
      <c r="D3" s="164" t="s">
        <v>7</v>
      </c>
      <c r="E3" s="164"/>
      <c r="F3" s="164"/>
      <c r="G3" s="164"/>
      <c r="H3" s="162"/>
      <c r="I3" s="10"/>
      <c r="J3" s="9"/>
      <c r="K3" s="9"/>
      <c r="L3" s="9"/>
      <c r="M3" s="11"/>
    </row>
    <row r="4" spans="1:13" x14ac:dyDescent="0.3">
      <c r="A4" s="7" t="s">
        <v>8</v>
      </c>
      <c r="B4" s="8" t="s">
        <v>9</v>
      </c>
      <c r="C4" s="9"/>
      <c r="D4" s="12" t="s">
        <v>10</v>
      </c>
      <c r="E4" s="9"/>
      <c r="F4" s="9"/>
      <c r="G4" s="9"/>
      <c r="H4" s="162"/>
      <c r="I4" s="10"/>
      <c r="J4" s="9"/>
      <c r="K4" s="9"/>
      <c r="L4" s="9"/>
      <c r="M4" s="11"/>
    </row>
    <row r="5" spans="1:13" x14ac:dyDescent="0.3">
      <c r="A5" s="7" t="s">
        <v>11</v>
      </c>
      <c r="B5" s="8" t="s">
        <v>12</v>
      </c>
      <c r="C5" s="9"/>
      <c r="D5" s="9"/>
      <c r="E5" s="9"/>
      <c r="F5" s="9"/>
      <c r="G5" s="9"/>
      <c r="H5" s="162"/>
      <c r="I5" s="10"/>
      <c r="J5" s="9"/>
      <c r="K5" s="9"/>
      <c r="L5" s="9"/>
      <c r="M5" s="11"/>
    </row>
    <row r="6" spans="1:13" x14ac:dyDescent="0.3">
      <c r="A6" s="7" t="s">
        <v>13</v>
      </c>
      <c r="B6" s="8" t="s">
        <v>14</v>
      </c>
      <c r="C6" s="9"/>
      <c r="D6" s="9"/>
      <c r="E6" s="9"/>
      <c r="F6" s="9"/>
      <c r="G6" s="9"/>
      <c r="H6" s="162"/>
      <c r="I6" s="10"/>
      <c r="J6" s="9"/>
      <c r="K6" s="9"/>
      <c r="L6" s="9"/>
      <c r="M6" s="11"/>
    </row>
    <row r="7" spans="1:13" x14ac:dyDescent="0.3">
      <c r="A7" s="13" t="s">
        <v>15</v>
      </c>
      <c r="B7" s="14" t="s">
        <v>16</v>
      </c>
      <c r="C7" s="15"/>
      <c r="D7" s="16"/>
      <c r="E7" s="15"/>
      <c r="F7" s="15"/>
      <c r="G7" s="15"/>
      <c r="H7" s="162"/>
      <c r="I7" s="17"/>
      <c r="J7" s="15"/>
      <c r="K7" s="15"/>
      <c r="L7" s="15"/>
      <c r="M7" s="18"/>
    </row>
    <row r="8" spans="1:13" x14ac:dyDescent="0.3">
      <c r="A8" s="13" t="s">
        <v>17</v>
      </c>
      <c r="B8" s="19" t="s">
        <v>18</v>
      </c>
      <c r="C8" s="15"/>
      <c r="D8" s="15"/>
      <c r="E8" s="15"/>
      <c r="F8" s="15"/>
      <c r="G8" s="15"/>
      <c r="H8" s="162"/>
      <c r="I8" s="17"/>
      <c r="J8" s="19"/>
      <c r="K8" s="20"/>
      <c r="L8" s="15"/>
      <c r="M8" s="18"/>
    </row>
    <row r="9" spans="1:13" x14ac:dyDescent="0.3">
      <c r="A9" s="13" t="s">
        <v>19</v>
      </c>
      <c r="B9" s="19" t="s">
        <v>20</v>
      </c>
      <c r="C9" s="15"/>
      <c r="D9" s="15"/>
      <c r="E9" s="15"/>
      <c r="F9" s="15"/>
      <c r="G9" s="15"/>
      <c r="H9" s="162"/>
      <c r="I9" s="17"/>
      <c r="J9" s="15"/>
      <c r="K9" s="15"/>
      <c r="L9" s="15"/>
      <c r="M9" s="18"/>
    </row>
    <row r="10" spans="1:13" x14ac:dyDescent="0.3">
      <c r="A10" s="13" t="s">
        <v>21</v>
      </c>
      <c r="B10" s="19" t="s">
        <v>22</v>
      </c>
      <c r="C10" s="15"/>
      <c r="D10" s="15"/>
      <c r="E10" s="15"/>
      <c r="F10" s="15"/>
      <c r="G10" s="15"/>
      <c r="H10" s="162"/>
      <c r="I10" s="17"/>
      <c r="J10" s="15"/>
      <c r="K10" s="15"/>
      <c r="L10" s="15"/>
      <c r="M10" s="18"/>
    </row>
    <row r="11" spans="1:13" x14ac:dyDescent="0.3">
      <c r="A11" s="13" t="s">
        <v>23</v>
      </c>
      <c r="B11" s="19" t="s">
        <v>24</v>
      </c>
      <c r="C11" s="15"/>
      <c r="D11" s="21" t="s">
        <v>25</v>
      </c>
      <c r="E11" s="15"/>
      <c r="F11" s="15"/>
      <c r="G11" s="15"/>
      <c r="H11" s="162"/>
      <c r="I11" s="17"/>
      <c r="J11" s="15"/>
      <c r="K11" s="15"/>
      <c r="L11" s="15"/>
      <c r="M11" s="18"/>
    </row>
    <row r="12" spans="1:13" x14ac:dyDescent="0.3">
      <c r="A12" s="13" t="s">
        <v>26</v>
      </c>
      <c r="B12" s="19" t="s">
        <v>27</v>
      </c>
      <c r="C12" s="15"/>
      <c r="D12" s="15"/>
      <c r="E12" s="15"/>
      <c r="F12" s="15"/>
      <c r="G12" s="15"/>
      <c r="H12" s="162"/>
      <c r="I12" s="17"/>
      <c r="J12" s="15"/>
      <c r="K12" s="15"/>
      <c r="L12" s="15"/>
      <c r="M12" s="18"/>
    </row>
    <row r="13" spans="1:13" x14ac:dyDescent="0.3">
      <c r="A13" s="13" t="s">
        <v>28</v>
      </c>
      <c r="B13" s="19" t="s">
        <v>29</v>
      </c>
      <c r="C13" s="15"/>
      <c r="D13" s="15"/>
      <c r="E13" s="15"/>
      <c r="F13" s="15"/>
      <c r="G13" s="15"/>
      <c r="H13" s="162"/>
      <c r="I13" s="17"/>
      <c r="J13" s="15"/>
      <c r="K13" s="15"/>
      <c r="L13" s="15"/>
      <c r="M13" s="18"/>
    </row>
    <row r="14" spans="1:13" x14ac:dyDescent="0.3">
      <c r="A14" s="13" t="s">
        <v>30</v>
      </c>
      <c r="B14" s="19" t="s">
        <v>31</v>
      </c>
      <c r="C14" s="15"/>
      <c r="D14" s="15"/>
      <c r="E14" s="15"/>
      <c r="F14" s="15"/>
      <c r="G14" s="15"/>
      <c r="H14" s="162"/>
      <c r="I14" s="17"/>
      <c r="J14" s="15"/>
      <c r="K14" s="15"/>
      <c r="L14" s="15"/>
      <c r="M14" s="18"/>
    </row>
    <row r="15" spans="1:13" x14ac:dyDescent="0.3">
      <c r="A15" s="13" t="s">
        <v>32</v>
      </c>
      <c r="B15" s="19" t="s">
        <v>33</v>
      </c>
      <c r="C15" s="15"/>
      <c r="D15" s="15"/>
      <c r="E15" s="15"/>
      <c r="F15" s="15"/>
      <c r="G15" s="15"/>
      <c r="H15" s="162"/>
      <c r="I15" s="17"/>
      <c r="J15" s="15"/>
      <c r="K15" s="15"/>
      <c r="L15" s="15"/>
      <c r="M15" s="18"/>
    </row>
    <row r="16" spans="1:13" x14ac:dyDescent="0.3">
      <c r="A16" s="13" t="s">
        <v>34</v>
      </c>
      <c r="B16" s="19" t="s">
        <v>35</v>
      </c>
      <c r="C16" s="15"/>
      <c r="D16" s="15"/>
      <c r="E16" s="15"/>
      <c r="F16" s="15"/>
      <c r="G16" s="15"/>
      <c r="H16" s="162"/>
      <c r="I16" s="17"/>
      <c r="J16" s="15"/>
      <c r="K16" s="15"/>
      <c r="L16" s="15"/>
      <c r="M16" s="18"/>
    </row>
    <row r="17" spans="1:13" x14ac:dyDescent="0.3">
      <c r="A17" s="13" t="s">
        <v>36</v>
      </c>
      <c r="B17" s="19" t="s">
        <v>37</v>
      </c>
      <c r="C17" s="15"/>
      <c r="D17" s="15"/>
      <c r="E17" s="15"/>
      <c r="F17" s="15"/>
      <c r="G17" s="15"/>
      <c r="H17" s="162"/>
      <c r="I17" s="17"/>
      <c r="J17" s="15"/>
      <c r="K17" s="15"/>
      <c r="L17" s="15"/>
      <c r="M17" s="18"/>
    </row>
    <row r="18" spans="1:13" x14ac:dyDescent="0.3">
      <c r="A18" s="22" t="s">
        <v>38</v>
      </c>
      <c r="B18" s="23" t="s">
        <v>39</v>
      </c>
      <c r="C18" s="24"/>
      <c r="D18" s="25"/>
      <c r="E18" s="24"/>
      <c r="F18" s="24"/>
      <c r="G18" s="24"/>
      <c r="H18" s="162"/>
      <c r="I18" s="26"/>
      <c r="J18" s="23"/>
      <c r="K18" s="23"/>
      <c r="L18" s="24"/>
      <c r="M18" s="27"/>
    </row>
    <row r="19" spans="1:13" x14ac:dyDescent="0.3">
      <c r="A19" s="22" t="s">
        <v>40</v>
      </c>
      <c r="B19" s="23" t="s">
        <v>41</v>
      </c>
      <c r="C19" s="24"/>
      <c r="D19" s="24"/>
      <c r="E19" s="24"/>
      <c r="F19" s="24"/>
      <c r="G19" s="24"/>
      <c r="H19" s="162"/>
      <c r="I19" s="26"/>
      <c r="J19" s="23"/>
      <c r="K19" s="23"/>
      <c r="L19" s="24"/>
      <c r="M19" s="27"/>
    </row>
    <row r="20" spans="1:13" x14ac:dyDescent="0.3">
      <c r="A20" s="22" t="s">
        <v>42</v>
      </c>
      <c r="B20" s="23" t="s">
        <v>43</v>
      </c>
      <c r="C20" s="24"/>
      <c r="D20" s="28" t="s">
        <v>44</v>
      </c>
      <c r="E20" s="24"/>
      <c r="F20" s="24"/>
      <c r="G20" s="24"/>
      <c r="H20" s="162"/>
      <c r="I20" s="26"/>
      <c r="J20" s="23"/>
      <c r="K20" s="23"/>
      <c r="L20" s="24"/>
      <c r="M20" s="27"/>
    </row>
    <row r="21" spans="1:13" ht="15" thickBot="1" x14ac:dyDescent="0.35">
      <c r="A21" s="29" t="s">
        <v>45</v>
      </c>
      <c r="B21" s="30" t="s">
        <v>46</v>
      </c>
      <c r="C21" s="31"/>
      <c r="D21" s="31"/>
      <c r="E21" s="31"/>
      <c r="F21" s="31"/>
      <c r="G21" s="31"/>
      <c r="H21" s="163"/>
      <c r="I21" s="32"/>
      <c r="J21" s="30"/>
      <c r="K21" s="30"/>
      <c r="L21" s="31"/>
      <c r="M21" s="33"/>
    </row>
    <row r="22" spans="1:13" x14ac:dyDescent="0.3">
      <c r="A22" s="34" t="s">
        <v>47</v>
      </c>
      <c r="B22" s="35" t="s">
        <v>48</v>
      </c>
      <c r="C22" s="36"/>
      <c r="D22" s="37"/>
      <c r="E22" s="36"/>
      <c r="F22" s="36"/>
      <c r="G22" s="38"/>
      <c r="H22" s="165" t="s">
        <v>49</v>
      </c>
      <c r="I22" s="36"/>
      <c r="J22" s="35"/>
      <c r="K22" s="35"/>
      <c r="L22" s="36"/>
      <c r="M22" s="39"/>
    </row>
    <row r="23" spans="1:13" x14ac:dyDescent="0.3">
      <c r="A23" s="40" t="s">
        <v>50</v>
      </c>
      <c r="B23" s="41" t="s">
        <v>51</v>
      </c>
      <c r="C23" s="42"/>
      <c r="D23" s="42"/>
      <c r="E23" s="42"/>
      <c r="F23" s="42"/>
      <c r="G23" s="43"/>
      <c r="H23" s="166"/>
      <c r="I23" s="42"/>
      <c r="J23" s="41"/>
      <c r="K23" s="41"/>
      <c r="L23" s="42"/>
      <c r="M23" s="44"/>
    </row>
    <row r="24" spans="1:13" x14ac:dyDescent="0.3">
      <c r="A24" s="40" t="s">
        <v>52</v>
      </c>
      <c r="B24" s="41" t="s">
        <v>53</v>
      </c>
      <c r="C24" s="42"/>
      <c r="D24" s="45" t="s">
        <v>54</v>
      </c>
      <c r="E24" s="42"/>
      <c r="F24" s="42"/>
      <c r="G24" s="43"/>
      <c r="H24" s="166"/>
      <c r="I24" s="42"/>
      <c r="J24" s="41"/>
      <c r="K24" s="41"/>
      <c r="L24" s="42"/>
      <c r="M24" s="44"/>
    </row>
    <row r="25" spans="1:13" x14ac:dyDescent="0.3">
      <c r="A25" s="40" t="s">
        <v>55</v>
      </c>
      <c r="B25" s="41" t="s">
        <v>56</v>
      </c>
      <c r="C25" s="42"/>
      <c r="D25" s="42"/>
      <c r="E25" s="42"/>
      <c r="F25" s="42"/>
      <c r="G25" s="43"/>
      <c r="H25" s="166"/>
      <c r="I25" s="42"/>
      <c r="J25" s="41"/>
      <c r="K25" s="41"/>
      <c r="L25" s="42"/>
      <c r="M25" s="44"/>
    </row>
    <row r="26" spans="1:13" x14ac:dyDescent="0.3">
      <c r="A26" s="40" t="s">
        <v>57</v>
      </c>
      <c r="B26" s="41" t="s">
        <v>58</v>
      </c>
      <c r="C26" s="42"/>
      <c r="D26" s="42"/>
      <c r="E26" s="42"/>
      <c r="F26" s="42"/>
      <c r="G26" s="43"/>
      <c r="H26" s="166"/>
      <c r="I26" s="42"/>
      <c r="J26" s="41"/>
      <c r="K26" s="41"/>
      <c r="L26" s="42"/>
      <c r="M26" s="44"/>
    </row>
    <row r="27" spans="1:13" x14ac:dyDescent="0.3">
      <c r="A27" s="46" t="s">
        <v>59</v>
      </c>
      <c r="B27" s="47" t="s">
        <v>60</v>
      </c>
      <c r="C27" s="48"/>
      <c r="D27" s="49"/>
      <c r="E27" s="48"/>
      <c r="F27" s="48"/>
      <c r="G27" s="50"/>
      <c r="H27" s="166"/>
      <c r="I27" s="48"/>
      <c r="J27" s="47"/>
      <c r="K27" s="47"/>
      <c r="L27" s="48"/>
      <c r="M27" s="51"/>
    </row>
    <row r="28" spans="1:13" x14ac:dyDescent="0.3">
      <c r="A28" s="46" t="s">
        <v>61</v>
      </c>
      <c r="B28" s="47" t="s">
        <v>62</v>
      </c>
      <c r="C28" s="48"/>
      <c r="D28" s="48"/>
      <c r="E28" s="48"/>
      <c r="F28" s="48"/>
      <c r="G28" s="50"/>
      <c r="H28" s="166"/>
      <c r="I28" s="48"/>
      <c r="J28" s="47"/>
      <c r="K28" s="47"/>
      <c r="L28" s="48"/>
      <c r="M28" s="51"/>
    </row>
    <row r="29" spans="1:13" x14ac:dyDescent="0.3">
      <c r="A29" s="46" t="s">
        <v>63</v>
      </c>
      <c r="B29" s="47" t="s">
        <v>64</v>
      </c>
      <c r="C29" s="48"/>
      <c r="D29" s="52" t="s">
        <v>65</v>
      </c>
      <c r="E29" s="48"/>
      <c r="F29" s="48"/>
      <c r="G29" s="50"/>
      <c r="H29" s="166"/>
      <c r="I29" s="48"/>
      <c r="J29" s="47"/>
      <c r="K29" s="47"/>
      <c r="L29" s="48"/>
      <c r="M29" s="51"/>
    </row>
    <row r="30" spans="1:13" x14ac:dyDescent="0.3">
      <c r="A30" s="46" t="s">
        <v>66</v>
      </c>
      <c r="B30" s="47" t="s">
        <v>67</v>
      </c>
      <c r="C30" s="48"/>
      <c r="D30" s="48"/>
      <c r="E30" s="48"/>
      <c r="F30" s="48"/>
      <c r="G30" s="50"/>
      <c r="H30" s="166"/>
      <c r="I30" s="48"/>
      <c r="J30" s="47"/>
      <c r="K30" s="47"/>
      <c r="L30" s="48"/>
      <c r="M30" s="51"/>
    </row>
    <row r="31" spans="1:13" ht="15" thickBot="1" x14ac:dyDescent="0.35">
      <c r="A31" s="53" t="s">
        <v>68</v>
      </c>
      <c r="B31" s="54" t="s">
        <v>69</v>
      </c>
      <c r="C31" s="55"/>
      <c r="D31" s="55"/>
      <c r="E31" s="55"/>
      <c r="F31" s="55"/>
      <c r="G31" s="56"/>
      <c r="H31" s="167"/>
      <c r="I31" s="55"/>
      <c r="J31" s="54"/>
      <c r="K31" s="54"/>
      <c r="L31" s="55"/>
      <c r="M31" s="57"/>
    </row>
    <row r="32" spans="1:13" x14ac:dyDescent="0.3">
      <c r="A32" s="58" t="s">
        <v>70</v>
      </c>
      <c r="B32" s="59" t="s">
        <v>71</v>
      </c>
      <c r="C32" s="60"/>
      <c r="D32" s="61"/>
      <c r="E32" s="62"/>
      <c r="F32" s="62"/>
      <c r="G32" s="63"/>
      <c r="H32" s="168" t="s">
        <v>72</v>
      </c>
      <c r="I32" s="62"/>
      <c r="J32" s="61"/>
      <c r="K32" s="61"/>
      <c r="L32" s="62"/>
      <c r="M32" s="64"/>
    </row>
    <row r="33" spans="1:13" x14ac:dyDescent="0.3">
      <c r="A33" s="65" t="s">
        <v>73</v>
      </c>
      <c r="B33" s="66" t="s">
        <v>74</v>
      </c>
      <c r="C33" s="67"/>
      <c r="D33" s="67"/>
      <c r="E33" s="67"/>
      <c r="F33" s="67"/>
      <c r="G33" s="68"/>
      <c r="H33" s="169"/>
      <c r="I33" s="67"/>
      <c r="J33" s="66"/>
      <c r="K33" s="66"/>
      <c r="L33" s="67"/>
      <c r="M33" s="69"/>
    </row>
    <row r="34" spans="1:13" x14ac:dyDescent="0.3">
      <c r="A34" s="65" t="s">
        <v>75</v>
      </c>
      <c r="B34" s="66" t="s">
        <v>76</v>
      </c>
      <c r="C34" s="67"/>
      <c r="D34" s="70" t="s">
        <v>77</v>
      </c>
      <c r="E34" s="67"/>
      <c r="F34" s="67"/>
      <c r="G34" s="68"/>
      <c r="H34" s="169"/>
      <c r="I34" s="67"/>
      <c r="J34" s="66"/>
      <c r="K34" s="66"/>
      <c r="L34" s="67"/>
      <c r="M34" s="69"/>
    </row>
    <row r="35" spans="1:13" x14ac:dyDescent="0.3">
      <c r="A35" s="65" t="s">
        <v>78</v>
      </c>
      <c r="B35" s="66" t="s">
        <v>79</v>
      </c>
      <c r="C35" s="67"/>
      <c r="D35" s="67"/>
      <c r="E35" s="67"/>
      <c r="F35" s="67"/>
      <c r="G35" s="68"/>
      <c r="H35" s="169"/>
      <c r="I35" s="67"/>
      <c r="J35" s="66"/>
      <c r="K35" s="66"/>
      <c r="L35" s="67"/>
      <c r="M35" s="69"/>
    </row>
    <row r="36" spans="1:13" x14ac:dyDescent="0.3">
      <c r="A36" s="65" t="s">
        <v>80</v>
      </c>
      <c r="B36" s="66" t="s">
        <v>81</v>
      </c>
      <c r="C36" s="67"/>
      <c r="D36" s="67"/>
      <c r="E36" s="67"/>
      <c r="F36" s="67"/>
      <c r="G36" s="68"/>
      <c r="H36" s="169"/>
      <c r="I36" s="67"/>
      <c r="J36" s="66"/>
      <c r="K36" s="66"/>
      <c r="L36" s="67"/>
      <c r="M36" s="69"/>
    </row>
    <row r="37" spans="1:13" x14ac:dyDescent="0.3">
      <c r="A37" s="71" t="s">
        <v>82</v>
      </c>
      <c r="B37" s="72" t="s">
        <v>83</v>
      </c>
      <c r="C37" s="73"/>
      <c r="D37" s="74"/>
      <c r="E37" s="73"/>
      <c r="F37" s="73"/>
      <c r="G37" s="75"/>
      <c r="H37" s="169"/>
      <c r="I37" s="73"/>
      <c r="J37" s="72"/>
      <c r="K37" s="72"/>
      <c r="L37" s="73"/>
      <c r="M37" s="76"/>
    </row>
    <row r="38" spans="1:13" x14ac:dyDescent="0.3">
      <c r="A38" s="71" t="s">
        <v>84</v>
      </c>
      <c r="B38" s="72" t="s">
        <v>85</v>
      </c>
      <c r="C38" s="73"/>
      <c r="D38" s="77" t="s">
        <v>86</v>
      </c>
      <c r="E38" s="73"/>
      <c r="F38" s="73"/>
      <c r="G38" s="75"/>
      <c r="H38" s="169"/>
      <c r="I38" s="73"/>
      <c r="J38" s="72"/>
      <c r="K38" s="72"/>
      <c r="L38" s="73"/>
      <c r="M38" s="76"/>
    </row>
    <row r="39" spans="1:13" x14ac:dyDescent="0.3">
      <c r="A39" s="71" t="s">
        <v>87</v>
      </c>
      <c r="B39" s="72" t="s">
        <v>88</v>
      </c>
      <c r="C39" s="73"/>
      <c r="D39" s="73"/>
      <c r="E39" s="73"/>
      <c r="F39" s="73"/>
      <c r="G39" s="75"/>
      <c r="H39" s="169"/>
      <c r="I39" s="73"/>
      <c r="J39" s="72"/>
      <c r="K39" s="72"/>
      <c r="L39" s="73"/>
      <c r="M39" s="76"/>
    </row>
    <row r="40" spans="1:13" x14ac:dyDescent="0.3">
      <c r="A40" s="78" t="s">
        <v>89</v>
      </c>
      <c r="B40" s="79" t="s">
        <v>90</v>
      </c>
      <c r="C40" s="80"/>
      <c r="D40" s="81"/>
      <c r="E40" s="82"/>
      <c r="F40" s="82"/>
      <c r="G40" s="83"/>
      <c r="H40" s="169"/>
      <c r="I40" s="80"/>
      <c r="J40" s="79"/>
      <c r="K40" s="79"/>
      <c r="L40" s="80"/>
      <c r="M40" s="84"/>
    </row>
    <row r="41" spans="1:13" x14ac:dyDescent="0.3">
      <c r="A41" s="78" t="s">
        <v>91</v>
      </c>
      <c r="B41" s="79" t="s">
        <v>92</v>
      </c>
      <c r="C41" s="80"/>
      <c r="D41" s="80"/>
      <c r="E41" s="80"/>
      <c r="F41" s="80"/>
      <c r="G41" s="83"/>
      <c r="H41" s="169"/>
      <c r="I41" s="80"/>
      <c r="J41" s="79"/>
      <c r="K41" s="79"/>
      <c r="L41" s="80"/>
      <c r="M41" s="84"/>
    </row>
    <row r="42" spans="1:13" x14ac:dyDescent="0.3">
      <c r="A42" s="78" t="s">
        <v>93</v>
      </c>
      <c r="B42" s="79" t="s">
        <v>94</v>
      </c>
      <c r="C42" s="80"/>
      <c r="D42" s="81" t="s">
        <v>95</v>
      </c>
      <c r="E42" s="80"/>
      <c r="F42" s="80"/>
      <c r="G42" s="83"/>
      <c r="H42" s="169"/>
      <c r="I42" s="80"/>
      <c r="J42" s="79"/>
      <c r="K42" s="79"/>
      <c r="L42" s="80"/>
      <c r="M42" s="84"/>
    </row>
    <row r="43" spans="1:13" x14ac:dyDescent="0.3">
      <c r="A43" s="78" t="s">
        <v>96</v>
      </c>
      <c r="B43" s="79" t="s">
        <v>97</v>
      </c>
      <c r="C43" s="80"/>
      <c r="D43" s="80"/>
      <c r="E43" s="80"/>
      <c r="F43" s="80"/>
      <c r="G43" s="83"/>
      <c r="H43" s="169"/>
      <c r="I43" s="80"/>
      <c r="J43" s="79"/>
      <c r="K43" s="79"/>
      <c r="L43" s="80"/>
      <c r="M43" s="84"/>
    </row>
    <row r="44" spans="1:13" ht="15" thickBot="1" x14ac:dyDescent="0.35">
      <c r="A44" s="85" t="s">
        <v>98</v>
      </c>
      <c r="B44" s="86" t="s">
        <v>99</v>
      </c>
      <c r="C44" s="87"/>
      <c r="D44" s="87"/>
      <c r="E44" s="87"/>
      <c r="F44" s="87"/>
      <c r="G44" s="88"/>
      <c r="H44" s="170"/>
      <c r="I44" s="87"/>
      <c r="J44" s="86"/>
      <c r="K44" s="86"/>
      <c r="L44" s="87"/>
      <c r="M44" s="89"/>
    </row>
    <row r="45" spans="1:13" x14ac:dyDescent="0.3">
      <c r="A45" s="58" t="s">
        <v>100</v>
      </c>
      <c r="B45" s="59" t="s">
        <v>101</v>
      </c>
      <c r="C45" s="60"/>
      <c r="D45" s="60"/>
      <c r="E45" s="90"/>
      <c r="F45" s="60"/>
      <c r="G45" s="60"/>
      <c r="H45" s="161" t="s">
        <v>102</v>
      </c>
      <c r="I45" s="60"/>
      <c r="J45" s="59"/>
      <c r="K45" s="59"/>
      <c r="L45" s="60"/>
      <c r="M45" s="91"/>
    </row>
    <row r="46" spans="1:13" x14ac:dyDescent="0.3">
      <c r="A46" s="65" t="s">
        <v>103</v>
      </c>
      <c r="B46" s="66" t="s">
        <v>104</v>
      </c>
      <c r="C46" s="67"/>
      <c r="D46" s="67"/>
      <c r="E46" s="67"/>
      <c r="F46" s="67"/>
      <c r="G46" s="67"/>
      <c r="H46" s="162"/>
      <c r="I46" s="67"/>
      <c r="J46" s="66"/>
      <c r="K46" s="66"/>
      <c r="L46" s="67"/>
      <c r="M46" s="69"/>
    </row>
    <row r="47" spans="1:13" x14ac:dyDescent="0.3">
      <c r="A47" s="65" t="s">
        <v>105</v>
      </c>
      <c r="B47" s="66" t="s">
        <v>106</v>
      </c>
      <c r="C47" s="67"/>
      <c r="D47" s="67"/>
      <c r="E47" s="67"/>
      <c r="F47" s="67"/>
      <c r="G47" s="67"/>
      <c r="H47" s="162"/>
      <c r="I47" s="67"/>
      <c r="J47" s="66"/>
      <c r="K47" s="66"/>
      <c r="L47" s="67"/>
      <c r="M47" s="69"/>
    </row>
    <row r="48" spans="1:13" x14ac:dyDescent="0.3">
      <c r="A48" s="65" t="s">
        <v>107</v>
      </c>
      <c r="B48" s="66" t="s">
        <v>108</v>
      </c>
      <c r="C48" s="67"/>
      <c r="D48" s="67"/>
      <c r="E48" s="67"/>
      <c r="F48" s="67"/>
      <c r="G48" s="67"/>
      <c r="H48" s="162"/>
      <c r="I48" s="67"/>
      <c r="J48" s="66"/>
      <c r="K48" s="66"/>
      <c r="L48" s="67"/>
      <c r="M48" s="69"/>
    </row>
    <row r="49" spans="1:13" x14ac:dyDescent="0.3">
      <c r="A49" s="65" t="s">
        <v>109</v>
      </c>
      <c r="B49" s="66" t="s">
        <v>110</v>
      </c>
      <c r="C49" s="67"/>
      <c r="D49" s="67"/>
      <c r="E49" s="92" t="s">
        <v>111</v>
      </c>
      <c r="F49" s="67"/>
      <c r="G49" s="67"/>
      <c r="H49" s="162"/>
      <c r="I49" s="67"/>
      <c r="J49" s="66"/>
      <c r="K49" s="66"/>
      <c r="L49" s="67"/>
      <c r="M49" s="69"/>
    </row>
    <row r="50" spans="1:13" x14ac:dyDescent="0.3">
      <c r="A50" s="65" t="s">
        <v>112</v>
      </c>
      <c r="B50" s="66" t="s">
        <v>113</v>
      </c>
      <c r="C50" s="67"/>
      <c r="D50" s="67"/>
      <c r="E50" s="67"/>
      <c r="F50" s="67"/>
      <c r="G50" s="67"/>
      <c r="H50" s="162"/>
      <c r="I50" s="67"/>
      <c r="J50" s="66"/>
      <c r="K50" s="66"/>
      <c r="L50" s="67"/>
      <c r="M50" s="69"/>
    </row>
    <row r="51" spans="1:13" x14ac:dyDescent="0.3">
      <c r="A51" s="65" t="s">
        <v>114</v>
      </c>
      <c r="B51" s="66" t="s">
        <v>115</v>
      </c>
      <c r="C51" s="67"/>
      <c r="D51" s="67"/>
      <c r="E51" s="67"/>
      <c r="F51" s="67"/>
      <c r="G51" s="67"/>
      <c r="H51" s="162"/>
      <c r="I51" s="67"/>
      <c r="J51" s="66"/>
      <c r="K51" s="66"/>
      <c r="L51" s="67"/>
      <c r="M51" s="69"/>
    </row>
    <row r="52" spans="1:13" ht="15" thickBot="1" x14ac:dyDescent="0.35">
      <c r="A52" s="93" t="s">
        <v>116</v>
      </c>
      <c r="B52" s="94" t="s">
        <v>117</v>
      </c>
      <c r="C52" s="95"/>
      <c r="D52" s="95"/>
      <c r="E52" s="95"/>
      <c r="F52" s="95"/>
      <c r="G52" s="95"/>
      <c r="H52" s="163"/>
      <c r="I52" s="95"/>
      <c r="J52" s="94"/>
      <c r="K52" s="94"/>
      <c r="L52" s="95"/>
      <c r="M52" s="96"/>
    </row>
    <row r="53" spans="1:13" x14ac:dyDescent="0.3">
      <c r="A53" s="1" t="s">
        <v>118</v>
      </c>
      <c r="B53" s="97" t="s">
        <v>119</v>
      </c>
      <c r="C53" s="3"/>
      <c r="D53" s="98"/>
      <c r="E53" s="3"/>
      <c r="F53" s="3"/>
      <c r="G53" s="3"/>
      <c r="H53" s="158" t="s">
        <v>120</v>
      </c>
      <c r="I53" s="3"/>
      <c r="J53" s="97"/>
      <c r="K53" s="97"/>
      <c r="L53" s="3"/>
      <c r="M53" s="6"/>
    </row>
    <row r="54" spans="1:13" x14ac:dyDescent="0.3">
      <c r="A54" s="7" t="s">
        <v>121</v>
      </c>
      <c r="B54" s="99" t="s">
        <v>122</v>
      </c>
      <c r="C54" s="9"/>
      <c r="D54" s="9"/>
      <c r="E54" s="9"/>
      <c r="F54" s="9"/>
      <c r="G54" s="9"/>
      <c r="H54" s="159"/>
      <c r="I54" s="9"/>
      <c r="J54" s="99"/>
      <c r="K54" s="99"/>
      <c r="L54" s="9"/>
      <c r="M54" s="11"/>
    </row>
    <row r="55" spans="1:13" x14ac:dyDescent="0.3">
      <c r="A55" s="7" t="s">
        <v>123</v>
      </c>
      <c r="B55" s="99" t="s">
        <v>124</v>
      </c>
      <c r="C55" s="9"/>
      <c r="D55" s="100" t="s">
        <v>125</v>
      </c>
      <c r="E55" s="9"/>
      <c r="F55" s="9"/>
      <c r="G55" s="9"/>
      <c r="H55" s="159"/>
      <c r="I55" s="9"/>
      <c r="J55" s="99"/>
      <c r="K55" s="99"/>
      <c r="L55" s="9"/>
      <c r="M55" s="11"/>
    </row>
    <row r="56" spans="1:13" x14ac:dyDescent="0.3">
      <c r="A56" s="7" t="s">
        <v>126</v>
      </c>
      <c r="B56" s="99" t="s">
        <v>127</v>
      </c>
      <c r="C56" s="9"/>
      <c r="D56" s="9"/>
      <c r="E56" s="9"/>
      <c r="F56" s="9"/>
      <c r="G56" s="9"/>
      <c r="H56" s="159"/>
      <c r="I56" s="9"/>
      <c r="J56" s="99"/>
      <c r="K56" s="99"/>
      <c r="L56" s="9"/>
      <c r="M56" s="11"/>
    </row>
    <row r="57" spans="1:13" x14ac:dyDescent="0.3">
      <c r="A57" s="7" t="s">
        <v>128</v>
      </c>
      <c r="B57" s="99" t="s">
        <v>129</v>
      </c>
      <c r="C57" s="9"/>
      <c r="D57" s="9"/>
      <c r="E57" s="9"/>
      <c r="F57" s="9"/>
      <c r="G57" s="9"/>
      <c r="H57" s="159"/>
      <c r="I57" s="9"/>
      <c r="J57" s="99"/>
      <c r="K57" s="99"/>
      <c r="L57" s="9"/>
      <c r="M57" s="11"/>
    </row>
    <row r="58" spans="1:13" x14ac:dyDescent="0.3">
      <c r="A58" s="46" t="s">
        <v>130</v>
      </c>
      <c r="B58" s="47" t="s">
        <v>131</v>
      </c>
      <c r="C58" s="48"/>
      <c r="D58" s="49"/>
      <c r="E58" s="48"/>
      <c r="F58" s="48"/>
      <c r="G58" s="48"/>
      <c r="H58" s="159"/>
      <c r="I58" s="48"/>
      <c r="J58" s="47"/>
      <c r="K58" s="47"/>
      <c r="L58" s="48"/>
      <c r="M58" s="51"/>
    </row>
    <row r="59" spans="1:13" x14ac:dyDescent="0.3">
      <c r="A59" s="46" t="s">
        <v>132</v>
      </c>
      <c r="B59" s="47" t="s">
        <v>133</v>
      </c>
      <c r="C59" s="48"/>
      <c r="D59" s="48"/>
      <c r="E59" s="48"/>
      <c r="F59" s="48"/>
      <c r="G59" s="48"/>
      <c r="H59" s="159"/>
      <c r="I59" s="48"/>
      <c r="J59" s="47"/>
      <c r="K59" s="47"/>
      <c r="L59" s="48"/>
      <c r="M59" s="51"/>
    </row>
    <row r="60" spans="1:13" x14ac:dyDescent="0.3">
      <c r="A60" s="46" t="s">
        <v>134</v>
      </c>
      <c r="B60" s="47" t="s">
        <v>135</v>
      </c>
      <c r="C60" s="48"/>
      <c r="D60" s="48"/>
      <c r="E60" s="48"/>
      <c r="F60" s="48"/>
      <c r="G60" s="48"/>
      <c r="H60" s="159"/>
      <c r="I60" s="48"/>
      <c r="J60" s="47"/>
      <c r="K60" s="47"/>
      <c r="L60" s="48"/>
      <c r="M60" s="51"/>
    </row>
    <row r="61" spans="1:13" x14ac:dyDescent="0.3">
      <c r="A61" s="46" t="s">
        <v>136</v>
      </c>
      <c r="B61" s="47" t="s">
        <v>137</v>
      </c>
      <c r="C61" s="48"/>
      <c r="D61" s="48"/>
      <c r="E61" s="48"/>
      <c r="F61" s="48"/>
      <c r="G61" s="48"/>
      <c r="H61" s="159"/>
      <c r="I61" s="48"/>
      <c r="J61" s="47"/>
      <c r="K61" s="47"/>
      <c r="L61" s="48"/>
      <c r="M61" s="51"/>
    </row>
    <row r="62" spans="1:13" x14ac:dyDescent="0.3">
      <c r="A62" s="46" t="s">
        <v>138</v>
      </c>
      <c r="B62" s="47" t="s">
        <v>139</v>
      </c>
      <c r="C62" s="48"/>
      <c r="D62" s="48"/>
      <c r="E62" s="48"/>
      <c r="F62" s="48"/>
      <c r="G62" s="48"/>
      <c r="H62" s="159"/>
      <c r="I62" s="48"/>
      <c r="J62" s="47"/>
      <c r="K62" s="47"/>
      <c r="L62" s="48"/>
      <c r="M62" s="51"/>
    </row>
    <row r="63" spans="1:13" x14ac:dyDescent="0.3">
      <c r="A63" s="46" t="s">
        <v>140</v>
      </c>
      <c r="B63" s="47" t="s">
        <v>141</v>
      </c>
      <c r="C63" s="48"/>
      <c r="D63" s="52" t="s">
        <v>142</v>
      </c>
      <c r="E63" s="48"/>
      <c r="F63" s="48"/>
      <c r="G63" s="48"/>
      <c r="H63" s="159"/>
      <c r="I63" s="48"/>
      <c r="J63" s="47"/>
      <c r="K63" s="47"/>
      <c r="L63" s="48"/>
      <c r="M63" s="51"/>
    </row>
    <row r="64" spans="1:13" x14ac:dyDescent="0.3">
      <c r="A64" s="46" t="s">
        <v>143</v>
      </c>
      <c r="B64" s="47" t="s">
        <v>144</v>
      </c>
      <c r="C64" s="48"/>
      <c r="D64" s="48"/>
      <c r="E64" s="48"/>
      <c r="F64" s="48"/>
      <c r="G64" s="48"/>
      <c r="H64" s="159"/>
      <c r="I64" s="48"/>
      <c r="J64" s="47"/>
      <c r="K64" s="47"/>
      <c r="L64" s="48"/>
      <c r="M64" s="51"/>
    </row>
    <row r="65" spans="1:13" x14ac:dyDescent="0.3">
      <c r="A65" s="46" t="s">
        <v>145</v>
      </c>
      <c r="B65" s="47" t="s">
        <v>146</v>
      </c>
      <c r="C65" s="48"/>
      <c r="D65" s="48"/>
      <c r="E65" s="48"/>
      <c r="F65" s="48"/>
      <c r="G65" s="48"/>
      <c r="H65" s="159"/>
      <c r="I65" s="48"/>
      <c r="J65" s="47"/>
      <c r="K65" s="47"/>
      <c r="L65" s="48"/>
      <c r="M65" s="51"/>
    </row>
    <row r="66" spans="1:13" x14ac:dyDescent="0.3">
      <c r="A66" s="46" t="s">
        <v>147</v>
      </c>
      <c r="B66" s="47" t="s">
        <v>148</v>
      </c>
      <c r="C66" s="48"/>
      <c r="D66" s="48"/>
      <c r="E66" s="48"/>
      <c r="F66" s="48"/>
      <c r="G66" s="48"/>
      <c r="H66" s="159"/>
      <c r="I66" s="48"/>
      <c r="J66" s="47"/>
      <c r="K66" s="47"/>
      <c r="L66" s="48"/>
      <c r="M66" s="51"/>
    </row>
    <row r="67" spans="1:13" x14ac:dyDescent="0.3">
      <c r="A67" s="46" t="s">
        <v>149</v>
      </c>
      <c r="B67" s="47" t="s">
        <v>150</v>
      </c>
      <c r="C67" s="48"/>
      <c r="D67" s="48"/>
      <c r="E67" s="48"/>
      <c r="F67" s="48"/>
      <c r="G67" s="48"/>
      <c r="H67" s="159"/>
      <c r="I67" s="48"/>
      <c r="J67" s="47"/>
      <c r="K67" s="47"/>
      <c r="L67" s="48"/>
      <c r="M67" s="51"/>
    </row>
    <row r="68" spans="1:13" x14ac:dyDescent="0.3">
      <c r="A68" s="46" t="s">
        <v>151</v>
      </c>
      <c r="B68" s="47" t="s">
        <v>152</v>
      </c>
      <c r="C68" s="48"/>
      <c r="D68" s="48"/>
      <c r="E68" s="48"/>
      <c r="F68" s="48"/>
      <c r="G68" s="48"/>
      <c r="H68" s="159"/>
      <c r="I68" s="48"/>
      <c r="J68" s="47"/>
      <c r="K68" s="47"/>
      <c r="L68" s="48"/>
      <c r="M68" s="51"/>
    </row>
    <row r="69" spans="1:13" x14ac:dyDescent="0.3">
      <c r="A69" s="46" t="s">
        <v>153</v>
      </c>
      <c r="B69" s="47" t="s">
        <v>154</v>
      </c>
      <c r="C69" s="48"/>
      <c r="D69" s="48"/>
      <c r="E69" s="48"/>
      <c r="F69" s="48"/>
      <c r="G69" s="48"/>
      <c r="H69" s="159"/>
      <c r="I69" s="48"/>
      <c r="J69" s="47"/>
      <c r="K69" s="47"/>
      <c r="L69" s="48"/>
      <c r="M69" s="51"/>
    </row>
    <row r="70" spans="1:13" ht="15" thickBot="1" x14ac:dyDescent="0.35">
      <c r="A70" s="53" t="s">
        <v>155</v>
      </c>
      <c r="B70" s="54" t="s">
        <v>156</v>
      </c>
      <c r="C70" s="55"/>
      <c r="D70" s="55"/>
      <c r="E70" s="55"/>
      <c r="F70" s="55"/>
      <c r="G70" s="55"/>
      <c r="H70" s="160"/>
      <c r="I70" s="55"/>
      <c r="J70" s="54"/>
      <c r="K70" s="54"/>
      <c r="L70" s="55"/>
      <c r="M70" s="57"/>
    </row>
    <row r="71" spans="1:13" x14ac:dyDescent="0.3">
      <c r="A71" s="101" t="s">
        <v>157</v>
      </c>
      <c r="B71" s="102" t="s">
        <v>158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 x14ac:dyDescent="0.3">
      <c r="A72" s="13" t="s">
        <v>159</v>
      </c>
      <c r="B72" s="102" t="s">
        <v>160</v>
      </c>
      <c r="C72" s="15"/>
      <c r="D72" s="15"/>
      <c r="E72" s="15"/>
      <c r="F72" s="15"/>
      <c r="G72" s="15"/>
      <c r="H72" s="107" t="s">
        <v>161</v>
      </c>
      <c r="I72" s="108"/>
      <c r="J72" s="109"/>
      <c r="K72" s="109"/>
      <c r="L72" s="15"/>
      <c r="M72" s="18"/>
    </row>
    <row r="73" spans="1:13" x14ac:dyDescent="0.3">
      <c r="A73" s="13" t="s">
        <v>162</v>
      </c>
      <c r="B73" s="102" t="s">
        <v>163</v>
      </c>
      <c r="C73" s="15"/>
      <c r="D73" s="21" t="s">
        <v>164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 x14ac:dyDescent="0.35">
      <c r="A74" s="110" t="s">
        <v>165</v>
      </c>
      <c r="B74" s="102" t="s">
        <v>166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 x14ac:dyDescent="0.35">
      <c r="A75" s="114" t="s">
        <v>167</v>
      </c>
      <c r="B75" s="115" t="s">
        <v>168</v>
      </c>
      <c r="C75" s="116"/>
      <c r="D75" s="117" t="s">
        <v>169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39"/>
  <sheetViews>
    <sheetView showGridLines="0" tabSelected="1" zoomScaleNormal="100" workbookViewId="0">
      <selection activeCell="G27" sqref="G27"/>
    </sheetView>
  </sheetViews>
  <sheetFormatPr defaultRowHeight="13.8" x14ac:dyDescent="0.3"/>
  <cols>
    <col min="1" max="1" width="43.21875" style="120" customWidth="1"/>
    <col min="2" max="2" width="11.44140625" style="120" customWidth="1"/>
    <col min="3" max="3" width="7.5546875" style="120" bestFit="1" customWidth="1"/>
    <col min="4" max="4" width="6.5546875" style="120" bestFit="1" customWidth="1"/>
    <col min="5" max="8" width="7.5546875" style="120" bestFit="1" customWidth="1"/>
    <col min="9" max="10" width="9.109375" style="120" bestFit="1" customWidth="1"/>
    <col min="11" max="11" width="7.5546875" style="120" bestFit="1" customWidth="1"/>
    <col min="12" max="12" width="9.109375" style="120" customWidth="1"/>
    <col min="13" max="13" width="9.109375" style="120" bestFit="1" customWidth="1"/>
    <col min="14" max="14" width="7.5546875" style="120" bestFit="1" customWidth="1"/>
    <col min="15" max="15" width="7.5546875" style="120" customWidth="1"/>
    <col min="16" max="18" width="7.5546875" style="120" bestFit="1" customWidth="1"/>
    <col min="19" max="19" width="11" style="120" customWidth="1"/>
    <col min="20" max="20" width="12.77734375" style="120" customWidth="1"/>
    <col min="21" max="21" width="11.77734375" style="120" customWidth="1"/>
    <col min="22" max="22" width="6.44140625" style="120" customWidth="1"/>
    <col min="23" max="16384" width="8.88671875" style="120"/>
  </cols>
  <sheetData>
    <row r="1" spans="1:22" x14ac:dyDescent="0.3"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</row>
    <row r="2" spans="1:22" ht="18" x14ac:dyDescent="0.3">
      <c r="A2" s="198" t="s">
        <v>285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</row>
    <row r="3" spans="1:22" ht="18" x14ac:dyDescent="0.3">
      <c r="A3" s="198" t="s">
        <v>286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</row>
    <row r="4" spans="1:22" x14ac:dyDescent="0.3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</row>
    <row r="5" spans="1:22" s="124" customFormat="1" ht="15" thickBot="1" x14ac:dyDescent="0.35">
      <c r="A5" s="143" t="s">
        <v>170</v>
      </c>
      <c r="B5" s="143"/>
      <c r="C5" s="143"/>
      <c r="D5" s="143"/>
      <c r="E5" s="143"/>
      <c r="F5" s="14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45"/>
      <c r="T5" s="145"/>
      <c r="U5" s="146" t="s">
        <v>281</v>
      </c>
    </row>
    <row r="6" spans="1:22" s="124" customFormat="1" ht="26.4" customHeight="1" x14ac:dyDescent="0.3">
      <c r="A6" s="212" t="s">
        <v>278</v>
      </c>
      <c r="B6" s="215" t="s">
        <v>294</v>
      </c>
      <c r="C6" s="199" t="s">
        <v>295</v>
      </c>
      <c r="D6" s="211"/>
      <c r="E6" s="218" t="s">
        <v>297</v>
      </c>
      <c r="F6" s="219"/>
      <c r="G6" s="199" t="s">
        <v>300</v>
      </c>
      <c r="H6" s="211"/>
      <c r="I6" s="230" t="s">
        <v>292</v>
      </c>
      <c r="J6" s="231"/>
      <c r="K6" s="231"/>
      <c r="L6" s="232"/>
      <c r="M6" s="199" t="s">
        <v>301</v>
      </c>
      <c r="N6" s="211"/>
      <c r="O6" s="199" t="s">
        <v>303</v>
      </c>
      <c r="P6" s="211"/>
      <c r="Q6" s="199" t="s">
        <v>305</v>
      </c>
      <c r="R6" s="235"/>
      <c r="S6" s="203" t="s">
        <v>171</v>
      </c>
      <c r="T6" s="204"/>
      <c r="U6" s="204"/>
      <c r="V6" s="150"/>
    </row>
    <row r="7" spans="1:22" s="124" customFormat="1" ht="31.2" customHeight="1" x14ac:dyDescent="0.3">
      <c r="A7" s="213"/>
      <c r="B7" s="216"/>
      <c r="C7" s="200"/>
      <c r="D7" s="210"/>
      <c r="E7" s="220"/>
      <c r="F7" s="221"/>
      <c r="G7" s="200"/>
      <c r="H7" s="210"/>
      <c r="I7" s="228" t="s">
        <v>289</v>
      </c>
      <c r="J7" s="229"/>
      <c r="K7" s="228" t="s">
        <v>290</v>
      </c>
      <c r="L7" s="229"/>
      <c r="M7" s="200"/>
      <c r="N7" s="210"/>
      <c r="O7" s="200"/>
      <c r="P7" s="210"/>
      <c r="Q7" s="200"/>
      <c r="R7" s="236"/>
      <c r="S7" s="205"/>
      <c r="T7" s="226"/>
      <c r="U7" s="226"/>
      <c r="V7" s="227"/>
    </row>
    <row r="8" spans="1:22" s="124" customFormat="1" ht="18" customHeight="1" x14ac:dyDescent="0.3">
      <c r="A8" s="213"/>
      <c r="B8" s="217"/>
      <c r="C8" s="201"/>
      <c r="D8" s="209"/>
      <c r="E8" s="222"/>
      <c r="F8" s="223"/>
      <c r="G8" s="201"/>
      <c r="H8" s="209"/>
      <c r="I8" s="201" t="s">
        <v>287</v>
      </c>
      <c r="J8" s="202"/>
      <c r="K8" s="202"/>
      <c r="L8" s="209"/>
      <c r="M8" s="201"/>
      <c r="N8" s="209"/>
      <c r="O8" s="201"/>
      <c r="P8" s="209"/>
      <c r="Q8" s="201"/>
      <c r="R8" s="237"/>
      <c r="S8" s="205"/>
      <c r="T8" s="206"/>
      <c r="U8" s="206"/>
    </row>
    <row r="9" spans="1:22" s="124" customFormat="1" ht="45" customHeight="1" x14ac:dyDescent="0.3">
      <c r="A9" s="213"/>
      <c r="B9" s="151" t="s">
        <v>293</v>
      </c>
      <c r="C9" s="201" t="s">
        <v>296</v>
      </c>
      <c r="D9" s="209"/>
      <c r="E9" s="222" t="s">
        <v>298</v>
      </c>
      <c r="F9" s="223"/>
      <c r="G9" s="233" t="s">
        <v>299</v>
      </c>
      <c r="H9" s="234"/>
      <c r="I9" s="228" t="s">
        <v>288</v>
      </c>
      <c r="J9" s="229"/>
      <c r="K9" s="228" t="s">
        <v>291</v>
      </c>
      <c r="L9" s="229"/>
      <c r="M9" s="201" t="s">
        <v>302</v>
      </c>
      <c r="N9" s="209"/>
      <c r="O9" s="228" t="s">
        <v>304</v>
      </c>
      <c r="P9" s="229"/>
      <c r="Q9" s="228" t="s">
        <v>306</v>
      </c>
      <c r="R9" s="238"/>
      <c r="S9" s="205"/>
      <c r="T9" s="206"/>
      <c r="U9" s="206"/>
    </row>
    <row r="10" spans="1:22" s="124" customFormat="1" ht="14.4" x14ac:dyDescent="0.3">
      <c r="A10" s="214"/>
      <c r="B10" s="225"/>
      <c r="C10" s="125">
        <v>1</v>
      </c>
      <c r="D10" s="125">
        <v>2</v>
      </c>
      <c r="E10" s="125">
        <v>1</v>
      </c>
      <c r="F10" s="125">
        <v>2</v>
      </c>
      <c r="G10" s="126">
        <v>1</v>
      </c>
      <c r="H10" s="126">
        <v>2</v>
      </c>
      <c r="I10" s="125">
        <v>1</v>
      </c>
      <c r="J10" s="125">
        <v>2</v>
      </c>
      <c r="K10" s="127">
        <v>1</v>
      </c>
      <c r="L10" s="126">
        <v>2</v>
      </c>
      <c r="M10" s="128">
        <v>1</v>
      </c>
      <c r="N10" s="126">
        <v>2</v>
      </c>
      <c r="O10" s="126">
        <v>1</v>
      </c>
      <c r="P10" s="126">
        <v>2</v>
      </c>
      <c r="Q10" s="126">
        <v>1</v>
      </c>
      <c r="R10" s="127">
        <v>2</v>
      </c>
      <c r="S10" s="207"/>
      <c r="T10" s="208"/>
      <c r="U10" s="208"/>
    </row>
    <row r="11" spans="1:22" s="124" customFormat="1" ht="14.4" x14ac:dyDescent="0.3">
      <c r="A11" s="195" t="s">
        <v>172</v>
      </c>
      <c r="B11" s="197">
        <f>SUM(B13,B21,B30,B35,B41,B48,B55,B62,B67,B74,B84,B91,B106)</f>
        <v>4379998</v>
      </c>
      <c r="C11" s="190">
        <f>SUM(C13,C21,C30,C35,C41,C48,C55,C62,C67,C74,C84,C91,C106)</f>
        <v>236879</v>
      </c>
      <c r="D11" s="190">
        <f>SUM(D13,D21,D30,D35,D41,D48,D55,D62,D67,D74,D84,D91,D106)</f>
        <v>80265.921999999991</v>
      </c>
      <c r="E11" s="190">
        <f>SUM(E13,E21,E30,E35,E41,E48,E55,E62,E67,E74,E84,E91,E106)</f>
        <v>309830</v>
      </c>
      <c r="F11" s="190">
        <f t="shared" ref="F11:R11" si="0">SUM(F13,F21,F30,F35,F41,F48,F55,F62,F67,F74,F84,F91,F106)</f>
        <v>120966.056</v>
      </c>
      <c r="G11" s="190">
        <f>SUM(G13,G21,G30,G35,G41,G48,G55,G62,G67,G74,G84,G91,G106)</f>
        <v>289411</v>
      </c>
      <c r="H11" s="190">
        <f t="shared" si="0"/>
        <v>112135.20600000001</v>
      </c>
      <c r="I11" s="190">
        <f t="shared" si="0"/>
        <v>1669286</v>
      </c>
      <c r="J11" s="190">
        <f t="shared" si="0"/>
        <v>1745687.6859999998</v>
      </c>
      <c r="K11" s="190">
        <f t="shared" si="0"/>
        <v>414332</v>
      </c>
      <c r="L11" s="190">
        <f t="shared" si="0"/>
        <v>434220.223</v>
      </c>
      <c r="M11" s="190">
        <f t="shared" si="0"/>
        <v>1085939</v>
      </c>
      <c r="N11" s="182">
        <f t="shared" si="0"/>
        <v>432862.39499999996</v>
      </c>
      <c r="O11" s="190">
        <f t="shared" ref="O11:P11" si="1">SUM(O13,O21,O30,O35,O41,O48,O55,O62,O67,O74,O84,O91,O106)</f>
        <v>135639</v>
      </c>
      <c r="P11" s="224">
        <f t="shared" si="1"/>
        <v>473755.24599999998</v>
      </c>
      <c r="Q11" s="190">
        <f t="shared" si="0"/>
        <v>238682</v>
      </c>
      <c r="R11" s="182">
        <f t="shared" si="0"/>
        <v>129075.77599999998</v>
      </c>
      <c r="S11" s="184" t="s">
        <v>173</v>
      </c>
      <c r="T11" s="185"/>
      <c r="U11" s="185"/>
    </row>
    <row r="12" spans="1:22" s="124" customFormat="1" ht="10.050000000000001" customHeight="1" x14ac:dyDescent="0.3">
      <c r="A12" s="196"/>
      <c r="B12" s="194"/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9"/>
      <c r="O12" s="171"/>
      <c r="P12" s="191"/>
      <c r="Q12" s="171"/>
      <c r="R12" s="179"/>
      <c r="S12" s="186"/>
      <c r="T12" s="187"/>
      <c r="U12" s="187"/>
    </row>
    <row r="13" spans="1:22" s="124" customFormat="1" ht="14.4" x14ac:dyDescent="0.3">
      <c r="A13" s="192" t="s">
        <v>174</v>
      </c>
      <c r="B13" s="194">
        <f>SUM(B15:B20)</f>
        <v>706604</v>
      </c>
      <c r="C13" s="171">
        <f>SUM(C15:C20)</f>
        <v>5434</v>
      </c>
      <c r="D13" s="183">
        <f>SUM(D15:D20)</f>
        <v>1975.8899999999999</v>
      </c>
      <c r="E13" s="171">
        <f t="shared" ref="E13:R13" si="2">SUM(E15:E20)</f>
        <v>2404</v>
      </c>
      <c r="F13" s="183">
        <f t="shared" si="2"/>
        <v>1256.289</v>
      </c>
      <c r="G13" s="171">
        <f t="shared" si="2"/>
        <v>9243</v>
      </c>
      <c r="H13" s="183">
        <f t="shared" si="2"/>
        <v>3683.3889999999997</v>
      </c>
      <c r="I13" s="171">
        <f t="shared" si="2"/>
        <v>283118</v>
      </c>
      <c r="J13" s="183">
        <f t="shared" si="2"/>
        <v>295688.67700000003</v>
      </c>
      <c r="K13" s="171">
        <f t="shared" si="2"/>
        <v>48824</v>
      </c>
      <c r="L13" s="183">
        <f t="shared" si="2"/>
        <v>46749.955999999998</v>
      </c>
      <c r="M13" s="171">
        <f t="shared" si="2"/>
        <v>325232</v>
      </c>
      <c r="N13" s="183">
        <f t="shared" si="2"/>
        <v>119026.56</v>
      </c>
      <c r="O13" s="171">
        <f t="shared" ref="O13:P13" si="3">SUM(O15:O20)</f>
        <v>14274</v>
      </c>
      <c r="P13" s="183">
        <f t="shared" si="3"/>
        <v>49479.271000000001</v>
      </c>
      <c r="Q13" s="171">
        <f t="shared" si="2"/>
        <v>18075</v>
      </c>
      <c r="R13" s="183">
        <f t="shared" si="2"/>
        <v>16483.809999999998</v>
      </c>
      <c r="S13" s="188" t="s">
        <v>175</v>
      </c>
      <c r="T13" s="189"/>
      <c r="U13" s="189"/>
      <c r="V13" s="144"/>
    </row>
    <row r="14" spans="1:22" s="124" customFormat="1" ht="14.4" x14ac:dyDescent="0.3">
      <c r="A14" s="192"/>
      <c r="B14" s="194"/>
      <c r="C14" s="171"/>
      <c r="D14" s="183"/>
      <c r="E14" s="171"/>
      <c r="F14" s="183"/>
      <c r="G14" s="171"/>
      <c r="H14" s="183"/>
      <c r="I14" s="171"/>
      <c r="J14" s="183"/>
      <c r="K14" s="171"/>
      <c r="L14" s="183"/>
      <c r="M14" s="171"/>
      <c r="N14" s="183"/>
      <c r="O14" s="171"/>
      <c r="P14" s="183"/>
      <c r="Q14" s="171"/>
      <c r="R14" s="183"/>
      <c r="S14" s="188"/>
      <c r="T14" s="189"/>
      <c r="U14" s="189"/>
      <c r="V14" s="144"/>
    </row>
    <row r="15" spans="1:22" s="124" customFormat="1" ht="14.4" x14ac:dyDescent="0.3">
      <c r="A15" s="129" t="s">
        <v>1</v>
      </c>
      <c r="B15" s="155">
        <f>SUM(C15,E15,G15,I15,K15,M15,O15,Q15)</f>
        <v>182748</v>
      </c>
      <c r="C15" s="130">
        <v>932</v>
      </c>
      <c r="D15" s="131">
        <v>368.6</v>
      </c>
      <c r="E15" s="130">
        <v>510</v>
      </c>
      <c r="F15" s="131">
        <v>195.518</v>
      </c>
      <c r="G15" s="130">
        <v>4613</v>
      </c>
      <c r="H15" s="131">
        <v>1708.434</v>
      </c>
      <c r="I15" s="130">
        <v>25389</v>
      </c>
      <c r="J15" s="131">
        <v>25643.11</v>
      </c>
      <c r="K15" s="130">
        <v>22598</v>
      </c>
      <c r="L15" s="131">
        <v>20061.82</v>
      </c>
      <c r="M15" s="130">
        <v>124665</v>
      </c>
      <c r="N15" s="131">
        <v>50359.65</v>
      </c>
      <c r="O15" s="130">
        <v>1787</v>
      </c>
      <c r="P15" s="131">
        <v>7041.45</v>
      </c>
      <c r="Q15" s="130">
        <v>2254</v>
      </c>
      <c r="R15" s="131">
        <v>5976.21</v>
      </c>
      <c r="S15" s="147" t="s">
        <v>176</v>
      </c>
    </row>
    <row r="16" spans="1:22" s="124" customFormat="1" ht="14.4" x14ac:dyDescent="0.3">
      <c r="A16" s="129" t="s">
        <v>4</v>
      </c>
      <c r="B16" s="155">
        <f t="shared" ref="B16:B20" si="4">SUM(C16,E16,G16,I16,K16,M16,O16,Q16)</f>
        <v>115181</v>
      </c>
      <c r="C16" s="130">
        <v>1993</v>
      </c>
      <c r="D16" s="131">
        <v>760.94500000000005</v>
      </c>
      <c r="E16" s="130">
        <v>900</v>
      </c>
      <c r="F16" s="131">
        <v>342.26</v>
      </c>
      <c r="G16" s="130">
        <v>1936</v>
      </c>
      <c r="H16" s="131">
        <v>663.27</v>
      </c>
      <c r="I16" s="130">
        <v>55382</v>
      </c>
      <c r="J16" s="131">
        <v>70630.019</v>
      </c>
      <c r="K16" s="130">
        <v>7907</v>
      </c>
      <c r="L16" s="131">
        <v>8344</v>
      </c>
      <c r="M16" s="130">
        <v>27043</v>
      </c>
      <c r="N16" s="131">
        <v>11698.087</v>
      </c>
      <c r="O16" s="130">
        <v>6798</v>
      </c>
      <c r="P16" s="131">
        <v>24716.5</v>
      </c>
      <c r="Q16" s="130">
        <v>13222</v>
      </c>
      <c r="R16" s="131">
        <v>8113</v>
      </c>
      <c r="S16" s="147" t="s">
        <v>177</v>
      </c>
    </row>
    <row r="17" spans="1:21" s="124" customFormat="1" ht="14.4" x14ac:dyDescent="0.3">
      <c r="A17" s="129" t="s">
        <v>6</v>
      </c>
      <c r="B17" s="155">
        <f>SUM(C17,E17,G17,I17,K17,M17,O17,Q17)</f>
        <v>323435</v>
      </c>
      <c r="C17" s="130">
        <v>1299</v>
      </c>
      <c r="D17" s="131">
        <v>417.35</v>
      </c>
      <c r="E17" s="130">
        <v>115</v>
      </c>
      <c r="F17" s="131">
        <v>46.46</v>
      </c>
      <c r="G17" s="130">
        <v>2055</v>
      </c>
      <c r="H17" s="131">
        <v>914.51499999999999</v>
      </c>
      <c r="I17" s="130">
        <v>171372</v>
      </c>
      <c r="J17" s="131">
        <v>166985.076</v>
      </c>
      <c r="K17" s="130">
        <v>6705</v>
      </c>
      <c r="L17" s="131">
        <v>5412.5360000000001</v>
      </c>
      <c r="M17" s="130">
        <v>137566</v>
      </c>
      <c r="N17" s="131">
        <v>36689.436000000002</v>
      </c>
      <c r="O17" s="130">
        <v>3308</v>
      </c>
      <c r="P17" s="131">
        <v>8477.0920000000006</v>
      </c>
      <c r="Q17" s="130">
        <v>1015</v>
      </c>
      <c r="R17" s="131">
        <v>631.86</v>
      </c>
      <c r="S17" s="147" t="s">
        <v>178</v>
      </c>
    </row>
    <row r="18" spans="1:21" s="124" customFormat="1" ht="14.4" x14ac:dyDescent="0.3">
      <c r="A18" s="129" t="s">
        <v>9</v>
      </c>
      <c r="B18" s="155">
        <f t="shared" si="4"/>
        <v>69</v>
      </c>
      <c r="C18" s="130">
        <v>52</v>
      </c>
      <c r="D18" s="131">
        <v>15.8</v>
      </c>
      <c r="E18" s="130" t="s">
        <v>282</v>
      </c>
      <c r="F18" s="131" t="s">
        <v>282</v>
      </c>
      <c r="G18" s="130" t="s">
        <v>282</v>
      </c>
      <c r="H18" s="131" t="s">
        <v>282</v>
      </c>
      <c r="I18" s="130" t="s">
        <v>282</v>
      </c>
      <c r="J18" s="131" t="s">
        <v>282</v>
      </c>
      <c r="K18" s="130">
        <v>3</v>
      </c>
      <c r="L18" s="131">
        <v>3.45</v>
      </c>
      <c r="M18" s="130">
        <v>14</v>
      </c>
      <c r="N18" s="131">
        <v>7</v>
      </c>
      <c r="O18" s="130" t="s">
        <v>282</v>
      </c>
      <c r="P18" s="131" t="s">
        <v>282</v>
      </c>
      <c r="Q18" s="130" t="s">
        <v>282</v>
      </c>
      <c r="R18" s="131" t="s">
        <v>282</v>
      </c>
      <c r="S18" s="147" t="s">
        <v>179</v>
      </c>
    </row>
    <row r="19" spans="1:21" s="124" customFormat="1" ht="14.4" x14ac:dyDescent="0.3">
      <c r="A19" s="129" t="s">
        <v>12</v>
      </c>
      <c r="B19" s="155">
        <f t="shared" si="4"/>
        <v>30479</v>
      </c>
      <c r="C19" s="130">
        <v>1093</v>
      </c>
      <c r="D19" s="131">
        <v>389.59800000000001</v>
      </c>
      <c r="E19" s="130">
        <v>820</v>
      </c>
      <c r="F19" s="131">
        <v>648.39099999999996</v>
      </c>
      <c r="G19" s="130">
        <v>492</v>
      </c>
      <c r="H19" s="131">
        <v>290.54000000000002</v>
      </c>
      <c r="I19" s="130">
        <v>12758</v>
      </c>
      <c r="J19" s="131">
        <v>13999.611999999999</v>
      </c>
      <c r="K19" s="130">
        <v>7290</v>
      </c>
      <c r="L19" s="131">
        <v>8370.9</v>
      </c>
      <c r="M19" s="130">
        <v>5809</v>
      </c>
      <c r="N19" s="131">
        <v>3231.616</v>
      </c>
      <c r="O19" s="130">
        <v>1381</v>
      </c>
      <c r="P19" s="131">
        <v>5898.335</v>
      </c>
      <c r="Q19" s="130">
        <v>836</v>
      </c>
      <c r="R19" s="131">
        <v>1231.174</v>
      </c>
      <c r="S19" s="147" t="s">
        <v>180</v>
      </c>
    </row>
    <row r="20" spans="1:21" s="124" customFormat="1" ht="14.4" x14ac:dyDescent="0.3">
      <c r="A20" s="129" t="s">
        <v>14</v>
      </c>
      <c r="B20" s="155">
        <f t="shared" si="4"/>
        <v>54692</v>
      </c>
      <c r="C20" s="130">
        <v>65</v>
      </c>
      <c r="D20" s="131">
        <v>23.597000000000001</v>
      </c>
      <c r="E20" s="130">
        <v>59</v>
      </c>
      <c r="F20" s="131">
        <v>23.66</v>
      </c>
      <c r="G20" s="130">
        <v>147</v>
      </c>
      <c r="H20" s="131">
        <v>106.63</v>
      </c>
      <c r="I20" s="130">
        <v>18217</v>
      </c>
      <c r="J20" s="131">
        <v>18430.86</v>
      </c>
      <c r="K20" s="130">
        <v>4321</v>
      </c>
      <c r="L20" s="131">
        <v>4557.25</v>
      </c>
      <c r="M20" s="130">
        <v>30135</v>
      </c>
      <c r="N20" s="131">
        <v>17040.771000000001</v>
      </c>
      <c r="O20" s="130">
        <v>1000</v>
      </c>
      <c r="P20" s="131">
        <v>3345.8939999999998</v>
      </c>
      <c r="Q20" s="130">
        <v>748</v>
      </c>
      <c r="R20" s="131">
        <v>531.56600000000003</v>
      </c>
      <c r="S20" s="147" t="s">
        <v>181</v>
      </c>
    </row>
    <row r="21" spans="1:21" s="124" customFormat="1" ht="14.4" x14ac:dyDescent="0.3">
      <c r="A21" s="192" t="s">
        <v>182</v>
      </c>
      <c r="B21" s="193">
        <f t="shared" ref="B21:G21" si="5">SUM(B23:B29)</f>
        <v>693954</v>
      </c>
      <c r="C21" s="171">
        <f t="shared" si="5"/>
        <v>30161</v>
      </c>
      <c r="D21" s="171">
        <f>SUM(D23:D29)</f>
        <v>9930.2749999999996</v>
      </c>
      <c r="E21" s="171">
        <f t="shared" si="5"/>
        <v>13963</v>
      </c>
      <c r="F21" s="171">
        <f t="shared" si="5"/>
        <v>4010.3789999999995</v>
      </c>
      <c r="G21" s="171">
        <f t="shared" si="5"/>
        <v>59781</v>
      </c>
      <c r="H21" s="171">
        <f t="shared" ref="H21:R21" si="6">SUM(H23:H29)</f>
        <v>13470.763999999999</v>
      </c>
      <c r="I21" s="171">
        <f t="shared" si="6"/>
        <v>377985</v>
      </c>
      <c r="J21" s="171">
        <f t="shared" si="6"/>
        <v>407335.10399999993</v>
      </c>
      <c r="K21" s="171">
        <f t="shared" si="6"/>
        <v>75951</v>
      </c>
      <c r="L21" s="171">
        <f t="shared" si="6"/>
        <v>79571.660999999993</v>
      </c>
      <c r="M21" s="171">
        <f t="shared" si="6"/>
        <v>45041</v>
      </c>
      <c r="N21" s="179">
        <f t="shared" si="6"/>
        <v>26822.943000000003</v>
      </c>
      <c r="O21" s="171">
        <f t="shared" ref="O21:P21" si="7">SUM(O23:O29)</f>
        <v>42405</v>
      </c>
      <c r="P21" s="191">
        <f t="shared" si="7"/>
        <v>157378.51799999998</v>
      </c>
      <c r="Q21" s="171">
        <f t="shared" si="6"/>
        <v>48667</v>
      </c>
      <c r="R21" s="179">
        <f t="shared" si="6"/>
        <v>28878.662</v>
      </c>
      <c r="S21" s="174" t="s">
        <v>183</v>
      </c>
      <c r="T21" s="175"/>
      <c r="U21" s="175"/>
    </row>
    <row r="22" spans="1:21" s="124" customFormat="1" ht="14.4" x14ac:dyDescent="0.3">
      <c r="A22" s="192"/>
      <c r="B22" s="193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9"/>
      <c r="O22" s="171"/>
      <c r="P22" s="191"/>
      <c r="Q22" s="171"/>
      <c r="R22" s="179"/>
      <c r="S22" s="174"/>
      <c r="T22" s="175"/>
      <c r="U22" s="175"/>
    </row>
    <row r="23" spans="1:21" s="124" customFormat="1" ht="14.4" x14ac:dyDescent="0.3">
      <c r="A23" s="129" t="s">
        <v>16</v>
      </c>
      <c r="B23" s="155">
        <f t="shared" ref="B23:B29" si="8">SUM(C23,E23,G23,I23,K23,M23,O23,Q23)</f>
        <v>122212</v>
      </c>
      <c r="C23" s="130">
        <v>2609</v>
      </c>
      <c r="D23" s="131">
        <v>824.55399999999997</v>
      </c>
      <c r="E23" s="130">
        <v>842</v>
      </c>
      <c r="F23" s="131">
        <v>312.113</v>
      </c>
      <c r="G23" s="130">
        <v>567</v>
      </c>
      <c r="H23" s="131">
        <v>211.12</v>
      </c>
      <c r="I23" s="130">
        <v>74242</v>
      </c>
      <c r="J23" s="131">
        <v>79444.596999999994</v>
      </c>
      <c r="K23" s="130">
        <v>8464</v>
      </c>
      <c r="L23" s="131">
        <v>6357.5039999999999</v>
      </c>
      <c r="M23" s="130">
        <v>10249</v>
      </c>
      <c r="N23" s="131">
        <v>2672.6590000000001</v>
      </c>
      <c r="O23" s="130">
        <v>10928</v>
      </c>
      <c r="P23" s="131">
        <v>51112.462</v>
      </c>
      <c r="Q23" s="130">
        <v>14311</v>
      </c>
      <c r="R23" s="131">
        <v>5831.3559999999998</v>
      </c>
      <c r="S23" s="147" t="s">
        <v>184</v>
      </c>
    </row>
    <row r="24" spans="1:21" s="124" customFormat="1" ht="14.4" x14ac:dyDescent="0.3">
      <c r="A24" s="129" t="s">
        <v>18</v>
      </c>
      <c r="B24" s="155">
        <f t="shared" si="8"/>
        <v>30187</v>
      </c>
      <c r="C24" s="130">
        <v>1133</v>
      </c>
      <c r="D24" s="131">
        <v>323.19400000000002</v>
      </c>
      <c r="E24" s="130">
        <v>146</v>
      </c>
      <c r="F24" s="131">
        <v>56.7</v>
      </c>
      <c r="G24" s="130">
        <v>1526</v>
      </c>
      <c r="H24" s="131">
        <v>762.45</v>
      </c>
      <c r="I24" s="130">
        <v>4394</v>
      </c>
      <c r="J24" s="131">
        <v>4638.7740000000003</v>
      </c>
      <c r="K24" s="130">
        <v>6170</v>
      </c>
      <c r="L24" s="131">
        <v>6543.8</v>
      </c>
      <c r="M24" s="130">
        <v>7685</v>
      </c>
      <c r="N24" s="131">
        <v>2960</v>
      </c>
      <c r="O24" s="130">
        <v>7736</v>
      </c>
      <c r="P24" s="131">
        <v>25815.5</v>
      </c>
      <c r="Q24" s="130">
        <v>1397</v>
      </c>
      <c r="R24" s="131">
        <v>1815.29</v>
      </c>
      <c r="S24" s="147" t="s">
        <v>185</v>
      </c>
    </row>
    <row r="25" spans="1:21" s="124" customFormat="1" ht="14.4" x14ac:dyDescent="0.3">
      <c r="A25" s="129" t="s">
        <v>20</v>
      </c>
      <c r="B25" s="155">
        <f t="shared" si="8"/>
        <v>147310</v>
      </c>
      <c r="C25" s="130">
        <v>12117</v>
      </c>
      <c r="D25" s="131">
        <v>4087.8220000000001</v>
      </c>
      <c r="E25" s="130">
        <v>2687</v>
      </c>
      <c r="F25" s="131">
        <v>803.78</v>
      </c>
      <c r="G25" s="130">
        <v>12567</v>
      </c>
      <c r="H25" s="131">
        <v>3940.37</v>
      </c>
      <c r="I25" s="130">
        <v>92298</v>
      </c>
      <c r="J25" s="131">
        <v>84569.202999999994</v>
      </c>
      <c r="K25" s="130">
        <v>5253</v>
      </c>
      <c r="L25" s="131">
        <v>5496.0730000000003</v>
      </c>
      <c r="M25" s="130">
        <v>3345</v>
      </c>
      <c r="N25" s="131">
        <v>1305.6990000000001</v>
      </c>
      <c r="O25" s="130">
        <v>4054</v>
      </c>
      <c r="P25" s="131">
        <v>11117.1</v>
      </c>
      <c r="Q25" s="130">
        <v>14989</v>
      </c>
      <c r="R25" s="131">
        <v>4726.4800000000005</v>
      </c>
      <c r="S25" s="147" t="s">
        <v>186</v>
      </c>
    </row>
    <row r="26" spans="1:21" s="124" customFormat="1" ht="14.4" x14ac:dyDescent="0.3">
      <c r="A26" s="129" t="s">
        <v>22</v>
      </c>
      <c r="B26" s="155">
        <f t="shared" si="8"/>
        <v>53502</v>
      </c>
      <c r="C26" s="130">
        <v>2460</v>
      </c>
      <c r="D26" s="131">
        <v>1028.0550000000001</v>
      </c>
      <c r="E26" s="130">
        <v>1288</v>
      </c>
      <c r="F26" s="131">
        <v>534.88599999999997</v>
      </c>
      <c r="G26" s="130">
        <v>838</v>
      </c>
      <c r="H26" s="131">
        <v>339.51499999999999</v>
      </c>
      <c r="I26" s="130">
        <v>19726</v>
      </c>
      <c r="J26" s="131">
        <v>25284.99</v>
      </c>
      <c r="K26" s="130">
        <v>16395</v>
      </c>
      <c r="L26" s="131">
        <v>23187.5</v>
      </c>
      <c r="M26" s="130">
        <v>4394</v>
      </c>
      <c r="N26" s="131">
        <v>3072.2</v>
      </c>
      <c r="O26" s="130">
        <v>6644</v>
      </c>
      <c r="P26" s="131">
        <v>28698.5</v>
      </c>
      <c r="Q26" s="130">
        <v>1757</v>
      </c>
      <c r="R26" s="131">
        <v>7609.25</v>
      </c>
      <c r="S26" s="147" t="s">
        <v>187</v>
      </c>
    </row>
    <row r="27" spans="1:21" s="124" customFormat="1" ht="14.4" x14ac:dyDescent="0.3">
      <c r="A27" s="129" t="s">
        <v>24</v>
      </c>
      <c r="B27" s="155">
        <f t="shared" si="8"/>
        <v>60264</v>
      </c>
      <c r="C27" s="130">
        <v>5783</v>
      </c>
      <c r="D27" s="131">
        <v>1869.414</v>
      </c>
      <c r="E27" s="130">
        <v>4063</v>
      </c>
      <c r="F27" s="131">
        <v>1545.836</v>
      </c>
      <c r="G27" s="130">
        <v>4546</v>
      </c>
      <c r="H27" s="131">
        <v>1722.5050000000001</v>
      </c>
      <c r="I27" s="130">
        <v>25395</v>
      </c>
      <c r="J27" s="131">
        <v>34104.5</v>
      </c>
      <c r="K27" s="130">
        <v>6666</v>
      </c>
      <c r="L27" s="131">
        <v>5067.07</v>
      </c>
      <c r="M27" s="130">
        <v>3825</v>
      </c>
      <c r="N27" s="131">
        <v>3047.7950000000001</v>
      </c>
      <c r="O27" s="130">
        <v>5970</v>
      </c>
      <c r="P27" s="131">
        <v>16096.15</v>
      </c>
      <c r="Q27" s="130">
        <v>4016</v>
      </c>
      <c r="R27" s="131">
        <v>1597.58</v>
      </c>
      <c r="S27" s="147" t="s">
        <v>188</v>
      </c>
    </row>
    <row r="28" spans="1:21" s="124" customFormat="1" ht="14.4" x14ac:dyDescent="0.3">
      <c r="A28" s="129" t="s">
        <v>27</v>
      </c>
      <c r="B28" s="155">
        <f t="shared" si="8"/>
        <v>201406</v>
      </c>
      <c r="C28" s="130">
        <v>3600</v>
      </c>
      <c r="D28" s="131">
        <v>1326.5550000000001</v>
      </c>
      <c r="E28" s="130">
        <v>259</v>
      </c>
      <c r="F28" s="131">
        <v>117.2</v>
      </c>
      <c r="G28" s="130">
        <v>3451</v>
      </c>
      <c r="H28" s="131">
        <v>1743.1179999999999</v>
      </c>
      <c r="I28" s="130">
        <v>136512</v>
      </c>
      <c r="J28" s="131">
        <v>174505.11900000001</v>
      </c>
      <c r="K28" s="130">
        <v>29762</v>
      </c>
      <c r="L28" s="131">
        <v>32100.550999999999</v>
      </c>
      <c r="M28" s="130">
        <v>12725</v>
      </c>
      <c r="N28" s="131">
        <v>13300.225</v>
      </c>
      <c r="O28" s="130">
        <v>7023</v>
      </c>
      <c r="P28" s="131">
        <v>24259.756000000001</v>
      </c>
      <c r="Q28" s="130">
        <v>8074</v>
      </c>
      <c r="R28" s="131">
        <v>6549.3249999999998</v>
      </c>
      <c r="S28" s="147" t="s">
        <v>189</v>
      </c>
    </row>
    <row r="29" spans="1:21" s="124" customFormat="1" ht="14.4" x14ac:dyDescent="0.3">
      <c r="A29" s="129" t="s">
        <v>29</v>
      </c>
      <c r="B29" s="155">
        <f t="shared" si="8"/>
        <v>79073</v>
      </c>
      <c r="C29" s="130">
        <v>2459</v>
      </c>
      <c r="D29" s="131">
        <v>470.68099999999998</v>
      </c>
      <c r="E29" s="130">
        <v>4678</v>
      </c>
      <c r="F29" s="131">
        <v>639.86400000000003</v>
      </c>
      <c r="G29" s="130">
        <v>36286</v>
      </c>
      <c r="H29" s="131">
        <v>4751.6859999999997</v>
      </c>
      <c r="I29" s="130">
        <v>25418</v>
      </c>
      <c r="J29" s="131">
        <v>4787.9210000000003</v>
      </c>
      <c r="K29" s="130">
        <v>3241</v>
      </c>
      <c r="L29" s="131">
        <v>819.16300000000001</v>
      </c>
      <c r="M29" s="130">
        <v>2818</v>
      </c>
      <c r="N29" s="131">
        <v>464.36500000000001</v>
      </c>
      <c r="O29" s="130">
        <v>50</v>
      </c>
      <c r="P29" s="131">
        <v>279.05</v>
      </c>
      <c r="Q29" s="130">
        <v>4123</v>
      </c>
      <c r="R29" s="131">
        <v>749.38099999999997</v>
      </c>
      <c r="S29" s="147" t="s">
        <v>190</v>
      </c>
    </row>
    <row r="30" spans="1:21" s="133" customFormat="1" ht="19.95" customHeight="1" x14ac:dyDescent="0.3">
      <c r="A30" s="132" t="s">
        <v>279</v>
      </c>
      <c r="B30" s="156">
        <f>SUM(B31:B34)</f>
        <v>615686</v>
      </c>
      <c r="C30" s="152">
        <f>SUM(C31:C34)</f>
        <v>27307</v>
      </c>
      <c r="D30" s="152">
        <f t="shared" ref="D30:R30" si="9">SUM(D31:D34)</f>
        <v>8854.0849999999991</v>
      </c>
      <c r="E30" s="152">
        <f t="shared" si="9"/>
        <v>7118</v>
      </c>
      <c r="F30" s="152">
        <f t="shared" si="9"/>
        <v>2312.6860000000001</v>
      </c>
      <c r="G30" s="152">
        <f t="shared" si="9"/>
        <v>6886</v>
      </c>
      <c r="H30" s="152">
        <f t="shared" si="9"/>
        <v>2341.2960000000003</v>
      </c>
      <c r="I30" s="152">
        <f t="shared" si="9"/>
        <v>330087</v>
      </c>
      <c r="J30" s="152">
        <f t="shared" si="9"/>
        <v>237325.08899999998</v>
      </c>
      <c r="K30" s="152">
        <f t="shared" si="9"/>
        <v>26804</v>
      </c>
      <c r="L30" s="152">
        <f t="shared" si="9"/>
        <v>17998.638999999999</v>
      </c>
      <c r="M30" s="152">
        <f t="shared" si="9"/>
        <v>175715</v>
      </c>
      <c r="N30" s="153">
        <f t="shared" si="9"/>
        <v>61724.952999999994</v>
      </c>
      <c r="O30" s="152">
        <f t="shared" si="9"/>
        <v>8639</v>
      </c>
      <c r="P30" s="154">
        <f t="shared" si="9"/>
        <v>39423.089999999997</v>
      </c>
      <c r="Q30" s="152">
        <f t="shared" si="9"/>
        <v>33130</v>
      </c>
      <c r="R30" s="153">
        <f t="shared" si="9"/>
        <v>12658.346000000001</v>
      </c>
      <c r="S30" s="148" t="s">
        <v>280</v>
      </c>
    </row>
    <row r="31" spans="1:21" s="124" customFormat="1" ht="14.4" x14ac:dyDescent="0.3">
      <c r="A31" s="129" t="s">
        <v>31</v>
      </c>
      <c r="B31" s="155">
        <f t="shared" ref="B31:B34" si="10">SUM(C31,E31,G31,I31,K31,M31,O31,Q31)</f>
        <v>178932</v>
      </c>
      <c r="C31" s="130">
        <v>8542</v>
      </c>
      <c r="D31" s="131">
        <v>2889.8679999999999</v>
      </c>
      <c r="E31" s="130">
        <v>1063</v>
      </c>
      <c r="F31" s="131">
        <v>359.81599999999997</v>
      </c>
      <c r="G31" s="130">
        <v>711</v>
      </c>
      <c r="H31" s="131">
        <v>290.83600000000001</v>
      </c>
      <c r="I31" s="130">
        <v>103665</v>
      </c>
      <c r="J31" s="131">
        <v>84881.512000000002</v>
      </c>
      <c r="K31" s="130">
        <v>8711</v>
      </c>
      <c r="L31" s="131">
        <v>4783.8509999999997</v>
      </c>
      <c r="M31" s="130">
        <v>37483</v>
      </c>
      <c r="N31" s="131">
        <v>11363.02</v>
      </c>
      <c r="O31" s="130">
        <v>6261</v>
      </c>
      <c r="P31" s="131">
        <v>32530.710999999999</v>
      </c>
      <c r="Q31" s="130">
        <v>12496</v>
      </c>
      <c r="R31" s="131">
        <v>4386.143</v>
      </c>
      <c r="S31" s="147" t="s">
        <v>191</v>
      </c>
    </row>
    <row r="32" spans="1:21" s="124" customFormat="1" ht="14.4" x14ac:dyDescent="0.3">
      <c r="A32" s="129" t="s">
        <v>33</v>
      </c>
      <c r="B32" s="155">
        <f t="shared" si="10"/>
        <v>202826</v>
      </c>
      <c r="C32" s="130">
        <v>17050</v>
      </c>
      <c r="D32" s="131">
        <v>5377.8</v>
      </c>
      <c r="E32" s="130">
        <v>5074</v>
      </c>
      <c r="F32" s="131">
        <v>1660.67</v>
      </c>
      <c r="G32" s="130">
        <v>3564</v>
      </c>
      <c r="H32" s="131">
        <v>1104.92</v>
      </c>
      <c r="I32" s="130">
        <v>124674</v>
      </c>
      <c r="J32" s="131">
        <v>55311.54</v>
      </c>
      <c r="K32" s="130">
        <v>3706</v>
      </c>
      <c r="L32" s="131">
        <v>1635.03</v>
      </c>
      <c r="M32" s="130">
        <v>37000</v>
      </c>
      <c r="N32" s="131">
        <v>12395.51</v>
      </c>
      <c r="O32" s="130">
        <v>744</v>
      </c>
      <c r="P32" s="131">
        <v>1356.779</v>
      </c>
      <c r="Q32" s="130">
        <v>11014</v>
      </c>
      <c r="R32" s="131">
        <v>3600.6880000000001</v>
      </c>
      <c r="S32" s="147" t="s">
        <v>192</v>
      </c>
    </row>
    <row r="33" spans="1:21" s="124" customFormat="1" ht="14.4" x14ac:dyDescent="0.3">
      <c r="A33" s="129" t="s">
        <v>35</v>
      </c>
      <c r="B33" s="155">
        <f t="shared" si="10"/>
        <v>90233</v>
      </c>
      <c r="C33" s="130">
        <v>326</v>
      </c>
      <c r="D33" s="131">
        <v>118.042</v>
      </c>
      <c r="E33" s="130">
        <v>39</v>
      </c>
      <c r="F33" s="131">
        <v>9.6</v>
      </c>
      <c r="G33" s="130">
        <v>351</v>
      </c>
      <c r="H33" s="131">
        <v>106.2</v>
      </c>
      <c r="I33" s="130">
        <v>37701</v>
      </c>
      <c r="J33" s="131">
        <v>27501.49</v>
      </c>
      <c r="K33" s="130">
        <v>9994</v>
      </c>
      <c r="L33" s="131">
        <v>7484.6</v>
      </c>
      <c r="M33" s="130">
        <v>40978</v>
      </c>
      <c r="N33" s="131">
        <v>16436.25</v>
      </c>
      <c r="O33" s="130">
        <v>329</v>
      </c>
      <c r="P33" s="131">
        <v>1110.5999999999999</v>
      </c>
      <c r="Q33" s="130">
        <v>515</v>
      </c>
      <c r="R33" s="131">
        <v>222.27500000000001</v>
      </c>
      <c r="S33" s="147" t="s">
        <v>193</v>
      </c>
    </row>
    <row r="34" spans="1:21" s="124" customFormat="1" ht="14.4" x14ac:dyDescent="0.3">
      <c r="A34" s="129" t="s">
        <v>37</v>
      </c>
      <c r="B34" s="155">
        <f t="shared" si="10"/>
        <v>143695</v>
      </c>
      <c r="C34" s="130">
        <v>1389</v>
      </c>
      <c r="D34" s="131">
        <v>468.375</v>
      </c>
      <c r="E34" s="130">
        <v>942</v>
      </c>
      <c r="F34" s="131">
        <v>282.60000000000002</v>
      </c>
      <c r="G34" s="130">
        <v>2260</v>
      </c>
      <c r="H34" s="131">
        <v>839.34</v>
      </c>
      <c r="I34" s="130">
        <v>64047</v>
      </c>
      <c r="J34" s="131">
        <v>69630.547000000006</v>
      </c>
      <c r="K34" s="130">
        <v>4393</v>
      </c>
      <c r="L34" s="131">
        <v>4095.1579999999999</v>
      </c>
      <c r="M34" s="130">
        <v>60254</v>
      </c>
      <c r="N34" s="131">
        <v>21530.172999999999</v>
      </c>
      <c r="O34" s="130">
        <v>1305</v>
      </c>
      <c r="P34" s="131">
        <v>4425</v>
      </c>
      <c r="Q34" s="130">
        <v>9105</v>
      </c>
      <c r="R34" s="131">
        <v>4449.2400000000007</v>
      </c>
      <c r="S34" s="147" t="s">
        <v>194</v>
      </c>
    </row>
    <row r="35" spans="1:21" s="124" customFormat="1" ht="14.4" x14ac:dyDescent="0.3">
      <c r="A35" s="192" t="s">
        <v>195</v>
      </c>
      <c r="B35" s="193">
        <f>SUM(B37:B40)</f>
        <v>232408</v>
      </c>
      <c r="C35" s="171">
        <f>SUM(C37:C40)</f>
        <v>1719</v>
      </c>
      <c r="D35" s="171">
        <f t="shared" ref="D35:R35" si="11">SUM(D37:D40)</f>
        <v>627.09699999999998</v>
      </c>
      <c r="E35" s="171">
        <f t="shared" si="11"/>
        <v>7933</v>
      </c>
      <c r="F35" s="171">
        <f t="shared" si="11"/>
        <v>3432.48</v>
      </c>
      <c r="G35" s="191">
        <f t="shared" si="11"/>
        <v>935</v>
      </c>
      <c r="H35" s="171">
        <f t="shared" si="11"/>
        <v>399.00799999999998</v>
      </c>
      <c r="I35" s="171">
        <f t="shared" si="11"/>
        <v>76757</v>
      </c>
      <c r="J35" s="171">
        <f t="shared" si="11"/>
        <v>78951.035000000003</v>
      </c>
      <c r="K35" s="171">
        <f t="shared" si="11"/>
        <v>43476</v>
      </c>
      <c r="L35" s="171">
        <f t="shared" si="11"/>
        <v>46693.604999999996</v>
      </c>
      <c r="M35" s="171">
        <f t="shared" si="11"/>
        <v>85737</v>
      </c>
      <c r="N35" s="179">
        <f t="shared" si="11"/>
        <v>33189.173000000003</v>
      </c>
      <c r="O35" s="171">
        <f t="shared" ref="O35:P35" si="12">SUM(O37:O40)</f>
        <v>11267</v>
      </c>
      <c r="P35" s="191">
        <f t="shared" si="12"/>
        <v>11512.203</v>
      </c>
      <c r="Q35" s="171">
        <f t="shared" si="11"/>
        <v>4584</v>
      </c>
      <c r="R35" s="179">
        <f t="shared" si="11"/>
        <v>3358.989</v>
      </c>
      <c r="S35" s="176" t="s">
        <v>196</v>
      </c>
      <c r="T35" s="177"/>
      <c r="U35" s="177"/>
    </row>
    <row r="36" spans="1:21" s="124" customFormat="1" ht="14.4" x14ac:dyDescent="0.3">
      <c r="A36" s="192"/>
      <c r="B36" s="193"/>
      <c r="C36" s="171"/>
      <c r="D36" s="171"/>
      <c r="E36" s="171"/>
      <c r="F36" s="171"/>
      <c r="G36" s="191"/>
      <c r="H36" s="171"/>
      <c r="I36" s="171"/>
      <c r="J36" s="171"/>
      <c r="K36" s="171"/>
      <c r="L36" s="171"/>
      <c r="M36" s="171"/>
      <c r="N36" s="179"/>
      <c r="O36" s="171"/>
      <c r="P36" s="191"/>
      <c r="Q36" s="171"/>
      <c r="R36" s="179"/>
      <c r="S36" s="176"/>
      <c r="T36" s="177"/>
      <c r="U36" s="177"/>
    </row>
    <row r="37" spans="1:21" s="124" customFormat="1" ht="14.4" x14ac:dyDescent="0.3">
      <c r="A37" s="129" t="s">
        <v>39</v>
      </c>
      <c r="B37" s="155">
        <f t="shared" ref="B37:B40" si="13">SUM(C37,E37,G37,I37,K37,M37,O37,Q37)</f>
        <v>72404</v>
      </c>
      <c r="C37" s="130">
        <v>395</v>
      </c>
      <c r="D37" s="131">
        <v>117.626</v>
      </c>
      <c r="E37" s="130">
        <v>312</v>
      </c>
      <c r="F37" s="131">
        <v>112.6</v>
      </c>
      <c r="G37" s="130">
        <v>517</v>
      </c>
      <c r="H37" s="131">
        <v>196.8</v>
      </c>
      <c r="I37" s="130">
        <v>30919</v>
      </c>
      <c r="J37" s="131">
        <v>31820.9</v>
      </c>
      <c r="K37" s="130">
        <v>1786</v>
      </c>
      <c r="L37" s="131">
        <v>2028.65</v>
      </c>
      <c r="M37" s="130">
        <v>37143</v>
      </c>
      <c r="N37" s="131">
        <v>13804.19</v>
      </c>
      <c r="O37" s="130">
        <v>188</v>
      </c>
      <c r="P37" s="131">
        <v>230.72499999999999</v>
      </c>
      <c r="Q37" s="130">
        <v>1144</v>
      </c>
      <c r="R37" s="131">
        <v>1760.3040000000001</v>
      </c>
      <c r="S37" s="147" t="s">
        <v>197</v>
      </c>
    </row>
    <row r="38" spans="1:21" s="124" customFormat="1" ht="14.4" x14ac:dyDescent="0.3">
      <c r="A38" s="129" t="s">
        <v>41</v>
      </c>
      <c r="B38" s="155">
        <f t="shared" si="13"/>
        <v>34591</v>
      </c>
      <c r="C38" s="130">
        <v>224</v>
      </c>
      <c r="D38" s="131">
        <v>90.694999999999993</v>
      </c>
      <c r="E38" s="130">
        <v>1542</v>
      </c>
      <c r="F38" s="131">
        <v>796.55</v>
      </c>
      <c r="G38" s="130">
        <v>42</v>
      </c>
      <c r="H38" s="131">
        <v>24.49</v>
      </c>
      <c r="I38" s="130">
        <v>14737</v>
      </c>
      <c r="J38" s="131">
        <v>14739.75</v>
      </c>
      <c r="K38" s="130">
        <v>9383</v>
      </c>
      <c r="L38" s="131">
        <v>10460.924999999999</v>
      </c>
      <c r="M38" s="130">
        <v>6110</v>
      </c>
      <c r="N38" s="131">
        <v>2507.09</v>
      </c>
      <c r="O38" s="130">
        <v>2122</v>
      </c>
      <c r="P38" s="131">
        <v>1372.93</v>
      </c>
      <c r="Q38" s="130">
        <v>431</v>
      </c>
      <c r="R38" s="131">
        <v>240.36500000000001</v>
      </c>
      <c r="S38" s="147" t="s">
        <v>198</v>
      </c>
    </row>
    <row r="39" spans="1:21" s="124" customFormat="1" ht="14.4" x14ac:dyDescent="0.3">
      <c r="A39" s="129" t="s">
        <v>43</v>
      </c>
      <c r="B39" s="155">
        <f t="shared" si="13"/>
        <v>48021</v>
      </c>
      <c r="C39" s="130">
        <v>113</v>
      </c>
      <c r="D39" s="131">
        <v>45.8</v>
      </c>
      <c r="E39" s="130">
        <v>1699</v>
      </c>
      <c r="F39" s="131">
        <v>704.95</v>
      </c>
      <c r="G39" s="130">
        <v>184</v>
      </c>
      <c r="H39" s="131">
        <v>114.63800000000001</v>
      </c>
      <c r="I39" s="130">
        <v>15021</v>
      </c>
      <c r="J39" s="131">
        <v>14811</v>
      </c>
      <c r="K39" s="130">
        <v>5959</v>
      </c>
      <c r="L39" s="131">
        <v>5573.85</v>
      </c>
      <c r="M39" s="130">
        <v>22577</v>
      </c>
      <c r="N39" s="131">
        <v>9167.36</v>
      </c>
      <c r="O39" s="130">
        <v>32</v>
      </c>
      <c r="P39" s="131">
        <v>19.2</v>
      </c>
      <c r="Q39" s="130">
        <v>2436</v>
      </c>
      <c r="R39" s="131">
        <v>931.95</v>
      </c>
      <c r="S39" s="147" t="s">
        <v>199</v>
      </c>
    </row>
    <row r="40" spans="1:21" s="124" customFormat="1" ht="14.4" x14ac:dyDescent="0.3">
      <c r="A40" s="129" t="s">
        <v>46</v>
      </c>
      <c r="B40" s="155">
        <f t="shared" si="13"/>
        <v>77392</v>
      </c>
      <c r="C40" s="130">
        <v>987</v>
      </c>
      <c r="D40" s="131">
        <v>372.976</v>
      </c>
      <c r="E40" s="130">
        <v>4380</v>
      </c>
      <c r="F40" s="131">
        <v>1818.38</v>
      </c>
      <c r="G40" s="130">
        <v>192</v>
      </c>
      <c r="H40" s="131">
        <v>63.08</v>
      </c>
      <c r="I40" s="130">
        <v>16080</v>
      </c>
      <c r="J40" s="131">
        <v>17579.384999999998</v>
      </c>
      <c r="K40" s="130">
        <v>26348</v>
      </c>
      <c r="L40" s="131">
        <v>28630.18</v>
      </c>
      <c r="M40" s="130">
        <v>19907</v>
      </c>
      <c r="N40" s="131">
        <v>7710.5330000000004</v>
      </c>
      <c r="O40" s="130">
        <v>8925</v>
      </c>
      <c r="P40" s="131">
        <v>9889.348</v>
      </c>
      <c r="Q40" s="130">
        <v>573</v>
      </c>
      <c r="R40" s="131">
        <v>426.37</v>
      </c>
      <c r="S40" s="147" t="s">
        <v>200</v>
      </c>
    </row>
    <row r="41" spans="1:21" s="124" customFormat="1" ht="14.4" x14ac:dyDescent="0.3">
      <c r="A41" s="192" t="s">
        <v>201</v>
      </c>
      <c r="B41" s="193">
        <f>SUM(B43:B47)</f>
        <v>620605</v>
      </c>
      <c r="C41" s="171">
        <f>SUM(C43:C47)</f>
        <v>41154</v>
      </c>
      <c r="D41" s="171">
        <f t="shared" ref="D41:R41" si="14">SUM(D43:D47)</f>
        <v>15022.603999999999</v>
      </c>
      <c r="E41" s="171">
        <f t="shared" si="14"/>
        <v>33613</v>
      </c>
      <c r="F41" s="171">
        <f t="shared" si="14"/>
        <v>13922.889000000001</v>
      </c>
      <c r="G41" s="191">
        <f t="shared" si="14"/>
        <v>31855</v>
      </c>
      <c r="H41" s="171">
        <f t="shared" si="14"/>
        <v>12070.898000000001</v>
      </c>
      <c r="I41" s="171">
        <f t="shared" si="14"/>
        <v>246772</v>
      </c>
      <c r="J41" s="171">
        <f t="shared" si="14"/>
        <v>233924.321</v>
      </c>
      <c r="K41" s="171">
        <f t="shared" si="14"/>
        <v>43268</v>
      </c>
      <c r="L41" s="171">
        <f t="shared" si="14"/>
        <v>40862.927000000003</v>
      </c>
      <c r="M41" s="171">
        <f t="shared" si="14"/>
        <v>137373</v>
      </c>
      <c r="N41" s="179">
        <f t="shared" si="14"/>
        <v>64753.393000000004</v>
      </c>
      <c r="O41" s="171">
        <f t="shared" ref="O41:P41" si="15">SUM(O43:O47)</f>
        <v>33984</v>
      </c>
      <c r="P41" s="191">
        <f t="shared" si="15"/>
        <v>139666.32399999999</v>
      </c>
      <c r="Q41" s="171">
        <f t="shared" si="14"/>
        <v>52586</v>
      </c>
      <c r="R41" s="179">
        <f t="shared" si="14"/>
        <v>28373.120999999999</v>
      </c>
      <c r="S41" s="176" t="s">
        <v>202</v>
      </c>
      <c r="T41" s="177"/>
      <c r="U41" s="177"/>
    </row>
    <row r="42" spans="1:21" s="124" customFormat="1" ht="14.4" x14ac:dyDescent="0.3">
      <c r="A42" s="192"/>
      <c r="B42" s="193"/>
      <c r="C42" s="171"/>
      <c r="D42" s="171"/>
      <c r="E42" s="171"/>
      <c r="F42" s="171"/>
      <c r="G42" s="191"/>
      <c r="H42" s="171"/>
      <c r="I42" s="171"/>
      <c r="J42" s="171"/>
      <c r="K42" s="171"/>
      <c r="L42" s="171"/>
      <c r="M42" s="171"/>
      <c r="N42" s="179"/>
      <c r="O42" s="171"/>
      <c r="P42" s="191"/>
      <c r="Q42" s="171"/>
      <c r="R42" s="179"/>
      <c r="S42" s="176"/>
      <c r="T42" s="177"/>
      <c r="U42" s="177"/>
    </row>
    <row r="43" spans="1:21" s="124" customFormat="1" ht="14.4" x14ac:dyDescent="0.3">
      <c r="A43" s="129" t="s">
        <v>48</v>
      </c>
      <c r="B43" s="155">
        <f t="shared" ref="B43:B47" si="16">SUM(C43,E43,G43,I43,K43,M43,O43,Q43)</f>
        <v>272133</v>
      </c>
      <c r="C43" s="130">
        <v>20612</v>
      </c>
      <c r="D43" s="131">
        <v>8772.0540000000001</v>
      </c>
      <c r="E43" s="130">
        <v>19016</v>
      </c>
      <c r="F43" s="131">
        <v>9090.9989999999998</v>
      </c>
      <c r="G43" s="130">
        <v>16740</v>
      </c>
      <c r="H43" s="131">
        <v>6534.9440000000004</v>
      </c>
      <c r="I43" s="130">
        <v>97015</v>
      </c>
      <c r="J43" s="131">
        <v>89015.036999999997</v>
      </c>
      <c r="K43" s="130">
        <v>19656</v>
      </c>
      <c r="L43" s="131">
        <v>18587.669000000002</v>
      </c>
      <c r="M43" s="130">
        <v>68040</v>
      </c>
      <c r="N43" s="131">
        <v>36161.817000000003</v>
      </c>
      <c r="O43" s="130">
        <v>5935</v>
      </c>
      <c r="P43" s="131">
        <v>21809.042000000001</v>
      </c>
      <c r="Q43" s="130">
        <v>25119</v>
      </c>
      <c r="R43" s="131">
        <v>15258.744999999999</v>
      </c>
      <c r="S43" s="147" t="s">
        <v>203</v>
      </c>
    </row>
    <row r="44" spans="1:21" s="124" customFormat="1" ht="14.4" x14ac:dyDescent="0.3">
      <c r="A44" s="129" t="s">
        <v>51</v>
      </c>
      <c r="B44" s="155">
        <f t="shared" si="16"/>
        <v>126796</v>
      </c>
      <c r="C44" s="130">
        <v>5515</v>
      </c>
      <c r="D44" s="131">
        <v>1901.9829999999999</v>
      </c>
      <c r="E44" s="130">
        <v>3356</v>
      </c>
      <c r="F44" s="131">
        <v>1022.083</v>
      </c>
      <c r="G44" s="130">
        <v>3024</v>
      </c>
      <c r="H44" s="131">
        <v>1114.982</v>
      </c>
      <c r="I44" s="130">
        <v>66595</v>
      </c>
      <c r="J44" s="131">
        <v>59560.712</v>
      </c>
      <c r="K44" s="130">
        <v>5917</v>
      </c>
      <c r="L44" s="131">
        <v>4395.9859999999999</v>
      </c>
      <c r="M44" s="130">
        <v>27392</v>
      </c>
      <c r="N44" s="131">
        <v>7604.2160000000003</v>
      </c>
      <c r="O44" s="130">
        <v>8805</v>
      </c>
      <c r="P44" s="131">
        <v>26005.84</v>
      </c>
      <c r="Q44" s="130">
        <v>6192</v>
      </c>
      <c r="R44" s="131">
        <v>5130.0259999999998</v>
      </c>
      <c r="S44" s="147" t="s">
        <v>204</v>
      </c>
    </row>
    <row r="45" spans="1:21" s="124" customFormat="1" ht="14.4" x14ac:dyDescent="0.3">
      <c r="A45" s="129" t="s">
        <v>53</v>
      </c>
      <c r="B45" s="155">
        <f t="shared" si="16"/>
        <v>66198</v>
      </c>
      <c r="C45" s="130">
        <v>8665</v>
      </c>
      <c r="D45" s="131">
        <v>2244.9740000000002</v>
      </c>
      <c r="E45" s="130">
        <v>3764</v>
      </c>
      <c r="F45" s="131">
        <v>1091.0740000000001</v>
      </c>
      <c r="G45" s="130">
        <v>4902</v>
      </c>
      <c r="H45" s="131">
        <v>1548.76</v>
      </c>
      <c r="I45" s="130">
        <v>17615</v>
      </c>
      <c r="J45" s="131">
        <v>16086.495000000001</v>
      </c>
      <c r="K45" s="130">
        <v>2411</v>
      </c>
      <c r="L45" s="131">
        <v>2741.2620000000002</v>
      </c>
      <c r="M45" s="130">
        <v>9203</v>
      </c>
      <c r="N45" s="131">
        <v>3759.1750000000002</v>
      </c>
      <c r="O45" s="130">
        <v>1207</v>
      </c>
      <c r="P45" s="131">
        <v>1775.5</v>
      </c>
      <c r="Q45" s="130">
        <v>18431</v>
      </c>
      <c r="R45" s="131">
        <v>6722.5899999999992</v>
      </c>
      <c r="S45" s="147" t="s">
        <v>205</v>
      </c>
    </row>
    <row r="46" spans="1:21" s="124" customFormat="1" ht="14.4" x14ac:dyDescent="0.3">
      <c r="A46" s="129" t="s">
        <v>56</v>
      </c>
      <c r="B46" s="155">
        <f t="shared" si="16"/>
        <v>49</v>
      </c>
      <c r="C46" s="130">
        <v>2</v>
      </c>
      <c r="D46" s="131">
        <v>0.4</v>
      </c>
      <c r="E46" s="130">
        <v>2</v>
      </c>
      <c r="F46" s="131">
        <v>0.4</v>
      </c>
      <c r="G46" s="130">
        <v>2</v>
      </c>
      <c r="H46" s="131">
        <v>0.6</v>
      </c>
      <c r="I46" s="130">
        <v>2</v>
      </c>
      <c r="J46" s="131">
        <v>3.6</v>
      </c>
      <c r="K46" s="134" t="s">
        <v>282</v>
      </c>
      <c r="L46" s="131" t="s">
        <v>282</v>
      </c>
      <c r="M46" s="134">
        <v>41</v>
      </c>
      <c r="N46" s="131">
        <v>28.7</v>
      </c>
      <c r="O46" s="130" t="s">
        <v>282</v>
      </c>
      <c r="P46" s="131" t="s">
        <v>282</v>
      </c>
      <c r="Q46" s="134" t="s">
        <v>282</v>
      </c>
      <c r="R46" s="131" t="s">
        <v>282</v>
      </c>
      <c r="S46" s="180" t="s">
        <v>206</v>
      </c>
      <c r="T46" s="181"/>
      <c r="U46" s="181"/>
    </row>
    <row r="47" spans="1:21" s="124" customFormat="1" ht="14.4" x14ac:dyDescent="0.3">
      <c r="A47" s="129" t="s">
        <v>58</v>
      </c>
      <c r="B47" s="155">
        <f t="shared" si="16"/>
        <v>155429</v>
      </c>
      <c r="C47" s="130">
        <v>6360</v>
      </c>
      <c r="D47" s="131">
        <v>2103.1930000000002</v>
      </c>
      <c r="E47" s="130">
        <v>7475</v>
      </c>
      <c r="F47" s="131">
        <v>2718.3330000000001</v>
      </c>
      <c r="G47" s="130">
        <v>7187</v>
      </c>
      <c r="H47" s="131">
        <v>2871.6120000000001</v>
      </c>
      <c r="I47" s="130">
        <v>65545</v>
      </c>
      <c r="J47" s="131">
        <v>69258.476999999999</v>
      </c>
      <c r="K47" s="130">
        <v>15284</v>
      </c>
      <c r="L47" s="131">
        <v>15138.01</v>
      </c>
      <c r="M47" s="130">
        <v>32697</v>
      </c>
      <c r="N47" s="131">
        <v>17199.485000000001</v>
      </c>
      <c r="O47" s="130">
        <v>18037</v>
      </c>
      <c r="P47" s="131">
        <v>90075.941999999995</v>
      </c>
      <c r="Q47" s="130">
        <v>2844</v>
      </c>
      <c r="R47" s="131">
        <v>1261.76</v>
      </c>
      <c r="S47" s="147" t="s">
        <v>207</v>
      </c>
    </row>
    <row r="48" spans="1:21" s="124" customFormat="1" ht="14.4" x14ac:dyDescent="0.3">
      <c r="A48" s="192" t="s">
        <v>208</v>
      </c>
      <c r="B48" s="193">
        <f>SUM(B50:B54)</f>
        <v>361964</v>
      </c>
      <c r="C48" s="171">
        <f>SUM(C50:C54)</f>
        <v>21155</v>
      </c>
      <c r="D48" s="171">
        <f t="shared" ref="D48:R48" si="17">SUM(D50:D54)</f>
        <v>7443.4669999999987</v>
      </c>
      <c r="E48" s="171">
        <f t="shared" si="17"/>
        <v>21944</v>
      </c>
      <c r="F48" s="171">
        <f t="shared" si="17"/>
        <v>12295.529999999999</v>
      </c>
      <c r="G48" s="191">
        <f t="shared" si="17"/>
        <v>42774</v>
      </c>
      <c r="H48" s="171">
        <f t="shared" si="17"/>
        <v>23616.255999999998</v>
      </c>
      <c r="I48" s="171">
        <f t="shared" si="17"/>
        <v>179154</v>
      </c>
      <c r="J48" s="171">
        <f t="shared" si="17"/>
        <v>288433.68700000003</v>
      </c>
      <c r="K48" s="171">
        <f t="shared" si="17"/>
        <v>31569</v>
      </c>
      <c r="L48" s="171">
        <f t="shared" si="17"/>
        <v>42247.170999999995</v>
      </c>
      <c r="M48" s="171">
        <f t="shared" si="17"/>
        <v>33548</v>
      </c>
      <c r="N48" s="179">
        <f t="shared" si="17"/>
        <v>17034.562999999998</v>
      </c>
      <c r="O48" s="171">
        <f t="shared" ref="O48:P48" si="18">SUM(O50:O54)</f>
        <v>13344</v>
      </c>
      <c r="P48" s="191">
        <f t="shared" si="18"/>
        <v>40401.480000000003</v>
      </c>
      <c r="Q48" s="171">
        <f t="shared" si="17"/>
        <v>18476</v>
      </c>
      <c r="R48" s="179">
        <f t="shared" si="17"/>
        <v>9057.0869999999995</v>
      </c>
      <c r="S48" s="172" t="s">
        <v>209</v>
      </c>
      <c r="T48" s="173"/>
      <c r="U48" s="173"/>
    </row>
    <row r="49" spans="1:21" s="124" customFormat="1" ht="14.4" x14ac:dyDescent="0.3">
      <c r="A49" s="192"/>
      <c r="B49" s="193"/>
      <c r="C49" s="171"/>
      <c r="D49" s="171"/>
      <c r="E49" s="171"/>
      <c r="F49" s="171"/>
      <c r="G49" s="191"/>
      <c r="H49" s="171"/>
      <c r="I49" s="171"/>
      <c r="J49" s="171"/>
      <c r="K49" s="171"/>
      <c r="L49" s="171"/>
      <c r="M49" s="171"/>
      <c r="N49" s="179"/>
      <c r="O49" s="171"/>
      <c r="P49" s="191"/>
      <c r="Q49" s="171"/>
      <c r="R49" s="179"/>
      <c r="S49" s="172"/>
      <c r="T49" s="173"/>
      <c r="U49" s="173"/>
    </row>
    <row r="50" spans="1:21" s="124" customFormat="1" ht="14.4" x14ac:dyDescent="0.3">
      <c r="A50" s="129" t="s">
        <v>60</v>
      </c>
      <c r="B50" s="155">
        <f t="shared" ref="B50:B54" si="19">SUM(C50,E50,G50,I50,K50,M50,O50,Q50)</f>
        <v>206171</v>
      </c>
      <c r="C50" s="130">
        <v>9796</v>
      </c>
      <c r="D50" s="131">
        <v>3164.768</v>
      </c>
      <c r="E50" s="130">
        <v>8082</v>
      </c>
      <c r="F50" s="131">
        <v>2676.6579999999999</v>
      </c>
      <c r="G50" s="130">
        <v>28467</v>
      </c>
      <c r="H50" s="131">
        <v>15180.489</v>
      </c>
      <c r="I50" s="130">
        <v>96787</v>
      </c>
      <c r="J50" s="131">
        <v>136034.723</v>
      </c>
      <c r="K50" s="130">
        <v>25886</v>
      </c>
      <c r="L50" s="131">
        <v>34224.288</v>
      </c>
      <c r="M50" s="130">
        <v>19707</v>
      </c>
      <c r="N50" s="131">
        <v>9902.2819999999992</v>
      </c>
      <c r="O50" s="130">
        <v>8615</v>
      </c>
      <c r="P50" s="131">
        <v>22364.473000000002</v>
      </c>
      <c r="Q50" s="130">
        <v>8831</v>
      </c>
      <c r="R50" s="131">
        <v>3846.4759999999997</v>
      </c>
      <c r="S50" s="147" t="s">
        <v>210</v>
      </c>
    </row>
    <row r="51" spans="1:21" s="124" customFormat="1" ht="14.4" x14ac:dyDescent="0.3">
      <c r="A51" s="129" t="s">
        <v>62</v>
      </c>
      <c r="B51" s="155">
        <f t="shared" si="19"/>
        <v>105841</v>
      </c>
      <c r="C51" s="130">
        <v>5572</v>
      </c>
      <c r="D51" s="131">
        <v>2113.799</v>
      </c>
      <c r="E51" s="130">
        <v>6807</v>
      </c>
      <c r="F51" s="131">
        <v>6495.1779999999999</v>
      </c>
      <c r="G51" s="130">
        <v>6677</v>
      </c>
      <c r="H51" s="131">
        <v>4764.45</v>
      </c>
      <c r="I51" s="130">
        <v>71869</v>
      </c>
      <c r="J51" s="131">
        <v>134831.13</v>
      </c>
      <c r="K51" s="130">
        <v>2881</v>
      </c>
      <c r="L51" s="131">
        <v>3883.42</v>
      </c>
      <c r="M51" s="130">
        <v>1013</v>
      </c>
      <c r="N51" s="131">
        <v>783.58100000000002</v>
      </c>
      <c r="O51" s="130">
        <v>3487</v>
      </c>
      <c r="P51" s="131">
        <v>15460.795</v>
      </c>
      <c r="Q51" s="130">
        <v>7535</v>
      </c>
      <c r="R51" s="131">
        <v>3823.8510000000001</v>
      </c>
      <c r="S51" s="147" t="s">
        <v>211</v>
      </c>
    </row>
    <row r="52" spans="1:21" s="124" customFormat="1" ht="14.4" x14ac:dyDescent="0.3">
      <c r="A52" s="129" t="s">
        <v>64</v>
      </c>
      <c r="B52" s="155">
        <f t="shared" si="19"/>
        <v>24760</v>
      </c>
      <c r="C52" s="130">
        <v>4410</v>
      </c>
      <c r="D52" s="131">
        <v>1781.154</v>
      </c>
      <c r="E52" s="130">
        <v>3799</v>
      </c>
      <c r="F52" s="131">
        <v>1589.85</v>
      </c>
      <c r="G52" s="130">
        <v>5134</v>
      </c>
      <c r="H52" s="131">
        <v>2316.61</v>
      </c>
      <c r="I52" s="130">
        <v>3151</v>
      </c>
      <c r="J52" s="131">
        <v>2903.84</v>
      </c>
      <c r="K52" s="130">
        <v>1793</v>
      </c>
      <c r="L52" s="131">
        <v>1082.895</v>
      </c>
      <c r="M52" s="130">
        <v>4002</v>
      </c>
      <c r="N52" s="131">
        <v>2765.32</v>
      </c>
      <c r="O52" s="130">
        <v>1028</v>
      </c>
      <c r="P52" s="131">
        <v>1840.2539999999999</v>
      </c>
      <c r="Q52" s="130">
        <v>1443</v>
      </c>
      <c r="R52" s="131">
        <v>776.06</v>
      </c>
      <c r="S52" s="147" t="s">
        <v>212</v>
      </c>
    </row>
    <row r="53" spans="1:21" s="124" customFormat="1" ht="14.4" x14ac:dyDescent="0.3">
      <c r="A53" s="129" t="s">
        <v>67</v>
      </c>
      <c r="B53" s="155">
        <f t="shared" si="19"/>
        <v>5170</v>
      </c>
      <c r="C53" s="130">
        <v>9</v>
      </c>
      <c r="D53" s="131">
        <v>3.9</v>
      </c>
      <c r="E53" s="130">
        <v>731</v>
      </c>
      <c r="F53" s="131">
        <v>890.505</v>
      </c>
      <c r="G53" s="130">
        <v>245</v>
      </c>
      <c r="H53" s="131">
        <v>303.27999999999997</v>
      </c>
      <c r="I53" s="130">
        <v>705</v>
      </c>
      <c r="J53" s="131">
        <v>1007.745</v>
      </c>
      <c r="K53" s="130">
        <v>505</v>
      </c>
      <c r="L53" s="131">
        <v>683.18799999999999</v>
      </c>
      <c r="M53" s="130">
        <v>2958</v>
      </c>
      <c r="N53" s="131">
        <v>660.36599999999999</v>
      </c>
      <c r="O53" s="130">
        <v>17</v>
      </c>
      <c r="P53" s="131">
        <v>22.498000000000001</v>
      </c>
      <c r="Q53" s="130" t="s">
        <v>282</v>
      </c>
      <c r="R53" s="131" t="s">
        <v>282</v>
      </c>
      <c r="S53" s="147" t="s">
        <v>213</v>
      </c>
    </row>
    <row r="54" spans="1:21" s="124" customFormat="1" ht="14.4" x14ac:dyDescent="0.3">
      <c r="A54" s="129" t="s">
        <v>69</v>
      </c>
      <c r="B54" s="155">
        <f t="shared" si="19"/>
        <v>20022</v>
      </c>
      <c r="C54" s="130">
        <v>1368</v>
      </c>
      <c r="D54" s="131">
        <v>379.846</v>
      </c>
      <c r="E54" s="130">
        <v>2525</v>
      </c>
      <c r="F54" s="131">
        <v>643.33900000000006</v>
      </c>
      <c r="G54" s="130">
        <v>2251</v>
      </c>
      <c r="H54" s="131">
        <v>1051.4269999999999</v>
      </c>
      <c r="I54" s="130">
        <v>6642</v>
      </c>
      <c r="J54" s="131">
        <v>13656.249</v>
      </c>
      <c r="K54" s="130">
        <v>504</v>
      </c>
      <c r="L54" s="131">
        <v>2373.38</v>
      </c>
      <c r="M54" s="130">
        <v>5868</v>
      </c>
      <c r="N54" s="131">
        <v>2923.0140000000001</v>
      </c>
      <c r="O54" s="130">
        <v>197</v>
      </c>
      <c r="P54" s="131">
        <v>713.46</v>
      </c>
      <c r="Q54" s="130">
        <v>667</v>
      </c>
      <c r="R54" s="131">
        <v>610.70000000000005</v>
      </c>
      <c r="S54" s="147" t="s">
        <v>214</v>
      </c>
    </row>
    <row r="55" spans="1:21" s="124" customFormat="1" ht="14.4" x14ac:dyDescent="0.3">
      <c r="A55" s="192" t="s">
        <v>215</v>
      </c>
      <c r="B55" s="193">
        <f>SUM(B57:B61)</f>
        <v>42484</v>
      </c>
      <c r="C55" s="171">
        <f>SUM(C57:C61)</f>
        <v>4106</v>
      </c>
      <c r="D55" s="171">
        <f t="shared" ref="D55:R55" si="20">SUM(D57:D61)</f>
        <v>1944.538</v>
      </c>
      <c r="E55" s="171">
        <f t="shared" si="20"/>
        <v>14790</v>
      </c>
      <c r="F55" s="171">
        <f t="shared" si="20"/>
        <v>7489.9389999999994</v>
      </c>
      <c r="G55" s="191">
        <f t="shared" si="20"/>
        <v>6065</v>
      </c>
      <c r="H55" s="171">
        <f t="shared" si="20"/>
        <v>2740.3689999999997</v>
      </c>
      <c r="I55" s="171">
        <f t="shared" si="20"/>
        <v>2531</v>
      </c>
      <c r="J55" s="171">
        <f t="shared" si="20"/>
        <v>1443.566</v>
      </c>
      <c r="K55" s="171">
        <f t="shared" si="20"/>
        <v>1838</v>
      </c>
      <c r="L55" s="171">
        <f t="shared" si="20"/>
        <v>893.33600000000001</v>
      </c>
      <c r="M55" s="171">
        <f t="shared" si="20"/>
        <v>12320</v>
      </c>
      <c r="N55" s="179">
        <f t="shared" si="20"/>
        <v>5883.8499999999995</v>
      </c>
      <c r="O55" s="171">
        <f t="shared" ref="O55:P55" si="21">SUM(O57:O61)</f>
        <v>41</v>
      </c>
      <c r="P55" s="191">
        <f t="shared" si="21"/>
        <v>64.599999999999994</v>
      </c>
      <c r="Q55" s="171">
        <f t="shared" si="20"/>
        <v>793</v>
      </c>
      <c r="R55" s="179">
        <f t="shared" si="20"/>
        <v>277.84699999999998</v>
      </c>
      <c r="S55" s="176" t="s">
        <v>216</v>
      </c>
      <c r="T55" s="177"/>
      <c r="U55" s="177"/>
    </row>
    <row r="56" spans="1:21" s="124" customFormat="1" ht="14.4" x14ac:dyDescent="0.3">
      <c r="A56" s="192"/>
      <c r="B56" s="193"/>
      <c r="C56" s="171"/>
      <c r="D56" s="171"/>
      <c r="E56" s="171"/>
      <c r="F56" s="171"/>
      <c r="G56" s="191"/>
      <c r="H56" s="171"/>
      <c r="I56" s="171"/>
      <c r="J56" s="171"/>
      <c r="K56" s="171"/>
      <c r="L56" s="171"/>
      <c r="M56" s="171"/>
      <c r="N56" s="179"/>
      <c r="O56" s="171"/>
      <c r="P56" s="191"/>
      <c r="Q56" s="171"/>
      <c r="R56" s="179"/>
      <c r="S56" s="176"/>
      <c r="T56" s="177"/>
      <c r="U56" s="177"/>
    </row>
    <row r="57" spans="1:21" s="124" customFormat="1" ht="14.4" x14ac:dyDescent="0.3">
      <c r="A57" s="129" t="s">
        <v>71</v>
      </c>
      <c r="B57" s="155">
        <f t="shared" ref="B57:B61" si="22">SUM(C57,E57,G57,I57,K57,M57,O57,Q57)</f>
        <v>589</v>
      </c>
      <c r="C57" s="130">
        <v>1</v>
      </c>
      <c r="D57" s="131">
        <v>0.23</v>
      </c>
      <c r="E57" s="130">
        <v>32</v>
      </c>
      <c r="F57" s="131">
        <v>8.0399999999999991</v>
      </c>
      <c r="G57" s="130">
        <v>5</v>
      </c>
      <c r="H57" s="131">
        <v>4.25</v>
      </c>
      <c r="I57" s="130">
        <v>259</v>
      </c>
      <c r="J57" s="131">
        <v>251.98</v>
      </c>
      <c r="K57" s="130">
        <v>185</v>
      </c>
      <c r="L57" s="131">
        <v>183.57499999999999</v>
      </c>
      <c r="M57" s="130">
        <v>33</v>
      </c>
      <c r="N57" s="131">
        <v>14.85</v>
      </c>
      <c r="O57" s="130">
        <v>31</v>
      </c>
      <c r="P57" s="131">
        <v>52.6</v>
      </c>
      <c r="Q57" s="130">
        <v>43</v>
      </c>
      <c r="R57" s="131">
        <v>38.04</v>
      </c>
      <c r="S57" s="147" t="s">
        <v>217</v>
      </c>
    </row>
    <row r="58" spans="1:21" s="124" customFormat="1" ht="14.4" x14ac:dyDescent="0.3">
      <c r="A58" s="129" t="s">
        <v>74</v>
      </c>
      <c r="B58" s="155">
        <f t="shared" si="22"/>
        <v>15790</v>
      </c>
      <c r="C58" s="130">
        <v>3230</v>
      </c>
      <c r="D58" s="131">
        <v>1598.402</v>
      </c>
      <c r="E58" s="130">
        <v>8434</v>
      </c>
      <c r="F58" s="131">
        <v>5033.3999999999996</v>
      </c>
      <c r="G58" s="130">
        <v>1778</v>
      </c>
      <c r="H58" s="131">
        <v>1001.3</v>
      </c>
      <c r="I58" s="130">
        <v>135</v>
      </c>
      <c r="J58" s="131">
        <v>79.8</v>
      </c>
      <c r="K58" s="130">
        <v>36</v>
      </c>
      <c r="L58" s="131">
        <v>21.2</v>
      </c>
      <c r="M58" s="130">
        <v>2124</v>
      </c>
      <c r="N58" s="131">
        <v>1138.0999999999999</v>
      </c>
      <c r="O58" s="130" t="s">
        <v>282</v>
      </c>
      <c r="P58" s="131" t="s">
        <v>282</v>
      </c>
      <c r="Q58" s="130">
        <v>53</v>
      </c>
      <c r="R58" s="131">
        <v>31.5</v>
      </c>
      <c r="S58" s="147" t="s">
        <v>218</v>
      </c>
    </row>
    <row r="59" spans="1:21" s="124" customFormat="1" ht="14.4" x14ac:dyDescent="0.3">
      <c r="A59" s="129" t="s">
        <v>76</v>
      </c>
      <c r="B59" s="155">
        <f t="shared" si="22"/>
        <v>210</v>
      </c>
      <c r="C59" s="130" t="s">
        <v>282</v>
      </c>
      <c r="D59" s="131" t="s">
        <v>282</v>
      </c>
      <c r="E59" s="130">
        <v>24</v>
      </c>
      <c r="F59" s="131">
        <v>3</v>
      </c>
      <c r="G59" s="130">
        <v>55</v>
      </c>
      <c r="H59" s="131">
        <v>13.75</v>
      </c>
      <c r="I59" s="134">
        <v>2</v>
      </c>
      <c r="J59" s="131">
        <v>0.7</v>
      </c>
      <c r="K59" s="134" t="s">
        <v>282</v>
      </c>
      <c r="L59" s="131" t="s">
        <v>282</v>
      </c>
      <c r="M59" s="130">
        <v>129</v>
      </c>
      <c r="N59" s="131">
        <v>23.01</v>
      </c>
      <c r="O59" s="130" t="s">
        <v>282</v>
      </c>
      <c r="P59" s="131" t="s">
        <v>282</v>
      </c>
      <c r="Q59" s="130" t="s">
        <v>282</v>
      </c>
      <c r="R59" s="131" t="s">
        <v>282</v>
      </c>
      <c r="S59" s="147" t="s">
        <v>219</v>
      </c>
    </row>
    <row r="60" spans="1:21" s="124" customFormat="1" ht="14.4" x14ac:dyDescent="0.3">
      <c r="A60" s="129" t="s">
        <v>79</v>
      </c>
      <c r="B60" s="155">
        <f t="shared" si="22"/>
        <v>25126</v>
      </c>
      <c r="C60" s="130">
        <v>870</v>
      </c>
      <c r="D60" s="131">
        <v>344.40600000000001</v>
      </c>
      <c r="E60" s="130">
        <v>6092</v>
      </c>
      <c r="F60" s="131">
        <v>2367.6990000000001</v>
      </c>
      <c r="G60" s="130">
        <v>4209</v>
      </c>
      <c r="H60" s="131">
        <v>1712.069</v>
      </c>
      <c r="I60" s="130">
        <v>2057</v>
      </c>
      <c r="J60" s="131">
        <v>1070.0360000000001</v>
      </c>
      <c r="K60" s="130">
        <v>1564</v>
      </c>
      <c r="L60" s="131">
        <v>657.86099999999999</v>
      </c>
      <c r="M60" s="134">
        <v>9627</v>
      </c>
      <c r="N60" s="131">
        <v>4503.6899999999996</v>
      </c>
      <c r="O60" s="130">
        <v>10</v>
      </c>
      <c r="P60" s="131">
        <v>12</v>
      </c>
      <c r="Q60" s="130">
        <v>697</v>
      </c>
      <c r="R60" s="131">
        <v>208.30699999999999</v>
      </c>
      <c r="S60" s="147" t="s">
        <v>220</v>
      </c>
    </row>
    <row r="61" spans="1:21" s="124" customFormat="1" ht="14.4" x14ac:dyDescent="0.3">
      <c r="A61" s="129" t="s">
        <v>81</v>
      </c>
      <c r="B61" s="155">
        <f t="shared" si="22"/>
        <v>769</v>
      </c>
      <c r="C61" s="134">
        <v>5</v>
      </c>
      <c r="D61" s="131">
        <v>1.5</v>
      </c>
      <c r="E61" s="130">
        <v>208</v>
      </c>
      <c r="F61" s="131">
        <v>77.8</v>
      </c>
      <c r="G61" s="130">
        <v>18</v>
      </c>
      <c r="H61" s="131">
        <v>9</v>
      </c>
      <c r="I61" s="130">
        <v>78</v>
      </c>
      <c r="J61" s="131">
        <v>41.05</v>
      </c>
      <c r="K61" s="130">
        <v>53</v>
      </c>
      <c r="L61" s="131">
        <v>30.7</v>
      </c>
      <c r="M61" s="130">
        <v>407</v>
      </c>
      <c r="N61" s="131">
        <v>204.2</v>
      </c>
      <c r="O61" s="130" t="s">
        <v>282</v>
      </c>
      <c r="P61" s="131" t="s">
        <v>282</v>
      </c>
      <c r="Q61" s="134" t="s">
        <v>282</v>
      </c>
      <c r="R61" s="131" t="s">
        <v>282</v>
      </c>
      <c r="S61" s="147" t="s">
        <v>221</v>
      </c>
    </row>
    <row r="62" spans="1:21" s="124" customFormat="1" ht="14.4" x14ac:dyDescent="0.3">
      <c r="A62" s="192" t="s">
        <v>222</v>
      </c>
      <c r="B62" s="193">
        <f>SUM(B64:B66)</f>
        <v>687576</v>
      </c>
      <c r="C62" s="171">
        <f>SUM(C64:C66)</f>
        <v>28852</v>
      </c>
      <c r="D62" s="171">
        <f t="shared" ref="D62:R62" si="23">SUM(D64:D66)</f>
        <v>9399.5540000000001</v>
      </c>
      <c r="E62" s="171">
        <f t="shared" si="23"/>
        <v>130082</v>
      </c>
      <c r="F62" s="171">
        <f t="shared" si="23"/>
        <v>44465.085999999996</v>
      </c>
      <c r="G62" s="191">
        <f t="shared" si="23"/>
        <v>51584</v>
      </c>
      <c r="H62" s="171">
        <f t="shared" si="23"/>
        <v>19736.235000000001</v>
      </c>
      <c r="I62" s="171">
        <f t="shared" si="23"/>
        <v>155555</v>
      </c>
      <c r="J62" s="171">
        <f t="shared" si="23"/>
        <v>183867.79700000002</v>
      </c>
      <c r="K62" s="171">
        <f t="shared" si="23"/>
        <v>121469</v>
      </c>
      <c r="L62" s="171">
        <f t="shared" si="23"/>
        <v>137608.59700000001</v>
      </c>
      <c r="M62" s="171">
        <f t="shared" si="23"/>
        <v>160659</v>
      </c>
      <c r="N62" s="179">
        <f t="shared" si="23"/>
        <v>63230.723999999995</v>
      </c>
      <c r="O62" s="171">
        <f t="shared" ref="O62:P62" si="24">SUM(O64:O66)</f>
        <v>8151</v>
      </c>
      <c r="P62" s="191">
        <f t="shared" si="24"/>
        <v>30361.359</v>
      </c>
      <c r="Q62" s="171">
        <f t="shared" si="23"/>
        <v>31224</v>
      </c>
      <c r="R62" s="179">
        <f t="shared" si="23"/>
        <v>14767.415999999999</v>
      </c>
      <c r="S62" s="172" t="s">
        <v>223</v>
      </c>
      <c r="T62" s="173"/>
      <c r="U62" s="173"/>
    </row>
    <row r="63" spans="1:21" s="124" customFormat="1" ht="14.4" x14ac:dyDescent="0.3">
      <c r="A63" s="192"/>
      <c r="B63" s="193"/>
      <c r="C63" s="171"/>
      <c r="D63" s="171"/>
      <c r="E63" s="171"/>
      <c r="F63" s="171"/>
      <c r="G63" s="191"/>
      <c r="H63" s="171"/>
      <c r="I63" s="171"/>
      <c r="J63" s="171"/>
      <c r="K63" s="171"/>
      <c r="L63" s="171"/>
      <c r="M63" s="171"/>
      <c r="N63" s="179"/>
      <c r="O63" s="171"/>
      <c r="P63" s="191"/>
      <c r="Q63" s="171"/>
      <c r="R63" s="179"/>
      <c r="S63" s="172"/>
      <c r="T63" s="173"/>
      <c r="U63" s="173"/>
    </row>
    <row r="64" spans="1:21" s="124" customFormat="1" ht="14.4" x14ac:dyDescent="0.3">
      <c r="A64" s="129" t="s">
        <v>83</v>
      </c>
      <c r="B64" s="155">
        <f t="shared" ref="B64:B66" si="25">SUM(C64,E64,G64,I64,K64,M64,O64,Q64)</f>
        <v>154129</v>
      </c>
      <c r="C64" s="130">
        <v>12499</v>
      </c>
      <c r="D64" s="131">
        <v>4609.424</v>
      </c>
      <c r="E64" s="130">
        <v>17257</v>
      </c>
      <c r="F64" s="131">
        <v>5557.7460000000001</v>
      </c>
      <c r="G64" s="130">
        <v>21316</v>
      </c>
      <c r="H64" s="131">
        <v>5605.14</v>
      </c>
      <c r="I64" s="130">
        <v>9911</v>
      </c>
      <c r="J64" s="131">
        <v>10413.07</v>
      </c>
      <c r="K64" s="130">
        <v>16878</v>
      </c>
      <c r="L64" s="131">
        <v>12799.094999999999</v>
      </c>
      <c r="M64" s="130">
        <v>66240</v>
      </c>
      <c r="N64" s="131">
        <v>21005.778999999999</v>
      </c>
      <c r="O64" s="130">
        <v>1561</v>
      </c>
      <c r="P64" s="131">
        <v>6478.56</v>
      </c>
      <c r="Q64" s="130">
        <v>8467</v>
      </c>
      <c r="R64" s="131">
        <v>2602.8999999999996</v>
      </c>
      <c r="S64" s="147" t="s">
        <v>224</v>
      </c>
    </row>
    <row r="65" spans="1:22" s="124" customFormat="1" ht="14.4" x14ac:dyDescent="0.3">
      <c r="A65" s="129" t="s">
        <v>85</v>
      </c>
      <c r="B65" s="155">
        <f t="shared" si="25"/>
        <v>319402</v>
      </c>
      <c r="C65" s="130">
        <v>2692</v>
      </c>
      <c r="D65" s="131">
        <v>955.48</v>
      </c>
      <c r="E65" s="130">
        <v>47349</v>
      </c>
      <c r="F65" s="131">
        <v>17258.88</v>
      </c>
      <c r="G65" s="130">
        <v>10713</v>
      </c>
      <c r="H65" s="131">
        <v>4034.8850000000002</v>
      </c>
      <c r="I65" s="130">
        <v>131837</v>
      </c>
      <c r="J65" s="131">
        <v>154005.83300000001</v>
      </c>
      <c r="K65" s="130">
        <v>53966</v>
      </c>
      <c r="L65" s="131">
        <v>55297.002</v>
      </c>
      <c r="M65" s="130">
        <v>57331</v>
      </c>
      <c r="N65" s="131">
        <v>30398.044999999998</v>
      </c>
      <c r="O65" s="130">
        <v>3803</v>
      </c>
      <c r="P65" s="131">
        <v>13451.499</v>
      </c>
      <c r="Q65" s="130">
        <v>11711</v>
      </c>
      <c r="R65" s="131">
        <v>6670.866</v>
      </c>
      <c r="S65" s="180" t="s">
        <v>225</v>
      </c>
      <c r="T65" s="181"/>
      <c r="U65" s="181"/>
    </row>
    <row r="66" spans="1:22" s="124" customFormat="1" ht="14.4" x14ac:dyDescent="0.3">
      <c r="A66" s="129" t="s">
        <v>88</v>
      </c>
      <c r="B66" s="155">
        <f t="shared" si="25"/>
        <v>214045</v>
      </c>
      <c r="C66" s="130">
        <v>13661</v>
      </c>
      <c r="D66" s="131">
        <v>3834.65</v>
      </c>
      <c r="E66" s="130">
        <v>65476</v>
      </c>
      <c r="F66" s="131">
        <v>21648.46</v>
      </c>
      <c r="G66" s="130">
        <v>19555</v>
      </c>
      <c r="H66" s="131">
        <v>10096.209999999999</v>
      </c>
      <c r="I66" s="130">
        <v>13807</v>
      </c>
      <c r="J66" s="131">
        <v>19448.894</v>
      </c>
      <c r="K66" s="130">
        <v>50625</v>
      </c>
      <c r="L66" s="131">
        <v>69512.5</v>
      </c>
      <c r="M66" s="130">
        <v>37088</v>
      </c>
      <c r="N66" s="131">
        <v>11826.9</v>
      </c>
      <c r="O66" s="130">
        <v>2787</v>
      </c>
      <c r="P66" s="131">
        <v>10431.299999999999</v>
      </c>
      <c r="Q66" s="130">
        <v>11046</v>
      </c>
      <c r="R66" s="131">
        <v>5493.65</v>
      </c>
      <c r="S66" s="147" t="s">
        <v>226</v>
      </c>
    </row>
    <row r="67" spans="1:22" s="124" customFormat="1" ht="14.4" x14ac:dyDescent="0.3">
      <c r="A67" s="192" t="s">
        <v>227</v>
      </c>
      <c r="B67" s="193">
        <f>SUM(B69:B73)</f>
        <v>138532</v>
      </c>
      <c r="C67" s="171">
        <f>SUM(C69:C73)</f>
        <v>21648</v>
      </c>
      <c r="D67" s="171">
        <f t="shared" ref="D67:R67" si="26">SUM(D69:D73)</f>
        <v>8326.728000000001</v>
      </c>
      <c r="E67" s="171">
        <f t="shared" si="26"/>
        <v>25665</v>
      </c>
      <c r="F67" s="171">
        <f t="shared" si="26"/>
        <v>10427.024000000001</v>
      </c>
      <c r="G67" s="191">
        <f t="shared" si="26"/>
        <v>18010</v>
      </c>
      <c r="H67" s="171">
        <f t="shared" si="26"/>
        <v>8307.5780000000013</v>
      </c>
      <c r="I67" s="171">
        <f t="shared" si="26"/>
        <v>7836</v>
      </c>
      <c r="J67" s="171">
        <f t="shared" si="26"/>
        <v>7491.5969999999998</v>
      </c>
      <c r="K67" s="171">
        <f t="shared" si="26"/>
        <v>15418</v>
      </c>
      <c r="L67" s="171">
        <f t="shared" si="26"/>
        <v>16826.550000000003</v>
      </c>
      <c r="M67" s="171">
        <f t="shared" si="26"/>
        <v>36849</v>
      </c>
      <c r="N67" s="179">
        <f t="shared" si="26"/>
        <v>13555.244999999999</v>
      </c>
      <c r="O67" s="171">
        <f t="shared" ref="O67:P67" si="27">SUM(O69:O73)</f>
        <v>2077</v>
      </c>
      <c r="P67" s="191">
        <f t="shared" si="27"/>
        <v>4435.7259999999997</v>
      </c>
      <c r="Q67" s="171">
        <f t="shared" si="26"/>
        <v>11029</v>
      </c>
      <c r="R67" s="179">
        <f t="shared" si="26"/>
        <v>6195.3940000000002</v>
      </c>
      <c r="S67" s="172" t="s">
        <v>228</v>
      </c>
      <c r="T67" s="173"/>
      <c r="U67" s="173"/>
    </row>
    <row r="68" spans="1:22" s="124" customFormat="1" ht="14.4" x14ac:dyDescent="0.3">
      <c r="A68" s="192"/>
      <c r="B68" s="193"/>
      <c r="C68" s="171"/>
      <c r="D68" s="171"/>
      <c r="E68" s="171"/>
      <c r="F68" s="171"/>
      <c r="G68" s="191"/>
      <c r="H68" s="171"/>
      <c r="I68" s="171"/>
      <c r="J68" s="171"/>
      <c r="K68" s="171"/>
      <c r="L68" s="171"/>
      <c r="M68" s="171"/>
      <c r="N68" s="179"/>
      <c r="O68" s="171"/>
      <c r="P68" s="191"/>
      <c r="Q68" s="171"/>
      <c r="R68" s="179"/>
      <c r="S68" s="172"/>
      <c r="T68" s="173"/>
      <c r="U68" s="173"/>
    </row>
    <row r="69" spans="1:22" s="124" customFormat="1" ht="14.4" x14ac:dyDescent="0.3">
      <c r="A69" s="129" t="s">
        <v>90</v>
      </c>
      <c r="B69" s="155">
        <f t="shared" ref="B69:B73" si="28">SUM(C69,E69,G69,I69,K69,M69,O69,Q69)</f>
        <v>52234</v>
      </c>
      <c r="C69" s="130">
        <v>10793</v>
      </c>
      <c r="D69" s="131">
        <v>4494.7380000000003</v>
      </c>
      <c r="E69" s="130">
        <v>8391</v>
      </c>
      <c r="F69" s="131">
        <v>3192.87</v>
      </c>
      <c r="G69" s="130">
        <v>7201</v>
      </c>
      <c r="H69" s="131">
        <v>3576.24</v>
      </c>
      <c r="I69" s="130">
        <v>2551</v>
      </c>
      <c r="J69" s="131">
        <v>1974.66</v>
      </c>
      <c r="K69" s="130">
        <v>2818</v>
      </c>
      <c r="L69" s="131">
        <v>2140.38</v>
      </c>
      <c r="M69" s="130">
        <v>12865</v>
      </c>
      <c r="N69" s="131">
        <v>4797.7489999999998</v>
      </c>
      <c r="O69" s="130">
        <v>1202</v>
      </c>
      <c r="P69" s="131">
        <v>2918.9079999999999</v>
      </c>
      <c r="Q69" s="130">
        <v>6413</v>
      </c>
      <c r="R69" s="131">
        <v>3672.82</v>
      </c>
      <c r="S69" s="147" t="s">
        <v>229</v>
      </c>
    </row>
    <row r="70" spans="1:22" s="124" customFormat="1" ht="14.4" x14ac:dyDescent="0.3">
      <c r="A70" s="129" t="s">
        <v>92</v>
      </c>
      <c r="B70" s="155">
        <f t="shared" si="28"/>
        <v>20416</v>
      </c>
      <c r="C70" s="130">
        <v>5635</v>
      </c>
      <c r="D70" s="131">
        <v>1834.338</v>
      </c>
      <c r="E70" s="130">
        <v>8734</v>
      </c>
      <c r="F70" s="131">
        <v>3104.95</v>
      </c>
      <c r="G70" s="130">
        <v>3325</v>
      </c>
      <c r="H70" s="131">
        <v>767.19799999999998</v>
      </c>
      <c r="I70" s="130">
        <v>234</v>
      </c>
      <c r="J70" s="131">
        <v>226.7</v>
      </c>
      <c r="K70" s="130">
        <v>254</v>
      </c>
      <c r="L70" s="131">
        <v>422</v>
      </c>
      <c r="M70" s="130">
        <v>1250</v>
      </c>
      <c r="N70" s="131">
        <v>541.57600000000002</v>
      </c>
      <c r="O70" s="130">
        <v>21</v>
      </c>
      <c r="P70" s="131">
        <v>22.55</v>
      </c>
      <c r="Q70" s="134">
        <v>963</v>
      </c>
      <c r="R70" s="131">
        <v>288.32799999999997</v>
      </c>
      <c r="S70" s="147" t="s">
        <v>230</v>
      </c>
    </row>
    <row r="71" spans="1:22" s="124" customFormat="1" ht="14.4" x14ac:dyDescent="0.3">
      <c r="A71" s="129" t="s">
        <v>94</v>
      </c>
      <c r="B71" s="155">
        <f t="shared" si="28"/>
        <v>19695</v>
      </c>
      <c r="C71" s="130">
        <v>3475</v>
      </c>
      <c r="D71" s="131">
        <v>1381.982</v>
      </c>
      <c r="E71" s="130">
        <v>1390</v>
      </c>
      <c r="F71" s="131">
        <v>495.99</v>
      </c>
      <c r="G71" s="130">
        <v>565</v>
      </c>
      <c r="H71" s="131">
        <v>249.1</v>
      </c>
      <c r="I71" s="130">
        <v>1159</v>
      </c>
      <c r="J71" s="131">
        <v>1117.8</v>
      </c>
      <c r="K71" s="130">
        <v>6615</v>
      </c>
      <c r="L71" s="131">
        <v>7042</v>
      </c>
      <c r="M71" s="130">
        <v>5290</v>
      </c>
      <c r="N71" s="131">
        <v>3327.0680000000002</v>
      </c>
      <c r="O71" s="130">
        <v>104</v>
      </c>
      <c r="P71" s="131">
        <v>119.1</v>
      </c>
      <c r="Q71" s="130">
        <v>1097</v>
      </c>
      <c r="R71" s="131">
        <v>381.5</v>
      </c>
      <c r="S71" s="147" t="s">
        <v>231</v>
      </c>
    </row>
    <row r="72" spans="1:22" s="124" customFormat="1" ht="14.4" x14ac:dyDescent="0.3">
      <c r="A72" s="129" t="s">
        <v>97</v>
      </c>
      <c r="B72" s="155">
        <f t="shared" si="28"/>
        <v>16776</v>
      </c>
      <c r="C72" s="130">
        <v>1348</v>
      </c>
      <c r="D72" s="131">
        <v>488.97</v>
      </c>
      <c r="E72" s="130">
        <v>3680</v>
      </c>
      <c r="F72" s="131">
        <v>2525.3000000000002</v>
      </c>
      <c r="G72" s="130">
        <v>3123</v>
      </c>
      <c r="H72" s="131">
        <v>2516.25</v>
      </c>
      <c r="I72" s="130">
        <v>938</v>
      </c>
      <c r="J72" s="131">
        <v>1543.1</v>
      </c>
      <c r="K72" s="130">
        <v>2262</v>
      </c>
      <c r="L72" s="131">
        <v>5248.7</v>
      </c>
      <c r="M72" s="130">
        <v>4406</v>
      </c>
      <c r="N72" s="131">
        <v>2101.8380000000002</v>
      </c>
      <c r="O72" s="130">
        <v>380</v>
      </c>
      <c r="P72" s="131">
        <v>849.95</v>
      </c>
      <c r="Q72" s="130">
        <v>639</v>
      </c>
      <c r="R72" s="131">
        <v>733.38800000000003</v>
      </c>
      <c r="S72" s="147" t="s">
        <v>232</v>
      </c>
    </row>
    <row r="73" spans="1:22" s="124" customFormat="1" ht="14.4" x14ac:dyDescent="0.3">
      <c r="A73" s="129" t="s">
        <v>99</v>
      </c>
      <c r="B73" s="155">
        <f t="shared" si="28"/>
        <v>29411</v>
      </c>
      <c r="C73" s="130">
        <v>397</v>
      </c>
      <c r="D73" s="131">
        <v>126.7</v>
      </c>
      <c r="E73" s="130">
        <v>3470</v>
      </c>
      <c r="F73" s="131">
        <v>1107.914</v>
      </c>
      <c r="G73" s="130">
        <v>3796</v>
      </c>
      <c r="H73" s="131">
        <v>1198.79</v>
      </c>
      <c r="I73" s="130">
        <v>2954</v>
      </c>
      <c r="J73" s="131">
        <v>2629.337</v>
      </c>
      <c r="K73" s="130">
        <v>3469</v>
      </c>
      <c r="L73" s="131">
        <v>1973.47</v>
      </c>
      <c r="M73" s="130">
        <v>13038</v>
      </c>
      <c r="N73" s="131">
        <v>2787.0140000000001</v>
      </c>
      <c r="O73" s="130">
        <v>370</v>
      </c>
      <c r="P73" s="131">
        <v>525.21799999999996</v>
      </c>
      <c r="Q73" s="130">
        <v>1917</v>
      </c>
      <c r="R73" s="131">
        <v>1119.3580000000002</v>
      </c>
      <c r="S73" s="147" t="s">
        <v>233</v>
      </c>
    </row>
    <row r="74" spans="1:22" s="124" customFormat="1" ht="14.4" x14ac:dyDescent="0.3">
      <c r="A74" s="192" t="s">
        <v>234</v>
      </c>
      <c r="B74" s="193">
        <f>SUM(B76:B83)</f>
        <v>8303</v>
      </c>
      <c r="C74" s="171">
        <f>SUM(C76:C83)</f>
        <v>508</v>
      </c>
      <c r="D74" s="171">
        <f t="shared" ref="D74:R74" si="29">SUM(D76:D83)</f>
        <v>179.81</v>
      </c>
      <c r="E74" s="171">
        <f t="shared" si="29"/>
        <v>1564</v>
      </c>
      <c r="F74" s="171">
        <f t="shared" si="29"/>
        <v>647.22800000000007</v>
      </c>
      <c r="G74" s="191">
        <f t="shared" si="29"/>
        <v>1187</v>
      </c>
      <c r="H74" s="171">
        <f t="shared" si="29"/>
        <v>455.72500000000002</v>
      </c>
      <c r="I74" s="171">
        <f t="shared" si="29"/>
        <v>667</v>
      </c>
      <c r="J74" s="171">
        <f t="shared" si="29"/>
        <v>710.5</v>
      </c>
      <c r="K74" s="171">
        <f t="shared" si="29"/>
        <v>105</v>
      </c>
      <c r="L74" s="171">
        <f t="shared" si="29"/>
        <v>131.78</v>
      </c>
      <c r="M74" s="171">
        <f t="shared" si="29"/>
        <v>3858</v>
      </c>
      <c r="N74" s="179">
        <f t="shared" si="29"/>
        <v>2381.7600000000002</v>
      </c>
      <c r="O74" s="171">
        <f t="shared" ref="O74:P74" si="30">SUM(O76:O83)</f>
        <v>3</v>
      </c>
      <c r="P74" s="191">
        <f t="shared" si="30"/>
        <v>3.2</v>
      </c>
      <c r="Q74" s="171">
        <f t="shared" si="29"/>
        <v>411</v>
      </c>
      <c r="R74" s="179">
        <f t="shared" si="29"/>
        <v>111.18</v>
      </c>
      <c r="S74" s="176" t="s">
        <v>235</v>
      </c>
      <c r="T74" s="177"/>
      <c r="U74" s="177"/>
    </row>
    <row r="75" spans="1:22" s="124" customFormat="1" ht="14.4" x14ac:dyDescent="0.3">
      <c r="A75" s="192"/>
      <c r="B75" s="193"/>
      <c r="C75" s="171"/>
      <c r="D75" s="171"/>
      <c r="E75" s="171"/>
      <c r="F75" s="171"/>
      <c r="G75" s="191"/>
      <c r="H75" s="171"/>
      <c r="I75" s="171"/>
      <c r="J75" s="171"/>
      <c r="K75" s="171"/>
      <c r="L75" s="171"/>
      <c r="M75" s="171"/>
      <c r="N75" s="179"/>
      <c r="O75" s="171"/>
      <c r="P75" s="191"/>
      <c r="Q75" s="171"/>
      <c r="R75" s="179"/>
      <c r="S75" s="176"/>
      <c r="T75" s="177"/>
      <c r="U75" s="177"/>
    </row>
    <row r="76" spans="1:22" s="124" customFormat="1" ht="14.4" x14ac:dyDescent="0.3">
      <c r="A76" s="135" t="s">
        <v>273</v>
      </c>
      <c r="B76" s="155">
        <f t="shared" ref="B76:B83" si="31">SUM(C76,E76,G76,I76,K76,M76,O76,Q76)</f>
        <v>0</v>
      </c>
      <c r="C76" s="130" t="s">
        <v>282</v>
      </c>
      <c r="D76" s="131" t="s">
        <v>282</v>
      </c>
      <c r="E76" s="130" t="s">
        <v>282</v>
      </c>
      <c r="F76" s="131" t="s">
        <v>282</v>
      </c>
      <c r="G76" s="130" t="s">
        <v>282</v>
      </c>
      <c r="H76" s="131" t="s">
        <v>282</v>
      </c>
      <c r="I76" s="130" t="s">
        <v>282</v>
      </c>
      <c r="J76" s="131" t="s">
        <v>282</v>
      </c>
      <c r="K76" s="130" t="s">
        <v>282</v>
      </c>
      <c r="L76" s="131" t="s">
        <v>282</v>
      </c>
      <c r="M76" s="130" t="s">
        <v>282</v>
      </c>
      <c r="N76" s="131" t="s">
        <v>282</v>
      </c>
      <c r="O76" s="130" t="s">
        <v>282</v>
      </c>
      <c r="P76" s="131" t="s">
        <v>282</v>
      </c>
      <c r="Q76" s="130" t="s">
        <v>282</v>
      </c>
      <c r="R76" s="131" t="s">
        <v>282</v>
      </c>
      <c r="S76" s="180" t="s">
        <v>236</v>
      </c>
      <c r="T76" s="181"/>
      <c r="U76" s="181"/>
      <c r="V76" s="181"/>
    </row>
    <row r="77" spans="1:22" s="124" customFormat="1" ht="14.4" x14ac:dyDescent="0.3">
      <c r="A77" s="136" t="s">
        <v>274</v>
      </c>
      <c r="B77" s="155">
        <f t="shared" si="31"/>
        <v>0</v>
      </c>
      <c r="C77" s="130" t="s">
        <v>282</v>
      </c>
      <c r="D77" s="131" t="s">
        <v>282</v>
      </c>
      <c r="E77" s="130" t="s">
        <v>282</v>
      </c>
      <c r="F77" s="131" t="s">
        <v>282</v>
      </c>
      <c r="G77" s="130" t="s">
        <v>282</v>
      </c>
      <c r="H77" s="131" t="s">
        <v>282</v>
      </c>
      <c r="I77" s="130" t="s">
        <v>282</v>
      </c>
      <c r="J77" s="131" t="s">
        <v>282</v>
      </c>
      <c r="K77" s="130" t="s">
        <v>282</v>
      </c>
      <c r="L77" s="131" t="s">
        <v>282</v>
      </c>
      <c r="M77" s="130" t="s">
        <v>282</v>
      </c>
      <c r="N77" s="131" t="s">
        <v>282</v>
      </c>
      <c r="O77" s="130" t="s">
        <v>282</v>
      </c>
      <c r="P77" s="131" t="s">
        <v>282</v>
      </c>
      <c r="Q77" s="130" t="s">
        <v>282</v>
      </c>
      <c r="R77" s="131" t="s">
        <v>282</v>
      </c>
      <c r="S77" s="180" t="s">
        <v>237</v>
      </c>
      <c r="T77" s="181"/>
      <c r="U77" s="181"/>
      <c r="V77" s="181"/>
    </row>
    <row r="78" spans="1:22" s="124" customFormat="1" ht="14.4" x14ac:dyDescent="0.3">
      <c r="A78" s="129" t="s">
        <v>106</v>
      </c>
      <c r="B78" s="155">
        <f t="shared" si="31"/>
        <v>0</v>
      </c>
      <c r="C78" s="130" t="s">
        <v>282</v>
      </c>
      <c r="D78" s="131" t="s">
        <v>282</v>
      </c>
      <c r="E78" s="130" t="s">
        <v>282</v>
      </c>
      <c r="F78" s="131" t="s">
        <v>282</v>
      </c>
      <c r="G78" s="130" t="s">
        <v>282</v>
      </c>
      <c r="H78" s="131" t="s">
        <v>282</v>
      </c>
      <c r="I78" s="130" t="s">
        <v>282</v>
      </c>
      <c r="J78" s="131" t="s">
        <v>282</v>
      </c>
      <c r="K78" s="130" t="s">
        <v>282</v>
      </c>
      <c r="L78" s="131" t="s">
        <v>282</v>
      </c>
      <c r="M78" s="130" t="s">
        <v>282</v>
      </c>
      <c r="N78" s="131" t="s">
        <v>282</v>
      </c>
      <c r="O78" s="130" t="s">
        <v>282</v>
      </c>
      <c r="P78" s="131" t="s">
        <v>282</v>
      </c>
      <c r="Q78" s="130" t="s">
        <v>282</v>
      </c>
      <c r="R78" s="131" t="s">
        <v>282</v>
      </c>
      <c r="S78" s="180" t="s">
        <v>238</v>
      </c>
      <c r="T78" s="181"/>
      <c r="U78" s="181"/>
      <c r="V78" s="181"/>
    </row>
    <row r="79" spans="1:22" s="124" customFormat="1" ht="14.4" x14ac:dyDescent="0.3">
      <c r="A79" s="129" t="s">
        <v>108</v>
      </c>
      <c r="B79" s="155">
        <f t="shared" si="31"/>
        <v>0</v>
      </c>
      <c r="C79" s="130" t="s">
        <v>282</v>
      </c>
      <c r="D79" s="131" t="s">
        <v>282</v>
      </c>
      <c r="E79" s="130" t="s">
        <v>282</v>
      </c>
      <c r="F79" s="131" t="s">
        <v>282</v>
      </c>
      <c r="G79" s="130" t="s">
        <v>282</v>
      </c>
      <c r="H79" s="131" t="s">
        <v>282</v>
      </c>
      <c r="I79" s="130" t="s">
        <v>282</v>
      </c>
      <c r="J79" s="131" t="s">
        <v>282</v>
      </c>
      <c r="K79" s="130" t="s">
        <v>282</v>
      </c>
      <c r="L79" s="131" t="s">
        <v>282</v>
      </c>
      <c r="M79" s="130" t="s">
        <v>282</v>
      </c>
      <c r="N79" s="131" t="s">
        <v>282</v>
      </c>
      <c r="O79" s="130" t="s">
        <v>282</v>
      </c>
      <c r="P79" s="131" t="s">
        <v>282</v>
      </c>
      <c r="Q79" s="130" t="s">
        <v>282</v>
      </c>
      <c r="R79" s="131" t="s">
        <v>282</v>
      </c>
      <c r="S79" s="180" t="s">
        <v>239</v>
      </c>
      <c r="T79" s="181"/>
      <c r="U79" s="181"/>
      <c r="V79" s="181"/>
    </row>
    <row r="80" spans="1:22" s="124" customFormat="1" ht="14.4" x14ac:dyDescent="0.3">
      <c r="A80" s="129" t="s">
        <v>110</v>
      </c>
      <c r="B80" s="155">
        <f t="shared" si="31"/>
        <v>3254</v>
      </c>
      <c r="C80" s="130">
        <v>101</v>
      </c>
      <c r="D80" s="131">
        <v>32.25</v>
      </c>
      <c r="E80" s="130">
        <v>159</v>
      </c>
      <c r="F80" s="131">
        <v>64.628</v>
      </c>
      <c r="G80" s="130">
        <v>44</v>
      </c>
      <c r="H80" s="131">
        <v>18.8</v>
      </c>
      <c r="I80" s="130">
        <v>445</v>
      </c>
      <c r="J80" s="131">
        <v>547.29999999999995</v>
      </c>
      <c r="K80" s="130">
        <v>84</v>
      </c>
      <c r="L80" s="131">
        <v>115.1</v>
      </c>
      <c r="M80" s="130">
        <v>2297</v>
      </c>
      <c r="N80" s="131">
        <v>1497.16</v>
      </c>
      <c r="O80" s="130">
        <v>3</v>
      </c>
      <c r="P80" s="131">
        <v>3.2</v>
      </c>
      <c r="Q80" s="134">
        <v>121</v>
      </c>
      <c r="R80" s="131">
        <v>35.299999999999997</v>
      </c>
      <c r="S80" s="180" t="s">
        <v>240</v>
      </c>
      <c r="T80" s="181"/>
      <c r="U80" s="181"/>
      <c r="V80" s="181"/>
    </row>
    <row r="81" spans="1:22" s="124" customFormat="1" ht="14.4" x14ac:dyDescent="0.3">
      <c r="A81" s="129" t="s">
        <v>113</v>
      </c>
      <c r="B81" s="155">
        <f t="shared" si="31"/>
        <v>2858</v>
      </c>
      <c r="C81" s="130">
        <v>195</v>
      </c>
      <c r="D81" s="131">
        <v>64.5</v>
      </c>
      <c r="E81" s="130">
        <v>177</v>
      </c>
      <c r="F81" s="131">
        <v>57.1</v>
      </c>
      <c r="G81" s="130">
        <v>738</v>
      </c>
      <c r="H81" s="131">
        <v>258.72500000000002</v>
      </c>
      <c r="I81" s="134">
        <v>157</v>
      </c>
      <c r="J81" s="131">
        <v>94.2</v>
      </c>
      <c r="K81" s="130">
        <v>21</v>
      </c>
      <c r="L81" s="131">
        <v>16.68</v>
      </c>
      <c r="M81" s="134">
        <v>1280</v>
      </c>
      <c r="N81" s="131">
        <v>767.6</v>
      </c>
      <c r="O81" s="130" t="s">
        <v>282</v>
      </c>
      <c r="P81" s="131" t="s">
        <v>282</v>
      </c>
      <c r="Q81" s="130">
        <v>290</v>
      </c>
      <c r="R81" s="131">
        <v>75.88000000000001</v>
      </c>
      <c r="S81" s="180" t="s">
        <v>241</v>
      </c>
      <c r="T81" s="181"/>
      <c r="U81" s="181"/>
      <c r="V81" s="181"/>
    </row>
    <row r="82" spans="1:22" s="124" customFormat="1" ht="14.4" x14ac:dyDescent="0.3">
      <c r="A82" s="129" t="s">
        <v>115</v>
      </c>
      <c r="B82" s="155">
        <f t="shared" si="31"/>
        <v>0</v>
      </c>
      <c r="C82" s="130" t="s">
        <v>282</v>
      </c>
      <c r="D82" s="131" t="s">
        <v>282</v>
      </c>
      <c r="E82" s="130" t="s">
        <v>282</v>
      </c>
      <c r="F82" s="131" t="s">
        <v>282</v>
      </c>
      <c r="G82" s="130" t="s">
        <v>282</v>
      </c>
      <c r="H82" s="131" t="s">
        <v>282</v>
      </c>
      <c r="I82" s="134" t="s">
        <v>282</v>
      </c>
      <c r="J82" s="131" t="s">
        <v>282</v>
      </c>
      <c r="K82" s="130" t="s">
        <v>282</v>
      </c>
      <c r="L82" s="131" t="s">
        <v>282</v>
      </c>
      <c r="M82" s="134" t="s">
        <v>282</v>
      </c>
      <c r="N82" s="131" t="s">
        <v>282</v>
      </c>
      <c r="O82" s="130" t="s">
        <v>282</v>
      </c>
      <c r="P82" s="131" t="s">
        <v>282</v>
      </c>
      <c r="Q82" s="130" t="s">
        <v>282</v>
      </c>
      <c r="R82" s="131" t="s">
        <v>282</v>
      </c>
      <c r="S82" s="180" t="s">
        <v>242</v>
      </c>
      <c r="T82" s="181"/>
      <c r="U82" s="181"/>
      <c r="V82" s="181"/>
    </row>
    <row r="83" spans="1:22" s="124" customFormat="1" ht="14.4" x14ac:dyDescent="0.3">
      <c r="A83" s="129" t="s">
        <v>117</v>
      </c>
      <c r="B83" s="155">
        <f t="shared" si="31"/>
        <v>2191</v>
      </c>
      <c r="C83" s="130">
        <v>212</v>
      </c>
      <c r="D83" s="131">
        <v>83.06</v>
      </c>
      <c r="E83" s="130">
        <v>1228</v>
      </c>
      <c r="F83" s="131">
        <v>525.5</v>
      </c>
      <c r="G83" s="130">
        <v>405</v>
      </c>
      <c r="H83" s="131">
        <v>178.2</v>
      </c>
      <c r="I83" s="130">
        <v>65</v>
      </c>
      <c r="J83" s="131">
        <v>69</v>
      </c>
      <c r="K83" s="134" t="s">
        <v>282</v>
      </c>
      <c r="L83" s="131" t="s">
        <v>282</v>
      </c>
      <c r="M83" s="134">
        <v>281</v>
      </c>
      <c r="N83" s="131">
        <v>117</v>
      </c>
      <c r="O83" s="130" t="s">
        <v>282</v>
      </c>
      <c r="P83" s="131" t="s">
        <v>282</v>
      </c>
      <c r="Q83" s="134" t="s">
        <v>282</v>
      </c>
      <c r="R83" s="131" t="s">
        <v>282</v>
      </c>
      <c r="S83" s="180" t="s">
        <v>243</v>
      </c>
      <c r="T83" s="181"/>
      <c r="U83" s="181"/>
      <c r="V83" s="181"/>
    </row>
    <row r="84" spans="1:22" s="124" customFormat="1" ht="14.4" x14ac:dyDescent="0.3">
      <c r="A84" s="192" t="s">
        <v>244</v>
      </c>
      <c r="B84" s="193">
        <f>SUM(B86:B90)</f>
        <v>42405</v>
      </c>
      <c r="C84" s="171">
        <f>SUM(C86:C90)</f>
        <v>3971</v>
      </c>
      <c r="D84" s="171">
        <f t="shared" ref="D84:R84" si="32">SUM(D86:D90)</f>
        <v>1308.3880000000001</v>
      </c>
      <c r="E84" s="171">
        <f t="shared" si="32"/>
        <v>11601</v>
      </c>
      <c r="F84" s="171">
        <f t="shared" si="32"/>
        <v>5828.3819999999996</v>
      </c>
      <c r="G84" s="191">
        <f t="shared" si="32"/>
        <v>5914</v>
      </c>
      <c r="H84" s="171">
        <f t="shared" si="32"/>
        <v>3326.4070000000002</v>
      </c>
      <c r="I84" s="171">
        <f t="shared" si="32"/>
        <v>4588</v>
      </c>
      <c r="J84" s="171">
        <f t="shared" si="32"/>
        <v>7657.1019999999999</v>
      </c>
      <c r="K84" s="171">
        <f t="shared" si="32"/>
        <v>2905</v>
      </c>
      <c r="L84" s="171">
        <f t="shared" si="32"/>
        <v>3179.12</v>
      </c>
      <c r="M84" s="171">
        <f t="shared" si="32"/>
        <v>6537</v>
      </c>
      <c r="N84" s="179">
        <f t="shared" si="32"/>
        <v>1776.6970000000001</v>
      </c>
      <c r="O84" s="171">
        <f t="shared" ref="O84:P84" si="33">SUM(O86:O90)</f>
        <v>231</v>
      </c>
      <c r="P84" s="191">
        <f t="shared" si="33"/>
        <v>381.435</v>
      </c>
      <c r="Q84" s="171">
        <f t="shared" si="32"/>
        <v>6658</v>
      </c>
      <c r="R84" s="179">
        <f t="shared" si="32"/>
        <v>5000.1849999999995</v>
      </c>
      <c r="S84" s="172" t="s">
        <v>245</v>
      </c>
      <c r="T84" s="173"/>
      <c r="U84" s="173"/>
    </row>
    <row r="85" spans="1:22" s="124" customFormat="1" ht="14.4" x14ac:dyDescent="0.3">
      <c r="A85" s="192"/>
      <c r="B85" s="193"/>
      <c r="C85" s="171"/>
      <c r="D85" s="171"/>
      <c r="E85" s="171"/>
      <c r="F85" s="171"/>
      <c r="G85" s="191"/>
      <c r="H85" s="171"/>
      <c r="I85" s="171"/>
      <c r="J85" s="171"/>
      <c r="K85" s="171"/>
      <c r="L85" s="171"/>
      <c r="M85" s="171"/>
      <c r="N85" s="179"/>
      <c r="O85" s="171"/>
      <c r="P85" s="191"/>
      <c r="Q85" s="171"/>
      <c r="R85" s="179"/>
      <c r="S85" s="172"/>
      <c r="T85" s="173"/>
      <c r="U85" s="173"/>
    </row>
    <row r="86" spans="1:22" s="124" customFormat="1" ht="14.4" x14ac:dyDescent="0.3">
      <c r="A86" s="129" t="s">
        <v>119</v>
      </c>
      <c r="B86" s="155">
        <f t="shared" ref="B86:B90" si="34">SUM(C86,E86,G86,I86,K86,M86,O86,Q86)</f>
        <v>17321</v>
      </c>
      <c r="C86" s="130">
        <v>1249</v>
      </c>
      <c r="D86" s="131">
        <v>492.71800000000002</v>
      </c>
      <c r="E86" s="130">
        <v>6559</v>
      </c>
      <c r="F86" s="131">
        <v>3857.627</v>
      </c>
      <c r="G86" s="130">
        <v>2523</v>
      </c>
      <c r="H86" s="131">
        <v>1698.0070000000001</v>
      </c>
      <c r="I86" s="130">
        <v>3040</v>
      </c>
      <c r="J86" s="131">
        <v>4882.1220000000003</v>
      </c>
      <c r="K86" s="130">
        <v>803</v>
      </c>
      <c r="L86" s="131">
        <v>722.35</v>
      </c>
      <c r="M86" s="130">
        <v>765</v>
      </c>
      <c r="N86" s="131">
        <v>271.346</v>
      </c>
      <c r="O86" s="130">
        <v>185</v>
      </c>
      <c r="P86" s="131">
        <v>335.98500000000001</v>
      </c>
      <c r="Q86" s="130">
        <v>2197</v>
      </c>
      <c r="R86" s="131">
        <v>1656.405</v>
      </c>
      <c r="S86" s="147" t="s">
        <v>246</v>
      </c>
    </row>
    <row r="87" spans="1:22" s="124" customFormat="1" ht="14.4" x14ac:dyDescent="0.3">
      <c r="A87" s="129" t="s">
        <v>122</v>
      </c>
      <c r="B87" s="155">
        <f t="shared" si="34"/>
        <v>2064</v>
      </c>
      <c r="C87" s="130">
        <v>580</v>
      </c>
      <c r="D87" s="131">
        <v>175.5</v>
      </c>
      <c r="E87" s="130">
        <v>445</v>
      </c>
      <c r="F87" s="131">
        <v>178</v>
      </c>
      <c r="G87" s="130">
        <v>675</v>
      </c>
      <c r="H87" s="131">
        <v>337.5</v>
      </c>
      <c r="I87" s="130">
        <v>15</v>
      </c>
      <c r="J87" s="131">
        <v>15</v>
      </c>
      <c r="K87" s="130">
        <v>15</v>
      </c>
      <c r="L87" s="131">
        <v>18</v>
      </c>
      <c r="M87" s="130">
        <v>174</v>
      </c>
      <c r="N87" s="131">
        <v>25.5</v>
      </c>
      <c r="O87" s="130" t="s">
        <v>282</v>
      </c>
      <c r="P87" s="131" t="s">
        <v>282</v>
      </c>
      <c r="Q87" s="130">
        <v>160</v>
      </c>
      <c r="R87" s="131">
        <v>96</v>
      </c>
      <c r="S87" s="147" t="s">
        <v>247</v>
      </c>
    </row>
    <row r="88" spans="1:22" s="124" customFormat="1" ht="14.4" x14ac:dyDescent="0.3">
      <c r="A88" s="129" t="s">
        <v>124</v>
      </c>
      <c r="B88" s="155">
        <f t="shared" si="34"/>
        <v>19069</v>
      </c>
      <c r="C88" s="130">
        <v>2065</v>
      </c>
      <c r="D88" s="131">
        <v>618.47</v>
      </c>
      <c r="E88" s="130">
        <v>4405</v>
      </c>
      <c r="F88" s="131">
        <v>1743.15</v>
      </c>
      <c r="G88" s="130">
        <v>2610</v>
      </c>
      <c r="H88" s="131">
        <v>1261.45</v>
      </c>
      <c r="I88" s="130">
        <v>1530</v>
      </c>
      <c r="J88" s="131">
        <v>2759.5</v>
      </c>
      <c r="K88" s="130">
        <v>2020</v>
      </c>
      <c r="L88" s="131">
        <v>2418.52</v>
      </c>
      <c r="M88" s="134">
        <v>2127</v>
      </c>
      <c r="N88" s="131">
        <v>755.14599999999996</v>
      </c>
      <c r="O88" s="130">
        <v>46</v>
      </c>
      <c r="P88" s="131">
        <v>45.45</v>
      </c>
      <c r="Q88" s="130">
        <v>4266</v>
      </c>
      <c r="R88" s="131">
        <v>3238.88</v>
      </c>
      <c r="S88" s="147" t="s">
        <v>248</v>
      </c>
    </row>
    <row r="89" spans="1:22" s="124" customFormat="1" ht="14.4" x14ac:dyDescent="0.3">
      <c r="A89" s="129" t="s">
        <v>127</v>
      </c>
      <c r="B89" s="155">
        <f t="shared" si="34"/>
        <v>476</v>
      </c>
      <c r="C89" s="130">
        <v>73</v>
      </c>
      <c r="D89" s="131">
        <v>21</v>
      </c>
      <c r="E89" s="130">
        <v>168</v>
      </c>
      <c r="F89" s="131">
        <v>45.5</v>
      </c>
      <c r="G89" s="130">
        <v>106</v>
      </c>
      <c r="H89" s="131">
        <v>29.45</v>
      </c>
      <c r="I89" s="134" t="s">
        <v>282</v>
      </c>
      <c r="J89" s="131" t="s">
        <v>282</v>
      </c>
      <c r="K89" s="130">
        <v>67</v>
      </c>
      <c r="L89" s="131">
        <v>20.25</v>
      </c>
      <c r="M89" s="134">
        <v>27</v>
      </c>
      <c r="N89" s="131">
        <v>11.7</v>
      </c>
      <c r="O89" s="130" t="s">
        <v>282</v>
      </c>
      <c r="P89" s="131" t="s">
        <v>282</v>
      </c>
      <c r="Q89" s="130">
        <v>35</v>
      </c>
      <c r="R89" s="131">
        <v>8.9</v>
      </c>
      <c r="S89" s="147" t="s">
        <v>249</v>
      </c>
    </row>
    <row r="90" spans="1:22" s="124" customFormat="1" ht="14.4" x14ac:dyDescent="0.3">
      <c r="A90" s="129" t="s">
        <v>129</v>
      </c>
      <c r="B90" s="155">
        <f t="shared" si="34"/>
        <v>3475</v>
      </c>
      <c r="C90" s="130">
        <v>4</v>
      </c>
      <c r="D90" s="131">
        <v>0.7</v>
      </c>
      <c r="E90" s="130">
        <v>24</v>
      </c>
      <c r="F90" s="131">
        <v>4.1050000000000004</v>
      </c>
      <c r="G90" s="130" t="s">
        <v>282</v>
      </c>
      <c r="H90" s="131" t="s">
        <v>282</v>
      </c>
      <c r="I90" s="130">
        <v>3</v>
      </c>
      <c r="J90" s="131">
        <v>0.48</v>
      </c>
      <c r="K90" s="130" t="s">
        <v>282</v>
      </c>
      <c r="L90" s="131" t="s">
        <v>282</v>
      </c>
      <c r="M90" s="134">
        <v>3444</v>
      </c>
      <c r="N90" s="131">
        <v>713.005</v>
      </c>
      <c r="O90" s="130" t="s">
        <v>282</v>
      </c>
      <c r="P90" s="131" t="s">
        <v>282</v>
      </c>
      <c r="Q90" s="130" t="s">
        <v>282</v>
      </c>
      <c r="R90" s="131" t="s">
        <v>282</v>
      </c>
      <c r="S90" s="147" t="s">
        <v>250</v>
      </c>
    </row>
    <row r="91" spans="1:22" s="124" customFormat="1" ht="14.4" x14ac:dyDescent="0.3">
      <c r="A91" s="192" t="s">
        <v>251</v>
      </c>
      <c r="B91" s="193">
        <f>SUM(B93:B105)</f>
        <v>81940</v>
      </c>
      <c r="C91" s="171">
        <f>SUM(C93:C105)</f>
        <v>37974</v>
      </c>
      <c r="D91" s="171">
        <f t="shared" ref="D91:R91" si="35">SUM(D93:D105)</f>
        <v>11053.861999999999</v>
      </c>
      <c r="E91" s="171">
        <f t="shared" si="35"/>
        <v>9352</v>
      </c>
      <c r="F91" s="171">
        <f t="shared" si="35"/>
        <v>2747.2950000000001</v>
      </c>
      <c r="G91" s="191">
        <f t="shared" si="35"/>
        <v>4000</v>
      </c>
      <c r="H91" s="171">
        <f t="shared" si="35"/>
        <v>1316.9430000000002</v>
      </c>
      <c r="I91" s="171">
        <f t="shared" si="35"/>
        <v>1348</v>
      </c>
      <c r="J91" s="171">
        <f t="shared" si="35"/>
        <v>907.27099999999996</v>
      </c>
      <c r="K91" s="171">
        <f t="shared" si="35"/>
        <v>431</v>
      </c>
      <c r="L91" s="171">
        <f t="shared" si="35"/>
        <v>205.18899999999999</v>
      </c>
      <c r="M91" s="171">
        <f t="shared" si="35"/>
        <v>19759</v>
      </c>
      <c r="N91" s="179">
        <f t="shared" si="35"/>
        <v>6425.8769999999995</v>
      </c>
      <c r="O91" s="171">
        <f t="shared" ref="O91:P91" si="36">SUM(O93:O105)</f>
        <v>165</v>
      </c>
      <c r="P91" s="191">
        <f t="shared" si="36"/>
        <v>53.400000000000006</v>
      </c>
      <c r="Q91" s="171">
        <f t="shared" si="35"/>
        <v>8911</v>
      </c>
      <c r="R91" s="179">
        <f t="shared" si="35"/>
        <v>2321.027</v>
      </c>
      <c r="S91" s="174" t="s">
        <v>252</v>
      </c>
      <c r="T91" s="175"/>
      <c r="U91" s="175"/>
    </row>
    <row r="92" spans="1:22" s="124" customFormat="1" ht="14.4" x14ac:dyDescent="0.3">
      <c r="A92" s="192"/>
      <c r="B92" s="193"/>
      <c r="C92" s="171"/>
      <c r="D92" s="171"/>
      <c r="E92" s="171"/>
      <c r="F92" s="171"/>
      <c r="G92" s="191"/>
      <c r="H92" s="171"/>
      <c r="I92" s="171"/>
      <c r="J92" s="171"/>
      <c r="K92" s="171"/>
      <c r="L92" s="171"/>
      <c r="M92" s="171"/>
      <c r="N92" s="179"/>
      <c r="O92" s="171"/>
      <c r="P92" s="191"/>
      <c r="Q92" s="171"/>
      <c r="R92" s="179"/>
      <c r="S92" s="174"/>
      <c r="T92" s="175"/>
      <c r="U92" s="175"/>
    </row>
    <row r="93" spans="1:22" s="124" customFormat="1" ht="14.4" x14ac:dyDescent="0.3">
      <c r="A93" s="129" t="s">
        <v>131</v>
      </c>
      <c r="B93" s="155">
        <f t="shared" ref="B93:B105" si="37">SUM(C93,E93,G93,I93,K93,M93,O93,Q93)</f>
        <v>1237</v>
      </c>
      <c r="C93" s="130">
        <v>786</v>
      </c>
      <c r="D93" s="131">
        <v>302.3</v>
      </c>
      <c r="E93" s="130">
        <v>269</v>
      </c>
      <c r="F93" s="131">
        <v>81.55</v>
      </c>
      <c r="G93" s="134">
        <v>7</v>
      </c>
      <c r="H93" s="131">
        <v>2.8</v>
      </c>
      <c r="I93" s="130">
        <v>3</v>
      </c>
      <c r="J93" s="131">
        <v>1.2</v>
      </c>
      <c r="K93" s="134" t="s">
        <v>282</v>
      </c>
      <c r="L93" s="131" t="s">
        <v>282</v>
      </c>
      <c r="M93" s="134">
        <v>172</v>
      </c>
      <c r="N93" s="131">
        <v>51.6</v>
      </c>
      <c r="O93" s="130" t="s">
        <v>282</v>
      </c>
      <c r="P93" s="131" t="s">
        <v>282</v>
      </c>
      <c r="Q93" s="134" t="s">
        <v>282</v>
      </c>
      <c r="R93" s="131" t="s">
        <v>282</v>
      </c>
      <c r="S93" s="147" t="s">
        <v>253</v>
      </c>
    </row>
    <row r="94" spans="1:22" s="124" customFormat="1" ht="14.4" x14ac:dyDescent="0.3">
      <c r="A94" s="129" t="s">
        <v>133</v>
      </c>
      <c r="B94" s="155">
        <f t="shared" si="37"/>
        <v>11406</v>
      </c>
      <c r="C94" s="130">
        <v>1550</v>
      </c>
      <c r="D94" s="131">
        <v>173.82</v>
      </c>
      <c r="E94" s="130">
        <v>1699</v>
      </c>
      <c r="F94" s="131">
        <v>205.31</v>
      </c>
      <c r="G94" s="130">
        <v>274</v>
      </c>
      <c r="H94" s="131">
        <v>49.79</v>
      </c>
      <c r="I94" s="130">
        <v>150</v>
      </c>
      <c r="J94" s="131">
        <v>106.7</v>
      </c>
      <c r="K94" s="130">
        <v>62</v>
      </c>
      <c r="L94" s="131">
        <v>47.338999999999999</v>
      </c>
      <c r="M94" s="134">
        <v>5202</v>
      </c>
      <c r="N94" s="131">
        <v>424.363</v>
      </c>
      <c r="O94" s="130">
        <v>3</v>
      </c>
      <c r="P94" s="131">
        <v>1.1000000000000001</v>
      </c>
      <c r="Q94" s="130">
        <v>2466</v>
      </c>
      <c r="R94" s="131">
        <v>492.54</v>
      </c>
      <c r="S94" s="147" t="s">
        <v>254</v>
      </c>
    </row>
    <row r="95" spans="1:22" s="124" customFormat="1" ht="14.4" x14ac:dyDescent="0.3">
      <c r="A95" s="129" t="s">
        <v>135</v>
      </c>
      <c r="B95" s="155">
        <f t="shared" si="37"/>
        <v>5065</v>
      </c>
      <c r="C95" s="130">
        <v>1895</v>
      </c>
      <c r="D95" s="131">
        <v>106.45</v>
      </c>
      <c r="E95" s="130">
        <v>600</v>
      </c>
      <c r="F95" s="131">
        <v>75</v>
      </c>
      <c r="G95" s="130" t="s">
        <v>282</v>
      </c>
      <c r="H95" s="131" t="s">
        <v>282</v>
      </c>
      <c r="I95" s="134">
        <v>2</v>
      </c>
      <c r="J95" s="131">
        <v>1.6</v>
      </c>
      <c r="K95" s="134" t="s">
        <v>282</v>
      </c>
      <c r="L95" s="131" t="s">
        <v>282</v>
      </c>
      <c r="M95" s="134">
        <v>2164</v>
      </c>
      <c r="N95" s="131">
        <v>559.20000000000005</v>
      </c>
      <c r="O95" s="130">
        <v>5</v>
      </c>
      <c r="P95" s="131">
        <v>4</v>
      </c>
      <c r="Q95" s="134">
        <v>399</v>
      </c>
      <c r="R95" s="131">
        <v>99.4</v>
      </c>
      <c r="S95" s="147" t="s">
        <v>255</v>
      </c>
    </row>
    <row r="96" spans="1:22" s="124" customFormat="1" ht="14.4" x14ac:dyDescent="0.3">
      <c r="A96" s="129" t="s">
        <v>137</v>
      </c>
      <c r="B96" s="155">
        <f t="shared" si="37"/>
        <v>2795</v>
      </c>
      <c r="C96" s="130">
        <v>330</v>
      </c>
      <c r="D96" s="131">
        <v>116.5</v>
      </c>
      <c r="E96" s="130">
        <v>330</v>
      </c>
      <c r="F96" s="131">
        <v>180</v>
      </c>
      <c r="G96" s="130">
        <v>297</v>
      </c>
      <c r="H96" s="131">
        <v>163.19999999999999</v>
      </c>
      <c r="I96" s="134">
        <v>16</v>
      </c>
      <c r="J96" s="131">
        <v>4</v>
      </c>
      <c r="K96" s="130" t="s">
        <v>282</v>
      </c>
      <c r="L96" s="131" t="s">
        <v>282</v>
      </c>
      <c r="M96" s="134">
        <v>1727</v>
      </c>
      <c r="N96" s="131">
        <v>1376.6</v>
      </c>
      <c r="O96" s="130" t="s">
        <v>282</v>
      </c>
      <c r="P96" s="131" t="s">
        <v>282</v>
      </c>
      <c r="Q96" s="130">
        <v>95</v>
      </c>
      <c r="R96" s="131">
        <v>22</v>
      </c>
      <c r="S96" s="147" t="s">
        <v>256</v>
      </c>
    </row>
    <row r="97" spans="1:22" s="124" customFormat="1" ht="14.4" x14ac:dyDescent="0.3">
      <c r="A97" s="129" t="s">
        <v>139</v>
      </c>
      <c r="B97" s="155">
        <f t="shared" si="37"/>
        <v>2065</v>
      </c>
      <c r="C97" s="130">
        <v>215</v>
      </c>
      <c r="D97" s="131">
        <v>44</v>
      </c>
      <c r="E97" s="130">
        <v>182</v>
      </c>
      <c r="F97" s="131">
        <v>73.900000000000006</v>
      </c>
      <c r="G97" s="130">
        <v>410</v>
      </c>
      <c r="H97" s="131">
        <v>123.3</v>
      </c>
      <c r="I97" s="130">
        <v>202</v>
      </c>
      <c r="J97" s="131">
        <v>143.19999999999999</v>
      </c>
      <c r="K97" s="130">
        <v>10</v>
      </c>
      <c r="L97" s="131">
        <v>6</v>
      </c>
      <c r="M97" s="134">
        <v>699</v>
      </c>
      <c r="N97" s="131">
        <v>147.524</v>
      </c>
      <c r="O97" s="130" t="s">
        <v>282</v>
      </c>
      <c r="P97" s="131" t="s">
        <v>282</v>
      </c>
      <c r="Q97" s="130">
        <v>347</v>
      </c>
      <c r="R97" s="131">
        <v>167.57</v>
      </c>
      <c r="S97" s="147" t="s">
        <v>257</v>
      </c>
    </row>
    <row r="98" spans="1:22" s="124" customFormat="1" ht="14.4" x14ac:dyDescent="0.3">
      <c r="A98" s="129" t="s">
        <v>141</v>
      </c>
      <c r="B98" s="155">
        <f t="shared" si="37"/>
        <v>8385</v>
      </c>
      <c r="C98" s="130">
        <v>3354</v>
      </c>
      <c r="D98" s="131">
        <v>1274.52</v>
      </c>
      <c r="E98" s="130">
        <v>965</v>
      </c>
      <c r="F98" s="131">
        <v>337.75</v>
      </c>
      <c r="G98" s="130">
        <v>57</v>
      </c>
      <c r="H98" s="131">
        <v>22.8</v>
      </c>
      <c r="I98" s="134" t="s">
        <v>282</v>
      </c>
      <c r="J98" s="131" t="s">
        <v>282</v>
      </c>
      <c r="K98" s="130">
        <v>13</v>
      </c>
      <c r="L98" s="131">
        <v>5.2</v>
      </c>
      <c r="M98" s="134">
        <v>3985</v>
      </c>
      <c r="N98" s="131">
        <v>1356.6</v>
      </c>
      <c r="O98" s="130">
        <v>7</v>
      </c>
      <c r="P98" s="131">
        <v>3.5</v>
      </c>
      <c r="Q98" s="130">
        <v>4</v>
      </c>
      <c r="R98" s="131">
        <v>0.4</v>
      </c>
      <c r="S98" s="147" t="s">
        <v>258</v>
      </c>
    </row>
    <row r="99" spans="1:22" s="124" customFormat="1" ht="14.4" x14ac:dyDescent="0.3">
      <c r="A99" s="129" t="s">
        <v>144</v>
      </c>
      <c r="B99" s="155">
        <f t="shared" si="37"/>
        <v>966</v>
      </c>
      <c r="C99" s="130">
        <v>1</v>
      </c>
      <c r="D99" s="131">
        <v>0.3</v>
      </c>
      <c r="E99" s="130" t="s">
        <v>282</v>
      </c>
      <c r="F99" s="131" t="s">
        <v>282</v>
      </c>
      <c r="G99" s="130">
        <v>17</v>
      </c>
      <c r="H99" s="131">
        <v>8.5</v>
      </c>
      <c r="I99" s="130">
        <v>641</v>
      </c>
      <c r="J99" s="131">
        <v>271.8</v>
      </c>
      <c r="K99" s="130">
        <v>13</v>
      </c>
      <c r="L99" s="131">
        <v>6.5</v>
      </c>
      <c r="M99" s="134">
        <v>284</v>
      </c>
      <c r="N99" s="131">
        <v>74.5</v>
      </c>
      <c r="O99" s="130" t="s">
        <v>282</v>
      </c>
      <c r="P99" s="131" t="s">
        <v>282</v>
      </c>
      <c r="Q99" s="134">
        <v>10</v>
      </c>
      <c r="R99" s="131">
        <v>3</v>
      </c>
      <c r="S99" s="147" t="s">
        <v>259</v>
      </c>
    </row>
    <row r="100" spans="1:22" s="124" customFormat="1" ht="14.4" x14ac:dyDescent="0.3">
      <c r="A100" s="129" t="s">
        <v>146</v>
      </c>
      <c r="B100" s="155">
        <f t="shared" si="37"/>
        <v>4240</v>
      </c>
      <c r="C100" s="130">
        <v>1859</v>
      </c>
      <c r="D100" s="131">
        <v>212.066</v>
      </c>
      <c r="E100" s="130">
        <v>233</v>
      </c>
      <c r="F100" s="131">
        <v>39.805</v>
      </c>
      <c r="G100" s="130">
        <v>404</v>
      </c>
      <c r="H100" s="131">
        <v>33.125999999999998</v>
      </c>
      <c r="I100" s="130">
        <v>17</v>
      </c>
      <c r="J100" s="131">
        <v>15.6</v>
      </c>
      <c r="K100" s="134">
        <v>81</v>
      </c>
      <c r="L100" s="131">
        <v>64</v>
      </c>
      <c r="M100" s="134">
        <v>720</v>
      </c>
      <c r="N100" s="131">
        <v>83.5</v>
      </c>
      <c r="O100" s="130" t="s">
        <v>282</v>
      </c>
      <c r="P100" s="131" t="s">
        <v>282</v>
      </c>
      <c r="Q100" s="130">
        <v>926</v>
      </c>
      <c r="R100" s="131">
        <v>280.83500000000004</v>
      </c>
      <c r="S100" s="147" t="s">
        <v>260</v>
      </c>
    </row>
    <row r="101" spans="1:22" s="124" customFormat="1" ht="14.4" x14ac:dyDescent="0.3">
      <c r="A101" s="129" t="s">
        <v>148</v>
      </c>
      <c r="B101" s="155">
        <f t="shared" si="37"/>
        <v>2430</v>
      </c>
      <c r="C101" s="130">
        <v>1894</v>
      </c>
      <c r="D101" s="131">
        <v>719.72</v>
      </c>
      <c r="E101" s="130" t="s">
        <v>282</v>
      </c>
      <c r="F101" s="131" t="s">
        <v>282</v>
      </c>
      <c r="G101" s="134" t="s">
        <v>282</v>
      </c>
      <c r="H101" s="131" t="s">
        <v>282</v>
      </c>
      <c r="I101" s="134" t="s">
        <v>282</v>
      </c>
      <c r="J101" s="131" t="s">
        <v>282</v>
      </c>
      <c r="K101" s="134">
        <v>7</v>
      </c>
      <c r="L101" s="131">
        <v>2.8</v>
      </c>
      <c r="M101" s="134">
        <v>494</v>
      </c>
      <c r="N101" s="131">
        <v>148.19999999999999</v>
      </c>
      <c r="O101" s="130" t="s">
        <v>282</v>
      </c>
      <c r="P101" s="131" t="s">
        <v>282</v>
      </c>
      <c r="Q101" s="134">
        <v>35</v>
      </c>
      <c r="R101" s="131">
        <v>3.5</v>
      </c>
      <c r="S101" s="147" t="s">
        <v>261</v>
      </c>
    </row>
    <row r="102" spans="1:22" s="124" customFormat="1" ht="14.4" x14ac:dyDescent="0.3">
      <c r="A102" s="129" t="s">
        <v>150</v>
      </c>
      <c r="B102" s="155">
        <f t="shared" si="37"/>
        <v>27336</v>
      </c>
      <c r="C102" s="130">
        <v>21522</v>
      </c>
      <c r="D102" s="131">
        <v>6390.8959999999997</v>
      </c>
      <c r="E102" s="130">
        <v>2418</v>
      </c>
      <c r="F102" s="131">
        <v>775.02</v>
      </c>
      <c r="G102" s="130">
        <v>668</v>
      </c>
      <c r="H102" s="131">
        <v>212.40700000000001</v>
      </c>
      <c r="I102" s="134">
        <v>25</v>
      </c>
      <c r="J102" s="131">
        <v>1E-3</v>
      </c>
      <c r="K102" s="130">
        <v>229</v>
      </c>
      <c r="L102" s="131">
        <v>61.35</v>
      </c>
      <c r="M102" s="134">
        <v>684</v>
      </c>
      <c r="N102" s="131">
        <v>339.15</v>
      </c>
      <c r="O102" s="130">
        <v>126</v>
      </c>
      <c r="P102" s="131">
        <v>28</v>
      </c>
      <c r="Q102" s="130">
        <v>1664</v>
      </c>
      <c r="R102" s="131">
        <v>414.66200000000003</v>
      </c>
      <c r="S102" s="147" t="s">
        <v>262</v>
      </c>
    </row>
    <row r="103" spans="1:22" s="124" customFormat="1" ht="14.4" x14ac:dyDescent="0.3">
      <c r="A103" s="129" t="s">
        <v>152</v>
      </c>
      <c r="B103" s="155">
        <f t="shared" si="37"/>
        <v>3439</v>
      </c>
      <c r="C103" s="130">
        <v>40</v>
      </c>
      <c r="D103" s="131">
        <v>12.25</v>
      </c>
      <c r="E103" s="130">
        <v>80</v>
      </c>
      <c r="F103" s="131">
        <v>20</v>
      </c>
      <c r="G103" s="130" t="s">
        <v>282</v>
      </c>
      <c r="H103" s="131" t="s">
        <v>282</v>
      </c>
      <c r="I103" s="134">
        <v>10</v>
      </c>
      <c r="J103" s="131">
        <v>8</v>
      </c>
      <c r="K103" s="130">
        <v>14</v>
      </c>
      <c r="L103" s="131">
        <v>11.2</v>
      </c>
      <c r="M103" s="134">
        <v>695</v>
      </c>
      <c r="N103" s="131">
        <v>521.25</v>
      </c>
      <c r="O103" s="130" t="s">
        <v>282</v>
      </c>
      <c r="P103" s="131" t="s">
        <v>282</v>
      </c>
      <c r="Q103" s="134">
        <v>2600</v>
      </c>
      <c r="R103" s="131">
        <v>659.1</v>
      </c>
      <c r="S103" s="147" t="s">
        <v>263</v>
      </c>
    </row>
    <row r="104" spans="1:22" s="124" customFormat="1" ht="14.4" x14ac:dyDescent="0.3">
      <c r="A104" s="129" t="s">
        <v>154</v>
      </c>
      <c r="B104" s="155">
        <f t="shared" si="37"/>
        <v>8728</v>
      </c>
      <c r="C104" s="130">
        <v>2030</v>
      </c>
      <c r="D104" s="131">
        <v>751.8</v>
      </c>
      <c r="E104" s="130">
        <v>2418</v>
      </c>
      <c r="F104" s="131">
        <v>903.66</v>
      </c>
      <c r="G104" s="130">
        <v>1625</v>
      </c>
      <c r="H104" s="131">
        <v>604.62</v>
      </c>
      <c r="I104" s="130">
        <v>282</v>
      </c>
      <c r="J104" s="131">
        <v>355.17</v>
      </c>
      <c r="K104" s="130" t="s">
        <v>282</v>
      </c>
      <c r="L104" s="131" t="s">
        <v>282</v>
      </c>
      <c r="M104" s="130">
        <v>2016</v>
      </c>
      <c r="N104" s="131">
        <v>1068.29</v>
      </c>
      <c r="O104" s="130">
        <v>24</v>
      </c>
      <c r="P104" s="131">
        <v>16.8</v>
      </c>
      <c r="Q104" s="130">
        <v>333</v>
      </c>
      <c r="R104" s="131">
        <v>171.82</v>
      </c>
      <c r="S104" s="147" t="s">
        <v>264</v>
      </c>
    </row>
    <row r="105" spans="1:22" s="124" customFormat="1" ht="14.4" x14ac:dyDescent="0.3">
      <c r="A105" s="129" t="s">
        <v>156</v>
      </c>
      <c r="B105" s="155">
        <f t="shared" si="37"/>
        <v>3848</v>
      </c>
      <c r="C105" s="130">
        <v>2498</v>
      </c>
      <c r="D105" s="131">
        <v>949.24</v>
      </c>
      <c r="E105" s="130">
        <v>158</v>
      </c>
      <c r="F105" s="131">
        <v>55.3</v>
      </c>
      <c r="G105" s="130">
        <v>241</v>
      </c>
      <c r="H105" s="131">
        <v>96.4</v>
      </c>
      <c r="I105" s="130" t="s">
        <v>282</v>
      </c>
      <c r="J105" s="131" t="s">
        <v>282</v>
      </c>
      <c r="K105" s="134">
        <v>2</v>
      </c>
      <c r="L105" s="131">
        <v>0.8</v>
      </c>
      <c r="M105" s="134">
        <v>917</v>
      </c>
      <c r="N105" s="131">
        <v>275.10000000000002</v>
      </c>
      <c r="O105" s="130" t="s">
        <v>282</v>
      </c>
      <c r="P105" s="131" t="s">
        <v>282</v>
      </c>
      <c r="Q105" s="134">
        <v>32</v>
      </c>
      <c r="R105" s="131">
        <v>6.2</v>
      </c>
      <c r="S105" s="147" t="s">
        <v>265</v>
      </c>
    </row>
    <row r="106" spans="1:22" s="124" customFormat="1" ht="14.4" x14ac:dyDescent="0.3">
      <c r="A106" s="192" t="s">
        <v>266</v>
      </c>
      <c r="B106" s="193">
        <f>SUM(B108:B111)</f>
        <v>147537</v>
      </c>
      <c r="C106" s="171">
        <f>SUM(C108:C111)</f>
        <v>12890</v>
      </c>
      <c r="D106" s="171">
        <f t="shared" ref="D106:R106" si="38">SUM(D108:D111)</f>
        <v>4199.6239999999998</v>
      </c>
      <c r="E106" s="171">
        <f t="shared" si="38"/>
        <v>29801</v>
      </c>
      <c r="F106" s="171">
        <f t="shared" si="38"/>
        <v>12130.849</v>
      </c>
      <c r="G106" s="191">
        <f t="shared" si="38"/>
        <v>51177</v>
      </c>
      <c r="H106" s="171">
        <f t="shared" si="38"/>
        <v>20670.337999999996</v>
      </c>
      <c r="I106" s="171">
        <f t="shared" si="38"/>
        <v>2888</v>
      </c>
      <c r="J106" s="171">
        <f t="shared" si="38"/>
        <v>1951.94</v>
      </c>
      <c r="K106" s="171">
        <f t="shared" si="38"/>
        <v>2274</v>
      </c>
      <c r="L106" s="171">
        <f t="shared" si="38"/>
        <v>1251.692</v>
      </c>
      <c r="M106" s="171">
        <f t="shared" si="38"/>
        <v>43311</v>
      </c>
      <c r="N106" s="179">
        <f t="shared" si="38"/>
        <v>17056.656999999999</v>
      </c>
      <c r="O106" s="171">
        <f t="shared" ref="O106:P106" si="39">SUM(O108:O111)</f>
        <v>1058</v>
      </c>
      <c r="P106" s="191">
        <f t="shared" si="39"/>
        <v>594.64</v>
      </c>
      <c r="Q106" s="171">
        <f t="shared" si="38"/>
        <v>4138</v>
      </c>
      <c r="R106" s="179">
        <f t="shared" si="38"/>
        <v>1592.712</v>
      </c>
      <c r="S106" s="176" t="s">
        <v>267</v>
      </c>
      <c r="T106" s="177"/>
      <c r="U106" s="177"/>
    </row>
    <row r="107" spans="1:22" s="124" customFormat="1" ht="14.4" x14ac:dyDescent="0.3">
      <c r="A107" s="192"/>
      <c r="B107" s="193"/>
      <c r="C107" s="171"/>
      <c r="D107" s="171"/>
      <c r="E107" s="171"/>
      <c r="F107" s="171"/>
      <c r="G107" s="191"/>
      <c r="H107" s="171"/>
      <c r="I107" s="171"/>
      <c r="J107" s="171"/>
      <c r="K107" s="171"/>
      <c r="L107" s="171"/>
      <c r="M107" s="171"/>
      <c r="N107" s="179"/>
      <c r="O107" s="171"/>
      <c r="P107" s="191"/>
      <c r="Q107" s="171"/>
      <c r="R107" s="179"/>
      <c r="S107" s="176"/>
      <c r="T107" s="177"/>
      <c r="U107" s="177"/>
    </row>
    <row r="108" spans="1:22" s="124" customFormat="1" ht="14.4" x14ac:dyDescent="0.3">
      <c r="A108" s="129" t="s">
        <v>158</v>
      </c>
      <c r="B108" s="155">
        <f t="shared" ref="B108:B111" si="40">SUM(C108,E108,G108,I108,K108,M108,O108,Q108)</f>
        <v>45138</v>
      </c>
      <c r="C108" s="130">
        <v>6386</v>
      </c>
      <c r="D108" s="131">
        <v>1884.902</v>
      </c>
      <c r="E108" s="130">
        <v>2611</v>
      </c>
      <c r="F108" s="131">
        <v>830.36</v>
      </c>
      <c r="G108" s="130">
        <v>15106</v>
      </c>
      <c r="H108" s="131">
        <v>4947.3739999999998</v>
      </c>
      <c r="I108" s="130">
        <v>1358</v>
      </c>
      <c r="J108" s="131">
        <v>602.798</v>
      </c>
      <c r="K108" s="130">
        <v>1334</v>
      </c>
      <c r="L108" s="131">
        <v>439.983</v>
      </c>
      <c r="M108" s="130">
        <v>14890</v>
      </c>
      <c r="N108" s="131">
        <v>5652.7150000000001</v>
      </c>
      <c r="O108" s="130">
        <v>438</v>
      </c>
      <c r="P108" s="131">
        <v>193.57</v>
      </c>
      <c r="Q108" s="130">
        <v>3015</v>
      </c>
      <c r="R108" s="131">
        <v>963.40200000000004</v>
      </c>
      <c r="S108" s="147" t="s">
        <v>268</v>
      </c>
    </row>
    <row r="109" spans="1:22" s="124" customFormat="1" ht="14.4" x14ac:dyDescent="0.3">
      <c r="A109" s="129" t="s">
        <v>160</v>
      </c>
      <c r="B109" s="155">
        <f t="shared" si="40"/>
        <v>25937</v>
      </c>
      <c r="C109" s="130">
        <v>4175</v>
      </c>
      <c r="D109" s="131">
        <v>1522.963</v>
      </c>
      <c r="E109" s="130">
        <v>1927</v>
      </c>
      <c r="F109" s="131">
        <v>2050.9090000000001</v>
      </c>
      <c r="G109" s="130">
        <v>6597</v>
      </c>
      <c r="H109" s="131">
        <v>2256.8580000000002</v>
      </c>
      <c r="I109" s="130">
        <v>108</v>
      </c>
      <c r="J109" s="131">
        <v>85</v>
      </c>
      <c r="K109" s="130">
        <v>118</v>
      </c>
      <c r="L109" s="131">
        <v>123.65</v>
      </c>
      <c r="M109" s="130">
        <v>12287</v>
      </c>
      <c r="N109" s="131">
        <v>4572.585</v>
      </c>
      <c r="O109" s="130">
        <v>220</v>
      </c>
      <c r="P109" s="131">
        <v>48.05</v>
      </c>
      <c r="Q109" s="130">
        <v>505</v>
      </c>
      <c r="R109" s="131">
        <v>187.75</v>
      </c>
      <c r="S109" s="147" t="s">
        <v>269</v>
      </c>
    </row>
    <row r="110" spans="1:22" s="124" customFormat="1" ht="14.4" x14ac:dyDescent="0.3">
      <c r="A110" s="129" t="s">
        <v>163</v>
      </c>
      <c r="B110" s="155">
        <f t="shared" si="40"/>
        <v>63883</v>
      </c>
      <c r="C110" s="130">
        <v>1356</v>
      </c>
      <c r="D110" s="131">
        <v>534.85599999999999</v>
      </c>
      <c r="E110" s="130">
        <v>23368</v>
      </c>
      <c r="F110" s="131">
        <v>8616.68</v>
      </c>
      <c r="G110" s="130">
        <v>24014</v>
      </c>
      <c r="H110" s="131">
        <v>11012.489</v>
      </c>
      <c r="I110" s="130">
        <v>962</v>
      </c>
      <c r="J110" s="131">
        <v>983.59</v>
      </c>
      <c r="K110" s="130">
        <v>618</v>
      </c>
      <c r="L110" s="131">
        <v>450.10399999999998</v>
      </c>
      <c r="M110" s="130">
        <v>13047</v>
      </c>
      <c r="N110" s="131">
        <v>5159.7</v>
      </c>
      <c r="O110" s="130">
        <v>393</v>
      </c>
      <c r="P110" s="131">
        <v>340.35</v>
      </c>
      <c r="Q110" s="130">
        <v>125</v>
      </c>
      <c r="R110" s="131">
        <v>89.050000000000011</v>
      </c>
      <c r="S110" s="147" t="s">
        <v>270</v>
      </c>
    </row>
    <row r="111" spans="1:22" s="124" customFormat="1" ht="15" thickBot="1" x14ac:dyDescent="0.35">
      <c r="A111" s="137" t="s">
        <v>166</v>
      </c>
      <c r="B111" s="157">
        <f t="shared" si="40"/>
        <v>12579</v>
      </c>
      <c r="C111" s="138">
        <v>973</v>
      </c>
      <c r="D111" s="139">
        <v>256.90300000000002</v>
      </c>
      <c r="E111" s="138">
        <v>1895</v>
      </c>
      <c r="F111" s="139">
        <v>632.9</v>
      </c>
      <c r="G111" s="138">
        <v>5460</v>
      </c>
      <c r="H111" s="139">
        <v>2453.6170000000002</v>
      </c>
      <c r="I111" s="138">
        <v>460</v>
      </c>
      <c r="J111" s="139">
        <v>280.55200000000002</v>
      </c>
      <c r="K111" s="138">
        <v>204</v>
      </c>
      <c r="L111" s="139">
        <v>237.95500000000001</v>
      </c>
      <c r="M111" s="138">
        <v>3087</v>
      </c>
      <c r="N111" s="139">
        <v>1671.6569999999999</v>
      </c>
      <c r="O111" s="138">
        <v>7</v>
      </c>
      <c r="P111" s="139">
        <v>12.67</v>
      </c>
      <c r="Q111" s="138">
        <v>493</v>
      </c>
      <c r="R111" s="139">
        <v>352.51</v>
      </c>
      <c r="S111" s="149" t="s">
        <v>271</v>
      </c>
      <c r="T111" s="140"/>
      <c r="U111" s="140"/>
      <c r="V111" s="140"/>
    </row>
    <row r="112" spans="1:22" s="124" customFormat="1" ht="14.4" x14ac:dyDescent="0.3">
      <c r="A112" s="141" t="s">
        <v>272</v>
      </c>
      <c r="L112" s="124" t="s">
        <v>275</v>
      </c>
      <c r="S112" s="178"/>
      <c r="T112" s="178"/>
      <c r="U112" s="178"/>
    </row>
    <row r="113" spans="1:12" s="124" customFormat="1" ht="14.4" x14ac:dyDescent="0.3">
      <c r="A113" s="142" t="s">
        <v>283</v>
      </c>
      <c r="L113" s="124" t="s">
        <v>276</v>
      </c>
    </row>
    <row r="114" spans="1:12" s="124" customFormat="1" ht="14.4" x14ac:dyDescent="0.3">
      <c r="A114" s="124" t="s">
        <v>284</v>
      </c>
      <c r="L114" s="124" t="s">
        <v>277</v>
      </c>
    </row>
    <row r="115" spans="1:12" s="124" customFormat="1" ht="14.4" x14ac:dyDescent="0.3"/>
    <row r="116" spans="1:12" s="124" customFormat="1" ht="14.4" x14ac:dyDescent="0.3"/>
    <row r="117" spans="1:12" s="124" customFormat="1" ht="14.4" x14ac:dyDescent="0.3"/>
    <row r="118" spans="1:12" s="124" customFormat="1" ht="14.4" x14ac:dyDescent="0.3"/>
    <row r="119" spans="1:12" s="124" customFormat="1" ht="14.4" x14ac:dyDescent="0.3"/>
    <row r="120" spans="1:12" s="124" customFormat="1" ht="14.4" x14ac:dyDescent="0.3"/>
    <row r="121" spans="1:12" s="124" customFormat="1" ht="14.4" x14ac:dyDescent="0.3"/>
    <row r="122" spans="1:12" s="124" customFormat="1" ht="14.4" x14ac:dyDescent="0.3"/>
    <row r="123" spans="1:12" s="124" customFormat="1" ht="14.4" x14ac:dyDescent="0.3"/>
    <row r="124" spans="1:12" s="124" customFormat="1" ht="14.4" x14ac:dyDescent="0.3"/>
    <row r="125" spans="1:12" s="124" customFormat="1" ht="14.4" x14ac:dyDescent="0.3"/>
    <row r="126" spans="1:12" s="124" customFormat="1" ht="14.4" x14ac:dyDescent="0.3"/>
    <row r="127" spans="1:12" s="124" customFormat="1" ht="14.4" x14ac:dyDescent="0.3"/>
    <row r="128" spans="1:12" s="124" customFormat="1" ht="14.4" x14ac:dyDescent="0.3"/>
    <row r="129" s="124" customFormat="1" ht="14.4" x14ac:dyDescent="0.3"/>
    <row r="130" s="124" customFormat="1" ht="14.4" x14ac:dyDescent="0.3"/>
    <row r="131" s="124" customFormat="1" ht="14.4" x14ac:dyDescent="0.3"/>
    <row r="132" s="124" customFormat="1" ht="14.4" x14ac:dyDescent="0.3"/>
    <row r="133" s="124" customFormat="1" ht="14.4" x14ac:dyDescent="0.3"/>
    <row r="134" s="124" customFormat="1" ht="14.4" x14ac:dyDescent="0.3"/>
    <row r="135" s="124" customFormat="1" ht="14.4" x14ac:dyDescent="0.3"/>
    <row r="136" s="124" customFormat="1" ht="14.4" x14ac:dyDescent="0.3"/>
    <row r="137" s="124" customFormat="1" ht="14.4" x14ac:dyDescent="0.3"/>
    <row r="138" s="124" customFormat="1" ht="14.4" x14ac:dyDescent="0.3"/>
    <row r="139" s="124" customFormat="1" ht="14.4" x14ac:dyDescent="0.3"/>
  </sheetData>
  <mergeCells count="281">
    <mergeCell ref="M9:N9"/>
    <mergeCell ref="M6:N8"/>
    <mergeCell ref="O6:P8"/>
    <mergeCell ref="O9:P9"/>
    <mergeCell ref="Q6:R8"/>
    <mergeCell ref="Q9:R9"/>
    <mergeCell ref="B6:B8"/>
    <mergeCell ref="I6:L6"/>
    <mergeCell ref="I8:L8"/>
    <mergeCell ref="I7:J7"/>
    <mergeCell ref="K7:L7"/>
    <mergeCell ref="C6:D8"/>
    <mergeCell ref="C9:D9"/>
    <mergeCell ref="E6:F8"/>
    <mergeCell ref="E9:F9"/>
    <mergeCell ref="G6:H8"/>
    <mergeCell ref="G9:H9"/>
    <mergeCell ref="P62:P63"/>
    <mergeCell ref="O67:O68"/>
    <mergeCell ref="P67:P68"/>
    <mergeCell ref="O74:O75"/>
    <mergeCell ref="P74:P75"/>
    <mergeCell ref="O84:O85"/>
    <mergeCell ref="P84:P85"/>
    <mergeCell ref="O91:O92"/>
    <mergeCell ref="P91:P92"/>
    <mergeCell ref="O11:O12"/>
    <mergeCell ref="P11:P12"/>
    <mergeCell ref="O13:O14"/>
    <mergeCell ref="P13:P14"/>
    <mergeCell ref="O21:O22"/>
    <mergeCell ref="P21:P22"/>
    <mergeCell ref="O35:O36"/>
    <mergeCell ref="P35:P36"/>
    <mergeCell ref="O41:O42"/>
    <mergeCell ref="P41:P42"/>
    <mergeCell ref="A2:U2"/>
    <mergeCell ref="A3:U3"/>
    <mergeCell ref="L11:L12"/>
    <mergeCell ref="A35:A36"/>
    <mergeCell ref="B35:B36"/>
    <mergeCell ref="I35:I36"/>
    <mergeCell ref="J35:J36"/>
    <mergeCell ref="S6:U10"/>
    <mergeCell ref="M13:M14"/>
    <mergeCell ref="F11:F12"/>
    <mergeCell ref="N13:N14"/>
    <mergeCell ref="L13:L14"/>
    <mergeCell ref="I9:J9"/>
    <mergeCell ref="K9:L9"/>
    <mergeCell ref="A6:A10"/>
    <mergeCell ref="M11:M12"/>
    <mergeCell ref="N11:N12"/>
    <mergeCell ref="J11:J12"/>
    <mergeCell ref="A21:A22"/>
    <mergeCell ref="B21:B22"/>
    <mergeCell ref="A13:A14"/>
    <mergeCell ref="B13:B14"/>
    <mergeCell ref="I13:I14"/>
    <mergeCell ref="J13:J14"/>
    <mergeCell ref="K13:K14"/>
    <mergeCell ref="C11:C12"/>
    <mergeCell ref="D11:D12"/>
    <mergeCell ref="E11:E12"/>
    <mergeCell ref="G11:G12"/>
    <mergeCell ref="H11:H12"/>
    <mergeCell ref="K11:K12"/>
    <mergeCell ref="A11:A12"/>
    <mergeCell ref="B11:B12"/>
    <mergeCell ref="I11:I12"/>
    <mergeCell ref="C13:C14"/>
    <mergeCell ref="D13:D14"/>
    <mergeCell ref="E13:E14"/>
    <mergeCell ref="F13:F14"/>
    <mergeCell ref="G13:G14"/>
    <mergeCell ref="H13:H14"/>
    <mergeCell ref="M35:M36"/>
    <mergeCell ref="C35:C36"/>
    <mergeCell ref="D35:D36"/>
    <mergeCell ref="E35:E36"/>
    <mergeCell ref="F35:F36"/>
    <mergeCell ref="Q21:Q22"/>
    <mergeCell ref="F21:F22"/>
    <mergeCell ref="N35:N36"/>
    <mergeCell ref="L35:L36"/>
    <mergeCell ref="M21:M22"/>
    <mergeCell ref="I21:I22"/>
    <mergeCell ref="J21:J22"/>
    <mergeCell ref="K21:K22"/>
    <mergeCell ref="L21:L22"/>
    <mergeCell ref="C21:C22"/>
    <mergeCell ref="D21:D22"/>
    <mergeCell ref="E21:E22"/>
    <mergeCell ref="G21:G22"/>
    <mergeCell ref="H21:H22"/>
    <mergeCell ref="G35:G36"/>
    <mergeCell ref="H35:H36"/>
    <mergeCell ref="K35:K36"/>
    <mergeCell ref="M41:M42"/>
    <mergeCell ref="D41:D42"/>
    <mergeCell ref="E41:E42"/>
    <mergeCell ref="F41:F42"/>
    <mergeCell ref="H41:H42"/>
    <mergeCell ref="G48:G49"/>
    <mergeCell ref="H48:H49"/>
    <mergeCell ref="C48:C49"/>
    <mergeCell ref="D48:D49"/>
    <mergeCell ref="E48:E49"/>
    <mergeCell ref="F48:F49"/>
    <mergeCell ref="A41:A42"/>
    <mergeCell ref="B41:B42"/>
    <mergeCell ref="I41:I42"/>
    <mergeCell ref="J41:J42"/>
    <mergeCell ref="K41:K42"/>
    <mergeCell ref="L41:L42"/>
    <mergeCell ref="C41:C42"/>
    <mergeCell ref="G41:G42"/>
    <mergeCell ref="A48:A49"/>
    <mergeCell ref="B48:B49"/>
    <mergeCell ref="I48:I49"/>
    <mergeCell ref="J48:J49"/>
    <mergeCell ref="K48:K49"/>
    <mergeCell ref="A62:A63"/>
    <mergeCell ref="B62:B63"/>
    <mergeCell ref="I62:I63"/>
    <mergeCell ref="J62:J63"/>
    <mergeCell ref="K62:K63"/>
    <mergeCell ref="M55:M56"/>
    <mergeCell ref="D55:D56"/>
    <mergeCell ref="E55:E56"/>
    <mergeCell ref="F55:F56"/>
    <mergeCell ref="C62:C63"/>
    <mergeCell ref="D62:D63"/>
    <mergeCell ref="E62:E63"/>
    <mergeCell ref="F62:F63"/>
    <mergeCell ref="G62:G63"/>
    <mergeCell ref="A55:A56"/>
    <mergeCell ref="B55:B56"/>
    <mergeCell ref="I55:I56"/>
    <mergeCell ref="J55:J56"/>
    <mergeCell ref="K55:K56"/>
    <mergeCell ref="L55:L56"/>
    <mergeCell ref="C55:C56"/>
    <mergeCell ref="G55:G56"/>
    <mergeCell ref="H55:H56"/>
    <mergeCell ref="A74:A75"/>
    <mergeCell ref="B74:B75"/>
    <mergeCell ref="I74:I75"/>
    <mergeCell ref="J74:J75"/>
    <mergeCell ref="K74:K75"/>
    <mergeCell ref="M67:M68"/>
    <mergeCell ref="D67:D68"/>
    <mergeCell ref="E67:E68"/>
    <mergeCell ref="F67:F68"/>
    <mergeCell ref="M74:M75"/>
    <mergeCell ref="A67:A68"/>
    <mergeCell ref="B67:B68"/>
    <mergeCell ref="I67:I68"/>
    <mergeCell ref="J67:J68"/>
    <mergeCell ref="K67:K68"/>
    <mergeCell ref="L67:L68"/>
    <mergeCell ref="C67:C68"/>
    <mergeCell ref="G67:G68"/>
    <mergeCell ref="H67:H68"/>
    <mergeCell ref="C74:C75"/>
    <mergeCell ref="D74:D75"/>
    <mergeCell ref="E74:E75"/>
    <mergeCell ref="F74:F75"/>
    <mergeCell ref="G74:G75"/>
    <mergeCell ref="M84:M85"/>
    <mergeCell ref="N84:N85"/>
    <mergeCell ref="Q84:Q85"/>
    <mergeCell ref="R84:R85"/>
    <mergeCell ref="A84:A85"/>
    <mergeCell ref="B84:B85"/>
    <mergeCell ref="I84:I85"/>
    <mergeCell ref="J84:J85"/>
    <mergeCell ref="K84:K85"/>
    <mergeCell ref="L84:L85"/>
    <mergeCell ref="C84:C85"/>
    <mergeCell ref="D84:D85"/>
    <mergeCell ref="E84:E85"/>
    <mergeCell ref="F84:F85"/>
    <mergeCell ref="G84:G85"/>
    <mergeCell ref="H84:H85"/>
    <mergeCell ref="M91:M92"/>
    <mergeCell ref="N91:N92"/>
    <mergeCell ref="E91:E92"/>
    <mergeCell ref="F91:F92"/>
    <mergeCell ref="G91:G92"/>
    <mergeCell ref="H91:H92"/>
    <mergeCell ref="Q91:Q92"/>
    <mergeCell ref="R91:R92"/>
    <mergeCell ref="L91:L92"/>
    <mergeCell ref="A91:A92"/>
    <mergeCell ref="B91:B92"/>
    <mergeCell ref="I91:I92"/>
    <mergeCell ref="J91:J92"/>
    <mergeCell ref="K91:K92"/>
    <mergeCell ref="C91:C92"/>
    <mergeCell ref="D91:D92"/>
    <mergeCell ref="C106:C107"/>
    <mergeCell ref="D106:D107"/>
    <mergeCell ref="M106:M107"/>
    <mergeCell ref="N106:N107"/>
    <mergeCell ref="Q106:Q107"/>
    <mergeCell ref="R106:R107"/>
    <mergeCell ref="A106:A107"/>
    <mergeCell ref="B106:B107"/>
    <mergeCell ref="I106:I107"/>
    <mergeCell ref="J106:J107"/>
    <mergeCell ref="K106:K107"/>
    <mergeCell ref="L106:L107"/>
    <mergeCell ref="E106:E107"/>
    <mergeCell ref="F106:F107"/>
    <mergeCell ref="G106:G107"/>
    <mergeCell ref="H106:H107"/>
    <mergeCell ref="O106:O107"/>
    <mergeCell ref="P106:P107"/>
    <mergeCell ref="N55:N56"/>
    <mergeCell ref="Q55:Q56"/>
    <mergeCell ref="R55:R56"/>
    <mergeCell ref="N41:N42"/>
    <mergeCell ref="Q41:Q42"/>
    <mergeCell ref="S83:V83"/>
    <mergeCell ref="S79:V79"/>
    <mergeCell ref="S41:U42"/>
    <mergeCell ref="S46:U46"/>
    <mergeCell ref="S48:U49"/>
    <mergeCell ref="S55:U56"/>
    <mergeCell ref="S80:V80"/>
    <mergeCell ref="S76:V76"/>
    <mergeCell ref="S74:U75"/>
    <mergeCell ref="S81:V81"/>
    <mergeCell ref="R41:R42"/>
    <mergeCell ref="S65:U65"/>
    <mergeCell ref="S67:U68"/>
    <mergeCell ref="S82:V82"/>
    <mergeCell ref="O48:O49"/>
    <mergeCell ref="P48:P49"/>
    <mergeCell ref="O55:O56"/>
    <mergeCell ref="P55:P56"/>
    <mergeCell ref="O62:O63"/>
    <mergeCell ref="S35:U36"/>
    <mergeCell ref="R21:R22"/>
    <mergeCell ref="R11:R12"/>
    <mergeCell ref="Q74:Q75"/>
    <mergeCell ref="R74:R75"/>
    <mergeCell ref="Q62:Q63"/>
    <mergeCell ref="R62:R63"/>
    <mergeCell ref="S62:U63"/>
    <mergeCell ref="Q13:Q14"/>
    <mergeCell ref="R13:R14"/>
    <mergeCell ref="S11:U12"/>
    <mergeCell ref="S13:U14"/>
    <mergeCell ref="S21:U22"/>
    <mergeCell ref="Q11:Q12"/>
    <mergeCell ref="H74:H75"/>
    <mergeCell ref="H62:H63"/>
    <mergeCell ref="S84:U85"/>
    <mergeCell ref="S91:U92"/>
    <mergeCell ref="S106:U107"/>
    <mergeCell ref="S112:U112"/>
    <mergeCell ref="N21:N22"/>
    <mergeCell ref="Q48:Q49"/>
    <mergeCell ref="R48:R49"/>
    <mergeCell ref="Q35:Q36"/>
    <mergeCell ref="R35:R36"/>
    <mergeCell ref="S77:V77"/>
    <mergeCell ref="S78:V78"/>
    <mergeCell ref="N74:N75"/>
    <mergeCell ref="L74:L75"/>
    <mergeCell ref="M62:M63"/>
    <mergeCell ref="N62:N63"/>
    <mergeCell ref="L62:L63"/>
    <mergeCell ref="M48:M49"/>
    <mergeCell ref="N48:N49"/>
    <mergeCell ref="L48:L49"/>
    <mergeCell ref="N67:N68"/>
    <mergeCell ref="Q67:Q68"/>
    <mergeCell ref="R67:R68"/>
  </mergeCells>
  <pageMargins left="0.7" right="0.7" top="0.75" bottom="0.75" header="0.3" footer="0.3"/>
  <pageSetup paperSize="9" orientation="portrait" horizontalDpi="200" verticalDpi="200" r:id="rId1"/>
  <ignoredErrors>
    <ignoredError sqref="B12 C91:C92 C84:C85 C74:C75 C67:C68 C62:C63 C55:C56 C48:C49 C41:C42 C35:C36 C22 Q30:R30 Q22:R22 Q35:R36 Q41:R42 Q48:R49 Q55:R56 Q62:R63 Q67:R68 Q74:R75 Q84:R85 Q106:R107 Q91:R92 C21 Q21:R21 E21:N21 D91:N92 C106:N107 D84:N85 D74:N75 D67:N68 D62:N63 D55:N56 D48:N49 D41:N42 D35:N36 D22:N22 C30:N30 B15:B29 B31:B11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ListOfValues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2015-05-06T10:25:36Z</cp:lastPrinted>
  <dcterms:created xsi:type="dcterms:W3CDTF">2015-05-05T09:33:52Z</dcterms:created>
  <dcterms:modified xsi:type="dcterms:W3CDTF">2025-06-11T11:25:51Z</dcterms:modified>
</cp:coreProperties>
</file>