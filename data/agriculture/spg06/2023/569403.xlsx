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F1A01279-C45A-4174-BD21-1A86E86B0CC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I34" i="1"/>
  <c r="C39" i="1"/>
  <c r="D39" i="1"/>
  <c r="E39" i="1"/>
  <c r="F39" i="1"/>
  <c r="G39" i="1"/>
  <c r="H39" i="1"/>
  <c r="I39" i="1"/>
  <c r="C45" i="1"/>
  <c r="D45" i="1"/>
  <c r="E45" i="1"/>
  <c r="F45" i="1"/>
  <c r="G45" i="1"/>
  <c r="H45" i="1"/>
  <c r="I45" i="1"/>
  <c r="C52" i="1"/>
  <c r="D52" i="1"/>
  <c r="E52" i="1"/>
  <c r="F52" i="1"/>
  <c r="G52" i="1"/>
  <c r="H52" i="1"/>
  <c r="I52" i="1"/>
  <c r="C59" i="1"/>
  <c r="D59" i="1"/>
  <c r="E59" i="1"/>
  <c r="F59" i="1"/>
  <c r="G59" i="1"/>
  <c r="H59" i="1"/>
  <c r="I59" i="1"/>
  <c r="C66" i="1"/>
  <c r="D66" i="1"/>
  <c r="E66" i="1"/>
  <c r="F66" i="1"/>
  <c r="G66" i="1"/>
  <c r="H66" i="1"/>
  <c r="I66" i="1"/>
  <c r="C71" i="1"/>
  <c r="D71" i="1"/>
  <c r="E71" i="1"/>
  <c r="F71" i="1"/>
  <c r="G71" i="1"/>
  <c r="H71" i="1"/>
  <c r="I71" i="1"/>
  <c r="C78" i="1"/>
  <c r="D78" i="1"/>
  <c r="E78" i="1"/>
  <c r="F78" i="1"/>
  <c r="G78" i="1"/>
  <c r="H78" i="1"/>
  <c r="I78" i="1"/>
  <c r="B22" i="1"/>
  <c r="BE110" i="1"/>
  <c r="BF39" i="1"/>
  <c r="BE39" i="1"/>
  <c r="B21" i="1"/>
  <c r="C110" i="1"/>
  <c r="D110" i="1"/>
  <c r="C88" i="1"/>
  <c r="D88" i="1"/>
  <c r="Z45" i="1"/>
  <c r="P39" i="1"/>
  <c r="W25" i="1"/>
  <c r="B20" i="1"/>
  <c r="B19" i="1"/>
  <c r="V95" i="1"/>
  <c r="U17" i="1"/>
  <c r="B115" i="1"/>
  <c r="B114" i="1"/>
  <c r="B113" i="1"/>
  <c r="B112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4" i="1"/>
  <c r="B93" i="1"/>
  <c r="B92" i="1"/>
  <c r="B91" i="1"/>
  <c r="B90" i="1"/>
  <c r="B87" i="1"/>
  <c r="B86" i="1"/>
  <c r="B85" i="1"/>
  <c r="B84" i="1"/>
  <c r="B83" i="1"/>
  <c r="B82" i="1"/>
  <c r="B81" i="1"/>
  <c r="B80" i="1"/>
  <c r="B77" i="1"/>
  <c r="B76" i="1"/>
  <c r="B75" i="1"/>
  <c r="B74" i="1"/>
  <c r="B73" i="1"/>
  <c r="B70" i="1"/>
  <c r="B69" i="1"/>
  <c r="B68" i="1"/>
  <c r="B65" i="1"/>
  <c r="B64" i="1"/>
  <c r="B63" i="1"/>
  <c r="B62" i="1"/>
  <c r="B61" i="1"/>
  <c r="B58" i="1"/>
  <c r="B57" i="1"/>
  <c r="B56" i="1"/>
  <c r="B55" i="1"/>
  <c r="B54" i="1"/>
  <c r="B51" i="1"/>
  <c r="B50" i="1"/>
  <c r="B49" i="1"/>
  <c r="B48" i="1"/>
  <c r="B47" i="1"/>
  <c r="B44" i="1"/>
  <c r="B43" i="1"/>
  <c r="B42" i="1"/>
  <c r="B41" i="1"/>
  <c r="B38" i="1"/>
  <c r="B37" i="1"/>
  <c r="B36" i="1"/>
  <c r="B35" i="1"/>
  <c r="B33" i="1"/>
  <c r="B32" i="1"/>
  <c r="B31" i="1"/>
  <c r="B30" i="1"/>
  <c r="B29" i="1"/>
  <c r="B28" i="1"/>
  <c r="B27" i="1"/>
  <c r="B23" i="1"/>
  <c r="B24" i="1"/>
  <c r="AY17" i="1"/>
  <c r="AV78" i="1"/>
  <c r="AW88" i="1"/>
  <c r="AV95" i="1"/>
  <c r="AV110" i="1"/>
  <c r="AU110" i="1"/>
  <c r="AW110" i="1"/>
  <c r="AX110" i="1"/>
  <c r="AG110" i="1"/>
  <c r="AH110" i="1"/>
  <c r="AI110" i="1"/>
  <c r="AJ110" i="1"/>
  <c r="AK110" i="1"/>
  <c r="AL110" i="1"/>
  <c r="AU95" i="1"/>
  <c r="AW95" i="1"/>
  <c r="AX95" i="1"/>
  <c r="AG95" i="1"/>
  <c r="AH95" i="1"/>
  <c r="AI95" i="1"/>
  <c r="AJ95" i="1"/>
  <c r="AK95" i="1"/>
  <c r="AL95" i="1"/>
  <c r="AU88" i="1"/>
  <c r="AV88" i="1"/>
  <c r="AX88" i="1"/>
  <c r="AG88" i="1"/>
  <c r="AH88" i="1"/>
  <c r="AI88" i="1"/>
  <c r="AJ88" i="1"/>
  <c r="AK88" i="1"/>
  <c r="AL88" i="1"/>
  <c r="AU78" i="1"/>
  <c r="AW78" i="1"/>
  <c r="AX78" i="1"/>
  <c r="AG78" i="1"/>
  <c r="AH78" i="1"/>
  <c r="AI78" i="1"/>
  <c r="AJ78" i="1"/>
  <c r="AK78" i="1"/>
  <c r="AL78" i="1"/>
  <c r="AU71" i="1"/>
  <c r="AV71" i="1"/>
  <c r="AW71" i="1"/>
  <c r="AX71" i="1"/>
  <c r="AG71" i="1"/>
  <c r="AH71" i="1"/>
  <c r="AI71" i="1"/>
  <c r="AJ71" i="1"/>
  <c r="AK71" i="1"/>
  <c r="AL71" i="1"/>
  <c r="AU66" i="1"/>
  <c r="AV66" i="1"/>
  <c r="AW66" i="1"/>
  <c r="AX66" i="1"/>
  <c r="AG66" i="1"/>
  <c r="AH66" i="1"/>
  <c r="AI66" i="1"/>
  <c r="AJ66" i="1"/>
  <c r="AK66" i="1"/>
  <c r="AL66" i="1"/>
  <c r="AU59" i="1"/>
  <c r="AV59" i="1"/>
  <c r="AW59" i="1"/>
  <c r="AX59" i="1"/>
  <c r="AG59" i="1"/>
  <c r="AH59" i="1"/>
  <c r="AI59" i="1"/>
  <c r="AJ59" i="1"/>
  <c r="AK59" i="1"/>
  <c r="AL59" i="1"/>
  <c r="AU52" i="1"/>
  <c r="AV52" i="1"/>
  <c r="AW52" i="1"/>
  <c r="AX52" i="1"/>
  <c r="AG52" i="1"/>
  <c r="AH52" i="1"/>
  <c r="AI52" i="1"/>
  <c r="AJ52" i="1"/>
  <c r="AK52" i="1"/>
  <c r="AL52" i="1"/>
  <c r="AU45" i="1"/>
  <c r="AV45" i="1"/>
  <c r="AW45" i="1"/>
  <c r="AX45" i="1"/>
  <c r="AU39" i="1"/>
  <c r="AV39" i="1"/>
  <c r="AW39" i="1"/>
  <c r="AX39" i="1"/>
  <c r="AG45" i="1"/>
  <c r="AH45" i="1"/>
  <c r="AI45" i="1"/>
  <c r="AJ45" i="1"/>
  <c r="AK45" i="1"/>
  <c r="AL45" i="1"/>
  <c r="AG39" i="1"/>
  <c r="AH39" i="1"/>
  <c r="AI39" i="1"/>
  <c r="AJ39" i="1"/>
  <c r="AK39" i="1"/>
  <c r="AL39" i="1"/>
  <c r="M110" i="1"/>
  <c r="N110" i="1"/>
  <c r="M95" i="1"/>
  <c r="N95" i="1"/>
  <c r="M88" i="1"/>
  <c r="N88" i="1"/>
  <c r="M78" i="1"/>
  <c r="N78" i="1"/>
  <c r="M71" i="1"/>
  <c r="N71" i="1"/>
  <c r="M66" i="1"/>
  <c r="N66" i="1"/>
  <c r="M59" i="1"/>
  <c r="N59" i="1"/>
  <c r="M52" i="1"/>
  <c r="N52" i="1"/>
  <c r="M45" i="1"/>
  <c r="N45" i="1"/>
  <c r="M39" i="1"/>
  <c r="N39" i="1"/>
  <c r="M34" i="1"/>
  <c r="N34" i="1"/>
  <c r="AU34" i="1"/>
  <c r="AV34" i="1"/>
  <c r="AW34" i="1"/>
  <c r="AX34" i="1"/>
  <c r="AG34" i="1"/>
  <c r="AH34" i="1"/>
  <c r="AI34" i="1"/>
  <c r="AJ34" i="1"/>
  <c r="AK34" i="1"/>
  <c r="AL34" i="1"/>
  <c r="AU25" i="1"/>
  <c r="AT25" i="1"/>
  <c r="AV25" i="1"/>
  <c r="AW25" i="1"/>
  <c r="AX25" i="1"/>
  <c r="AG25" i="1"/>
  <c r="AH25" i="1"/>
  <c r="AI25" i="1"/>
  <c r="AJ25" i="1"/>
  <c r="AK25" i="1"/>
  <c r="AL25" i="1"/>
  <c r="M25" i="1"/>
  <c r="N25" i="1"/>
  <c r="AU17" i="1"/>
  <c r="AV17" i="1"/>
  <c r="AW17" i="1"/>
  <c r="AX17" i="1"/>
  <c r="B34" i="1" l="1"/>
  <c r="B59" i="1"/>
  <c r="B71" i="1"/>
  <c r="B95" i="1"/>
  <c r="B45" i="1"/>
  <c r="B39" i="1"/>
  <c r="AV15" i="1"/>
  <c r="B17" i="1"/>
  <c r="B110" i="1"/>
  <c r="B88" i="1"/>
  <c r="B78" i="1"/>
  <c r="B66" i="1"/>
  <c r="B52" i="1"/>
  <c r="B25" i="1"/>
  <c r="AX15" i="1"/>
  <c r="AW15" i="1"/>
  <c r="AU15" i="1"/>
  <c r="AK17" i="1"/>
  <c r="AK15" i="1" s="1"/>
  <c r="AL17" i="1"/>
  <c r="AL15" i="1"/>
  <c r="AI17" i="1"/>
  <c r="AJ17" i="1"/>
  <c r="AJ15" i="1" s="1"/>
  <c r="AI15" i="1"/>
  <c r="AG17" i="1"/>
  <c r="AG15" i="1" s="1"/>
  <c r="AH17" i="1"/>
  <c r="AH15" i="1" s="1"/>
  <c r="M17" i="1"/>
  <c r="N17" i="1"/>
  <c r="N15" i="1" s="1"/>
  <c r="M15" i="1"/>
  <c r="AA17" i="1"/>
  <c r="AB17" i="1"/>
  <c r="AA25" i="1"/>
  <c r="AB25" i="1"/>
  <c r="AA34" i="1"/>
  <c r="AB34" i="1"/>
  <c r="AA39" i="1"/>
  <c r="AB39" i="1"/>
  <c r="AA45" i="1"/>
  <c r="AB45" i="1"/>
  <c r="AA52" i="1"/>
  <c r="AB52" i="1"/>
  <c r="AA59" i="1"/>
  <c r="AB59" i="1"/>
  <c r="AA66" i="1"/>
  <c r="AB66" i="1"/>
  <c r="AA71" i="1"/>
  <c r="AB71" i="1"/>
  <c r="AA78" i="1"/>
  <c r="AB78" i="1"/>
  <c r="AA88" i="1"/>
  <c r="AB88" i="1"/>
  <c r="AA95" i="1"/>
  <c r="AB95" i="1"/>
  <c r="AA110" i="1"/>
  <c r="AB110" i="1"/>
  <c r="V39" i="1"/>
  <c r="V34" i="1"/>
  <c r="V25" i="1"/>
  <c r="I25" i="1"/>
  <c r="J25" i="1"/>
  <c r="K25" i="1"/>
  <c r="L25" i="1"/>
  <c r="O25" i="1"/>
  <c r="P25" i="1"/>
  <c r="Q25" i="1"/>
  <c r="R25" i="1"/>
  <c r="S25" i="1"/>
  <c r="T25" i="1"/>
  <c r="U25" i="1"/>
  <c r="AY25" i="1"/>
  <c r="AZ25" i="1"/>
  <c r="X25" i="1"/>
  <c r="Y25" i="1"/>
  <c r="Z25" i="1"/>
  <c r="AC25" i="1"/>
  <c r="AD25" i="1"/>
  <c r="AE25" i="1"/>
  <c r="AF25" i="1"/>
  <c r="AM25" i="1"/>
  <c r="AN25" i="1"/>
  <c r="AO25" i="1"/>
  <c r="AP25" i="1"/>
  <c r="AQ25" i="1"/>
  <c r="AR25" i="1"/>
  <c r="AS25" i="1"/>
  <c r="BA25" i="1"/>
  <c r="BB25" i="1"/>
  <c r="BC25" i="1"/>
  <c r="BD25" i="1"/>
  <c r="BE25" i="1"/>
  <c r="BF25" i="1"/>
  <c r="D25" i="1"/>
  <c r="E25" i="1"/>
  <c r="F25" i="1"/>
  <c r="G25" i="1"/>
  <c r="H25" i="1"/>
  <c r="C25" i="1"/>
  <c r="BA17" i="1"/>
  <c r="AF71" i="1"/>
  <c r="AM71" i="1"/>
  <c r="AN71" i="1"/>
  <c r="AO71" i="1"/>
  <c r="AP71" i="1"/>
  <c r="AQ71" i="1"/>
  <c r="AR71" i="1"/>
  <c r="AS71" i="1"/>
  <c r="AT71" i="1"/>
  <c r="BA71" i="1"/>
  <c r="BB71" i="1"/>
  <c r="BC71" i="1"/>
  <c r="BD71" i="1"/>
  <c r="BE71" i="1"/>
  <c r="BF71" i="1"/>
  <c r="AE71" i="1"/>
  <c r="AM110" i="1"/>
  <c r="AN110" i="1"/>
  <c r="AO110" i="1"/>
  <c r="AP110" i="1"/>
  <c r="AQ110" i="1"/>
  <c r="AR110" i="1"/>
  <c r="AS110" i="1"/>
  <c r="AT110" i="1"/>
  <c r="BA110" i="1"/>
  <c r="BB110" i="1"/>
  <c r="BC110" i="1"/>
  <c r="BD110" i="1"/>
  <c r="BF110" i="1"/>
  <c r="AM95" i="1"/>
  <c r="AN95" i="1"/>
  <c r="AO95" i="1"/>
  <c r="AP95" i="1"/>
  <c r="AQ95" i="1"/>
  <c r="AR95" i="1"/>
  <c r="AS95" i="1"/>
  <c r="AT95" i="1"/>
  <c r="BA95" i="1"/>
  <c r="BB95" i="1"/>
  <c r="BC95" i="1"/>
  <c r="BD95" i="1"/>
  <c r="BE95" i="1"/>
  <c r="BF95" i="1"/>
  <c r="AM88" i="1"/>
  <c r="AN88" i="1"/>
  <c r="AO88" i="1"/>
  <c r="AP88" i="1"/>
  <c r="AQ88" i="1"/>
  <c r="AR88" i="1"/>
  <c r="AS88" i="1"/>
  <c r="AT88" i="1"/>
  <c r="BA88" i="1"/>
  <c r="BB88" i="1"/>
  <c r="BC88" i="1"/>
  <c r="BD88" i="1"/>
  <c r="BE88" i="1"/>
  <c r="BF88" i="1"/>
  <c r="AM78" i="1"/>
  <c r="AN78" i="1"/>
  <c r="AO78" i="1"/>
  <c r="AP78" i="1"/>
  <c r="AQ78" i="1"/>
  <c r="AR78" i="1"/>
  <c r="AS78" i="1"/>
  <c r="AT78" i="1"/>
  <c r="BA78" i="1"/>
  <c r="BB78" i="1"/>
  <c r="BC78" i="1"/>
  <c r="BD78" i="1"/>
  <c r="BE78" i="1"/>
  <c r="BF78" i="1"/>
  <c r="AM66" i="1"/>
  <c r="AN66" i="1"/>
  <c r="AO66" i="1"/>
  <c r="AP66" i="1"/>
  <c r="AQ66" i="1"/>
  <c r="AR66" i="1"/>
  <c r="AS66" i="1"/>
  <c r="AT66" i="1"/>
  <c r="BA66" i="1"/>
  <c r="BB66" i="1"/>
  <c r="BC66" i="1"/>
  <c r="BD66" i="1"/>
  <c r="BE66" i="1"/>
  <c r="BF66" i="1"/>
  <c r="AM59" i="1"/>
  <c r="AN59" i="1"/>
  <c r="AO59" i="1"/>
  <c r="AP59" i="1"/>
  <c r="AQ59" i="1"/>
  <c r="AR59" i="1"/>
  <c r="AS59" i="1"/>
  <c r="AT59" i="1"/>
  <c r="BA59" i="1"/>
  <c r="BB59" i="1"/>
  <c r="BC59" i="1"/>
  <c r="BD59" i="1"/>
  <c r="BE59" i="1"/>
  <c r="BF59" i="1"/>
  <c r="AM52" i="1"/>
  <c r="AN52" i="1"/>
  <c r="AO52" i="1"/>
  <c r="AP52" i="1"/>
  <c r="AQ52" i="1"/>
  <c r="AR52" i="1"/>
  <c r="AS52" i="1"/>
  <c r="AT52" i="1"/>
  <c r="BA52" i="1"/>
  <c r="BB52" i="1"/>
  <c r="BC52" i="1"/>
  <c r="BD52" i="1"/>
  <c r="BE52" i="1"/>
  <c r="BF52" i="1"/>
  <c r="AM45" i="1"/>
  <c r="AN45" i="1"/>
  <c r="AO45" i="1"/>
  <c r="AP45" i="1"/>
  <c r="AQ45" i="1"/>
  <c r="AR45" i="1"/>
  <c r="AS45" i="1"/>
  <c r="AT45" i="1"/>
  <c r="BA45" i="1"/>
  <c r="BB45" i="1"/>
  <c r="BC45" i="1"/>
  <c r="BD45" i="1"/>
  <c r="BE45" i="1"/>
  <c r="BF45" i="1"/>
  <c r="AM39" i="1"/>
  <c r="AN39" i="1"/>
  <c r="AO39" i="1"/>
  <c r="AP39" i="1"/>
  <c r="AQ39" i="1"/>
  <c r="AR39" i="1"/>
  <c r="AS39" i="1"/>
  <c r="AT39" i="1"/>
  <c r="BA39" i="1"/>
  <c r="BB39" i="1"/>
  <c r="BC39" i="1"/>
  <c r="BD39" i="1"/>
  <c r="AM34" i="1"/>
  <c r="AN34" i="1"/>
  <c r="AO34" i="1"/>
  <c r="AP34" i="1"/>
  <c r="AQ34" i="1"/>
  <c r="AR34" i="1"/>
  <c r="AS34" i="1"/>
  <c r="AT34" i="1"/>
  <c r="BA34" i="1"/>
  <c r="BB34" i="1"/>
  <c r="BC34" i="1"/>
  <c r="BD34" i="1"/>
  <c r="BE34" i="1"/>
  <c r="BF34" i="1"/>
  <c r="AM17" i="1"/>
  <c r="AN17" i="1"/>
  <c r="AO17" i="1"/>
  <c r="AP17" i="1"/>
  <c r="AQ17" i="1"/>
  <c r="AR17" i="1"/>
  <c r="AS17" i="1"/>
  <c r="AT17" i="1"/>
  <c r="BB17" i="1"/>
  <c r="BC17" i="1"/>
  <c r="BD17" i="1"/>
  <c r="BE17" i="1"/>
  <c r="BF17" i="1"/>
  <c r="AF17" i="1"/>
  <c r="J34" i="1"/>
  <c r="K34" i="1"/>
  <c r="L34" i="1"/>
  <c r="O34" i="1"/>
  <c r="P34" i="1"/>
  <c r="Q34" i="1"/>
  <c r="R34" i="1"/>
  <c r="S34" i="1"/>
  <c r="T34" i="1"/>
  <c r="U34" i="1"/>
  <c r="AY34" i="1"/>
  <c r="AZ34" i="1"/>
  <c r="W34" i="1"/>
  <c r="X34" i="1"/>
  <c r="Y34" i="1"/>
  <c r="Z34" i="1"/>
  <c r="AC34" i="1"/>
  <c r="AD34" i="1"/>
  <c r="AE34" i="1"/>
  <c r="AF34" i="1"/>
  <c r="P110" i="1"/>
  <c r="O110" i="1"/>
  <c r="L110" i="1"/>
  <c r="K110" i="1"/>
  <c r="J110" i="1"/>
  <c r="I110" i="1"/>
  <c r="H110" i="1"/>
  <c r="G110" i="1"/>
  <c r="F110" i="1"/>
  <c r="E110" i="1"/>
  <c r="P95" i="1"/>
  <c r="O95" i="1"/>
  <c r="L95" i="1"/>
  <c r="K95" i="1"/>
  <c r="J95" i="1"/>
  <c r="I95" i="1"/>
  <c r="H95" i="1"/>
  <c r="G95" i="1"/>
  <c r="F95" i="1"/>
  <c r="E95" i="1"/>
  <c r="D95" i="1"/>
  <c r="C95" i="1"/>
  <c r="P88" i="1"/>
  <c r="O88" i="1"/>
  <c r="L88" i="1"/>
  <c r="K88" i="1"/>
  <c r="J88" i="1"/>
  <c r="I88" i="1"/>
  <c r="H88" i="1"/>
  <c r="G88" i="1"/>
  <c r="F88" i="1"/>
  <c r="E88" i="1"/>
  <c r="P78" i="1"/>
  <c r="O78" i="1"/>
  <c r="L78" i="1"/>
  <c r="K78" i="1"/>
  <c r="J78" i="1"/>
  <c r="P71" i="1"/>
  <c r="O71" i="1"/>
  <c r="L71" i="1"/>
  <c r="K71" i="1"/>
  <c r="J71" i="1"/>
  <c r="P66" i="1"/>
  <c r="O66" i="1"/>
  <c r="L66" i="1"/>
  <c r="K66" i="1"/>
  <c r="J66" i="1"/>
  <c r="P59" i="1"/>
  <c r="O59" i="1"/>
  <c r="L59" i="1"/>
  <c r="K59" i="1"/>
  <c r="J59" i="1"/>
  <c r="P52" i="1"/>
  <c r="O52" i="1"/>
  <c r="L52" i="1"/>
  <c r="K52" i="1"/>
  <c r="J52" i="1"/>
  <c r="P45" i="1"/>
  <c r="O45" i="1"/>
  <c r="L45" i="1"/>
  <c r="K45" i="1"/>
  <c r="J45" i="1"/>
  <c r="O39" i="1"/>
  <c r="L39" i="1"/>
  <c r="K39" i="1"/>
  <c r="J39" i="1"/>
  <c r="P17" i="1"/>
  <c r="O17" i="1"/>
  <c r="L17" i="1"/>
  <c r="K17" i="1"/>
  <c r="J17" i="1"/>
  <c r="I17" i="1"/>
  <c r="H17" i="1"/>
  <c r="G17" i="1"/>
  <c r="F17" i="1"/>
  <c r="E17" i="1"/>
  <c r="D17" i="1"/>
  <c r="C17" i="1"/>
  <c r="W95" i="1"/>
  <c r="X17" i="1"/>
  <c r="Y17" i="1"/>
  <c r="Z17" i="1"/>
  <c r="AC17" i="1"/>
  <c r="AD17" i="1"/>
  <c r="AE17" i="1"/>
  <c r="Q17" i="1"/>
  <c r="R17" i="1"/>
  <c r="S17" i="1"/>
  <c r="T17" i="1"/>
  <c r="V17" i="1"/>
  <c r="AZ17" i="1"/>
  <c r="X39" i="1"/>
  <c r="Y39" i="1"/>
  <c r="Z39" i="1"/>
  <c r="AC39" i="1"/>
  <c r="AD39" i="1"/>
  <c r="AE39" i="1"/>
  <c r="AF39" i="1"/>
  <c r="Q39" i="1"/>
  <c r="R39" i="1"/>
  <c r="S39" i="1"/>
  <c r="T39" i="1"/>
  <c r="U39" i="1"/>
  <c r="AY39" i="1"/>
  <c r="AZ39" i="1"/>
  <c r="X45" i="1"/>
  <c r="Y45" i="1"/>
  <c r="AC45" i="1"/>
  <c r="AD45" i="1"/>
  <c r="AE45" i="1"/>
  <c r="AF45" i="1"/>
  <c r="Q45" i="1"/>
  <c r="R45" i="1"/>
  <c r="S45" i="1"/>
  <c r="T45" i="1"/>
  <c r="U45" i="1"/>
  <c r="V45" i="1"/>
  <c r="AY45" i="1"/>
  <c r="AZ45" i="1"/>
  <c r="X52" i="1"/>
  <c r="Y52" i="1"/>
  <c r="Z52" i="1"/>
  <c r="AC52" i="1"/>
  <c r="AD52" i="1"/>
  <c r="AE52" i="1"/>
  <c r="AF52" i="1"/>
  <c r="Q52" i="1"/>
  <c r="R52" i="1"/>
  <c r="S52" i="1"/>
  <c r="T52" i="1"/>
  <c r="U52" i="1"/>
  <c r="V52" i="1"/>
  <c r="AY52" i="1"/>
  <c r="AZ52" i="1"/>
  <c r="X59" i="1"/>
  <c r="Y59" i="1"/>
  <c r="Z59" i="1"/>
  <c r="AC59" i="1"/>
  <c r="AD59" i="1"/>
  <c r="AE59" i="1"/>
  <c r="AF59" i="1"/>
  <c r="Q59" i="1"/>
  <c r="R59" i="1"/>
  <c r="S59" i="1"/>
  <c r="T59" i="1"/>
  <c r="U59" i="1"/>
  <c r="V59" i="1"/>
  <c r="AY59" i="1"/>
  <c r="AZ59" i="1"/>
  <c r="X66" i="1"/>
  <c r="Y66" i="1"/>
  <c r="Z66" i="1"/>
  <c r="AC66" i="1"/>
  <c r="AD66" i="1"/>
  <c r="AE66" i="1"/>
  <c r="AF66" i="1"/>
  <c r="Q66" i="1"/>
  <c r="R66" i="1"/>
  <c r="S66" i="1"/>
  <c r="T66" i="1"/>
  <c r="U66" i="1"/>
  <c r="V66" i="1"/>
  <c r="AY66" i="1"/>
  <c r="AZ66" i="1"/>
  <c r="Q71" i="1"/>
  <c r="R71" i="1"/>
  <c r="S71" i="1"/>
  <c r="T71" i="1"/>
  <c r="U71" i="1"/>
  <c r="V71" i="1"/>
  <c r="AY71" i="1"/>
  <c r="AZ71" i="1"/>
  <c r="X71" i="1"/>
  <c r="Y71" i="1"/>
  <c r="Z71" i="1"/>
  <c r="AC71" i="1"/>
  <c r="AD71" i="1"/>
  <c r="Q78" i="1"/>
  <c r="R78" i="1"/>
  <c r="S78" i="1"/>
  <c r="T78" i="1"/>
  <c r="U78" i="1"/>
  <c r="V78" i="1"/>
  <c r="AY78" i="1"/>
  <c r="AZ78" i="1"/>
  <c r="X78" i="1"/>
  <c r="Y78" i="1"/>
  <c r="Z78" i="1"/>
  <c r="AC78" i="1"/>
  <c r="AD78" i="1"/>
  <c r="AE78" i="1"/>
  <c r="AF78" i="1"/>
  <c r="X88" i="1"/>
  <c r="Y88" i="1"/>
  <c r="Z88" i="1"/>
  <c r="AC88" i="1"/>
  <c r="AD88" i="1"/>
  <c r="AE88" i="1"/>
  <c r="AF88" i="1"/>
  <c r="Q88" i="1"/>
  <c r="R88" i="1"/>
  <c r="S88" i="1"/>
  <c r="T88" i="1"/>
  <c r="U88" i="1"/>
  <c r="V88" i="1"/>
  <c r="AY88" i="1"/>
  <c r="AZ88" i="1"/>
  <c r="AY95" i="1"/>
  <c r="X95" i="1"/>
  <c r="Y95" i="1"/>
  <c r="Z95" i="1"/>
  <c r="AC95" i="1"/>
  <c r="AD95" i="1"/>
  <c r="AE95" i="1"/>
  <c r="AF95" i="1"/>
  <c r="Q95" i="1"/>
  <c r="R95" i="1"/>
  <c r="S95" i="1"/>
  <c r="T95" i="1"/>
  <c r="U95" i="1"/>
  <c r="AZ95" i="1"/>
  <c r="X110" i="1"/>
  <c r="Y110" i="1"/>
  <c r="Z110" i="1"/>
  <c r="AC110" i="1"/>
  <c r="AD110" i="1"/>
  <c r="AE110" i="1"/>
  <c r="AF110" i="1"/>
  <c r="Q110" i="1"/>
  <c r="R110" i="1"/>
  <c r="S110" i="1"/>
  <c r="T110" i="1"/>
  <c r="U110" i="1"/>
  <c r="V110" i="1"/>
  <c r="AY110" i="1"/>
  <c r="AZ110" i="1"/>
  <c r="W110" i="1"/>
  <c r="W88" i="1"/>
  <c r="W78" i="1"/>
  <c r="W71" i="1"/>
  <c r="W66" i="1"/>
  <c r="W59" i="1"/>
  <c r="W52" i="1"/>
  <c r="W45" i="1"/>
  <c r="W39" i="1"/>
  <c r="W17" i="1"/>
  <c r="C15" i="1" l="1"/>
  <c r="B15" i="1"/>
  <c r="AR15" i="1"/>
  <c r="AP15" i="1"/>
  <c r="V15" i="1"/>
  <c r="AN15" i="1"/>
  <c r="AT15" i="1"/>
  <c r="AB15" i="1"/>
  <c r="AA15" i="1"/>
  <c r="BC15" i="1"/>
  <c r="AS15" i="1"/>
  <c r="BA15" i="1"/>
  <c r="H15" i="1"/>
  <c r="J15" i="1"/>
  <c r="AE15" i="1"/>
  <c r="E15" i="1"/>
  <c r="G15" i="1"/>
  <c r="I15" i="1"/>
  <c r="K15" i="1"/>
  <c r="O15" i="1"/>
  <c r="W15" i="1"/>
  <c r="L15" i="1"/>
  <c r="AZ15" i="1"/>
  <c r="T15" i="1"/>
  <c r="R15" i="1"/>
  <c r="F15" i="1"/>
  <c r="P15" i="1"/>
  <c r="BF15" i="1"/>
  <c r="BD15" i="1"/>
  <c r="AD15" i="1"/>
  <c r="Z15" i="1"/>
  <c r="AF15" i="1"/>
  <c r="S15" i="1"/>
  <c r="X15" i="1"/>
  <c r="D15" i="1"/>
  <c r="U15" i="1"/>
  <c r="AY15" i="1"/>
  <c r="Q15" i="1"/>
  <c r="AC15" i="1"/>
  <c r="Y15" i="1"/>
  <c r="BB15" i="1"/>
  <c r="AO15" i="1"/>
  <c r="BE15" i="1"/>
  <c r="AQ15" i="1"/>
  <c r="AM15" i="1"/>
</calcChain>
</file>

<file path=xl/sharedStrings.xml><?xml version="1.0" encoding="utf-8"?>
<sst xmlns="http://schemas.openxmlformats.org/spreadsheetml/2006/main" count="1042" uniqueCount="255">
  <si>
    <t>Εκτάσεις σε στρέμματα, παραγωγή σε τόνους</t>
  </si>
  <si>
    <t xml:space="preserve">Περιφέρειες και Περιφερειακές Ενότητες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</si>
  <si>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</si>
  <si>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</si>
  <si>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</si>
  <si>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</si>
  <si>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</si>
  <si>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</si>
  <si>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</si>
  <si>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</si>
  <si>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</si>
  <si>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</si>
  <si>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</si>
  <si>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</si>
  <si>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</si>
  <si>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</si>
  <si>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</si>
  <si>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</si>
  <si>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</si>
  <si>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</si>
  <si>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</si>
  <si>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</si>
  <si>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</si>
  <si>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</si>
  <si>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</si>
  <si>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</si>
  <si>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</si>
  <si>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</si>
  <si>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</si>
  <si>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</si>
  <si>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</si>
  <si>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</si>
  <si>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</si>
  <si>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</si>
  <si>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</si>
  <si>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</si>
  <si>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</si>
  <si>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</si>
  <si>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</si>
  <si>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</si>
  <si>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</si>
  <si>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</si>
  <si>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</si>
  <si>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</si>
  <si>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</si>
  <si>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</si>
  <si>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</si>
  <si>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</si>
  <si>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</si>
  <si>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</si>
  <si>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</si>
  <si>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</si>
  <si>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</si>
  <si>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</si>
  <si>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</si>
  <si>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</si>
  <si>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</si>
  <si>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</si>
  <si>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</si>
  <si>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</si>
  <si>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</si>
  <si>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</si>
  <si>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</si>
  <si>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</si>
  <si>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</si>
  <si>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</si>
  <si>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</si>
  <si>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</si>
  <si>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</si>
  <si>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</si>
  <si>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</si>
  <si>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</si>
  <si>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</si>
  <si>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</si>
  <si>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</si>
  <si>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</si>
  <si>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</si>
  <si>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</si>
  <si>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</si>
  <si>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</si>
  <si>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</si>
  <si>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</si>
  <si>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</si>
  <si>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</si>
  <si>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</si>
  <si>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</si>
  <si>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</si>
  <si>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</si>
  <si>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</si>
  <si>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</si>
  <si>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</si>
  <si>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</si>
  <si>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</si>
  <si>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</si>
  <si>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</si>
  <si>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</si>
  <si>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</si>
  <si>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</si>
  <si>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</si>
  <si>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</si>
  <si>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</si>
  <si>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</si>
  <si>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</si>
  <si>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</si>
  <si>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</si>
  <si>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</si>
  <si>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</si>
  <si>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</si>
  <si>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</si>
  <si>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</si>
  <si>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</si>
  <si>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</si>
  <si>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</si>
  <si>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</si>
  <si>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</si>
  <si>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</si>
  <si>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</si>
  <si>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</si>
  <si>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</si>
  <si>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</si>
  <si>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</si>
  <si>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</si>
  <si>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</si>
  <si>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</si>
  <si>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</si>
  <si>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</si>
  <si>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</si>
  <si>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</si>
  <si>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</si>
  <si>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</si>
  <si>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</si>
  <si>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</si>
  <si>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</si>
  <si>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</si>
  <si>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</si>
  <si>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</si>
  <si>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</si>
  <si>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</si>
  <si>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</si>
  <si>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</si>
  <si>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</si>
  <si>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</si>
  <si>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</si>
  <si>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</si>
  <si>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</si>
  <si>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</si>
  <si>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</si>
  <si>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</si>
  <si>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</si>
  <si>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</si>
  <si>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</si>
  <si>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</si>
  <si>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</si>
  <si>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</si>
  <si>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</si>
  <si>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</si>
  <si>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</si>
  <si>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</si>
  <si>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</si>
  <si>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</si>
  <si>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</si>
  <si>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</si>
  <si>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</si>
  <si>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</si>
  <si>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</si>
  <si>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</si>
  <si>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</si>
  <si>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</si>
  <si>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</si>
  <si>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</si>
  <si>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</si>
  <si>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</si>
  <si>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</si>
  <si>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</si>
  <si>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</si>
  <si>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</si>
  <si>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</si>
  <si>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</si>
  <si>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</si>
  <si>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Περιφέρεια Δυτικής Μακεδονίας</t>
  </si>
  <si>
    <t>Region of Western Macedonia</t>
  </si>
  <si>
    <t>3. Λαχανικά και κηπευτική γη</t>
  </si>
  <si>
    <t>3α. Vegetables and garden area</t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</si>
  <si>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</si>
  <si>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</si>
  <si>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</si>
  <si>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</si>
  <si>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</si>
  <si>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</si>
  <si>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</si>
  <si>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—</t>
  </si>
  <si>
    <t>Πίνακας 3α. Λαχανικά. Εκτάσεις και παραγωγή κατά Περιφέρεια και Περιφερειακή Ενότητα, 2023</t>
  </si>
  <si>
    <t>Table 3a. Vegetables. Areas and production by Region and Regional Unities, 2023</t>
  </si>
  <si>
    <t>Σύνολο καλλι-εργούμενων
εκτάσεων</t>
  </si>
  <si>
    <t>Total cultivated
area</t>
  </si>
  <si>
    <t>Tomatoes</t>
  </si>
  <si>
    <t xml:space="preserve">
Industrial</t>
  </si>
  <si>
    <t>Βιομηχανικές</t>
  </si>
  <si>
    <t>Επιτραπέζιες</t>
  </si>
  <si>
    <t>υπαίθρου</t>
  </si>
  <si>
    <t xml:space="preserve">
 grown in greenhouses</t>
  </si>
  <si>
    <t>θερμοκηπίου</t>
  </si>
  <si>
    <t>Τομάτες</t>
  </si>
  <si>
    <t>Table</t>
  </si>
  <si>
    <t xml:space="preserve">
grown in the field</t>
  </si>
  <si>
    <t>Μπρόκολλο</t>
  </si>
  <si>
    <t>Broccoli</t>
  </si>
  <si>
    <t>Λάχανα</t>
  </si>
  <si>
    <t>Cabbages</t>
  </si>
  <si>
    <t>Κουνουπίδια</t>
  </si>
  <si>
    <t>Cauliflowers</t>
  </si>
  <si>
    <t>Σπανάκι</t>
  </si>
  <si>
    <t>Spinach</t>
  </si>
  <si>
    <t>Πράσα</t>
  </si>
  <si>
    <t>Leeks</t>
  </si>
  <si>
    <t>Κρεμμυδάκια, χλωρά</t>
  </si>
  <si>
    <t>Onions, fresh</t>
  </si>
  <si>
    <t>Κρεμμύδια, ξερά</t>
  </si>
  <si>
    <t>Onions, dry</t>
  </si>
  <si>
    <t>Σκόρδα, ξερά</t>
  </si>
  <si>
    <t>Garlic, dry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</si>
  <si>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</si>
  <si>
    <t>Peas</t>
  </si>
  <si>
    <t>Lettuce</t>
  </si>
  <si>
    <t>Ραδίκια και αντίδια</t>
  </si>
  <si>
    <t>Chicories and endives</t>
  </si>
  <si>
    <t>Carrots</t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</si>
  <si>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</si>
  <si>
    <t>Μπάμιες</t>
  </si>
  <si>
    <t>Okras</t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</si>
  <si>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</t>
    </r>
  </si>
  <si>
    <t>Αγγούρια υπαίθρου</t>
  </si>
  <si>
    <t>Cucumbers, grown in the field</t>
  </si>
  <si>
    <t>Αγγούρια θερμοκηπίου</t>
  </si>
  <si>
    <t>Cucumbers, grown in greenhouses</t>
  </si>
  <si>
    <t>Μελιτζάνες υπαίθρου</t>
  </si>
  <si>
    <t>Eggplants grown in the field</t>
  </si>
  <si>
    <t xml:space="preserve">Μελιτζάνες θερμοκηπίου </t>
  </si>
  <si>
    <t>Eggplants grown in greenhouses</t>
  </si>
  <si>
    <t>Πιπεριές υπαίθρου</t>
  </si>
  <si>
    <t>Peppers
grown in the field</t>
  </si>
  <si>
    <t>Πιπεριές θερμοκηπίου</t>
  </si>
  <si>
    <t>Peppers
grown in greenhouses</t>
  </si>
  <si>
    <t>Αγκινάρες</t>
  </si>
  <si>
    <t>Artichokes</t>
  </si>
  <si>
    <t>Σπαράγγια</t>
  </si>
  <si>
    <t>Asparagus</t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</si>
  <si>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</si>
  <si>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</si>
  <si>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</si>
  <si>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Zucchini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</si>
  <si>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Green 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</si>
  <si>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Other Vegetables</t>
    </r>
    <r>
      <rPr>
        <vertAlign val="superscript"/>
        <sz val="11"/>
        <rFont val="Calibri"/>
        <family val="2"/>
        <charset val="161"/>
        <scheme val="minor"/>
      </rPr>
      <t>(3)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</si>
  <si>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</si>
  <si>
    <t>Καρότα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</si>
</sst>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0" xfId="0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3" fontId="5" fillId="0" borderId="6" xfId="0" applyNumberFormat="1" applyFont="1" applyBorder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3" fontId="5" fillId="0" borderId="30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3" fontId="11" fillId="0" borderId="30" xfId="0" applyNumberFormat="1" applyFont="1" applyBorder="1" applyAlignment="1">
      <alignment horizontal="right" vertical="top"/>
    </xf>
    <xf numFmtId="3" fontId="11" fillId="0" borderId="37" xfId="0" applyNumberFormat="1" applyFont="1" applyBorder="1" applyAlignment="1">
      <alignment horizontal="right" vertical="top"/>
    </xf>
    <xf numFmtId="3" fontId="3" fillId="0" borderId="0" xfId="0" applyNumberFormat="1" applyFont="1" applyAlignment="1" applyProtection="1">
      <alignment horizontal="left" vertical="center" wrapText="1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3" fontId="0" fillId="2" borderId="21" xfId="0" applyNumberFormat="1" applyFill="1" applyBorder="1" applyAlignment="1" applyProtection="1">
      <alignment horizontal="right" wrapText="1"/>
      <protection locked="0"/>
    </xf>
    <xf numFmtId="3" fontId="3" fillId="2" borderId="21" xfId="0" applyNumberFormat="1" applyFont="1" applyFill="1" applyBorder="1" applyAlignment="1" applyProtection="1">
      <alignment horizontal="right" vertical="center" wrapText="1"/>
      <protection locked="0"/>
    </xf>
    <xf numFmtId="3" fontId="0" fillId="2" borderId="35" xfId="0" applyNumberFormat="1" applyFill="1" applyBorder="1" applyAlignment="1" applyProtection="1">
      <alignment horizontal="right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3" fontId="3" fillId="2" borderId="25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6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6" xfId="0" applyFont="1" applyFill="1" applyBorder="1" applyAlignment="1" applyProtection="1">
      <alignment horizontal="right" vertical="center" wrapText="1"/>
      <protection locked="0"/>
    </xf>
    <xf numFmtId="3" fontId="3" fillId="2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0" xfId="0" applyFont="1" applyFill="1" applyAlignment="1" applyProtection="1">
      <alignment horizontal="right" vertical="center" wrapText="1"/>
      <protection locked="0"/>
    </xf>
    <xf numFmtId="3" fontId="3" fillId="2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5" xfId="0" applyFont="1" applyFill="1" applyBorder="1" applyAlignment="1" applyProtection="1">
      <alignment horizontal="right" vertical="center" wrapText="1"/>
      <protection locked="0"/>
    </xf>
    <xf numFmtId="3" fontId="3" fillId="2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13" xfId="0" applyFont="1" applyFill="1" applyBorder="1" applyAlignment="1" applyProtection="1">
      <alignment horizontal="right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3" fontId="3" fillId="2" borderId="9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 applyProtection="1">
      <alignment horizontal="right" vertical="center"/>
      <protection locked="0"/>
    </xf>
    <xf numFmtId="49" fontId="3" fillId="0" borderId="19" xfId="0" applyNumberFormat="1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3" fontId="3" fillId="2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9" xfId="0" applyFont="1" applyFill="1" applyBorder="1" applyAlignment="1" applyProtection="1">
      <alignment horizontal="right" vertical="center" wrapText="1"/>
      <protection locked="0"/>
    </xf>
    <xf numFmtId="3" fontId="3" fillId="2" borderId="5" xfId="0" applyNumberFormat="1" applyFont="1" applyFill="1" applyBorder="1" applyAlignment="1">
      <alignment horizontal="right" vertical="center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3" fontId="3" fillId="2" borderId="1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29" xfId="0" applyNumberFormat="1" applyFont="1" applyFill="1" applyBorder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3" fontId="3" fillId="2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31" xfId="0" applyFont="1" applyFill="1" applyBorder="1" applyAlignment="1" applyProtection="1">
      <alignment horizontal="right" vertical="center" wrapText="1"/>
      <protection locked="0"/>
    </xf>
    <xf numFmtId="3" fontId="3" fillId="2" borderId="31" xfId="0" applyNumberFormat="1" applyFont="1" applyFill="1" applyBorder="1" applyAlignment="1" applyProtection="1">
      <alignment horizontal="right" vertical="center"/>
      <protection locked="0"/>
    </xf>
    <xf numFmtId="3" fontId="3" fillId="2" borderId="9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top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3" fontId="3" fillId="2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7" xfId="0" applyBorder="1" applyAlignment="1">
      <alignment horizontal="center" vertical="center" wrapText="1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0" fontId="0" fillId="0" borderId="5" xfId="0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1"/>
  <sheetViews>
    <sheetView showGridLines="0" tabSelected="1" zoomScaleNormal="100" workbookViewId="0">
      <selection activeCell="Q22" sqref="Q22"/>
    </sheetView>
  </sheetViews>
  <sheetFormatPr defaultColWidth="13.44140625" defaultRowHeight="14.4" x14ac:dyDescent="0.3"/>
  <cols>
    <col min="1" max="1" width="43.88671875" style="1" customWidth="1"/>
    <col min="2" max="2" width="9.44140625" style="1" customWidth="1"/>
    <col min="3" max="8" width="6.5546875" style="1" bestFit="1" customWidth="1"/>
    <col min="9" max="10" width="7.5546875" style="1" bestFit="1" customWidth="1"/>
    <col min="11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39" width="6.5546875" style="1" bestFit="1" customWidth="1"/>
    <col min="40" max="40" width="5.5546875" style="1" bestFit="1" customWidth="1"/>
    <col min="41" max="41" width="6.5546875" style="1" bestFit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55" width="6.5546875" style="1" bestFit="1" customWidth="1"/>
    <col min="56" max="56" width="7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2" customHeight="1" x14ac:dyDescent="0.3"/>
    <row r="2" spans="1:60" ht="18" x14ac:dyDescent="0.3">
      <c r="C2" s="2"/>
      <c r="D2" s="99" t="s">
        <v>181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" x14ac:dyDescent="0.3">
      <c r="C3" s="4"/>
      <c r="D3" s="105" t="s">
        <v>191</v>
      </c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" x14ac:dyDescent="0.3">
      <c r="B4" s="7"/>
      <c r="C4" s="7"/>
      <c r="D4" s="99" t="s">
        <v>182</v>
      </c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7"/>
      <c r="V4" s="7"/>
      <c r="W4" s="7"/>
      <c r="X4" s="7"/>
      <c r="Y4" s="7"/>
      <c r="Z4" s="7"/>
      <c r="AA4" s="39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39"/>
      <c r="AO4" s="5"/>
      <c r="AP4" s="5"/>
      <c r="AQ4" s="6"/>
      <c r="AR4" s="40"/>
      <c r="AS4" s="6"/>
      <c r="AT4" s="40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" x14ac:dyDescent="0.3">
      <c r="B5" s="7"/>
      <c r="C5" s="7"/>
      <c r="D5" s="105" t="s">
        <v>192</v>
      </c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" thickBot="1" x14ac:dyDescent="0.35">
      <c r="A7" s="27" t="s">
        <v>0</v>
      </c>
      <c r="B7" s="111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8"/>
      <c r="X7" s="8"/>
      <c r="Y7" s="8"/>
      <c r="Z7" s="8"/>
      <c r="AB7" s="8"/>
      <c r="AC7" s="8"/>
      <c r="AD7" s="8"/>
      <c r="AE7" s="9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27"/>
      <c r="BH7" s="29" t="s">
        <v>189</v>
      </c>
    </row>
    <row r="8" spans="1:60" ht="35.4" customHeight="1" x14ac:dyDescent="0.3">
      <c r="A8" s="49" t="s">
        <v>1</v>
      </c>
      <c r="B8" s="110" t="s">
        <v>193</v>
      </c>
      <c r="C8" s="55" t="s">
        <v>205</v>
      </c>
      <c r="D8" s="52"/>
      <c r="E8" s="107" t="s">
        <v>207</v>
      </c>
      <c r="F8" s="114"/>
      <c r="G8" s="107" t="s">
        <v>209</v>
      </c>
      <c r="H8" s="114"/>
      <c r="I8" s="55" t="s">
        <v>211</v>
      </c>
      <c r="J8" s="52"/>
      <c r="K8" s="55" t="s">
        <v>213</v>
      </c>
      <c r="L8" s="52"/>
      <c r="M8" s="55" t="s">
        <v>215</v>
      </c>
      <c r="N8" s="52"/>
      <c r="O8" s="55" t="s">
        <v>217</v>
      </c>
      <c r="P8" s="52"/>
      <c r="Q8" s="55" t="s">
        <v>219</v>
      </c>
      <c r="R8" s="52"/>
      <c r="S8" s="55" t="s">
        <v>221</v>
      </c>
      <c r="T8" s="52"/>
      <c r="U8" s="55" t="s">
        <v>253</v>
      </c>
      <c r="V8" s="52"/>
      <c r="W8" s="55" t="s">
        <v>224</v>
      </c>
      <c r="X8" s="52"/>
      <c r="Y8" s="55" t="s">
        <v>254</v>
      </c>
      <c r="Z8" s="52"/>
      <c r="AA8" s="100" t="s">
        <v>202</v>
      </c>
      <c r="AB8" s="101"/>
      <c r="AC8" s="101"/>
      <c r="AD8" s="101"/>
      <c r="AE8" s="101"/>
      <c r="AF8" s="102"/>
      <c r="AG8" s="55" t="s">
        <v>227</v>
      </c>
      <c r="AH8" s="52"/>
      <c r="AI8" s="55" t="s">
        <v>228</v>
      </c>
      <c r="AJ8" s="52"/>
      <c r="AK8" s="55" t="s">
        <v>230</v>
      </c>
      <c r="AL8" s="52"/>
      <c r="AM8" s="55" t="s">
        <v>231</v>
      </c>
      <c r="AN8" s="52"/>
      <c r="AO8" s="55" t="s">
        <v>233</v>
      </c>
      <c r="AP8" s="52"/>
      <c r="AQ8" s="55" t="s">
        <v>235</v>
      </c>
      <c r="AR8" s="52"/>
      <c r="AS8" s="55" t="s">
        <v>237</v>
      </c>
      <c r="AT8" s="52"/>
      <c r="AU8" s="55" t="s">
        <v>239</v>
      </c>
      <c r="AV8" s="52"/>
      <c r="AW8" s="55" t="s">
        <v>241</v>
      </c>
      <c r="AX8" s="52"/>
      <c r="AY8" s="55" t="s">
        <v>243</v>
      </c>
      <c r="AZ8" s="52"/>
      <c r="BA8" s="55" t="s">
        <v>245</v>
      </c>
      <c r="BB8" s="52"/>
      <c r="BC8" s="55" t="s">
        <v>248</v>
      </c>
      <c r="BD8" s="52"/>
      <c r="BE8" s="55" t="s">
        <v>247</v>
      </c>
      <c r="BF8" s="52"/>
      <c r="BG8" s="58" t="s">
        <v>2</v>
      </c>
      <c r="BH8" s="59"/>
    </row>
    <row r="9" spans="1:60" x14ac:dyDescent="0.3">
      <c r="A9" s="50"/>
      <c r="B9" s="110"/>
      <c r="C9" s="56"/>
      <c r="D9" s="53"/>
      <c r="E9" s="112"/>
      <c r="F9" s="115"/>
      <c r="G9" s="112"/>
      <c r="H9" s="115"/>
      <c r="I9" s="56"/>
      <c r="J9" s="53"/>
      <c r="K9" s="56"/>
      <c r="L9" s="53"/>
      <c r="M9" s="56"/>
      <c r="N9" s="53"/>
      <c r="O9" s="56"/>
      <c r="P9" s="53"/>
      <c r="Q9" s="56"/>
      <c r="R9" s="53"/>
      <c r="S9" s="56"/>
      <c r="T9" s="53"/>
      <c r="U9" s="56"/>
      <c r="V9" s="53"/>
      <c r="W9" s="56"/>
      <c r="X9" s="53"/>
      <c r="Y9" s="56"/>
      <c r="Z9" s="53"/>
      <c r="AA9" s="103" t="s">
        <v>197</v>
      </c>
      <c r="AB9" s="104"/>
      <c r="AC9" s="65" t="s">
        <v>198</v>
      </c>
      <c r="AD9" s="66"/>
      <c r="AE9" s="66"/>
      <c r="AF9" s="67"/>
      <c r="AG9" s="56"/>
      <c r="AH9" s="53"/>
      <c r="AI9" s="56"/>
      <c r="AJ9" s="53"/>
      <c r="AK9" s="56"/>
      <c r="AL9" s="53"/>
      <c r="AM9" s="56"/>
      <c r="AN9" s="53"/>
      <c r="AO9" s="56"/>
      <c r="AP9" s="53"/>
      <c r="AQ9" s="56"/>
      <c r="AR9" s="53"/>
      <c r="AS9" s="56"/>
      <c r="AT9" s="53"/>
      <c r="AU9" s="56"/>
      <c r="AV9" s="53"/>
      <c r="AW9" s="56"/>
      <c r="AX9" s="53"/>
      <c r="AY9" s="56"/>
      <c r="AZ9" s="53"/>
      <c r="BA9" s="56"/>
      <c r="BB9" s="53"/>
      <c r="BC9" s="56"/>
      <c r="BD9" s="53"/>
      <c r="BE9" s="56"/>
      <c r="BF9" s="53"/>
      <c r="BG9" s="60"/>
      <c r="BH9" s="113"/>
    </row>
    <row r="10" spans="1:60" ht="35.4" customHeight="1" x14ac:dyDescent="0.3">
      <c r="A10" s="50"/>
      <c r="B10" s="110"/>
      <c r="C10" s="56"/>
      <c r="D10" s="53"/>
      <c r="E10" s="112"/>
      <c r="F10" s="115"/>
      <c r="G10" s="112"/>
      <c r="H10" s="115"/>
      <c r="I10" s="56"/>
      <c r="J10" s="53"/>
      <c r="K10" s="56"/>
      <c r="L10" s="53"/>
      <c r="M10" s="56"/>
      <c r="N10" s="53"/>
      <c r="O10" s="56"/>
      <c r="P10" s="53"/>
      <c r="Q10" s="56"/>
      <c r="R10" s="53"/>
      <c r="S10" s="56"/>
      <c r="T10" s="53"/>
      <c r="U10" s="56"/>
      <c r="V10" s="53"/>
      <c r="W10" s="56"/>
      <c r="X10" s="53"/>
      <c r="Y10" s="56"/>
      <c r="Z10" s="53"/>
      <c r="AA10" s="57"/>
      <c r="AB10" s="54"/>
      <c r="AC10" s="66" t="s">
        <v>199</v>
      </c>
      <c r="AD10" s="67"/>
      <c r="AE10" s="66" t="s">
        <v>201</v>
      </c>
      <c r="AF10" s="67"/>
      <c r="AG10" s="56"/>
      <c r="AH10" s="53"/>
      <c r="AI10" s="56"/>
      <c r="AJ10" s="53"/>
      <c r="AK10" s="56"/>
      <c r="AL10" s="53"/>
      <c r="AM10" s="56"/>
      <c r="AN10" s="53"/>
      <c r="AO10" s="56"/>
      <c r="AP10" s="53"/>
      <c r="AQ10" s="56"/>
      <c r="AR10" s="53"/>
      <c r="AS10" s="56"/>
      <c r="AT10" s="53"/>
      <c r="AU10" s="56"/>
      <c r="AV10" s="53"/>
      <c r="AW10" s="56"/>
      <c r="AX10" s="53"/>
      <c r="AY10" s="56"/>
      <c r="AZ10" s="53"/>
      <c r="BA10" s="56"/>
      <c r="BB10" s="53"/>
      <c r="BC10" s="56"/>
      <c r="BD10" s="53"/>
      <c r="BE10" s="56"/>
      <c r="BF10" s="53"/>
      <c r="BG10" s="60"/>
      <c r="BH10" s="113"/>
    </row>
    <row r="11" spans="1:60" x14ac:dyDescent="0.3">
      <c r="A11" s="50"/>
      <c r="B11" s="110"/>
      <c r="C11" s="56"/>
      <c r="D11" s="53"/>
      <c r="E11" s="112"/>
      <c r="F11" s="115"/>
      <c r="G11" s="112"/>
      <c r="H11" s="115"/>
      <c r="I11" s="56"/>
      <c r="J11" s="53"/>
      <c r="K11" s="56"/>
      <c r="L11" s="53"/>
      <c r="M11" s="56"/>
      <c r="N11" s="53"/>
      <c r="O11" s="56"/>
      <c r="P11" s="53"/>
      <c r="Q11" s="56"/>
      <c r="R11" s="53"/>
      <c r="S11" s="56"/>
      <c r="T11" s="53"/>
      <c r="U11" s="56"/>
      <c r="V11" s="53"/>
      <c r="W11" s="56"/>
      <c r="X11" s="53"/>
      <c r="Y11" s="56"/>
      <c r="Z11" s="53"/>
      <c r="AA11" s="65" t="s">
        <v>195</v>
      </c>
      <c r="AB11" s="66"/>
      <c r="AC11" s="66"/>
      <c r="AD11" s="66"/>
      <c r="AE11" s="66"/>
      <c r="AF11" s="67"/>
      <c r="AG11" s="56"/>
      <c r="AH11" s="53"/>
      <c r="AI11" s="56"/>
      <c r="AJ11" s="53"/>
      <c r="AK11" s="56"/>
      <c r="AL11" s="53"/>
      <c r="AM11" s="56"/>
      <c r="AN11" s="53"/>
      <c r="AO11" s="56"/>
      <c r="AP11" s="53"/>
      <c r="AQ11" s="56"/>
      <c r="AR11" s="53"/>
      <c r="AS11" s="56"/>
      <c r="AT11" s="53"/>
      <c r="AU11" s="56"/>
      <c r="AV11" s="53"/>
      <c r="AW11" s="56"/>
      <c r="AX11" s="53"/>
      <c r="AY11" s="56"/>
      <c r="AZ11" s="53"/>
      <c r="BA11" s="56"/>
      <c r="BB11" s="53"/>
      <c r="BC11" s="56"/>
      <c r="BD11" s="53"/>
      <c r="BE11" s="56"/>
      <c r="BF11" s="53"/>
      <c r="BG11" s="60"/>
      <c r="BH11" s="113"/>
    </row>
    <row r="12" spans="1:60" x14ac:dyDescent="0.3">
      <c r="A12" s="50"/>
      <c r="B12" s="64"/>
      <c r="C12" s="57"/>
      <c r="D12" s="54"/>
      <c r="E12" s="116"/>
      <c r="F12" s="117"/>
      <c r="G12" s="116"/>
      <c r="H12" s="117"/>
      <c r="I12" s="57"/>
      <c r="J12" s="54"/>
      <c r="K12" s="57"/>
      <c r="L12" s="54"/>
      <c r="M12" s="57"/>
      <c r="N12" s="54"/>
      <c r="O12" s="57"/>
      <c r="P12" s="54"/>
      <c r="Q12" s="57"/>
      <c r="R12" s="54"/>
      <c r="S12" s="57"/>
      <c r="T12" s="54"/>
      <c r="U12" s="57"/>
      <c r="V12" s="54"/>
      <c r="W12" s="57"/>
      <c r="X12" s="54"/>
      <c r="Y12" s="57"/>
      <c r="Z12" s="54"/>
      <c r="AA12" s="103" t="s">
        <v>196</v>
      </c>
      <c r="AB12" s="104"/>
      <c r="AC12" s="65" t="s">
        <v>203</v>
      </c>
      <c r="AD12" s="66"/>
      <c r="AE12" s="66"/>
      <c r="AF12" s="67"/>
      <c r="AG12" s="57"/>
      <c r="AH12" s="54"/>
      <c r="AI12" s="57"/>
      <c r="AJ12" s="54"/>
      <c r="AK12" s="57"/>
      <c r="AL12" s="54"/>
      <c r="AM12" s="57"/>
      <c r="AN12" s="54"/>
      <c r="AO12" s="57"/>
      <c r="AP12" s="54"/>
      <c r="AQ12" s="57"/>
      <c r="AR12" s="54"/>
      <c r="AS12" s="57"/>
      <c r="AT12" s="54"/>
      <c r="AU12" s="57"/>
      <c r="AV12" s="54"/>
      <c r="AW12" s="57"/>
      <c r="AX12" s="54"/>
      <c r="AY12" s="57"/>
      <c r="AZ12" s="54"/>
      <c r="BA12" s="57"/>
      <c r="BB12" s="54"/>
      <c r="BC12" s="57"/>
      <c r="BD12" s="54"/>
      <c r="BE12" s="57"/>
      <c r="BF12" s="54"/>
      <c r="BG12" s="60"/>
      <c r="BH12" s="61"/>
    </row>
    <row r="13" spans="1:60" ht="47.4" customHeight="1" x14ac:dyDescent="0.3">
      <c r="A13" s="50"/>
      <c r="B13" s="110" t="s">
        <v>194</v>
      </c>
      <c r="C13" s="57" t="s">
        <v>206</v>
      </c>
      <c r="D13" s="54"/>
      <c r="E13" s="118" t="s">
        <v>208</v>
      </c>
      <c r="F13" s="119"/>
      <c r="G13" s="118" t="s">
        <v>210</v>
      </c>
      <c r="H13" s="119"/>
      <c r="I13" s="120" t="s">
        <v>212</v>
      </c>
      <c r="J13" s="121"/>
      <c r="K13" s="65" t="s">
        <v>214</v>
      </c>
      <c r="L13" s="67"/>
      <c r="M13" s="65" t="s">
        <v>216</v>
      </c>
      <c r="N13" s="67"/>
      <c r="O13" s="65" t="s">
        <v>218</v>
      </c>
      <c r="P13" s="67"/>
      <c r="Q13" s="65" t="s">
        <v>220</v>
      </c>
      <c r="R13" s="67"/>
      <c r="S13" s="65" t="s">
        <v>222</v>
      </c>
      <c r="T13" s="67"/>
      <c r="U13" s="65" t="s">
        <v>223</v>
      </c>
      <c r="V13" s="67"/>
      <c r="W13" s="65" t="s">
        <v>225</v>
      </c>
      <c r="X13" s="67"/>
      <c r="Y13" s="65" t="s">
        <v>226</v>
      </c>
      <c r="Z13" s="67"/>
      <c r="AA13" s="57"/>
      <c r="AB13" s="54"/>
      <c r="AC13" s="57" t="s">
        <v>204</v>
      </c>
      <c r="AD13" s="54"/>
      <c r="AE13" s="57" t="s">
        <v>200</v>
      </c>
      <c r="AF13" s="54"/>
      <c r="AG13" s="65" t="s">
        <v>251</v>
      </c>
      <c r="AH13" s="67"/>
      <c r="AI13" s="65" t="s">
        <v>229</v>
      </c>
      <c r="AJ13" s="67"/>
      <c r="AK13" s="65" t="s">
        <v>250</v>
      </c>
      <c r="AL13" s="67"/>
      <c r="AM13" s="65" t="s">
        <v>232</v>
      </c>
      <c r="AN13" s="67"/>
      <c r="AO13" s="65" t="s">
        <v>234</v>
      </c>
      <c r="AP13" s="67"/>
      <c r="AQ13" s="65" t="s">
        <v>236</v>
      </c>
      <c r="AR13" s="67"/>
      <c r="AS13" s="65" t="s">
        <v>238</v>
      </c>
      <c r="AT13" s="67"/>
      <c r="AU13" s="65" t="s">
        <v>240</v>
      </c>
      <c r="AV13" s="67"/>
      <c r="AW13" s="65" t="s">
        <v>242</v>
      </c>
      <c r="AX13" s="67"/>
      <c r="AY13" s="65" t="s">
        <v>244</v>
      </c>
      <c r="AZ13" s="67"/>
      <c r="BA13" s="65" t="s">
        <v>246</v>
      </c>
      <c r="BB13" s="67"/>
      <c r="BC13" s="65" t="s">
        <v>249</v>
      </c>
      <c r="BD13" s="67"/>
      <c r="BE13" s="65" t="s">
        <v>252</v>
      </c>
      <c r="BF13" s="67"/>
      <c r="BG13" s="60"/>
      <c r="BH13" s="61"/>
    </row>
    <row r="14" spans="1:60" ht="17.399999999999999" customHeight="1" x14ac:dyDescent="0.3">
      <c r="A14" s="51"/>
      <c r="B14" s="64"/>
      <c r="C14" s="10">
        <v>1</v>
      </c>
      <c r="D14" s="10">
        <v>2</v>
      </c>
      <c r="E14" s="10">
        <v>1</v>
      </c>
      <c r="F14" s="10">
        <v>2</v>
      </c>
      <c r="G14" s="10">
        <v>1</v>
      </c>
      <c r="H14" s="10">
        <v>2</v>
      </c>
      <c r="I14" s="11">
        <v>1</v>
      </c>
      <c r="J14" s="11">
        <v>2</v>
      </c>
      <c r="K14" s="11">
        <v>1</v>
      </c>
      <c r="L14" s="11">
        <v>2</v>
      </c>
      <c r="M14" s="10">
        <v>1</v>
      </c>
      <c r="N14" s="10">
        <v>2</v>
      </c>
      <c r="O14" s="10">
        <v>1</v>
      </c>
      <c r="P14" s="10">
        <v>2</v>
      </c>
      <c r="Q14" s="12">
        <v>1</v>
      </c>
      <c r="R14" s="13">
        <v>2</v>
      </c>
      <c r="S14" s="13">
        <v>1</v>
      </c>
      <c r="T14" s="13">
        <v>2</v>
      </c>
      <c r="U14" s="13">
        <v>1</v>
      </c>
      <c r="V14" s="13">
        <v>2</v>
      </c>
      <c r="W14" s="13">
        <v>1</v>
      </c>
      <c r="X14" s="13">
        <v>2</v>
      </c>
      <c r="Y14" s="13">
        <v>1</v>
      </c>
      <c r="Z14" s="13">
        <v>2</v>
      </c>
      <c r="AA14" s="12">
        <v>1</v>
      </c>
      <c r="AB14" s="13">
        <v>2</v>
      </c>
      <c r="AC14" s="12">
        <v>1</v>
      </c>
      <c r="AD14" s="13">
        <v>2</v>
      </c>
      <c r="AE14" s="13">
        <v>1</v>
      </c>
      <c r="AF14" s="14">
        <v>2</v>
      </c>
      <c r="AG14" s="14">
        <v>1</v>
      </c>
      <c r="AH14" s="14">
        <v>2</v>
      </c>
      <c r="AI14" s="14">
        <v>1</v>
      </c>
      <c r="AJ14" s="14">
        <v>2</v>
      </c>
      <c r="AK14" s="14">
        <v>1</v>
      </c>
      <c r="AL14" s="14">
        <v>2</v>
      </c>
      <c r="AM14" s="13">
        <v>1</v>
      </c>
      <c r="AN14" s="13">
        <v>2</v>
      </c>
      <c r="AO14" s="13">
        <v>1</v>
      </c>
      <c r="AP14" s="13">
        <v>2</v>
      </c>
      <c r="AQ14" s="13">
        <v>1</v>
      </c>
      <c r="AR14" s="13">
        <v>2</v>
      </c>
      <c r="AS14" s="13">
        <v>1</v>
      </c>
      <c r="AT14" s="13">
        <v>2</v>
      </c>
      <c r="AU14" s="13">
        <v>1</v>
      </c>
      <c r="AV14" s="13">
        <v>2</v>
      </c>
      <c r="AW14" s="13">
        <v>1</v>
      </c>
      <c r="AX14" s="13">
        <v>2</v>
      </c>
      <c r="AY14" s="13">
        <v>1</v>
      </c>
      <c r="AZ14" s="13">
        <v>2</v>
      </c>
      <c r="BA14" s="13">
        <v>1</v>
      </c>
      <c r="BB14" s="13">
        <v>2</v>
      </c>
      <c r="BC14" s="13">
        <v>1</v>
      </c>
      <c r="BD14" s="13">
        <v>2</v>
      </c>
      <c r="BE14" s="13">
        <v>1</v>
      </c>
      <c r="BF14" s="15">
        <v>2</v>
      </c>
      <c r="BG14" s="62"/>
      <c r="BH14" s="63"/>
    </row>
    <row r="15" spans="1:60" s="16" customFormat="1" x14ac:dyDescent="0.3">
      <c r="A15" s="83" t="s">
        <v>3</v>
      </c>
      <c r="B15" s="95">
        <f>SUM(B17,B25,B34,B39,B45,B52,B59,B66,B71,B78,B88,B95,B110)</f>
        <v>473560</v>
      </c>
      <c r="C15" s="70">
        <f>SUM(C17,C25,C34,C39,C45,C52,C59,C66,C71,C78,C88,C95,C110)</f>
        <v>12376</v>
      </c>
      <c r="D15" s="70">
        <f t="shared" ref="D15:O15" si="0">SUM(D17,D25,D34,D39,D45,D52,D59,D66,D71,D78,D88,D95,D110)</f>
        <v>20006.338</v>
      </c>
      <c r="E15" s="70">
        <f t="shared" si="0"/>
        <v>14393</v>
      </c>
      <c r="F15" s="70">
        <f t="shared" si="0"/>
        <v>38266.483999999997</v>
      </c>
      <c r="G15" s="70">
        <f t="shared" si="0"/>
        <v>9852</v>
      </c>
      <c r="H15" s="70">
        <f t="shared" si="0"/>
        <v>19126.556</v>
      </c>
      <c r="I15" s="70">
        <f t="shared" si="0"/>
        <v>58948</v>
      </c>
      <c r="J15" s="70">
        <f t="shared" si="0"/>
        <v>62077.388000000006</v>
      </c>
      <c r="K15" s="70">
        <f t="shared" si="0"/>
        <v>6012</v>
      </c>
      <c r="L15" s="70">
        <f t="shared" si="0"/>
        <v>12281.737999999999</v>
      </c>
      <c r="M15" s="70">
        <f t="shared" ref="M15:N15" si="1">SUM(M17,M25,M34,M39,M45,M52,M59,M66,M71,M78,M88,M95,M110)</f>
        <v>5455</v>
      </c>
      <c r="N15" s="70">
        <f t="shared" si="1"/>
        <v>8674.7400000000016</v>
      </c>
      <c r="O15" s="70">
        <f t="shared" si="0"/>
        <v>25497</v>
      </c>
      <c r="P15" s="70">
        <f>SUM(P17,P25,P34,P39,P45,P52,P59,P66,P71,P78,P88,P95,P110)</f>
        <v>86255.952000000005</v>
      </c>
      <c r="Q15" s="85">
        <f t="shared" ref="Q15:AE15" si="2">SUM(Q17,Q25,Q34,Q39,Q45,Q52,Q59,Q66,Q71,Q78,Q88,Q95,Q110)</f>
        <v>3855</v>
      </c>
      <c r="R15" s="70">
        <f t="shared" si="2"/>
        <v>3842.6509999999994</v>
      </c>
      <c r="S15" s="70">
        <f t="shared" si="2"/>
        <v>13640</v>
      </c>
      <c r="T15" s="70">
        <f t="shared" si="2"/>
        <v>8679.885000000002</v>
      </c>
      <c r="U15" s="70">
        <f t="shared" si="2"/>
        <v>19520</v>
      </c>
      <c r="V15" s="70">
        <f>SUM(V17,V25,V34,V39,V45,V52,V59,V66,V71,V78,V88,V95,V110)</f>
        <v>29500.86</v>
      </c>
      <c r="W15" s="70">
        <f t="shared" si="2"/>
        <v>10633</v>
      </c>
      <c r="X15" s="70">
        <f t="shared" si="2"/>
        <v>15502.038000000002</v>
      </c>
      <c r="Y15" s="70">
        <f t="shared" si="2"/>
        <v>7815</v>
      </c>
      <c r="Z15" s="70">
        <f t="shared" si="2"/>
        <v>20216.98</v>
      </c>
      <c r="AA15" s="70">
        <f t="shared" si="2"/>
        <v>49355</v>
      </c>
      <c r="AB15" s="70">
        <f t="shared" si="2"/>
        <v>326798.45300000004</v>
      </c>
      <c r="AC15" s="70">
        <f t="shared" si="2"/>
        <v>26594</v>
      </c>
      <c r="AD15" s="70">
        <f t="shared" si="2"/>
        <v>85318.299999999988</v>
      </c>
      <c r="AE15" s="70">
        <f t="shared" si="2"/>
        <v>26725</v>
      </c>
      <c r="AF15" s="75">
        <f>SUM(AF17,AF25,AF34,AF39,AF45,AF52,AF59,AF66,AF71,AF78,AF88,AF95,AF110)</f>
        <v>264044.71500000008</v>
      </c>
      <c r="AG15" s="75">
        <f t="shared" ref="AG15:AH15" si="3">SUM(AG17,AG25,AG34,AG39,AG45,AG52,AG59,AG66,AG71,AG78,AG88,AG95,AG110)</f>
        <v>33932</v>
      </c>
      <c r="AH15" s="75">
        <f t="shared" si="3"/>
        <v>39577.565999999999</v>
      </c>
      <c r="AI15" s="75">
        <f t="shared" ref="AI15:AJ15" si="4">SUM(AI17,AI25,AI34,AI39,AI45,AI52,AI59,AI66,AI71,AI78,AI88,AI95,AI110)</f>
        <v>4152</v>
      </c>
      <c r="AJ15" s="75">
        <f t="shared" si="4"/>
        <v>2640.973</v>
      </c>
      <c r="AK15" s="75">
        <f t="shared" ref="AK15:AL15" si="5">SUM(AK17,AK25,AK34,AK39,AK45,AK52,AK59,AK66,AK71,AK78,AK88,AK95,AK110)</f>
        <v>14425</v>
      </c>
      <c r="AL15" s="75">
        <f t="shared" si="5"/>
        <v>38262.839</v>
      </c>
      <c r="AM15" s="70">
        <f t="shared" ref="AM15:BF15" si="6">SUM(AM17,AM25,AM34,AM39,AM45,AM52,AM59,AM66,AM71,AM78,AM88,AM95,AM110)</f>
        <v>3472</v>
      </c>
      <c r="AN15" s="73">
        <f t="shared" si="6"/>
        <v>7368.5529999999999</v>
      </c>
      <c r="AO15" s="70">
        <f t="shared" si="6"/>
        <v>15780</v>
      </c>
      <c r="AP15" s="73">
        <f t="shared" si="6"/>
        <v>203345.82399999999</v>
      </c>
      <c r="AQ15" s="70">
        <f t="shared" si="6"/>
        <v>6917</v>
      </c>
      <c r="AR15" s="73">
        <f t="shared" si="6"/>
        <v>15468.538999999999</v>
      </c>
      <c r="AS15" s="70">
        <f t="shared" si="6"/>
        <v>3751</v>
      </c>
      <c r="AT15" s="75">
        <f t="shared" si="6"/>
        <v>27259.29</v>
      </c>
      <c r="AU15" s="70">
        <f t="shared" ref="AU15:AX15" si="7">SUM(AU17,AU25,AU34,AU39,AU45,AU52,AU59,AU66,AU71,AU78,AU88,AU95,AU110)</f>
        <v>17852</v>
      </c>
      <c r="AV15" s="73">
        <f t="shared" si="7"/>
        <v>38520.701999999997</v>
      </c>
      <c r="AW15" s="70">
        <f t="shared" si="7"/>
        <v>9942</v>
      </c>
      <c r="AX15" s="73">
        <f t="shared" si="7"/>
        <v>82589.705999999991</v>
      </c>
      <c r="AY15" s="70">
        <f>SUM(AY17,AY25,AY34,AY39,AY45,AY52,AY59,AY66,AY71,AY78,AY88,AY95,AY110)</f>
        <v>3664</v>
      </c>
      <c r="AZ15" s="70">
        <f>SUM(AZ17,AZ25,AZ34,AZ39,AZ45,AZ52,AZ59,AZ66,AZ71,AZ78,AZ88,AZ95,AZ110)</f>
        <v>5026.2659999999996</v>
      </c>
      <c r="BA15" s="70">
        <f>SUM(BA17,BA25,BA34,BA39,BA45,BA52,BA59,BA66,BA71,BA78,BA88,BA95,BA110)</f>
        <v>13645</v>
      </c>
      <c r="BB15" s="73">
        <f t="shared" si="6"/>
        <v>9084.7260000000024</v>
      </c>
      <c r="BC15" s="70">
        <f t="shared" si="6"/>
        <v>24905</v>
      </c>
      <c r="BD15" s="73">
        <f t="shared" si="6"/>
        <v>113626.95400000001</v>
      </c>
      <c r="BE15" s="70">
        <f t="shared" si="6"/>
        <v>30453</v>
      </c>
      <c r="BF15" s="77">
        <f t="shared" si="6"/>
        <v>36667.004000000001</v>
      </c>
      <c r="BG15" s="68" t="s">
        <v>4</v>
      </c>
      <c r="BH15" s="68"/>
    </row>
    <row r="16" spans="1:60" x14ac:dyDescent="0.3">
      <c r="A16" s="84"/>
      <c r="B16" s="96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86"/>
      <c r="R16" s="72"/>
      <c r="S16" s="72"/>
      <c r="T16" s="72"/>
      <c r="U16" s="72"/>
      <c r="V16" s="72"/>
      <c r="W16" s="72"/>
      <c r="X16" s="72"/>
      <c r="Y16" s="72"/>
      <c r="Z16" s="72"/>
      <c r="AA16" s="71"/>
      <c r="AB16" s="71"/>
      <c r="AC16" s="72"/>
      <c r="AD16" s="72"/>
      <c r="AE16" s="72"/>
      <c r="AF16" s="76"/>
      <c r="AG16" s="76"/>
      <c r="AH16" s="76"/>
      <c r="AI16" s="76"/>
      <c r="AJ16" s="76"/>
      <c r="AK16" s="76"/>
      <c r="AL16" s="76"/>
      <c r="AM16" s="72"/>
      <c r="AN16" s="74"/>
      <c r="AO16" s="72"/>
      <c r="AP16" s="74"/>
      <c r="AQ16" s="72"/>
      <c r="AR16" s="74"/>
      <c r="AS16" s="72"/>
      <c r="AT16" s="76"/>
      <c r="AU16" s="72"/>
      <c r="AV16" s="74"/>
      <c r="AW16" s="72"/>
      <c r="AX16" s="74"/>
      <c r="AY16" s="72"/>
      <c r="AZ16" s="72"/>
      <c r="BA16" s="72"/>
      <c r="BB16" s="74"/>
      <c r="BC16" s="72"/>
      <c r="BD16" s="74"/>
      <c r="BE16" s="72"/>
      <c r="BF16" s="78"/>
      <c r="BG16" s="69"/>
      <c r="BH16" s="69"/>
    </row>
    <row r="17" spans="1:60" x14ac:dyDescent="0.3">
      <c r="A17" s="79" t="s">
        <v>5</v>
      </c>
      <c r="B17" s="97">
        <f>SUM(B19:B24)</f>
        <v>40467</v>
      </c>
      <c r="C17" s="82">
        <f>SUM(C19:C24)</f>
        <v>604</v>
      </c>
      <c r="D17" s="82">
        <f>SUM(D19:D24)</f>
        <v>784.96799999999996</v>
      </c>
      <c r="E17" s="82">
        <f t="shared" ref="E17:P17" si="8">SUM(E19:E24)</f>
        <v>936</v>
      </c>
      <c r="F17" s="82">
        <f t="shared" si="8"/>
        <v>2082.8809999999999</v>
      </c>
      <c r="G17" s="82">
        <f t="shared" si="8"/>
        <v>399</v>
      </c>
      <c r="H17" s="82">
        <f t="shared" si="8"/>
        <v>621.09999999999991</v>
      </c>
      <c r="I17" s="82">
        <f t="shared" si="8"/>
        <v>8610</v>
      </c>
      <c r="J17" s="82">
        <f t="shared" si="8"/>
        <v>9611.7789999999986</v>
      </c>
      <c r="K17" s="82">
        <f t="shared" si="8"/>
        <v>409</v>
      </c>
      <c r="L17" s="82">
        <f t="shared" si="8"/>
        <v>687.94500000000005</v>
      </c>
      <c r="M17" s="82">
        <f t="shared" ref="M17:N17" si="9">SUM(M19:M24)</f>
        <v>283</v>
      </c>
      <c r="N17" s="82">
        <f t="shared" si="9"/>
        <v>363.255</v>
      </c>
      <c r="O17" s="82">
        <f t="shared" si="8"/>
        <v>1435</v>
      </c>
      <c r="P17" s="82">
        <f t="shared" si="8"/>
        <v>3636.1800000000003</v>
      </c>
      <c r="Q17" s="80">
        <f t="shared" ref="Q17:V17" si="10">SUM(Q19:Q24)</f>
        <v>1775</v>
      </c>
      <c r="R17" s="81">
        <f t="shared" si="10"/>
        <v>1708.44</v>
      </c>
      <c r="S17" s="81">
        <f t="shared" si="10"/>
        <v>3034</v>
      </c>
      <c r="T17" s="81">
        <f t="shared" si="10"/>
        <v>1229.645</v>
      </c>
      <c r="U17" s="81">
        <f>SUM(U19:U24)</f>
        <v>517</v>
      </c>
      <c r="V17" s="81">
        <f t="shared" si="10"/>
        <v>673.62399999999991</v>
      </c>
      <c r="W17" s="81">
        <f>SUM(W19:W24)</f>
        <v>270</v>
      </c>
      <c r="X17" s="81">
        <f t="shared" ref="X17:AE17" si="11">SUM(X19:X24)</f>
        <v>356.745</v>
      </c>
      <c r="Y17" s="81">
        <f t="shared" si="11"/>
        <v>155</v>
      </c>
      <c r="Z17" s="81">
        <f t="shared" si="11"/>
        <v>264.46600000000001</v>
      </c>
      <c r="AA17" s="81">
        <f t="shared" si="11"/>
        <v>212</v>
      </c>
      <c r="AB17" s="81">
        <f t="shared" si="11"/>
        <v>755.11500000000001</v>
      </c>
      <c r="AC17" s="87">
        <f t="shared" si="11"/>
        <v>1753</v>
      </c>
      <c r="AD17" s="81">
        <f t="shared" si="11"/>
        <v>5267.3649999999998</v>
      </c>
      <c r="AE17" s="81">
        <f t="shared" si="11"/>
        <v>565</v>
      </c>
      <c r="AF17" s="87">
        <f>SUM(AF19:AF24)</f>
        <v>3312.8820000000001</v>
      </c>
      <c r="AG17" s="87">
        <f>SUM(AG19:AG24)</f>
        <v>4526</v>
      </c>
      <c r="AH17" s="87">
        <f t="shared" ref="AH17:AJ17" si="12">SUM(AH19:AH24)</f>
        <v>4040.4280000000003</v>
      </c>
      <c r="AI17" s="87">
        <f t="shared" si="12"/>
        <v>1437</v>
      </c>
      <c r="AJ17" s="87">
        <f t="shared" si="12"/>
        <v>780.2650000000001</v>
      </c>
      <c r="AK17" s="87">
        <f t="shared" ref="AK17:AL17" si="13">SUM(AK19:AK24)</f>
        <v>345</v>
      </c>
      <c r="AL17" s="87">
        <f t="shared" si="13"/>
        <v>592.47500000000002</v>
      </c>
      <c r="AM17" s="81">
        <f t="shared" ref="AM17:BF17" si="14">SUM(AM19:AM24)</f>
        <v>91</v>
      </c>
      <c r="AN17" s="91">
        <f t="shared" si="14"/>
        <v>145.91699999999997</v>
      </c>
      <c r="AO17" s="81">
        <f t="shared" si="14"/>
        <v>170</v>
      </c>
      <c r="AP17" s="91">
        <f t="shared" si="14"/>
        <v>569.79999999999995</v>
      </c>
      <c r="AQ17" s="81">
        <f t="shared" si="14"/>
        <v>679</v>
      </c>
      <c r="AR17" s="91">
        <f t="shared" si="14"/>
        <v>1292.654</v>
      </c>
      <c r="AS17" s="81">
        <f t="shared" si="14"/>
        <v>50</v>
      </c>
      <c r="AT17" s="87">
        <f t="shared" si="14"/>
        <v>157.26999999999998</v>
      </c>
      <c r="AU17" s="81">
        <f t="shared" ref="AU17:AX17" si="15">SUM(AU19:AU24)</f>
        <v>4643</v>
      </c>
      <c r="AV17" s="91">
        <f t="shared" si="15"/>
        <v>10830.718000000001</v>
      </c>
      <c r="AW17" s="81">
        <f t="shared" si="15"/>
        <v>176</v>
      </c>
      <c r="AX17" s="91">
        <f t="shared" si="15"/>
        <v>1829.53</v>
      </c>
      <c r="AY17" s="81">
        <f>SUM(AY19:AY24)</f>
        <v>30</v>
      </c>
      <c r="AZ17" s="81">
        <f>SUM(AZ19:AZ24)</f>
        <v>20.04</v>
      </c>
      <c r="BA17" s="81">
        <f>SUM(BA19:BA24)</f>
        <v>5948</v>
      </c>
      <c r="BB17" s="91">
        <f t="shared" si="14"/>
        <v>4579.6180000000004</v>
      </c>
      <c r="BC17" s="81">
        <f t="shared" si="14"/>
        <v>50</v>
      </c>
      <c r="BD17" s="91">
        <f t="shared" si="14"/>
        <v>55.05</v>
      </c>
      <c r="BE17" s="81">
        <f t="shared" si="14"/>
        <v>1365</v>
      </c>
      <c r="BF17" s="90">
        <f t="shared" si="14"/>
        <v>1508.7670000000001</v>
      </c>
      <c r="BG17" s="69" t="s">
        <v>6</v>
      </c>
      <c r="BH17" s="69"/>
    </row>
    <row r="18" spans="1:60" x14ac:dyDescent="0.3">
      <c r="A18" s="79"/>
      <c r="B18" s="97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0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7"/>
      <c r="AD18" s="81"/>
      <c r="AE18" s="81"/>
      <c r="AF18" s="87"/>
      <c r="AG18" s="87"/>
      <c r="AH18" s="87"/>
      <c r="AI18" s="87"/>
      <c r="AJ18" s="87"/>
      <c r="AK18" s="87"/>
      <c r="AL18" s="87"/>
      <c r="AM18" s="81"/>
      <c r="AN18" s="91"/>
      <c r="AO18" s="81"/>
      <c r="AP18" s="91"/>
      <c r="AQ18" s="81"/>
      <c r="AR18" s="91"/>
      <c r="AS18" s="81"/>
      <c r="AT18" s="87"/>
      <c r="AU18" s="81"/>
      <c r="AV18" s="91"/>
      <c r="AW18" s="81"/>
      <c r="AX18" s="91"/>
      <c r="AY18" s="81"/>
      <c r="AZ18" s="81"/>
      <c r="BA18" s="81"/>
      <c r="BB18" s="91"/>
      <c r="BC18" s="81"/>
      <c r="BD18" s="91"/>
      <c r="BE18" s="81"/>
      <c r="BF18" s="90"/>
      <c r="BG18" s="69"/>
      <c r="BH18" s="69"/>
    </row>
    <row r="19" spans="1:60" ht="12.75" customHeight="1" x14ac:dyDescent="0.3">
      <c r="A19" s="17" t="s">
        <v>7</v>
      </c>
      <c r="B19" s="46">
        <f t="shared" ref="B19:B24" si="16">SUM(C19,E19,G19,I19,K19,M19,O19,Q19,S19,U19,W19,Y19,AA19,AC19,AE19,AG19,AI19,AK19,AM19,AO19,AQ19,AS19,AU19,AW19,AY19,BA19,BC19,BE19)</f>
        <v>8921</v>
      </c>
      <c r="C19" s="30">
        <v>137</v>
      </c>
      <c r="D19" s="31">
        <v>142.44999999999999</v>
      </c>
      <c r="E19" s="30">
        <v>301</v>
      </c>
      <c r="F19" s="31">
        <v>384.1</v>
      </c>
      <c r="G19" s="30">
        <v>129</v>
      </c>
      <c r="H19" s="31">
        <v>131.69999999999999</v>
      </c>
      <c r="I19" s="30">
        <v>2825</v>
      </c>
      <c r="J19" s="31">
        <v>2079.3150000000001</v>
      </c>
      <c r="K19" s="30">
        <v>144</v>
      </c>
      <c r="L19" s="31">
        <v>146.30000000000001</v>
      </c>
      <c r="M19" s="30">
        <v>89</v>
      </c>
      <c r="N19" s="31">
        <v>67.92</v>
      </c>
      <c r="O19" s="30">
        <v>255</v>
      </c>
      <c r="P19" s="31">
        <v>309.39999999999998</v>
      </c>
      <c r="Q19" s="30">
        <v>76</v>
      </c>
      <c r="R19" s="31">
        <v>75.64</v>
      </c>
      <c r="S19" s="30">
        <v>81</v>
      </c>
      <c r="T19" s="31">
        <v>52.32</v>
      </c>
      <c r="U19" s="30">
        <v>171</v>
      </c>
      <c r="V19" s="31">
        <v>208.95</v>
      </c>
      <c r="W19" s="30">
        <v>36</v>
      </c>
      <c r="X19" s="31">
        <v>31.1</v>
      </c>
      <c r="Y19" s="30">
        <v>43</v>
      </c>
      <c r="Z19" s="31">
        <v>27.05</v>
      </c>
      <c r="AA19" s="30">
        <v>107</v>
      </c>
      <c r="AB19" s="31">
        <v>382.45</v>
      </c>
      <c r="AC19" s="30">
        <v>467</v>
      </c>
      <c r="AD19" s="31">
        <v>778.85</v>
      </c>
      <c r="AE19" s="30">
        <v>35</v>
      </c>
      <c r="AF19" s="31">
        <v>156.6</v>
      </c>
      <c r="AG19" s="30">
        <v>686</v>
      </c>
      <c r="AH19" s="31">
        <v>483.55</v>
      </c>
      <c r="AI19" s="30">
        <v>1249</v>
      </c>
      <c r="AJ19" s="31">
        <v>641.755</v>
      </c>
      <c r="AK19" s="30">
        <v>144</v>
      </c>
      <c r="AL19" s="31">
        <v>169.25</v>
      </c>
      <c r="AM19" s="30">
        <v>19</v>
      </c>
      <c r="AN19" s="31">
        <v>19.27</v>
      </c>
      <c r="AO19" s="30">
        <v>12</v>
      </c>
      <c r="AP19" s="31">
        <v>38.6</v>
      </c>
      <c r="AQ19" s="30">
        <v>188</v>
      </c>
      <c r="AR19" s="31">
        <v>245.77</v>
      </c>
      <c r="AS19" s="30">
        <v>8</v>
      </c>
      <c r="AT19" s="31">
        <v>31.1</v>
      </c>
      <c r="AU19" s="30">
        <v>619</v>
      </c>
      <c r="AV19" s="31">
        <v>789.89</v>
      </c>
      <c r="AW19" s="30">
        <v>10</v>
      </c>
      <c r="AX19" s="31">
        <v>32.200000000000003</v>
      </c>
      <c r="AY19" s="30" t="s">
        <v>190</v>
      </c>
      <c r="AZ19" s="31" t="s">
        <v>190</v>
      </c>
      <c r="BA19" s="30">
        <v>642</v>
      </c>
      <c r="BB19" s="31">
        <v>859</v>
      </c>
      <c r="BC19" s="30">
        <v>22</v>
      </c>
      <c r="BD19" s="31">
        <v>25.35</v>
      </c>
      <c r="BE19" s="32">
        <v>426</v>
      </c>
      <c r="BF19" s="33">
        <v>459.53</v>
      </c>
      <c r="BG19" s="18" t="s">
        <v>8</v>
      </c>
      <c r="BH19" s="19"/>
    </row>
    <row r="20" spans="1:60" x14ac:dyDescent="0.3">
      <c r="A20" s="17" t="s">
        <v>9</v>
      </c>
      <c r="B20" s="46">
        <f>SUM(C20,E20,G20,I20,K20,M20,O20,Q20,S20,U20,W20,Y20,AA20,AC20,AE20,AG20,AI20,AK20,AM20,AO20,AQ20,AS20,AU20,AW20,AY20,BA20,BC20,BE20)</f>
        <v>3414</v>
      </c>
      <c r="C20" s="30">
        <v>44</v>
      </c>
      <c r="D20" s="31">
        <v>61.2</v>
      </c>
      <c r="E20" s="30">
        <v>135</v>
      </c>
      <c r="F20" s="31">
        <v>477.2</v>
      </c>
      <c r="G20" s="30">
        <v>58</v>
      </c>
      <c r="H20" s="31">
        <v>110.1</v>
      </c>
      <c r="I20" s="30">
        <v>339</v>
      </c>
      <c r="J20" s="31">
        <v>516</v>
      </c>
      <c r="K20" s="30">
        <v>62</v>
      </c>
      <c r="L20" s="31">
        <v>150.9</v>
      </c>
      <c r="M20" s="30">
        <v>39</v>
      </c>
      <c r="N20" s="31">
        <v>50.9</v>
      </c>
      <c r="O20" s="30">
        <v>353</v>
      </c>
      <c r="P20" s="31">
        <v>1185</v>
      </c>
      <c r="Q20" s="30">
        <v>39</v>
      </c>
      <c r="R20" s="31">
        <v>36.299999999999997</v>
      </c>
      <c r="S20" s="30">
        <v>77</v>
      </c>
      <c r="T20" s="31">
        <v>54.7</v>
      </c>
      <c r="U20" s="30">
        <v>85</v>
      </c>
      <c r="V20" s="31">
        <v>123.3</v>
      </c>
      <c r="W20" s="30">
        <v>135</v>
      </c>
      <c r="X20" s="31">
        <v>197.1</v>
      </c>
      <c r="Y20" s="30">
        <v>19</v>
      </c>
      <c r="Z20" s="31">
        <v>49</v>
      </c>
      <c r="AA20" s="30">
        <v>2</v>
      </c>
      <c r="AB20" s="31">
        <v>14</v>
      </c>
      <c r="AC20" s="30">
        <v>233</v>
      </c>
      <c r="AD20" s="31">
        <v>1067</v>
      </c>
      <c r="AE20" s="30">
        <v>239</v>
      </c>
      <c r="AF20" s="31">
        <v>1960.5</v>
      </c>
      <c r="AG20" s="30">
        <v>536</v>
      </c>
      <c r="AH20" s="31">
        <v>650.5</v>
      </c>
      <c r="AI20" s="30">
        <v>54</v>
      </c>
      <c r="AJ20" s="31">
        <v>42.7</v>
      </c>
      <c r="AK20" s="30">
        <v>22</v>
      </c>
      <c r="AL20" s="31">
        <v>58</v>
      </c>
      <c r="AM20" s="30">
        <v>11</v>
      </c>
      <c r="AN20" s="31">
        <v>26.5</v>
      </c>
      <c r="AO20" s="30">
        <v>19</v>
      </c>
      <c r="AP20" s="31">
        <v>104</v>
      </c>
      <c r="AQ20" s="30">
        <v>25</v>
      </c>
      <c r="AR20" s="31">
        <v>68</v>
      </c>
      <c r="AS20" s="30">
        <v>13</v>
      </c>
      <c r="AT20" s="31">
        <v>52</v>
      </c>
      <c r="AU20" s="30">
        <v>504</v>
      </c>
      <c r="AV20" s="31">
        <v>1197.3</v>
      </c>
      <c r="AW20" s="30">
        <v>126</v>
      </c>
      <c r="AX20" s="31">
        <v>1680.2</v>
      </c>
      <c r="AY20" s="34" t="s">
        <v>190</v>
      </c>
      <c r="AZ20" s="31" t="s">
        <v>190</v>
      </c>
      <c r="BA20" s="34" t="s">
        <v>190</v>
      </c>
      <c r="BB20" s="31" t="s">
        <v>190</v>
      </c>
      <c r="BC20" s="30" t="s">
        <v>190</v>
      </c>
      <c r="BD20" s="31" t="s">
        <v>190</v>
      </c>
      <c r="BE20" s="32">
        <v>245</v>
      </c>
      <c r="BF20" s="33">
        <v>223.93</v>
      </c>
      <c r="BG20" s="18" t="s">
        <v>10</v>
      </c>
      <c r="BH20" s="19"/>
    </row>
    <row r="21" spans="1:60" x14ac:dyDescent="0.3">
      <c r="A21" s="17" t="s">
        <v>11</v>
      </c>
      <c r="B21" s="46">
        <f>SUM(C21,E21,G21,I21,K21,M21,O21,Q21,S21,U21,W21,Y21,AA21,AC21,AE21,AG21,AI21,AK21,AM21,AO21,AQ21,AS21,AU21,AW21,AY21,BA21,BC21,BE21)</f>
        <v>14245</v>
      </c>
      <c r="C21" s="30">
        <v>272</v>
      </c>
      <c r="D21" s="31">
        <v>303.51</v>
      </c>
      <c r="E21" s="30">
        <v>170</v>
      </c>
      <c r="F21" s="31">
        <v>365.50200000000001</v>
      </c>
      <c r="G21" s="30">
        <v>69</v>
      </c>
      <c r="H21" s="31">
        <v>80.442999999999998</v>
      </c>
      <c r="I21" s="30">
        <v>3257</v>
      </c>
      <c r="J21" s="31">
        <v>3142.665</v>
      </c>
      <c r="K21" s="30">
        <v>69</v>
      </c>
      <c r="L21" s="31">
        <v>131.46</v>
      </c>
      <c r="M21" s="30">
        <v>74</v>
      </c>
      <c r="N21" s="31">
        <v>117.485</v>
      </c>
      <c r="O21" s="30">
        <v>718</v>
      </c>
      <c r="P21" s="31">
        <v>1928.5</v>
      </c>
      <c r="Q21" s="30">
        <v>1645</v>
      </c>
      <c r="R21" s="31">
        <v>1570.89</v>
      </c>
      <c r="S21" s="30">
        <v>2837</v>
      </c>
      <c r="T21" s="31">
        <v>1075.0250000000001</v>
      </c>
      <c r="U21" s="30">
        <v>97</v>
      </c>
      <c r="V21" s="31">
        <v>109.28</v>
      </c>
      <c r="W21" s="30">
        <v>10</v>
      </c>
      <c r="X21" s="31">
        <v>15.17</v>
      </c>
      <c r="Y21" s="30">
        <v>47</v>
      </c>
      <c r="Z21" s="31">
        <v>92.38</v>
      </c>
      <c r="AA21" s="30">
        <v>35</v>
      </c>
      <c r="AB21" s="31">
        <v>103.46</v>
      </c>
      <c r="AC21" s="30">
        <v>358</v>
      </c>
      <c r="AD21" s="31">
        <v>928.76</v>
      </c>
      <c r="AE21" s="30">
        <v>55</v>
      </c>
      <c r="AF21" s="31">
        <v>211.52</v>
      </c>
      <c r="AG21" s="30">
        <v>2401</v>
      </c>
      <c r="AH21" s="31">
        <v>2074.4210000000003</v>
      </c>
      <c r="AI21" s="30">
        <v>118</v>
      </c>
      <c r="AJ21" s="31">
        <v>64.150000000000006</v>
      </c>
      <c r="AK21" s="30">
        <v>80</v>
      </c>
      <c r="AL21" s="31">
        <v>129.02000000000001</v>
      </c>
      <c r="AM21" s="30">
        <v>30</v>
      </c>
      <c r="AN21" s="31">
        <v>42.847000000000001</v>
      </c>
      <c r="AO21" s="30">
        <v>20</v>
      </c>
      <c r="AP21" s="31">
        <v>36.1</v>
      </c>
      <c r="AQ21" s="30">
        <v>94</v>
      </c>
      <c r="AR21" s="31">
        <v>144.75</v>
      </c>
      <c r="AS21" s="30">
        <v>14</v>
      </c>
      <c r="AT21" s="31">
        <v>27.3</v>
      </c>
      <c r="AU21" s="30">
        <v>219</v>
      </c>
      <c r="AV21" s="31">
        <v>400.59</v>
      </c>
      <c r="AW21" s="30">
        <v>18</v>
      </c>
      <c r="AX21" s="31">
        <v>35.049999999999997</v>
      </c>
      <c r="AY21" s="34" t="s">
        <v>190</v>
      </c>
      <c r="AZ21" s="31" t="s">
        <v>190</v>
      </c>
      <c r="BA21" s="30">
        <v>1208</v>
      </c>
      <c r="BB21" s="31">
        <v>681.10799999999995</v>
      </c>
      <c r="BC21" s="30">
        <v>23</v>
      </c>
      <c r="BD21" s="31">
        <v>25.87</v>
      </c>
      <c r="BE21" s="32">
        <v>307</v>
      </c>
      <c r="BF21" s="33">
        <v>262.13699999999994</v>
      </c>
      <c r="BG21" s="18" t="s">
        <v>12</v>
      </c>
      <c r="BH21" s="19"/>
    </row>
    <row r="22" spans="1:60" x14ac:dyDescent="0.3">
      <c r="A22" s="17" t="s">
        <v>13</v>
      </c>
      <c r="B22" s="46">
        <f>SUM(C22,E22,G22,I22,K22,M22,O22,Q22,S22,U22,W22,Y22,AA22,AC22,AE22,AG22,AI22,AK22,AM22,AO22,AQ22,AS22,AU22,AW22,AY22,BA22,BC22,BE22)</f>
        <v>15</v>
      </c>
      <c r="C22" s="30" t="s">
        <v>190</v>
      </c>
      <c r="D22" s="31" t="s">
        <v>190</v>
      </c>
      <c r="E22" s="30" t="s">
        <v>190</v>
      </c>
      <c r="F22" s="31" t="s">
        <v>190</v>
      </c>
      <c r="G22" s="30" t="s">
        <v>190</v>
      </c>
      <c r="H22" s="31" t="s">
        <v>190</v>
      </c>
      <c r="I22" s="30">
        <v>3</v>
      </c>
      <c r="J22" s="31">
        <v>2.72</v>
      </c>
      <c r="K22" s="30" t="s">
        <v>190</v>
      </c>
      <c r="L22" s="31" t="s">
        <v>190</v>
      </c>
      <c r="M22" s="30" t="s">
        <v>190</v>
      </c>
      <c r="N22" s="31" t="s">
        <v>190</v>
      </c>
      <c r="O22" s="30" t="s">
        <v>190</v>
      </c>
      <c r="P22" s="31" t="s">
        <v>190</v>
      </c>
      <c r="Q22" s="30" t="s">
        <v>190</v>
      </c>
      <c r="R22" s="31" t="s">
        <v>190</v>
      </c>
      <c r="S22" s="30" t="s">
        <v>190</v>
      </c>
      <c r="T22" s="31" t="s">
        <v>190</v>
      </c>
      <c r="U22" s="30" t="s">
        <v>190</v>
      </c>
      <c r="V22" s="31" t="s">
        <v>190</v>
      </c>
      <c r="W22" s="30" t="s">
        <v>190</v>
      </c>
      <c r="X22" s="31" t="s">
        <v>190</v>
      </c>
      <c r="Y22" s="30" t="s">
        <v>190</v>
      </c>
      <c r="Z22" s="31" t="s">
        <v>190</v>
      </c>
      <c r="AA22" s="34" t="s">
        <v>190</v>
      </c>
      <c r="AB22" s="31" t="s">
        <v>190</v>
      </c>
      <c r="AC22" s="30">
        <v>3</v>
      </c>
      <c r="AD22" s="31">
        <v>11.3</v>
      </c>
      <c r="AE22" s="34">
        <v>9</v>
      </c>
      <c r="AF22" s="31">
        <v>35.799999999999997</v>
      </c>
      <c r="AG22" s="30" t="s">
        <v>190</v>
      </c>
      <c r="AH22" s="31" t="s">
        <v>190</v>
      </c>
      <c r="AI22" s="30" t="s">
        <v>190</v>
      </c>
      <c r="AJ22" s="31" t="s">
        <v>190</v>
      </c>
      <c r="AK22" s="30" t="s">
        <v>190</v>
      </c>
      <c r="AL22" s="31" t="s">
        <v>190</v>
      </c>
      <c r="AM22" s="30" t="s">
        <v>190</v>
      </c>
      <c r="AN22" s="31" t="s">
        <v>190</v>
      </c>
      <c r="AO22" s="34" t="s">
        <v>190</v>
      </c>
      <c r="AP22" s="31" t="s">
        <v>190</v>
      </c>
      <c r="AQ22" s="30" t="s">
        <v>190</v>
      </c>
      <c r="AR22" s="31" t="s">
        <v>190</v>
      </c>
      <c r="AS22" s="34" t="s">
        <v>190</v>
      </c>
      <c r="AT22" s="31" t="s">
        <v>190</v>
      </c>
      <c r="AU22" s="30" t="s">
        <v>190</v>
      </c>
      <c r="AV22" s="31" t="s">
        <v>190</v>
      </c>
      <c r="AW22" s="34" t="s">
        <v>190</v>
      </c>
      <c r="AX22" s="31" t="s">
        <v>190</v>
      </c>
      <c r="AY22" s="34" t="s">
        <v>190</v>
      </c>
      <c r="AZ22" s="31" t="s">
        <v>190</v>
      </c>
      <c r="BA22" s="34" t="s">
        <v>190</v>
      </c>
      <c r="BB22" s="31" t="s">
        <v>190</v>
      </c>
      <c r="BC22" s="30" t="s">
        <v>190</v>
      </c>
      <c r="BD22" s="31" t="s">
        <v>190</v>
      </c>
      <c r="BE22" s="32" t="s">
        <v>190</v>
      </c>
      <c r="BF22" s="33" t="s">
        <v>190</v>
      </c>
      <c r="BG22" s="18" t="s">
        <v>14</v>
      </c>
      <c r="BH22" s="19"/>
    </row>
    <row r="23" spans="1:60" x14ac:dyDescent="0.3">
      <c r="A23" s="17" t="s">
        <v>15</v>
      </c>
      <c r="B23" s="46">
        <f t="shared" si="16"/>
        <v>7278</v>
      </c>
      <c r="C23" s="30">
        <v>112</v>
      </c>
      <c r="D23" s="31">
        <v>198.67</v>
      </c>
      <c r="E23" s="30">
        <v>216</v>
      </c>
      <c r="F23" s="31">
        <v>605.11500000000001</v>
      </c>
      <c r="G23" s="30">
        <v>99</v>
      </c>
      <c r="H23" s="31">
        <v>202.845</v>
      </c>
      <c r="I23" s="30">
        <v>731</v>
      </c>
      <c r="J23" s="31">
        <v>908.95500000000004</v>
      </c>
      <c r="K23" s="30">
        <v>82</v>
      </c>
      <c r="L23" s="31">
        <v>137.77000000000001</v>
      </c>
      <c r="M23" s="30">
        <v>44</v>
      </c>
      <c r="N23" s="31">
        <v>49.72</v>
      </c>
      <c r="O23" s="30">
        <v>23</v>
      </c>
      <c r="P23" s="31">
        <v>34.130000000000003</v>
      </c>
      <c r="Q23" s="30">
        <v>5</v>
      </c>
      <c r="R23" s="31">
        <v>3.49</v>
      </c>
      <c r="S23" s="30">
        <v>24</v>
      </c>
      <c r="T23" s="31">
        <v>11.752000000000001</v>
      </c>
      <c r="U23" s="30">
        <v>125</v>
      </c>
      <c r="V23" s="31">
        <v>127.92999999999999</v>
      </c>
      <c r="W23" s="30">
        <v>77</v>
      </c>
      <c r="X23" s="31">
        <v>90.471000000000004</v>
      </c>
      <c r="Y23" s="30">
        <v>34</v>
      </c>
      <c r="Z23" s="31">
        <v>68.475999999999999</v>
      </c>
      <c r="AA23" s="30">
        <v>31</v>
      </c>
      <c r="AB23" s="31">
        <v>151.06</v>
      </c>
      <c r="AC23" s="30">
        <v>482</v>
      </c>
      <c r="AD23" s="31">
        <v>1915.3030000000001</v>
      </c>
      <c r="AE23" s="30">
        <v>54</v>
      </c>
      <c r="AF23" s="31">
        <v>371.87</v>
      </c>
      <c r="AG23" s="30">
        <v>689</v>
      </c>
      <c r="AH23" s="31">
        <v>405.82599999999996</v>
      </c>
      <c r="AI23" s="30">
        <v>5</v>
      </c>
      <c r="AJ23" s="31">
        <v>3.72</v>
      </c>
      <c r="AK23" s="30">
        <v>84</v>
      </c>
      <c r="AL23" s="31">
        <v>200.33500000000001</v>
      </c>
      <c r="AM23" s="30">
        <v>21</v>
      </c>
      <c r="AN23" s="31">
        <v>33.72</v>
      </c>
      <c r="AO23" s="30">
        <v>25</v>
      </c>
      <c r="AP23" s="31">
        <v>126.26</v>
      </c>
      <c r="AQ23" s="30">
        <v>67</v>
      </c>
      <c r="AR23" s="31">
        <v>176.51</v>
      </c>
      <c r="AS23" s="30">
        <v>8</v>
      </c>
      <c r="AT23" s="31">
        <v>24.3</v>
      </c>
      <c r="AU23" s="30">
        <v>354</v>
      </c>
      <c r="AV23" s="31">
        <v>1161.7139999999999</v>
      </c>
      <c r="AW23" s="30">
        <v>21</v>
      </c>
      <c r="AX23" s="31">
        <v>79.459999999999994</v>
      </c>
      <c r="AY23" s="30">
        <v>30</v>
      </c>
      <c r="AZ23" s="31">
        <v>20.04</v>
      </c>
      <c r="BA23" s="30">
        <v>3520</v>
      </c>
      <c r="BB23" s="31">
        <v>2483.34</v>
      </c>
      <c r="BC23" s="30">
        <v>3</v>
      </c>
      <c r="BD23" s="31">
        <v>0.67</v>
      </c>
      <c r="BE23" s="32">
        <v>312</v>
      </c>
      <c r="BF23" s="33">
        <v>393.47699999999998</v>
      </c>
      <c r="BG23" s="18" t="s">
        <v>16</v>
      </c>
      <c r="BH23" s="19"/>
    </row>
    <row r="24" spans="1:60" x14ac:dyDescent="0.3">
      <c r="A24" s="17" t="s">
        <v>17</v>
      </c>
      <c r="B24" s="46">
        <f t="shared" si="16"/>
        <v>6594</v>
      </c>
      <c r="C24" s="30">
        <v>39</v>
      </c>
      <c r="D24" s="31">
        <v>79.138000000000005</v>
      </c>
      <c r="E24" s="30">
        <v>114</v>
      </c>
      <c r="F24" s="31">
        <v>250.964</v>
      </c>
      <c r="G24" s="30">
        <v>44</v>
      </c>
      <c r="H24" s="31">
        <v>96.012</v>
      </c>
      <c r="I24" s="30">
        <v>1455</v>
      </c>
      <c r="J24" s="31">
        <v>2962.1239999999998</v>
      </c>
      <c r="K24" s="30">
        <v>52</v>
      </c>
      <c r="L24" s="31">
        <v>121.515</v>
      </c>
      <c r="M24" s="30">
        <v>37</v>
      </c>
      <c r="N24" s="31">
        <v>77.23</v>
      </c>
      <c r="O24" s="30">
        <v>86</v>
      </c>
      <c r="P24" s="31">
        <v>179.15</v>
      </c>
      <c r="Q24" s="30">
        <v>10</v>
      </c>
      <c r="R24" s="31">
        <v>22.12</v>
      </c>
      <c r="S24" s="30">
        <v>15</v>
      </c>
      <c r="T24" s="31">
        <v>35.847999999999999</v>
      </c>
      <c r="U24" s="30">
        <v>39</v>
      </c>
      <c r="V24" s="31">
        <v>104.164</v>
      </c>
      <c r="W24" s="30">
        <v>12</v>
      </c>
      <c r="X24" s="31">
        <v>22.904</v>
      </c>
      <c r="Y24" s="34">
        <v>12</v>
      </c>
      <c r="Z24" s="31">
        <v>27.56</v>
      </c>
      <c r="AA24" s="30">
        <v>37</v>
      </c>
      <c r="AB24" s="31">
        <v>104.145</v>
      </c>
      <c r="AC24" s="30">
        <v>210</v>
      </c>
      <c r="AD24" s="31">
        <v>566.15200000000004</v>
      </c>
      <c r="AE24" s="30">
        <v>173</v>
      </c>
      <c r="AF24" s="31">
        <v>576.59199999999998</v>
      </c>
      <c r="AG24" s="30">
        <v>214</v>
      </c>
      <c r="AH24" s="31">
        <v>426.13100000000003</v>
      </c>
      <c r="AI24" s="30">
        <v>11</v>
      </c>
      <c r="AJ24" s="31">
        <v>27.94</v>
      </c>
      <c r="AK24" s="30">
        <v>15</v>
      </c>
      <c r="AL24" s="31">
        <v>35.870000000000005</v>
      </c>
      <c r="AM24" s="30">
        <v>10</v>
      </c>
      <c r="AN24" s="31">
        <v>23.58</v>
      </c>
      <c r="AO24" s="30">
        <v>94</v>
      </c>
      <c r="AP24" s="31">
        <v>264.83999999999997</v>
      </c>
      <c r="AQ24" s="30">
        <v>305</v>
      </c>
      <c r="AR24" s="31">
        <v>657.62400000000002</v>
      </c>
      <c r="AS24" s="30">
        <v>7</v>
      </c>
      <c r="AT24" s="31">
        <v>22.57</v>
      </c>
      <c r="AU24" s="30">
        <v>2947</v>
      </c>
      <c r="AV24" s="31">
        <v>7281.2240000000002</v>
      </c>
      <c r="AW24" s="30">
        <v>1</v>
      </c>
      <c r="AX24" s="31">
        <v>2.62</v>
      </c>
      <c r="AY24" s="34" t="s">
        <v>190</v>
      </c>
      <c r="AZ24" s="31" t="s">
        <v>190</v>
      </c>
      <c r="BA24" s="30">
        <v>578</v>
      </c>
      <c r="BB24" s="31">
        <v>556.16999999999996</v>
      </c>
      <c r="BC24" s="30">
        <v>2</v>
      </c>
      <c r="BD24" s="31">
        <v>3.16</v>
      </c>
      <c r="BE24" s="32">
        <v>75</v>
      </c>
      <c r="BF24" s="33">
        <v>169.69299999999998</v>
      </c>
      <c r="BG24" s="18" t="s">
        <v>18</v>
      </c>
      <c r="BH24" s="19"/>
    </row>
    <row r="25" spans="1:60" s="16" customFormat="1" x14ac:dyDescent="0.3">
      <c r="A25" s="79" t="s">
        <v>19</v>
      </c>
      <c r="B25" s="94">
        <f>SUM(B27:B33)</f>
        <v>91063</v>
      </c>
      <c r="C25" s="82">
        <f>SUM(C27:C33)</f>
        <v>4145</v>
      </c>
      <c r="D25" s="82">
        <f t="shared" ref="D25:I25" si="17">SUM(D27:D33)</f>
        <v>6718.6339999999991</v>
      </c>
      <c r="E25" s="82">
        <f t="shared" si="17"/>
        <v>4807</v>
      </c>
      <c r="F25" s="82">
        <f t="shared" si="17"/>
        <v>14773.451999999999</v>
      </c>
      <c r="G25" s="82">
        <f t="shared" si="17"/>
        <v>2598</v>
      </c>
      <c r="H25" s="82">
        <f t="shared" si="17"/>
        <v>5924.94</v>
      </c>
      <c r="I25" s="82">
        <f t="shared" si="17"/>
        <v>23929</v>
      </c>
      <c r="J25" s="82">
        <f t="shared" ref="J25:BF25" si="18">SUM(J27:J33)</f>
        <v>23320.008999999998</v>
      </c>
      <c r="K25" s="82">
        <f t="shared" si="18"/>
        <v>2124</v>
      </c>
      <c r="L25" s="82">
        <f t="shared" si="18"/>
        <v>5375.5289999999995</v>
      </c>
      <c r="M25" s="82">
        <f t="shared" ref="M25:N25" si="19">SUM(M27:M33)</f>
        <v>1369</v>
      </c>
      <c r="N25" s="82">
        <f t="shared" si="19"/>
        <v>2134.634</v>
      </c>
      <c r="O25" s="82">
        <f t="shared" si="18"/>
        <v>1566</v>
      </c>
      <c r="P25" s="82">
        <f t="shared" si="18"/>
        <v>3974.6720000000005</v>
      </c>
      <c r="Q25" s="82">
        <f t="shared" si="18"/>
        <v>143</v>
      </c>
      <c r="R25" s="82">
        <f t="shared" si="18"/>
        <v>202.66899999999998</v>
      </c>
      <c r="S25" s="82">
        <f t="shared" si="18"/>
        <v>6883</v>
      </c>
      <c r="T25" s="82">
        <f t="shared" si="18"/>
        <v>4813.4610000000002</v>
      </c>
      <c r="U25" s="82">
        <f t="shared" si="18"/>
        <v>4645</v>
      </c>
      <c r="V25" s="82">
        <f>SUM(V27:V33)</f>
        <v>6353.058</v>
      </c>
      <c r="W25" s="82">
        <f>SUM(W27:W33)</f>
        <v>1514</v>
      </c>
      <c r="X25" s="82">
        <f t="shared" si="18"/>
        <v>1357.32</v>
      </c>
      <c r="Y25" s="82">
        <f t="shared" si="18"/>
        <v>734</v>
      </c>
      <c r="Z25" s="82">
        <f t="shared" si="18"/>
        <v>1860.46</v>
      </c>
      <c r="AA25" s="82">
        <f t="shared" si="18"/>
        <v>3971</v>
      </c>
      <c r="AB25" s="82">
        <f t="shared" si="18"/>
        <v>25335.113000000001</v>
      </c>
      <c r="AC25" s="82">
        <f t="shared" si="18"/>
        <v>2911</v>
      </c>
      <c r="AD25" s="82">
        <f t="shared" si="18"/>
        <v>13907.072999999999</v>
      </c>
      <c r="AE25" s="82">
        <f t="shared" si="18"/>
        <v>1887</v>
      </c>
      <c r="AF25" s="82">
        <f t="shared" si="18"/>
        <v>15800.665999999999</v>
      </c>
      <c r="AG25" s="82">
        <f t="shared" ref="AG25:AL25" si="20">SUM(AG27:AG33)</f>
        <v>7668</v>
      </c>
      <c r="AH25" s="82">
        <f t="shared" si="20"/>
        <v>8430.5990000000002</v>
      </c>
      <c r="AI25" s="82">
        <f t="shared" si="20"/>
        <v>871</v>
      </c>
      <c r="AJ25" s="82">
        <f t="shared" si="20"/>
        <v>290.572</v>
      </c>
      <c r="AK25" s="82">
        <f t="shared" si="20"/>
        <v>1923</v>
      </c>
      <c r="AL25" s="82">
        <f t="shared" si="20"/>
        <v>5704.1309999999994</v>
      </c>
      <c r="AM25" s="82">
        <f t="shared" si="18"/>
        <v>189</v>
      </c>
      <c r="AN25" s="82">
        <f t="shared" si="18"/>
        <v>438.86300000000006</v>
      </c>
      <c r="AO25" s="82">
        <f t="shared" si="18"/>
        <v>827</v>
      </c>
      <c r="AP25" s="82">
        <f t="shared" si="18"/>
        <v>6668.5</v>
      </c>
      <c r="AQ25" s="82">
        <f t="shared" si="18"/>
        <v>797</v>
      </c>
      <c r="AR25" s="82">
        <f t="shared" si="18"/>
        <v>2178.9680000000003</v>
      </c>
      <c r="AS25" s="82">
        <f t="shared" si="18"/>
        <v>461</v>
      </c>
      <c r="AT25" s="106">
        <f>SUM(AT27:AT33)</f>
        <v>2536.2399999999998</v>
      </c>
      <c r="AU25" s="82">
        <f>SUM(AU27:AU33)</f>
        <v>1347</v>
      </c>
      <c r="AV25" s="93">
        <f t="shared" ref="AV25:AX25" si="21">SUM(AV27:AV33)</f>
        <v>2797.2280000000001</v>
      </c>
      <c r="AW25" s="82">
        <f t="shared" si="21"/>
        <v>1295</v>
      </c>
      <c r="AX25" s="98">
        <f t="shared" si="21"/>
        <v>5896.6459999999988</v>
      </c>
      <c r="AY25" s="82">
        <f>SUM(AY27:AY33)</f>
        <v>15</v>
      </c>
      <c r="AZ25" s="82">
        <f>SUM(AZ27:AZ33)</f>
        <v>20.45</v>
      </c>
      <c r="BA25" s="82">
        <f t="shared" si="18"/>
        <v>5843</v>
      </c>
      <c r="BB25" s="82">
        <f t="shared" si="18"/>
        <v>3367.37</v>
      </c>
      <c r="BC25" s="82">
        <f t="shared" si="18"/>
        <v>103</v>
      </c>
      <c r="BD25" s="82">
        <f t="shared" si="18"/>
        <v>137.90300000000002</v>
      </c>
      <c r="BE25" s="82">
        <f t="shared" si="18"/>
        <v>6498</v>
      </c>
      <c r="BF25" s="92">
        <f t="shared" si="18"/>
        <v>7890.2889999999998</v>
      </c>
      <c r="BG25" s="88" t="s">
        <v>20</v>
      </c>
      <c r="BH25" s="88"/>
    </row>
    <row r="26" spans="1:60" x14ac:dyDescent="0.3">
      <c r="A26" s="79"/>
      <c r="B26" s="94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106"/>
      <c r="AU26" s="82"/>
      <c r="AV26" s="93"/>
      <c r="AW26" s="82"/>
      <c r="AX26" s="98"/>
      <c r="AY26" s="82"/>
      <c r="AZ26" s="82"/>
      <c r="BA26" s="82"/>
      <c r="BB26" s="82"/>
      <c r="BC26" s="82"/>
      <c r="BD26" s="82"/>
      <c r="BE26" s="82"/>
      <c r="BF26" s="92"/>
      <c r="BG26" s="88"/>
      <c r="BH26" s="88"/>
    </row>
    <row r="27" spans="1:60" x14ac:dyDescent="0.3">
      <c r="A27" s="17" t="s">
        <v>21</v>
      </c>
      <c r="B27" s="46">
        <f t="shared" ref="B27:B33" si="22">SUM(C27,E27,G27,I27,K27,M27,O27,Q27,S27,U27,W27,Y27,AA27,AC27,AE27,AG27,AI27,AK27,AM27,AO27,AQ27,AS27,AU27,AW27,AY27,BA27,BC27,BE27)</f>
        <v>25230</v>
      </c>
      <c r="C27" s="30">
        <v>1210</v>
      </c>
      <c r="D27" s="31">
        <v>2099.7489999999998</v>
      </c>
      <c r="E27" s="30">
        <v>2649</v>
      </c>
      <c r="F27" s="31">
        <v>9558.7250000000004</v>
      </c>
      <c r="G27" s="30">
        <v>1097</v>
      </c>
      <c r="H27" s="31">
        <v>2291.46</v>
      </c>
      <c r="I27" s="30">
        <v>5452</v>
      </c>
      <c r="J27" s="31">
        <v>6335.15</v>
      </c>
      <c r="K27" s="30">
        <v>691</v>
      </c>
      <c r="L27" s="31">
        <v>1553.3240000000001</v>
      </c>
      <c r="M27" s="30">
        <v>1027</v>
      </c>
      <c r="N27" s="31">
        <v>1642.97</v>
      </c>
      <c r="O27" s="30">
        <v>147</v>
      </c>
      <c r="P27" s="31">
        <v>495.2</v>
      </c>
      <c r="Q27" s="30">
        <v>9</v>
      </c>
      <c r="R27" s="31">
        <v>9.35</v>
      </c>
      <c r="S27" s="30">
        <v>2316</v>
      </c>
      <c r="T27" s="31">
        <v>1213.24</v>
      </c>
      <c r="U27" s="30">
        <v>2153</v>
      </c>
      <c r="V27" s="31">
        <v>3302.1959999999999</v>
      </c>
      <c r="W27" s="30">
        <v>450</v>
      </c>
      <c r="X27" s="31">
        <v>586.75</v>
      </c>
      <c r="Y27" s="30">
        <v>269</v>
      </c>
      <c r="Z27" s="31">
        <v>814.6</v>
      </c>
      <c r="AA27" s="30">
        <v>335</v>
      </c>
      <c r="AB27" s="31">
        <v>2773.8</v>
      </c>
      <c r="AC27" s="30">
        <v>582</v>
      </c>
      <c r="AD27" s="31">
        <v>2791.8960000000002</v>
      </c>
      <c r="AE27" s="30">
        <v>451</v>
      </c>
      <c r="AF27" s="31">
        <v>3992</v>
      </c>
      <c r="AG27" s="30">
        <v>748</v>
      </c>
      <c r="AH27" s="31">
        <v>940.96499999999992</v>
      </c>
      <c r="AI27" s="30">
        <v>83</v>
      </c>
      <c r="AJ27" s="31">
        <v>99.5</v>
      </c>
      <c r="AK27" s="30">
        <v>1081</v>
      </c>
      <c r="AL27" s="31">
        <v>3493.85</v>
      </c>
      <c r="AM27" s="30">
        <v>54</v>
      </c>
      <c r="AN27" s="31">
        <v>142.4</v>
      </c>
      <c r="AO27" s="30">
        <v>378</v>
      </c>
      <c r="AP27" s="31">
        <v>3167.6</v>
      </c>
      <c r="AQ27" s="30">
        <v>270</v>
      </c>
      <c r="AR27" s="31">
        <v>705.9</v>
      </c>
      <c r="AS27" s="30">
        <v>76</v>
      </c>
      <c r="AT27" s="31">
        <v>292.60000000000002</v>
      </c>
      <c r="AU27" s="30">
        <v>542</v>
      </c>
      <c r="AV27" s="31">
        <v>1027.0899999999999</v>
      </c>
      <c r="AW27" s="30">
        <v>227</v>
      </c>
      <c r="AX27" s="31">
        <v>587.85</v>
      </c>
      <c r="AY27" s="30">
        <v>5</v>
      </c>
      <c r="AZ27" s="31">
        <v>7.15</v>
      </c>
      <c r="BA27" s="30">
        <v>106</v>
      </c>
      <c r="BB27" s="31">
        <v>47.15</v>
      </c>
      <c r="BC27" s="30">
        <v>5</v>
      </c>
      <c r="BD27" s="31">
        <v>14.903</v>
      </c>
      <c r="BE27" s="32">
        <v>2817</v>
      </c>
      <c r="BF27" s="33">
        <v>3128.7660000000001</v>
      </c>
      <c r="BG27" s="18" t="s">
        <v>22</v>
      </c>
      <c r="BH27" s="19"/>
    </row>
    <row r="28" spans="1:60" x14ac:dyDescent="0.3">
      <c r="A28" s="17" t="s">
        <v>23</v>
      </c>
      <c r="B28" s="46">
        <f t="shared" si="22"/>
        <v>9508</v>
      </c>
      <c r="C28" s="30">
        <v>161</v>
      </c>
      <c r="D28" s="31">
        <v>436.995</v>
      </c>
      <c r="E28" s="30">
        <v>240</v>
      </c>
      <c r="F28" s="31">
        <v>404.6</v>
      </c>
      <c r="G28" s="30">
        <v>99</v>
      </c>
      <c r="H28" s="31">
        <v>178.7</v>
      </c>
      <c r="I28" s="30">
        <v>1396</v>
      </c>
      <c r="J28" s="31">
        <v>1628.2</v>
      </c>
      <c r="K28" s="30">
        <v>109</v>
      </c>
      <c r="L28" s="31">
        <v>220.04499999999999</v>
      </c>
      <c r="M28" s="30">
        <v>60</v>
      </c>
      <c r="N28" s="31">
        <v>72.802000000000007</v>
      </c>
      <c r="O28" s="30">
        <v>76</v>
      </c>
      <c r="P28" s="31">
        <v>103</v>
      </c>
      <c r="Q28" s="30">
        <v>4</v>
      </c>
      <c r="R28" s="31">
        <v>4</v>
      </c>
      <c r="S28" s="30">
        <v>715</v>
      </c>
      <c r="T28" s="31">
        <v>540.93000000000006</v>
      </c>
      <c r="U28" s="30">
        <v>1115</v>
      </c>
      <c r="V28" s="31">
        <v>1603.25</v>
      </c>
      <c r="W28" s="30">
        <v>306</v>
      </c>
      <c r="X28" s="31">
        <v>198.8</v>
      </c>
      <c r="Y28" s="30">
        <v>66</v>
      </c>
      <c r="Z28" s="31">
        <v>205.5</v>
      </c>
      <c r="AA28" s="30">
        <v>889</v>
      </c>
      <c r="AB28" s="31">
        <v>4767</v>
      </c>
      <c r="AC28" s="30">
        <v>487</v>
      </c>
      <c r="AD28" s="31">
        <v>3603</v>
      </c>
      <c r="AE28" s="30">
        <v>258</v>
      </c>
      <c r="AF28" s="31">
        <v>2506</v>
      </c>
      <c r="AG28" s="30">
        <v>641</v>
      </c>
      <c r="AH28" s="31">
        <v>765.15000000000009</v>
      </c>
      <c r="AI28" s="30">
        <v>667</v>
      </c>
      <c r="AJ28" s="31">
        <v>102.4</v>
      </c>
      <c r="AK28" s="30">
        <v>159</v>
      </c>
      <c r="AL28" s="31">
        <v>479.5</v>
      </c>
      <c r="AM28" s="30">
        <v>13</v>
      </c>
      <c r="AN28" s="31">
        <v>24</v>
      </c>
      <c r="AO28" s="30">
        <v>48</v>
      </c>
      <c r="AP28" s="31">
        <v>233.6</v>
      </c>
      <c r="AQ28" s="30">
        <v>143</v>
      </c>
      <c r="AR28" s="31">
        <v>451.5</v>
      </c>
      <c r="AS28" s="30">
        <v>198</v>
      </c>
      <c r="AT28" s="31">
        <v>1444.2</v>
      </c>
      <c r="AU28" s="30">
        <v>56</v>
      </c>
      <c r="AV28" s="31">
        <v>146.4</v>
      </c>
      <c r="AW28" s="30">
        <v>568</v>
      </c>
      <c r="AX28" s="31">
        <v>3103.9</v>
      </c>
      <c r="AY28" s="34">
        <v>7</v>
      </c>
      <c r="AZ28" s="31">
        <v>10.5</v>
      </c>
      <c r="BA28" s="30">
        <v>382</v>
      </c>
      <c r="BB28" s="31">
        <v>241.8</v>
      </c>
      <c r="BC28" s="30">
        <v>4</v>
      </c>
      <c r="BD28" s="31">
        <v>3.3</v>
      </c>
      <c r="BE28" s="32">
        <v>641</v>
      </c>
      <c r="BF28" s="33">
        <v>1436.17</v>
      </c>
      <c r="BG28" s="18" t="s">
        <v>24</v>
      </c>
      <c r="BH28" s="19"/>
    </row>
    <row r="29" spans="1:60" x14ac:dyDescent="0.3">
      <c r="A29" s="17" t="s">
        <v>25</v>
      </c>
      <c r="B29" s="46">
        <f t="shared" si="22"/>
        <v>9228</v>
      </c>
      <c r="C29" s="30">
        <v>313</v>
      </c>
      <c r="D29" s="31">
        <v>370.5</v>
      </c>
      <c r="E29" s="30">
        <v>177</v>
      </c>
      <c r="F29" s="31">
        <v>262.2</v>
      </c>
      <c r="G29" s="30">
        <v>145</v>
      </c>
      <c r="H29" s="31">
        <v>133.35</v>
      </c>
      <c r="I29" s="30">
        <v>4300</v>
      </c>
      <c r="J29" s="31">
        <v>1964.722</v>
      </c>
      <c r="K29" s="30">
        <v>18</v>
      </c>
      <c r="L29" s="31">
        <v>25.25</v>
      </c>
      <c r="M29" s="30">
        <v>12</v>
      </c>
      <c r="N29" s="31">
        <v>10.98</v>
      </c>
      <c r="O29" s="30">
        <v>205</v>
      </c>
      <c r="P29" s="31">
        <v>135.97</v>
      </c>
      <c r="Q29" s="30">
        <v>5</v>
      </c>
      <c r="R29" s="31">
        <v>4</v>
      </c>
      <c r="S29" s="30">
        <v>1534</v>
      </c>
      <c r="T29" s="31">
        <v>872.7</v>
      </c>
      <c r="U29" s="30">
        <v>239</v>
      </c>
      <c r="V29" s="31">
        <v>203.7</v>
      </c>
      <c r="W29" s="30">
        <v>203</v>
      </c>
      <c r="X29" s="31">
        <v>133.43</v>
      </c>
      <c r="Y29" s="30">
        <v>12</v>
      </c>
      <c r="Z29" s="31">
        <v>6.33</v>
      </c>
      <c r="AA29" s="30">
        <v>60</v>
      </c>
      <c r="AB29" s="31">
        <v>158.65</v>
      </c>
      <c r="AC29" s="30">
        <v>299</v>
      </c>
      <c r="AD29" s="31">
        <v>894.15</v>
      </c>
      <c r="AE29" s="30">
        <v>15</v>
      </c>
      <c r="AF29" s="31">
        <v>27.5</v>
      </c>
      <c r="AG29" s="30">
        <v>1054</v>
      </c>
      <c r="AH29" s="31">
        <v>718.3</v>
      </c>
      <c r="AI29" s="30">
        <v>34</v>
      </c>
      <c r="AJ29" s="31">
        <v>17.600000000000001</v>
      </c>
      <c r="AK29" s="30">
        <v>77</v>
      </c>
      <c r="AL29" s="31">
        <v>108.68</v>
      </c>
      <c r="AM29" s="30">
        <v>12</v>
      </c>
      <c r="AN29" s="31">
        <v>9.32</v>
      </c>
      <c r="AO29" s="30">
        <v>4</v>
      </c>
      <c r="AP29" s="31">
        <v>4.3</v>
      </c>
      <c r="AQ29" s="30">
        <v>15</v>
      </c>
      <c r="AR29" s="31">
        <v>13.25</v>
      </c>
      <c r="AS29" s="30">
        <v>4</v>
      </c>
      <c r="AT29" s="31">
        <v>2.61</v>
      </c>
      <c r="AU29" s="30">
        <v>46</v>
      </c>
      <c r="AV29" s="31">
        <v>38.57</v>
      </c>
      <c r="AW29" s="30">
        <v>3</v>
      </c>
      <c r="AX29" s="31">
        <v>1.65</v>
      </c>
      <c r="AY29" s="34" t="s">
        <v>190</v>
      </c>
      <c r="AZ29" s="31" t="s">
        <v>190</v>
      </c>
      <c r="BA29" s="34" t="s">
        <v>190</v>
      </c>
      <c r="BB29" s="31" t="s">
        <v>190</v>
      </c>
      <c r="BC29" s="30">
        <v>1</v>
      </c>
      <c r="BD29" s="31">
        <v>0.5</v>
      </c>
      <c r="BE29" s="32">
        <v>441</v>
      </c>
      <c r="BF29" s="33">
        <v>234.84399999999997</v>
      </c>
      <c r="BG29" s="18" t="s">
        <v>26</v>
      </c>
      <c r="BH29" s="19"/>
    </row>
    <row r="30" spans="1:60" x14ac:dyDescent="0.3">
      <c r="A30" s="17" t="s">
        <v>27</v>
      </c>
      <c r="B30" s="46">
        <f t="shared" si="22"/>
        <v>22740</v>
      </c>
      <c r="C30" s="30">
        <v>1844</v>
      </c>
      <c r="D30" s="31">
        <v>3016.18</v>
      </c>
      <c r="E30" s="30">
        <v>934</v>
      </c>
      <c r="F30" s="31">
        <v>2631.37</v>
      </c>
      <c r="G30" s="30">
        <v>740</v>
      </c>
      <c r="H30" s="31">
        <v>2500.67</v>
      </c>
      <c r="I30" s="30">
        <v>2425</v>
      </c>
      <c r="J30" s="31">
        <v>2140.0500000000002</v>
      </c>
      <c r="K30" s="30">
        <v>483</v>
      </c>
      <c r="L30" s="31">
        <v>1334.19</v>
      </c>
      <c r="M30" s="30">
        <v>62</v>
      </c>
      <c r="N30" s="31">
        <v>160.05000000000001</v>
      </c>
      <c r="O30" s="30">
        <v>181</v>
      </c>
      <c r="P30" s="31">
        <v>789</v>
      </c>
      <c r="Q30" s="30">
        <v>88</v>
      </c>
      <c r="R30" s="31">
        <v>151.19999999999999</v>
      </c>
      <c r="S30" s="30">
        <v>2034</v>
      </c>
      <c r="T30" s="31">
        <v>2033.4</v>
      </c>
      <c r="U30" s="30">
        <v>382</v>
      </c>
      <c r="V30" s="31">
        <v>449.65</v>
      </c>
      <c r="W30" s="30">
        <v>212</v>
      </c>
      <c r="X30" s="31">
        <v>212.67</v>
      </c>
      <c r="Y30" s="30">
        <v>248</v>
      </c>
      <c r="Z30" s="31">
        <v>598.13</v>
      </c>
      <c r="AA30" s="30">
        <v>207</v>
      </c>
      <c r="AB30" s="31">
        <v>1347.6</v>
      </c>
      <c r="AC30" s="30">
        <v>410</v>
      </c>
      <c r="AD30" s="31">
        <v>1668.55</v>
      </c>
      <c r="AE30" s="30">
        <v>920</v>
      </c>
      <c r="AF30" s="31">
        <v>7878</v>
      </c>
      <c r="AG30" s="30">
        <v>3741</v>
      </c>
      <c r="AH30" s="31">
        <v>4376.3999999999996</v>
      </c>
      <c r="AI30" s="30">
        <v>20</v>
      </c>
      <c r="AJ30" s="31">
        <v>14.45</v>
      </c>
      <c r="AK30" s="30">
        <v>290</v>
      </c>
      <c r="AL30" s="31">
        <v>816.7</v>
      </c>
      <c r="AM30" s="30">
        <v>12</v>
      </c>
      <c r="AN30" s="31">
        <v>31.1</v>
      </c>
      <c r="AO30" s="30">
        <v>287</v>
      </c>
      <c r="AP30" s="31">
        <v>2870</v>
      </c>
      <c r="AQ30" s="30">
        <v>80</v>
      </c>
      <c r="AR30" s="31">
        <v>256</v>
      </c>
      <c r="AS30" s="30">
        <v>126</v>
      </c>
      <c r="AT30" s="31">
        <v>618</v>
      </c>
      <c r="AU30" s="30">
        <v>203</v>
      </c>
      <c r="AV30" s="31">
        <v>532.9</v>
      </c>
      <c r="AW30" s="30">
        <v>385</v>
      </c>
      <c r="AX30" s="31">
        <v>1855</v>
      </c>
      <c r="AY30" s="30">
        <v>1</v>
      </c>
      <c r="AZ30" s="31">
        <v>1.5</v>
      </c>
      <c r="BA30" s="30">
        <v>5261</v>
      </c>
      <c r="BB30" s="31">
        <v>3028.6</v>
      </c>
      <c r="BC30" s="30">
        <v>10</v>
      </c>
      <c r="BD30" s="31">
        <v>9</v>
      </c>
      <c r="BE30" s="32">
        <v>1154</v>
      </c>
      <c r="BF30" s="33">
        <v>1586.6499999999999</v>
      </c>
      <c r="BG30" s="18" t="s">
        <v>28</v>
      </c>
      <c r="BH30" s="19"/>
    </row>
    <row r="31" spans="1:60" x14ac:dyDescent="0.3">
      <c r="A31" s="17" t="s">
        <v>29</v>
      </c>
      <c r="B31" s="46">
        <f t="shared" si="22"/>
        <v>5623</v>
      </c>
      <c r="C31" s="30">
        <v>259</v>
      </c>
      <c r="D31" s="31">
        <v>385.59</v>
      </c>
      <c r="E31" s="30">
        <v>302</v>
      </c>
      <c r="F31" s="31">
        <v>740.59699999999998</v>
      </c>
      <c r="G31" s="30">
        <v>222</v>
      </c>
      <c r="H31" s="31">
        <v>442.9</v>
      </c>
      <c r="I31" s="30">
        <v>1954</v>
      </c>
      <c r="J31" s="31">
        <v>3127.4250000000002</v>
      </c>
      <c r="K31" s="30">
        <v>606</v>
      </c>
      <c r="L31" s="31">
        <v>1734.08</v>
      </c>
      <c r="M31" s="30">
        <v>22</v>
      </c>
      <c r="N31" s="31">
        <v>23</v>
      </c>
      <c r="O31" s="30">
        <v>68</v>
      </c>
      <c r="P31" s="31">
        <v>270.7</v>
      </c>
      <c r="Q31" s="30">
        <v>5</v>
      </c>
      <c r="R31" s="31">
        <v>5.25</v>
      </c>
      <c r="S31" s="30">
        <v>24</v>
      </c>
      <c r="T31" s="31">
        <v>12.899999999999999</v>
      </c>
      <c r="U31" s="30">
        <v>169</v>
      </c>
      <c r="V31" s="31">
        <v>259.39</v>
      </c>
      <c r="W31" s="30">
        <v>20</v>
      </c>
      <c r="X31" s="31">
        <v>25.5</v>
      </c>
      <c r="Y31" s="30">
        <v>35</v>
      </c>
      <c r="Z31" s="31">
        <v>88.4</v>
      </c>
      <c r="AA31" s="30">
        <v>104</v>
      </c>
      <c r="AB31" s="31">
        <v>585.1</v>
      </c>
      <c r="AC31" s="30">
        <v>569</v>
      </c>
      <c r="AD31" s="31">
        <v>2671.59</v>
      </c>
      <c r="AE31" s="30">
        <v>67</v>
      </c>
      <c r="AF31" s="31">
        <v>370</v>
      </c>
      <c r="AG31" s="30">
        <v>399</v>
      </c>
      <c r="AH31" s="31">
        <v>588.58900000000006</v>
      </c>
      <c r="AI31" s="30">
        <v>32</v>
      </c>
      <c r="AJ31" s="31">
        <v>31.1</v>
      </c>
      <c r="AK31" s="30">
        <v>91</v>
      </c>
      <c r="AL31" s="31">
        <v>371.31099999999998</v>
      </c>
      <c r="AM31" s="30">
        <v>29</v>
      </c>
      <c r="AN31" s="31">
        <v>71.900000000000006</v>
      </c>
      <c r="AO31" s="30">
        <v>31</v>
      </c>
      <c r="AP31" s="31">
        <v>128.1</v>
      </c>
      <c r="AQ31" s="30">
        <v>68</v>
      </c>
      <c r="AR31" s="31">
        <v>191</v>
      </c>
      <c r="AS31" s="30">
        <v>14</v>
      </c>
      <c r="AT31" s="31">
        <v>42.5</v>
      </c>
      <c r="AU31" s="30">
        <v>152</v>
      </c>
      <c r="AV31" s="31">
        <v>329.9</v>
      </c>
      <c r="AW31" s="30">
        <v>24</v>
      </c>
      <c r="AX31" s="31">
        <v>70.400000000000006</v>
      </c>
      <c r="AY31" s="30" t="s">
        <v>190</v>
      </c>
      <c r="AZ31" s="31" t="s">
        <v>190</v>
      </c>
      <c r="BA31" s="34" t="s">
        <v>190</v>
      </c>
      <c r="BB31" s="31" t="s">
        <v>190</v>
      </c>
      <c r="BC31" s="30">
        <v>79</v>
      </c>
      <c r="BD31" s="31">
        <v>104.4</v>
      </c>
      <c r="BE31" s="32">
        <v>278</v>
      </c>
      <c r="BF31" s="33">
        <v>358.60300000000001</v>
      </c>
      <c r="BG31" s="18" t="s">
        <v>30</v>
      </c>
      <c r="BH31" s="19"/>
    </row>
    <row r="32" spans="1:60" x14ac:dyDescent="0.3">
      <c r="A32" s="17" t="s">
        <v>31</v>
      </c>
      <c r="B32" s="46">
        <f t="shared" si="22"/>
        <v>13018</v>
      </c>
      <c r="C32" s="30">
        <v>149</v>
      </c>
      <c r="D32" s="31">
        <v>162.82</v>
      </c>
      <c r="E32" s="30">
        <v>278</v>
      </c>
      <c r="F32" s="31">
        <v>746.31</v>
      </c>
      <c r="G32" s="30">
        <v>146</v>
      </c>
      <c r="H32" s="31">
        <v>193.63</v>
      </c>
      <c r="I32" s="30">
        <v>6044</v>
      </c>
      <c r="J32" s="31">
        <v>6780.7380000000003</v>
      </c>
      <c r="K32" s="30">
        <v>161</v>
      </c>
      <c r="L32" s="31">
        <v>395.52</v>
      </c>
      <c r="M32" s="30">
        <v>75</v>
      </c>
      <c r="N32" s="31">
        <v>136.19999999999999</v>
      </c>
      <c r="O32" s="30">
        <v>751</v>
      </c>
      <c r="P32" s="31">
        <v>1702.48</v>
      </c>
      <c r="Q32" s="30">
        <v>26</v>
      </c>
      <c r="R32" s="31">
        <v>24.158999999999999</v>
      </c>
      <c r="S32" s="30">
        <v>34</v>
      </c>
      <c r="T32" s="31">
        <v>25.490000000000002</v>
      </c>
      <c r="U32" s="30">
        <v>337</v>
      </c>
      <c r="V32" s="31">
        <v>315.55</v>
      </c>
      <c r="W32" s="30">
        <v>123</v>
      </c>
      <c r="X32" s="31">
        <v>113.6</v>
      </c>
      <c r="Y32" s="30">
        <v>64</v>
      </c>
      <c r="Z32" s="31">
        <v>83.6</v>
      </c>
      <c r="AA32" s="30">
        <v>2347</v>
      </c>
      <c r="AB32" s="31">
        <v>15584.42</v>
      </c>
      <c r="AC32" s="30">
        <v>299</v>
      </c>
      <c r="AD32" s="31">
        <v>1383.79</v>
      </c>
      <c r="AE32" s="30">
        <v>111</v>
      </c>
      <c r="AF32" s="31">
        <v>805.3</v>
      </c>
      <c r="AG32" s="30">
        <v>988</v>
      </c>
      <c r="AH32" s="31">
        <v>974.12</v>
      </c>
      <c r="AI32" s="30">
        <v>27</v>
      </c>
      <c r="AJ32" s="31">
        <v>20.042000000000002</v>
      </c>
      <c r="AK32" s="30">
        <v>65</v>
      </c>
      <c r="AL32" s="31">
        <v>220.53</v>
      </c>
      <c r="AM32" s="30">
        <v>23</v>
      </c>
      <c r="AN32" s="31">
        <v>93.3</v>
      </c>
      <c r="AO32" s="30">
        <v>32</v>
      </c>
      <c r="AP32" s="31">
        <v>184</v>
      </c>
      <c r="AQ32" s="30">
        <v>121</v>
      </c>
      <c r="AR32" s="31">
        <v>355.43</v>
      </c>
      <c r="AS32" s="30">
        <v>25</v>
      </c>
      <c r="AT32" s="31">
        <v>100.93</v>
      </c>
      <c r="AU32" s="30">
        <v>151</v>
      </c>
      <c r="AV32" s="31">
        <v>300.28800000000001</v>
      </c>
      <c r="AW32" s="30">
        <v>55</v>
      </c>
      <c r="AX32" s="31">
        <v>207.15899999999999</v>
      </c>
      <c r="AY32" s="34">
        <v>1</v>
      </c>
      <c r="AZ32" s="31">
        <v>0.8</v>
      </c>
      <c r="BA32" s="30">
        <v>94</v>
      </c>
      <c r="BB32" s="31">
        <v>49.82</v>
      </c>
      <c r="BC32" s="30">
        <v>3</v>
      </c>
      <c r="BD32" s="31">
        <v>5</v>
      </c>
      <c r="BE32" s="32">
        <v>488</v>
      </c>
      <c r="BF32" s="33">
        <v>690.59100000000001</v>
      </c>
      <c r="BG32" s="18" t="s">
        <v>32</v>
      </c>
      <c r="BH32" s="19"/>
    </row>
    <row r="33" spans="1:60" x14ac:dyDescent="0.3">
      <c r="A33" s="17" t="s">
        <v>33</v>
      </c>
      <c r="B33" s="46">
        <f t="shared" si="22"/>
        <v>5716</v>
      </c>
      <c r="C33" s="30">
        <v>209</v>
      </c>
      <c r="D33" s="31">
        <v>246.8</v>
      </c>
      <c r="E33" s="30">
        <v>227</v>
      </c>
      <c r="F33" s="31">
        <v>429.65</v>
      </c>
      <c r="G33" s="30">
        <v>149</v>
      </c>
      <c r="H33" s="31">
        <v>184.23</v>
      </c>
      <c r="I33" s="30">
        <v>2358</v>
      </c>
      <c r="J33" s="31">
        <v>1343.7239999999999</v>
      </c>
      <c r="K33" s="30">
        <v>56</v>
      </c>
      <c r="L33" s="31">
        <v>113.12</v>
      </c>
      <c r="M33" s="30">
        <v>111</v>
      </c>
      <c r="N33" s="31">
        <v>88.632000000000005</v>
      </c>
      <c r="O33" s="30">
        <v>138</v>
      </c>
      <c r="P33" s="31">
        <v>478.322</v>
      </c>
      <c r="Q33" s="30">
        <v>6</v>
      </c>
      <c r="R33" s="31">
        <v>4.71</v>
      </c>
      <c r="S33" s="30">
        <v>226</v>
      </c>
      <c r="T33" s="31">
        <v>114.801</v>
      </c>
      <c r="U33" s="30">
        <v>250</v>
      </c>
      <c r="V33" s="31">
        <v>219.322</v>
      </c>
      <c r="W33" s="30">
        <v>200</v>
      </c>
      <c r="X33" s="31">
        <v>86.57</v>
      </c>
      <c r="Y33" s="30">
        <v>40</v>
      </c>
      <c r="Z33" s="31">
        <v>63.9</v>
      </c>
      <c r="AA33" s="30">
        <v>29</v>
      </c>
      <c r="AB33" s="31">
        <v>118.54300000000001</v>
      </c>
      <c r="AC33" s="30">
        <v>265</v>
      </c>
      <c r="AD33" s="31">
        <v>894.09699999999998</v>
      </c>
      <c r="AE33" s="30">
        <v>65</v>
      </c>
      <c r="AF33" s="31">
        <v>221.86600000000001</v>
      </c>
      <c r="AG33" s="30">
        <v>97</v>
      </c>
      <c r="AH33" s="31">
        <v>67.074999999999989</v>
      </c>
      <c r="AI33" s="30">
        <v>8</v>
      </c>
      <c r="AJ33" s="31">
        <v>5.48</v>
      </c>
      <c r="AK33" s="30">
        <v>160</v>
      </c>
      <c r="AL33" s="31">
        <v>213.56</v>
      </c>
      <c r="AM33" s="30">
        <v>46</v>
      </c>
      <c r="AN33" s="31">
        <v>66.843000000000004</v>
      </c>
      <c r="AO33" s="30">
        <v>47</v>
      </c>
      <c r="AP33" s="31">
        <v>80.900000000000006</v>
      </c>
      <c r="AQ33" s="30">
        <v>100</v>
      </c>
      <c r="AR33" s="31">
        <v>205.88800000000001</v>
      </c>
      <c r="AS33" s="30">
        <v>18</v>
      </c>
      <c r="AT33" s="31">
        <v>35.4</v>
      </c>
      <c r="AU33" s="30">
        <v>197</v>
      </c>
      <c r="AV33" s="31">
        <v>422.08</v>
      </c>
      <c r="AW33" s="30">
        <v>33</v>
      </c>
      <c r="AX33" s="31">
        <v>70.686999999999998</v>
      </c>
      <c r="AY33" s="30">
        <v>1</v>
      </c>
      <c r="AZ33" s="31">
        <v>0.5</v>
      </c>
      <c r="BA33" s="34" t="s">
        <v>190</v>
      </c>
      <c r="BB33" s="31" t="s">
        <v>190</v>
      </c>
      <c r="BC33" s="30">
        <v>1</v>
      </c>
      <c r="BD33" s="31">
        <v>0.8</v>
      </c>
      <c r="BE33" s="32">
        <v>679</v>
      </c>
      <c r="BF33" s="33">
        <v>454.66500000000002</v>
      </c>
      <c r="BG33" s="18" t="s">
        <v>34</v>
      </c>
      <c r="BH33" s="19"/>
    </row>
    <row r="34" spans="1:60" ht="23.25" customHeight="1" x14ac:dyDescent="0.3">
      <c r="A34" s="20" t="s">
        <v>179</v>
      </c>
      <c r="B34" s="47">
        <f>SUM(B35:B38)</f>
        <v>13478</v>
      </c>
      <c r="C34" s="41">
        <f>SUM(C35:C38)</f>
        <v>169</v>
      </c>
      <c r="D34" s="41">
        <f>SUM(D35:D38)</f>
        <v>181.40400000000002</v>
      </c>
      <c r="E34" s="41">
        <f t="shared" ref="E34:F34" si="23">SUM(E35:E38)</f>
        <v>437</v>
      </c>
      <c r="F34" s="41">
        <f t="shared" si="23"/>
        <v>1022.758</v>
      </c>
      <c r="G34" s="41">
        <f t="shared" ref="G34" si="24">SUM(G35:G38)</f>
        <v>125</v>
      </c>
      <c r="H34" s="41">
        <f t="shared" ref="H34" si="25">SUM(H35:H38)</f>
        <v>152.797</v>
      </c>
      <c r="I34" s="41">
        <f t="shared" ref="I34" si="26">SUM(I35:I38)</f>
        <v>5521</v>
      </c>
      <c r="J34" s="41">
        <f t="shared" ref="J34" si="27">SUM(J35:J38)</f>
        <v>3423.0920000000001</v>
      </c>
      <c r="K34" s="41">
        <f t="shared" ref="K34" si="28">SUM(K35:K38)</f>
        <v>132</v>
      </c>
      <c r="L34" s="41">
        <f t="shared" ref="L34" si="29">SUM(L35:L38)</f>
        <v>197.23500000000001</v>
      </c>
      <c r="M34" s="41">
        <f t="shared" ref="M34:N34" si="30">SUM(M35:M38)</f>
        <v>105</v>
      </c>
      <c r="N34" s="41">
        <f t="shared" si="30"/>
        <v>84.714999999999989</v>
      </c>
      <c r="O34" s="41">
        <f t="shared" ref="O34" si="31">SUM(O35:O38)</f>
        <v>894</v>
      </c>
      <c r="P34" s="41">
        <f t="shared" ref="P34" si="32">SUM(P35:P38)</f>
        <v>2118.752</v>
      </c>
      <c r="Q34" s="42">
        <f t="shared" ref="Q34" si="33">SUM(Q35:Q38)</f>
        <v>52</v>
      </c>
      <c r="R34" s="41">
        <f t="shared" ref="R34" si="34">SUM(R35:R38)</f>
        <v>55.19</v>
      </c>
      <c r="S34" s="41">
        <f t="shared" ref="S34" si="35">SUM(S35:S38)</f>
        <v>923</v>
      </c>
      <c r="T34" s="41">
        <f t="shared" ref="T34" si="36">SUM(T35:T38)</f>
        <v>592.82000000000005</v>
      </c>
      <c r="U34" s="41">
        <f t="shared" ref="U34" si="37">SUM(U35:U38)</f>
        <v>210</v>
      </c>
      <c r="V34" s="41">
        <f>SUM(V35:V38)</f>
        <v>232.14700000000002</v>
      </c>
      <c r="W34" s="41">
        <f t="shared" ref="W34" si="38">SUM(W35:W38)</f>
        <v>116</v>
      </c>
      <c r="X34" s="41">
        <f t="shared" ref="X34" si="39">SUM(X35:X38)</f>
        <v>109.52</v>
      </c>
      <c r="Y34" s="41">
        <f t="shared" ref="Y34" si="40">SUM(Y35:Y38)</f>
        <v>68</v>
      </c>
      <c r="Z34" s="41">
        <f t="shared" ref="Z34" si="41">SUM(Z35:Z38)</f>
        <v>99.486000000000004</v>
      </c>
      <c r="AA34" s="41">
        <f t="shared" ref="AA34" si="42">SUM(AA35:AA38)</f>
        <v>70</v>
      </c>
      <c r="AB34" s="41">
        <f t="shared" ref="AB34" si="43">SUM(AB35:AB38)</f>
        <v>255.64000000000001</v>
      </c>
      <c r="AC34" s="41">
        <f t="shared" ref="AC34" si="44">SUM(AC35:AC38)</f>
        <v>783</v>
      </c>
      <c r="AD34" s="41">
        <f t="shared" ref="AD34" si="45">SUM(AD35:AD38)</f>
        <v>2503.2730000000001</v>
      </c>
      <c r="AE34" s="41">
        <f t="shared" ref="AE34" si="46">SUM(AE35:AE38)</f>
        <v>34</v>
      </c>
      <c r="AF34" s="43">
        <f t="shared" ref="AF34:AL34" si="47">SUM(AF35:AF38)</f>
        <v>152.83000000000001</v>
      </c>
      <c r="AG34" s="43">
        <f t="shared" si="47"/>
        <v>1997</v>
      </c>
      <c r="AH34" s="43">
        <f t="shared" si="47"/>
        <v>1254.414</v>
      </c>
      <c r="AI34" s="43">
        <f t="shared" si="47"/>
        <v>45</v>
      </c>
      <c r="AJ34" s="43">
        <f t="shared" si="47"/>
        <v>56.079999999999991</v>
      </c>
      <c r="AK34" s="43">
        <f t="shared" si="47"/>
        <v>129</v>
      </c>
      <c r="AL34" s="43">
        <f t="shared" si="47"/>
        <v>181.90500000000003</v>
      </c>
      <c r="AM34" s="41">
        <f t="shared" ref="AM34" si="48">SUM(AM35:AM38)</f>
        <v>35</v>
      </c>
      <c r="AN34" s="44">
        <f t="shared" ref="AN34" si="49">SUM(AN35:AN38)</f>
        <v>72.376000000000005</v>
      </c>
      <c r="AO34" s="41">
        <f t="shared" ref="AO34" si="50">SUM(AO35:AO38)</f>
        <v>8</v>
      </c>
      <c r="AP34" s="44">
        <f t="shared" ref="AP34" si="51">SUM(AP35:AP38)</f>
        <v>24.75</v>
      </c>
      <c r="AQ34" s="41">
        <f t="shared" ref="AQ34" si="52">SUM(AQ35:AQ38)</f>
        <v>72</v>
      </c>
      <c r="AR34" s="44">
        <f t="shared" ref="AR34" si="53">SUM(AR35:AR38)</f>
        <v>121.07000000000001</v>
      </c>
      <c r="AS34" s="41">
        <f t="shared" ref="AS34" si="54">SUM(AS35:AS38)</f>
        <v>5</v>
      </c>
      <c r="AT34" s="43">
        <f t="shared" ref="AT34:AX34" si="55">SUM(AT35:AT38)</f>
        <v>12.299999999999999</v>
      </c>
      <c r="AU34" s="41">
        <f>SUM(AU35:AU38)</f>
        <v>711</v>
      </c>
      <c r="AV34" s="44">
        <f t="shared" si="55"/>
        <v>1380.4859999999999</v>
      </c>
      <c r="AW34" s="41">
        <f t="shared" si="55"/>
        <v>26</v>
      </c>
      <c r="AX34" s="44">
        <f t="shared" si="55"/>
        <v>67.890000000000015</v>
      </c>
      <c r="AY34" s="41">
        <f t="shared" ref="AY34" si="56">SUM(AY35:AY38)</f>
        <v>1</v>
      </c>
      <c r="AZ34" s="41">
        <f t="shared" ref="AZ34" si="57">SUM(AZ35:AZ38)</f>
        <v>0.9</v>
      </c>
      <c r="BA34" s="41">
        <f t="shared" ref="BA34" si="58">SUM(BA35:BA38)</f>
        <v>15</v>
      </c>
      <c r="BB34" s="44">
        <f t="shared" ref="BB34" si="59">SUM(BB35:BB38)</f>
        <v>15</v>
      </c>
      <c r="BC34" s="41">
        <f t="shared" ref="BC34" si="60">SUM(BC35:BC38)</f>
        <v>55</v>
      </c>
      <c r="BD34" s="44">
        <f t="shared" ref="BD34" si="61">SUM(BD35:BD38)</f>
        <v>44.304000000000002</v>
      </c>
      <c r="BE34" s="41">
        <f t="shared" ref="BE34" si="62">SUM(BE35:BE38)</f>
        <v>740</v>
      </c>
      <c r="BF34" s="45">
        <f t="shared" ref="BF34" si="63">SUM(BF35:BF38)</f>
        <v>525.93200000000002</v>
      </c>
      <c r="BG34" s="21" t="s">
        <v>180</v>
      </c>
      <c r="BH34" s="19"/>
    </row>
    <row r="35" spans="1:60" x14ac:dyDescent="0.3">
      <c r="A35" s="17" t="s">
        <v>35</v>
      </c>
      <c r="B35" s="46">
        <f>SUM(C35,E35,G35,I35,K35,M35,O35,Q35,S35,U35,W35,Y35,AA35,AC35,AE35,AG35,AI35,AK35,AM35,AO35,AQ35,AS35,AU35,AW35,AY35,BA35,BC35,BE35)</f>
        <v>5764</v>
      </c>
      <c r="C35" s="30">
        <v>76</v>
      </c>
      <c r="D35" s="31">
        <v>72.403999999999996</v>
      </c>
      <c r="E35" s="30">
        <v>192</v>
      </c>
      <c r="F35" s="31">
        <v>433.20800000000003</v>
      </c>
      <c r="G35" s="30">
        <v>69</v>
      </c>
      <c r="H35" s="31">
        <v>91.197000000000003</v>
      </c>
      <c r="I35" s="30">
        <v>3349</v>
      </c>
      <c r="J35" s="31">
        <v>1631.3109999999999</v>
      </c>
      <c r="K35" s="30">
        <v>67</v>
      </c>
      <c r="L35" s="31">
        <v>121.63500000000001</v>
      </c>
      <c r="M35" s="30">
        <v>28</v>
      </c>
      <c r="N35" s="31">
        <v>40.418999999999997</v>
      </c>
      <c r="O35" s="30">
        <v>741</v>
      </c>
      <c r="P35" s="31">
        <v>1901.432</v>
      </c>
      <c r="Q35" s="30">
        <v>47</v>
      </c>
      <c r="R35" s="31">
        <v>51.89</v>
      </c>
      <c r="S35" s="30">
        <v>15</v>
      </c>
      <c r="T35" s="31">
        <v>9.84</v>
      </c>
      <c r="U35" s="30">
        <v>148</v>
      </c>
      <c r="V35" s="31">
        <v>136.297</v>
      </c>
      <c r="W35" s="30">
        <v>82</v>
      </c>
      <c r="X35" s="31">
        <v>83.52</v>
      </c>
      <c r="Y35" s="30">
        <v>40</v>
      </c>
      <c r="Z35" s="31">
        <v>59.136000000000003</v>
      </c>
      <c r="AA35" s="30">
        <v>46</v>
      </c>
      <c r="AB35" s="31">
        <v>196.84</v>
      </c>
      <c r="AC35" s="30">
        <v>94</v>
      </c>
      <c r="AD35" s="31">
        <v>399.22300000000001</v>
      </c>
      <c r="AE35" s="30">
        <v>23</v>
      </c>
      <c r="AF35" s="31">
        <v>132.99</v>
      </c>
      <c r="AG35" s="30">
        <v>96</v>
      </c>
      <c r="AH35" s="31">
        <v>73.361000000000004</v>
      </c>
      <c r="AI35" s="30">
        <v>4</v>
      </c>
      <c r="AJ35" s="31">
        <v>1.3</v>
      </c>
      <c r="AK35" s="30">
        <v>45</v>
      </c>
      <c r="AL35" s="31">
        <v>68.754999999999995</v>
      </c>
      <c r="AM35" s="30">
        <v>20</v>
      </c>
      <c r="AN35" s="31">
        <v>51.426000000000002</v>
      </c>
      <c r="AO35" s="30">
        <v>6</v>
      </c>
      <c r="AP35" s="31">
        <v>23.3</v>
      </c>
      <c r="AQ35" s="30">
        <v>32</v>
      </c>
      <c r="AR35" s="31">
        <v>68.42</v>
      </c>
      <c r="AS35" s="30">
        <v>3</v>
      </c>
      <c r="AT35" s="31">
        <v>10.6</v>
      </c>
      <c r="AU35" s="30">
        <v>363</v>
      </c>
      <c r="AV35" s="31">
        <v>906.93399999999997</v>
      </c>
      <c r="AW35" s="30">
        <v>16</v>
      </c>
      <c r="AX35" s="31">
        <v>54.38</v>
      </c>
      <c r="AY35" s="34" t="s">
        <v>190</v>
      </c>
      <c r="AZ35" s="31" t="s">
        <v>190</v>
      </c>
      <c r="BA35" s="34" t="s">
        <v>190</v>
      </c>
      <c r="BB35" s="31" t="s">
        <v>190</v>
      </c>
      <c r="BC35" s="30">
        <v>8</v>
      </c>
      <c r="BD35" s="31">
        <v>10.364000000000001</v>
      </c>
      <c r="BE35" s="32">
        <v>154</v>
      </c>
      <c r="BF35" s="33">
        <v>162.81</v>
      </c>
      <c r="BG35" s="18" t="s">
        <v>36</v>
      </c>
      <c r="BH35" s="19"/>
    </row>
    <row r="36" spans="1:60" x14ac:dyDescent="0.3">
      <c r="A36" s="17" t="s">
        <v>37</v>
      </c>
      <c r="B36" s="46">
        <f>SUM(C36,E36,G36,I36,K36,M36,O36,Q36,S36,U36,W36,Y36,AA36,AC36,AE36,AG36,AI36,AK36,AM36,AO36,AQ36,AS36,AU36,AW36,AY36,BA36,BC36,BE36)</f>
        <v>1498</v>
      </c>
      <c r="C36" s="30">
        <v>7</v>
      </c>
      <c r="D36" s="31">
        <v>5.15</v>
      </c>
      <c r="E36" s="30">
        <v>19</v>
      </c>
      <c r="F36" s="31">
        <v>17.8</v>
      </c>
      <c r="G36" s="30">
        <v>6</v>
      </c>
      <c r="H36" s="31">
        <v>6.2</v>
      </c>
      <c r="I36" s="30">
        <v>375</v>
      </c>
      <c r="J36" s="31">
        <v>232.33099999999999</v>
      </c>
      <c r="K36" s="30">
        <v>18</v>
      </c>
      <c r="L36" s="31">
        <v>17.600000000000001</v>
      </c>
      <c r="M36" s="30">
        <v>64</v>
      </c>
      <c r="N36" s="31">
        <v>29.495999999999999</v>
      </c>
      <c r="O36" s="30">
        <v>29</v>
      </c>
      <c r="P36" s="31">
        <v>22.57</v>
      </c>
      <c r="Q36" s="30">
        <v>3</v>
      </c>
      <c r="R36" s="31">
        <v>1.6</v>
      </c>
      <c r="S36" s="30">
        <v>1</v>
      </c>
      <c r="T36" s="31">
        <v>0.2</v>
      </c>
      <c r="U36" s="30">
        <v>10</v>
      </c>
      <c r="V36" s="31">
        <v>5.3</v>
      </c>
      <c r="W36" s="30">
        <v>3</v>
      </c>
      <c r="X36" s="31">
        <v>0.6</v>
      </c>
      <c r="Y36" s="30">
        <v>1</v>
      </c>
      <c r="Z36" s="31">
        <v>0.4</v>
      </c>
      <c r="AA36" s="30">
        <v>12</v>
      </c>
      <c r="AB36" s="31">
        <v>32.4</v>
      </c>
      <c r="AC36" s="30">
        <v>34</v>
      </c>
      <c r="AD36" s="31">
        <v>45.55</v>
      </c>
      <c r="AE36" s="30">
        <v>5</v>
      </c>
      <c r="AF36" s="31">
        <v>6.6</v>
      </c>
      <c r="AG36" s="30">
        <v>523</v>
      </c>
      <c r="AH36" s="31">
        <v>237.65</v>
      </c>
      <c r="AI36" s="30">
        <v>40</v>
      </c>
      <c r="AJ36" s="31">
        <v>54.48</v>
      </c>
      <c r="AK36" s="30">
        <v>6</v>
      </c>
      <c r="AL36" s="31">
        <v>4.4000000000000004</v>
      </c>
      <c r="AM36" s="30">
        <v>4</v>
      </c>
      <c r="AN36" s="31">
        <v>3.9</v>
      </c>
      <c r="AO36" s="30">
        <v>1</v>
      </c>
      <c r="AP36" s="31">
        <v>1.2</v>
      </c>
      <c r="AQ36" s="30">
        <v>6</v>
      </c>
      <c r="AR36" s="31">
        <v>2.7</v>
      </c>
      <c r="AS36" s="34">
        <v>2</v>
      </c>
      <c r="AT36" s="31">
        <v>1.7</v>
      </c>
      <c r="AU36" s="30">
        <v>17</v>
      </c>
      <c r="AV36" s="31">
        <v>9.3000000000000007</v>
      </c>
      <c r="AW36" s="30">
        <v>3</v>
      </c>
      <c r="AX36" s="31">
        <v>3.7</v>
      </c>
      <c r="AY36" s="34">
        <v>1</v>
      </c>
      <c r="AZ36" s="31">
        <v>0.9</v>
      </c>
      <c r="BA36" s="34" t="s">
        <v>190</v>
      </c>
      <c r="BB36" s="31" t="s">
        <v>190</v>
      </c>
      <c r="BC36" s="30" t="s">
        <v>190</v>
      </c>
      <c r="BD36" s="31" t="s">
        <v>190</v>
      </c>
      <c r="BE36" s="32">
        <v>308</v>
      </c>
      <c r="BF36" s="33">
        <v>132.12</v>
      </c>
      <c r="BG36" s="18" t="s">
        <v>38</v>
      </c>
      <c r="BH36" s="19"/>
    </row>
    <row r="37" spans="1:60" x14ac:dyDescent="0.3">
      <c r="A37" s="17" t="s">
        <v>39</v>
      </c>
      <c r="B37" s="46">
        <f>SUM(C37,E37,G37,I37,K37,M37,O37,Q37,S37,U37,W37,Y37,AA37,AC37,AE37,AG37,AI37,AK37,AM37,AO37,AQ37,AS37,AU37,AW37,AY37,BA37,BC37,BE37)</f>
        <v>1795</v>
      </c>
      <c r="C37" s="30">
        <v>48</v>
      </c>
      <c r="D37" s="31">
        <v>66.95</v>
      </c>
      <c r="E37" s="30">
        <v>111</v>
      </c>
      <c r="F37" s="31">
        <v>368.3</v>
      </c>
      <c r="G37" s="30">
        <v>23</v>
      </c>
      <c r="H37" s="31">
        <v>35.049999999999997</v>
      </c>
      <c r="I37" s="30">
        <v>706</v>
      </c>
      <c r="J37" s="31">
        <v>634.79999999999995</v>
      </c>
      <c r="K37" s="30">
        <v>16</v>
      </c>
      <c r="L37" s="31">
        <v>21.7</v>
      </c>
      <c r="M37" s="30">
        <v>8</v>
      </c>
      <c r="N37" s="31">
        <v>10.8</v>
      </c>
      <c r="O37" s="30">
        <v>31</v>
      </c>
      <c r="P37" s="31">
        <v>100.3</v>
      </c>
      <c r="Q37" s="30">
        <v>1</v>
      </c>
      <c r="R37" s="31">
        <v>0.8</v>
      </c>
      <c r="S37" s="30">
        <v>6</v>
      </c>
      <c r="T37" s="31">
        <v>1.08</v>
      </c>
      <c r="U37" s="30">
        <v>38</v>
      </c>
      <c r="V37" s="31">
        <v>79</v>
      </c>
      <c r="W37" s="30">
        <v>3</v>
      </c>
      <c r="X37" s="31">
        <v>2.4</v>
      </c>
      <c r="Y37" s="30">
        <v>8</v>
      </c>
      <c r="Z37" s="31">
        <v>16</v>
      </c>
      <c r="AA37" s="30" t="s">
        <v>190</v>
      </c>
      <c r="AB37" s="31" t="s">
        <v>190</v>
      </c>
      <c r="AC37" s="30">
        <v>546</v>
      </c>
      <c r="AD37" s="31">
        <v>1876.85</v>
      </c>
      <c r="AE37" s="30">
        <v>1</v>
      </c>
      <c r="AF37" s="31">
        <v>9.5</v>
      </c>
      <c r="AG37" s="30">
        <v>61</v>
      </c>
      <c r="AH37" s="31">
        <v>33.200000000000003</v>
      </c>
      <c r="AI37" s="34">
        <v>1</v>
      </c>
      <c r="AJ37" s="31">
        <v>0.3</v>
      </c>
      <c r="AK37" s="30">
        <v>50</v>
      </c>
      <c r="AL37" s="31">
        <v>79.2</v>
      </c>
      <c r="AM37" s="30">
        <v>9</v>
      </c>
      <c r="AN37" s="31">
        <v>16.399999999999999</v>
      </c>
      <c r="AO37" s="30" t="s">
        <v>190</v>
      </c>
      <c r="AP37" s="31" t="s">
        <v>190</v>
      </c>
      <c r="AQ37" s="30">
        <v>14</v>
      </c>
      <c r="AR37" s="31">
        <v>25</v>
      </c>
      <c r="AS37" s="30" t="s">
        <v>190</v>
      </c>
      <c r="AT37" s="31" t="s">
        <v>190</v>
      </c>
      <c r="AU37" s="30">
        <v>69</v>
      </c>
      <c r="AV37" s="31">
        <v>146.4</v>
      </c>
      <c r="AW37" s="30">
        <v>2</v>
      </c>
      <c r="AX37" s="31">
        <v>6</v>
      </c>
      <c r="AY37" s="34" t="s">
        <v>190</v>
      </c>
      <c r="AZ37" s="31" t="s">
        <v>190</v>
      </c>
      <c r="BA37" s="34" t="s">
        <v>190</v>
      </c>
      <c r="BB37" s="31" t="s">
        <v>190</v>
      </c>
      <c r="BC37" s="30" t="s">
        <v>190</v>
      </c>
      <c r="BD37" s="31" t="s">
        <v>190</v>
      </c>
      <c r="BE37" s="32">
        <v>43</v>
      </c>
      <c r="BF37" s="33">
        <v>73.099999999999994</v>
      </c>
      <c r="BG37" s="18" t="s">
        <v>40</v>
      </c>
      <c r="BH37" s="19"/>
    </row>
    <row r="38" spans="1:60" x14ac:dyDescent="0.3">
      <c r="A38" s="17" t="s">
        <v>41</v>
      </c>
      <c r="B38" s="46">
        <f>SUM(C38,E38,G38,I38,K38,M38,O38,Q38,S38,U38,W38,Y38,AA38,AC38,AE38,AG38,AI38,AK38,AM38,AO38,AQ38,AS38,AU38,AW38,AY38,BA38,BC38,BE38)</f>
        <v>4421</v>
      </c>
      <c r="C38" s="30">
        <v>38</v>
      </c>
      <c r="D38" s="31">
        <v>36.9</v>
      </c>
      <c r="E38" s="30">
        <v>115</v>
      </c>
      <c r="F38" s="31">
        <v>203.45</v>
      </c>
      <c r="G38" s="30">
        <v>27</v>
      </c>
      <c r="H38" s="31">
        <v>20.350000000000001</v>
      </c>
      <c r="I38" s="30">
        <v>1091</v>
      </c>
      <c r="J38" s="31">
        <v>924.65</v>
      </c>
      <c r="K38" s="30">
        <v>31</v>
      </c>
      <c r="L38" s="31">
        <v>36.299999999999997</v>
      </c>
      <c r="M38" s="30">
        <v>5</v>
      </c>
      <c r="N38" s="31">
        <v>4</v>
      </c>
      <c r="O38" s="30">
        <v>93</v>
      </c>
      <c r="P38" s="31">
        <v>94.45</v>
      </c>
      <c r="Q38" s="30">
        <v>1</v>
      </c>
      <c r="R38" s="31">
        <v>0.9</v>
      </c>
      <c r="S38" s="30">
        <v>901</v>
      </c>
      <c r="T38" s="31">
        <v>581.70000000000005</v>
      </c>
      <c r="U38" s="30">
        <v>14</v>
      </c>
      <c r="V38" s="31">
        <v>11.55</v>
      </c>
      <c r="W38" s="30">
        <v>28</v>
      </c>
      <c r="X38" s="31">
        <v>23</v>
      </c>
      <c r="Y38" s="30">
        <v>19</v>
      </c>
      <c r="Z38" s="31">
        <v>23.95</v>
      </c>
      <c r="AA38" s="30">
        <v>12</v>
      </c>
      <c r="AB38" s="31">
        <v>26.4</v>
      </c>
      <c r="AC38" s="30">
        <v>109</v>
      </c>
      <c r="AD38" s="31">
        <v>181.65</v>
      </c>
      <c r="AE38" s="30">
        <v>5</v>
      </c>
      <c r="AF38" s="31">
        <v>3.74</v>
      </c>
      <c r="AG38" s="30">
        <v>1317</v>
      </c>
      <c r="AH38" s="31">
        <v>910.20299999999997</v>
      </c>
      <c r="AI38" s="30" t="s">
        <v>190</v>
      </c>
      <c r="AJ38" s="31" t="s">
        <v>190</v>
      </c>
      <c r="AK38" s="30">
        <v>28</v>
      </c>
      <c r="AL38" s="31">
        <v>29.55</v>
      </c>
      <c r="AM38" s="30">
        <v>2</v>
      </c>
      <c r="AN38" s="31">
        <v>0.65</v>
      </c>
      <c r="AO38" s="30">
        <v>1</v>
      </c>
      <c r="AP38" s="31">
        <v>0.25</v>
      </c>
      <c r="AQ38" s="30">
        <v>20</v>
      </c>
      <c r="AR38" s="31">
        <v>24.95</v>
      </c>
      <c r="AS38" s="34" t="s">
        <v>190</v>
      </c>
      <c r="AT38" s="31" t="s">
        <v>190</v>
      </c>
      <c r="AU38" s="30">
        <v>262</v>
      </c>
      <c r="AV38" s="31">
        <v>317.85199999999998</v>
      </c>
      <c r="AW38" s="30">
        <v>5</v>
      </c>
      <c r="AX38" s="31">
        <v>3.81</v>
      </c>
      <c r="AY38" s="34" t="s">
        <v>190</v>
      </c>
      <c r="AZ38" s="31" t="s">
        <v>190</v>
      </c>
      <c r="BA38" s="30">
        <v>15</v>
      </c>
      <c r="BB38" s="31">
        <v>15</v>
      </c>
      <c r="BC38" s="30">
        <v>47</v>
      </c>
      <c r="BD38" s="31">
        <v>33.940000000000005</v>
      </c>
      <c r="BE38" s="32">
        <v>235</v>
      </c>
      <c r="BF38" s="33">
        <v>157.90200000000002</v>
      </c>
      <c r="BG38" s="18" t="s">
        <v>42</v>
      </c>
      <c r="BH38" s="19"/>
    </row>
    <row r="39" spans="1:60" s="16" customFormat="1" x14ac:dyDescent="0.3">
      <c r="A39" s="79" t="s">
        <v>43</v>
      </c>
      <c r="B39" s="94">
        <f>SUM(B41:B44)</f>
        <v>7086</v>
      </c>
      <c r="C39" s="82">
        <f>SUM(C41:C44)</f>
        <v>154</v>
      </c>
      <c r="D39" s="82">
        <f>SUM(D41:D44)</f>
        <v>167.60999999999999</v>
      </c>
      <c r="E39" s="82">
        <f t="shared" ref="E39:O39" si="64">SUM(E41:E44)</f>
        <v>245</v>
      </c>
      <c r="F39" s="82">
        <f>SUM(F41:F44)</f>
        <v>380.46500000000003</v>
      </c>
      <c r="G39" s="82">
        <f t="shared" si="64"/>
        <v>142</v>
      </c>
      <c r="H39" s="82">
        <f t="shared" si="64"/>
        <v>169.54500000000002</v>
      </c>
      <c r="I39" s="82">
        <f t="shared" si="64"/>
        <v>260</v>
      </c>
      <c r="J39" s="82">
        <f t="shared" si="64"/>
        <v>218.256</v>
      </c>
      <c r="K39" s="82">
        <f t="shared" si="64"/>
        <v>137</v>
      </c>
      <c r="L39" s="82">
        <f t="shared" si="64"/>
        <v>156.42000000000002</v>
      </c>
      <c r="M39" s="82">
        <f t="shared" ref="M39:N39" si="65">SUM(M41:M44)</f>
        <v>120</v>
      </c>
      <c r="N39" s="82">
        <f t="shared" si="65"/>
        <v>81.507000000000005</v>
      </c>
      <c r="O39" s="82">
        <f t="shared" si="64"/>
        <v>185</v>
      </c>
      <c r="P39" s="82">
        <f>SUM(P41:P44)</f>
        <v>205.95800000000003</v>
      </c>
      <c r="Q39" s="80">
        <f t="shared" ref="Q39:U39" si="66">SUM(Q41:Q44)</f>
        <v>99</v>
      </c>
      <c r="R39" s="81">
        <f t="shared" si="66"/>
        <v>64.417000000000002</v>
      </c>
      <c r="S39" s="81">
        <f t="shared" si="66"/>
        <v>87</v>
      </c>
      <c r="T39" s="81">
        <f t="shared" si="66"/>
        <v>47.46</v>
      </c>
      <c r="U39" s="81">
        <f t="shared" si="66"/>
        <v>434</v>
      </c>
      <c r="V39" s="81">
        <f>SUM(V41:V44)</f>
        <v>420.96699999999998</v>
      </c>
      <c r="W39" s="81">
        <f>SUM(W41:W44)</f>
        <v>81</v>
      </c>
      <c r="X39" s="81">
        <f t="shared" ref="X39:AE39" si="67">SUM(X41:X44)</f>
        <v>45.05</v>
      </c>
      <c r="Y39" s="81">
        <f t="shared" si="67"/>
        <v>36</v>
      </c>
      <c r="Z39" s="81">
        <f t="shared" si="67"/>
        <v>32.19</v>
      </c>
      <c r="AA39" s="81">
        <f t="shared" si="67"/>
        <v>10</v>
      </c>
      <c r="AB39" s="81">
        <f t="shared" si="67"/>
        <v>2</v>
      </c>
      <c r="AC39" s="87">
        <f t="shared" si="67"/>
        <v>623</v>
      </c>
      <c r="AD39" s="81">
        <f t="shared" si="67"/>
        <v>1477.69</v>
      </c>
      <c r="AE39" s="81">
        <f t="shared" si="67"/>
        <v>1090</v>
      </c>
      <c r="AF39" s="87">
        <f>SUM(AF41:AF44)</f>
        <v>3914.5</v>
      </c>
      <c r="AG39" s="87">
        <f t="shared" ref="AG39:AL39" si="68">SUM(AG41:AG44)</f>
        <v>435</v>
      </c>
      <c r="AH39" s="87">
        <f t="shared" si="68"/>
        <v>474.774</v>
      </c>
      <c r="AI39" s="87">
        <f t="shared" si="68"/>
        <v>96</v>
      </c>
      <c r="AJ39" s="87">
        <f t="shared" si="68"/>
        <v>63.02</v>
      </c>
      <c r="AK39" s="87">
        <f t="shared" si="68"/>
        <v>333</v>
      </c>
      <c r="AL39" s="87">
        <f t="shared" si="68"/>
        <v>480.25699999999995</v>
      </c>
      <c r="AM39" s="81">
        <f t="shared" ref="AM39:BD39" si="69">SUM(AM41:AM44)</f>
        <v>77</v>
      </c>
      <c r="AN39" s="91">
        <f t="shared" si="69"/>
        <v>145.40699999999998</v>
      </c>
      <c r="AO39" s="81">
        <f t="shared" si="69"/>
        <v>575</v>
      </c>
      <c r="AP39" s="91">
        <f t="shared" si="69"/>
        <v>1417.6299999999999</v>
      </c>
      <c r="AQ39" s="81">
        <f t="shared" si="69"/>
        <v>164</v>
      </c>
      <c r="AR39" s="91">
        <f t="shared" si="69"/>
        <v>206.54499999999999</v>
      </c>
      <c r="AS39" s="81">
        <f t="shared" si="69"/>
        <v>226</v>
      </c>
      <c r="AT39" s="87">
        <f t="shared" si="69"/>
        <v>720.6400000000001</v>
      </c>
      <c r="AU39" s="81">
        <f t="shared" ref="AU39:AX39" si="70">SUM(AU41:AU44)</f>
        <v>211</v>
      </c>
      <c r="AV39" s="91">
        <f t="shared" si="70"/>
        <v>222.495</v>
      </c>
      <c r="AW39" s="81">
        <f t="shared" si="70"/>
        <v>179</v>
      </c>
      <c r="AX39" s="91">
        <f t="shared" si="70"/>
        <v>328.40999999999997</v>
      </c>
      <c r="AY39" s="81">
        <f>SUM(AY41:AY44)</f>
        <v>8</v>
      </c>
      <c r="AZ39" s="81">
        <f>SUM(AZ41:AZ44)</f>
        <v>9.25</v>
      </c>
      <c r="BA39" s="81">
        <f t="shared" si="69"/>
        <v>603</v>
      </c>
      <c r="BB39" s="91">
        <f t="shared" si="69"/>
        <v>583.54999999999995</v>
      </c>
      <c r="BC39" s="81">
        <f t="shared" si="69"/>
        <v>14</v>
      </c>
      <c r="BD39" s="91">
        <f t="shared" si="69"/>
        <v>18</v>
      </c>
      <c r="BE39" s="81">
        <f>SUM(BE41:BE44)</f>
        <v>462</v>
      </c>
      <c r="BF39" s="90">
        <f>SUM(BF41:BF44)</f>
        <v>243.94499999999996</v>
      </c>
      <c r="BG39" s="89" t="s">
        <v>44</v>
      </c>
      <c r="BH39" s="89"/>
    </row>
    <row r="40" spans="1:60" x14ac:dyDescent="0.3">
      <c r="A40" s="79"/>
      <c r="B40" s="94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0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7"/>
      <c r="AD40" s="81"/>
      <c r="AE40" s="81"/>
      <c r="AF40" s="87"/>
      <c r="AG40" s="87"/>
      <c r="AH40" s="87"/>
      <c r="AI40" s="87"/>
      <c r="AJ40" s="87"/>
      <c r="AK40" s="87"/>
      <c r="AL40" s="87"/>
      <c r="AM40" s="81"/>
      <c r="AN40" s="91"/>
      <c r="AO40" s="81"/>
      <c r="AP40" s="91"/>
      <c r="AQ40" s="81"/>
      <c r="AR40" s="91"/>
      <c r="AS40" s="81"/>
      <c r="AT40" s="87"/>
      <c r="AU40" s="81"/>
      <c r="AV40" s="91"/>
      <c r="AW40" s="81"/>
      <c r="AX40" s="91"/>
      <c r="AY40" s="81"/>
      <c r="AZ40" s="81"/>
      <c r="BA40" s="81"/>
      <c r="BB40" s="91"/>
      <c r="BC40" s="81"/>
      <c r="BD40" s="91"/>
      <c r="BE40" s="81"/>
      <c r="BF40" s="90"/>
      <c r="BG40" s="89"/>
      <c r="BH40" s="89"/>
    </row>
    <row r="41" spans="1:60" x14ac:dyDescent="0.3">
      <c r="A41" s="17" t="s">
        <v>45</v>
      </c>
      <c r="B41" s="46">
        <f>SUM(C41,E41,G41,I41,K41,M41,O41,Q41,S41,U41,W41,Y41,AA41,AC41,AE41,AG41,AI41,AK41,AM41,AO41,AQ41,AS41,AU41,AW41,AY41,BA41,BC41,BE41)</f>
        <v>909</v>
      </c>
      <c r="C41" s="30">
        <v>48</v>
      </c>
      <c r="D41" s="31">
        <v>37</v>
      </c>
      <c r="E41" s="30">
        <v>62</v>
      </c>
      <c r="F41" s="31">
        <v>77</v>
      </c>
      <c r="G41" s="30">
        <v>49</v>
      </c>
      <c r="H41" s="31">
        <v>45.7</v>
      </c>
      <c r="I41" s="30">
        <v>24</v>
      </c>
      <c r="J41" s="31">
        <v>20.2</v>
      </c>
      <c r="K41" s="30">
        <v>74</v>
      </c>
      <c r="L41" s="31">
        <v>90.5</v>
      </c>
      <c r="M41" s="30">
        <v>14</v>
      </c>
      <c r="N41" s="31">
        <v>14.2</v>
      </c>
      <c r="O41" s="30">
        <v>12</v>
      </c>
      <c r="P41" s="31">
        <v>16.399999999999999</v>
      </c>
      <c r="Q41" s="30">
        <v>3</v>
      </c>
      <c r="R41" s="31">
        <v>1.4</v>
      </c>
      <c r="S41" s="30">
        <v>3</v>
      </c>
      <c r="T41" s="31">
        <v>1.7</v>
      </c>
      <c r="U41" s="30">
        <v>144</v>
      </c>
      <c r="V41" s="31">
        <v>122.19999999999999</v>
      </c>
      <c r="W41" s="30">
        <v>26</v>
      </c>
      <c r="X41" s="31">
        <v>8.5</v>
      </c>
      <c r="Y41" s="30">
        <v>17</v>
      </c>
      <c r="Z41" s="31">
        <v>12.8</v>
      </c>
      <c r="AA41" s="30" t="s">
        <v>190</v>
      </c>
      <c r="AB41" s="31" t="s">
        <v>190</v>
      </c>
      <c r="AC41" s="30">
        <v>41</v>
      </c>
      <c r="AD41" s="31">
        <v>60.05</v>
      </c>
      <c r="AE41" s="30">
        <v>59</v>
      </c>
      <c r="AF41" s="31">
        <v>130.19999999999999</v>
      </c>
      <c r="AG41" s="30">
        <v>67</v>
      </c>
      <c r="AH41" s="31">
        <v>59.1</v>
      </c>
      <c r="AI41" s="30">
        <v>3</v>
      </c>
      <c r="AJ41" s="31">
        <v>1.5</v>
      </c>
      <c r="AK41" s="30">
        <v>52</v>
      </c>
      <c r="AL41" s="31">
        <v>111.1</v>
      </c>
      <c r="AM41" s="30">
        <v>20</v>
      </c>
      <c r="AN41" s="31">
        <v>23</v>
      </c>
      <c r="AO41" s="30">
        <v>21</v>
      </c>
      <c r="AP41" s="31">
        <v>24.4</v>
      </c>
      <c r="AQ41" s="30">
        <v>18</v>
      </c>
      <c r="AR41" s="31">
        <v>23.8</v>
      </c>
      <c r="AS41" s="30">
        <v>9</v>
      </c>
      <c r="AT41" s="31">
        <v>11.4</v>
      </c>
      <c r="AU41" s="30">
        <v>25</v>
      </c>
      <c r="AV41" s="31">
        <v>26.4</v>
      </c>
      <c r="AW41" s="30">
        <v>17</v>
      </c>
      <c r="AX41" s="31">
        <v>18.7</v>
      </c>
      <c r="AY41" s="34" t="s">
        <v>190</v>
      </c>
      <c r="AZ41" s="31" t="s">
        <v>190</v>
      </c>
      <c r="BA41" s="34" t="s">
        <v>190</v>
      </c>
      <c r="BB41" s="31" t="s">
        <v>190</v>
      </c>
      <c r="BC41" s="30">
        <v>4</v>
      </c>
      <c r="BD41" s="31">
        <v>10</v>
      </c>
      <c r="BE41" s="32">
        <v>97</v>
      </c>
      <c r="BF41" s="33">
        <v>48.849999999999994</v>
      </c>
      <c r="BG41" s="18" t="s">
        <v>46</v>
      </c>
      <c r="BH41" s="19"/>
    </row>
    <row r="42" spans="1:60" x14ac:dyDescent="0.3">
      <c r="A42" s="17" t="s">
        <v>47</v>
      </c>
      <c r="B42" s="46">
        <f>SUM(C42,E42,G42,I42,K42,M42,O42,Q42,S42,U42,W42,Y42,AA42,AC42,AE42,AG42,AI42,AK42,AM42,AO42,AQ42,AS42,AU42,AW42,AY42,BA42,BC42,BE42)</f>
        <v>2267</v>
      </c>
      <c r="C42" s="30">
        <v>52</v>
      </c>
      <c r="D42" s="31">
        <v>35.409999999999997</v>
      </c>
      <c r="E42" s="30">
        <v>90</v>
      </c>
      <c r="F42" s="31">
        <v>60.564999999999998</v>
      </c>
      <c r="G42" s="30">
        <v>48</v>
      </c>
      <c r="H42" s="31">
        <v>31.344999999999999</v>
      </c>
      <c r="I42" s="30">
        <v>119</v>
      </c>
      <c r="J42" s="31">
        <v>86.44</v>
      </c>
      <c r="K42" s="30">
        <v>38</v>
      </c>
      <c r="L42" s="31">
        <v>26.67</v>
      </c>
      <c r="M42" s="30">
        <v>83</v>
      </c>
      <c r="N42" s="31">
        <v>46.006999999999998</v>
      </c>
      <c r="O42" s="30">
        <v>116</v>
      </c>
      <c r="P42" s="31">
        <v>60.107999999999997</v>
      </c>
      <c r="Q42" s="30">
        <v>85</v>
      </c>
      <c r="R42" s="31">
        <v>43.616999999999997</v>
      </c>
      <c r="S42" s="30">
        <v>75</v>
      </c>
      <c r="T42" s="31">
        <v>39.86</v>
      </c>
      <c r="U42" s="30">
        <v>133</v>
      </c>
      <c r="V42" s="31">
        <v>97.667000000000002</v>
      </c>
      <c r="W42" s="30">
        <v>24</v>
      </c>
      <c r="X42" s="31">
        <v>14.25</v>
      </c>
      <c r="Y42" s="30">
        <v>10</v>
      </c>
      <c r="Z42" s="31">
        <v>5.89</v>
      </c>
      <c r="AA42" s="30">
        <v>10</v>
      </c>
      <c r="AB42" s="31">
        <v>2</v>
      </c>
      <c r="AC42" s="30">
        <v>380</v>
      </c>
      <c r="AD42" s="31">
        <v>798.49</v>
      </c>
      <c r="AE42" s="30">
        <v>66</v>
      </c>
      <c r="AF42" s="31">
        <v>163.61000000000001</v>
      </c>
      <c r="AG42" s="30">
        <v>196</v>
      </c>
      <c r="AH42" s="31">
        <v>132.17400000000001</v>
      </c>
      <c r="AI42" s="30">
        <v>57</v>
      </c>
      <c r="AJ42" s="31">
        <v>35.770000000000003</v>
      </c>
      <c r="AK42" s="30">
        <v>156</v>
      </c>
      <c r="AL42" s="31">
        <v>108.057</v>
      </c>
      <c r="AM42" s="30">
        <v>19</v>
      </c>
      <c r="AN42" s="31">
        <v>19.657</v>
      </c>
      <c r="AO42" s="30">
        <v>22</v>
      </c>
      <c r="AP42" s="31">
        <v>32.93</v>
      </c>
      <c r="AQ42" s="30">
        <v>81</v>
      </c>
      <c r="AR42" s="31">
        <v>50.494999999999997</v>
      </c>
      <c r="AS42" s="30">
        <v>18</v>
      </c>
      <c r="AT42" s="31">
        <v>15.5</v>
      </c>
      <c r="AU42" s="30">
        <v>99</v>
      </c>
      <c r="AV42" s="31">
        <v>59.494999999999997</v>
      </c>
      <c r="AW42" s="30">
        <v>18</v>
      </c>
      <c r="AX42" s="31">
        <v>18.760000000000002</v>
      </c>
      <c r="AY42" s="30">
        <v>2</v>
      </c>
      <c r="AZ42" s="31">
        <v>2.2000000000000002</v>
      </c>
      <c r="BA42" s="30">
        <v>3</v>
      </c>
      <c r="BB42" s="31">
        <v>0.95</v>
      </c>
      <c r="BC42" s="30">
        <v>5</v>
      </c>
      <c r="BD42" s="31">
        <v>4.3499999999999996</v>
      </c>
      <c r="BE42" s="32">
        <v>262</v>
      </c>
      <c r="BF42" s="33">
        <v>96.49499999999999</v>
      </c>
      <c r="BG42" s="18" t="s">
        <v>48</v>
      </c>
      <c r="BH42" s="19"/>
    </row>
    <row r="43" spans="1:60" x14ac:dyDescent="0.3">
      <c r="A43" s="17" t="s">
        <v>49</v>
      </c>
      <c r="B43" s="46">
        <f>SUM(C43,E43,G43,I43,K43,M43,O43,Q43,S43,U43,W43,Y43,AA43,AC43,AE43,AG43,AI43,AK43,AM43,AO43,AQ43,AS43,AU43,AW43,AY43,BA43,BC43,BE43)</f>
        <v>1391</v>
      </c>
      <c r="C43" s="30">
        <v>31</v>
      </c>
      <c r="D43" s="31">
        <v>40.799999999999997</v>
      </c>
      <c r="E43" s="30">
        <v>46</v>
      </c>
      <c r="F43" s="31">
        <v>111.75</v>
      </c>
      <c r="G43" s="30">
        <v>18</v>
      </c>
      <c r="H43" s="31">
        <v>28.2</v>
      </c>
      <c r="I43" s="30">
        <v>66</v>
      </c>
      <c r="J43" s="31">
        <v>63.826000000000001</v>
      </c>
      <c r="K43" s="30">
        <v>6</v>
      </c>
      <c r="L43" s="31">
        <v>11.7</v>
      </c>
      <c r="M43" s="30">
        <v>16</v>
      </c>
      <c r="N43" s="31">
        <v>16.399999999999999</v>
      </c>
      <c r="O43" s="30">
        <v>49</v>
      </c>
      <c r="P43" s="31">
        <v>116.65</v>
      </c>
      <c r="Q43" s="30">
        <v>9</v>
      </c>
      <c r="R43" s="31">
        <v>17.5</v>
      </c>
      <c r="S43" s="30">
        <v>5</v>
      </c>
      <c r="T43" s="31">
        <v>4.9000000000000004</v>
      </c>
      <c r="U43" s="30">
        <v>41</v>
      </c>
      <c r="V43" s="31">
        <v>70</v>
      </c>
      <c r="W43" s="30">
        <v>5</v>
      </c>
      <c r="X43" s="31">
        <v>4.05</v>
      </c>
      <c r="Y43" s="30">
        <v>4</v>
      </c>
      <c r="Z43" s="31">
        <v>6.6</v>
      </c>
      <c r="AA43" s="30" t="s">
        <v>190</v>
      </c>
      <c r="AB43" s="31" t="s">
        <v>190</v>
      </c>
      <c r="AC43" s="30">
        <v>147</v>
      </c>
      <c r="AD43" s="31">
        <v>451.5</v>
      </c>
      <c r="AE43" s="30">
        <v>29</v>
      </c>
      <c r="AF43" s="31">
        <v>134.5</v>
      </c>
      <c r="AG43" s="30">
        <v>69</v>
      </c>
      <c r="AH43" s="31">
        <v>115.3</v>
      </c>
      <c r="AI43" s="30">
        <v>23</v>
      </c>
      <c r="AJ43" s="31">
        <v>17.25</v>
      </c>
      <c r="AK43" s="30">
        <v>28</v>
      </c>
      <c r="AL43" s="31">
        <v>57.9</v>
      </c>
      <c r="AM43" s="30">
        <v>32</v>
      </c>
      <c r="AN43" s="31">
        <v>92.5</v>
      </c>
      <c r="AO43" s="30">
        <v>8</v>
      </c>
      <c r="AP43" s="31">
        <v>31.5</v>
      </c>
      <c r="AQ43" s="30">
        <v>48</v>
      </c>
      <c r="AR43" s="31">
        <v>93.4</v>
      </c>
      <c r="AS43" s="30">
        <v>6</v>
      </c>
      <c r="AT43" s="31">
        <v>16.3</v>
      </c>
      <c r="AU43" s="30">
        <v>68</v>
      </c>
      <c r="AV43" s="31">
        <v>106.8</v>
      </c>
      <c r="AW43" s="30">
        <v>12</v>
      </c>
      <c r="AX43" s="31">
        <v>30.7</v>
      </c>
      <c r="AY43" s="30">
        <v>3</v>
      </c>
      <c r="AZ43" s="31">
        <v>3.8</v>
      </c>
      <c r="BA43" s="30">
        <v>552</v>
      </c>
      <c r="BB43" s="31">
        <v>535.79999999999995</v>
      </c>
      <c r="BC43" s="30">
        <v>3</v>
      </c>
      <c r="BD43" s="31">
        <v>2.2999999999999998</v>
      </c>
      <c r="BE43" s="32">
        <v>67</v>
      </c>
      <c r="BF43" s="33">
        <v>48.750000000000007</v>
      </c>
      <c r="BG43" s="18" t="s">
        <v>50</v>
      </c>
      <c r="BH43" s="19"/>
    </row>
    <row r="44" spans="1:60" x14ac:dyDescent="0.3">
      <c r="A44" s="17" t="s">
        <v>51</v>
      </c>
      <c r="B44" s="46">
        <f>SUM(C44,E44,G44,I44,K44,M44,O44,Q44,S44,U44,W44,Y44,AA44,AC44,AE44,AG44,AI44,AK44,AM44,AO44,AQ44,AS44,AU44,AW44,AY44,BA44,BC44,BE44)</f>
        <v>2519</v>
      </c>
      <c r="C44" s="30">
        <v>23</v>
      </c>
      <c r="D44" s="31">
        <v>54.4</v>
      </c>
      <c r="E44" s="30">
        <v>47</v>
      </c>
      <c r="F44" s="31">
        <v>131.15</v>
      </c>
      <c r="G44" s="30">
        <v>27</v>
      </c>
      <c r="H44" s="31">
        <v>64.3</v>
      </c>
      <c r="I44" s="30">
        <v>51</v>
      </c>
      <c r="J44" s="31">
        <v>47.79</v>
      </c>
      <c r="K44" s="30">
        <v>19</v>
      </c>
      <c r="L44" s="31">
        <v>27.55</v>
      </c>
      <c r="M44" s="30">
        <v>7</v>
      </c>
      <c r="N44" s="31">
        <v>4.9000000000000004</v>
      </c>
      <c r="O44" s="30">
        <v>8</v>
      </c>
      <c r="P44" s="31">
        <v>12.8</v>
      </c>
      <c r="Q44" s="34">
        <v>2</v>
      </c>
      <c r="R44" s="31">
        <v>1.9</v>
      </c>
      <c r="S44" s="30">
        <v>4</v>
      </c>
      <c r="T44" s="31">
        <v>1</v>
      </c>
      <c r="U44" s="30">
        <v>116</v>
      </c>
      <c r="V44" s="31">
        <v>131.1</v>
      </c>
      <c r="W44" s="30">
        <v>26</v>
      </c>
      <c r="X44" s="31">
        <v>18.25</v>
      </c>
      <c r="Y44" s="30">
        <v>5</v>
      </c>
      <c r="Z44" s="31">
        <v>6.9</v>
      </c>
      <c r="AA44" s="34" t="s">
        <v>190</v>
      </c>
      <c r="AB44" s="31" t="s">
        <v>190</v>
      </c>
      <c r="AC44" s="30">
        <v>55</v>
      </c>
      <c r="AD44" s="31">
        <v>167.65</v>
      </c>
      <c r="AE44" s="30">
        <v>936</v>
      </c>
      <c r="AF44" s="31">
        <v>3486.19</v>
      </c>
      <c r="AG44" s="30">
        <v>103</v>
      </c>
      <c r="AH44" s="31">
        <v>168.2</v>
      </c>
      <c r="AI44" s="30">
        <v>13</v>
      </c>
      <c r="AJ44" s="31">
        <v>8.5</v>
      </c>
      <c r="AK44" s="30">
        <v>97</v>
      </c>
      <c r="AL44" s="31">
        <v>203.2</v>
      </c>
      <c r="AM44" s="30">
        <v>6</v>
      </c>
      <c r="AN44" s="31">
        <v>10.25</v>
      </c>
      <c r="AO44" s="30">
        <v>524</v>
      </c>
      <c r="AP44" s="31">
        <v>1328.8</v>
      </c>
      <c r="AQ44" s="30">
        <v>17</v>
      </c>
      <c r="AR44" s="31">
        <v>38.85</v>
      </c>
      <c r="AS44" s="30">
        <v>193</v>
      </c>
      <c r="AT44" s="31">
        <v>677.44</v>
      </c>
      <c r="AU44" s="30">
        <v>19</v>
      </c>
      <c r="AV44" s="31">
        <v>29.8</v>
      </c>
      <c r="AW44" s="30">
        <v>132</v>
      </c>
      <c r="AX44" s="31">
        <v>260.25</v>
      </c>
      <c r="AY44" s="30">
        <v>3</v>
      </c>
      <c r="AZ44" s="31">
        <v>3.25</v>
      </c>
      <c r="BA44" s="34">
        <v>48</v>
      </c>
      <c r="BB44" s="31">
        <v>46.8</v>
      </c>
      <c r="BC44" s="30">
        <v>2</v>
      </c>
      <c r="BD44" s="31">
        <v>1.35</v>
      </c>
      <c r="BE44" s="32">
        <v>36</v>
      </c>
      <c r="BF44" s="33">
        <v>49.85</v>
      </c>
      <c r="BG44" s="18" t="s">
        <v>52</v>
      </c>
      <c r="BH44" s="19"/>
    </row>
    <row r="45" spans="1:60" s="16" customFormat="1" x14ac:dyDescent="0.3">
      <c r="A45" s="79" t="s">
        <v>53</v>
      </c>
      <c r="B45" s="94">
        <f>SUM(B47:B51)</f>
        <v>57756</v>
      </c>
      <c r="C45" s="82">
        <f>SUM(C47:C51)</f>
        <v>808</v>
      </c>
      <c r="D45" s="82">
        <f>SUM(D47:D51)</f>
        <v>1356.338</v>
      </c>
      <c r="E45" s="82">
        <f t="shared" ref="E45:P45" si="71">SUM(E47:E51)</f>
        <v>844</v>
      </c>
      <c r="F45" s="82">
        <f t="shared" si="71"/>
        <v>1944.252</v>
      </c>
      <c r="G45" s="82">
        <f>SUM(G47:G51)</f>
        <v>707</v>
      </c>
      <c r="H45" s="82">
        <f t="shared" si="71"/>
        <v>1399.663</v>
      </c>
      <c r="I45" s="82">
        <f t="shared" si="71"/>
        <v>6551</v>
      </c>
      <c r="J45" s="82">
        <f t="shared" si="71"/>
        <v>9248.1180000000004</v>
      </c>
      <c r="K45" s="82">
        <f t="shared" si="71"/>
        <v>900</v>
      </c>
      <c r="L45" s="82">
        <f t="shared" si="71"/>
        <v>1794.8109999999999</v>
      </c>
      <c r="M45" s="82">
        <f t="shared" ref="M45:N45" si="72">SUM(M47:M51)</f>
        <v>442</v>
      </c>
      <c r="N45" s="82">
        <f t="shared" si="72"/>
        <v>758.14700000000005</v>
      </c>
      <c r="O45" s="82">
        <f t="shared" si="71"/>
        <v>1838</v>
      </c>
      <c r="P45" s="82">
        <f t="shared" si="71"/>
        <v>5017.915</v>
      </c>
      <c r="Q45" s="80">
        <f t="shared" ref="Q45:V45" si="73">SUM(Q47:Q51)</f>
        <v>726</v>
      </c>
      <c r="R45" s="81">
        <f t="shared" si="73"/>
        <v>802.70500000000004</v>
      </c>
      <c r="S45" s="81">
        <f t="shared" si="73"/>
        <v>1176</v>
      </c>
      <c r="T45" s="81">
        <f t="shared" si="73"/>
        <v>1027.2820000000002</v>
      </c>
      <c r="U45" s="81">
        <f t="shared" si="73"/>
        <v>731</v>
      </c>
      <c r="V45" s="81">
        <f t="shared" si="73"/>
        <v>1421.8069999999998</v>
      </c>
      <c r="W45" s="81">
        <f>SUM(W47:W51)</f>
        <v>307</v>
      </c>
      <c r="X45" s="81">
        <f>SUM(X47:X51)</f>
        <v>480.97699999999998</v>
      </c>
      <c r="Y45" s="81">
        <f t="shared" ref="Y45:AE45" si="74">SUM(Y47:Y51)</f>
        <v>232</v>
      </c>
      <c r="Z45" s="81">
        <f>SUM(Z47:Z51)</f>
        <v>440.14499999999998</v>
      </c>
      <c r="AA45" s="81">
        <f t="shared" si="74"/>
        <v>27039</v>
      </c>
      <c r="AB45" s="81">
        <f t="shared" si="74"/>
        <v>161792.36800000002</v>
      </c>
      <c r="AC45" s="87">
        <f t="shared" si="74"/>
        <v>2636</v>
      </c>
      <c r="AD45" s="81">
        <f t="shared" si="74"/>
        <v>8760.33</v>
      </c>
      <c r="AE45" s="81">
        <f t="shared" si="74"/>
        <v>904</v>
      </c>
      <c r="AF45" s="87">
        <f>SUM(AF47:AF51)</f>
        <v>5514.665</v>
      </c>
      <c r="AG45" s="87">
        <f t="shared" ref="AG45:AL45" si="75">SUM(AG47:AG51)</f>
        <v>2527</v>
      </c>
      <c r="AH45" s="87">
        <f t="shared" si="75"/>
        <v>2381.0879999999997</v>
      </c>
      <c r="AI45" s="87">
        <f t="shared" si="75"/>
        <v>255</v>
      </c>
      <c r="AJ45" s="87">
        <f t="shared" si="75"/>
        <v>249.851</v>
      </c>
      <c r="AK45" s="87">
        <f t="shared" si="75"/>
        <v>519</v>
      </c>
      <c r="AL45" s="87">
        <f t="shared" si="75"/>
        <v>1117.1590000000001</v>
      </c>
      <c r="AM45" s="81">
        <f t="shared" ref="AM45:BF45" si="76">SUM(AM47:AM51)</f>
        <v>307</v>
      </c>
      <c r="AN45" s="91">
        <f t="shared" si="76"/>
        <v>555.36599999999999</v>
      </c>
      <c r="AO45" s="81">
        <f t="shared" si="76"/>
        <v>164</v>
      </c>
      <c r="AP45" s="91">
        <f t="shared" si="76"/>
        <v>843.75500000000011</v>
      </c>
      <c r="AQ45" s="81">
        <f t="shared" si="76"/>
        <v>474</v>
      </c>
      <c r="AR45" s="91">
        <f t="shared" si="76"/>
        <v>990.05</v>
      </c>
      <c r="AS45" s="81">
        <f t="shared" si="76"/>
        <v>79</v>
      </c>
      <c r="AT45" s="87">
        <f t="shared" si="76"/>
        <v>352.59000000000003</v>
      </c>
      <c r="AU45" s="81">
        <f t="shared" ref="AU45:AX45" si="77">SUM(AU47:AU51)</f>
        <v>4272</v>
      </c>
      <c r="AV45" s="91">
        <f t="shared" si="77"/>
        <v>9811.9880000000012</v>
      </c>
      <c r="AW45" s="81">
        <f t="shared" si="77"/>
        <v>193</v>
      </c>
      <c r="AX45" s="91">
        <f t="shared" si="77"/>
        <v>551.54599999999994</v>
      </c>
      <c r="AY45" s="81">
        <f>SUM(AY47:AY51)</f>
        <v>36</v>
      </c>
      <c r="AZ45" s="81">
        <f>SUM(AZ47:AZ51)</f>
        <v>38.843000000000004</v>
      </c>
      <c r="BA45" s="81">
        <f t="shared" si="76"/>
        <v>3</v>
      </c>
      <c r="BB45" s="91">
        <f t="shared" si="76"/>
        <v>3</v>
      </c>
      <c r="BC45" s="81">
        <f t="shared" si="76"/>
        <v>10</v>
      </c>
      <c r="BD45" s="91">
        <f t="shared" si="76"/>
        <v>9.370000000000001</v>
      </c>
      <c r="BE45" s="81">
        <f t="shared" si="76"/>
        <v>3076</v>
      </c>
      <c r="BF45" s="90">
        <f t="shared" si="76"/>
        <v>3720.5619999999994</v>
      </c>
      <c r="BG45" s="89" t="s">
        <v>54</v>
      </c>
      <c r="BH45" s="89"/>
    </row>
    <row r="46" spans="1:60" x14ac:dyDescent="0.3">
      <c r="A46" s="79"/>
      <c r="B46" s="94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0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7"/>
      <c r="AD46" s="81"/>
      <c r="AE46" s="81"/>
      <c r="AF46" s="87"/>
      <c r="AG46" s="87"/>
      <c r="AH46" s="87"/>
      <c r="AI46" s="87"/>
      <c r="AJ46" s="87"/>
      <c r="AK46" s="87"/>
      <c r="AL46" s="87"/>
      <c r="AM46" s="81"/>
      <c r="AN46" s="91"/>
      <c r="AO46" s="81"/>
      <c r="AP46" s="91"/>
      <c r="AQ46" s="81"/>
      <c r="AR46" s="91"/>
      <c r="AS46" s="81"/>
      <c r="AT46" s="87"/>
      <c r="AU46" s="81"/>
      <c r="AV46" s="91"/>
      <c r="AW46" s="81"/>
      <c r="AX46" s="91"/>
      <c r="AY46" s="81"/>
      <c r="AZ46" s="81"/>
      <c r="BA46" s="81"/>
      <c r="BB46" s="91"/>
      <c r="BC46" s="81"/>
      <c r="BD46" s="91"/>
      <c r="BE46" s="81"/>
      <c r="BF46" s="90"/>
      <c r="BG46" s="89"/>
      <c r="BH46" s="89"/>
    </row>
    <row r="47" spans="1:60" x14ac:dyDescent="0.3">
      <c r="A47" s="17" t="s">
        <v>55</v>
      </c>
      <c r="B47" s="46">
        <f>SUM(C47,E47,G47,I47,K47,M47,O47,Q47,S47,U47,W47,Y47,AA47,AC47,AE47,AG47,AI47,AK47,AM47,AO47,AQ47,AS47,AU47,AW47,AY47,BA47,BC47,BE47)</f>
        <v>33218</v>
      </c>
      <c r="C47" s="30">
        <v>284</v>
      </c>
      <c r="D47" s="31">
        <v>529.76800000000003</v>
      </c>
      <c r="E47" s="30">
        <v>283</v>
      </c>
      <c r="F47" s="31">
        <v>712.30700000000002</v>
      </c>
      <c r="G47" s="30">
        <v>176</v>
      </c>
      <c r="H47" s="31">
        <v>349.625</v>
      </c>
      <c r="I47" s="30">
        <v>4401</v>
      </c>
      <c r="J47" s="31">
        <v>6462.7759999999998</v>
      </c>
      <c r="K47" s="30">
        <v>153</v>
      </c>
      <c r="L47" s="31">
        <v>326.53100000000001</v>
      </c>
      <c r="M47" s="30">
        <v>190</v>
      </c>
      <c r="N47" s="31">
        <v>369.42</v>
      </c>
      <c r="O47" s="30">
        <v>1370</v>
      </c>
      <c r="P47" s="31">
        <v>3494.73</v>
      </c>
      <c r="Q47" s="30">
        <v>626</v>
      </c>
      <c r="R47" s="31">
        <v>713.63499999999999</v>
      </c>
      <c r="S47" s="30">
        <v>1088</v>
      </c>
      <c r="T47" s="31">
        <v>944.53200000000004</v>
      </c>
      <c r="U47" s="30">
        <v>214</v>
      </c>
      <c r="V47" s="31">
        <v>418.154</v>
      </c>
      <c r="W47" s="30">
        <v>112</v>
      </c>
      <c r="X47" s="31">
        <v>228.02199999999999</v>
      </c>
      <c r="Y47" s="30">
        <v>38</v>
      </c>
      <c r="Z47" s="31">
        <v>79.58</v>
      </c>
      <c r="AA47" s="30">
        <v>19249</v>
      </c>
      <c r="AB47" s="31">
        <v>127052.564</v>
      </c>
      <c r="AC47" s="30">
        <v>1636</v>
      </c>
      <c r="AD47" s="31">
        <v>5779.6580000000004</v>
      </c>
      <c r="AE47" s="30">
        <v>138</v>
      </c>
      <c r="AF47" s="31">
        <v>745.60500000000002</v>
      </c>
      <c r="AG47" s="30">
        <v>1286</v>
      </c>
      <c r="AH47" s="31">
        <v>1162.3039999999999</v>
      </c>
      <c r="AI47" s="30">
        <v>92</v>
      </c>
      <c r="AJ47" s="31">
        <v>88.74</v>
      </c>
      <c r="AK47" s="30">
        <v>110</v>
      </c>
      <c r="AL47" s="31">
        <v>235.173</v>
      </c>
      <c r="AM47" s="30">
        <v>55</v>
      </c>
      <c r="AN47" s="31">
        <v>124.776</v>
      </c>
      <c r="AO47" s="30">
        <v>66</v>
      </c>
      <c r="AP47" s="31">
        <v>201.97</v>
      </c>
      <c r="AQ47" s="30">
        <v>100</v>
      </c>
      <c r="AR47" s="31">
        <v>255.62</v>
      </c>
      <c r="AS47" s="30">
        <v>31</v>
      </c>
      <c r="AT47" s="31">
        <v>117.79</v>
      </c>
      <c r="AU47" s="30">
        <v>337</v>
      </c>
      <c r="AV47" s="31">
        <v>363.363</v>
      </c>
      <c r="AW47" s="30">
        <v>79</v>
      </c>
      <c r="AX47" s="31">
        <v>174.256</v>
      </c>
      <c r="AY47" s="30">
        <v>21</v>
      </c>
      <c r="AZ47" s="31">
        <v>24.463000000000001</v>
      </c>
      <c r="BA47" s="34">
        <v>3</v>
      </c>
      <c r="BB47" s="31">
        <v>3</v>
      </c>
      <c r="BC47" s="30">
        <v>5</v>
      </c>
      <c r="BD47" s="31">
        <v>4.32</v>
      </c>
      <c r="BE47" s="32">
        <v>1075</v>
      </c>
      <c r="BF47" s="33">
        <v>1069.646</v>
      </c>
      <c r="BG47" s="18" t="s">
        <v>56</v>
      </c>
      <c r="BH47" s="19"/>
    </row>
    <row r="48" spans="1:60" x14ac:dyDescent="0.3">
      <c r="A48" s="17" t="s">
        <v>57</v>
      </c>
      <c r="B48" s="46">
        <f>SUM(C48,E48,G48,I48,K48,M48,O48,Q48,S48,U48,W48,Y48,AA48,AC48,AE48,AG48,AI48,AK48,AM48,AO48,AQ48,AS48,AU48,AW48,AY48,BA48,BC48,BE48)</f>
        <v>10755</v>
      </c>
      <c r="C48" s="30">
        <v>83</v>
      </c>
      <c r="D48" s="31">
        <v>84.52</v>
      </c>
      <c r="E48" s="30">
        <v>80</v>
      </c>
      <c r="F48" s="31">
        <v>143.845</v>
      </c>
      <c r="G48" s="30">
        <v>67</v>
      </c>
      <c r="H48" s="31">
        <v>105.13800000000001</v>
      </c>
      <c r="I48" s="30">
        <v>1138</v>
      </c>
      <c r="J48" s="31">
        <v>1171.867</v>
      </c>
      <c r="K48" s="30">
        <v>196</v>
      </c>
      <c r="L48" s="31">
        <v>207.39</v>
      </c>
      <c r="M48" s="30">
        <v>20</v>
      </c>
      <c r="N48" s="31">
        <v>17.725000000000001</v>
      </c>
      <c r="O48" s="30">
        <v>31</v>
      </c>
      <c r="P48" s="31">
        <v>30.895</v>
      </c>
      <c r="Q48" s="30">
        <v>2</v>
      </c>
      <c r="R48" s="31">
        <v>2.5299999999999998</v>
      </c>
      <c r="S48" s="30">
        <v>3</v>
      </c>
      <c r="T48" s="31">
        <v>2.4500000000000002</v>
      </c>
      <c r="U48" s="30">
        <v>38</v>
      </c>
      <c r="V48" s="31">
        <v>39.234999999999999</v>
      </c>
      <c r="W48" s="30">
        <v>21</v>
      </c>
      <c r="X48" s="31">
        <v>16.695</v>
      </c>
      <c r="Y48" s="30">
        <v>28</v>
      </c>
      <c r="Z48" s="31">
        <v>31.864999999999998</v>
      </c>
      <c r="AA48" s="30">
        <v>4601</v>
      </c>
      <c r="AB48" s="31">
        <v>14968.61</v>
      </c>
      <c r="AC48" s="30">
        <v>241</v>
      </c>
      <c r="AD48" s="31">
        <v>672.48</v>
      </c>
      <c r="AE48" s="30">
        <v>179</v>
      </c>
      <c r="AF48" s="31">
        <v>784.76</v>
      </c>
      <c r="AG48" s="30">
        <v>206</v>
      </c>
      <c r="AH48" s="31">
        <v>151.614</v>
      </c>
      <c r="AI48" s="30">
        <v>10</v>
      </c>
      <c r="AJ48" s="31">
        <v>9.9149999999999991</v>
      </c>
      <c r="AK48" s="30">
        <v>60</v>
      </c>
      <c r="AL48" s="31">
        <v>64.003999999999991</v>
      </c>
      <c r="AM48" s="30">
        <v>24</v>
      </c>
      <c r="AN48" s="31">
        <v>30.454999999999998</v>
      </c>
      <c r="AO48" s="30">
        <v>13</v>
      </c>
      <c r="AP48" s="31">
        <v>48.085000000000001</v>
      </c>
      <c r="AQ48" s="30">
        <v>35</v>
      </c>
      <c r="AR48" s="31">
        <v>43.03</v>
      </c>
      <c r="AS48" s="30">
        <v>11</v>
      </c>
      <c r="AT48" s="31">
        <v>53.1</v>
      </c>
      <c r="AU48" s="30">
        <v>3502</v>
      </c>
      <c r="AV48" s="31">
        <v>8641.8970000000008</v>
      </c>
      <c r="AW48" s="30">
        <v>29</v>
      </c>
      <c r="AX48" s="31">
        <v>57.79</v>
      </c>
      <c r="AY48" s="34" t="s">
        <v>190</v>
      </c>
      <c r="AZ48" s="31" t="s">
        <v>190</v>
      </c>
      <c r="BA48" s="34" t="s">
        <v>190</v>
      </c>
      <c r="BB48" s="31" t="s">
        <v>190</v>
      </c>
      <c r="BC48" s="30">
        <v>1</v>
      </c>
      <c r="BD48" s="31">
        <v>0.75</v>
      </c>
      <c r="BE48" s="32">
        <v>136</v>
      </c>
      <c r="BF48" s="33">
        <v>132.726</v>
      </c>
      <c r="BG48" s="18" t="s">
        <v>58</v>
      </c>
      <c r="BH48" s="19"/>
    </row>
    <row r="49" spans="1:60" x14ac:dyDescent="0.3">
      <c r="A49" s="17" t="s">
        <v>59</v>
      </c>
      <c r="B49" s="46">
        <f>SUM(C49,E49,G49,I49,K49,M49,O49,Q49,S49,U49,W49,Y49,AA49,AC49,AE49,AG49,AI49,AK49,AM49,AO49,AQ49,AS49,AU49,AW49,AY49,BA49,BC49,BE49)</f>
        <v>6426</v>
      </c>
      <c r="C49" s="30">
        <v>96</v>
      </c>
      <c r="D49" s="31">
        <v>143.25</v>
      </c>
      <c r="E49" s="30">
        <v>123</v>
      </c>
      <c r="F49" s="31">
        <v>356.1</v>
      </c>
      <c r="G49" s="30">
        <v>121</v>
      </c>
      <c r="H49" s="31">
        <v>237.95</v>
      </c>
      <c r="I49" s="30">
        <v>231</v>
      </c>
      <c r="J49" s="31">
        <v>300.10000000000002</v>
      </c>
      <c r="K49" s="30">
        <v>61</v>
      </c>
      <c r="L49" s="31">
        <v>121.40600000000001</v>
      </c>
      <c r="M49" s="30">
        <v>61</v>
      </c>
      <c r="N49" s="31">
        <v>137.25200000000001</v>
      </c>
      <c r="O49" s="30">
        <v>210</v>
      </c>
      <c r="P49" s="31">
        <v>1171.3900000000001</v>
      </c>
      <c r="Q49" s="30">
        <v>65</v>
      </c>
      <c r="R49" s="31">
        <v>54.44</v>
      </c>
      <c r="S49" s="30">
        <v>17</v>
      </c>
      <c r="T49" s="31">
        <v>17.3</v>
      </c>
      <c r="U49" s="30">
        <v>93</v>
      </c>
      <c r="V49" s="31">
        <v>221.2</v>
      </c>
      <c r="W49" s="30">
        <v>29</v>
      </c>
      <c r="X49" s="31">
        <v>57.85</v>
      </c>
      <c r="Y49" s="30">
        <v>42</v>
      </c>
      <c r="Z49" s="31">
        <v>123</v>
      </c>
      <c r="AA49" s="30">
        <v>2715</v>
      </c>
      <c r="AB49" s="31">
        <v>17425.48</v>
      </c>
      <c r="AC49" s="30">
        <v>230</v>
      </c>
      <c r="AD49" s="31">
        <v>865.05200000000002</v>
      </c>
      <c r="AE49" s="30">
        <v>138</v>
      </c>
      <c r="AF49" s="31">
        <v>1063.3</v>
      </c>
      <c r="AG49" s="30">
        <v>401</v>
      </c>
      <c r="AH49" s="31">
        <v>429.57</v>
      </c>
      <c r="AI49" s="30">
        <v>22</v>
      </c>
      <c r="AJ49" s="31">
        <v>43.454999999999998</v>
      </c>
      <c r="AK49" s="30">
        <v>132</v>
      </c>
      <c r="AL49" s="31">
        <v>398.43200000000002</v>
      </c>
      <c r="AM49" s="30">
        <v>65</v>
      </c>
      <c r="AN49" s="31">
        <v>122.38500000000001</v>
      </c>
      <c r="AO49" s="30">
        <v>55</v>
      </c>
      <c r="AP49" s="31">
        <v>450.75</v>
      </c>
      <c r="AQ49" s="30">
        <v>79</v>
      </c>
      <c r="AR49" s="31">
        <v>171.3</v>
      </c>
      <c r="AS49" s="30">
        <v>18</v>
      </c>
      <c r="AT49" s="31">
        <v>94.3</v>
      </c>
      <c r="AU49" s="30">
        <v>114</v>
      </c>
      <c r="AV49" s="31">
        <v>252.52799999999999</v>
      </c>
      <c r="AW49" s="30">
        <v>35</v>
      </c>
      <c r="AX49" s="31">
        <v>150.6</v>
      </c>
      <c r="AY49" s="30">
        <v>9</v>
      </c>
      <c r="AZ49" s="31">
        <v>8.3800000000000008</v>
      </c>
      <c r="BA49" s="30" t="s">
        <v>190</v>
      </c>
      <c r="BB49" s="31" t="s">
        <v>190</v>
      </c>
      <c r="BC49" s="30">
        <v>4</v>
      </c>
      <c r="BD49" s="31">
        <v>4.3</v>
      </c>
      <c r="BE49" s="32">
        <v>1260</v>
      </c>
      <c r="BF49" s="33">
        <v>1731.34</v>
      </c>
      <c r="BG49" s="18" t="s">
        <v>60</v>
      </c>
      <c r="BH49" s="19"/>
    </row>
    <row r="50" spans="1:60" x14ac:dyDescent="0.3">
      <c r="A50" s="17" t="s">
        <v>61</v>
      </c>
      <c r="B50" s="46">
        <f>SUM(C50,E50,G50,I50,K50,M50,O50,Q50,S50,U50,W50,Y50,AA50,AC50,AE50,AG50,AI50,AK50,AM50,AO50,AQ50,AS50,AU50,AW50,AY50,BA50,BC50,BE50)</f>
        <v>31</v>
      </c>
      <c r="C50" s="30" t="s">
        <v>190</v>
      </c>
      <c r="D50" s="31" t="s">
        <v>190</v>
      </c>
      <c r="E50" s="30" t="s">
        <v>190</v>
      </c>
      <c r="F50" s="31" t="s">
        <v>190</v>
      </c>
      <c r="G50" s="30">
        <v>1</v>
      </c>
      <c r="H50" s="31">
        <v>3</v>
      </c>
      <c r="I50" s="30" t="s">
        <v>190</v>
      </c>
      <c r="J50" s="31" t="s">
        <v>190</v>
      </c>
      <c r="K50" s="30" t="s">
        <v>190</v>
      </c>
      <c r="L50" s="31" t="s">
        <v>190</v>
      </c>
      <c r="M50" s="30" t="s">
        <v>190</v>
      </c>
      <c r="N50" s="31" t="s">
        <v>190</v>
      </c>
      <c r="O50" s="34" t="s">
        <v>190</v>
      </c>
      <c r="P50" s="31" t="s">
        <v>190</v>
      </c>
      <c r="Q50" s="34" t="s">
        <v>190</v>
      </c>
      <c r="R50" s="31" t="s">
        <v>190</v>
      </c>
      <c r="S50" s="30" t="s">
        <v>190</v>
      </c>
      <c r="T50" s="31" t="s">
        <v>190</v>
      </c>
      <c r="U50" s="30" t="s">
        <v>190</v>
      </c>
      <c r="V50" s="31" t="s">
        <v>190</v>
      </c>
      <c r="W50" s="30">
        <v>1</v>
      </c>
      <c r="X50" s="31">
        <v>2</v>
      </c>
      <c r="Y50" s="34" t="s">
        <v>190</v>
      </c>
      <c r="Z50" s="31" t="s">
        <v>190</v>
      </c>
      <c r="AA50" s="34">
        <v>1</v>
      </c>
      <c r="AB50" s="31">
        <v>7</v>
      </c>
      <c r="AC50" s="30">
        <v>5</v>
      </c>
      <c r="AD50" s="31">
        <v>20</v>
      </c>
      <c r="AE50" s="30">
        <v>4</v>
      </c>
      <c r="AF50" s="31">
        <v>32</v>
      </c>
      <c r="AG50" s="30">
        <v>1</v>
      </c>
      <c r="AH50" s="31">
        <v>0.8</v>
      </c>
      <c r="AI50" s="34" t="s">
        <v>190</v>
      </c>
      <c r="AJ50" s="31" t="s">
        <v>190</v>
      </c>
      <c r="AK50" s="30">
        <v>2</v>
      </c>
      <c r="AL50" s="31">
        <v>5</v>
      </c>
      <c r="AM50" s="30">
        <v>1</v>
      </c>
      <c r="AN50" s="31">
        <v>1.8</v>
      </c>
      <c r="AO50" s="34" t="s">
        <v>190</v>
      </c>
      <c r="AP50" s="31" t="s">
        <v>190</v>
      </c>
      <c r="AQ50" s="30">
        <v>3</v>
      </c>
      <c r="AR50" s="31">
        <v>9</v>
      </c>
      <c r="AS50" s="34" t="s">
        <v>190</v>
      </c>
      <c r="AT50" s="31" t="s">
        <v>190</v>
      </c>
      <c r="AU50" s="30">
        <v>4</v>
      </c>
      <c r="AV50" s="31">
        <v>8</v>
      </c>
      <c r="AW50" s="34" t="s">
        <v>190</v>
      </c>
      <c r="AX50" s="31" t="s">
        <v>190</v>
      </c>
      <c r="AY50" s="30">
        <v>6</v>
      </c>
      <c r="AZ50" s="31">
        <v>6</v>
      </c>
      <c r="BA50" s="34" t="s">
        <v>190</v>
      </c>
      <c r="BB50" s="31" t="s">
        <v>190</v>
      </c>
      <c r="BC50" s="30" t="s">
        <v>190</v>
      </c>
      <c r="BD50" s="31" t="s">
        <v>190</v>
      </c>
      <c r="BE50" s="32">
        <v>2</v>
      </c>
      <c r="BF50" s="33">
        <v>2.7</v>
      </c>
      <c r="BG50" s="18" t="s">
        <v>62</v>
      </c>
      <c r="BH50" s="19"/>
    </row>
    <row r="51" spans="1:60" x14ac:dyDescent="0.3">
      <c r="A51" s="17" t="s">
        <v>63</v>
      </c>
      <c r="B51" s="46">
        <f>SUM(C51,E51,G51,I51,K51,M51,O51,Q51,S51,U51,W51,Y51,AA51,AC51,AE51,AG51,AI51,AK51,AM51,AO51,AQ51,AS51,AU51,AW51,AY51,BA51,BC51,BE51)</f>
        <v>7326</v>
      </c>
      <c r="C51" s="30">
        <v>345</v>
      </c>
      <c r="D51" s="31">
        <v>598.79999999999995</v>
      </c>
      <c r="E51" s="30">
        <v>358</v>
      </c>
      <c r="F51" s="31">
        <v>732</v>
      </c>
      <c r="G51" s="30">
        <v>342</v>
      </c>
      <c r="H51" s="31">
        <v>703.95</v>
      </c>
      <c r="I51" s="30">
        <v>781</v>
      </c>
      <c r="J51" s="31">
        <v>1313.375</v>
      </c>
      <c r="K51" s="30">
        <v>490</v>
      </c>
      <c r="L51" s="31">
        <v>1139.4839999999999</v>
      </c>
      <c r="M51" s="30">
        <v>171</v>
      </c>
      <c r="N51" s="31">
        <v>233.75</v>
      </c>
      <c r="O51" s="30">
        <v>227</v>
      </c>
      <c r="P51" s="31">
        <v>320.89999999999998</v>
      </c>
      <c r="Q51" s="30">
        <v>33</v>
      </c>
      <c r="R51" s="31">
        <v>32.1</v>
      </c>
      <c r="S51" s="30">
        <v>68</v>
      </c>
      <c r="T51" s="31">
        <v>63</v>
      </c>
      <c r="U51" s="30">
        <v>386</v>
      </c>
      <c r="V51" s="31">
        <v>743.21799999999996</v>
      </c>
      <c r="W51" s="30">
        <v>144</v>
      </c>
      <c r="X51" s="31">
        <v>176.41</v>
      </c>
      <c r="Y51" s="30">
        <v>124</v>
      </c>
      <c r="Z51" s="31">
        <v>205.7</v>
      </c>
      <c r="AA51" s="30">
        <v>473</v>
      </c>
      <c r="AB51" s="31">
        <v>2338.7139999999999</v>
      </c>
      <c r="AC51" s="30">
        <v>524</v>
      </c>
      <c r="AD51" s="31">
        <v>1423.14</v>
      </c>
      <c r="AE51" s="30">
        <v>445</v>
      </c>
      <c r="AF51" s="31">
        <v>2889</v>
      </c>
      <c r="AG51" s="30">
        <v>633</v>
      </c>
      <c r="AH51" s="31">
        <v>636.79999999999995</v>
      </c>
      <c r="AI51" s="30">
        <v>131</v>
      </c>
      <c r="AJ51" s="31">
        <v>107.741</v>
      </c>
      <c r="AK51" s="30">
        <v>215</v>
      </c>
      <c r="AL51" s="31">
        <v>414.55</v>
      </c>
      <c r="AM51" s="30">
        <v>162</v>
      </c>
      <c r="AN51" s="31">
        <v>275.95</v>
      </c>
      <c r="AO51" s="30">
        <v>30</v>
      </c>
      <c r="AP51" s="31">
        <v>142.94999999999999</v>
      </c>
      <c r="AQ51" s="30">
        <v>257</v>
      </c>
      <c r="AR51" s="31">
        <v>511.1</v>
      </c>
      <c r="AS51" s="30">
        <v>19</v>
      </c>
      <c r="AT51" s="31">
        <v>87.4</v>
      </c>
      <c r="AU51" s="30">
        <v>315</v>
      </c>
      <c r="AV51" s="31">
        <v>546.20000000000005</v>
      </c>
      <c r="AW51" s="30">
        <v>50</v>
      </c>
      <c r="AX51" s="31">
        <v>168.9</v>
      </c>
      <c r="AY51" s="34" t="s">
        <v>190</v>
      </c>
      <c r="AZ51" s="31" t="s">
        <v>190</v>
      </c>
      <c r="BA51" s="34" t="s">
        <v>190</v>
      </c>
      <c r="BB51" s="31" t="s">
        <v>190</v>
      </c>
      <c r="BC51" s="30" t="s">
        <v>190</v>
      </c>
      <c r="BD51" s="31" t="s">
        <v>190</v>
      </c>
      <c r="BE51" s="32">
        <v>603</v>
      </c>
      <c r="BF51" s="33">
        <v>784.15</v>
      </c>
      <c r="BG51" s="18" t="s">
        <v>64</v>
      </c>
      <c r="BH51" s="19"/>
    </row>
    <row r="52" spans="1:60" s="16" customFormat="1" x14ac:dyDescent="0.3">
      <c r="A52" s="79" t="s">
        <v>65</v>
      </c>
      <c r="B52" s="94">
        <f>SUM(B54:B58)</f>
        <v>64531</v>
      </c>
      <c r="C52" s="82">
        <f>SUM(C54:C58)</f>
        <v>1612</v>
      </c>
      <c r="D52" s="82">
        <f>SUM(D54:D58)</f>
        <v>3120.6080000000002</v>
      </c>
      <c r="E52" s="82">
        <f t="shared" ref="E52:P52" si="78">SUM(E54:E58)</f>
        <v>2409</v>
      </c>
      <c r="F52" s="82">
        <f t="shared" si="78"/>
        <v>7818.5049999999992</v>
      </c>
      <c r="G52" s="82">
        <f t="shared" si="78"/>
        <v>1755</v>
      </c>
      <c r="H52" s="82">
        <f t="shared" si="78"/>
        <v>3778.63</v>
      </c>
      <c r="I52" s="82">
        <f t="shared" si="78"/>
        <v>6828</v>
      </c>
      <c r="J52" s="82">
        <f t="shared" si="78"/>
        <v>7949.6509999999998</v>
      </c>
      <c r="K52" s="82">
        <f t="shared" si="78"/>
        <v>993</v>
      </c>
      <c r="L52" s="82">
        <f t="shared" si="78"/>
        <v>1683.5740000000001</v>
      </c>
      <c r="M52" s="82">
        <f t="shared" ref="M52:N52" si="79">SUM(M54:M58)</f>
        <v>858</v>
      </c>
      <c r="N52" s="82">
        <f t="shared" si="79"/>
        <v>2054.6320000000001</v>
      </c>
      <c r="O52" s="82">
        <f t="shared" si="78"/>
        <v>15445</v>
      </c>
      <c r="P52" s="82">
        <f t="shared" si="78"/>
        <v>62837.560999999994</v>
      </c>
      <c r="Q52" s="80">
        <f t="shared" ref="Q52:V52" si="80">SUM(Q54:Q58)</f>
        <v>190</v>
      </c>
      <c r="R52" s="81">
        <f t="shared" si="80"/>
        <v>239.857</v>
      </c>
      <c r="S52" s="81">
        <f t="shared" si="80"/>
        <v>617</v>
      </c>
      <c r="T52" s="81">
        <f t="shared" si="80"/>
        <v>314.60899999999998</v>
      </c>
      <c r="U52" s="81">
        <f t="shared" si="80"/>
        <v>1803</v>
      </c>
      <c r="V52" s="81">
        <f t="shared" si="80"/>
        <v>3339.7930000000001</v>
      </c>
      <c r="W52" s="81">
        <f>SUM(W54:W58)</f>
        <v>3533</v>
      </c>
      <c r="X52" s="81">
        <f t="shared" ref="X52:AE52" si="81">SUM(X54:X58)</f>
        <v>7866.5870000000004</v>
      </c>
      <c r="Y52" s="81">
        <f t="shared" si="81"/>
        <v>5141</v>
      </c>
      <c r="Z52" s="81">
        <f t="shared" si="81"/>
        <v>14660.770999999999</v>
      </c>
      <c r="AA52" s="81">
        <f t="shared" si="81"/>
        <v>5342</v>
      </c>
      <c r="AB52" s="81">
        <f t="shared" si="81"/>
        <v>27278.94</v>
      </c>
      <c r="AC52" s="87">
        <f t="shared" si="81"/>
        <v>3724</v>
      </c>
      <c r="AD52" s="81">
        <f t="shared" si="81"/>
        <v>11301.110999999999</v>
      </c>
      <c r="AE52" s="81">
        <f t="shared" si="81"/>
        <v>349</v>
      </c>
      <c r="AF52" s="87">
        <f>SUM(AF54:AF58)</f>
        <v>1274.605</v>
      </c>
      <c r="AG52" s="87">
        <f t="shared" ref="AG52:AL52" si="82">SUM(AG54:AG58)</f>
        <v>4482</v>
      </c>
      <c r="AH52" s="87">
        <f t="shared" si="82"/>
        <v>5149.482</v>
      </c>
      <c r="AI52" s="87">
        <f t="shared" si="82"/>
        <v>460</v>
      </c>
      <c r="AJ52" s="87">
        <f t="shared" si="82"/>
        <v>304.98099999999999</v>
      </c>
      <c r="AK52" s="87">
        <f t="shared" si="82"/>
        <v>1435</v>
      </c>
      <c r="AL52" s="87">
        <f t="shared" si="82"/>
        <v>4017.7919999999995</v>
      </c>
      <c r="AM52" s="81">
        <f t="shared" ref="AM52:BF52" si="83">SUM(AM54:AM58)</f>
        <v>590</v>
      </c>
      <c r="AN52" s="91">
        <f t="shared" si="83"/>
        <v>1417.8969999999999</v>
      </c>
      <c r="AO52" s="81">
        <f t="shared" si="83"/>
        <v>131</v>
      </c>
      <c r="AP52" s="91">
        <f t="shared" si="83"/>
        <v>385.49400000000003</v>
      </c>
      <c r="AQ52" s="81">
        <f t="shared" si="83"/>
        <v>995</v>
      </c>
      <c r="AR52" s="91">
        <f t="shared" si="83"/>
        <v>2307.04</v>
      </c>
      <c r="AS52" s="81">
        <f t="shared" si="83"/>
        <v>59</v>
      </c>
      <c r="AT52" s="87">
        <f t="shared" si="83"/>
        <v>127.22699999999999</v>
      </c>
      <c r="AU52" s="81">
        <f t="shared" ref="AU52:AX52" si="84">SUM(AU54:AU58)</f>
        <v>1471</v>
      </c>
      <c r="AV52" s="91">
        <f t="shared" si="84"/>
        <v>2425.9660000000003</v>
      </c>
      <c r="AW52" s="81">
        <f t="shared" si="84"/>
        <v>47</v>
      </c>
      <c r="AX52" s="91">
        <f t="shared" si="84"/>
        <v>154.58500000000001</v>
      </c>
      <c r="AY52" s="81">
        <f>SUM(AY54:AY58)</f>
        <v>33</v>
      </c>
      <c r="AZ52" s="81">
        <f>SUM(AZ54:AZ58)</f>
        <v>42.43</v>
      </c>
      <c r="BA52" s="81">
        <f t="shared" si="83"/>
        <v>10</v>
      </c>
      <c r="BB52" s="91">
        <f t="shared" si="83"/>
        <v>8.68</v>
      </c>
      <c r="BC52" s="81">
        <f t="shared" si="83"/>
        <v>39</v>
      </c>
      <c r="BD52" s="91">
        <f t="shared" si="83"/>
        <v>49.71</v>
      </c>
      <c r="BE52" s="81">
        <f t="shared" si="83"/>
        <v>4180</v>
      </c>
      <c r="BF52" s="90">
        <f t="shared" si="83"/>
        <v>6776.89</v>
      </c>
      <c r="BG52" s="89" t="s">
        <v>66</v>
      </c>
      <c r="BH52" s="89"/>
    </row>
    <row r="53" spans="1:60" x14ac:dyDescent="0.3">
      <c r="A53" s="79"/>
      <c r="B53" s="94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0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7"/>
      <c r="AD53" s="81"/>
      <c r="AE53" s="81"/>
      <c r="AF53" s="87"/>
      <c r="AG53" s="87"/>
      <c r="AH53" s="87"/>
      <c r="AI53" s="87"/>
      <c r="AJ53" s="87"/>
      <c r="AK53" s="87"/>
      <c r="AL53" s="87"/>
      <c r="AM53" s="81"/>
      <c r="AN53" s="91"/>
      <c r="AO53" s="81"/>
      <c r="AP53" s="91"/>
      <c r="AQ53" s="81"/>
      <c r="AR53" s="91"/>
      <c r="AS53" s="81"/>
      <c r="AT53" s="87"/>
      <c r="AU53" s="81"/>
      <c r="AV53" s="91"/>
      <c r="AW53" s="81"/>
      <c r="AX53" s="91"/>
      <c r="AY53" s="81"/>
      <c r="AZ53" s="81"/>
      <c r="BA53" s="81"/>
      <c r="BB53" s="91"/>
      <c r="BC53" s="81"/>
      <c r="BD53" s="91"/>
      <c r="BE53" s="81"/>
      <c r="BF53" s="90"/>
      <c r="BG53" s="89"/>
      <c r="BH53" s="89"/>
    </row>
    <row r="54" spans="1:60" x14ac:dyDescent="0.3">
      <c r="A54" s="17" t="s">
        <v>67</v>
      </c>
      <c r="B54" s="46">
        <f>SUM(C54,E54,G54,I54,K54,M54,O54,Q54,S54,U54,W54,Y54,AA54,AC54,AE54,AG54,AI54,AK54,AM54,AO54,AQ54,AS54,AU54,AW54,AY54,BA54,BC54,BE54)</f>
        <v>15890</v>
      </c>
      <c r="C54" s="30">
        <v>243</v>
      </c>
      <c r="D54" s="31">
        <v>241.09100000000001</v>
      </c>
      <c r="E54" s="30">
        <v>340</v>
      </c>
      <c r="F54" s="31">
        <v>679.55499999999995</v>
      </c>
      <c r="G54" s="30">
        <v>216</v>
      </c>
      <c r="H54" s="31">
        <v>285.38</v>
      </c>
      <c r="I54" s="30">
        <v>3497</v>
      </c>
      <c r="J54" s="31">
        <v>3854.3310000000001</v>
      </c>
      <c r="K54" s="30">
        <v>260</v>
      </c>
      <c r="L54" s="31">
        <v>271.61399999999998</v>
      </c>
      <c r="M54" s="30">
        <v>135</v>
      </c>
      <c r="N54" s="31">
        <v>141.55600000000001</v>
      </c>
      <c r="O54" s="30">
        <v>1581</v>
      </c>
      <c r="P54" s="31">
        <v>2209.7950000000001</v>
      </c>
      <c r="Q54" s="30">
        <v>18</v>
      </c>
      <c r="R54" s="31">
        <v>22.532</v>
      </c>
      <c r="S54" s="30">
        <v>280</v>
      </c>
      <c r="T54" s="31">
        <v>128.33000000000001</v>
      </c>
      <c r="U54" s="30">
        <v>239</v>
      </c>
      <c r="V54" s="31">
        <v>349.34300000000002</v>
      </c>
      <c r="W54" s="30">
        <v>570</v>
      </c>
      <c r="X54" s="31">
        <v>800.27599999999995</v>
      </c>
      <c r="Y54" s="30">
        <v>122</v>
      </c>
      <c r="Z54" s="31">
        <v>131.321</v>
      </c>
      <c r="AA54" s="30">
        <v>2220</v>
      </c>
      <c r="AB54" s="31">
        <v>7241.28</v>
      </c>
      <c r="AC54" s="30">
        <v>1140</v>
      </c>
      <c r="AD54" s="31">
        <v>2857.125</v>
      </c>
      <c r="AE54" s="30">
        <v>89</v>
      </c>
      <c r="AF54" s="31">
        <v>258.45499999999998</v>
      </c>
      <c r="AG54" s="30">
        <v>2374</v>
      </c>
      <c r="AH54" s="31">
        <v>2934.37</v>
      </c>
      <c r="AI54" s="30">
        <v>169</v>
      </c>
      <c r="AJ54" s="31">
        <v>84.650999999999996</v>
      </c>
      <c r="AK54" s="30">
        <v>320</v>
      </c>
      <c r="AL54" s="31">
        <v>614.39199999999994</v>
      </c>
      <c r="AM54" s="30">
        <v>106</v>
      </c>
      <c r="AN54" s="31">
        <v>127.723</v>
      </c>
      <c r="AO54" s="30">
        <v>37</v>
      </c>
      <c r="AP54" s="31">
        <v>79.614000000000004</v>
      </c>
      <c r="AQ54" s="30">
        <v>227</v>
      </c>
      <c r="AR54" s="31">
        <v>399.45</v>
      </c>
      <c r="AS54" s="30">
        <v>28</v>
      </c>
      <c r="AT54" s="31">
        <v>63.927</v>
      </c>
      <c r="AU54" s="30">
        <v>832</v>
      </c>
      <c r="AV54" s="31">
        <v>1136.711</v>
      </c>
      <c r="AW54" s="30">
        <v>15</v>
      </c>
      <c r="AX54" s="31">
        <v>44.204999999999998</v>
      </c>
      <c r="AY54" s="30">
        <v>6</v>
      </c>
      <c r="AZ54" s="31">
        <v>5.73</v>
      </c>
      <c r="BA54" s="30">
        <v>8</v>
      </c>
      <c r="BB54" s="31">
        <v>7.12</v>
      </c>
      <c r="BC54" s="30">
        <v>12</v>
      </c>
      <c r="BD54" s="31">
        <v>14.71</v>
      </c>
      <c r="BE54" s="32">
        <v>806</v>
      </c>
      <c r="BF54" s="33">
        <v>936.04599999999994</v>
      </c>
      <c r="BG54" s="18" t="s">
        <v>68</v>
      </c>
      <c r="BH54" s="19"/>
    </row>
    <row r="55" spans="1:60" x14ac:dyDescent="0.3">
      <c r="A55" s="17" t="s">
        <v>69</v>
      </c>
      <c r="B55" s="46">
        <f>SUM(C55,E55,G55,I55,K55,M55,O55,Q55,S55,U55,W55,Y55,AA55,AC55,AE55,AG55,AI55,AK55,AM55,AO55,AQ55,AS55,AU55,AW55,AY55,BA55,BC55,BE55)</f>
        <v>32717</v>
      </c>
      <c r="C55" s="30">
        <v>268</v>
      </c>
      <c r="D55" s="31">
        <v>361.21</v>
      </c>
      <c r="E55" s="30">
        <v>387</v>
      </c>
      <c r="F55" s="31">
        <v>1065.3499999999999</v>
      </c>
      <c r="G55" s="30">
        <v>222</v>
      </c>
      <c r="H55" s="31">
        <v>482.19</v>
      </c>
      <c r="I55" s="30">
        <v>2447</v>
      </c>
      <c r="J55" s="31">
        <v>3139.0949999999998</v>
      </c>
      <c r="K55" s="30">
        <v>474</v>
      </c>
      <c r="L55" s="31">
        <v>994.36400000000003</v>
      </c>
      <c r="M55" s="30">
        <v>431</v>
      </c>
      <c r="N55" s="31">
        <v>1061.876</v>
      </c>
      <c r="O55" s="30">
        <v>13289</v>
      </c>
      <c r="P55" s="31">
        <v>58416.595999999998</v>
      </c>
      <c r="Q55" s="30">
        <v>122</v>
      </c>
      <c r="R55" s="31">
        <v>163.875</v>
      </c>
      <c r="S55" s="30">
        <v>236</v>
      </c>
      <c r="T55" s="31">
        <v>121.03</v>
      </c>
      <c r="U55" s="30">
        <v>317</v>
      </c>
      <c r="V55" s="31">
        <v>1141.6100000000001</v>
      </c>
      <c r="W55" s="30">
        <v>2343</v>
      </c>
      <c r="X55" s="31">
        <v>6279.9750000000004</v>
      </c>
      <c r="Y55" s="30">
        <v>4309</v>
      </c>
      <c r="Z55" s="31">
        <v>13324.31</v>
      </c>
      <c r="AA55" s="30">
        <v>3060</v>
      </c>
      <c r="AB55" s="31">
        <v>19881.66</v>
      </c>
      <c r="AC55" s="30">
        <v>449</v>
      </c>
      <c r="AD55" s="31">
        <v>2983.2460000000001</v>
      </c>
      <c r="AE55" s="30">
        <v>47</v>
      </c>
      <c r="AF55" s="31">
        <v>426.65</v>
      </c>
      <c r="AG55" s="30">
        <v>1477</v>
      </c>
      <c r="AH55" s="31">
        <v>1572.98</v>
      </c>
      <c r="AI55" s="30">
        <v>117</v>
      </c>
      <c r="AJ55" s="31">
        <v>78.77</v>
      </c>
      <c r="AK55" s="30">
        <v>325</v>
      </c>
      <c r="AL55" s="31">
        <v>1450.79</v>
      </c>
      <c r="AM55" s="30">
        <v>155</v>
      </c>
      <c r="AN55" s="31">
        <v>833.01</v>
      </c>
      <c r="AO55" s="30">
        <v>32</v>
      </c>
      <c r="AP55" s="31">
        <v>215.88</v>
      </c>
      <c r="AQ55" s="30">
        <v>112</v>
      </c>
      <c r="AR55" s="31">
        <v>312.68</v>
      </c>
      <c r="AS55" s="30">
        <v>1</v>
      </c>
      <c r="AT55" s="31">
        <v>2</v>
      </c>
      <c r="AU55" s="30">
        <v>206</v>
      </c>
      <c r="AV55" s="31">
        <v>579.08000000000004</v>
      </c>
      <c r="AW55" s="30">
        <v>20</v>
      </c>
      <c r="AX55" s="31">
        <v>80.48</v>
      </c>
      <c r="AY55" s="30">
        <v>16</v>
      </c>
      <c r="AZ55" s="31">
        <v>22.5</v>
      </c>
      <c r="BA55" s="30">
        <v>1</v>
      </c>
      <c r="BB55" s="31">
        <v>0.56000000000000005</v>
      </c>
      <c r="BC55" s="30" t="s">
        <v>190</v>
      </c>
      <c r="BD55" s="31" t="s">
        <v>190</v>
      </c>
      <c r="BE55" s="32">
        <v>1854</v>
      </c>
      <c r="BF55" s="33">
        <v>3578.299</v>
      </c>
      <c r="BG55" s="18" t="s">
        <v>70</v>
      </c>
      <c r="BH55" s="19"/>
    </row>
    <row r="56" spans="1:60" x14ac:dyDescent="0.3">
      <c r="A56" s="17" t="s">
        <v>71</v>
      </c>
      <c r="B56" s="46">
        <f>SUM(C56,E56,G56,I56,K56,M56,O56,Q56,S56,U56,W56,Y56,AA56,AC56,AE56,AG56,AI56,AK56,AM56,AO56,AQ56,AS56,AU56,AW56,AY56,BA56,BC56,BE56)</f>
        <v>14923</v>
      </c>
      <c r="C56" s="30">
        <v>1061</v>
      </c>
      <c r="D56" s="31">
        <v>2474.9</v>
      </c>
      <c r="E56" s="30">
        <v>1621</v>
      </c>
      <c r="F56" s="31">
        <v>6003.7</v>
      </c>
      <c r="G56" s="30">
        <v>1295</v>
      </c>
      <c r="H56" s="31">
        <v>2987.98</v>
      </c>
      <c r="I56" s="30">
        <v>702</v>
      </c>
      <c r="J56" s="31">
        <v>881</v>
      </c>
      <c r="K56" s="30">
        <v>252</v>
      </c>
      <c r="L56" s="31">
        <v>411.29599999999999</v>
      </c>
      <c r="M56" s="30">
        <v>267</v>
      </c>
      <c r="N56" s="31">
        <v>830.3</v>
      </c>
      <c r="O56" s="30">
        <v>547</v>
      </c>
      <c r="P56" s="31">
        <v>2183.6999999999998</v>
      </c>
      <c r="Q56" s="30">
        <v>39</v>
      </c>
      <c r="R56" s="31">
        <v>46.6</v>
      </c>
      <c r="S56" s="30">
        <v>95</v>
      </c>
      <c r="T56" s="31">
        <v>61.348999999999997</v>
      </c>
      <c r="U56" s="30">
        <v>1203</v>
      </c>
      <c r="V56" s="31">
        <v>1822.95</v>
      </c>
      <c r="W56" s="30">
        <v>572</v>
      </c>
      <c r="X56" s="31">
        <v>758.35</v>
      </c>
      <c r="Y56" s="30">
        <v>700</v>
      </c>
      <c r="Z56" s="31">
        <v>1192.8</v>
      </c>
      <c r="AA56" s="30">
        <v>62</v>
      </c>
      <c r="AB56" s="31">
        <v>156</v>
      </c>
      <c r="AC56" s="30">
        <v>1977</v>
      </c>
      <c r="AD56" s="31">
        <v>5319</v>
      </c>
      <c r="AE56" s="30">
        <v>193</v>
      </c>
      <c r="AF56" s="31">
        <v>556.54999999999995</v>
      </c>
      <c r="AG56" s="30">
        <v>559</v>
      </c>
      <c r="AH56" s="31">
        <v>606.58199999999999</v>
      </c>
      <c r="AI56" s="30">
        <v>171</v>
      </c>
      <c r="AJ56" s="31">
        <v>141.06</v>
      </c>
      <c r="AK56" s="30">
        <v>736</v>
      </c>
      <c r="AL56" s="31">
        <v>1894.62</v>
      </c>
      <c r="AM56" s="30">
        <v>323</v>
      </c>
      <c r="AN56" s="31">
        <v>451.65199999999999</v>
      </c>
      <c r="AO56" s="30">
        <v>55</v>
      </c>
      <c r="AP56" s="31">
        <v>76.599999999999994</v>
      </c>
      <c r="AQ56" s="30">
        <v>619</v>
      </c>
      <c r="AR56" s="31">
        <v>1559.5</v>
      </c>
      <c r="AS56" s="30">
        <v>28</v>
      </c>
      <c r="AT56" s="31">
        <v>58.8</v>
      </c>
      <c r="AU56" s="30">
        <v>398</v>
      </c>
      <c r="AV56" s="31">
        <v>681.89499999999998</v>
      </c>
      <c r="AW56" s="30">
        <v>11</v>
      </c>
      <c r="AX56" s="31">
        <v>27</v>
      </c>
      <c r="AY56" s="30">
        <v>9</v>
      </c>
      <c r="AZ56" s="31">
        <v>13.2</v>
      </c>
      <c r="BA56" s="30">
        <v>1</v>
      </c>
      <c r="BB56" s="31">
        <v>1</v>
      </c>
      <c r="BC56" s="30">
        <v>3</v>
      </c>
      <c r="BD56" s="31">
        <v>3.7</v>
      </c>
      <c r="BE56" s="32">
        <v>1424</v>
      </c>
      <c r="BF56" s="33">
        <v>2192.4540000000002</v>
      </c>
      <c r="BG56" s="18" t="s">
        <v>72</v>
      </c>
      <c r="BH56" s="19"/>
    </row>
    <row r="57" spans="1:60" x14ac:dyDescent="0.3">
      <c r="A57" s="17" t="s">
        <v>73</v>
      </c>
      <c r="B57" s="46">
        <f>SUM(C57,E57,G57,I57,K57,M57,O57,Q57,S57,U57,W57,Y57,AA57,AC57,AE57,AG57,AI57,AK57,AM57,AO57,AQ57,AS57,AU57,AW57,AY57,BA57,BC57,BE57)</f>
        <v>63</v>
      </c>
      <c r="C57" s="30">
        <v>3</v>
      </c>
      <c r="D57" s="31">
        <v>1.8</v>
      </c>
      <c r="E57" s="30">
        <v>5</v>
      </c>
      <c r="F57" s="31">
        <v>3</v>
      </c>
      <c r="G57" s="30" t="s">
        <v>190</v>
      </c>
      <c r="H57" s="31" t="s">
        <v>190</v>
      </c>
      <c r="I57" s="30" t="s">
        <v>190</v>
      </c>
      <c r="J57" s="31" t="s">
        <v>190</v>
      </c>
      <c r="K57" s="30" t="s">
        <v>190</v>
      </c>
      <c r="L57" s="31" t="s">
        <v>190</v>
      </c>
      <c r="M57" s="30" t="s">
        <v>190</v>
      </c>
      <c r="N57" s="31" t="s">
        <v>190</v>
      </c>
      <c r="O57" s="30">
        <v>5</v>
      </c>
      <c r="P57" s="31">
        <v>5.65</v>
      </c>
      <c r="Q57" s="30" t="s">
        <v>190</v>
      </c>
      <c r="R57" s="31" t="s">
        <v>190</v>
      </c>
      <c r="S57" s="30" t="s">
        <v>190</v>
      </c>
      <c r="T57" s="31" t="s">
        <v>190</v>
      </c>
      <c r="U57" s="30" t="s">
        <v>190</v>
      </c>
      <c r="V57" s="31" t="s">
        <v>190</v>
      </c>
      <c r="W57" s="30">
        <v>31</v>
      </c>
      <c r="X57" s="31">
        <v>18.7</v>
      </c>
      <c r="Y57" s="34" t="s">
        <v>190</v>
      </c>
      <c r="Z57" s="31" t="s">
        <v>190</v>
      </c>
      <c r="AA57" s="34" t="s">
        <v>190</v>
      </c>
      <c r="AB57" s="31" t="s">
        <v>190</v>
      </c>
      <c r="AC57" s="30">
        <v>4</v>
      </c>
      <c r="AD57" s="31">
        <v>2.4</v>
      </c>
      <c r="AE57" s="30">
        <v>1</v>
      </c>
      <c r="AF57" s="31">
        <v>1</v>
      </c>
      <c r="AG57" s="30">
        <v>8</v>
      </c>
      <c r="AH57" s="31">
        <v>4.4000000000000004</v>
      </c>
      <c r="AI57" s="30" t="s">
        <v>190</v>
      </c>
      <c r="AJ57" s="31" t="s">
        <v>190</v>
      </c>
      <c r="AK57" s="30">
        <v>3</v>
      </c>
      <c r="AL57" s="31">
        <v>2.6</v>
      </c>
      <c r="AM57" s="30">
        <v>1</v>
      </c>
      <c r="AN57" s="31">
        <v>1</v>
      </c>
      <c r="AO57" s="30" t="s">
        <v>190</v>
      </c>
      <c r="AP57" s="31" t="s">
        <v>190</v>
      </c>
      <c r="AQ57" s="30" t="s">
        <v>190</v>
      </c>
      <c r="AR57" s="31" t="s">
        <v>190</v>
      </c>
      <c r="AS57" s="34" t="s">
        <v>190</v>
      </c>
      <c r="AT57" s="31" t="s">
        <v>190</v>
      </c>
      <c r="AU57" s="30">
        <v>1</v>
      </c>
      <c r="AV57" s="31">
        <v>0.5</v>
      </c>
      <c r="AW57" s="34" t="s">
        <v>190</v>
      </c>
      <c r="AX57" s="31" t="s">
        <v>190</v>
      </c>
      <c r="AY57" s="34" t="s">
        <v>190</v>
      </c>
      <c r="AZ57" s="31" t="s">
        <v>190</v>
      </c>
      <c r="BA57" s="34" t="s">
        <v>190</v>
      </c>
      <c r="BB57" s="31" t="s">
        <v>190</v>
      </c>
      <c r="BC57" s="30" t="s">
        <v>190</v>
      </c>
      <c r="BD57" s="31" t="s">
        <v>190</v>
      </c>
      <c r="BE57" s="32">
        <v>1</v>
      </c>
      <c r="BF57" s="33">
        <v>0.9</v>
      </c>
      <c r="BG57" s="18" t="s">
        <v>74</v>
      </c>
      <c r="BH57" s="19"/>
    </row>
    <row r="58" spans="1:60" x14ac:dyDescent="0.3">
      <c r="A58" s="17" t="s">
        <v>75</v>
      </c>
      <c r="B58" s="46">
        <f>SUM(C58,E58,G58,I58,K58,M58,O58,Q58,S58,U58,W58,Y58,AA58,AC58,AE58,AG58,AI58,AK58,AM58,AO58,AQ58,AS58,AU58,AW58,AY58,BA58,BC58,BE58)</f>
        <v>938</v>
      </c>
      <c r="C58" s="30">
        <v>37</v>
      </c>
      <c r="D58" s="31">
        <v>41.606999999999999</v>
      </c>
      <c r="E58" s="30">
        <v>56</v>
      </c>
      <c r="F58" s="31">
        <v>66.900000000000006</v>
      </c>
      <c r="G58" s="30">
        <v>22</v>
      </c>
      <c r="H58" s="31">
        <v>23.08</v>
      </c>
      <c r="I58" s="30">
        <v>182</v>
      </c>
      <c r="J58" s="31">
        <v>75.224999999999994</v>
      </c>
      <c r="K58" s="30">
        <v>7</v>
      </c>
      <c r="L58" s="31">
        <v>6.3</v>
      </c>
      <c r="M58" s="30">
        <v>25</v>
      </c>
      <c r="N58" s="31">
        <v>20.9</v>
      </c>
      <c r="O58" s="30">
        <v>23</v>
      </c>
      <c r="P58" s="31">
        <v>21.82</v>
      </c>
      <c r="Q58" s="30">
        <v>11</v>
      </c>
      <c r="R58" s="31">
        <v>6.85</v>
      </c>
      <c r="S58" s="30">
        <v>6</v>
      </c>
      <c r="T58" s="31">
        <v>3.9</v>
      </c>
      <c r="U58" s="30">
        <v>44</v>
      </c>
      <c r="V58" s="31">
        <v>25.89</v>
      </c>
      <c r="W58" s="30">
        <v>17</v>
      </c>
      <c r="X58" s="31">
        <v>9.2859999999999996</v>
      </c>
      <c r="Y58" s="30">
        <v>10</v>
      </c>
      <c r="Z58" s="31">
        <v>12.34</v>
      </c>
      <c r="AA58" s="30" t="s">
        <v>190</v>
      </c>
      <c r="AB58" s="31" t="s">
        <v>190</v>
      </c>
      <c r="AC58" s="30">
        <v>154</v>
      </c>
      <c r="AD58" s="31">
        <v>139.34</v>
      </c>
      <c r="AE58" s="30">
        <v>19</v>
      </c>
      <c r="AF58" s="31">
        <v>31.95</v>
      </c>
      <c r="AG58" s="30">
        <v>64</v>
      </c>
      <c r="AH58" s="31">
        <v>31.150000000000002</v>
      </c>
      <c r="AI58" s="30">
        <v>3</v>
      </c>
      <c r="AJ58" s="31">
        <v>0.5</v>
      </c>
      <c r="AK58" s="30">
        <v>51</v>
      </c>
      <c r="AL58" s="31">
        <v>55.39</v>
      </c>
      <c r="AM58" s="30">
        <v>5</v>
      </c>
      <c r="AN58" s="31">
        <v>4.5119999999999996</v>
      </c>
      <c r="AO58" s="30">
        <v>7</v>
      </c>
      <c r="AP58" s="31">
        <v>13.4</v>
      </c>
      <c r="AQ58" s="30">
        <v>37</v>
      </c>
      <c r="AR58" s="31">
        <v>35.409999999999997</v>
      </c>
      <c r="AS58" s="30">
        <v>2</v>
      </c>
      <c r="AT58" s="31">
        <v>2.5</v>
      </c>
      <c r="AU58" s="30">
        <v>34</v>
      </c>
      <c r="AV58" s="31">
        <v>27.78</v>
      </c>
      <c r="AW58" s="30">
        <v>1</v>
      </c>
      <c r="AX58" s="31">
        <v>2.9</v>
      </c>
      <c r="AY58" s="34">
        <v>2</v>
      </c>
      <c r="AZ58" s="31">
        <v>1</v>
      </c>
      <c r="BA58" s="34" t="s">
        <v>190</v>
      </c>
      <c r="BB58" s="31" t="s">
        <v>190</v>
      </c>
      <c r="BC58" s="30">
        <v>24</v>
      </c>
      <c r="BD58" s="31">
        <v>31.3</v>
      </c>
      <c r="BE58" s="32">
        <v>95</v>
      </c>
      <c r="BF58" s="33">
        <v>69.191000000000003</v>
      </c>
      <c r="BG58" s="18" t="s">
        <v>76</v>
      </c>
      <c r="BH58" s="19"/>
    </row>
    <row r="59" spans="1:60" s="16" customFormat="1" x14ac:dyDescent="0.3">
      <c r="A59" s="79" t="s">
        <v>77</v>
      </c>
      <c r="B59" s="94">
        <f>SUM(B61:B65)</f>
        <v>3429</v>
      </c>
      <c r="C59" s="82">
        <f t="shared" ref="C59:D59" si="85">SUM(C61:C65)</f>
        <v>85</v>
      </c>
      <c r="D59" s="82">
        <f t="shared" si="85"/>
        <v>100.85</v>
      </c>
      <c r="E59" s="82">
        <f t="shared" ref="E59:P59" si="86">SUM(E61:E65)</f>
        <v>131</v>
      </c>
      <c r="F59" s="82">
        <f>SUM(F61:F65)</f>
        <v>217.31300000000002</v>
      </c>
      <c r="G59" s="82">
        <f t="shared" si="86"/>
        <v>83</v>
      </c>
      <c r="H59" s="82">
        <f t="shared" si="86"/>
        <v>122.773</v>
      </c>
      <c r="I59" s="82">
        <f t="shared" si="86"/>
        <v>183</v>
      </c>
      <c r="J59" s="82">
        <f t="shared" si="86"/>
        <v>254.23500000000001</v>
      </c>
      <c r="K59" s="82">
        <f t="shared" si="86"/>
        <v>22</v>
      </c>
      <c r="L59" s="82">
        <f t="shared" si="86"/>
        <v>31</v>
      </c>
      <c r="M59" s="82">
        <f t="shared" ref="M59:N59" si="87">SUM(M61:M65)</f>
        <v>27</v>
      </c>
      <c r="N59" s="82">
        <f t="shared" si="87"/>
        <v>27.3</v>
      </c>
      <c r="O59" s="82">
        <f t="shared" si="86"/>
        <v>148</v>
      </c>
      <c r="P59" s="82">
        <f t="shared" si="86"/>
        <v>226.87699999999998</v>
      </c>
      <c r="Q59" s="80">
        <f t="shared" ref="Q59:V59" si="88">SUM(Q61:Q65)</f>
        <v>32</v>
      </c>
      <c r="R59" s="81">
        <f t="shared" si="88"/>
        <v>34.213000000000001</v>
      </c>
      <c r="S59" s="81">
        <f t="shared" si="88"/>
        <v>57</v>
      </c>
      <c r="T59" s="81">
        <f t="shared" si="88"/>
        <v>44.402000000000001</v>
      </c>
      <c r="U59" s="81">
        <f t="shared" si="88"/>
        <v>192</v>
      </c>
      <c r="V59" s="81">
        <f t="shared" si="88"/>
        <v>239.69499999999999</v>
      </c>
      <c r="W59" s="81">
        <f>SUM(W61:W65)</f>
        <v>198</v>
      </c>
      <c r="X59" s="81">
        <f>SUM(X61:X65)</f>
        <v>241.792</v>
      </c>
      <c r="Y59" s="81">
        <f t="shared" ref="Y59:AE59" si="89">SUM(Y61:Y65)</f>
        <v>25</v>
      </c>
      <c r="Z59" s="81">
        <f t="shared" si="89"/>
        <v>33.474999999999994</v>
      </c>
      <c r="AA59" s="81">
        <f t="shared" si="89"/>
        <v>10</v>
      </c>
      <c r="AB59" s="81">
        <f t="shared" si="89"/>
        <v>20.245000000000001</v>
      </c>
      <c r="AC59" s="87">
        <f t="shared" si="89"/>
        <v>500</v>
      </c>
      <c r="AD59" s="81">
        <f t="shared" si="89"/>
        <v>866.81099999999992</v>
      </c>
      <c r="AE59" s="81">
        <f t="shared" si="89"/>
        <v>160</v>
      </c>
      <c r="AF59" s="87">
        <f>SUM(AF61:AF65)</f>
        <v>369.78300000000002</v>
      </c>
      <c r="AG59" s="87">
        <f t="shared" ref="AG59:AL59" si="90">SUM(AG61:AG65)</f>
        <v>264</v>
      </c>
      <c r="AH59" s="87">
        <f t="shared" si="90"/>
        <v>299.18699999999995</v>
      </c>
      <c r="AI59" s="87">
        <f t="shared" si="90"/>
        <v>19</v>
      </c>
      <c r="AJ59" s="87">
        <f t="shared" si="90"/>
        <v>20.350000000000001</v>
      </c>
      <c r="AK59" s="87">
        <f t="shared" si="90"/>
        <v>244</v>
      </c>
      <c r="AL59" s="87">
        <f t="shared" si="90"/>
        <v>397.161</v>
      </c>
      <c r="AM59" s="81">
        <f t="shared" ref="AM59:BF59" si="91">SUM(AM61:AM65)</f>
        <v>109</v>
      </c>
      <c r="AN59" s="91">
        <f t="shared" si="91"/>
        <v>147.054</v>
      </c>
      <c r="AO59" s="81">
        <f t="shared" si="91"/>
        <v>24</v>
      </c>
      <c r="AP59" s="91">
        <f t="shared" si="91"/>
        <v>93.45</v>
      </c>
      <c r="AQ59" s="81">
        <f t="shared" si="91"/>
        <v>164</v>
      </c>
      <c r="AR59" s="91">
        <f t="shared" si="91"/>
        <v>270.79300000000001</v>
      </c>
      <c r="AS59" s="81">
        <f t="shared" si="91"/>
        <v>15</v>
      </c>
      <c r="AT59" s="87">
        <f t="shared" si="91"/>
        <v>37.5</v>
      </c>
      <c r="AU59" s="81">
        <f t="shared" ref="AU59:AX59" si="92">SUM(AU61:AU65)</f>
        <v>168</v>
      </c>
      <c r="AV59" s="91">
        <f t="shared" si="92"/>
        <v>249.10899999999998</v>
      </c>
      <c r="AW59" s="81">
        <f t="shared" si="92"/>
        <v>21</v>
      </c>
      <c r="AX59" s="91">
        <f t="shared" si="92"/>
        <v>23</v>
      </c>
      <c r="AY59" s="81">
        <f>SUM(AY61:AY65)</f>
        <v>117</v>
      </c>
      <c r="AZ59" s="81">
        <f>SUM(AZ61:AZ65)</f>
        <v>219.023</v>
      </c>
      <c r="BA59" s="81">
        <f t="shared" si="91"/>
        <v>1</v>
      </c>
      <c r="BB59" s="91">
        <f t="shared" si="91"/>
        <v>0.4</v>
      </c>
      <c r="BC59" s="81">
        <f t="shared" si="91"/>
        <v>13</v>
      </c>
      <c r="BD59" s="91">
        <f t="shared" si="91"/>
        <v>8.8000000000000007</v>
      </c>
      <c r="BE59" s="81">
        <f t="shared" si="91"/>
        <v>417</v>
      </c>
      <c r="BF59" s="90">
        <f t="shared" si="91"/>
        <v>535.923</v>
      </c>
      <c r="BG59" s="89" t="s">
        <v>78</v>
      </c>
      <c r="BH59" s="89"/>
    </row>
    <row r="60" spans="1:60" x14ac:dyDescent="0.3">
      <c r="A60" s="79"/>
      <c r="B60" s="94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0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7"/>
      <c r="AD60" s="81"/>
      <c r="AE60" s="81"/>
      <c r="AF60" s="87"/>
      <c r="AG60" s="87"/>
      <c r="AH60" s="87"/>
      <c r="AI60" s="87"/>
      <c r="AJ60" s="87"/>
      <c r="AK60" s="87"/>
      <c r="AL60" s="87"/>
      <c r="AM60" s="81"/>
      <c r="AN60" s="91"/>
      <c r="AO60" s="81"/>
      <c r="AP60" s="91"/>
      <c r="AQ60" s="81"/>
      <c r="AR60" s="91"/>
      <c r="AS60" s="81"/>
      <c r="AT60" s="87"/>
      <c r="AU60" s="81"/>
      <c r="AV60" s="91"/>
      <c r="AW60" s="81"/>
      <c r="AX60" s="91"/>
      <c r="AY60" s="81"/>
      <c r="AZ60" s="81"/>
      <c r="BA60" s="81"/>
      <c r="BB60" s="91"/>
      <c r="BC60" s="81"/>
      <c r="BD60" s="91"/>
      <c r="BE60" s="81"/>
      <c r="BF60" s="90"/>
      <c r="BG60" s="89"/>
      <c r="BH60" s="89"/>
    </row>
    <row r="61" spans="1:60" x14ac:dyDescent="0.3">
      <c r="A61" s="17" t="s">
        <v>79</v>
      </c>
      <c r="B61" s="46">
        <f>SUM(C61,E61,G61,I61,K61,M61,O61,Q61,S61,U61,W61,Y61,AA61,AC61,AE61,AG61,AI61,AK61,AM61,AO61,AQ61,AS61,AU61,AW61,AY61,BA61,BC61,BE61)</f>
        <v>549</v>
      </c>
      <c r="C61" s="30">
        <v>14</v>
      </c>
      <c r="D61" s="31">
        <v>12.35</v>
      </c>
      <c r="E61" s="30">
        <v>20</v>
      </c>
      <c r="F61" s="31">
        <v>44.95</v>
      </c>
      <c r="G61" s="30">
        <v>15</v>
      </c>
      <c r="H61" s="31">
        <v>20.5</v>
      </c>
      <c r="I61" s="30">
        <v>10</v>
      </c>
      <c r="J61" s="31">
        <v>8.1999999999999993</v>
      </c>
      <c r="K61" s="30">
        <v>6</v>
      </c>
      <c r="L61" s="31">
        <v>5.4</v>
      </c>
      <c r="M61" s="30">
        <v>8</v>
      </c>
      <c r="N61" s="31">
        <v>4.45</v>
      </c>
      <c r="O61" s="30">
        <v>4</v>
      </c>
      <c r="P61" s="31">
        <v>5</v>
      </c>
      <c r="Q61" s="30">
        <v>6</v>
      </c>
      <c r="R61" s="31">
        <v>4.9000000000000004</v>
      </c>
      <c r="S61" s="30">
        <v>8</v>
      </c>
      <c r="T61" s="31">
        <v>5.79</v>
      </c>
      <c r="U61" s="30">
        <v>30</v>
      </c>
      <c r="V61" s="31">
        <v>43.83</v>
      </c>
      <c r="W61" s="30">
        <v>22</v>
      </c>
      <c r="X61" s="31">
        <v>20.239999999999998</v>
      </c>
      <c r="Y61" s="30">
        <v>5</v>
      </c>
      <c r="Z61" s="31">
        <v>8.6999999999999993</v>
      </c>
      <c r="AA61" s="30" t="s">
        <v>190</v>
      </c>
      <c r="AB61" s="31" t="s">
        <v>190</v>
      </c>
      <c r="AC61" s="30">
        <v>60</v>
      </c>
      <c r="AD61" s="31">
        <v>166.1</v>
      </c>
      <c r="AE61" s="30">
        <v>41</v>
      </c>
      <c r="AF61" s="31">
        <v>145.25</v>
      </c>
      <c r="AG61" s="30">
        <v>31</v>
      </c>
      <c r="AH61" s="31">
        <v>25.65</v>
      </c>
      <c r="AI61" s="30" t="s">
        <v>190</v>
      </c>
      <c r="AJ61" s="31" t="s">
        <v>190</v>
      </c>
      <c r="AK61" s="30">
        <v>39</v>
      </c>
      <c r="AL61" s="31">
        <v>66.25</v>
      </c>
      <c r="AM61" s="30">
        <v>35</v>
      </c>
      <c r="AN61" s="31">
        <v>59.25</v>
      </c>
      <c r="AO61" s="30">
        <v>14</v>
      </c>
      <c r="AP61" s="31">
        <v>70.05</v>
      </c>
      <c r="AQ61" s="30">
        <v>14</v>
      </c>
      <c r="AR61" s="31">
        <v>32.049999999999997</v>
      </c>
      <c r="AS61" s="30">
        <v>9</v>
      </c>
      <c r="AT61" s="31">
        <v>26</v>
      </c>
      <c r="AU61" s="30">
        <v>27</v>
      </c>
      <c r="AV61" s="31">
        <v>33.9</v>
      </c>
      <c r="AW61" s="30">
        <v>11</v>
      </c>
      <c r="AX61" s="31">
        <v>12.8</v>
      </c>
      <c r="AY61" s="30">
        <v>45</v>
      </c>
      <c r="AZ61" s="31">
        <v>87.6</v>
      </c>
      <c r="BA61" s="34" t="s">
        <v>190</v>
      </c>
      <c r="BB61" s="31" t="s">
        <v>190</v>
      </c>
      <c r="BC61" s="30">
        <v>6</v>
      </c>
      <c r="BD61" s="31">
        <v>2.5999999999999996</v>
      </c>
      <c r="BE61" s="32">
        <v>69</v>
      </c>
      <c r="BF61" s="33">
        <v>88.089999999999975</v>
      </c>
      <c r="BG61" s="18" t="s">
        <v>80</v>
      </c>
      <c r="BH61" s="19"/>
    </row>
    <row r="62" spans="1:60" x14ac:dyDescent="0.3">
      <c r="A62" s="17" t="s">
        <v>81</v>
      </c>
      <c r="B62" s="46">
        <f>SUM(C62,E62,G62,I62,K62,M62,O62,Q62,S62,U62,W62,Y62,AA62,AC62,AE62,AG62,AI62,AK62,AM62,AO62,AQ62,AS62,AU62,AW62,AY62,BA62,BC62,BE62)</f>
        <v>807</v>
      </c>
      <c r="C62" s="30">
        <v>35</v>
      </c>
      <c r="D62" s="31">
        <v>32</v>
      </c>
      <c r="E62" s="30">
        <v>48</v>
      </c>
      <c r="F62" s="31">
        <v>55.6</v>
      </c>
      <c r="G62" s="30">
        <v>29</v>
      </c>
      <c r="H62" s="31">
        <v>34.6</v>
      </c>
      <c r="I62" s="30">
        <v>49</v>
      </c>
      <c r="J62" s="31">
        <v>35.299999999999997</v>
      </c>
      <c r="K62" s="30">
        <v>1</v>
      </c>
      <c r="L62" s="31">
        <v>1</v>
      </c>
      <c r="M62" s="30">
        <v>3</v>
      </c>
      <c r="N62" s="31">
        <v>2.1</v>
      </c>
      <c r="O62" s="30">
        <v>54</v>
      </c>
      <c r="P62" s="31">
        <v>66.400000000000006</v>
      </c>
      <c r="Q62" s="30">
        <v>11</v>
      </c>
      <c r="R62" s="31">
        <v>8.1999999999999993</v>
      </c>
      <c r="S62" s="30">
        <v>35</v>
      </c>
      <c r="T62" s="31">
        <v>18.099999999999998</v>
      </c>
      <c r="U62" s="30">
        <v>65</v>
      </c>
      <c r="V62" s="31">
        <v>65</v>
      </c>
      <c r="W62" s="30">
        <v>10</v>
      </c>
      <c r="X62" s="31">
        <v>9.6</v>
      </c>
      <c r="Y62" s="30" t="s">
        <v>190</v>
      </c>
      <c r="Z62" s="31" t="s">
        <v>190</v>
      </c>
      <c r="AA62" s="34" t="s">
        <v>190</v>
      </c>
      <c r="AB62" s="31" t="s">
        <v>190</v>
      </c>
      <c r="AC62" s="30">
        <v>145</v>
      </c>
      <c r="AD62" s="31">
        <v>199.7</v>
      </c>
      <c r="AE62" s="30">
        <v>72</v>
      </c>
      <c r="AF62" s="31">
        <v>108.6</v>
      </c>
      <c r="AG62" s="30">
        <v>39</v>
      </c>
      <c r="AH62" s="31">
        <v>32.200000000000003</v>
      </c>
      <c r="AI62" s="30">
        <v>8</v>
      </c>
      <c r="AJ62" s="31">
        <v>5.2</v>
      </c>
      <c r="AK62" s="30">
        <v>45</v>
      </c>
      <c r="AL62" s="31">
        <v>53.699999999999996</v>
      </c>
      <c r="AM62" s="30">
        <v>26</v>
      </c>
      <c r="AN62" s="31">
        <v>28.6</v>
      </c>
      <c r="AO62" s="30">
        <v>5</v>
      </c>
      <c r="AP62" s="31">
        <v>8.4</v>
      </c>
      <c r="AQ62" s="30">
        <v>36</v>
      </c>
      <c r="AR62" s="31">
        <v>45.7</v>
      </c>
      <c r="AS62" s="34">
        <v>2</v>
      </c>
      <c r="AT62" s="31">
        <v>3</v>
      </c>
      <c r="AU62" s="30">
        <v>28</v>
      </c>
      <c r="AV62" s="31">
        <v>26.4</v>
      </c>
      <c r="AW62" s="30">
        <v>3</v>
      </c>
      <c r="AX62" s="31">
        <v>3.7</v>
      </c>
      <c r="AY62" s="30">
        <v>6</v>
      </c>
      <c r="AZ62" s="31">
        <v>6.4</v>
      </c>
      <c r="BA62" s="34">
        <v>1</v>
      </c>
      <c r="BB62" s="31">
        <v>0.4</v>
      </c>
      <c r="BC62" s="30" t="s">
        <v>190</v>
      </c>
      <c r="BD62" s="31" t="s">
        <v>190</v>
      </c>
      <c r="BE62" s="32">
        <v>51</v>
      </c>
      <c r="BF62" s="33">
        <v>42.3</v>
      </c>
      <c r="BG62" s="18" t="s">
        <v>82</v>
      </c>
      <c r="BH62" s="19"/>
    </row>
    <row r="63" spans="1:60" x14ac:dyDescent="0.3">
      <c r="A63" s="17" t="s">
        <v>83</v>
      </c>
      <c r="B63" s="46">
        <f>SUM(C63,E63,G63,I63,K63,M63,O63,Q63,S63,U63,W63,Y63,AA63,AC63,AE63,AG63,AI63,AK63,AM63,AO63,AQ63,AS63,AU63,AW63,AY63,BA63,BC63,BE63)</f>
        <v>0</v>
      </c>
      <c r="C63" s="30" t="s">
        <v>190</v>
      </c>
      <c r="D63" s="31" t="s">
        <v>190</v>
      </c>
      <c r="E63" s="30" t="s">
        <v>190</v>
      </c>
      <c r="F63" s="31" t="s">
        <v>190</v>
      </c>
      <c r="G63" s="30" t="s">
        <v>190</v>
      </c>
      <c r="H63" s="31" t="s">
        <v>190</v>
      </c>
      <c r="I63" s="30" t="s">
        <v>190</v>
      </c>
      <c r="J63" s="31" t="s">
        <v>190</v>
      </c>
      <c r="K63" s="34" t="s">
        <v>190</v>
      </c>
      <c r="L63" s="31" t="s">
        <v>190</v>
      </c>
      <c r="M63" s="30" t="s">
        <v>190</v>
      </c>
      <c r="N63" s="31" t="s">
        <v>190</v>
      </c>
      <c r="O63" s="30" t="s">
        <v>190</v>
      </c>
      <c r="P63" s="31" t="s">
        <v>190</v>
      </c>
      <c r="Q63" s="30" t="s">
        <v>190</v>
      </c>
      <c r="R63" s="31" t="s">
        <v>190</v>
      </c>
      <c r="S63" s="30" t="s">
        <v>190</v>
      </c>
      <c r="T63" s="31" t="s">
        <v>190</v>
      </c>
      <c r="U63" s="30" t="s">
        <v>190</v>
      </c>
      <c r="V63" s="31" t="s">
        <v>190</v>
      </c>
      <c r="W63" s="30" t="s">
        <v>190</v>
      </c>
      <c r="X63" s="31" t="s">
        <v>190</v>
      </c>
      <c r="Y63" s="34" t="s">
        <v>190</v>
      </c>
      <c r="Z63" s="31" t="s">
        <v>190</v>
      </c>
      <c r="AA63" s="34" t="s">
        <v>190</v>
      </c>
      <c r="AB63" s="31" t="s">
        <v>190</v>
      </c>
      <c r="AC63" s="30" t="s">
        <v>190</v>
      </c>
      <c r="AD63" s="31" t="s">
        <v>190</v>
      </c>
      <c r="AE63" s="34" t="s">
        <v>190</v>
      </c>
      <c r="AF63" s="31" t="s">
        <v>190</v>
      </c>
      <c r="AG63" s="30" t="s">
        <v>190</v>
      </c>
      <c r="AH63" s="31" t="s">
        <v>190</v>
      </c>
      <c r="AI63" s="34" t="s">
        <v>190</v>
      </c>
      <c r="AJ63" s="31" t="s">
        <v>190</v>
      </c>
      <c r="AK63" s="30" t="s">
        <v>190</v>
      </c>
      <c r="AL63" s="31" t="s">
        <v>190</v>
      </c>
      <c r="AM63" s="30" t="s">
        <v>190</v>
      </c>
      <c r="AN63" s="31" t="s">
        <v>190</v>
      </c>
      <c r="AO63" s="34" t="s">
        <v>190</v>
      </c>
      <c r="AP63" s="31" t="s">
        <v>190</v>
      </c>
      <c r="AQ63" s="30" t="s">
        <v>190</v>
      </c>
      <c r="AR63" s="31" t="s">
        <v>190</v>
      </c>
      <c r="AS63" s="34" t="s">
        <v>190</v>
      </c>
      <c r="AT63" s="31" t="s">
        <v>190</v>
      </c>
      <c r="AU63" s="30" t="s">
        <v>190</v>
      </c>
      <c r="AV63" s="31" t="s">
        <v>190</v>
      </c>
      <c r="AW63" s="34" t="s">
        <v>190</v>
      </c>
      <c r="AX63" s="31" t="s">
        <v>190</v>
      </c>
      <c r="AY63" s="30" t="s">
        <v>190</v>
      </c>
      <c r="AZ63" s="31" t="s">
        <v>190</v>
      </c>
      <c r="BA63" s="34" t="s">
        <v>190</v>
      </c>
      <c r="BB63" s="31" t="s">
        <v>190</v>
      </c>
      <c r="BC63" s="30" t="s">
        <v>190</v>
      </c>
      <c r="BD63" s="31" t="s">
        <v>190</v>
      </c>
      <c r="BE63" s="32" t="s">
        <v>190</v>
      </c>
      <c r="BF63" s="33" t="s">
        <v>190</v>
      </c>
      <c r="BG63" s="18" t="s">
        <v>84</v>
      </c>
      <c r="BH63" s="19"/>
    </row>
    <row r="64" spans="1:60" x14ac:dyDescent="0.3">
      <c r="A64" s="17" t="s">
        <v>85</v>
      </c>
      <c r="B64" s="46">
        <f>SUM(C64,E64,G64,I64,K64,M64,O64,Q64,S64,U64,W64,Y64,AA64,AC64,AE64,AG64,AI64,AK64,AM64,AO64,AQ64,AS64,AU64,AW64,AY64,BA64,BC64,BE64)</f>
        <v>1846</v>
      </c>
      <c r="C64" s="30">
        <v>36</v>
      </c>
      <c r="D64" s="31">
        <v>56.5</v>
      </c>
      <c r="E64" s="30">
        <v>63</v>
      </c>
      <c r="F64" s="31">
        <v>116.76300000000001</v>
      </c>
      <c r="G64" s="30">
        <v>39</v>
      </c>
      <c r="H64" s="31">
        <v>67.673000000000002</v>
      </c>
      <c r="I64" s="30">
        <v>124</v>
      </c>
      <c r="J64" s="31">
        <v>210.73500000000001</v>
      </c>
      <c r="K64" s="30">
        <v>15</v>
      </c>
      <c r="L64" s="31">
        <v>24.6</v>
      </c>
      <c r="M64" s="30">
        <v>11</v>
      </c>
      <c r="N64" s="31">
        <v>19.600000000000001</v>
      </c>
      <c r="O64" s="30">
        <v>67</v>
      </c>
      <c r="P64" s="31">
        <v>151.80699999999999</v>
      </c>
      <c r="Q64" s="30">
        <v>11</v>
      </c>
      <c r="R64" s="31">
        <v>19.963000000000001</v>
      </c>
      <c r="S64" s="30">
        <v>14</v>
      </c>
      <c r="T64" s="31">
        <v>20.512</v>
      </c>
      <c r="U64" s="30">
        <v>66</v>
      </c>
      <c r="V64" s="31">
        <v>120.755</v>
      </c>
      <c r="W64" s="30">
        <v>157</v>
      </c>
      <c r="X64" s="31">
        <v>210.15199999999999</v>
      </c>
      <c r="Y64" s="30">
        <v>20</v>
      </c>
      <c r="Z64" s="31">
        <v>24.774999999999999</v>
      </c>
      <c r="AA64" s="30">
        <v>10</v>
      </c>
      <c r="AB64" s="31">
        <v>20.245000000000001</v>
      </c>
      <c r="AC64" s="30">
        <v>211</v>
      </c>
      <c r="AD64" s="31">
        <v>397.26100000000002</v>
      </c>
      <c r="AE64" s="30">
        <v>41</v>
      </c>
      <c r="AF64" s="31">
        <v>108.43300000000001</v>
      </c>
      <c r="AG64" s="30">
        <v>187</v>
      </c>
      <c r="AH64" s="31">
        <v>238.68699999999998</v>
      </c>
      <c r="AI64" s="30">
        <v>11</v>
      </c>
      <c r="AJ64" s="31">
        <v>15.15</v>
      </c>
      <c r="AK64" s="30">
        <v>142</v>
      </c>
      <c r="AL64" s="31">
        <v>271.61099999999999</v>
      </c>
      <c r="AM64" s="30">
        <v>28</v>
      </c>
      <c r="AN64" s="31">
        <v>54.484000000000002</v>
      </c>
      <c r="AO64" s="30">
        <v>5</v>
      </c>
      <c r="AP64" s="31">
        <v>15</v>
      </c>
      <c r="AQ64" s="30">
        <v>107</v>
      </c>
      <c r="AR64" s="31">
        <v>191.143</v>
      </c>
      <c r="AS64" s="34">
        <v>3</v>
      </c>
      <c r="AT64" s="31">
        <v>7</v>
      </c>
      <c r="AU64" s="30">
        <v>105</v>
      </c>
      <c r="AV64" s="31">
        <v>187.059</v>
      </c>
      <c r="AW64" s="34">
        <v>7</v>
      </c>
      <c r="AX64" s="31">
        <v>6.5</v>
      </c>
      <c r="AY64" s="30">
        <v>66</v>
      </c>
      <c r="AZ64" s="31">
        <v>125.023</v>
      </c>
      <c r="BA64" s="34" t="s">
        <v>190</v>
      </c>
      <c r="BB64" s="31" t="s">
        <v>190</v>
      </c>
      <c r="BC64" s="30">
        <v>7</v>
      </c>
      <c r="BD64" s="31">
        <v>6.2</v>
      </c>
      <c r="BE64" s="32">
        <v>293</v>
      </c>
      <c r="BF64" s="33">
        <v>403.83299999999997</v>
      </c>
      <c r="BG64" s="18" t="s">
        <v>86</v>
      </c>
      <c r="BH64" s="19"/>
    </row>
    <row r="65" spans="1:60" x14ac:dyDescent="0.3">
      <c r="A65" s="17" t="s">
        <v>87</v>
      </c>
      <c r="B65" s="46">
        <f>SUM(C65,E65,G65,I65,K65,M65,O65,Q65,S65,U65,W65,Y65,AA65,AC65,AE65,AG65,AI65,AK65,AM65,AO65,AQ65,AS65,AU65,AW65,AY65,BA65,BC65,BE65)</f>
        <v>227</v>
      </c>
      <c r="C65" s="34" t="s">
        <v>190</v>
      </c>
      <c r="D65" s="31" t="s">
        <v>190</v>
      </c>
      <c r="E65" s="34" t="s">
        <v>190</v>
      </c>
      <c r="F65" s="31" t="s">
        <v>190</v>
      </c>
      <c r="G65" s="34" t="s">
        <v>190</v>
      </c>
      <c r="H65" s="31" t="s">
        <v>190</v>
      </c>
      <c r="I65" s="34" t="s">
        <v>190</v>
      </c>
      <c r="J65" s="31" t="s">
        <v>190</v>
      </c>
      <c r="K65" s="34" t="s">
        <v>190</v>
      </c>
      <c r="L65" s="31" t="s">
        <v>190</v>
      </c>
      <c r="M65" s="30">
        <v>5</v>
      </c>
      <c r="N65" s="31">
        <v>1.1499999999999999</v>
      </c>
      <c r="O65" s="30">
        <v>23</v>
      </c>
      <c r="P65" s="31">
        <v>3.67</v>
      </c>
      <c r="Q65" s="30">
        <v>4</v>
      </c>
      <c r="R65" s="31">
        <v>1.1499999999999999</v>
      </c>
      <c r="S65" s="30" t="s">
        <v>190</v>
      </c>
      <c r="T65" s="31" t="s">
        <v>190</v>
      </c>
      <c r="U65" s="30">
        <v>31</v>
      </c>
      <c r="V65" s="31">
        <v>10.11</v>
      </c>
      <c r="W65" s="34">
        <v>9</v>
      </c>
      <c r="X65" s="31">
        <v>1.8</v>
      </c>
      <c r="Y65" s="34" t="s">
        <v>190</v>
      </c>
      <c r="Z65" s="31" t="s">
        <v>190</v>
      </c>
      <c r="AA65" s="30" t="s">
        <v>190</v>
      </c>
      <c r="AB65" s="31" t="s">
        <v>190</v>
      </c>
      <c r="AC65" s="30">
        <v>84</v>
      </c>
      <c r="AD65" s="31">
        <v>103.75</v>
      </c>
      <c r="AE65" s="30">
        <v>6</v>
      </c>
      <c r="AF65" s="31">
        <v>7.5</v>
      </c>
      <c r="AG65" s="30">
        <v>7</v>
      </c>
      <c r="AH65" s="31">
        <v>2.65</v>
      </c>
      <c r="AI65" s="34" t="s">
        <v>190</v>
      </c>
      <c r="AJ65" s="31" t="s">
        <v>190</v>
      </c>
      <c r="AK65" s="30">
        <v>18</v>
      </c>
      <c r="AL65" s="31">
        <v>5.6</v>
      </c>
      <c r="AM65" s="30">
        <v>20</v>
      </c>
      <c r="AN65" s="31">
        <v>4.72</v>
      </c>
      <c r="AO65" s="34" t="s">
        <v>190</v>
      </c>
      <c r="AP65" s="31" t="s">
        <v>190</v>
      </c>
      <c r="AQ65" s="34">
        <v>7</v>
      </c>
      <c r="AR65" s="31">
        <v>1.9</v>
      </c>
      <c r="AS65" s="34">
        <v>1</v>
      </c>
      <c r="AT65" s="31">
        <v>1.5</v>
      </c>
      <c r="AU65" s="34">
        <v>8</v>
      </c>
      <c r="AV65" s="31">
        <v>1.75</v>
      </c>
      <c r="AW65" s="34" t="s">
        <v>190</v>
      </c>
      <c r="AX65" s="31" t="s">
        <v>190</v>
      </c>
      <c r="AY65" s="34" t="s">
        <v>190</v>
      </c>
      <c r="AZ65" s="31" t="s">
        <v>190</v>
      </c>
      <c r="BA65" s="34" t="s">
        <v>190</v>
      </c>
      <c r="BB65" s="31" t="s">
        <v>190</v>
      </c>
      <c r="BC65" s="30" t="s">
        <v>190</v>
      </c>
      <c r="BD65" s="31" t="s">
        <v>190</v>
      </c>
      <c r="BE65" s="32">
        <v>4</v>
      </c>
      <c r="BF65" s="33">
        <v>1.7000000000000002</v>
      </c>
      <c r="BG65" s="18" t="s">
        <v>88</v>
      </c>
      <c r="BH65" s="19"/>
    </row>
    <row r="66" spans="1:60" s="16" customFormat="1" x14ac:dyDescent="0.3">
      <c r="A66" s="79" t="s">
        <v>89</v>
      </c>
      <c r="B66" s="94">
        <f>SUM(B68:B70)</f>
        <v>68660</v>
      </c>
      <c r="C66" s="82">
        <f>SUM(C68:C70)</f>
        <v>1129</v>
      </c>
      <c r="D66" s="82">
        <f>SUM(D68:D70)</f>
        <v>1762.569</v>
      </c>
      <c r="E66" s="82">
        <f t="shared" ref="E66:P66" si="93">SUM(E68:E70)</f>
        <v>867</v>
      </c>
      <c r="F66" s="82">
        <f t="shared" si="93"/>
        <v>1630.3990000000001</v>
      </c>
      <c r="G66" s="82">
        <f t="shared" si="93"/>
        <v>828</v>
      </c>
      <c r="H66" s="82">
        <f t="shared" si="93"/>
        <v>1493.0930000000001</v>
      </c>
      <c r="I66" s="82">
        <f t="shared" si="93"/>
        <v>2778</v>
      </c>
      <c r="J66" s="82">
        <f t="shared" si="93"/>
        <v>2456.194</v>
      </c>
      <c r="K66" s="82">
        <f t="shared" si="93"/>
        <v>217</v>
      </c>
      <c r="L66" s="82">
        <f t="shared" si="93"/>
        <v>323.86500000000001</v>
      </c>
      <c r="M66" s="82">
        <f t="shared" ref="M66:N66" si="94">SUM(M68:M70)</f>
        <v>260</v>
      </c>
      <c r="N66" s="82">
        <f t="shared" si="94"/>
        <v>218.32300000000001</v>
      </c>
      <c r="O66" s="82">
        <f t="shared" si="93"/>
        <v>504</v>
      </c>
      <c r="P66" s="82">
        <f t="shared" si="93"/>
        <v>1103.2909999999999</v>
      </c>
      <c r="Q66" s="80">
        <f t="shared" ref="Q66:V66" si="95">SUM(Q68:Q70)</f>
        <v>216</v>
      </c>
      <c r="R66" s="81">
        <f t="shared" si="95"/>
        <v>125.547</v>
      </c>
      <c r="S66" s="81">
        <f t="shared" si="95"/>
        <v>267</v>
      </c>
      <c r="T66" s="81">
        <f t="shared" si="95"/>
        <v>115.96599999999999</v>
      </c>
      <c r="U66" s="81">
        <f t="shared" si="95"/>
        <v>2958</v>
      </c>
      <c r="V66" s="81">
        <f t="shared" si="95"/>
        <v>5082.82</v>
      </c>
      <c r="W66" s="81">
        <f>SUM(W68:W70)</f>
        <v>878</v>
      </c>
      <c r="X66" s="81">
        <f t="shared" ref="X66:AE66" si="96">SUM(X68:X70)</f>
        <v>932.10300000000007</v>
      </c>
      <c r="Y66" s="81">
        <f t="shared" si="96"/>
        <v>151</v>
      </c>
      <c r="Z66" s="81">
        <f t="shared" si="96"/>
        <v>244.13</v>
      </c>
      <c r="AA66" s="81">
        <f t="shared" si="96"/>
        <v>12072</v>
      </c>
      <c r="AB66" s="81">
        <f t="shared" si="96"/>
        <v>110489.1</v>
      </c>
      <c r="AC66" s="87">
        <f t="shared" si="96"/>
        <v>2065</v>
      </c>
      <c r="AD66" s="81">
        <f t="shared" si="96"/>
        <v>6427.634</v>
      </c>
      <c r="AE66" s="81">
        <f t="shared" si="96"/>
        <v>1261</v>
      </c>
      <c r="AF66" s="87">
        <f>SUM(AF68:AF70)</f>
        <v>6217.6989999999996</v>
      </c>
      <c r="AG66" s="87">
        <f t="shared" ref="AG66:AL66" si="97">SUM(AG68:AG70)</f>
        <v>6383</v>
      </c>
      <c r="AH66" s="87">
        <f t="shared" si="97"/>
        <v>10886.886</v>
      </c>
      <c r="AI66" s="87">
        <f t="shared" si="97"/>
        <v>189</v>
      </c>
      <c r="AJ66" s="87">
        <f t="shared" si="97"/>
        <v>120.456</v>
      </c>
      <c r="AK66" s="87">
        <f t="shared" si="97"/>
        <v>3925</v>
      </c>
      <c r="AL66" s="87">
        <f t="shared" si="97"/>
        <v>11678.156000000001</v>
      </c>
      <c r="AM66" s="81">
        <f t="shared" ref="AM66:BF66" si="98">SUM(AM68:AM70)</f>
        <v>166</v>
      </c>
      <c r="AN66" s="91">
        <f t="shared" si="98"/>
        <v>352.92399999999998</v>
      </c>
      <c r="AO66" s="81">
        <f t="shared" si="98"/>
        <v>338</v>
      </c>
      <c r="AP66" s="91">
        <f t="shared" si="98"/>
        <v>2028.6120000000001</v>
      </c>
      <c r="AQ66" s="81">
        <f t="shared" si="98"/>
        <v>716</v>
      </c>
      <c r="AR66" s="91">
        <f t="shared" si="98"/>
        <v>1786.625</v>
      </c>
      <c r="AS66" s="81">
        <f t="shared" si="98"/>
        <v>356</v>
      </c>
      <c r="AT66" s="87">
        <f t="shared" si="98"/>
        <v>1405.354</v>
      </c>
      <c r="AU66" s="81">
        <f t="shared" ref="AU66:AX66" si="99">SUM(AU68:AU70)</f>
        <v>2619</v>
      </c>
      <c r="AV66" s="91">
        <f t="shared" si="99"/>
        <v>6681.402</v>
      </c>
      <c r="AW66" s="81">
        <f t="shared" si="99"/>
        <v>418</v>
      </c>
      <c r="AX66" s="91">
        <f t="shared" si="99"/>
        <v>2298.462</v>
      </c>
      <c r="AY66" s="81">
        <f>SUM(AY68:AY70)</f>
        <v>163</v>
      </c>
      <c r="AZ66" s="81">
        <f>SUM(AZ68:AZ70)</f>
        <v>238.79600000000002</v>
      </c>
      <c r="BA66" s="81">
        <f t="shared" si="98"/>
        <v>1015</v>
      </c>
      <c r="BB66" s="91">
        <f t="shared" si="98"/>
        <v>429.7</v>
      </c>
      <c r="BC66" s="81">
        <f t="shared" si="98"/>
        <v>24151</v>
      </c>
      <c r="BD66" s="91">
        <f t="shared" si="98"/>
        <v>112811.637</v>
      </c>
      <c r="BE66" s="81">
        <f t="shared" si="98"/>
        <v>1770</v>
      </c>
      <c r="BF66" s="90">
        <f t="shared" si="98"/>
        <v>2092.4459999999999</v>
      </c>
      <c r="BG66" s="89" t="s">
        <v>90</v>
      </c>
      <c r="BH66" s="89"/>
    </row>
    <row r="67" spans="1:60" x14ac:dyDescent="0.3">
      <c r="A67" s="79"/>
      <c r="B67" s="94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0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7"/>
      <c r="AD67" s="81"/>
      <c r="AE67" s="81"/>
      <c r="AF67" s="87"/>
      <c r="AG67" s="87"/>
      <c r="AH67" s="87"/>
      <c r="AI67" s="87"/>
      <c r="AJ67" s="87"/>
      <c r="AK67" s="87"/>
      <c r="AL67" s="87"/>
      <c r="AM67" s="81"/>
      <c r="AN67" s="91"/>
      <c r="AO67" s="81"/>
      <c r="AP67" s="91"/>
      <c r="AQ67" s="81"/>
      <c r="AR67" s="91"/>
      <c r="AS67" s="81"/>
      <c r="AT67" s="87"/>
      <c r="AU67" s="81"/>
      <c r="AV67" s="91"/>
      <c r="AW67" s="81"/>
      <c r="AX67" s="91"/>
      <c r="AY67" s="81"/>
      <c r="AZ67" s="81"/>
      <c r="BA67" s="81"/>
      <c r="BB67" s="91"/>
      <c r="BC67" s="81"/>
      <c r="BD67" s="91"/>
      <c r="BE67" s="81"/>
      <c r="BF67" s="90"/>
      <c r="BG67" s="89"/>
      <c r="BH67" s="89"/>
    </row>
    <row r="68" spans="1:60" x14ac:dyDescent="0.3">
      <c r="A68" s="17" t="s">
        <v>91</v>
      </c>
      <c r="B68" s="46">
        <f>SUM(C68,E68,G68,I68,K68,M68,O68,Q68,S68,U68,W68,Y68,AA68,AC68,AE68,AG68,AI68,AK68,AM68,AO68,AQ68,AS68,AU68,AW68,AY68,BA68,BC68,BE68)</f>
        <v>18702</v>
      </c>
      <c r="C68" s="30">
        <v>327</v>
      </c>
      <c r="D68" s="31">
        <v>486.99</v>
      </c>
      <c r="E68" s="30">
        <v>152</v>
      </c>
      <c r="F68" s="31">
        <v>364.11099999999999</v>
      </c>
      <c r="G68" s="30">
        <v>140</v>
      </c>
      <c r="H68" s="31">
        <v>241.852</v>
      </c>
      <c r="I68" s="30">
        <v>176</v>
      </c>
      <c r="J68" s="31">
        <v>137.44</v>
      </c>
      <c r="K68" s="30">
        <v>108</v>
      </c>
      <c r="L68" s="31">
        <v>181.8</v>
      </c>
      <c r="M68" s="30">
        <v>44</v>
      </c>
      <c r="N68" s="31">
        <v>44.65</v>
      </c>
      <c r="O68" s="30">
        <v>74</v>
      </c>
      <c r="P68" s="31">
        <v>199.82499999999999</v>
      </c>
      <c r="Q68" s="30">
        <v>26</v>
      </c>
      <c r="R68" s="31">
        <v>22.38</v>
      </c>
      <c r="S68" s="30">
        <v>132</v>
      </c>
      <c r="T68" s="31">
        <v>73.3</v>
      </c>
      <c r="U68" s="30">
        <v>474</v>
      </c>
      <c r="V68" s="31">
        <v>720.5</v>
      </c>
      <c r="W68" s="30">
        <v>494</v>
      </c>
      <c r="X68" s="31">
        <v>519.03800000000001</v>
      </c>
      <c r="Y68" s="30">
        <v>28</v>
      </c>
      <c r="Z68" s="31">
        <v>45.3</v>
      </c>
      <c r="AA68" s="30">
        <v>427</v>
      </c>
      <c r="AB68" s="31">
        <v>571.29999999999995</v>
      </c>
      <c r="AC68" s="30">
        <v>569</v>
      </c>
      <c r="AD68" s="31">
        <v>2349.04</v>
      </c>
      <c r="AE68" s="30">
        <v>147</v>
      </c>
      <c r="AF68" s="31">
        <v>799</v>
      </c>
      <c r="AG68" s="30">
        <v>409</v>
      </c>
      <c r="AH68" s="31">
        <v>358.25099999999998</v>
      </c>
      <c r="AI68" s="30">
        <v>45</v>
      </c>
      <c r="AJ68" s="31">
        <v>25.8</v>
      </c>
      <c r="AK68" s="30">
        <v>384</v>
      </c>
      <c r="AL68" s="31">
        <v>893.8</v>
      </c>
      <c r="AM68" s="30">
        <v>79</v>
      </c>
      <c r="AN68" s="31">
        <v>195.75</v>
      </c>
      <c r="AO68" s="30">
        <v>63</v>
      </c>
      <c r="AP68" s="31">
        <v>436.75</v>
      </c>
      <c r="AQ68" s="30">
        <v>102</v>
      </c>
      <c r="AR68" s="31">
        <v>280.25</v>
      </c>
      <c r="AS68" s="30">
        <v>53</v>
      </c>
      <c r="AT68" s="31">
        <v>242</v>
      </c>
      <c r="AU68" s="30">
        <v>934</v>
      </c>
      <c r="AV68" s="31">
        <v>1915.4</v>
      </c>
      <c r="AW68" s="30">
        <v>66</v>
      </c>
      <c r="AX68" s="31">
        <v>259.64999999999998</v>
      </c>
      <c r="AY68" s="30">
        <v>93</v>
      </c>
      <c r="AZ68" s="31">
        <v>146.18</v>
      </c>
      <c r="BA68" s="30">
        <v>25</v>
      </c>
      <c r="BB68" s="31">
        <v>15.5</v>
      </c>
      <c r="BC68" s="30">
        <v>12532</v>
      </c>
      <c r="BD68" s="31">
        <v>55946.567000000003</v>
      </c>
      <c r="BE68" s="32">
        <v>599</v>
      </c>
      <c r="BF68" s="33">
        <v>590.53499999999997</v>
      </c>
      <c r="BG68" s="18" t="s">
        <v>92</v>
      </c>
      <c r="BH68" s="19"/>
    </row>
    <row r="69" spans="1:60" x14ac:dyDescent="0.3">
      <c r="A69" s="17" t="s">
        <v>93</v>
      </c>
      <c r="B69" s="46">
        <f>SUM(C69,E69,G69,I69,K69,M69,O69,Q69,S69,U69,W69,Y69,AA69,AC69,AE69,AG69,AI69,AK69,AM69,AO69,AQ69,AS69,AU69,AW69,AY69,BA69,BC69,BE69)</f>
        <v>8267</v>
      </c>
      <c r="C69" s="30">
        <v>159</v>
      </c>
      <c r="D69" s="31">
        <v>149.679</v>
      </c>
      <c r="E69" s="30">
        <v>361</v>
      </c>
      <c r="F69" s="31">
        <v>374.46300000000002</v>
      </c>
      <c r="G69" s="30">
        <v>137</v>
      </c>
      <c r="H69" s="31">
        <v>127.70399999999999</v>
      </c>
      <c r="I69" s="30">
        <v>1953</v>
      </c>
      <c r="J69" s="31">
        <v>1575.9739999999999</v>
      </c>
      <c r="K69" s="30">
        <v>66</v>
      </c>
      <c r="L69" s="31">
        <v>35.814999999999998</v>
      </c>
      <c r="M69" s="30">
        <v>139</v>
      </c>
      <c r="N69" s="31">
        <v>83.423000000000002</v>
      </c>
      <c r="O69" s="30">
        <v>246</v>
      </c>
      <c r="P69" s="31">
        <v>152.46600000000001</v>
      </c>
      <c r="Q69" s="30">
        <v>143</v>
      </c>
      <c r="R69" s="31">
        <v>63.807000000000002</v>
      </c>
      <c r="S69" s="30">
        <v>96</v>
      </c>
      <c r="T69" s="31">
        <v>29.306000000000001</v>
      </c>
      <c r="U69" s="30">
        <v>500</v>
      </c>
      <c r="V69" s="31">
        <v>427.06700000000001</v>
      </c>
      <c r="W69" s="30">
        <v>93</v>
      </c>
      <c r="X69" s="31">
        <v>105.465</v>
      </c>
      <c r="Y69" s="30">
        <v>29</v>
      </c>
      <c r="Z69" s="31">
        <v>25.33</v>
      </c>
      <c r="AA69" s="30">
        <v>11</v>
      </c>
      <c r="AB69" s="31">
        <v>13.2</v>
      </c>
      <c r="AC69" s="30">
        <v>931</v>
      </c>
      <c r="AD69" s="31">
        <v>1118.394</v>
      </c>
      <c r="AE69" s="30">
        <v>453</v>
      </c>
      <c r="AF69" s="31">
        <v>816.49900000000002</v>
      </c>
      <c r="AG69" s="30">
        <v>407</v>
      </c>
      <c r="AH69" s="31">
        <v>350.88500000000005</v>
      </c>
      <c r="AI69" s="30">
        <v>54</v>
      </c>
      <c r="AJ69" s="31">
        <v>31.606000000000002</v>
      </c>
      <c r="AK69" s="30">
        <v>479</v>
      </c>
      <c r="AL69" s="31">
        <v>377.75599999999997</v>
      </c>
      <c r="AM69" s="30">
        <v>40</v>
      </c>
      <c r="AN69" s="31">
        <v>42.183</v>
      </c>
      <c r="AO69" s="30">
        <v>97</v>
      </c>
      <c r="AP69" s="31">
        <v>147.86199999999999</v>
      </c>
      <c r="AQ69" s="30">
        <v>249</v>
      </c>
      <c r="AR69" s="31">
        <v>225.875</v>
      </c>
      <c r="AS69" s="30">
        <v>80</v>
      </c>
      <c r="AT69" s="31">
        <v>58.353999999999999</v>
      </c>
      <c r="AU69" s="30">
        <v>115</v>
      </c>
      <c r="AV69" s="31">
        <v>82.971999999999994</v>
      </c>
      <c r="AW69" s="30">
        <v>77</v>
      </c>
      <c r="AX69" s="31">
        <v>126.312</v>
      </c>
      <c r="AY69" s="30">
        <v>5</v>
      </c>
      <c r="AZ69" s="31">
        <v>5.3</v>
      </c>
      <c r="BA69" s="30">
        <v>748</v>
      </c>
      <c r="BB69" s="31">
        <v>293.2</v>
      </c>
      <c r="BC69" s="30">
        <v>121</v>
      </c>
      <c r="BD69" s="31">
        <v>259.96999999999997</v>
      </c>
      <c r="BE69" s="32">
        <v>478</v>
      </c>
      <c r="BF69" s="33">
        <v>415.87099999999998</v>
      </c>
      <c r="BG69" s="18" t="s">
        <v>94</v>
      </c>
      <c r="BH69" s="19"/>
    </row>
    <row r="70" spans="1:60" x14ac:dyDescent="0.3">
      <c r="A70" s="17" t="s">
        <v>95</v>
      </c>
      <c r="B70" s="46">
        <f>SUM(C70,E70,G70,I70,K70,M70,O70,Q70,S70,U70,W70,Y70,AA70,AC70,AE70,AG70,AI70,AK70,AM70,AO70,AQ70,AS70,AU70,AW70,AY70,BA70,BC70,BE70)</f>
        <v>41691</v>
      </c>
      <c r="C70" s="30">
        <v>643</v>
      </c>
      <c r="D70" s="31">
        <v>1125.9000000000001</v>
      </c>
      <c r="E70" s="30">
        <v>354</v>
      </c>
      <c r="F70" s="31">
        <v>891.82500000000005</v>
      </c>
      <c r="G70" s="30">
        <v>551</v>
      </c>
      <c r="H70" s="31">
        <v>1123.537</v>
      </c>
      <c r="I70" s="30">
        <v>649</v>
      </c>
      <c r="J70" s="31">
        <v>742.78</v>
      </c>
      <c r="K70" s="30">
        <v>43</v>
      </c>
      <c r="L70" s="31">
        <v>106.25</v>
      </c>
      <c r="M70" s="30">
        <v>77</v>
      </c>
      <c r="N70" s="31">
        <v>90.25</v>
      </c>
      <c r="O70" s="30">
        <v>184</v>
      </c>
      <c r="P70" s="31">
        <v>751</v>
      </c>
      <c r="Q70" s="30">
        <v>47</v>
      </c>
      <c r="R70" s="31">
        <v>39.36</v>
      </c>
      <c r="S70" s="30">
        <v>39</v>
      </c>
      <c r="T70" s="31">
        <v>13.36</v>
      </c>
      <c r="U70" s="30">
        <v>1984</v>
      </c>
      <c r="V70" s="31">
        <v>3935.2529999999997</v>
      </c>
      <c r="W70" s="30">
        <v>291</v>
      </c>
      <c r="X70" s="31">
        <v>307.60000000000002</v>
      </c>
      <c r="Y70" s="30">
        <v>94</v>
      </c>
      <c r="Z70" s="31">
        <v>173.5</v>
      </c>
      <c r="AA70" s="30">
        <v>11634</v>
      </c>
      <c r="AB70" s="31">
        <v>109904.6</v>
      </c>
      <c r="AC70" s="30">
        <v>565</v>
      </c>
      <c r="AD70" s="31">
        <v>2960.2</v>
      </c>
      <c r="AE70" s="30">
        <v>661</v>
      </c>
      <c r="AF70" s="31">
        <v>4602.2</v>
      </c>
      <c r="AG70" s="30">
        <v>5567</v>
      </c>
      <c r="AH70" s="31">
        <v>10177.75</v>
      </c>
      <c r="AI70" s="30">
        <v>90</v>
      </c>
      <c r="AJ70" s="31">
        <v>63.05</v>
      </c>
      <c r="AK70" s="30">
        <v>3062</v>
      </c>
      <c r="AL70" s="31">
        <v>10406.6</v>
      </c>
      <c r="AM70" s="30">
        <v>47</v>
      </c>
      <c r="AN70" s="31">
        <v>114.991</v>
      </c>
      <c r="AO70" s="30">
        <v>178</v>
      </c>
      <c r="AP70" s="31">
        <v>1444</v>
      </c>
      <c r="AQ70" s="30">
        <v>365</v>
      </c>
      <c r="AR70" s="31">
        <v>1280.5</v>
      </c>
      <c r="AS70" s="30">
        <v>223</v>
      </c>
      <c r="AT70" s="31">
        <v>1105</v>
      </c>
      <c r="AU70" s="30">
        <v>1570</v>
      </c>
      <c r="AV70" s="31">
        <v>4683.03</v>
      </c>
      <c r="AW70" s="30">
        <v>275</v>
      </c>
      <c r="AX70" s="31">
        <v>1912.5</v>
      </c>
      <c r="AY70" s="30">
        <v>65</v>
      </c>
      <c r="AZ70" s="31">
        <v>87.316000000000003</v>
      </c>
      <c r="BA70" s="30">
        <v>242</v>
      </c>
      <c r="BB70" s="31">
        <v>121</v>
      </c>
      <c r="BC70" s="30">
        <v>11498</v>
      </c>
      <c r="BD70" s="31">
        <v>56605.1</v>
      </c>
      <c r="BE70" s="32">
        <v>693</v>
      </c>
      <c r="BF70" s="33">
        <v>1086.04</v>
      </c>
      <c r="BG70" s="18" t="s">
        <v>96</v>
      </c>
      <c r="BH70" s="19"/>
    </row>
    <row r="71" spans="1:60" s="16" customFormat="1" x14ac:dyDescent="0.3">
      <c r="A71" s="79" t="s">
        <v>97</v>
      </c>
      <c r="B71" s="94">
        <f>SUM(B73:B77)</f>
        <v>38543</v>
      </c>
      <c r="C71" s="82">
        <f>SUM(C73:C77)</f>
        <v>1913</v>
      </c>
      <c r="D71" s="82">
        <f>SUM(D73:D77)</f>
        <v>3443.3530000000001</v>
      </c>
      <c r="E71" s="82">
        <f>SUM(E73:E77)</f>
        <v>1566</v>
      </c>
      <c r="F71" s="82">
        <f t="shared" ref="F71:P71" si="100">SUM(F73:F77)</f>
        <v>3559.1970000000001</v>
      </c>
      <c r="G71" s="82">
        <f t="shared" si="100"/>
        <v>1678</v>
      </c>
      <c r="H71" s="82">
        <f t="shared" si="100"/>
        <v>3277.3179999999998</v>
      </c>
      <c r="I71" s="82">
        <f t="shared" si="100"/>
        <v>2059</v>
      </c>
      <c r="J71" s="82">
        <f t="shared" si="100"/>
        <v>3161.2540000000004</v>
      </c>
      <c r="K71" s="82">
        <f t="shared" si="100"/>
        <v>246</v>
      </c>
      <c r="L71" s="82">
        <f t="shared" si="100"/>
        <v>399.45699999999999</v>
      </c>
      <c r="M71" s="82">
        <f t="shared" ref="M71:N71" si="101">SUM(M73:M77)</f>
        <v>473</v>
      </c>
      <c r="N71" s="82">
        <f t="shared" si="101"/>
        <v>834.34400000000005</v>
      </c>
      <c r="O71" s="82">
        <f t="shared" si="100"/>
        <v>1819</v>
      </c>
      <c r="P71" s="82">
        <f t="shared" si="100"/>
        <v>4596.3230000000003</v>
      </c>
      <c r="Q71" s="80">
        <f t="shared" ref="Q71:V71" si="102">SUM(Q73:Q77)</f>
        <v>237</v>
      </c>
      <c r="R71" s="81">
        <f t="shared" si="102"/>
        <v>308.01</v>
      </c>
      <c r="S71" s="81">
        <f t="shared" si="102"/>
        <v>344</v>
      </c>
      <c r="T71" s="81">
        <f t="shared" si="102"/>
        <v>331.19900000000007</v>
      </c>
      <c r="U71" s="81">
        <f t="shared" si="102"/>
        <v>4212</v>
      </c>
      <c r="V71" s="81">
        <f t="shared" si="102"/>
        <v>6618.773000000001</v>
      </c>
      <c r="W71" s="81">
        <f>SUM(W73:W77)</f>
        <v>1390</v>
      </c>
      <c r="X71" s="81">
        <f t="shared" ref="X71:AD71" si="103">SUM(X73:X77)</f>
        <v>1717.7270000000001</v>
      </c>
      <c r="Y71" s="81">
        <f t="shared" si="103"/>
        <v>227</v>
      </c>
      <c r="Z71" s="81">
        <f t="shared" si="103"/>
        <v>479.92699999999996</v>
      </c>
      <c r="AA71" s="81">
        <f t="shared" si="103"/>
        <v>143</v>
      </c>
      <c r="AB71" s="81">
        <f t="shared" si="103"/>
        <v>429.33199999999999</v>
      </c>
      <c r="AC71" s="87">
        <f t="shared" si="103"/>
        <v>5393</v>
      </c>
      <c r="AD71" s="81">
        <f t="shared" si="103"/>
        <v>19542.052</v>
      </c>
      <c r="AE71" s="81">
        <f>SUM(AE73:AE77)</f>
        <v>3303</v>
      </c>
      <c r="AF71" s="87">
        <f t="shared" ref="AF71:BF71" si="104">SUM(AF73:AF77)</f>
        <v>38356.014000000003</v>
      </c>
      <c r="AG71" s="87">
        <f t="shared" ref="AG71:AL71" si="105">SUM(AG73:AG77)</f>
        <v>1655</v>
      </c>
      <c r="AH71" s="87">
        <f t="shared" si="105"/>
        <v>2589.4709999999995</v>
      </c>
      <c r="AI71" s="87">
        <f t="shared" si="105"/>
        <v>243</v>
      </c>
      <c r="AJ71" s="87">
        <f t="shared" si="105"/>
        <v>303.67099999999999</v>
      </c>
      <c r="AK71" s="87">
        <f t="shared" si="105"/>
        <v>2236</v>
      </c>
      <c r="AL71" s="87">
        <f t="shared" si="105"/>
        <v>5449.6140000000005</v>
      </c>
      <c r="AM71" s="81">
        <f t="shared" si="104"/>
        <v>642</v>
      </c>
      <c r="AN71" s="91">
        <f t="shared" si="104"/>
        <v>1475.375</v>
      </c>
      <c r="AO71" s="81">
        <f t="shared" si="104"/>
        <v>2287</v>
      </c>
      <c r="AP71" s="91">
        <f t="shared" si="104"/>
        <v>44141</v>
      </c>
      <c r="AQ71" s="81">
        <f t="shared" si="104"/>
        <v>981</v>
      </c>
      <c r="AR71" s="91">
        <f t="shared" si="104"/>
        <v>2810.5640000000003</v>
      </c>
      <c r="AS71" s="81">
        <f t="shared" si="104"/>
        <v>333</v>
      </c>
      <c r="AT71" s="87">
        <f t="shared" si="104"/>
        <v>2200.444</v>
      </c>
      <c r="AU71" s="81">
        <f t="shared" ref="AU71:AX71" si="106">SUM(AU73:AU77)</f>
        <v>1017</v>
      </c>
      <c r="AV71" s="91">
        <f t="shared" si="106"/>
        <v>2040.2460000000001</v>
      </c>
      <c r="AW71" s="81">
        <f t="shared" si="106"/>
        <v>571</v>
      </c>
      <c r="AX71" s="91">
        <f t="shared" si="106"/>
        <v>4470.09</v>
      </c>
      <c r="AY71" s="81">
        <f>SUM(AY73:AY77)</f>
        <v>1161</v>
      </c>
      <c r="AZ71" s="81">
        <f>SUM(AZ73:AZ77)</f>
        <v>2241.7539999999999</v>
      </c>
      <c r="BA71" s="81">
        <f t="shared" si="104"/>
        <v>6</v>
      </c>
      <c r="BB71" s="91">
        <f t="shared" si="104"/>
        <v>4.2</v>
      </c>
      <c r="BC71" s="81">
        <f t="shared" si="104"/>
        <v>81</v>
      </c>
      <c r="BD71" s="91">
        <f t="shared" si="104"/>
        <v>141.07</v>
      </c>
      <c r="BE71" s="81">
        <f t="shared" si="104"/>
        <v>2327</v>
      </c>
      <c r="BF71" s="90">
        <f t="shared" si="104"/>
        <v>3354.9840000000004</v>
      </c>
      <c r="BG71" s="89" t="s">
        <v>98</v>
      </c>
      <c r="BH71" s="89"/>
    </row>
    <row r="72" spans="1:60" x14ac:dyDescent="0.3">
      <c r="A72" s="79"/>
      <c r="B72" s="94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0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7"/>
      <c r="AD72" s="81"/>
      <c r="AE72" s="81"/>
      <c r="AF72" s="87"/>
      <c r="AG72" s="87"/>
      <c r="AH72" s="87"/>
      <c r="AI72" s="87"/>
      <c r="AJ72" s="87"/>
      <c r="AK72" s="87"/>
      <c r="AL72" s="87"/>
      <c r="AM72" s="81"/>
      <c r="AN72" s="91"/>
      <c r="AO72" s="81"/>
      <c r="AP72" s="91"/>
      <c r="AQ72" s="81"/>
      <c r="AR72" s="91"/>
      <c r="AS72" s="81"/>
      <c r="AT72" s="87"/>
      <c r="AU72" s="81"/>
      <c r="AV72" s="91"/>
      <c r="AW72" s="81"/>
      <c r="AX72" s="91"/>
      <c r="AY72" s="81"/>
      <c r="AZ72" s="81"/>
      <c r="BA72" s="81"/>
      <c r="BB72" s="91"/>
      <c r="BC72" s="81"/>
      <c r="BD72" s="91"/>
      <c r="BE72" s="81"/>
      <c r="BF72" s="90"/>
      <c r="BG72" s="89"/>
      <c r="BH72" s="89"/>
    </row>
    <row r="73" spans="1:60" x14ac:dyDescent="0.3">
      <c r="A73" s="17" t="s">
        <v>99</v>
      </c>
      <c r="B73" s="46">
        <f>SUM(C73,E73,G73,I73,K73,M73,O73,Q73,S73,U73,W73,Y73,AA73,AC73,AE73,AG73,AI73,AK73,AM73,AO73,AQ73,AS73,AU73,AW73,AY73,BA73,BC73,BE73)</f>
        <v>8086</v>
      </c>
      <c r="C73" s="30">
        <v>837</v>
      </c>
      <c r="D73" s="31">
        <v>1509.55</v>
      </c>
      <c r="E73" s="30">
        <v>491</v>
      </c>
      <c r="F73" s="31">
        <v>1069.2</v>
      </c>
      <c r="G73" s="30">
        <v>845</v>
      </c>
      <c r="H73" s="31">
        <v>1555.15</v>
      </c>
      <c r="I73" s="30">
        <v>268</v>
      </c>
      <c r="J73" s="31">
        <v>238.9</v>
      </c>
      <c r="K73" s="30">
        <v>46</v>
      </c>
      <c r="L73" s="31">
        <v>74.8</v>
      </c>
      <c r="M73" s="30">
        <v>43</v>
      </c>
      <c r="N73" s="31">
        <v>54.8</v>
      </c>
      <c r="O73" s="30">
        <v>147</v>
      </c>
      <c r="P73" s="31">
        <v>419.35</v>
      </c>
      <c r="Q73" s="30">
        <v>119</v>
      </c>
      <c r="R73" s="31">
        <v>158.80000000000001</v>
      </c>
      <c r="S73" s="30">
        <v>15</v>
      </c>
      <c r="T73" s="31">
        <v>8.6210000000000004</v>
      </c>
      <c r="U73" s="30">
        <v>1762</v>
      </c>
      <c r="V73" s="31">
        <v>1947.6499999999999</v>
      </c>
      <c r="W73" s="30">
        <v>229</v>
      </c>
      <c r="X73" s="31">
        <v>329.7</v>
      </c>
      <c r="Y73" s="30">
        <v>49</v>
      </c>
      <c r="Z73" s="31">
        <v>153.6</v>
      </c>
      <c r="AA73" s="30">
        <v>102</v>
      </c>
      <c r="AB73" s="31">
        <v>225</v>
      </c>
      <c r="AC73" s="30">
        <v>1285</v>
      </c>
      <c r="AD73" s="31">
        <v>3579.201</v>
      </c>
      <c r="AE73" s="30">
        <v>286</v>
      </c>
      <c r="AF73" s="31">
        <v>2009.7</v>
      </c>
      <c r="AG73" s="30">
        <v>321</v>
      </c>
      <c r="AH73" s="31">
        <v>312.39999999999998</v>
      </c>
      <c r="AI73" s="30">
        <v>15</v>
      </c>
      <c r="AJ73" s="31">
        <v>12.65</v>
      </c>
      <c r="AK73" s="30">
        <v>337</v>
      </c>
      <c r="AL73" s="31">
        <v>683.3</v>
      </c>
      <c r="AM73" s="30">
        <v>82</v>
      </c>
      <c r="AN73" s="31">
        <v>138.15</v>
      </c>
      <c r="AO73" s="30">
        <v>103</v>
      </c>
      <c r="AP73" s="31">
        <v>1021.8</v>
      </c>
      <c r="AQ73" s="30">
        <v>161</v>
      </c>
      <c r="AR73" s="31">
        <v>502.1</v>
      </c>
      <c r="AS73" s="30">
        <v>51</v>
      </c>
      <c r="AT73" s="31">
        <v>190.5</v>
      </c>
      <c r="AU73" s="30">
        <v>130</v>
      </c>
      <c r="AV73" s="31">
        <v>276.95</v>
      </c>
      <c r="AW73" s="30">
        <v>26</v>
      </c>
      <c r="AX73" s="31">
        <v>76.2</v>
      </c>
      <c r="AY73" s="30">
        <v>1</v>
      </c>
      <c r="AZ73" s="31">
        <v>1.2</v>
      </c>
      <c r="BA73" s="34" t="s">
        <v>190</v>
      </c>
      <c r="BB73" s="31" t="s">
        <v>190</v>
      </c>
      <c r="BC73" s="30">
        <v>7</v>
      </c>
      <c r="BD73" s="31">
        <v>12.5</v>
      </c>
      <c r="BE73" s="32">
        <v>328</v>
      </c>
      <c r="BF73" s="33">
        <v>505.30699999999996</v>
      </c>
      <c r="BG73" s="18" t="s">
        <v>100</v>
      </c>
      <c r="BH73" s="19"/>
    </row>
    <row r="74" spans="1:60" x14ac:dyDescent="0.3">
      <c r="A74" s="17" t="s">
        <v>101</v>
      </c>
      <c r="B74" s="46">
        <f>SUM(C74,E74,G74,I74,K74,M74,O74,Q74,S74,U74,W74,Y74,AA74,AC74,AE74,AG74,AI74,AK74,AM74,AO74,AQ74,AS74,AU74,AW74,AY74,BA74,BC74,BE74)</f>
        <v>9265</v>
      </c>
      <c r="C74" s="30">
        <v>584</v>
      </c>
      <c r="D74" s="31">
        <v>1170.57</v>
      </c>
      <c r="E74" s="30">
        <v>712</v>
      </c>
      <c r="F74" s="31">
        <v>1624.36</v>
      </c>
      <c r="G74" s="30">
        <v>515</v>
      </c>
      <c r="H74" s="31">
        <v>1156.25</v>
      </c>
      <c r="I74" s="30">
        <v>440</v>
      </c>
      <c r="J74" s="31">
        <v>770.84900000000005</v>
      </c>
      <c r="K74" s="30">
        <v>101</v>
      </c>
      <c r="L74" s="31">
        <v>169.45</v>
      </c>
      <c r="M74" s="30">
        <v>76</v>
      </c>
      <c r="N74" s="31">
        <v>102.51</v>
      </c>
      <c r="O74" s="30">
        <v>51</v>
      </c>
      <c r="P74" s="31">
        <v>48.95</v>
      </c>
      <c r="Q74" s="30">
        <v>16</v>
      </c>
      <c r="R74" s="31">
        <v>14.65</v>
      </c>
      <c r="S74" s="30">
        <v>68</v>
      </c>
      <c r="T74" s="31">
        <v>95.76</v>
      </c>
      <c r="U74" s="30">
        <v>1768</v>
      </c>
      <c r="V74" s="31">
        <v>3536.97</v>
      </c>
      <c r="W74" s="30">
        <v>467</v>
      </c>
      <c r="X74" s="31">
        <v>579.88800000000003</v>
      </c>
      <c r="Y74" s="30">
        <v>61</v>
      </c>
      <c r="Z74" s="31">
        <v>94.55</v>
      </c>
      <c r="AA74" s="34">
        <v>5</v>
      </c>
      <c r="AB74" s="31">
        <v>13</v>
      </c>
      <c r="AC74" s="30">
        <v>522</v>
      </c>
      <c r="AD74" s="31">
        <v>1524.58</v>
      </c>
      <c r="AE74" s="30">
        <v>295</v>
      </c>
      <c r="AF74" s="31">
        <v>1511.65</v>
      </c>
      <c r="AG74" s="30">
        <v>412</v>
      </c>
      <c r="AH74" s="31">
        <v>673.66</v>
      </c>
      <c r="AI74" s="30">
        <v>142</v>
      </c>
      <c r="AJ74" s="31">
        <v>204.501</v>
      </c>
      <c r="AK74" s="30">
        <v>589</v>
      </c>
      <c r="AL74" s="31">
        <v>1579.42</v>
      </c>
      <c r="AM74" s="30">
        <v>262</v>
      </c>
      <c r="AN74" s="31">
        <v>494.49</v>
      </c>
      <c r="AO74" s="30">
        <v>94</v>
      </c>
      <c r="AP74" s="31">
        <v>290.3</v>
      </c>
      <c r="AQ74" s="30">
        <v>310</v>
      </c>
      <c r="AR74" s="31">
        <v>771.46500000000003</v>
      </c>
      <c r="AS74" s="30">
        <v>18</v>
      </c>
      <c r="AT74" s="31">
        <v>74.2</v>
      </c>
      <c r="AU74" s="30">
        <v>191</v>
      </c>
      <c r="AV74" s="31">
        <v>370.18</v>
      </c>
      <c r="AW74" s="30">
        <v>35</v>
      </c>
      <c r="AX74" s="31">
        <v>110.7</v>
      </c>
      <c r="AY74" s="30">
        <v>908</v>
      </c>
      <c r="AZ74" s="31">
        <v>1956.174</v>
      </c>
      <c r="BA74" s="34">
        <v>3</v>
      </c>
      <c r="BB74" s="31">
        <v>2.2000000000000002</v>
      </c>
      <c r="BC74" s="30">
        <v>25</v>
      </c>
      <c r="BD74" s="31">
        <v>35.870000000000005</v>
      </c>
      <c r="BE74" s="32">
        <v>595</v>
      </c>
      <c r="BF74" s="33">
        <v>876.92100000000005</v>
      </c>
      <c r="BG74" s="18" t="s">
        <v>102</v>
      </c>
      <c r="BH74" s="19"/>
    </row>
    <row r="75" spans="1:60" x14ac:dyDescent="0.3">
      <c r="A75" s="17" t="s">
        <v>103</v>
      </c>
      <c r="B75" s="46">
        <f>SUM(C75,E75,G75,I75,K75,M75,O75,Q75,S75,U75,W75,Y75,AA75,AC75,AE75,AG75,AI75,AK75,AM75,AO75,AQ75,AS75,AU75,AW75,AY75,BA75,BC75,BE75)</f>
        <v>9518</v>
      </c>
      <c r="C75" s="30">
        <v>326</v>
      </c>
      <c r="D75" s="31">
        <v>407.3</v>
      </c>
      <c r="E75" s="30">
        <v>218</v>
      </c>
      <c r="F75" s="31">
        <v>462.89</v>
      </c>
      <c r="G75" s="30">
        <v>178</v>
      </c>
      <c r="H75" s="31">
        <v>266.85000000000002</v>
      </c>
      <c r="I75" s="30">
        <v>1190</v>
      </c>
      <c r="J75" s="31">
        <v>1870.4</v>
      </c>
      <c r="K75" s="30">
        <v>70</v>
      </c>
      <c r="L75" s="31">
        <v>96</v>
      </c>
      <c r="M75" s="30">
        <v>182</v>
      </c>
      <c r="N75" s="31">
        <v>386.05</v>
      </c>
      <c r="O75" s="30">
        <v>102</v>
      </c>
      <c r="P75" s="31">
        <v>217.6</v>
      </c>
      <c r="Q75" s="30">
        <v>14</v>
      </c>
      <c r="R75" s="31">
        <v>10.199999999999999</v>
      </c>
      <c r="S75" s="30">
        <v>52</v>
      </c>
      <c r="T75" s="31">
        <v>39.83</v>
      </c>
      <c r="U75" s="30">
        <v>428</v>
      </c>
      <c r="V75" s="31">
        <v>629.85</v>
      </c>
      <c r="W75" s="30">
        <v>460</v>
      </c>
      <c r="X75" s="31">
        <v>378.3</v>
      </c>
      <c r="Y75" s="30">
        <v>73</v>
      </c>
      <c r="Z75" s="31">
        <v>133.05000000000001</v>
      </c>
      <c r="AA75" s="34">
        <v>30</v>
      </c>
      <c r="AB75" s="31">
        <v>177</v>
      </c>
      <c r="AC75" s="30">
        <v>3029</v>
      </c>
      <c r="AD75" s="31">
        <v>12375</v>
      </c>
      <c r="AE75" s="30">
        <v>121</v>
      </c>
      <c r="AF75" s="31">
        <v>906</v>
      </c>
      <c r="AG75" s="30">
        <v>399</v>
      </c>
      <c r="AH75" s="31">
        <v>559.37</v>
      </c>
      <c r="AI75" s="30">
        <v>22</v>
      </c>
      <c r="AJ75" s="31">
        <v>22.2</v>
      </c>
      <c r="AK75" s="30">
        <v>871</v>
      </c>
      <c r="AL75" s="31">
        <v>1674.35</v>
      </c>
      <c r="AM75" s="30">
        <v>207</v>
      </c>
      <c r="AN75" s="31">
        <v>598.54999999999995</v>
      </c>
      <c r="AO75" s="30">
        <v>30</v>
      </c>
      <c r="AP75" s="31">
        <v>179.8</v>
      </c>
      <c r="AQ75" s="30">
        <v>182</v>
      </c>
      <c r="AR75" s="31">
        <v>245.429</v>
      </c>
      <c r="AS75" s="30">
        <v>7</v>
      </c>
      <c r="AT75" s="31">
        <v>18</v>
      </c>
      <c r="AU75" s="30">
        <v>439</v>
      </c>
      <c r="AV75" s="31">
        <v>777.65</v>
      </c>
      <c r="AW75" s="30">
        <v>3</v>
      </c>
      <c r="AX75" s="31">
        <v>12.4</v>
      </c>
      <c r="AY75" s="30">
        <v>37</v>
      </c>
      <c r="AZ75" s="31">
        <v>41.25</v>
      </c>
      <c r="BA75" s="34">
        <v>1</v>
      </c>
      <c r="BB75" s="31">
        <v>0.95</v>
      </c>
      <c r="BC75" s="30">
        <v>37</v>
      </c>
      <c r="BD75" s="31">
        <v>69.8</v>
      </c>
      <c r="BE75" s="32">
        <v>810</v>
      </c>
      <c r="BF75" s="33">
        <v>1082.8880000000001</v>
      </c>
      <c r="BG75" s="18" t="s">
        <v>104</v>
      </c>
      <c r="BH75" s="19"/>
    </row>
    <row r="76" spans="1:60" x14ac:dyDescent="0.3">
      <c r="A76" s="17" t="s">
        <v>105</v>
      </c>
      <c r="B76" s="46">
        <f>SUM(C76,E76,G76,I76,K76,M76,O76,Q76,S76,U76,W76,Y76,AA76,AC76,AE76,AG76,AI76,AK76,AM76,AO76,AQ76,AS76,AU76,AW76,AY76,BA76,BC76,BE76)</f>
        <v>3562</v>
      </c>
      <c r="C76" s="30">
        <v>84</v>
      </c>
      <c r="D76" s="31">
        <v>196.59399999999999</v>
      </c>
      <c r="E76" s="30">
        <v>38</v>
      </c>
      <c r="F76" s="31">
        <v>117.4</v>
      </c>
      <c r="G76" s="30">
        <v>55</v>
      </c>
      <c r="H76" s="31">
        <v>130.94999999999999</v>
      </c>
      <c r="I76" s="30">
        <v>71</v>
      </c>
      <c r="J76" s="31">
        <v>135.35</v>
      </c>
      <c r="K76" s="30">
        <v>15</v>
      </c>
      <c r="L76" s="31">
        <v>30.56</v>
      </c>
      <c r="M76" s="30">
        <v>101</v>
      </c>
      <c r="N76" s="31">
        <v>191.1</v>
      </c>
      <c r="O76" s="30">
        <v>1467</v>
      </c>
      <c r="P76" s="31">
        <v>3833.43</v>
      </c>
      <c r="Q76" s="30">
        <v>85</v>
      </c>
      <c r="R76" s="31">
        <v>121.65</v>
      </c>
      <c r="S76" s="30">
        <v>111</v>
      </c>
      <c r="T76" s="31">
        <v>138.95000000000002</v>
      </c>
      <c r="U76" s="30">
        <v>62</v>
      </c>
      <c r="V76" s="31">
        <v>131.98000000000002</v>
      </c>
      <c r="W76" s="30">
        <v>91</v>
      </c>
      <c r="X76" s="31">
        <v>156.15</v>
      </c>
      <c r="Y76" s="30">
        <v>20</v>
      </c>
      <c r="Z76" s="31">
        <v>41.4</v>
      </c>
      <c r="AA76" s="34">
        <v>5</v>
      </c>
      <c r="AB76" s="31">
        <v>10</v>
      </c>
      <c r="AC76" s="30">
        <v>221</v>
      </c>
      <c r="AD76" s="31">
        <v>788.52</v>
      </c>
      <c r="AE76" s="30">
        <v>207</v>
      </c>
      <c r="AF76" s="31">
        <v>1215</v>
      </c>
      <c r="AG76" s="30">
        <v>182</v>
      </c>
      <c r="AH76" s="31">
        <v>334.28</v>
      </c>
      <c r="AI76" s="30">
        <v>27</v>
      </c>
      <c r="AJ76" s="31">
        <v>29.71</v>
      </c>
      <c r="AK76" s="30">
        <v>120</v>
      </c>
      <c r="AL76" s="31">
        <v>378.45000000000005</v>
      </c>
      <c r="AM76" s="30">
        <v>50</v>
      </c>
      <c r="AN76" s="31">
        <v>100.37</v>
      </c>
      <c r="AO76" s="30">
        <v>48</v>
      </c>
      <c r="AP76" s="31">
        <v>240.2</v>
      </c>
      <c r="AQ76" s="30">
        <v>50</v>
      </c>
      <c r="AR76" s="31">
        <v>134.80000000000001</v>
      </c>
      <c r="AS76" s="30">
        <v>69</v>
      </c>
      <c r="AT76" s="31">
        <v>279.8</v>
      </c>
      <c r="AU76" s="30">
        <v>84</v>
      </c>
      <c r="AV76" s="31">
        <v>154.69</v>
      </c>
      <c r="AW76" s="30">
        <v>70</v>
      </c>
      <c r="AX76" s="31">
        <v>387.6</v>
      </c>
      <c r="AY76" s="30">
        <v>40</v>
      </c>
      <c r="AZ76" s="31">
        <v>55.7</v>
      </c>
      <c r="BA76" s="30">
        <v>1</v>
      </c>
      <c r="BB76" s="31">
        <v>0.6</v>
      </c>
      <c r="BC76" s="30">
        <v>7</v>
      </c>
      <c r="BD76" s="31">
        <v>10.399999999999999</v>
      </c>
      <c r="BE76" s="32">
        <v>181</v>
      </c>
      <c r="BF76" s="33">
        <v>269.82</v>
      </c>
      <c r="BG76" s="18" t="s">
        <v>106</v>
      </c>
      <c r="BH76" s="19"/>
    </row>
    <row r="77" spans="1:60" x14ac:dyDescent="0.3">
      <c r="A77" s="17" t="s">
        <v>107</v>
      </c>
      <c r="B77" s="46">
        <f>SUM(C77,E77,G77,I77,K77,M77,O77,Q77,S77,U77,W77,Y77,AA77,AC77,AE77,AG77,AI77,AK77,AM77,AO77,AQ77,AS77,AU77,AW77,AY77,BA77,BC77,BE77)</f>
        <v>8112</v>
      </c>
      <c r="C77" s="30">
        <v>82</v>
      </c>
      <c r="D77" s="31">
        <v>159.339</v>
      </c>
      <c r="E77" s="30">
        <v>107</v>
      </c>
      <c r="F77" s="31">
        <v>285.34699999999998</v>
      </c>
      <c r="G77" s="30">
        <v>85</v>
      </c>
      <c r="H77" s="31">
        <v>168.11799999999999</v>
      </c>
      <c r="I77" s="30">
        <v>90</v>
      </c>
      <c r="J77" s="31">
        <v>145.755</v>
      </c>
      <c r="K77" s="30">
        <v>14</v>
      </c>
      <c r="L77" s="31">
        <v>28.646999999999998</v>
      </c>
      <c r="M77" s="30">
        <v>71</v>
      </c>
      <c r="N77" s="31">
        <v>99.884</v>
      </c>
      <c r="O77" s="30">
        <v>52</v>
      </c>
      <c r="P77" s="31">
        <v>76.992999999999995</v>
      </c>
      <c r="Q77" s="30">
        <v>3</v>
      </c>
      <c r="R77" s="31">
        <v>2.71</v>
      </c>
      <c r="S77" s="30">
        <v>98</v>
      </c>
      <c r="T77" s="31">
        <v>48.038000000000004</v>
      </c>
      <c r="U77" s="30">
        <v>192</v>
      </c>
      <c r="V77" s="31">
        <v>372.32300000000004</v>
      </c>
      <c r="W77" s="30">
        <v>143</v>
      </c>
      <c r="X77" s="31">
        <v>273.68900000000002</v>
      </c>
      <c r="Y77" s="30">
        <v>24</v>
      </c>
      <c r="Z77" s="31">
        <v>57.326999999999998</v>
      </c>
      <c r="AA77" s="30">
        <v>1</v>
      </c>
      <c r="AB77" s="31">
        <v>4.3319999999999999</v>
      </c>
      <c r="AC77" s="30">
        <v>336</v>
      </c>
      <c r="AD77" s="31">
        <v>1274.751</v>
      </c>
      <c r="AE77" s="30">
        <v>2394</v>
      </c>
      <c r="AF77" s="31">
        <v>32713.664000000001</v>
      </c>
      <c r="AG77" s="30">
        <v>341</v>
      </c>
      <c r="AH77" s="31">
        <v>709.76099999999997</v>
      </c>
      <c r="AI77" s="30">
        <v>37</v>
      </c>
      <c r="AJ77" s="31">
        <v>34.61</v>
      </c>
      <c r="AK77" s="30">
        <v>319</v>
      </c>
      <c r="AL77" s="31">
        <v>1134.0940000000001</v>
      </c>
      <c r="AM77" s="30">
        <v>41</v>
      </c>
      <c r="AN77" s="31">
        <v>143.815</v>
      </c>
      <c r="AO77" s="30">
        <v>2012</v>
      </c>
      <c r="AP77" s="31">
        <v>42408.9</v>
      </c>
      <c r="AQ77" s="30">
        <v>278</v>
      </c>
      <c r="AR77" s="31">
        <v>1156.77</v>
      </c>
      <c r="AS77" s="30">
        <v>188</v>
      </c>
      <c r="AT77" s="31">
        <v>1637.944</v>
      </c>
      <c r="AU77" s="30">
        <v>173</v>
      </c>
      <c r="AV77" s="31">
        <v>460.77600000000001</v>
      </c>
      <c r="AW77" s="30">
        <v>437</v>
      </c>
      <c r="AX77" s="31">
        <v>3883.19</v>
      </c>
      <c r="AY77" s="30">
        <v>175</v>
      </c>
      <c r="AZ77" s="31">
        <v>187.43</v>
      </c>
      <c r="BA77" s="34">
        <v>1</v>
      </c>
      <c r="BB77" s="31">
        <v>0.45</v>
      </c>
      <c r="BC77" s="30">
        <v>5</v>
      </c>
      <c r="BD77" s="31">
        <v>12.5</v>
      </c>
      <c r="BE77" s="32">
        <v>413</v>
      </c>
      <c r="BF77" s="33">
        <v>620.048</v>
      </c>
      <c r="BG77" s="18" t="s">
        <v>108</v>
      </c>
      <c r="BH77" s="19"/>
    </row>
    <row r="78" spans="1:60" s="16" customFormat="1" x14ac:dyDescent="0.3">
      <c r="A78" s="79" t="s">
        <v>109</v>
      </c>
      <c r="B78" s="94">
        <f>SUM(B80:B87)</f>
        <v>17932</v>
      </c>
      <c r="C78" s="82">
        <f>SUM(C80:C87)</f>
        <v>722</v>
      </c>
      <c r="D78" s="82">
        <f>SUM(D80:D87)</f>
        <v>1043.9870000000001</v>
      </c>
      <c r="E78" s="82">
        <f t="shared" ref="E78:P78" si="107">SUM(E80:E87)</f>
        <v>720</v>
      </c>
      <c r="F78" s="82">
        <f>SUM(F80:F87)</f>
        <v>2030.7</v>
      </c>
      <c r="G78" s="82">
        <f t="shared" si="107"/>
        <v>522</v>
      </c>
      <c r="H78" s="82">
        <f t="shared" si="107"/>
        <v>833.9</v>
      </c>
      <c r="I78" s="82">
        <f t="shared" si="107"/>
        <v>1316</v>
      </c>
      <c r="J78" s="82">
        <f t="shared" si="107"/>
        <v>1424.076</v>
      </c>
      <c r="K78" s="82">
        <f t="shared" si="107"/>
        <v>463</v>
      </c>
      <c r="L78" s="82">
        <f t="shared" si="107"/>
        <v>941.48300000000006</v>
      </c>
      <c r="M78" s="82">
        <f t="shared" ref="M78:N78" si="108">SUM(M80:M87)</f>
        <v>692</v>
      </c>
      <c r="N78" s="82">
        <f t="shared" si="108"/>
        <v>1134.925</v>
      </c>
      <c r="O78" s="82">
        <f t="shared" si="107"/>
        <v>142</v>
      </c>
      <c r="P78" s="82">
        <f t="shared" si="107"/>
        <v>352.35</v>
      </c>
      <c r="Q78" s="80">
        <f t="shared" ref="Q78:V78" si="109">SUM(Q80:Q87)</f>
        <v>13</v>
      </c>
      <c r="R78" s="81">
        <f t="shared" si="109"/>
        <v>10.6</v>
      </c>
      <c r="S78" s="81">
        <f t="shared" si="109"/>
        <v>72</v>
      </c>
      <c r="T78" s="81">
        <f t="shared" si="109"/>
        <v>37.76</v>
      </c>
      <c r="U78" s="81">
        <f t="shared" si="109"/>
        <v>2182</v>
      </c>
      <c r="V78" s="81">
        <f t="shared" si="109"/>
        <v>2972.45</v>
      </c>
      <c r="W78" s="81">
        <f>SUM(W80:W87)</f>
        <v>1239</v>
      </c>
      <c r="X78" s="81">
        <f t="shared" ref="X78:AF78" si="110">SUM(X80:X87)</f>
        <v>1353.9199999999998</v>
      </c>
      <c r="Y78" s="81">
        <f t="shared" si="110"/>
        <v>469</v>
      </c>
      <c r="Z78" s="81">
        <f t="shared" si="110"/>
        <v>1086.95</v>
      </c>
      <c r="AA78" s="81">
        <f t="shared" si="110"/>
        <v>61</v>
      </c>
      <c r="AB78" s="81">
        <f t="shared" si="110"/>
        <v>205</v>
      </c>
      <c r="AC78" s="87">
        <f t="shared" si="110"/>
        <v>1152</v>
      </c>
      <c r="AD78" s="81">
        <f t="shared" si="110"/>
        <v>2950.98</v>
      </c>
      <c r="AE78" s="81">
        <f t="shared" si="110"/>
        <v>630</v>
      </c>
      <c r="AF78" s="87">
        <f t="shared" si="110"/>
        <v>3832.3</v>
      </c>
      <c r="AG78" s="87">
        <f t="shared" ref="AG78:AL78" si="111">SUM(AG80:AG87)</f>
        <v>335</v>
      </c>
      <c r="AH78" s="87">
        <f t="shared" si="111"/>
        <v>440.15000000000003</v>
      </c>
      <c r="AI78" s="87">
        <f t="shared" si="111"/>
        <v>41</v>
      </c>
      <c r="AJ78" s="87">
        <f t="shared" si="111"/>
        <v>30.28</v>
      </c>
      <c r="AK78" s="87">
        <f t="shared" si="111"/>
        <v>892</v>
      </c>
      <c r="AL78" s="87">
        <f t="shared" si="111"/>
        <v>2946.1</v>
      </c>
      <c r="AM78" s="81">
        <f t="shared" ref="AM78:BF78" si="112">SUM(AM80:AM87)</f>
        <v>412</v>
      </c>
      <c r="AN78" s="91">
        <f t="shared" si="112"/>
        <v>903.13800000000003</v>
      </c>
      <c r="AO78" s="81">
        <f t="shared" si="112"/>
        <v>508</v>
      </c>
      <c r="AP78" s="91">
        <f t="shared" si="112"/>
        <v>2141.4</v>
      </c>
      <c r="AQ78" s="81">
        <f t="shared" si="112"/>
        <v>577</v>
      </c>
      <c r="AR78" s="91">
        <f t="shared" si="112"/>
        <v>1150.75</v>
      </c>
      <c r="AS78" s="81">
        <f t="shared" si="112"/>
        <v>57</v>
      </c>
      <c r="AT78" s="87">
        <f t="shared" si="112"/>
        <v>371</v>
      </c>
      <c r="AU78" s="81">
        <f t="shared" ref="AU78:AX78" si="113">SUM(AU80:AU87)</f>
        <v>397</v>
      </c>
      <c r="AV78" s="91">
        <f>SUM(AV80:AV87)</f>
        <v>728</v>
      </c>
      <c r="AW78" s="81">
        <f t="shared" si="113"/>
        <v>60</v>
      </c>
      <c r="AX78" s="91">
        <f t="shared" si="113"/>
        <v>298.59999999999997</v>
      </c>
      <c r="AY78" s="81">
        <f>SUM(AY80:AY87)</f>
        <v>69</v>
      </c>
      <c r="AZ78" s="81">
        <f>SUM(AZ80:AZ87)</f>
        <v>58.65</v>
      </c>
      <c r="BA78" s="81">
        <f t="shared" si="112"/>
        <v>2</v>
      </c>
      <c r="BB78" s="91">
        <f t="shared" si="112"/>
        <v>1</v>
      </c>
      <c r="BC78" s="81">
        <f t="shared" si="112"/>
        <v>156</v>
      </c>
      <c r="BD78" s="91">
        <f t="shared" si="112"/>
        <v>76</v>
      </c>
      <c r="BE78" s="81">
        <f t="shared" si="112"/>
        <v>4031</v>
      </c>
      <c r="BF78" s="90">
        <f t="shared" si="112"/>
        <v>4268.3289999999997</v>
      </c>
      <c r="BG78" s="89" t="s">
        <v>110</v>
      </c>
      <c r="BH78" s="89"/>
    </row>
    <row r="79" spans="1:60" x14ac:dyDescent="0.3">
      <c r="A79" s="79"/>
      <c r="B79" s="94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0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7"/>
      <c r="AD79" s="81"/>
      <c r="AE79" s="81"/>
      <c r="AF79" s="87"/>
      <c r="AG79" s="87"/>
      <c r="AH79" s="87"/>
      <c r="AI79" s="87"/>
      <c r="AJ79" s="87"/>
      <c r="AK79" s="87"/>
      <c r="AL79" s="87"/>
      <c r="AM79" s="81"/>
      <c r="AN79" s="91"/>
      <c r="AO79" s="81"/>
      <c r="AP79" s="91"/>
      <c r="AQ79" s="81"/>
      <c r="AR79" s="91"/>
      <c r="AS79" s="81"/>
      <c r="AT79" s="87"/>
      <c r="AU79" s="81"/>
      <c r="AV79" s="91"/>
      <c r="AW79" s="81"/>
      <c r="AX79" s="91"/>
      <c r="AY79" s="81"/>
      <c r="AZ79" s="81"/>
      <c r="BA79" s="81"/>
      <c r="BB79" s="91"/>
      <c r="BC79" s="81"/>
      <c r="BD79" s="91"/>
      <c r="BE79" s="81"/>
      <c r="BF79" s="90"/>
      <c r="BG79" s="89"/>
      <c r="BH79" s="89"/>
    </row>
    <row r="80" spans="1:60" x14ac:dyDescent="0.3">
      <c r="A80" s="22" t="s">
        <v>111</v>
      </c>
      <c r="B80" s="46">
        <f t="shared" ref="B80:B87" si="114">SUM(C80,E80,G80,I80,K80,M80,O80,Q80,S80,U80,W80,Y80,AA80,AC80,AE80,AG80,AI80,AK80,AM80,AO80,AQ80,AS80,AU80,AW80,AY80,BA80,BC80,BE80)</f>
        <v>0</v>
      </c>
      <c r="C80" s="30" t="s">
        <v>190</v>
      </c>
      <c r="D80" s="31" t="s">
        <v>190</v>
      </c>
      <c r="E80" s="30" t="s">
        <v>190</v>
      </c>
      <c r="F80" s="31" t="s">
        <v>190</v>
      </c>
      <c r="G80" s="30" t="s">
        <v>190</v>
      </c>
      <c r="H80" s="31" t="s">
        <v>190</v>
      </c>
      <c r="I80" s="30" t="s">
        <v>190</v>
      </c>
      <c r="J80" s="31" t="s">
        <v>190</v>
      </c>
      <c r="K80" s="30" t="s">
        <v>190</v>
      </c>
      <c r="L80" s="31" t="s">
        <v>190</v>
      </c>
      <c r="M80" s="30" t="s">
        <v>190</v>
      </c>
      <c r="N80" s="31" t="s">
        <v>190</v>
      </c>
      <c r="O80" s="30" t="s">
        <v>190</v>
      </c>
      <c r="P80" s="31" t="s">
        <v>190</v>
      </c>
      <c r="Q80" s="30" t="s">
        <v>190</v>
      </c>
      <c r="R80" s="31" t="s">
        <v>190</v>
      </c>
      <c r="S80" s="30" t="s">
        <v>190</v>
      </c>
      <c r="T80" s="31" t="s">
        <v>190</v>
      </c>
      <c r="U80" s="30" t="s">
        <v>190</v>
      </c>
      <c r="V80" s="31" t="s">
        <v>190</v>
      </c>
      <c r="W80" s="30" t="s">
        <v>190</v>
      </c>
      <c r="X80" s="31" t="s">
        <v>190</v>
      </c>
      <c r="Y80" s="30" t="s">
        <v>190</v>
      </c>
      <c r="Z80" s="31" t="s">
        <v>190</v>
      </c>
      <c r="AA80" s="30" t="s">
        <v>190</v>
      </c>
      <c r="AB80" s="31" t="s">
        <v>190</v>
      </c>
      <c r="AC80" s="30" t="s">
        <v>190</v>
      </c>
      <c r="AD80" s="31" t="s">
        <v>190</v>
      </c>
      <c r="AE80" s="30" t="s">
        <v>190</v>
      </c>
      <c r="AF80" s="31" t="s">
        <v>190</v>
      </c>
      <c r="AG80" s="30" t="s">
        <v>190</v>
      </c>
      <c r="AH80" s="31" t="s">
        <v>190</v>
      </c>
      <c r="AI80" s="30" t="s">
        <v>190</v>
      </c>
      <c r="AJ80" s="31" t="s">
        <v>190</v>
      </c>
      <c r="AK80" s="30" t="s">
        <v>190</v>
      </c>
      <c r="AL80" s="31" t="s">
        <v>190</v>
      </c>
      <c r="AM80" s="30" t="s">
        <v>190</v>
      </c>
      <c r="AN80" s="31" t="s">
        <v>190</v>
      </c>
      <c r="AO80" s="30" t="s">
        <v>190</v>
      </c>
      <c r="AP80" s="31" t="s">
        <v>190</v>
      </c>
      <c r="AQ80" s="30" t="s">
        <v>190</v>
      </c>
      <c r="AR80" s="31" t="s">
        <v>190</v>
      </c>
      <c r="AS80" s="30" t="s">
        <v>190</v>
      </c>
      <c r="AT80" s="31" t="s">
        <v>190</v>
      </c>
      <c r="AU80" s="30" t="s">
        <v>190</v>
      </c>
      <c r="AV80" s="31" t="s">
        <v>190</v>
      </c>
      <c r="AW80" s="30" t="s">
        <v>190</v>
      </c>
      <c r="AX80" s="31" t="s">
        <v>190</v>
      </c>
      <c r="AY80" s="30" t="s">
        <v>190</v>
      </c>
      <c r="AZ80" s="31" t="s">
        <v>190</v>
      </c>
      <c r="BA80" s="34" t="s">
        <v>190</v>
      </c>
      <c r="BB80" s="31" t="s">
        <v>190</v>
      </c>
      <c r="BC80" s="30" t="s">
        <v>190</v>
      </c>
      <c r="BD80" s="31" t="s">
        <v>190</v>
      </c>
      <c r="BE80" s="32" t="s">
        <v>190</v>
      </c>
      <c r="BF80" s="33" t="s">
        <v>190</v>
      </c>
      <c r="BG80" s="18" t="s">
        <v>112</v>
      </c>
      <c r="BH80" s="19"/>
    </row>
    <row r="81" spans="1:60" x14ac:dyDescent="0.3">
      <c r="A81" s="22" t="s">
        <v>113</v>
      </c>
      <c r="B81" s="46">
        <f t="shared" si="114"/>
        <v>46</v>
      </c>
      <c r="C81" s="30">
        <v>2</v>
      </c>
      <c r="D81" s="31">
        <v>3.5</v>
      </c>
      <c r="E81" s="30">
        <v>2</v>
      </c>
      <c r="F81" s="31">
        <v>8</v>
      </c>
      <c r="G81" s="30">
        <v>2</v>
      </c>
      <c r="H81" s="31">
        <v>3.5</v>
      </c>
      <c r="I81" s="30">
        <v>3</v>
      </c>
      <c r="J81" s="31">
        <v>5.25</v>
      </c>
      <c r="K81" s="30">
        <v>2</v>
      </c>
      <c r="L81" s="31">
        <v>3.5</v>
      </c>
      <c r="M81" s="30">
        <v>1</v>
      </c>
      <c r="N81" s="31">
        <v>1.9</v>
      </c>
      <c r="O81" s="34">
        <v>2</v>
      </c>
      <c r="P81" s="31">
        <v>4</v>
      </c>
      <c r="Q81" s="34" t="s">
        <v>190</v>
      </c>
      <c r="R81" s="31" t="s">
        <v>190</v>
      </c>
      <c r="S81" s="30" t="s">
        <v>190</v>
      </c>
      <c r="T81" s="31" t="s">
        <v>190</v>
      </c>
      <c r="U81" s="30">
        <v>5</v>
      </c>
      <c r="V81" s="31">
        <v>12.3</v>
      </c>
      <c r="W81" s="30">
        <v>2</v>
      </c>
      <c r="X81" s="31">
        <v>5</v>
      </c>
      <c r="Y81" s="30">
        <v>1</v>
      </c>
      <c r="Z81" s="31">
        <v>1</v>
      </c>
      <c r="AA81" s="34" t="s">
        <v>190</v>
      </c>
      <c r="AB81" s="31" t="s">
        <v>190</v>
      </c>
      <c r="AC81" s="30">
        <v>1</v>
      </c>
      <c r="AD81" s="31">
        <v>5</v>
      </c>
      <c r="AE81" s="30">
        <v>2</v>
      </c>
      <c r="AF81" s="31">
        <v>15.8</v>
      </c>
      <c r="AG81" s="30">
        <v>2</v>
      </c>
      <c r="AH81" s="31">
        <v>4</v>
      </c>
      <c r="AI81" s="34" t="s">
        <v>190</v>
      </c>
      <c r="AJ81" s="31" t="s">
        <v>190</v>
      </c>
      <c r="AK81" s="30">
        <v>4</v>
      </c>
      <c r="AL81" s="31">
        <v>13</v>
      </c>
      <c r="AM81" s="30">
        <v>1</v>
      </c>
      <c r="AN81" s="31">
        <v>1.5</v>
      </c>
      <c r="AO81" s="30">
        <v>1</v>
      </c>
      <c r="AP81" s="31">
        <v>9</v>
      </c>
      <c r="AQ81" s="30">
        <v>2</v>
      </c>
      <c r="AR81" s="31">
        <v>6</v>
      </c>
      <c r="AS81" s="30">
        <v>2</v>
      </c>
      <c r="AT81" s="31">
        <v>12</v>
      </c>
      <c r="AU81" s="30">
        <v>1</v>
      </c>
      <c r="AV81" s="31">
        <v>3</v>
      </c>
      <c r="AW81" s="30">
        <v>1</v>
      </c>
      <c r="AX81" s="31">
        <v>10</v>
      </c>
      <c r="AY81" s="34" t="s">
        <v>190</v>
      </c>
      <c r="AZ81" s="31" t="s">
        <v>190</v>
      </c>
      <c r="BA81" s="34" t="s">
        <v>190</v>
      </c>
      <c r="BB81" s="31" t="s">
        <v>190</v>
      </c>
      <c r="BC81" s="30" t="s">
        <v>190</v>
      </c>
      <c r="BD81" s="31" t="s">
        <v>190</v>
      </c>
      <c r="BE81" s="32">
        <v>7</v>
      </c>
      <c r="BF81" s="33">
        <v>7.9</v>
      </c>
      <c r="BG81" s="18" t="s">
        <v>114</v>
      </c>
      <c r="BH81" s="19"/>
    </row>
    <row r="82" spans="1:60" x14ac:dyDescent="0.3">
      <c r="A82" s="22" t="s">
        <v>115</v>
      </c>
      <c r="B82" s="46">
        <f t="shared" si="114"/>
        <v>0</v>
      </c>
      <c r="C82" s="30" t="s">
        <v>190</v>
      </c>
      <c r="D82" s="31" t="s">
        <v>190</v>
      </c>
      <c r="E82" s="30" t="s">
        <v>190</v>
      </c>
      <c r="F82" s="31" t="s">
        <v>190</v>
      </c>
      <c r="G82" s="30" t="s">
        <v>190</v>
      </c>
      <c r="H82" s="31" t="s">
        <v>190</v>
      </c>
      <c r="I82" s="30" t="s">
        <v>190</v>
      </c>
      <c r="J82" s="31" t="s">
        <v>190</v>
      </c>
      <c r="K82" s="30" t="s">
        <v>190</v>
      </c>
      <c r="L82" s="31" t="s">
        <v>190</v>
      </c>
      <c r="M82" s="30" t="s">
        <v>190</v>
      </c>
      <c r="N82" s="31" t="s">
        <v>190</v>
      </c>
      <c r="O82" s="34" t="s">
        <v>190</v>
      </c>
      <c r="P82" s="31" t="s">
        <v>190</v>
      </c>
      <c r="Q82" s="34" t="s">
        <v>190</v>
      </c>
      <c r="R82" s="31" t="s">
        <v>190</v>
      </c>
      <c r="S82" s="30" t="s">
        <v>190</v>
      </c>
      <c r="T82" s="31" t="s">
        <v>190</v>
      </c>
      <c r="U82" s="30" t="s">
        <v>190</v>
      </c>
      <c r="V82" s="31" t="s">
        <v>190</v>
      </c>
      <c r="W82" s="30" t="s">
        <v>190</v>
      </c>
      <c r="X82" s="31" t="s">
        <v>190</v>
      </c>
      <c r="Y82" s="30" t="s">
        <v>190</v>
      </c>
      <c r="Z82" s="31" t="s">
        <v>190</v>
      </c>
      <c r="AA82" s="34" t="s">
        <v>190</v>
      </c>
      <c r="AB82" s="31" t="s">
        <v>190</v>
      </c>
      <c r="AC82" s="30" t="s">
        <v>190</v>
      </c>
      <c r="AD82" s="31" t="s">
        <v>190</v>
      </c>
      <c r="AE82" s="30" t="s">
        <v>190</v>
      </c>
      <c r="AF82" s="31" t="s">
        <v>190</v>
      </c>
      <c r="AG82" s="30" t="s">
        <v>190</v>
      </c>
      <c r="AH82" s="31" t="s">
        <v>190</v>
      </c>
      <c r="AI82" s="34" t="s">
        <v>190</v>
      </c>
      <c r="AJ82" s="31" t="s">
        <v>190</v>
      </c>
      <c r="AK82" s="30" t="s">
        <v>190</v>
      </c>
      <c r="AL82" s="31" t="s">
        <v>190</v>
      </c>
      <c r="AM82" s="30" t="s">
        <v>190</v>
      </c>
      <c r="AN82" s="31" t="s">
        <v>190</v>
      </c>
      <c r="AO82" s="30" t="s">
        <v>190</v>
      </c>
      <c r="AP82" s="31" t="s">
        <v>190</v>
      </c>
      <c r="AQ82" s="30" t="s">
        <v>190</v>
      </c>
      <c r="AR82" s="31" t="s">
        <v>190</v>
      </c>
      <c r="AS82" s="30" t="s">
        <v>190</v>
      </c>
      <c r="AT82" s="31" t="s">
        <v>190</v>
      </c>
      <c r="AU82" s="30" t="s">
        <v>190</v>
      </c>
      <c r="AV82" s="31" t="s">
        <v>190</v>
      </c>
      <c r="AW82" s="30" t="s">
        <v>190</v>
      </c>
      <c r="AX82" s="31" t="s">
        <v>190</v>
      </c>
      <c r="AY82" s="34" t="s">
        <v>190</v>
      </c>
      <c r="AZ82" s="31" t="s">
        <v>190</v>
      </c>
      <c r="BA82" s="34" t="s">
        <v>190</v>
      </c>
      <c r="BB82" s="31" t="s">
        <v>190</v>
      </c>
      <c r="BC82" s="30" t="s">
        <v>190</v>
      </c>
      <c r="BD82" s="31" t="s">
        <v>190</v>
      </c>
      <c r="BE82" s="32" t="s">
        <v>190</v>
      </c>
      <c r="BF82" s="33" t="s">
        <v>190</v>
      </c>
      <c r="BG82" s="18" t="s">
        <v>116</v>
      </c>
      <c r="BH82" s="19"/>
    </row>
    <row r="83" spans="1:60" x14ac:dyDescent="0.3">
      <c r="A83" s="22" t="s">
        <v>117</v>
      </c>
      <c r="B83" s="46">
        <f t="shared" si="114"/>
        <v>0</v>
      </c>
      <c r="C83" s="30" t="s">
        <v>190</v>
      </c>
      <c r="D83" s="31" t="s">
        <v>190</v>
      </c>
      <c r="E83" s="30" t="s">
        <v>190</v>
      </c>
      <c r="F83" s="31" t="s">
        <v>190</v>
      </c>
      <c r="G83" s="30" t="s">
        <v>190</v>
      </c>
      <c r="H83" s="31" t="s">
        <v>190</v>
      </c>
      <c r="I83" s="30" t="s">
        <v>190</v>
      </c>
      <c r="J83" s="31" t="s">
        <v>190</v>
      </c>
      <c r="K83" s="30" t="s">
        <v>190</v>
      </c>
      <c r="L83" s="31" t="s">
        <v>190</v>
      </c>
      <c r="M83" s="30" t="s">
        <v>190</v>
      </c>
      <c r="N83" s="31" t="s">
        <v>190</v>
      </c>
      <c r="O83" s="34" t="s">
        <v>190</v>
      </c>
      <c r="P83" s="31" t="s">
        <v>190</v>
      </c>
      <c r="Q83" s="34" t="s">
        <v>190</v>
      </c>
      <c r="R83" s="31" t="s">
        <v>190</v>
      </c>
      <c r="S83" s="30" t="s">
        <v>190</v>
      </c>
      <c r="T83" s="31" t="s">
        <v>190</v>
      </c>
      <c r="U83" s="30" t="s">
        <v>190</v>
      </c>
      <c r="V83" s="31" t="s">
        <v>190</v>
      </c>
      <c r="W83" s="30" t="s">
        <v>190</v>
      </c>
      <c r="X83" s="31" t="s">
        <v>190</v>
      </c>
      <c r="Y83" s="30" t="s">
        <v>190</v>
      </c>
      <c r="Z83" s="31" t="s">
        <v>190</v>
      </c>
      <c r="AA83" s="34" t="s">
        <v>190</v>
      </c>
      <c r="AB83" s="31" t="s">
        <v>190</v>
      </c>
      <c r="AC83" s="30" t="s">
        <v>190</v>
      </c>
      <c r="AD83" s="31" t="s">
        <v>190</v>
      </c>
      <c r="AE83" s="30" t="s">
        <v>190</v>
      </c>
      <c r="AF83" s="31" t="s">
        <v>190</v>
      </c>
      <c r="AG83" s="30" t="s">
        <v>190</v>
      </c>
      <c r="AH83" s="31" t="s">
        <v>190</v>
      </c>
      <c r="AI83" s="34" t="s">
        <v>190</v>
      </c>
      <c r="AJ83" s="31" t="s">
        <v>190</v>
      </c>
      <c r="AK83" s="30" t="s">
        <v>190</v>
      </c>
      <c r="AL83" s="31" t="s">
        <v>190</v>
      </c>
      <c r="AM83" s="30" t="s">
        <v>190</v>
      </c>
      <c r="AN83" s="31" t="s">
        <v>190</v>
      </c>
      <c r="AO83" s="30" t="s">
        <v>190</v>
      </c>
      <c r="AP83" s="31" t="s">
        <v>190</v>
      </c>
      <c r="AQ83" s="30" t="s">
        <v>190</v>
      </c>
      <c r="AR83" s="31" t="s">
        <v>190</v>
      </c>
      <c r="AS83" s="30" t="s">
        <v>190</v>
      </c>
      <c r="AT83" s="31" t="s">
        <v>190</v>
      </c>
      <c r="AU83" s="30" t="s">
        <v>190</v>
      </c>
      <c r="AV83" s="31" t="s">
        <v>190</v>
      </c>
      <c r="AW83" s="30" t="s">
        <v>190</v>
      </c>
      <c r="AX83" s="31" t="s">
        <v>190</v>
      </c>
      <c r="AY83" s="34" t="s">
        <v>190</v>
      </c>
      <c r="AZ83" s="31" t="s">
        <v>190</v>
      </c>
      <c r="BA83" s="34" t="s">
        <v>190</v>
      </c>
      <c r="BB83" s="31" t="s">
        <v>190</v>
      </c>
      <c r="BC83" s="30" t="s">
        <v>190</v>
      </c>
      <c r="BD83" s="31" t="s">
        <v>190</v>
      </c>
      <c r="BE83" s="32" t="s">
        <v>190</v>
      </c>
      <c r="BF83" s="33" t="s">
        <v>190</v>
      </c>
      <c r="BG83" s="18" t="s">
        <v>118</v>
      </c>
      <c r="BH83" s="19"/>
    </row>
    <row r="84" spans="1:60" x14ac:dyDescent="0.3">
      <c r="A84" s="22" t="s">
        <v>119</v>
      </c>
      <c r="B84" s="46">
        <f t="shared" si="114"/>
        <v>7984</v>
      </c>
      <c r="C84" s="30">
        <v>410</v>
      </c>
      <c r="D84" s="31">
        <v>608.78700000000003</v>
      </c>
      <c r="E84" s="30">
        <v>446</v>
      </c>
      <c r="F84" s="31">
        <v>1426.8</v>
      </c>
      <c r="G84" s="30">
        <v>278</v>
      </c>
      <c r="H84" s="31">
        <v>477.9</v>
      </c>
      <c r="I84" s="30">
        <v>348</v>
      </c>
      <c r="J84" s="31">
        <v>389.42500000000001</v>
      </c>
      <c r="K84" s="30">
        <v>223</v>
      </c>
      <c r="L84" s="31">
        <v>449.08300000000003</v>
      </c>
      <c r="M84" s="30">
        <v>156</v>
      </c>
      <c r="N84" s="31">
        <v>186.72499999999999</v>
      </c>
      <c r="O84" s="30">
        <v>46</v>
      </c>
      <c r="P84" s="31">
        <v>134.05000000000001</v>
      </c>
      <c r="Q84" s="30">
        <v>7</v>
      </c>
      <c r="R84" s="31">
        <v>6</v>
      </c>
      <c r="S84" s="30">
        <v>49</v>
      </c>
      <c r="T84" s="31">
        <v>26.36</v>
      </c>
      <c r="U84" s="30">
        <v>1131</v>
      </c>
      <c r="V84" s="31">
        <v>1930.95</v>
      </c>
      <c r="W84" s="30">
        <v>504</v>
      </c>
      <c r="X84" s="31">
        <v>476.97</v>
      </c>
      <c r="Y84" s="30">
        <v>382</v>
      </c>
      <c r="Z84" s="31">
        <v>873.9</v>
      </c>
      <c r="AA84" s="30">
        <v>59</v>
      </c>
      <c r="AB84" s="31">
        <v>193</v>
      </c>
      <c r="AC84" s="30">
        <v>350</v>
      </c>
      <c r="AD84" s="31">
        <v>1105.68</v>
      </c>
      <c r="AE84" s="30">
        <v>491</v>
      </c>
      <c r="AF84" s="31">
        <v>3329.3</v>
      </c>
      <c r="AG84" s="30">
        <v>262</v>
      </c>
      <c r="AH84" s="31">
        <v>391.6</v>
      </c>
      <c r="AI84" s="30">
        <v>29</v>
      </c>
      <c r="AJ84" s="31">
        <v>23.88</v>
      </c>
      <c r="AK84" s="30">
        <v>591</v>
      </c>
      <c r="AL84" s="31">
        <v>2326.5</v>
      </c>
      <c r="AM84" s="30">
        <v>225</v>
      </c>
      <c r="AN84" s="31">
        <v>487.28</v>
      </c>
      <c r="AO84" s="30">
        <v>369</v>
      </c>
      <c r="AP84" s="31">
        <v>1855.1</v>
      </c>
      <c r="AQ84" s="30">
        <v>259</v>
      </c>
      <c r="AR84" s="31">
        <v>643.54999999999995</v>
      </c>
      <c r="AS84" s="30">
        <v>52</v>
      </c>
      <c r="AT84" s="31">
        <v>354.8</v>
      </c>
      <c r="AU84" s="30">
        <v>233</v>
      </c>
      <c r="AV84" s="31">
        <v>547.5</v>
      </c>
      <c r="AW84" s="30">
        <v>48</v>
      </c>
      <c r="AX84" s="31">
        <v>271.39999999999998</v>
      </c>
      <c r="AY84" s="30">
        <v>35</v>
      </c>
      <c r="AZ84" s="31">
        <v>28.2</v>
      </c>
      <c r="BA84" s="30">
        <v>2</v>
      </c>
      <c r="BB84" s="31">
        <v>1</v>
      </c>
      <c r="BC84" s="30">
        <v>8</v>
      </c>
      <c r="BD84" s="31">
        <v>20.399999999999999</v>
      </c>
      <c r="BE84" s="32">
        <v>991</v>
      </c>
      <c r="BF84" s="33">
        <v>1474.7859999999998</v>
      </c>
      <c r="BG84" s="18" t="s">
        <v>120</v>
      </c>
      <c r="BH84" s="19"/>
    </row>
    <row r="85" spans="1:60" x14ac:dyDescent="0.3">
      <c r="A85" s="22" t="s">
        <v>121</v>
      </c>
      <c r="B85" s="46">
        <f t="shared" si="114"/>
        <v>7010</v>
      </c>
      <c r="C85" s="30">
        <v>140</v>
      </c>
      <c r="D85" s="31">
        <v>263.8</v>
      </c>
      <c r="E85" s="30">
        <v>130</v>
      </c>
      <c r="F85" s="31">
        <v>450</v>
      </c>
      <c r="G85" s="30">
        <v>112</v>
      </c>
      <c r="H85" s="31">
        <v>221.65</v>
      </c>
      <c r="I85" s="30">
        <v>879</v>
      </c>
      <c r="J85" s="31">
        <v>968.75099999999998</v>
      </c>
      <c r="K85" s="30">
        <v>218</v>
      </c>
      <c r="L85" s="31">
        <v>487.8</v>
      </c>
      <c r="M85" s="30">
        <v>478</v>
      </c>
      <c r="N85" s="31">
        <v>935</v>
      </c>
      <c r="O85" s="30">
        <v>84</v>
      </c>
      <c r="P85" s="31">
        <v>210.5</v>
      </c>
      <c r="Q85" s="30">
        <v>4</v>
      </c>
      <c r="R85" s="31">
        <v>4.4000000000000004</v>
      </c>
      <c r="S85" s="30">
        <v>15</v>
      </c>
      <c r="T85" s="31">
        <v>8.9</v>
      </c>
      <c r="U85" s="30">
        <v>446</v>
      </c>
      <c r="V85" s="31">
        <v>750.2</v>
      </c>
      <c r="W85" s="30">
        <v>729</v>
      </c>
      <c r="X85" s="31">
        <v>869.4</v>
      </c>
      <c r="Y85" s="30">
        <v>80</v>
      </c>
      <c r="Z85" s="31">
        <v>211.4</v>
      </c>
      <c r="AA85" s="30">
        <v>2</v>
      </c>
      <c r="AB85" s="31">
        <v>12</v>
      </c>
      <c r="AC85" s="30">
        <v>170</v>
      </c>
      <c r="AD85" s="31">
        <v>718</v>
      </c>
      <c r="AE85" s="30">
        <v>31</v>
      </c>
      <c r="AF85" s="31">
        <v>248</v>
      </c>
      <c r="AG85" s="30">
        <v>31</v>
      </c>
      <c r="AH85" s="31">
        <v>34.299999999999997</v>
      </c>
      <c r="AI85" s="30">
        <v>10</v>
      </c>
      <c r="AJ85" s="31">
        <v>6.3</v>
      </c>
      <c r="AK85" s="30">
        <v>191</v>
      </c>
      <c r="AL85" s="31">
        <v>513.5</v>
      </c>
      <c r="AM85" s="30">
        <v>154</v>
      </c>
      <c r="AN85" s="31">
        <v>385.2</v>
      </c>
      <c r="AO85" s="30">
        <v>14</v>
      </c>
      <c r="AP85" s="31">
        <v>126</v>
      </c>
      <c r="AQ85" s="30">
        <v>107</v>
      </c>
      <c r="AR85" s="31">
        <v>266.5</v>
      </c>
      <c r="AS85" s="30">
        <v>3</v>
      </c>
      <c r="AT85" s="31">
        <v>4.2</v>
      </c>
      <c r="AU85" s="30">
        <v>73</v>
      </c>
      <c r="AV85" s="31">
        <v>132.19999999999999</v>
      </c>
      <c r="AW85" s="30">
        <v>7</v>
      </c>
      <c r="AX85" s="31">
        <v>14</v>
      </c>
      <c r="AY85" s="30">
        <v>5</v>
      </c>
      <c r="AZ85" s="31">
        <v>6.8</v>
      </c>
      <c r="BA85" s="34" t="s">
        <v>190</v>
      </c>
      <c r="BB85" s="31" t="s">
        <v>190</v>
      </c>
      <c r="BC85" s="30">
        <v>1</v>
      </c>
      <c r="BD85" s="31">
        <v>0.4</v>
      </c>
      <c r="BE85" s="32">
        <v>2896</v>
      </c>
      <c r="BF85" s="33">
        <v>2748.75</v>
      </c>
      <c r="BG85" s="18" t="s">
        <v>122</v>
      </c>
      <c r="BH85" s="19"/>
    </row>
    <row r="86" spans="1:60" x14ac:dyDescent="0.3">
      <c r="A86" s="22" t="s">
        <v>123</v>
      </c>
      <c r="B86" s="46">
        <f t="shared" si="114"/>
        <v>0</v>
      </c>
      <c r="C86" s="30" t="s">
        <v>190</v>
      </c>
      <c r="D86" s="31" t="s">
        <v>190</v>
      </c>
      <c r="E86" s="30" t="s">
        <v>190</v>
      </c>
      <c r="F86" s="31" t="s">
        <v>190</v>
      </c>
      <c r="G86" s="30" t="s">
        <v>190</v>
      </c>
      <c r="H86" s="31" t="s">
        <v>190</v>
      </c>
      <c r="I86" s="30" t="s">
        <v>190</v>
      </c>
      <c r="J86" s="31" t="s">
        <v>190</v>
      </c>
      <c r="K86" s="30" t="s">
        <v>190</v>
      </c>
      <c r="L86" s="31" t="s">
        <v>190</v>
      </c>
      <c r="M86" s="30" t="s">
        <v>190</v>
      </c>
      <c r="N86" s="31" t="s">
        <v>190</v>
      </c>
      <c r="O86" s="30" t="s">
        <v>190</v>
      </c>
      <c r="P86" s="31" t="s">
        <v>190</v>
      </c>
      <c r="Q86" s="30" t="s">
        <v>190</v>
      </c>
      <c r="R86" s="31" t="s">
        <v>190</v>
      </c>
      <c r="S86" s="30" t="s">
        <v>190</v>
      </c>
      <c r="T86" s="31" t="s">
        <v>190</v>
      </c>
      <c r="U86" s="30" t="s">
        <v>190</v>
      </c>
      <c r="V86" s="31" t="s">
        <v>190</v>
      </c>
      <c r="W86" s="30" t="s">
        <v>190</v>
      </c>
      <c r="X86" s="31" t="s">
        <v>190</v>
      </c>
      <c r="Y86" s="30" t="s">
        <v>190</v>
      </c>
      <c r="Z86" s="31" t="s">
        <v>190</v>
      </c>
      <c r="AA86" s="30" t="s">
        <v>190</v>
      </c>
      <c r="AB86" s="31" t="s">
        <v>190</v>
      </c>
      <c r="AC86" s="30" t="s">
        <v>190</v>
      </c>
      <c r="AD86" s="31" t="s">
        <v>190</v>
      </c>
      <c r="AE86" s="30" t="s">
        <v>190</v>
      </c>
      <c r="AF86" s="31" t="s">
        <v>190</v>
      </c>
      <c r="AG86" s="30" t="s">
        <v>190</v>
      </c>
      <c r="AH86" s="31" t="s">
        <v>190</v>
      </c>
      <c r="AI86" s="30" t="s">
        <v>190</v>
      </c>
      <c r="AJ86" s="31" t="s">
        <v>190</v>
      </c>
      <c r="AK86" s="30" t="s">
        <v>190</v>
      </c>
      <c r="AL86" s="31" t="s">
        <v>190</v>
      </c>
      <c r="AM86" s="30" t="s">
        <v>190</v>
      </c>
      <c r="AN86" s="31" t="s">
        <v>190</v>
      </c>
      <c r="AO86" s="30" t="s">
        <v>190</v>
      </c>
      <c r="AP86" s="31" t="s">
        <v>190</v>
      </c>
      <c r="AQ86" s="30" t="s">
        <v>190</v>
      </c>
      <c r="AR86" s="31" t="s">
        <v>190</v>
      </c>
      <c r="AS86" s="30" t="s">
        <v>190</v>
      </c>
      <c r="AT86" s="31" t="s">
        <v>190</v>
      </c>
      <c r="AU86" s="30" t="s">
        <v>190</v>
      </c>
      <c r="AV86" s="31" t="s">
        <v>190</v>
      </c>
      <c r="AW86" s="30" t="s">
        <v>190</v>
      </c>
      <c r="AX86" s="31" t="s">
        <v>190</v>
      </c>
      <c r="AY86" s="30" t="s">
        <v>190</v>
      </c>
      <c r="AZ86" s="31" t="s">
        <v>190</v>
      </c>
      <c r="BA86" s="34" t="s">
        <v>190</v>
      </c>
      <c r="BB86" s="31" t="s">
        <v>190</v>
      </c>
      <c r="BC86" s="30" t="s">
        <v>190</v>
      </c>
      <c r="BD86" s="31" t="s">
        <v>190</v>
      </c>
      <c r="BE86" s="32" t="s">
        <v>190</v>
      </c>
      <c r="BF86" s="33" t="s">
        <v>190</v>
      </c>
      <c r="BG86" s="18" t="s">
        <v>124</v>
      </c>
      <c r="BH86" s="19"/>
    </row>
    <row r="87" spans="1:60" x14ac:dyDescent="0.3">
      <c r="A87" s="22" t="s">
        <v>125</v>
      </c>
      <c r="B87" s="46">
        <f t="shared" si="114"/>
        <v>2892</v>
      </c>
      <c r="C87" s="30">
        <v>170</v>
      </c>
      <c r="D87" s="31">
        <v>167.9</v>
      </c>
      <c r="E87" s="30">
        <v>142</v>
      </c>
      <c r="F87" s="31">
        <v>145.9</v>
      </c>
      <c r="G87" s="30">
        <v>130</v>
      </c>
      <c r="H87" s="31">
        <v>130.85</v>
      </c>
      <c r="I87" s="30">
        <v>86</v>
      </c>
      <c r="J87" s="31">
        <v>60.65</v>
      </c>
      <c r="K87" s="30">
        <v>20</v>
      </c>
      <c r="L87" s="31">
        <v>1.1000000000000001</v>
      </c>
      <c r="M87" s="30">
        <v>57</v>
      </c>
      <c r="N87" s="31">
        <v>11.3</v>
      </c>
      <c r="O87" s="34">
        <v>10</v>
      </c>
      <c r="P87" s="31">
        <v>3.8</v>
      </c>
      <c r="Q87" s="34">
        <v>2</v>
      </c>
      <c r="R87" s="31">
        <v>0.2</v>
      </c>
      <c r="S87" s="30">
        <v>8</v>
      </c>
      <c r="T87" s="31">
        <v>2.5</v>
      </c>
      <c r="U87" s="30">
        <v>600</v>
      </c>
      <c r="V87" s="31">
        <v>279</v>
      </c>
      <c r="W87" s="34">
        <v>4</v>
      </c>
      <c r="X87" s="31">
        <v>2.5499999999999998</v>
      </c>
      <c r="Y87" s="34">
        <v>6</v>
      </c>
      <c r="Z87" s="31">
        <v>0.65</v>
      </c>
      <c r="AA87" s="30" t="s">
        <v>190</v>
      </c>
      <c r="AB87" s="31" t="s">
        <v>190</v>
      </c>
      <c r="AC87" s="30">
        <v>631</v>
      </c>
      <c r="AD87" s="31">
        <v>1122.3</v>
      </c>
      <c r="AE87" s="30">
        <v>106</v>
      </c>
      <c r="AF87" s="31">
        <v>239.2</v>
      </c>
      <c r="AG87" s="30">
        <v>40</v>
      </c>
      <c r="AH87" s="31">
        <v>10.25</v>
      </c>
      <c r="AI87" s="30">
        <v>2</v>
      </c>
      <c r="AJ87" s="31">
        <v>0.1</v>
      </c>
      <c r="AK87" s="30">
        <v>106</v>
      </c>
      <c r="AL87" s="31">
        <v>93.1</v>
      </c>
      <c r="AM87" s="30">
        <v>32</v>
      </c>
      <c r="AN87" s="31">
        <v>29.158000000000001</v>
      </c>
      <c r="AO87" s="30">
        <v>124</v>
      </c>
      <c r="AP87" s="31">
        <v>151.30000000000001</v>
      </c>
      <c r="AQ87" s="30">
        <v>209</v>
      </c>
      <c r="AR87" s="31">
        <v>234.7</v>
      </c>
      <c r="AS87" s="34" t="s">
        <v>190</v>
      </c>
      <c r="AT87" s="31" t="s">
        <v>190</v>
      </c>
      <c r="AU87" s="30">
        <v>90</v>
      </c>
      <c r="AV87" s="31">
        <v>45.3</v>
      </c>
      <c r="AW87" s="34">
        <v>4</v>
      </c>
      <c r="AX87" s="31">
        <v>3.2</v>
      </c>
      <c r="AY87" s="30">
        <v>29</v>
      </c>
      <c r="AZ87" s="31">
        <v>23.65</v>
      </c>
      <c r="BA87" s="34" t="s">
        <v>190</v>
      </c>
      <c r="BB87" s="31" t="s">
        <v>190</v>
      </c>
      <c r="BC87" s="30">
        <v>147</v>
      </c>
      <c r="BD87" s="31">
        <v>55.2</v>
      </c>
      <c r="BE87" s="32">
        <v>137</v>
      </c>
      <c r="BF87" s="33">
        <v>36.893000000000001</v>
      </c>
      <c r="BG87" s="18" t="s">
        <v>126</v>
      </c>
      <c r="BH87" s="19"/>
    </row>
    <row r="88" spans="1:60" s="16" customFormat="1" x14ac:dyDescent="0.3">
      <c r="A88" s="79" t="s">
        <v>127</v>
      </c>
      <c r="B88" s="94">
        <f>SUM(B90:B94)</f>
        <v>5353</v>
      </c>
      <c r="C88" s="82">
        <f t="shared" ref="C88:D88" si="115">SUM(C90:C94)</f>
        <v>131</v>
      </c>
      <c r="D88" s="82">
        <f t="shared" si="115"/>
        <v>192.22</v>
      </c>
      <c r="E88" s="82">
        <f t="shared" ref="E88:P88" si="116">SUM(E90:E94)</f>
        <v>178</v>
      </c>
      <c r="F88" s="82">
        <f t="shared" si="116"/>
        <v>310.63</v>
      </c>
      <c r="G88" s="82">
        <f t="shared" si="116"/>
        <v>103</v>
      </c>
      <c r="H88" s="82">
        <f>SUM(H90:H94)</f>
        <v>146.03000000000003</v>
      </c>
      <c r="I88" s="82">
        <f t="shared" si="116"/>
        <v>81</v>
      </c>
      <c r="J88" s="82">
        <f t="shared" si="116"/>
        <v>52.210000000000008</v>
      </c>
      <c r="K88" s="82">
        <f t="shared" si="116"/>
        <v>54</v>
      </c>
      <c r="L88" s="82">
        <f t="shared" si="116"/>
        <v>63.509999999999991</v>
      </c>
      <c r="M88" s="82">
        <f t="shared" ref="M88:N88" si="117">SUM(M90:M94)</f>
        <v>92</v>
      </c>
      <c r="N88" s="82">
        <f t="shared" si="117"/>
        <v>85.200000000000017</v>
      </c>
      <c r="O88" s="82">
        <f t="shared" si="116"/>
        <v>132</v>
      </c>
      <c r="P88" s="82">
        <f t="shared" si="116"/>
        <v>193.70499999999998</v>
      </c>
      <c r="Q88" s="80">
        <f t="shared" ref="Q88:V88" si="118">SUM(Q90:Q94)</f>
        <v>30</v>
      </c>
      <c r="R88" s="81">
        <f t="shared" si="118"/>
        <v>17.46</v>
      </c>
      <c r="S88" s="81">
        <f t="shared" si="118"/>
        <v>9</v>
      </c>
      <c r="T88" s="81">
        <f t="shared" si="118"/>
        <v>6.0600000000000005</v>
      </c>
      <c r="U88" s="81">
        <f t="shared" si="118"/>
        <v>146</v>
      </c>
      <c r="V88" s="81">
        <f t="shared" si="118"/>
        <v>135.66</v>
      </c>
      <c r="W88" s="81">
        <f>SUM(W90:W94)</f>
        <v>33</v>
      </c>
      <c r="X88" s="81">
        <f t="shared" ref="X88:AE88" si="119">SUM(X90:X94)</f>
        <v>19.68</v>
      </c>
      <c r="Y88" s="81">
        <f t="shared" si="119"/>
        <v>29</v>
      </c>
      <c r="Z88" s="81">
        <f t="shared" si="119"/>
        <v>30.05</v>
      </c>
      <c r="AA88" s="81">
        <f t="shared" si="119"/>
        <v>4</v>
      </c>
      <c r="AB88" s="81">
        <f t="shared" si="119"/>
        <v>6.5</v>
      </c>
      <c r="AC88" s="87">
        <f t="shared" si="119"/>
        <v>721</v>
      </c>
      <c r="AD88" s="81">
        <f t="shared" si="119"/>
        <v>1850.595</v>
      </c>
      <c r="AE88" s="81">
        <f t="shared" si="119"/>
        <v>193</v>
      </c>
      <c r="AF88" s="87">
        <f>SUM(AF90:AF94)</f>
        <v>769.09999999999991</v>
      </c>
      <c r="AG88" s="87">
        <f t="shared" ref="AG88:AL88" si="120">SUM(AG90:AG94)</f>
        <v>1482</v>
      </c>
      <c r="AH88" s="87">
        <f t="shared" si="120"/>
        <v>1069.8900000000001</v>
      </c>
      <c r="AI88" s="87">
        <f t="shared" si="120"/>
        <v>40</v>
      </c>
      <c r="AJ88" s="87">
        <f t="shared" si="120"/>
        <v>21.3</v>
      </c>
      <c r="AK88" s="87">
        <f t="shared" si="120"/>
        <v>299</v>
      </c>
      <c r="AL88" s="87">
        <f t="shared" si="120"/>
        <v>494.91500000000002</v>
      </c>
      <c r="AM88" s="81">
        <f t="shared" ref="AM88:BF88" si="121">SUM(AM90:AM94)</f>
        <v>133</v>
      </c>
      <c r="AN88" s="91">
        <f t="shared" si="121"/>
        <v>216.54299999999998</v>
      </c>
      <c r="AO88" s="81">
        <f t="shared" si="121"/>
        <v>69</v>
      </c>
      <c r="AP88" s="91">
        <f t="shared" si="121"/>
        <v>260.89999999999998</v>
      </c>
      <c r="AQ88" s="81">
        <f t="shared" si="121"/>
        <v>234</v>
      </c>
      <c r="AR88" s="91">
        <f t="shared" si="121"/>
        <v>391.255</v>
      </c>
      <c r="AS88" s="81">
        <f t="shared" si="121"/>
        <v>23</v>
      </c>
      <c r="AT88" s="87">
        <f t="shared" si="121"/>
        <v>72.75</v>
      </c>
      <c r="AU88" s="81">
        <f t="shared" ref="AU88:AX88" si="122">SUM(AU90:AU94)</f>
        <v>185</v>
      </c>
      <c r="AV88" s="91">
        <f t="shared" si="122"/>
        <v>258.64999999999998</v>
      </c>
      <c r="AW88" s="81">
        <f>SUM(AW90:AW94)</f>
        <v>26</v>
      </c>
      <c r="AX88" s="91">
        <f t="shared" si="122"/>
        <v>69.429000000000002</v>
      </c>
      <c r="AY88" s="81">
        <f>SUM(AY90:AY94)</f>
        <v>22</v>
      </c>
      <c r="AZ88" s="81">
        <f>SUM(AZ90:AZ94)</f>
        <v>12.13</v>
      </c>
      <c r="BA88" s="81">
        <f t="shared" si="121"/>
        <v>0</v>
      </c>
      <c r="BB88" s="91">
        <f t="shared" si="121"/>
        <v>0</v>
      </c>
      <c r="BC88" s="81">
        <f t="shared" si="121"/>
        <v>6</v>
      </c>
      <c r="BD88" s="91">
        <f t="shared" si="121"/>
        <v>6.8999999999999995</v>
      </c>
      <c r="BE88" s="81">
        <f t="shared" si="121"/>
        <v>898</v>
      </c>
      <c r="BF88" s="90">
        <f t="shared" si="121"/>
        <v>587.79999999999995</v>
      </c>
      <c r="BG88" s="89" t="s">
        <v>128</v>
      </c>
      <c r="BH88" s="89"/>
    </row>
    <row r="89" spans="1:60" x14ac:dyDescent="0.3">
      <c r="A89" s="79"/>
      <c r="B89" s="94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0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7"/>
      <c r="AD89" s="81"/>
      <c r="AE89" s="81"/>
      <c r="AF89" s="87"/>
      <c r="AG89" s="87"/>
      <c r="AH89" s="87"/>
      <c r="AI89" s="87"/>
      <c r="AJ89" s="87"/>
      <c r="AK89" s="87"/>
      <c r="AL89" s="87"/>
      <c r="AM89" s="81"/>
      <c r="AN89" s="91"/>
      <c r="AO89" s="81"/>
      <c r="AP89" s="91"/>
      <c r="AQ89" s="81"/>
      <c r="AR89" s="91"/>
      <c r="AS89" s="81"/>
      <c r="AT89" s="87"/>
      <c r="AU89" s="81"/>
      <c r="AV89" s="91"/>
      <c r="AW89" s="81"/>
      <c r="AX89" s="91"/>
      <c r="AY89" s="81"/>
      <c r="AZ89" s="81"/>
      <c r="BA89" s="81"/>
      <c r="BB89" s="91"/>
      <c r="BC89" s="81"/>
      <c r="BD89" s="91"/>
      <c r="BE89" s="81"/>
      <c r="BF89" s="90"/>
      <c r="BG89" s="89"/>
      <c r="BH89" s="89"/>
    </row>
    <row r="90" spans="1:60" x14ac:dyDescent="0.3">
      <c r="A90" s="17" t="s">
        <v>129</v>
      </c>
      <c r="B90" s="46">
        <f>SUM(C90,E90,G90,I90,K90,M90,O90,Q90,S90,U90,W90,Y90,AA90,AC90,AE90,AG90,AI90,AK90,AM90,AO90,AQ90,AS90,AU90,AW90,AY90,BA90,BC90,BE90)</f>
        <v>1889</v>
      </c>
      <c r="C90" s="30">
        <v>35</v>
      </c>
      <c r="D90" s="31">
        <v>38.03</v>
      </c>
      <c r="E90" s="30">
        <v>100</v>
      </c>
      <c r="F90" s="31">
        <v>139.47999999999999</v>
      </c>
      <c r="G90" s="30">
        <v>56</v>
      </c>
      <c r="H90" s="31">
        <v>70.62</v>
      </c>
      <c r="I90" s="30">
        <v>31</v>
      </c>
      <c r="J90" s="31">
        <v>21.21</v>
      </c>
      <c r="K90" s="30">
        <v>41</v>
      </c>
      <c r="L90" s="31">
        <v>42.41</v>
      </c>
      <c r="M90" s="30">
        <v>32</v>
      </c>
      <c r="N90" s="31">
        <v>28.32</v>
      </c>
      <c r="O90" s="30">
        <v>36</v>
      </c>
      <c r="P90" s="31">
        <v>59.1</v>
      </c>
      <c r="Q90" s="30">
        <v>21</v>
      </c>
      <c r="R90" s="31">
        <v>12.6</v>
      </c>
      <c r="S90" s="30" t="s">
        <v>190</v>
      </c>
      <c r="T90" s="31" t="s">
        <v>190</v>
      </c>
      <c r="U90" s="30">
        <v>41</v>
      </c>
      <c r="V90" s="31">
        <v>37.15</v>
      </c>
      <c r="W90" s="30">
        <v>9</v>
      </c>
      <c r="X90" s="31">
        <v>7.08</v>
      </c>
      <c r="Y90" s="30">
        <v>6</v>
      </c>
      <c r="Z90" s="31">
        <v>8.35</v>
      </c>
      <c r="AA90" s="34">
        <v>2</v>
      </c>
      <c r="AB90" s="31">
        <v>4.5</v>
      </c>
      <c r="AC90" s="30">
        <v>298</v>
      </c>
      <c r="AD90" s="31">
        <v>578.54999999999995</v>
      </c>
      <c r="AE90" s="30">
        <v>112</v>
      </c>
      <c r="AF90" s="31">
        <v>454.5</v>
      </c>
      <c r="AG90" s="30">
        <v>121</v>
      </c>
      <c r="AH90" s="31">
        <v>93.039999999999992</v>
      </c>
      <c r="AI90" s="30">
        <v>30</v>
      </c>
      <c r="AJ90" s="31">
        <v>16.600000000000001</v>
      </c>
      <c r="AK90" s="30">
        <v>117</v>
      </c>
      <c r="AL90" s="31">
        <v>157.94999999999999</v>
      </c>
      <c r="AM90" s="30">
        <v>66</v>
      </c>
      <c r="AN90" s="31">
        <v>98.238</v>
      </c>
      <c r="AO90" s="30">
        <v>43</v>
      </c>
      <c r="AP90" s="31">
        <v>135.15</v>
      </c>
      <c r="AQ90" s="30">
        <v>113</v>
      </c>
      <c r="AR90" s="31">
        <v>169.78</v>
      </c>
      <c r="AS90" s="30">
        <v>14</v>
      </c>
      <c r="AT90" s="31">
        <v>36.700000000000003</v>
      </c>
      <c r="AU90" s="30">
        <v>49</v>
      </c>
      <c r="AV90" s="31">
        <v>71.33</v>
      </c>
      <c r="AW90" s="30">
        <v>15</v>
      </c>
      <c r="AX90" s="31">
        <v>35.529000000000003</v>
      </c>
      <c r="AY90" s="30">
        <v>4</v>
      </c>
      <c r="AZ90" s="31">
        <v>2.17</v>
      </c>
      <c r="BA90" s="34" t="s">
        <v>190</v>
      </c>
      <c r="BB90" s="31" t="s">
        <v>190</v>
      </c>
      <c r="BC90" s="30">
        <v>2</v>
      </c>
      <c r="BD90" s="31">
        <v>1.3</v>
      </c>
      <c r="BE90" s="32">
        <v>495</v>
      </c>
      <c r="BF90" s="33">
        <v>325.28999999999996</v>
      </c>
      <c r="BG90" s="18" t="s">
        <v>130</v>
      </c>
      <c r="BH90" s="19"/>
    </row>
    <row r="91" spans="1:60" x14ac:dyDescent="0.3">
      <c r="A91" s="17" t="s">
        <v>131</v>
      </c>
      <c r="B91" s="46">
        <f>SUM(C91,E91,G91,I91,K91,M91,O91,Q91,S91,U91,W91,Y91,AA91,AC91,AE91,AG91,AI91,AK91,AM91,AO91,AQ91,AS91,AU91,AW91,AY91,BA91,BC91,BE91)</f>
        <v>997</v>
      </c>
      <c r="C91" s="30">
        <v>65</v>
      </c>
      <c r="D91" s="31">
        <v>117</v>
      </c>
      <c r="E91" s="30">
        <v>38</v>
      </c>
      <c r="F91" s="31">
        <v>114</v>
      </c>
      <c r="G91" s="30">
        <v>21</v>
      </c>
      <c r="H91" s="31">
        <v>42</v>
      </c>
      <c r="I91" s="30">
        <v>8</v>
      </c>
      <c r="J91" s="31">
        <v>7.8</v>
      </c>
      <c r="K91" s="30">
        <v>3</v>
      </c>
      <c r="L91" s="31">
        <v>6</v>
      </c>
      <c r="M91" s="30">
        <v>39</v>
      </c>
      <c r="N91" s="31">
        <v>38.799999999999997</v>
      </c>
      <c r="O91" s="30">
        <v>77</v>
      </c>
      <c r="P91" s="31">
        <v>114.5</v>
      </c>
      <c r="Q91" s="30">
        <v>8</v>
      </c>
      <c r="R91" s="31">
        <v>4</v>
      </c>
      <c r="S91" s="30">
        <v>6</v>
      </c>
      <c r="T91" s="31">
        <v>4.2</v>
      </c>
      <c r="U91" s="30">
        <v>63</v>
      </c>
      <c r="V91" s="31">
        <v>62.8</v>
      </c>
      <c r="W91" s="34" t="s">
        <v>190</v>
      </c>
      <c r="X91" s="31" t="s">
        <v>190</v>
      </c>
      <c r="Y91" s="30">
        <v>7</v>
      </c>
      <c r="Z91" s="31">
        <v>7</v>
      </c>
      <c r="AA91" s="34" t="s">
        <v>190</v>
      </c>
      <c r="AB91" s="31" t="s">
        <v>190</v>
      </c>
      <c r="AC91" s="30">
        <v>237</v>
      </c>
      <c r="AD91" s="31">
        <v>948</v>
      </c>
      <c r="AE91" s="30">
        <v>3</v>
      </c>
      <c r="AF91" s="31">
        <v>24</v>
      </c>
      <c r="AG91" s="30">
        <v>59</v>
      </c>
      <c r="AH91" s="31">
        <v>35.4</v>
      </c>
      <c r="AI91" s="30">
        <v>3</v>
      </c>
      <c r="AJ91" s="31">
        <v>1.5</v>
      </c>
      <c r="AK91" s="30">
        <v>93</v>
      </c>
      <c r="AL91" s="31">
        <v>186</v>
      </c>
      <c r="AM91" s="30">
        <v>6</v>
      </c>
      <c r="AN91" s="31">
        <v>12</v>
      </c>
      <c r="AO91" s="34" t="s">
        <v>190</v>
      </c>
      <c r="AP91" s="31" t="s">
        <v>190</v>
      </c>
      <c r="AQ91" s="30">
        <v>72</v>
      </c>
      <c r="AR91" s="31">
        <v>144</v>
      </c>
      <c r="AS91" s="34" t="s">
        <v>190</v>
      </c>
      <c r="AT91" s="31" t="s">
        <v>190</v>
      </c>
      <c r="AU91" s="30">
        <v>99</v>
      </c>
      <c r="AV91" s="31">
        <v>148.5</v>
      </c>
      <c r="AW91" s="34" t="s">
        <v>190</v>
      </c>
      <c r="AX91" s="31" t="s">
        <v>190</v>
      </c>
      <c r="AY91" s="34" t="s">
        <v>190</v>
      </c>
      <c r="AZ91" s="31" t="s">
        <v>190</v>
      </c>
      <c r="BA91" s="34" t="s">
        <v>190</v>
      </c>
      <c r="BB91" s="31" t="s">
        <v>190</v>
      </c>
      <c r="BC91" s="30" t="s">
        <v>190</v>
      </c>
      <c r="BD91" s="31" t="s">
        <v>190</v>
      </c>
      <c r="BE91" s="32">
        <v>90</v>
      </c>
      <c r="BF91" s="33">
        <v>112.1</v>
      </c>
      <c r="BG91" s="18" t="s">
        <v>132</v>
      </c>
      <c r="BH91" s="19"/>
    </row>
    <row r="92" spans="1:60" x14ac:dyDescent="0.3">
      <c r="A92" s="17" t="s">
        <v>133</v>
      </c>
      <c r="B92" s="46">
        <f>SUM(C92,E92,G92,I92,K92,M92,O92,Q92,S92,U92,W92,Y92,AA92,AC92,AE92,AG92,AI92,AK92,AM92,AO92,AQ92,AS92,AU92,AW92,AY92,BA92,BC92,BE92)</f>
        <v>1586</v>
      </c>
      <c r="C92" s="30">
        <v>11</v>
      </c>
      <c r="D92" s="31">
        <v>18.850000000000001</v>
      </c>
      <c r="E92" s="30">
        <v>10</v>
      </c>
      <c r="F92" s="31">
        <v>25.4</v>
      </c>
      <c r="G92" s="30">
        <v>10</v>
      </c>
      <c r="H92" s="31">
        <v>18.8</v>
      </c>
      <c r="I92" s="30" t="s">
        <v>190</v>
      </c>
      <c r="J92" s="31" t="s">
        <v>190</v>
      </c>
      <c r="K92" s="34">
        <v>6</v>
      </c>
      <c r="L92" s="31">
        <v>12.3</v>
      </c>
      <c r="M92" s="30" t="s">
        <v>190</v>
      </c>
      <c r="N92" s="31" t="s">
        <v>190</v>
      </c>
      <c r="O92" s="30">
        <v>2</v>
      </c>
      <c r="P92" s="31">
        <v>5.3</v>
      </c>
      <c r="Q92" s="30">
        <v>1</v>
      </c>
      <c r="R92" s="31">
        <v>0.86</v>
      </c>
      <c r="S92" s="30">
        <v>3</v>
      </c>
      <c r="T92" s="31">
        <v>1.8599999999999999</v>
      </c>
      <c r="U92" s="30">
        <v>3</v>
      </c>
      <c r="V92" s="31">
        <v>7.4</v>
      </c>
      <c r="W92" s="34" t="s">
        <v>190</v>
      </c>
      <c r="X92" s="31" t="s">
        <v>190</v>
      </c>
      <c r="Y92" s="34" t="s">
        <v>190</v>
      </c>
      <c r="Z92" s="31" t="s">
        <v>190</v>
      </c>
      <c r="AA92" s="34" t="s">
        <v>190</v>
      </c>
      <c r="AB92" s="31" t="s">
        <v>190</v>
      </c>
      <c r="AC92" s="30">
        <v>58</v>
      </c>
      <c r="AD92" s="31">
        <v>211.655</v>
      </c>
      <c r="AE92" s="30">
        <v>14</v>
      </c>
      <c r="AF92" s="31">
        <v>73.400000000000006</v>
      </c>
      <c r="AG92" s="30">
        <v>1251</v>
      </c>
      <c r="AH92" s="31">
        <v>906.7</v>
      </c>
      <c r="AI92" s="30">
        <v>1</v>
      </c>
      <c r="AJ92" s="31">
        <v>0.5</v>
      </c>
      <c r="AK92" s="30">
        <v>29</v>
      </c>
      <c r="AL92" s="31">
        <v>75.03</v>
      </c>
      <c r="AM92" s="30">
        <v>24</v>
      </c>
      <c r="AN92" s="31">
        <v>79.77</v>
      </c>
      <c r="AO92" s="30">
        <v>11</v>
      </c>
      <c r="AP92" s="31">
        <v>88.35</v>
      </c>
      <c r="AQ92" s="30">
        <v>18</v>
      </c>
      <c r="AR92" s="31">
        <v>43.55</v>
      </c>
      <c r="AS92" s="30">
        <v>3</v>
      </c>
      <c r="AT92" s="31">
        <v>24.45</v>
      </c>
      <c r="AU92" s="30">
        <v>11</v>
      </c>
      <c r="AV92" s="31">
        <v>22.89</v>
      </c>
      <c r="AW92" s="34">
        <v>3</v>
      </c>
      <c r="AX92" s="31">
        <v>24.4</v>
      </c>
      <c r="AY92" s="34">
        <v>1</v>
      </c>
      <c r="AZ92" s="31">
        <v>0.7</v>
      </c>
      <c r="BA92" s="34" t="s">
        <v>190</v>
      </c>
      <c r="BB92" s="31" t="s">
        <v>190</v>
      </c>
      <c r="BC92" s="30" t="s">
        <v>190</v>
      </c>
      <c r="BD92" s="31" t="s">
        <v>190</v>
      </c>
      <c r="BE92" s="32">
        <v>116</v>
      </c>
      <c r="BF92" s="33">
        <v>47.49</v>
      </c>
      <c r="BG92" s="18" t="s">
        <v>134</v>
      </c>
      <c r="BH92" s="19"/>
    </row>
    <row r="93" spans="1:60" x14ac:dyDescent="0.3">
      <c r="A93" s="17" t="s">
        <v>135</v>
      </c>
      <c r="B93" s="46">
        <f>SUM(C93,E93,G93,I93,K93,M93,O93,Q93,S93,U93,W93,Y93,AA93,AC93,AE93,AG93,AI93,AK93,AM93,AO93,AQ93,AS93,AU93,AW93,AY93,BA93,BC93,BE93)</f>
        <v>493</v>
      </c>
      <c r="C93" s="30">
        <v>12</v>
      </c>
      <c r="D93" s="31">
        <v>12</v>
      </c>
      <c r="E93" s="30">
        <v>21</v>
      </c>
      <c r="F93" s="31">
        <v>24.5</v>
      </c>
      <c r="G93" s="30">
        <v>10</v>
      </c>
      <c r="H93" s="31">
        <v>10.4</v>
      </c>
      <c r="I93" s="30">
        <v>28</v>
      </c>
      <c r="J93" s="31">
        <v>11.4</v>
      </c>
      <c r="K93" s="34">
        <v>3</v>
      </c>
      <c r="L93" s="31">
        <v>1.8</v>
      </c>
      <c r="M93" s="30">
        <v>11</v>
      </c>
      <c r="N93" s="31">
        <v>5.4</v>
      </c>
      <c r="O93" s="30">
        <v>11</v>
      </c>
      <c r="P93" s="31">
        <v>11.2</v>
      </c>
      <c r="Q93" s="34" t="s">
        <v>190</v>
      </c>
      <c r="R93" s="31" t="s">
        <v>190</v>
      </c>
      <c r="S93" s="30" t="s">
        <v>190</v>
      </c>
      <c r="T93" s="31" t="s">
        <v>190</v>
      </c>
      <c r="U93" s="30">
        <v>27</v>
      </c>
      <c r="V93" s="31">
        <v>15.65</v>
      </c>
      <c r="W93" s="30">
        <v>9</v>
      </c>
      <c r="X93" s="31">
        <v>3.6</v>
      </c>
      <c r="Y93" s="34">
        <v>2</v>
      </c>
      <c r="Z93" s="31">
        <v>1</v>
      </c>
      <c r="AA93" s="30">
        <v>2</v>
      </c>
      <c r="AB93" s="31">
        <v>2</v>
      </c>
      <c r="AC93" s="30">
        <v>76</v>
      </c>
      <c r="AD93" s="31">
        <v>43.2</v>
      </c>
      <c r="AE93" s="30">
        <v>38</v>
      </c>
      <c r="AF93" s="31">
        <v>76.8</v>
      </c>
      <c r="AG93" s="30">
        <v>28</v>
      </c>
      <c r="AH93" s="31">
        <v>14.75</v>
      </c>
      <c r="AI93" s="30">
        <v>4</v>
      </c>
      <c r="AJ93" s="31">
        <v>1.9</v>
      </c>
      <c r="AK93" s="30">
        <v>33</v>
      </c>
      <c r="AL93" s="31">
        <v>20.25</v>
      </c>
      <c r="AM93" s="30">
        <v>17</v>
      </c>
      <c r="AN93" s="31">
        <v>10.25</v>
      </c>
      <c r="AO93" s="30">
        <v>6</v>
      </c>
      <c r="AP93" s="31">
        <v>11</v>
      </c>
      <c r="AQ93" s="30">
        <v>17</v>
      </c>
      <c r="AR93" s="31">
        <v>11</v>
      </c>
      <c r="AS93" s="30">
        <v>2</v>
      </c>
      <c r="AT93" s="31">
        <v>2.2999999999999998</v>
      </c>
      <c r="AU93" s="30">
        <v>19</v>
      </c>
      <c r="AV93" s="31">
        <v>9.6300000000000008</v>
      </c>
      <c r="AW93" s="30">
        <v>5</v>
      </c>
      <c r="AX93" s="31">
        <v>4</v>
      </c>
      <c r="AY93" s="30">
        <v>2</v>
      </c>
      <c r="AZ93" s="31">
        <v>1.6</v>
      </c>
      <c r="BA93" s="34" t="s">
        <v>190</v>
      </c>
      <c r="BB93" s="31" t="s">
        <v>190</v>
      </c>
      <c r="BC93" s="30">
        <v>4</v>
      </c>
      <c r="BD93" s="31">
        <v>5.6</v>
      </c>
      <c r="BE93" s="32">
        <v>106</v>
      </c>
      <c r="BF93" s="33">
        <v>56.25</v>
      </c>
      <c r="BG93" s="18" t="s">
        <v>136</v>
      </c>
      <c r="BH93" s="19"/>
    </row>
    <row r="94" spans="1:60" x14ac:dyDescent="0.3">
      <c r="A94" s="17" t="s">
        <v>137</v>
      </c>
      <c r="B94" s="46">
        <f>SUM(C94,E94,G94,I94,K94,M94,O94,Q94,S94,U94,W94,Y94,AA94,AC94,AE94,AG94,AI94,AK94,AM94,AO94,AQ94,AS94,AU94,AW94,AY94,BA94,BC94,BE94)</f>
        <v>388</v>
      </c>
      <c r="C94" s="30">
        <v>8</v>
      </c>
      <c r="D94" s="31">
        <v>6.34</v>
      </c>
      <c r="E94" s="30">
        <v>9</v>
      </c>
      <c r="F94" s="31">
        <v>7.25</v>
      </c>
      <c r="G94" s="30">
        <v>6</v>
      </c>
      <c r="H94" s="31">
        <v>4.21</v>
      </c>
      <c r="I94" s="30">
        <v>14</v>
      </c>
      <c r="J94" s="31">
        <v>11.8</v>
      </c>
      <c r="K94" s="30">
        <v>1</v>
      </c>
      <c r="L94" s="31">
        <v>1</v>
      </c>
      <c r="M94" s="30">
        <v>10</v>
      </c>
      <c r="N94" s="31">
        <v>12.68</v>
      </c>
      <c r="O94" s="30">
        <v>6</v>
      </c>
      <c r="P94" s="31">
        <v>3.605</v>
      </c>
      <c r="Q94" s="30" t="s">
        <v>190</v>
      </c>
      <c r="R94" s="31" t="s">
        <v>190</v>
      </c>
      <c r="S94" s="30" t="s">
        <v>190</v>
      </c>
      <c r="T94" s="31" t="s">
        <v>190</v>
      </c>
      <c r="U94" s="30">
        <v>12</v>
      </c>
      <c r="V94" s="31">
        <v>12.66</v>
      </c>
      <c r="W94" s="30">
        <v>15</v>
      </c>
      <c r="X94" s="31">
        <v>9</v>
      </c>
      <c r="Y94" s="30">
        <v>14</v>
      </c>
      <c r="Z94" s="31">
        <v>13.7</v>
      </c>
      <c r="AA94" s="34" t="s">
        <v>190</v>
      </c>
      <c r="AB94" s="31" t="s">
        <v>190</v>
      </c>
      <c r="AC94" s="30">
        <v>52</v>
      </c>
      <c r="AD94" s="31">
        <v>69.19</v>
      </c>
      <c r="AE94" s="30">
        <v>26</v>
      </c>
      <c r="AF94" s="31">
        <v>140.4</v>
      </c>
      <c r="AG94" s="30">
        <v>23</v>
      </c>
      <c r="AH94" s="31">
        <v>20</v>
      </c>
      <c r="AI94" s="30">
        <v>2</v>
      </c>
      <c r="AJ94" s="31">
        <v>0.8</v>
      </c>
      <c r="AK94" s="30">
        <v>27</v>
      </c>
      <c r="AL94" s="31">
        <v>55.685000000000002</v>
      </c>
      <c r="AM94" s="30">
        <v>20</v>
      </c>
      <c r="AN94" s="31">
        <v>16.285</v>
      </c>
      <c r="AO94" s="30">
        <v>9</v>
      </c>
      <c r="AP94" s="31">
        <v>26.4</v>
      </c>
      <c r="AQ94" s="30">
        <v>14</v>
      </c>
      <c r="AR94" s="31">
        <v>22.925000000000001</v>
      </c>
      <c r="AS94" s="30">
        <v>4</v>
      </c>
      <c r="AT94" s="31">
        <v>9.3000000000000007</v>
      </c>
      <c r="AU94" s="30">
        <v>7</v>
      </c>
      <c r="AV94" s="31">
        <v>6.3</v>
      </c>
      <c r="AW94" s="30">
        <v>3</v>
      </c>
      <c r="AX94" s="31">
        <v>5.5</v>
      </c>
      <c r="AY94" s="30">
        <v>15</v>
      </c>
      <c r="AZ94" s="31">
        <v>7.66</v>
      </c>
      <c r="BA94" s="30" t="s">
        <v>190</v>
      </c>
      <c r="BB94" s="31" t="s">
        <v>190</v>
      </c>
      <c r="BC94" s="30" t="s">
        <v>190</v>
      </c>
      <c r="BD94" s="31" t="s">
        <v>190</v>
      </c>
      <c r="BE94" s="32">
        <v>91</v>
      </c>
      <c r="BF94" s="33">
        <v>46.67</v>
      </c>
      <c r="BG94" s="18" t="s">
        <v>138</v>
      </c>
      <c r="BH94" s="19"/>
    </row>
    <row r="95" spans="1:60" s="16" customFormat="1" x14ac:dyDescent="0.3">
      <c r="A95" s="79" t="s">
        <v>139</v>
      </c>
      <c r="B95" s="94">
        <f>SUM(B97:B109)</f>
        <v>7656</v>
      </c>
      <c r="C95" s="82">
        <f>SUM(C97:C109)</f>
        <v>198</v>
      </c>
      <c r="D95" s="82">
        <f>SUM(D97:D109)</f>
        <v>149.76</v>
      </c>
      <c r="E95" s="82">
        <f t="shared" ref="E95:P95" si="123">SUM(E97:E109)</f>
        <v>323</v>
      </c>
      <c r="F95" s="82">
        <f t="shared" si="123"/>
        <v>366.76000000000005</v>
      </c>
      <c r="G95" s="82">
        <f t="shared" si="123"/>
        <v>221</v>
      </c>
      <c r="H95" s="82">
        <f t="shared" si="123"/>
        <v>192.863</v>
      </c>
      <c r="I95" s="82">
        <f t="shared" si="123"/>
        <v>200</v>
      </c>
      <c r="J95" s="82">
        <f t="shared" si="123"/>
        <v>155.54999999999998</v>
      </c>
      <c r="K95" s="82">
        <f t="shared" si="123"/>
        <v>74</v>
      </c>
      <c r="L95" s="82">
        <f t="shared" si="123"/>
        <v>68.38</v>
      </c>
      <c r="M95" s="82">
        <f t="shared" ref="M95:N95" si="124">SUM(M97:M109)</f>
        <v>120</v>
      </c>
      <c r="N95" s="82">
        <f t="shared" si="124"/>
        <v>88.701000000000008</v>
      </c>
      <c r="O95" s="82">
        <f t="shared" si="123"/>
        <v>419</v>
      </c>
      <c r="P95" s="82">
        <f t="shared" si="123"/>
        <v>431.44200000000001</v>
      </c>
      <c r="Q95" s="80">
        <f t="shared" ref="Q95:U95" si="125">SUM(Q97:Q109)</f>
        <v>112</v>
      </c>
      <c r="R95" s="81">
        <f t="shared" si="125"/>
        <v>71.863</v>
      </c>
      <c r="S95" s="81">
        <f t="shared" si="125"/>
        <v>81</v>
      </c>
      <c r="T95" s="81">
        <f t="shared" si="125"/>
        <v>50.04</v>
      </c>
      <c r="U95" s="81">
        <f t="shared" si="125"/>
        <v>416</v>
      </c>
      <c r="V95" s="81">
        <f>SUM(V97:V109)</f>
        <v>274.79500000000002</v>
      </c>
      <c r="W95" s="81">
        <f>SUM(W97:W109)</f>
        <v>137</v>
      </c>
      <c r="X95" s="81">
        <f t="shared" ref="X95:AE95" si="126">SUM(X97:X109)</f>
        <v>90.08</v>
      </c>
      <c r="Y95" s="81">
        <f t="shared" si="126"/>
        <v>89</v>
      </c>
      <c r="Z95" s="81">
        <f t="shared" si="126"/>
        <v>129.18</v>
      </c>
      <c r="AA95" s="81">
        <f t="shared" si="126"/>
        <v>395</v>
      </c>
      <c r="AB95" s="81">
        <f t="shared" si="126"/>
        <v>93.6</v>
      </c>
      <c r="AC95" s="87">
        <f t="shared" si="126"/>
        <v>1076</v>
      </c>
      <c r="AD95" s="81">
        <f t="shared" si="126"/>
        <v>1521.6190000000001</v>
      </c>
      <c r="AE95" s="81">
        <f t="shared" si="126"/>
        <v>302</v>
      </c>
      <c r="AF95" s="87">
        <f>SUM(AF97:AF109)</f>
        <v>1049.55</v>
      </c>
      <c r="AG95" s="87">
        <f t="shared" ref="AG95:AL95" si="127">SUM(AG97:AG109)</f>
        <v>391</v>
      </c>
      <c r="AH95" s="87">
        <f t="shared" si="127"/>
        <v>289.62</v>
      </c>
      <c r="AI95" s="87">
        <f t="shared" si="127"/>
        <v>100</v>
      </c>
      <c r="AJ95" s="87">
        <f t="shared" si="127"/>
        <v>52.795000000000002</v>
      </c>
      <c r="AK95" s="87">
        <f t="shared" si="127"/>
        <v>644</v>
      </c>
      <c r="AL95" s="87">
        <f t="shared" si="127"/>
        <v>1021.8599999999999</v>
      </c>
      <c r="AM95" s="81">
        <f t="shared" ref="AM95:BF95" si="128">SUM(AM97:AM109)</f>
        <v>258</v>
      </c>
      <c r="AN95" s="91">
        <f t="shared" si="128"/>
        <v>241.637</v>
      </c>
      <c r="AO95" s="81">
        <f t="shared" si="128"/>
        <v>150</v>
      </c>
      <c r="AP95" s="91">
        <f t="shared" si="128"/>
        <v>416.95000000000005</v>
      </c>
      <c r="AQ95" s="81">
        <f t="shared" si="128"/>
        <v>410</v>
      </c>
      <c r="AR95" s="91">
        <f t="shared" si="128"/>
        <v>547.49099999999999</v>
      </c>
      <c r="AS95" s="81">
        <f t="shared" si="128"/>
        <v>47</v>
      </c>
      <c r="AT95" s="87">
        <f t="shared" si="128"/>
        <v>101.69999999999999</v>
      </c>
      <c r="AU95" s="81">
        <f t="shared" ref="AU95:AX95" si="129">SUM(AU97:AU109)</f>
        <v>265</v>
      </c>
      <c r="AV95" s="91">
        <f>SUM(AV97:AV109)</f>
        <v>264.34000000000003</v>
      </c>
      <c r="AW95" s="81">
        <f t="shared" si="129"/>
        <v>76</v>
      </c>
      <c r="AX95" s="91">
        <f t="shared" si="129"/>
        <v>105</v>
      </c>
      <c r="AY95" s="81">
        <f>SUM(AY97:AY109)</f>
        <v>165</v>
      </c>
      <c r="AZ95" s="81">
        <f>SUM(AZ97:AZ109)</f>
        <v>110.25</v>
      </c>
      <c r="BA95" s="81">
        <f t="shared" si="128"/>
        <v>0</v>
      </c>
      <c r="BB95" s="91">
        <f t="shared" si="128"/>
        <v>0</v>
      </c>
      <c r="BC95" s="81">
        <f t="shared" si="128"/>
        <v>121</v>
      </c>
      <c r="BD95" s="91">
        <f t="shared" si="128"/>
        <v>104.69000000000001</v>
      </c>
      <c r="BE95" s="81">
        <f t="shared" si="128"/>
        <v>866</v>
      </c>
      <c r="BF95" s="90">
        <f t="shared" si="128"/>
        <v>593.04899999999998</v>
      </c>
      <c r="BG95" s="89" t="s">
        <v>140</v>
      </c>
      <c r="BH95" s="89"/>
    </row>
    <row r="96" spans="1:60" x14ac:dyDescent="0.3">
      <c r="A96" s="79"/>
      <c r="B96" s="94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0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7"/>
      <c r="AD96" s="81"/>
      <c r="AE96" s="81"/>
      <c r="AF96" s="87"/>
      <c r="AG96" s="87"/>
      <c r="AH96" s="87"/>
      <c r="AI96" s="87"/>
      <c r="AJ96" s="87"/>
      <c r="AK96" s="87"/>
      <c r="AL96" s="87"/>
      <c r="AM96" s="81"/>
      <c r="AN96" s="91"/>
      <c r="AO96" s="81"/>
      <c r="AP96" s="91"/>
      <c r="AQ96" s="81"/>
      <c r="AR96" s="91"/>
      <c r="AS96" s="81"/>
      <c r="AT96" s="87"/>
      <c r="AU96" s="81"/>
      <c r="AV96" s="91"/>
      <c r="AW96" s="81"/>
      <c r="AX96" s="91"/>
      <c r="AY96" s="81"/>
      <c r="AZ96" s="81"/>
      <c r="BA96" s="81"/>
      <c r="BB96" s="91"/>
      <c r="BC96" s="81"/>
      <c r="BD96" s="91"/>
      <c r="BE96" s="81"/>
      <c r="BF96" s="90"/>
      <c r="BG96" s="89"/>
      <c r="BH96" s="89"/>
    </row>
    <row r="97" spans="1:60" x14ac:dyDescent="0.3">
      <c r="A97" s="17" t="s">
        <v>141</v>
      </c>
      <c r="B97" s="46">
        <f t="shared" ref="B97:B109" si="130">SUM(C97,E97,G97,I97,K97,M97,O97,Q97,S97,U97,W97,Y97,AA97,AC97,AE97,AG97,AI97,AK97,AM97,AO97,AQ97,AS97,AU97,AW97,AY97,BA97,BC97,BE97)</f>
        <v>263</v>
      </c>
      <c r="C97" s="30">
        <v>5</v>
      </c>
      <c r="D97" s="31">
        <v>5</v>
      </c>
      <c r="E97" s="30">
        <v>5</v>
      </c>
      <c r="F97" s="31">
        <v>4.2</v>
      </c>
      <c r="G97" s="30">
        <v>3</v>
      </c>
      <c r="H97" s="31">
        <v>3</v>
      </c>
      <c r="I97" s="30">
        <v>1</v>
      </c>
      <c r="J97" s="31">
        <v>0.5</v>
      </c>
      <c r="K97" s="34" t="s">
        <v>190</v>
      </c>
      <c r="L97" s="31" t="s">
        <v>190</v>
      </c>
      <c r="M97" s="30">
        <v>2</v>
      </c>
      <c r="N97" s="31">
        <v>2</v>
      </c>
      <c r="O97" s="30">
        <v>5</v>
      </c>
      <c r="P97" s="31">
        <v>7.5</v>
      </c>
      <c r="Q97" s="30" t="s">
        <v>190</v>
      </c>
      <c r="R97" s="31" t="s">
        <v>190</v>
      </c>
      <c r="S97" s="30" t="s">
        <v>190</v>
      </c>
      <c r="T97" s="31" t="s">
        <v>190</v>
      </c>
      <c r="U97" s="30">
        <v>11</v>
      </c>
      <c r="V97" s="31">
        <v>11</v>
      </c>
      <c r="W97" s="30">
        <v>3</v>
      </c>
      <c r="X97" s="31">
        <v>2</v>
      </c>
      <c r="Y97" s="34" t="s">
        <v>190</v>
      </c>
      <c r="Z97" s="31" t="s">
        <v>190</v>
      </c>
      <c r="AA97" s="34" t="s">
        <v>190</v>
      </c>
      <c r="AB97" s="31" t="s">
        <v>190</v>
      </c>
      <c r="AC97" s="30">
        <v>11</v>
      </c>
      <c r="AD97" s="31">
        <v>22</v>
      </c>
      <c r="AE97" s="30">
        <v>52</v>
      </c>
      <c r="AF97" s="31">
        <v>208</v>
      </c>
      <c r="AG97" s="30">
        <v>8</v>
      </c>
      <c r="AH97" s="31">
        <v>7.8</v>
      </c>
      <c r="AI97" s="30" t="s">
        <v>190</v>
      </c>
      <c r="AJ97" s="31" t="s">
        <v>190</v>
      </c>
      <c r="AK97" s="30">
        <v>77</v>
      </c>
      <c r="AL97" s="31">
        <v>140</v>
      </c>
      <c r="AM97" s="30">
        <v>1</v>
      </c>
      <c r="AN97" s="31">
        <v>1</v>
      </c>
      <c r="AO97" s="30">
        <v>18</v>
      </c>
      <c r="AP97" s="31">
        <v>26</v>
      </c>
      <c r="AQ97" s="30">
        <v>7</v>
      </c>
      <c r="AR97" s="31">
        <v>14</v>
      </c>
      <c r="AS97" s="30">
        <v>7</v>
      </c>
      <c r="AT97" s="31">
        <v>21</v>
      </c>
      <c r="AU97" s="30">
        <v>10</v>
      </c>
      <c r="AV97" s="31">
        <v>15</v>
      </c>
      <c r="AW97" s="34">
        <v>6</v>
      </c>
      <c r="AX97" s="31">
        <v>12.5</v>
      </c>
      <c r="AY97" s="30">
        <v>3</v>
      </c>
      <c r="AZ97" s="31">
        <v>2.1</v>
      </c>
      <c r="BA97" s="34" t="s">
        <v>190</v>
      </c>
      <c r="BB97" s="31" t="s">
        <v>190</v>
      </c>
      <c r="BC97" s="30">
        <v>2</v>
      </c>
      <c r="BD97" s="31">
        <v>1</v>
      </c>
      <c r="BE97" s="32">
        <v>26</v>
      </c>
      <c r="BF97" s="33">
        <v>24.1</v>
      </c>
      <c r="BG97" s="18" t="s">
        <v>142</v>
      </c>
      <c r="BH97" s="19"/>
    </row>
    <row r="98" spans="1:60" x14ac:dyDescent="0.3">
      <c r="A98" s="17" t="s">
        <v>143</v>
      </c>
      <c r="B98" s="46">
        <f t="shared" si="130"/>
        <v>810</v>
      </c>
      <c r="C98" s="30">
        <v>25</v>
      </c>
      <c r="D98" s="31">
        <v>20.6</v>
      </c>
      <c r="E98" s="30">
        <v>42</v>
      </c>
      <c r="F98" s="31">
        <v>30.98</v>
      </c>
      <c r="G98" s="30">
        <v>27</v>
      </c>
      <c r="H98" s="31">
        <v>22.9</v>
      </c>
      <c r="I98" s="30">
        <v>15</v>
      </c>
      <c r="J98" s="31">
        <v>8.35</v>
      </c>
      <c r="K98" s="30">
        <v>12</v>
      </c>
      <c r="L98" s="31">
        <v>7.93</v>
      </c>
      <c r="M98" s="30">
        <v>13</v>
      </c>
      <c r="N98" s="31">
        <v>5.32</v>
      </c>
      <c r="O98" s="30">
        <v>78</v>
      </c>
      <c r="P98" s="31">
        <v>67.38</v>
      </c>
      <c r="Q98" s="30">
        <v>29</v>
      </c>
      <c r="R98" s="31">
        <v>25.103000000000002</v>
      </c>
      <c r="S98" s="30">
        <v>1</v>
      </c>
      <c r="T98" s="31">
        <v>0.4</v>
      </c>
      <c r="U98" s="30">
        <v>45</v>
      </c>
      <c r="V98" s="31">
        <v>35.58</v>
      </c>
      <c r="W98" s="30">
        <v>15</v>
      </c>
      <c r="X98" s="31">
        <v>5.2</v>
      </c>
      <c r="Y98" s="30">
        <v>2</v>
      </c>
      <c r="Z98" s="31">
        <v>0.68</v>
      </c>
      <c r="AA98" s="34" t="s">
        <v>190</v>
      </c>
      <c r="AB98" s="31" t="s">
        <v>190</v>
      </c>
      <c r="AC98" s="30">
        <v>151</v>
      </c>
      <c r="AD98" s="31">
        <v>151.9</v>
      </c>
      <c r="AE98" s="30">
        <v>3</v>
      </c>
      <c r="AF98" s="31">
        <v>4.2</v>
      </c>
      <c r="AG98" s="30">
        <v>40</v>
      </c>
      <c r="AH98" s="31">
        <v>22.62</v>
      </c>
      <c r="AI98" s="30">
        <v>9</v>
      </c>
      <c r="AJ98" s="31">
        <v>3.62</v>
      </c>
      <c r="AK98" s="30">
        <v>49</v>
      </c>
      <c r="AL98" s="31">
        <v>39.380000000000003</v>
      </c>
      <c r="AM98" s="30">
        <v>52</v>
      </c>
      <c r="AN98" s="31">
        <v>43.75</v>
      </c>
      <c r="AO98" s="30">
        <v>2</v>
      </c>
      <c r="AP98" s="31">
        <v>1.55</v>
      </c>
      <c r="AQ98" s="30">
        <v>53</v>
      </c>
      <c r="AR98" s="31">
        <v>44.58</v>
      </c>
      <c r="AS98" s="30" t="s">
        <v>190</v>
      </c>
      <c r="AT98" s="31" t="s">
        <v>190</v>
      </c>
      <c r="AU98" s="30">
        <v>36</v>
      </c>
      <c r="AV98" s="31">
        <v>25.11</v>
      </c>
      <c r="AW98" s="34" t="s">
        <v>190</v>
      </c>
      <c r="AX98" s="31" t="s">
        <v>190</v>
      </c>
      <c r="AY98" s="30">
        <v>8</v>
      </c>
      <c r="AZ98" s="31">
        <v>3.95</v>
      </c>
      <c r="BA98" s="34" t="s">
        <v>190</v>
      </c>
      <c r="BB98" s="31" t="s">
        <v>190</v>
      </c>
      <c r="BC98" s="30" t="s">
        <v>190</v>
      </c>
      <c r="BD98" s="31" t="s">
        <v>190</v>
      </c>
      <c r="BE98" s="32">
        <v>103</v>
      </c>
      <c r="BF98" s="33">
        <v>67.48</v>
      </c>
      <c r="BG98" s="18" t="s">
        <v>144</v>
      </c>
      <c r="BH98" s="19"/>
    </row>
    <row r="99" spans="1:60" x14ac:dyDescent="0.3">
      <c r="A99" s="17" t="s">
        <v>145</v>
      </c>
      <c r="B99" s="46">
        <f t="shared" si="130"/>
        <v>1094</v>
      </c>
      <c r="C99" s="30">
        <v>11</v>
      </c>
      <c r="D99" s="31">
        <v>2.2999999999999998</v>
      </c>
      <c r="E99" s="30">
        <v>23</v>
      </c>
      <c r="F99" s="31">
        <v>5.5</v>
      </c>
      <c r="G99" s="30">
        <v>13</v>
      </c>
      <c r="H99" s="31">
        <v>2.63</v>
      </c>
      <c r="I99" s="30">
        <v>8</v>
      </c>
      <c r="J99" s="31">
        <v>1.95</v>
      </c>
      <c r="K99" s="30">
        <v>6</v>
      </c>
      <c r="L99" s="31">
        <v>2.4500000000000002</v>
      </c>
      <c r="M99" s="30">
        <v>8</v>
      </c>
      <c r="N99" s="31">
        <v>5.45</v>
      </c>
      <c r="O99" s="30">
        <v>24</v>
      </c>
      <c r="P99" s="31">
        <v>5.8</v>
      </c>
      <c r="Q99" s="30">
        <v>11</v>
      </c>
      <c r="R99" s="31">
        <v>3.3</v>
      </c>
      <c r="S99" s="30">
        <v>18</v>
      </c>
      <c r="T99" s="31">
        <v>4.6000000000000005</v>
      </c>
      <c r="U99" s="30">
        <v>53</v>
      </c>
      <c r="V99" s="31">
        <v>13.6</v>
      </c>
      <c r="W99" s="30">
        <v>4</v>
      </c>
      <c r="X99" s="31">
        <v>0.75</v>
      </c>
      <c r="Y99" s="30">
        <v>17</v>
      </c>
      <c r="Z99" s="31">
        <v>3.9</v>
      </c>
      <c r="AA99" s="30">
        <v>395</v>
      </c>
      <c r="AB99" s="31">
        <v>93.6</v>
      </c>
      <c r="AC99" s="30">
        <v>181</v>
      </c>
      <c r="AD99" s="31">
        <v>84.8</v>
      </c>
      <c r="AE99" s="30">
        <v>5</v>
      </c>
      <c r="AF99" s="31">
        <v>25</v>
      </c>
      <c r="AG99" s="30">
        <v>17</v>
      </c>
      <c r="AH99" s="31">
        <v>9.35</v>
      </c>
      <c r="AI99" s="30">
        <v>13</v>
      </c>
      <c r="AJ99" s="31">
        <v>2.15</v>
      </c>
      <c r="AK99" s="30">
        <v>94</v>
      </c>
      <c r="AL99" s="31">
        <v>22.4</v>
      </c>
      <c r="AM99" s="30">
        <v>3</v>
      </c>
      <c r="AN99" s="31">
        <v>5.3</v>
      </c>
      <c r="AO99" s="34" t="s">
        <v>190</v>
      </c>
      <c r="AP99" s="31" t="s">
        <v>190</v>
      </c>
      <c r="AQ99" s="30">
        <v>72</v>
      </c>
      <c r="AR99" s="31">
        <v>21.1</v>
      </c>
      <c r="AS99" s="34" t="s">
        <v>190</v>
      </c>
      <c r="AT99" s="31" t="s">
        <v>190</v>
      </c>
      <c r="AU99" s="30">
        <v>10</v>
      </c>
      <c r="AV99" s="31">
        <v>9.0500000000000007</v>
      </c>
      <c r="AW99" s="34" t="s">
        <v>190</v>
      </c>
      <c r="AX99" s="31" t="s">
        <v>190</v>
      </c>
      <c r="AY99" s="34" t="s">
        <v>190</v>
      </c>
      <c r="AZ99" s="31" t="s">
        <v>190</v>
      </c>
      <c r="BA99" s="34" t="s">
        <v>190</v>
      </c>
      <c r="BB99" s="31" t="s">
        <v>190</v>
      </c>
      <c r="BC99" s="30" t="s">
        <v>190</v>
      </c>
      <c r="BD99" s="31" t="s">
        <v>190</v>
      </c>
      <c r="BE99" s="32">
        <v>108</v>
      </c>
      <c r="BF99" s="33">
        <v>27.78</v>
      </c>
      <c r="BG99" s="18" t="s">
        <v>146</v>
      </c>
      <c r="BH99" s="19"/>
    </row>
    <row r="100" spans="1:60" x14ac:dyDescent="0.3">
      <c r="A100" s="17" t="s">
        <v>147</v>
      </c>
      <c r="B100" s="46">
        <f t="shared" si="130"/>
        <v>1097</v>
      </c>
      <c r="C100" s="30">
        <v>61</v>
      </c>
      <c r="D100" s="31">
        <v>37.799999999999997</v>
      </c>
      <c r="E100" s="30">
        <v>92</v>
      </c>
      <c r="F100" s="31">
        <v>76</v>
      </c>
      <c r="G100" s="30">
        <v>71</v>
      </c>
      <c r="H100" s="31">
        <v>51.7</v>
      </c>
      <c r="I100" s="30">
        <v>65</v>
      </c>
      <c r="J100" s="31">
        <v>32.799999999999997</v>
      </c>
      <c r="K100" s="30">
        <v>2</v>
      </c>
      <c r="L100" s="31">
        <v>2</v>
      </c>
      <c r="M100" s="30">
        <v>29</v>
      </c>
      <c r="N100" s="31">
        <v>21.5</v>
      </c>
      <c r="O100" s="30">
        <v>52</v>
      </c>
      <c r="P100" s="31">
        <v>38.299999999999997</v>
      </c>
      <c r="Q100" s="30">
        <v>16</v>
      </c>
      <c r="R100" s="31">
        <v>7.36</v>
      </c>
      <c r="S100" s="30">
        <v>41</v>
      </c>
      <c r="T100" s="31">
        <v>31.9</v>
      </c>
      <c r="U100" s="30">
        <v>96</v>
      </c>
      <c r="V100" s="31">
        <v>64.3</v>
      </c>
      <c r="W100" s="30">
        <v>24</v>
      </c>
      <c r="X100" s="31">
        <v>17.2</v>
      </c>
      <c r="Y100" s="30">
        <v>25</v>
      </c>
      <c r="Z100" s="31">
        <v>11.9</v>
      </c>
      <c r="AA100" s="34" t="s">
        <v>190</v>
      </c>
      <c r="AB100" s="31" t="s">
        <v>190</v>
      </c>
      <c r="AC100" s="30">
        <v>149</v>
      </c>
      <c r="AD100" s="31">
        <v>156.1</v>
      </c>
      <c r="AE100" s="30">
        <v>4</v>
      </c>
      <c r="AF100" s="31">
        <v>10.5</v>
      </c>
      <c r="AG100" s="30">
        <v>60</v>
      </c>
      <c r="AH100" s="31">
        <v>33</v>
      </c>
      <c r="AI100" s="30">
        <v>11</v>
      </c>
      <c r="AJ100" s="31">
        <v>6.5</v>
      </c>
      <c r="AK100" s="30">
        <v>82</v>
      </c>
      <c r="AL100" s="31">
        <v>73.400000000000006</v>
      </c>
      <c r="AM100" s="30">
        <v>18</v>
      </c>
      <c r="AN100" s="31">
        <v>13.7</v>
      </c>
      <c r="AO100" s="30" t="s">
        <v>190</v>
      </c>
      <c r="AP100" s="31" t="s">
        <v>190</v>
      </c>
      <c r="AQ100" s="30">
        <v>71</v>
      </c>
      <c r="AR100" s="31">
        <v>57.8</v>
      </c>
      <c r="AS100" s="34" t="s">
        <v>190</v>
      </c>
      <c r="AT100" s="31" t="s">
        <v>190</v>
      </c>
      <c r="AU100" s="30">
        <v>49</v>
      </c>
      <c r="AV100" s="31">
        <v>23</v>
      </c>
      <c r="AW100" s="34" t="s">
        <v>190</v>
      </c>
      <c r="AX100" s="31" t="s">
        <v>190</v>
      </c>
      <c r="AY100" s="30">
        <v>4</v>
      </c>
      <c r="AZ100" s="31">
        <v>2.4</v>
      </c>
      <c r="BA100" s="34" t="s">
        <v>190</v>
      </c>
      <c r="BB100" s="31" t="s">
        <v>190</v>
      </c>
      <c r="BC100" s="30" t="s">
        <v>190</v>
      </c>
      <c r="BD100" s="31" t="s">
        <v>190</v>
      </c>
      <c r="BE100" s="32">
        <v>75</v>
      </c>
      <c r="BF100" s="33">
        <v>47</v>
      </c>
      <c r="BG100" s="18" t="s">
        <v>148</v>
      </c>
      <c r="BH100" s="19"/>
    </row>
    <row r="101" spans="1:60" x14ac:dyDescent="0.3">
      <c r="A101" s="17" t="s">
        <v>149</v>
      </c>
      <c r="B101" s="46">
        <f t="shared" si="130"/>
        <v>39</v>
      </c>
      <c r="C101" s="30">
        <v>3</v>
      </c>
      <c r="D101" s="31">
        <v>3</v>
      </c>
      <c r="E101" s="30">
        <v>2</v>
      </c>
      <c r="F101" s="31">
        <v>4</v>
      </c>
      <c r="G101" s="34">
        <v>2</v>
      </c>
      <c r="H101" s="31">
        <v>2.6</v>
      </c>
      <c r="I101" s="30" t="s">
        <v>190</v>
      </c>
      <c r="J101" s="31" t="s">
        <v>190</v>
      </c>
      <c r="K101" s="34" t="s">
        <v>190</v>
      </c>
      <c r="L101" s="31" t="s">
        <v>190</v>
      </c>
      <c r="M101" s="34" t="s">
        <v>190</v>
      </c>
      <c r="N101" s="31" t="s">
        <v>190</v>
      </c>
      <c r="O101" s="30">
        <v>5</v>
      </c>
      <c r="P101" s="31">
        <v>9.5</v>
      </c>
      <c r="Q101" s="34" t="s">
        <v>190</v>
      </c>
      <c r="R101" s="31" t="s">
        <v>190</v>
      </c>
      <c r="S101" s="30" t="s">
        <v>190</v>
      </c>
      <c r="T101" s="31" t="s">
        <v>190</v>
      </c>
      <c r="U101" s="30">
        <v>1</v>
      </c>
      <c r="V101" s="31">
        <v>0.32</v>
      </c>
      <c r="W101" s="30" t="s">
        <v>190</v>
      </c>
      <c r="X101" s="31" t="s">
        <v>190</v>
      </c>
      <c r="Y101" s="30" t="s">
        <v>190</v>
      </c>
      <c r="Z101" s="31" t="s">
        <v>190</v>
      </c>
      <c r="AA101" s="34" t="s">
        <v>190</v>
      </c>
      <c r="AB101" s="31" t="s">
        <v>190</v>
      </c>
      <c r="AC101" s="30">
        <v>5</v>
      </c>
      <c r="AD101" s="31">
        <v>14</v>
      </c>
      <c r="AE101" s="30">
        <v>2</v>
      </c>
      <c r="AF101" s="31">
        <v>4</v>
      </c>
      <c r="AG101" s="30">
        <v>3</v>
      </c>
      <c r="AH101" s="31">
        <v>3.25</v>
      </c>
      <c r="AI101" s="34" t="s">
        <v>190</v>
      </c>
      <c r="AJ101" s="31" t="s">
        <v>190</v>
      </c>
      <c r="AK101" s="30">
        <v>5</v>
      </c>
      <c r="AL101" s="31">
        <v>11.5</v>
      </c>
      <c r="AM101" s="30">
        <v>4</v>
      </c>
      <c r="AN101" s="31">
        <v>5</v>
      </c>
      <c r="AO101" s="30">
        <v>1</v>
      </c>
      <c r="AP101" s="31">
        <v>8</v>
      </c>
      <c r="AQ101" s="30">
        <v>1</v>
      </c>
      <c r="AR101" s="31">
        <v>3</v>
      </c>
      <c r="AS101" s="30" t="s">
        <v>190</v>
      </c>
      <c r="AT101" s="31" t="s">
        <v>190</v>
      </c>
      <c r="AU101" s="30">
        <v>1</v>
      </c>
      <c r="AV101" s="31">
        <v>2.5</v>
      </c>
      <c r="AW101" s="34" t="s">
        <v>190</v>
      </c>
      <c r="AX101" s="31" t="s">
        <v>190</v>
      </c>
      <c r="AY101" s="30" t="s">
        <v>190</v>
      </c>
      <c r="AZ101" s="31" t="s">
        <v>190</v>
      </c>
      <c r="BA101" s="34" t="s">
        <v>190</v>
      </c>
      <c r="BB101" s="31" t="s">
        <v>190</v>
      </c>
      <c r="BC101" s="30" t="s">
        <v>190</v>
      </c>
      <c r="BD101" s="31" t="s">
        <v>190</v>
      </c>
      <c r="BE101" s="32">
        <v>4</v>
      </c>
      <c r="BF101" s="33">
        <v>3</v>
      </c>
      <c r="BG101" s="18" t="s">
        <v>150</v>
      </c>
      <c r="BH101" s="19"/>
    </row>
    <row r="102" spans="1:60" x14ac:dyDescent="0.3">
      <c r="A102" s="17" t="s">
        <v>151</v>
      </c>
      <c r="B102" s="46">
        <f t="shared" si="130"/>
        <v>173</v>
      </c>
      <c r="C102" s="30" t="s">
        <v>190</v>
      </c>
      <c r="D102" s="31" t="s">
        <v>190</v>
      </c>
      <c r="E102" s="30" t="s">
        <v>190</v>
      </c>
      <c r="F102" s="31" t="s">
        <v>190</v>
      </c>
      <c r="G102" s="30" t="s">
        <v>190</v>
      </c>
      <c r="H102" s="31" t="s">
        <v>190</v>
      </c>
      <c r="I102" s="30">
        <v>2</v>
      </c>
      <c r="J102" s="31">
        <v>1</v>
      </c>
      <c r="K102" s="30" t="s">
        <v>190</v>
      </c>
      <c r="L102" s="31" t="s">
        <v>190</v>
      </c>
      <c r="M102" s="30">
        <v>1</v>
      </c>
      <c r="N102" s="31">
        <v>1</v>
      </c>
      <c r="O102" s="30">
        <v>10</v>
      </c>
      <c r="P102" s="31">
        <v>15</v>
      </c>
      <c r="Q102" s="30">
        <v>2</v>
      </c>
      <c r="R102" s="31">
        <v>0.8</v>
      </c>
      <c r="S102" s="30" t="s">
        <v>190</v>
      </c>
      <c r="T102" s="31" t="s">
        <v>190</v>
      </c>
      <c r="U102" s="30">
        <v>6</v>
      </c>
      <c r="V102" s="31">
        <v>6</v>
      </c>
      <c r="W102" s="30">
        <v>1</v>
      </c>
      <c r="X102" s="31">
        <v>1</v>
      </c>
      <c r="Y102" s="30" t="s">
        <v>190</v>
      </c>
      <c r="Z102" s="31" t="s">
        <v>190</v>
      </c>
      <c r="AA102" s="34" t="s">
        <v>190</v>
      </c>
      <c r="AB102" s="31" t="s">
        <v>190</v>
      </c>
      <c r="AC102" s="30">
        <v>45</v>
      </c>
      <c r="AD102" s="31">
        <v>90</v>
      </c>
      <c r="AE102" s="34">
        <v>1</v>
      </c>
      <c r="AF102" s="31">
        <v>4</v>
      </c>
      <c r="AG102" s="30">
        <v>17</v>
      </c>
      <c r="AH102" s="31">
        <v>13.6</v>
      </c>
      <c r="AI102" s="30">
        <v>1</v>
      </c>
      <c r="AJ102" s="31">
        <v>0.5</v>
      </c>
      <c r="AK102" s="30">
        <v>21</v>
      </c>
      <c r="AL102" s="31">
        <v>22</v>
      </c>
      <c r="AM102" s="30">
        <v>18</v>
      </c>
      <c r="AN102" s="31">
        <v>18</v>
      </c>
      <c r="AO102" s="34" t="s">
        <v>190</v>
      </c>
      <c r="AP102" s="31" t="s">
        <v>190</v>
      </c>
      <c r="AQ102" s="30">
        <v>16</v>
      </c>
      <c r="AR102" s="31">
        <v>32</v>
      </c>
      <c r="AS102" s="34">
        <v>1</v>
      </c>
      <c r="AT102" s="31">
        <v>3</v>
      </c>
      <c r="AU102" s="30">
        <v>12</v>
      </c>
      <c r="AV102" s="31">
        <v>18</v>
      </c>
      <c r="AW102" s="34" t="s">
        <v>190</v>
      </c>
      <c r="AX102" s="31" t="s">
        <v>190</v>
      </c>
      <c r="AY102" s="34">
        <v>7</v>
      </c>
      <c r="AZ102" s="31">
        <v>4.9000000000000004</v>
      </c>
      <c r="BA102" s="34" t="s">
        <v>190</v>
      </c>
      <c r="BB102" s="31" t="s">
        <v>190</v>
      </c>
      <c r="BC102" s="30" t="s">
        <v>190</v>
      </c>
      <c r="BD102" s="31" t="s">
        <v>190</v>
      </c>
      <c r="BE102" s="32">
        <v>12</v>
      </c>
      <c r="BF102" s="33">
        <v>11.8</v>
      </c>
      <c r="BG102" s="18" t="s">
        <v>152</v>
      </c>
      <c r="BH102" s="19"/>
    </row>
    <row r="103" spans="1:60" x14ac:dyDescent="0.3">
      <c r="A103" s="17" t="s">
        <v>153</v>
      </c>
      <c r="B103" s="46">
        <f t="shared" si="130"/>
        <v>1244</v>
      </c>
      <c r="C103" s="30">
        <v>41</v>
      </c>
      <c r="D103" s="31">
        <v>20.8</v>
      </c>
      <c r="E103" s="30">
        <v>62</v>
      </c>
      <c r="F103" s="31">
        <v>31</v>
      </c>
      <c r="G103" s="30">
        <v>45</v>
      </c>
      <c r="H103" s="31">
        <v>22.5</v>
      </c>
      <c r="I103" s="30">
        <v>30</v>
      </c>
      <c r="J103" s="31">
        <v>22</v>
      </c>
      <c r="K103" s="30">
        <v>30</v>
      </c>
      <c r="L103" s="31">
        <v>20</v>
      </c>
      <c r="M103" s="30">
        <v>43</v>
      </c>
      <c r="N103" s="31">
        <v>31.8</v>
      </c>
      <c r="O103" s="30">
        <v>46</v>
      </c>
      <c r="P103" s="31">
        <v>31.5</v>
      </c>
      <c r="Q103" s="30">
        <v>21</v>
      </c>
      <c r="R103" s="31">
        <v>11.8</v>
      </c>
      <c r="S103" s="30" t="s">
        <v>190</v>
      </c>
      <c r="T103" s="31" t="s">
        <v>190</v>
      </c>
      <c r="U103" s="30">
        <v>92</v>
      </c>
      <c r="V103" s="31">
        <v>42</v>
      </c>
      <c r="W103" s="30">
        <v>35</v>
      </c>
      <c r="X103" s="31">
        <v>12.5</v>
      </c>
      <c r="Y103" s="30">
        <v>17</v>
      </c>
      <c r="Z103" s="31">
        <v>12.5</v>
      </c>
      <c r="AA103" s="30" t="s">
        <v>190</v>
      </c>
      <c r="AB103" s="31" t="s">
        <v>190</v>
      </c>
      <c r="AC103" s="30">
        <v>110</v>
      </c>
      <c r="AD103" s="31">
        <v>62.1</v>
      </c>
      <c r="AE103" s="30">
        <v>45</v>
      </c>
      <c r="AF103" s="31">
        <v>18</v>
      </c>
      <c r="AG103" s="30">
        <v>35</v>
      </c>
      <c r="AH103" s="31">
        <v>19.5</v>
      </c>
      <c r="AI103" s="30">
        <v>20</v>
      </c>
      <c r="AJ103" s="31">
        <v>12</v>
      </c>
      <c r="AK103" s="30">
        <v>62</v>
      </c>
      <c r="AL103" s="31">
        <v>31</v>
      </c>
      <c r="AM103" s="30">
        <v>53</v>
      </c>
      <c r="AN103" s="31">
        <v>29</v>
      </c>
      <c r="AO103" s="30">
        <v>10</v>
      </c>
      <c r="AP103" s="31">
        <v>5</v>
      </c>
      <c r="AQ103" s="30">
        <v>37</v>
      </c>
      <c r="AR103" s="31">
        <v>12.7</v>
      </c>
      <c r="AS103" s="30">
        <v>23</v>
      </c>
      <c r="AT103" s="31">
        <v>6.4</v>
      </c>
      <c r="AU103" s="30">
        <v>17</v>
      </c>
      <c r="AV103" s="31">
        <v>7.8</v>
      </c>
      <c r="AW103" s="30">
        <v>30</v>
      </c>
      <c r="AX103" s="31">
        <v>11</v>
      </c>
      <c r="AY103" s="30">
        <v>10</v>
      </c>
      <c r="AZ103" s="31">
        <v>2.5</v>
      </c>
      <c r="BA103" s="34" t="s">
        <v>190</v>
      </c>
      <c r="BB103" s="31" t="s">
        <v>190</v>
      </c>
      <c r="BC103" s="30">
        <v>105</v>
      </c>
      <c r="BD103" s="31">
        <v>91</v>
      </c>
      <c r="BE103" s="32">
        <v>225</v>
      </c>
      <c r="BF103" s="33">
        <v>95.75</v>
      </c>
      <c r="BG103" s="18" t="s">
        <v>154</v>
      </c>
      <c r="BH103" s="19"/>
    </row>
    <row r="104" spans="1:60" x14ac:dyDescent="0.3">
      <c r="A104" s="17" t="s">
        <v>155</v>
      </c>
      <c r="B104" s="46">
        <f t="shared" si="130"/>
        <v>318</v>
      </c>
      <c r="C104" s="30">
        <v>5</v>
      </c>
      <c r="D104" s="31">
        <v>3.85</v>
      </c>
      <c r="E104" s="30">
        <v>6</v>
      </c>
      <c r="F104" s="31">
        <v>4.5999999999999996</v>
      </c>
      <c r="G104" s="30">
        <v>7</v>
      </c>
      <c r="H104" s="31">
        <v>6.4930000000000003</v>
      </c>
      <c r="I104" s="30">
        <v>3</v>
      </c>
      <c r="J104" s="31">
        <v>3.1</v>
      </c>
      <c r="K104" s="30">
        <v>3</v>
      </c>
      <c r="L104" s="31">
        <v>2.6</v>
      </c>
      <c r="M104" s="30">
        <v>8</v>
      </c>
      <c r="N104" s="31">
        <v>4.4210000000000003</v>
      </c>
      <c r="O104" s="30">
        <v>11</v>
      </c>
      <c r="P104" s="31">
        <v>9.9220000000000006</v>
      </c>
      <c r="Q104" s="30">
        <v>7</v>
      </c>
      <c r="R104" s="31">
        <v>4.4000000000000004</v>
      </c>
      <c r="S104" s="30" t="s">
        <v>190</v>
      </c>
      <c r="T104" s="31" t="s">
        <v>190</v>
      </c>
      <c r="U104" s="30">
        <v>10</v>
      </c>
      <c r="V104" s="31">
        <v>8.8879999999999999</v>
      </c>
      <c r="W104" s="30">
        <v>10</v>
      </c>
      <c r="X104" s="31">
        <v>4.9800000000000004</v>
      </c>
      <c r="Y104" s="34">
        <v>1</v>
      </c>
      <c r="Z104" s="31">
        <v>0.4</v>
      </c>
      <c r="AA104" s="34" t="s">
        <v>190</v>
      </c>
      <c r="AB104" s="31" t="s">
        <v>190</v>
      </c>
      <c r="AC104" s="30">
        <v>45</v>
      </c>
      <c r="AD104" s="31">
        <v>49.274000000000001</v>
      </c>
      <c r="AE104" s="30">
        <v>22</v>
      </c>
      <c r="AF104" s="31">
        <v>115.01</v>
      </c>
      <c r="AG104" s="30">
        <v>27</v>
      </c>
      <c r="AH104" s="31">
        <v>21.7</v>
      </c>
      <c r="AI104" s="30">
        <v>7</v>
      </c>
      <c r="AJ104" s="31">
        <v>3.95</v>
      </c>
      <c r="AK104" s="30">
        <v>26</v>
      </c>
      <c r="AL104" s="31">
        <v>31.4</v>
      </c>
      <c r="AM104" s="30">
        <v>18</v>
      </c>
      <c r="AN104" s="31">
        <v>17.7</v>
      </c>
      <c r="AO104" s="34" t="s">
        <v>190</v>
      </c>
      <c r="AP104" s="31" t="s">
        <v>190</v>
      </c>
      <c r="AQ104" s="30">
        <v>24</v>
      </c>
      <c r="AR104" s="31">
        <v>28.6</v>
      </c>
      <c r="AS104" s="34" t="s">
        <v>190</v>
      </c>
      <c r="AT104" s="31" t="s">
        <v>190</v>
      </c>
      <c r="AU104" s="30">
        <v>12</v>
      </c>
      <c r="AV104" s="31">
        <v>13</v>
      </c>
      <c r="AW104" s="34">
        <v>1</v>
      </c>
      <c r="AX104" s="31">
        <v>1</v>
      </c>
      <c r="AY104" s="30">
        <v>2</v>
      </c>
      <c r="AZ104" s="31">
        <v>1.55</v>
      </c>
      <c r="BA104" s="34" t="s">
        <v>190</v>
      </c>
      <c r="BB104" s="31" t="s">
        <v>190</v>
      </c>
      <c r="BC104" s="30" t="s">
        <v>190</v>
      </c>
      <c r="BD104" s="31" t="s">
        <v>190</v>
      </c>
      <c r="BE104" s="32">
        <v>63</v>
      </c>
      <c r="BF104" s="33">
        <v>88.43</v>
      </c>
      <c r="BG104" s="18" t="s">
        <v>156</v>
      </c>
      <c r="BH104" s="19"/>
    </row>
    <row r="105" spans="1:60" x14ac:dyDescent="0.3">
      <c r="A105" s="17" t="s">
        <v>157</v>
      </c>
      <c r="B105" s="46">
        <f t="shared" si="130"/>
        <v>13</v>
      </c>
      <c r="C105" s="30" t="s">
        <v>190</v>
      </c>
      <c r="D105" s="31" t="s">
        <v>190</v>
      </c>
      <c r="E105" s="30">
        <v>1</v>
      </c>
      <c r="F105" s="31">
        <v>0.8</v>
      </c>
      <c r="G105" s="30" t="s">
        <v>190</v>
      </c>
      <c r="H105" s="31" t="s">
        <v>190</v>
      </c>
      <c r="I105" s="30" t="s">
        <v>190</v>
      </c>
      <c r="J105" s="31" t="s">
        <v>190</v>
      </c>
      <c r="K105" s="30" t="s">
        <v>190</v>
      </c>
      <c r="L105" s="31" t="s">
        <v>190</v>
      </c>
      <c r="M105" s="30" t="s">
        <v>190</v>
      </c>
      <c r="N105" s="31" t="s">
        <v>190</v>
      </c>
      <c r="O105" s="30">
        <v>1</v>
      </c>
      <c r="P105" s="31">
        <v>1.5</v>
      </c>
      <c r="Q105" s="34" t="s">
        <v>190</v>
      </c>
      <c r="R105" s="31" t="s">
        <v>190</v>
      </c>
      <c r="S105" s="30" t="s">
        <v>190</v>
      </c>
      <c r="T105" s="31" t="s">
        <v>190</v>
      </c>
      <c r="U105" s="30" t="s">
        <v>190</v>
      </c>
      <c r="V105" s="31" t="s">
        <v>190</v>
      </c>
      <c r="W105" s="34" t="s">
        <v>190</v>
      </c>
      <c r="X105" s="31" t="s">
        <v>190</v>
      </c>
      <c r="Y105" s="34" t="s">
        <v>190</v>
      </c>
      <c r="Z105" s="31" t="s">
        <v>190</v>
      </c>
      <c r="AA105" s="34" t="s">
        <v>190</v>
      </c>
      <c r="AB105" s="31" t="s">
        <v>190</v>
      </c>
      <c r="AC105" s="30">
        <v>4</v>
      </c>
      <c r="AD105" s="31">
        <v>8</v>
      </c>
      <c r="AE105" s="30">
        <v>3</v>
      </c>
      <c r="AF105" s="31">
        <v>6</v>
      </c>
      <c r="AG105" s="30" t="s">
        <v>190</v>
      </c>
      <c r="AH105" s="31" t="s">
        <v>190</v>
      </c>
      <c r="AI105" s="34" t="s">
        <v>190</v>
      </c>
      <c r="AJ105" s="31" t="s">
        <v>190</v>
      </c>
      <c r="AK105" s="30">
        <v>1</v>
      </c>
      <c r="AL105" s="31">
        <v>1</v>
      </c>
      <c r="AM105" s="30" t="s">
        <v>190</v>
      </c>
      <c r="AN105" s="31" t="s">
        <v>190</v>
      </c>
      <c r="AO105" s="30" t="s">
        <v>190</v>
      </c>
      <c r="AP105" s="31" t="s">
        <v>190</v>
      </c>
      <c r="AQ105" s="34">
        <v>1</v>
      </c>
      <c r="AR105" s="31">
        <v>2</v>
      </c>
      <c r="AS105" s="34" t="s">
        <v>190</v>
      </c>
      <c r="AT105" s="31" t="s">
        <v>190</v>
      </c>
      <c r="AU105" s="34">
        <v>1</v>
      </c>
      <c r="AV105" s="31">
        <v>1.5</v>
      </c>
      <c r="AW105" s="34" t="s">
        <v>190</v>
      </c>
      <c r="AX105" s="31" t="s">
        <v>190</v>
      </c>
      <c r="AY105" s="34" t="s">
        <v>190</v>
      </c>
      <c r="AZ105" s="31" t="s">
        <v>190</v>
      </c>
      <c r="BA105" s="34" t="s">
        <v>190</v>
      </c>
      <c r="BB105" s="31" t="s">
        <v>190</v>
      </c>
      <c r="BC105" s="30" t="s">
        <v>190</v>
      </c>
      <c r="BD105" s="31" t="s">
        <v>190</v>
      </c>
      <c r="BE105" s="32">
        <v>1</v>
      </c>
      <c r="BF105" s="33">
        <v>1</v>
      </c>
      <c r="BG105" s="18" t="s">
        <v>158</v>
      </c>
      <c r="BH105" s="19"/>
    </row>
    <row r="106" spans="1:60" x14ac:dyDescent="0.3">
      <c r="A106" s="17" t="s">
        <v>159</v>
      </c>
      <c r="B106" s="46">
        <f t="shared" si="130"/>
        <v>676</v>
      </c>
      <c r="C106" s="30">
        <v>10</v>
      </c>
      <c r="D106" s="31">
        <v>4.1100000000000003</v>
      </c>
      <c r="E106" s="30">
        <v>29</v>
      </c>
      <c r="F106" s="31">
        <v>26.88</v>
      </c>
      <c r="G106" s="30">
        <v>19</v>
      </c>
      <c r="H106" s="31">
        <v>16.489999999999998</v>
      </c>
      <c r="I106" s="30">
        <v>30</v>
      </c>
      <c r="J106" s="31">
        <v>19.3</v>
      </c>
      <c r="K106" s="30">
        <v>4</v>
      </c>
      <c r="L106" s="31">
        <v>1.74</v>
      </c>
      <c r="M106" s="30">
        <v>6</v>
      </c>
      <c r="N106" s="31">
        <v>4.08</v>
      </c>
      <c r="O106" s="30">
        <v>65</v>
      </c>
      <c r="P106" s="31">
        <v>42.75</v>
      </c>
      <c r="Q106" s="30">
        <v>7</v>
      </c>
      <c r="R106" s="31">
        <v>3.05</v>
      </c>
      <c r="S106" s="30" t="s">
        <v>190</v>
      </c>
      <c r="T106" s="31" t="s">
        <v>190</v>
      </c>
      <c r="U106" s="30">
        <v>34</v>
      </c>
      <c r="V106" s="31">
        <v>13.8</v>
      </c>
      <c r="W106" s="30">
        <v>17</v>
      </c>
      <c r="X106" s="31">
        <v>5.9</v>
      </c>
      <c r="Y106" s="30" t="s">
        <v>190</v>
      </c>
      <c r="Z106" s="31" t="s">
        <v>190</v>
      </c>
      <c r="AA106" s="34" t="s">
        <v>190</v>
      </c>
      <c r="AB106" s="31" t="s">
        <v>190</v>
      </c>
      <c r="AC106" s="30">
        <v>135</v>
      </c>
      <c r="AD106" s="31">
        <v>194.63499999999999</v>
      </c>
      <c r="AE106" s="30">
        <v>18</v>
      </c>
      <c r="AF106" s="31">
        <v>38.14</v>
      </c>
      <c r="AG106" s="30">
        <v>61</v>
      </c>
      <c r="AH106" s="31">
        <v>36.75</v>
      </c>
      <c r="AI106" s="30">
        <v>6</v>
      </c>
      <c r="AJ106" s="31">
        <v>3.4</v>
      </c>
      <c r="AK106" s="30">
        <v>58</v>
      </c>
      <c r="AL106" s="31">
        <v>36.529999999999994</v>
      </c>
      <c r="AM106" s="30">
        <v>48</v>
      </c>
      <c r="AN106" s="31">
        <v>38.387</v>
      </c>
      <c r="AO106" s="30">
        <v>9</v>
      </c>
      <c r="AP106" s="31">
        <v>12.5</v>
      </c>
      <c r="AQ106" s="30">
        <v>40</v>
      </c>
      <c r="AR106" s="31">
        <v>29.29</v>
      </c>
      <c r="AS106" s="34" t="s">
        <v>190</v>
      </c>
      <c r="AT106" s="31" t="s">
        <v>190</v>
      </c>
      <c r="AU106" s="30">
        <v>25</v>
      </c>
      <c r="AV106" s="31">
        <v>12.4</v>
      </c>
      <c r="AW106" s="34" t="s">
        <v>190</v>
      </c>
      <c r="AX106" s="31" t="s">
        <v>190</v>
      </c>
      <c r="AY106" s="30">
        <v>8</v>
      </c>
      <c r="AZ106" s="31">
        <v>4.0999999999999996</v>
      </c>
      <c r="BA106" s="30" t="s">
        <v>190</v>
      </c>
      <c r="BB106" s="31" t="s">
        <v>190</v>
      </c>
      <c r="BC106" s="30">
        <v>1</v>
      </c>
      <c r="BD106" s="31">
        <v>0.04</v>
      </c>
      <c r="BE106" s="32">
        <v>46</v>
      </c>
      <c r="BF106" s="33">
        <v>16.259999999999998</v>
      </c>
      <c r="BG106" s="18" t="s">
        <v>160</v>
      </c>
      <c r="BH106" s="19"/>
    </row>
    <row r="107" spans="1:60" x14ac:dyDescent="0.3">
      <c r="A107" s="17" t="s">
        <v>161</v>
      </c>
      <c r="B107" s="46">
        <f t="shared" si="130"/>
        <v>327</v>
      </c>
      <c r="C107" s="30">
        <v>3</v>
      </c>
      <c r="D107" s="31">
        <v>1.1000000000000001</v>
      </c>
      <c r="E107" s="30">
        <v>6</v>
      </c>
      <c r="F107" s="31">
        <v>23.7</v>
      </c>
      <c r="G107" s="30">
        <v>6</v>
      </c>
      <c r="H107" s="31">
        <v>12</v>
      </c>
      <c r="I107" s="30">
        <v>13</v>
      </c>
      <c r="J107" s="31">
        <v>20</v>
      </c>
      <c r="K107" s="34">
        <v>5</v>
      </c>
      <c r="L107" s="31">
        <v>10</v>
      </c>
      <c r="M107" s="30">
        <v>4</v>
      </c>
      <c r="N107" s="31">
        <v>7.2</v>
      </c>
      <c r="O107" s="30">
        <v>15</v>
      </c>
      <c r="P107" s="31">
        <v>13.5</v>
      </c>
      <c r="Q107" s="30">
        <v>6</v>
      </c>
      <c r="R107" s="31">
        <v>4.95</v>
      </c>
      <c r="S107" s="30">
        <v>6</v>
      </c>
      <c r="T107" s="31">
        <v>3</v>
      </c>
      <c r="U107" s="30">
        <v>4</v>
      </c>
      <c r="V107" s="31">
        <v>5.2569999999999997</v>
      </c>
      <c r="W107" s="30">
        <v>6</v>
      </c>
      <c r="X107" s="31">
        <v>12</v>
      </c>
      <c r="Y107" s="30">
        <v>5</v>
      </c>
      <c r="Z107" s="31">
        <v>11.8</v>
      </c>
      <c r="AA107" s="34" t="s">
        <v>190</v>
      </c>
      <c r="AB107" s="31" t="s">
        <v>190</v>
      </c>
      <c r="AC107" s="30">
        <v>58</v>
      </c>
      <c r="AD107" s="31">
        <v>186.45</v>
      </c>
      <c r="AE107" s="30">
        <v>24</v>
      </c>
      <c r="AF107" s="31">
        <v>108.7</v>
      </c>
      <c r="AG107" s="30">
        <v>54</v>
      </c>
      <c r="AH107" s="31">
        <v>45.45</v>
      </c>
      <c r="AI107" s="30">
        <v>14</v>
      </c>
      <c r="AJ107" s="31">
        <v>8</v>
      </c>
      <c r="AK107" s="30">
        <v>22</v>
      </c>
      <c r="AL107" s="31">
        <v>64.599999999999994</v>
      </c>
      <c r="AM107" s="30">
        <v>13</v>
      </c>
      <c r="AN107" s="31">
        <v>23</v>
      </c>
      <c r="AO107" s="30">
        <v>5</v>
      </c>
      <c r="AP107" s="31">
        <v>27.3</v>
      </c>
      <c r="AQ107" s="30">
        <v>12</v>
      </c>
      <c r="AR107" s="31">
        <v>41.820999999999998</v>
      </c>
      <c r="AS107" s="30">
        <v>1</v>
      </c>
      <c r="AT107" s="31">
        <v>5</v>
      </c>
      <c r="AU107" s="30">
        <v>8</v>
      </c>
      <c r="AV107" s="31">
        <v>20</v>
      </c>
      <c r="AW107" s="30">
        <v>1</v>
      </c>
      <c r="AX107" s="31">
        <v>3</v>
      </c>
      <c r="AY107" s="30">
        <v>2</v>
      </c>
      <c r="AZ107" s="31">
        <v>3.2</v>
      </c>
      <c r="BA107" s="34" t="s">
        <v>190</v>
      </c>
      <c r="BB107" s="31" t="s">
        <v>190</v>
      </c>
      <c r="BC107" s="30">
        <v>1</v>
      </c>
      <c r="BD107" s="31">
        <v>2</v>
      </c>
      <c r="BE107" s="32">
        <v>33</v>
      </c>
      <c r="BF107" s="33">
        <v>40.198999999999998</v>
      </c>
      <c r="BG107" s="18" t="s">
        <v>162</v>
      </c>
      <c r="BH107" s="19"/>
    </row>
    <row r="108" spans="1:60" x14ac:dyDescent="0.3">
      <c r="A108" s="17" t="s">
        <v>163</v>
      </c>
      <c r="B108" s="46">
        <f t="shared" si="130"/>
        <v>1377</v>
      </c>
      <c r="C108" s="30">
        <v>33</v>
      </c>
      <c r="D108" s="31">
        <v>50.2</v>
      </c>
      <c r="E108" s="30">
        <v>54</v>
      </c>
      <c r="F108" s="31">
        <v>158.30000000000001</v>
      </c>
      <c r="G108" s="30">
        <v>28</v>
      </c>
      <c r="H108" s="31">
        <v>52.55</v>
      </c>
      <c r="I108" s="30">
        <v>33</v>
      </c>
      <c r="J108" s="31">
        <v>46.55</v>
      </c>
      <c r="K108" s="30">
        <v>12</v>
      </c>
      <c r="L108" s="31">
        <v>21.66</v>
      </c>
      <c r="M108" s="30">
        <v>4</v>
      </c>
      <c r="N108" s="31">
        <v>3.93</v>
      </c>
      <c r="O108" s="30">
        <v>100</v>
      </c>
      <c r="P108" s="31">
        <v>180.29</v>
      </c>
      <c r="Q108" s="30">
        <v>12</v>
      </c>
      <c r="R108" s="31">
        <v>10.7</v>
      </c>
      <c r="S108" s="30">
        <v>15</v>
      </c>
      <c r="T108" s="31">
        <v>10.14</v>
      </c>
      <c r="U108" s="30">
        <v>63</v>
      </c>
      <c r="V108" s="31">
        <v>73.25</v>
      </c>
      <c r="W108" s="30">
        <v>22</v>
      </c>
      <c r="X108" s="31">
        <v>28.55</v>
      </c>
      <c r="Y108" s="30">
        <v>21</v>
      </c>
      <c r="Z108" s="31">
        <v>86.5</v>
      </c>
      <c r="AA108" s="34" t="s">
        <v>190</v>
      </c>
      <c r="AB108" s="31" t="s">
        <v>190</v>
      </c>
      <c r="AC108" s="30">
        <v>159</v>
      </c>
      <c r="AD108" s="31">
        <v>458.36</v>
      </c>
      <c r="AE108" s="30">
        <v>117</v>
      </c>
      <c r="AF108" s="31">
        <v>500</v>
      </c>
      <c r="AG108" s="30">
        <v>58</v>
      </c>
      <c r="AH108" s="31">
        <v>67.099999999999994</v>
      </c>
      <c r="AI108" s="30">
        <v>18</v>
      </c>
      <c r="AJ108" s="31">
        <v>12.175000000000001</v>
      </c>
      <c r="AK108" s="30">
        <v>140</v>
      </c>
      <c r="AL108" s="31">
        <v>539.65</v>
      </c>
      <c r="AM108" s="30">
        <v>14</v>
      </c>
      <c r="AN108" s="31">
        <v>30.8</v>
      </c>
      <c r="AO108" s="30">
        <v>102</v>
      </c>
      <c r="AP108" s="31">
        <v>335.1</v>
      </c>
      <c r="AQ108" s="30">
        <v>67</v>
      </c>
      <c r="AR108" s="31">
        <v>242.6</v>
      </c>
      <c r="AS108" s="30">
        <v>15</v>
      </c>
      <c r="AT108" s="31">
        <v>66.3</v>
      </c>
      <c r="AU108" s="30">
        <v>77</v>
      </c>
      <c r="AV108" s="31">
        <v>107.98</v>
      </c>
      <c r="AW108" s="30">
        <v>38</v>
      </c>
      <c r="AX108" s="31">
        <v>77.5</v>
      </c>
      <c r="AY108" s="30">
        <v>2</v>
      </c>
      <c r="AZ108" s="31">
        <v>2.2000000000000002</v>
      </c>
      <c r="BA108" s="34" t="s">
        <v>190</v>
      </c>
      <c r="BB108" s="31" t="s">
        <v>190</v>
      </c>
      <c r="BC108" s="30">
        <v>12</v>
      </c>
      <c r="BD108" s="31">
        <v>10.65</v>
      </c>
      <c r="BE108" s="32">
        <v>161</v>
      </c>
      <c r="BF108" s="33">
        <v>162.72999999999999</v>
      </c>
      <c r="BG108" s="18" t="s">
        <v>164</v>
      </c>
      <c r="BH108" s="19"/>
    </row>
    <row r="109" spans="1:60" x14ac:dyDescent="0.3">
      <c r="A109" s="17" t="s">
        <v>165</v>
      </c>
      <c r="B109" s="46">
        <f t="shared" si="130"/>
        <v>225</v>
      </c>
      <c r="C109" s="30">
        <v>1</v>
      </c>
      <c r="D109" s="31">
        <v>1</v>
      </c>
      <c r="E109" s="30">
        <v>1</v>
      </c>
      <c r="F109" s="31">
        <v>0.8</v>
      </c>
      <c r="G109" s="30" t="s">
        <v>190</v>
      </c>
      <c r="H109" s="31" t="s">
        <v>190</v>
      </c>
      <c r="I109" s="30" t="s">
        <v>190</v>
      </c>
      <c r="J109" s="31" t="s">
        <v>190</v>
      </c>
      <c r="K109" s="30" t="s">
        <v>190</v>
      </c>
      <c r="L109" s="31" t="s">
        <v>190</v>
      </c>
      <c r="M109" s="30">
        <v>2</v>
      </c>
      <c r="N109" s="31">
        <v>2</v>
      </c>
      <c r="O109" s="30">
        <v>7</v>
      </c>
      <c r="P109" s="31">
        <v>8.5</v>
      </c>
      <c r="Q109" s="30">
        <v>1</v>
      </c>
      <c r="R109" s="31">
        <v>0.4</v>
      </c>
      <c r="S109" s="30" t="s">
        <v>190</v>
      </c>
      <c r="T109" s="31" t="s">
        <v>190</v>
      </c>
      <c r="U109" s="30">
        <v>1</v>
      </c>
      <c r="V109" s="31">
        <v>0.8</v>
      </c>
      <c r="W109" s="30" t="s">
        <v>190</v>
      </c>
      <c r="X109" s="31" t="s">
        <v>190</v>
      </c>
      <c r="Y109" s="30">
        <v>1</v>
      </c>
      <c r="Z109" s="31">
        <v>1.5</v>
      </c>
      <c r="AA109" s="34" t="s">
        <v>190</v>
      </c>
      <c r="AB109" s="31" t="s">
        <v>190</v>
      </c>
      <c r="AC109" s="30">
        <v>23</v>
      </c>
      <c r="AD109" s="31">
        <v>44</v>
      </c>
      <c r="AE109" s="30">
        <v>6</v>
      </c>
      <c r="AF109" s="31">
        <v>8</v>
      </c>
      <c r="AG109" s="30">
        <v>11</v>
      </c>
      <c r="AH109" s="31">
        <v>9.5</v>
      </c>
      <c r="AI109" s="30">
        <v>1</v>
      </c>
      <c r="AJ109" s="31">
        <v>0.5</v>
      </c>
      <c r="AK109" s="30">
        <v>7</v>
      </c>
      <c r="AL109" s="31">
        <v>9</v>
      </c>
      <c r="AM109" s="30">
        <v>16</v>
      </c>
      <c r="AN109" s="31">
        <v>16</v>
      </c>
      <c r="AO109" s="30">
        <v>3</v>
      </c>
      <c r="AP109" s="31">
        <v>1.5</v>
      </c>
      <c r="AQ109" s="30">
        <v>9</v>
      </c>
      <c r="AR109" s="31">
        <v>18</v>
      </c>
      <c r="AS109" s="34" t="s">
        <v>190</v>
      </c>
      <c r="AT109" s="31" t="s">
        <v>190</v>
      </c>
      <c r="AU109" s="30">
        <v>7</v>
      </c>
      <c r="AV109" s="31">
        <v>9</v>
      </c>
      <c r="AW109" s="34" t="s">
        <v>190</v>
      </c>
      <c r="AX109" s="31" t="s">
        <v>190</v>
      </c>
      <c r="AY109" s="30">
        <v>119</v>
      </c>
      <c r="AZ109" s="31">
        <v>83.35</v>
      </c>
      <c r="BA109" s="34" t="s">
        <v>190</v>
      </c>
      <c r="BB109" s="31" t="s">
        <v>190</v>
      </c>
      <c r="BC109" s="30" t="s">
        <v>190</v>
      </c>
      <c r="BD109" s="31" t="s">
        <v>190</v>
      </c>
      <c r="BE109" s="32">
        <v>9</v>
      </c>
      <c r="BF109" s="33">
        <v>7.52</v>
      </c>
      <c r="BG109" s="18" t="s">
        <v>166</v>
      </c>
      <c r="BH109" s="19"/>
    </row>
    <row r="110" spans="1:60" s="16" customFormat="1" x14ac:dyDescent="0.3">
      <c r="A110" s="79" t="s">
        <v>167</v>
      </c>
      <c r="B110" s="94">
        <f>SUM(B112:B115)</f>
        <v>57606</v>
      </c>
      <c r="C110" s="82">
        <f t="shared" ref="C110:D110" si="131">SUM(C112:C115)</f>
        <v>706</v>
      </c>
      <c r="D110" s="82">
        <f t="shared" si="131"/>
        <v>984.03699999999992</v>
      </c>
      <c r="E110" s="82">
        <f t="shared" ref="E110:P110" si="132">SUM(E112:E115)</f>
        <v>930</v>
      </c>
      <c r="F110" s="82">
        <f t="shared" si="132"/>
        <v>2129.1719999999996</v>
      </c>
      <c r="G110" s="82">
        <f t="shared" si="132"/>
        <v>691</v>
      </c>
      <c r="H110" s="82">
        <f t="shared" si="132"/>
        <v>1013.904</v>
      </c>
      <c r="I110" s="82">
        <f>SUM(I112:I115)</f>
        <v>632</v>
      </c>
      <c r="J110" s="82">
        <f t="shared" si="132"/>
        <v>802.96400000000006</v>
      </c>
      <c r="K110" s="82">
        <f t="shared" si="132"/>
        <v>241</v>
      </c>
      <c r="L110" s="82">
        <f t="shared" si="132"/>
        <v>558.529</v>
      </c>
      <c r="M110" s="82">
        <f t="shared" ref="M110:N110" si="133">SUM(M112:M115)</f>
        <v>614</v>
      </c>
      <c r="N110" s="82">
        <f t="shared" si="133"/>
        <v>809.05700000000002</v>
      </c>
      <c r="O110" s="82">
        <f t="shared" si="132"/>
        <v>970</v>
      </c>
      <c r="P110" s="82">
        <f t="shared" si="132"/>
        <v>1560.9259999999999</v>
      </c>
      <c r="Q110" s="80">
        <f t="shared" ref="Q110:V110" si="134">SUM(Q112:Q115)</f>
        <v>230</v>
      </c>
      <c r="R110" s="81">
        <f t="shared" si="134"/>
        <v>201.68</v>
      </c>
      <c r="S110" s="81">
        <f t="shared" si="134"/>
        <v>90</v>
      </c>
      <c r="T110" s="81">
        <f t="shared" si="134"/>
        <v>69.180999999999997</v>
      </c>
      <c r="U110" s="81">
        <f t="shared" si="134"/>
        <v>1074</v>
      </c>
      <c r="V110" s="81">
        <f t="shared" si="134"/>
        <v>1735.271</v>
      </c>
      <c r="W110" s="81">
        <f>SUM(W112:W115)</f>
        <v>937</v>
      </c>
      <c r="X110" s="81">
        <f t="shared" ref="X110:AE110" si="135">SUM(X112:X115)</f>
        <v>930.53700000000003</v>
      </c>
      <c r="Y110" s="81">
        <f t="shared" si="135"/>
        <v>459</v>
      </c>
      <c r="Z110" s="81">
        <f t="shared" si="135"/>
        <v>855.75</v>
      </c>
      <c r="AA110" s="81">
        <f t="shared" si="135"/>
        <v>26</v>
      </c>
      <c r="AB110" s="81">
        <f t="shared" si="135"/>
        <v>135.5</v>
      </c>
      <c r="AC110" s="87">
        <f t="shared" si="135"/>
        <v>3257</v>
      </c>
      <c r="AD110" s="81">
        <f t="shared" si="135"/>
        <v>8941.7669999999998</v>
      </c>
      <c r="AE110" s="81">
        <f t="shared" si="135"/>
        <v>16047</v>
      </c>
      <c r="AF110" s="87">
        <f>SUM(AF112:AF115)</f>
        <v>183480.12100000004</v>
      </c>
      <c r="AG110" s="87">
        <f t="shared" ref="AG110:AL110" si="136">SUM(AG112:AG115)</f>
        <v>1787</v>
      </c>
      <c r="AH110" s="87">
        <f t="shared" si="136"/>
        <v>2271.5769999999998</v>
      </c>
      <c r="AI110" s="87">
        <f t="shared" si="136"/>
        <v>356</v>
      </c>
      <c r="AJ110" s="87">
        <f t="shared" si="136"/>
        <v>347.35199999999998</v>
      </c>
      <c r="AK110" s="87">
        <f t="shared" si="136"/>
        <v>1501</v>
      </c>
      <c r="AL110" s="87">
        <f t="shared" si="136"/>
        <v>4181.3140000000003</v>
      </c>
      <c r="AM110" s="81">
        <f t="shared" ref="AM110:BF110" si="137">SUM(AM112:AM115)</f>
        <v>463</v>
      </c>
      <c r="AN110" s="91">
        <f t="shared" si="137"/>
        <v>1256.056</v>
      </c>
      <c r="AO110" s="81">
        <f t="shared" si="137"/>
        <v>10529</v>
      </c>
      <c r="AP110" s="91">
        <f t="shared" si="137"/>
        <v>144353.58299999998</v>
      </c>
      <c r="AQ110" s="81">
        <f t="shared" si="137"/>
        <v>654</v>
      </c>
      <c r="AR110" s="91">
        <f t="shared" si="137"/>
        <v>1414.7339999999999</v>
      </c>
      <c r="AS110" s="81">
        <f t="shared" si="137"/>
        <v>2040</v>
      </c>
      <c r="AT110" s="87">
        <f t="shared" si="137"/>
        <v>19164.275000000001</v>
      </c>
      <c r="AU110" s="81">
        <f t="shared" ref="AU110:AX110" si="138">SUM(AU112:AU115)</f>
        <v>546</v>
      </c>
      <c r="AV110" s="91">
        <f>SUM(AV112:AV115)</f>
        <v>830.07399999999984</v>
      </c>
      <c r="AW110" s="81">
        <f t="shared" si="138"/>
        <v>6854</v>
      </c>
      <c r="AX110" s="91">
        <f t="shared" si="138"/>
        <v>66496.517999999996</v>
      </c>
      <c r="AY110" s="81">
        <f>SUM(AY112:AY115)</f>
        <v>1844</v>
      </c>
      <c r="AZ110" s="81">
        <f>SUM(AZ112:AZ115)</f>
        <v>2013.75</v>
      </c>
      <c r="BA110" s="81">
        <f t="shared" si="137"/>
        <v>199</v>
      </c>
      <c r="BB110" s="91">
        <f t="shared" si="137"/>
        <v>92.207999999999998</v>
      </c>
      <c r="BC110" s="81">
        <f t="shared" si="137"/>
        <v>106</v>
      </c>
      <c r="BD110" s="91">
        <f t="shared" si="137"/>
        <v>163.52000000000001</v>
      </c>
      <c r="BE110" s="81">
        <f>SUM(BE112:BE115)</f>
        <v>3823</v>
      </c>
      <c r="BF110" s="90">
        <f t="shared" si="137"/>
        <v>4568.0879999999997</v>
      </c>
      <c r="BG110" s="89" t="s">
        <v>168</v>
      </c>
      <c r="BH110" s="89"/>
    </row>
    <row r="111" spans="1:60" x14ac:dyDescent="0.3">
      <c r="A111" s="79"/>
      <c r="B111" s="94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0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7"/>
      <c r="AD111" s="81"/>
      <c r="AE111" s="81"/>
      <c r="AF111" s="87"/>
      <c r="AG111" s="87"/>
      <c r="AH111" s="87"/>
      <c r="AI111" s="87"/>
      <c r="AJ111" s="87"/>
      <c r="AK111" s="87"/>
      <c r="AL111" s="87"/>
      <c r="AM111" s="81"/>
      <c r="AN111" s="91"/>
      <c r="AO111" s="81"/>
      <c r="AP111" s="91"/>
      <c r="AQ111" s="81"/>
      <c r="AR111" s="91"/>
      <c r="AS111" s="81"/>
      <c r="AT111" s="87"/>
      <c r="AU111" s="81"/>
      <c r="AV111" s="91"/>
      <c r="AW111" s="81"/>
      <c r="AX111" s="91"/>
      <c r="AY111" s="81"/>
      <c r="AZ111" s="81"/>
      <c r="BA111" s="81"/>
      <c r="BB111" s="91"/>
      <c r="BC111" s="81"/>
      <c r="BD111" s="91"/>
      <c r="BE111" s="81"/>
      <c r="BF111" s="90"/>
      <c r="BG111" s="89"/>
      <c r="BH111" s="89"/>
    </row>
    <row r="112" spans="1:60" x14ac:dyDescent="0.3">
      <c r="A112" s="17" t="s">
        <v>169</v>
      </c>
      <c r="B112" s="46">
        <f>SUM(C112,E112,G112,I112,K112,M112,O112,Q112,S112,U112,W112,Y112,AA112,AC112,AE112,AG112,AI112,AK112,AM112,AO112,AQ112,AS112,AU112,AW112,AY112,BA112,BC112,BE112)</f>
        <v>20867</v>
      </c>
      <c r="C112" s="30">
        <v>317</v>
      </c>
      <c r="D112" s="31">
        <v>605.92499999999995</v>
      </c>
      <c r="E112" s="30">
        <v>387</v>
      </c>
      <c r="F112" s="31">
        <v>1173.3399999999999</v>
      </c>
      <c r="G112" s="30">
        <v>278</v>
      </c>
      <c r="H112" s="31">
        <v>576.89200000000005</v>
      </c>
      <c r="I112" s="30">
        <v>212</v>
      </c>
      <c r="J112" s="31">
        <v>384.17500000000001</v>
      </c>
      <c r="K112" s="30">
        <v>140</v>
      </c>
      <c r="L112" s="31">
        <v>417.154</v>
      </c>
      <c r="M112" s="30">
        <v>220</v>
      </c>
      <c r="N112" s="31">
        <v>503.40300000000002</v>
      </c>
      <c r="O112" s="30">
        <v>380</v>
      </c>
      <c r="P112" s="31">
        <v>934.53099999999995</v>
      </c>
      <c r="Q112" s="30">
        <v>76</v>
      </c>
      <c r="R112" s="31">
        <v>97.1</v>
      </c>
      <c r="S112" s="30">
        <v>26</v>
      </c>
      <c r="T112" s="31">
        <v>31.45</v>
      </c>
      <c r="U112" s="30">
        <v>530</v>
      </c>
      <c r="V112" s="31">
        <v>1081.8399999999999</v>
      </c>
      <c r="W112" s="30">
        <v>165</v>
      </c>
      <c r="X112" s="31">
        <v>300.40600000000001</v>
      </c>
      <c r="Y112" s="30">
        <v>352</v>
      </c>
      <c r="Z112" s="31">
        <v>659.41</v>
      </c>
      <c r="AA112" s="30">
        <v>15</v>
      </c>
      <c r="AB112" s="31">
        <v>47.5</v>
      </c>
      <c r="AC112" s="30">
        <v>1083</v>
      </c>
      <c r="AD112" s="31">
        <v>2965.42</v>
      </c>
      <c r="AE112" s="30">
        <v>3494</v>
      </c>
      <c r="AF112" s="31">
        <v>21347.973000000002</v>
      </c>
      <c r="AG112" s="30">
        <v>655</v>
      </c>
      <c r="AH112" s="31">
        <v>1311.875</v>
      </c>
      <c r="AI112" s="30">
        <v>179</v>
      </c>
      <c r="AJ112" s="31">
        <v>206.25</v>
      </c>
      <c r="AK112" s="30">
        <v>807</v>
      </c>
      <c r="AL112" s="31">
        <v>2770.8</v>
      </c>
      <c r="AM112" s="30">
        <v>269</v>
      </c>
      <c r="AN112" s="31">
        <v>810.37800000000004</v>
      </c>
      <c r="AO112" s="30">
        <v>4726</v>
      </c>
      <c r="AP112" s="31">
        <v>25681.735000000001</v>
      </c>
      <c r="AQ112" s="30">
        <v>371</v>
      </c>
      <c r="AR112" s="31">
        <v>1046.2639999999999</v>
      </c>
      <c r="AS112" s="30">
        <v>930</v>
      </c>
      <c r="AT112" s="31">
        <v>6152.5</v>
      </c>
      <c r="AU112" s="30">
        <v>202</v>
      </c>
      <c r="AV112" s="31">
        <v>366.39299999999997</v>
      </c>
      <c r="AW112" s="30">
        <v>2342</v>
      </c>
      <c r="AX112" s="31">
        <v>13111.063</v>
      </c>
      <c r="AY112" s="30">
        <v>860</v>
      </c>
      <c r="AZ112" s="31">
        <v>1232.0999999999999</v>
      </c>
      <c r="BA112" s="30">
        <v>3</v>
      </c>
      <c r="BB112" s="31">
        <v>2.4</v>
      </c>
      <c r="BC112" s="30">
        <v>60</v>
      </c>
      <c r="BD112" s="31">
        <v>83.2</v>
      </c>
      <c r="BE112" s="32">
        <v>1788</v>
      </c>
      <c r="BF112" s="33">
        <v>2847.395</v>
      </c>
      <c r="BG112" s="18" t="s">
        <v>170</v>
      </c>
      <c r="BH112" s="19"/>
    </row>
    <row r="113" spans="1:61" x14ac:dyDescent="0.3">
      <c r="A113" s="17" t="s">
        <v>171</v>
      </c>
      <c r="B113" s="46">
        <f>SUM(C113,E113,G113,I113,K113,M113,O113,Q113,S113,U113,W113,Y113,AA113,AC113,AE113,AG113,AI113,AK113,AM113,AO113,AQ113,AS113,AU113,AW113,AY113,BA113,BC113,BE113)</f>
        <v>22170</v>
      </c>
      <c r="C113" s="30">
        <v>56</v>
      </c>
      <c r="D113" s="31">
        <v>94.74</v>
      </c>
      <c r="E113" s="30">
        <v>126</v>
      </c>
      <c r="F113" s="31">
        <v>490.86</v>
      </c>
      <c r="G113" s="30">
        <v>53</v>
      </c>
      <c r="H113" s="31">
        <v>92.474999999999994</v>
      </c>
      <c r="I113" s="30">
        <v>72</v>
      </c>
      <c r="J113" s="31">
        <v>122.5</v>
      </c>
      <c r="K113" s="30">
        <v>29</v>
      </c>
      <c r="L113" s="31">
        <v>73.7</v>
      </c>
      <c r="M113" s="30">
        <v>57</v>
      </c>
      <c r="N113" s="31">
        <v>76.307000000000002</v>
      </c>
      <c r="O113" s="30">
        <v>43</v>
      </c>
      <c r="P113" s="31">
        <v>90.36</v>
      </c>
      <c r="Q113" s="30">
        <v>13</v>
      </c>
      <c r="R113" s="31">
        <v>11.16</v>
      </c>
      <c r="S113" s="30">
        <v>5</v>
      </c>
      <c r="T113" s="31">
        <v>1.4179999999999999</v>
      </c>
      <c r="U113" s="30">
        <v>115</v>
      </c>
      <c r="V113" s="31">
        <v>200.178</v>
      </c>
      <c r="W113" s="30">
        <v>35</v>
      </c>
      <c r="X113" s="31">
        <v>30.565000000000001</v>
      </c>
      <c r="Y113" s="30">
        <v>41</v>
      </c>
      <c r="Z113" s="31">
        <v>118.48</v>
      </c>
      <c r="AA113" s="30" t="s">
        <v>190</v>
      </c>
      <c r="AB113" s="31" t="s">
        <v>190</v>
      </c>
      <c r="AC113" s="30">
        <v>776</v>
      </c>
      <c r="AD113" s="31">
        <v>3164.73</v>
      </c>
      <c r="AE113" s="30">
        <v>9247</v>
      </c>
      <c r="AF113" s="31">
        <v>127670.08500000001</v>
      </c>
      <c r="AG113" s="30">
        <v>219</v>
      </c>
      <c r="AH113" s="31">
        <v>202.57</v>
      </c>
      <c r="AI113" s="30">
        <v>29</v>
      </c>
      <c r="AJ113" s="31">
        <v>38.590000000000003</v>
      </c>
      <c r="AK113" s="30">
        <v>144</v>
      </c>
      <c r="AL113" s="31">
        <v>573.952</v>
      </c>
      <c r="AM113" s="30">
        <v>64</v>
      </c>
      <c r="AN113" s="31">
        <v>231.429</v>
      </c>
      <c r="AO113" s="30">
        <v>5101</v>
      </c>
      <c r="AP113" s="31">
        <v>115138.45600000001</v>
      </c>
      <c r="AQ113" s="30">
        <v>38</v>
      </c>
      <c r="AR113" s="31">
        <v>71.239999999999995</v>
      </c>
      <c r="AS113" s="30">
        <v>1018</v>
      </c>
      <c r="AT113" s="31">
        <v>12558.96</v>
      </c>
      <c r="AU113" s="30">
        <v>112</v>
      </c>
      <c r="AV113" s="31">
        <v>241.87</v>
      </c>
      <c r="AW113" s="30">
        <v>4313</v>
      </c>
      <c r="AX113" s="31">
        <v>52247.148000000001</v>
      </c>
      <c r="AY113" s="30">
        <v>111</v>
      </c>
      <c r="AZ113" s="31">
        <v>142.249</v>
      </c>
      <c r="BA113" s="34">
        <v>3</v>
      </c>
      <c r="BB113" s="31">
        <v>1.69</v>
      </c>
      <c r="BC113" s="30">
        <v>23</v>
      </c>
      <c r="BD113" s="31">
        <v>53.63</v>
      </c>
      <c r="BE113" s="32">
        <v>327</v>
      </c>
      <c r="BF113" s="33">
        <v>415.34299999999996</v>
      </c>
      <c r="BG113" s="18" t="s">
        <v>172</v>
      </c>
      <c r="BH113" s="19"/>
    </row>
    <row r="114" spans="1:61" x14ac:dyDescent="0.3">
      <c r="A114" s="17" t="s">
        <v>173</v>
      </c>
      <c r="B114" s="46">
        <f>SUM(C114,E114,G114,I114,K114,M114,O114,Q114,S114,U114,W114,Y114,AA114,AC114,AE114,AG114,AI114,AK114,AM114,AO114,AQ114,AS114,AU114,AW114,AY114,BA114,BC114,BE114)</f>
        <v>4964</v>
      </c>
      <c r="C114" s="30">
        <v>119</v>
      </c>
      <c r="D114" s="31">
        <v>99.26</v>
      </c>
      <c r="E114" s="30">
        <v>128</v>
      </c>
      <c r="F114" s="31">
        <v>190.31</v>
      </c>
      <c r="G114" s="30">
        <v>132</v>
      </c>
      <c r="H114" s="31">
        <v>116.843</v>
      </c>
      <c r="I114" s="30">
        <v>137</v>
      </c>
      <c r="J114" s="31">
        <v>112.93</v>
      </c>
      <c r="K114" s="30">
        <v>43</v>
      </c>
      <c r="L114" s="31">
        <v>40.630000000000003</v>
      </c>
      <c r="M114" s="30">
        <v>162</v>
      </c>
      <c r="N114" s="31">
        <v>76.709999999999994</v>
      </c>
      <c r="O114" s="30">
        <v>191</v>
      </c>
      <c r="P114" s="31">
        <v>191.81</v>
      </c>
      <c r="Q114" s="30">
        <v>21</v>
      </c>
      <c r="R114" s="31">
        <v>12.52</v>
      </c>
      <c r="S114" s="30">
        <v>21</v>
      </c>
      <c r="T114" s="31">
        <v>12.64</v>
      </c>
      <c r="U114" s="30">
        <v>202</v>
      </c>
      <c r="V114" s="31">
        <v>190.07999999999998</v>
      </c>
      <c r="W114" s="30">
        <v>128</v>
      </c>
      <c r="X114" s="31">
        <v>79.08</v>
      </c>
      <c r="Y114" s="30">
        <v>26</v>
      </c>
      <c r="Z114" s="31">
        <v>29.97</v>
      </c>
      <c r="AA114" s="34">
        <v>11</v>
      </c>
      <c r="AB114" s="31">
        <v>88</v>
      </c>
      <c r="AC114" s="30">
        <v>638</v>
      </c>
      <c r="AD114" s="31">
        <v>1189.8900000000001</v>
      </c>
      <c r="AE114" s="30">
        <v>273</v>
      </c>
      <c r="AF114" s="31">
        <v>1497.825</v>
      </c>
      <c r="AG114" s="30">
        <v>608</v>
      </c>
      <c r="AH114" s="31">
        <v>490.74399999999997</v>
      </c>
      <c r="AI114" s="30">
        <v>57</v>
      </c>
      <c r="AJ114" s="31">
        <v>40.03</v>
      </c>
      <c r="AK114" s="30">
        <v>241</v>
      </c>
      <c r="AL114" s="31">
        <v>336.15999999999997</v>
      </c>
      <c r="AM114" s="30">
        <v>61</v>
      </c>
      <c r="AN114" s="31">
        <v>112.992</v>
      </c>
      <c r="AO114" s="30">
        <v>192</v>
      </c>
      <c r="AP114" s="31">
        <v>876.65</v>
      </c>
      <c r="AQ114" s="30">
        <v>96</v>
      </c>
      <c r="AR114" s="31">
        <v>103.22499999999999</v>
      </c>
      <c r="AS114" s="30">
        <v>50</v>
      </c>
      <c r="AT114" s="31">
        <v>100.45</v>
      </c>
      <c r="AU114" s="30">
        <v>93</v>
      </c>
      <c r="AV114" s="31">
        <v>79.790000000000006</v>
      </c>
      <c r="AW114" s="30">
        <v>86</v>
      </c>
      <c r="AX114" s="31">
        <v>180.1</v>
      </c>
      <c r="AY114" s="30">
        <v>558</v>
      </c>
      <c r="AZ114" s="31">
        <v>343.12200000000001</v>
      </c>
      <c r="BA114" s="30">
        <v>6</v>
      </c>
      <c r="BB114" s="31">
        <v>6.4</v>
      </c>
      <c r="BC114" s="30">
        <v>2</v>
      </c>
      <c r="BD114" s="31">
        <v>1.1499999999999999</v>
      </c>
      <c r="BE114" s="32">
        <v>682</v>
      </c>
      <c r="BF114" s="33">
        <v>405.89300000000003</v>
      </c>
      <c r="BG114" s="18" t="s">
        <v>174</v>
      </c>
      <c r="BH114" s="19"/>
    </row>
    <row r="115" spans="1:61" ht="15" thickBot="1" x14ac:dyDescent="0.35">
      <c r="A115" s="23" t="s">
        <v>175</v>
      </c>
      <c r="B115" s="48">
        <f>SUM(C115,E115,G115,I115,K115,M115,O115,Q115,S115,U115,W115,Y115,AA115,AC115,AE115,AG115,AI115,AK115,AM115,AO115,AQ115,AS115,AU115,AW115,AY115,BA115,BC115,BE115)</f>
        <v>9605</v>
      </c>
      <c r="C115" s="35">
        <v>214</v>
      </c>
      <c r="D115" s="36">
        <v>184.11199999999999</v>
      </c>
      <c r="E115" s="35">
        <v>289</v>
      </c>
      <c r="F115" s="36">
        <v>274.66199999999998</v>
      </c>
      <c r="G115" s="35">
        <v>228</v>
      </c>
      <c r="H115" s="36">
        <v>227.69399999999999</v>
      </c>
      <c r="I115" s="35">
        <v>211</v>
      </c>
      <c r="J115" s="36">
        <v>183.35900000000001</v>
      </c>
      <c r="K115" s="35">
        <v>29</v>
      </c>
      <c r="L115" s="36">
        <v>27.045000000000002</v>
      </c>
      <c r="M115" s="35">
        <v>175</v>
      </c>
      <c r="N115" s="36">
        <v>152.637</v>
      </c>
      <c r="O115" s="35">
        <v>356</v>
      </c>
      <c r="P115" s="36">
        <v>344.22500000000002</v>
      </c>
      <c r="Q115" s="35">
        <v>120</v>
      </c>
      <c r="R115" s="36">
        <v>80.900000000000006</v>
      </c>
      <c r="S115" s="35">
        <v>38</v>
      </c>
      <c r="T115" s="36">
        <v>23.672999999999998</v>
      </c>
      <c r="U115" s="35">
        <v>227</v>
      </c>
      <c r="V115" s="36">
        <v>263.173</v>
      </c>
      <c r="W115" s="35">
        <v>609</v>
      </c>
      <c r="X115" s="36">
        <v>520.48599999999999</v>
      </c>
      <c r="Y115" s="35">
        <v>40</v>
      </c>
      <c r="Z115" s="36">
        <v>47.89</v>
      </c>
      <c r="AA115" s="35" t="s">
        <v>190</v>
      </c>
      <c r="AB115" s="36" t="s">
        <v>190</v>
      </c>
      <c r="AC115" s="35">
        <v>760</v>
      </c>
      <c r="AD115" s="36">
        <v>1621.7270000000001</v>
      </c>
      <c r="AE115" s="35">
        <v>3033</v>
      </c>
      <c r="AF115" s="36">
        <v>32964.237999999998</v>
      </c>
      <c r="AG115" s="35">
        <v>305</v>
      </c>
      <c r="AH115" s="36">
        <v>266.38799999999998</v>
      </c>
      <c r="AI115" s="35">
        <v>91</v>
      </c>
      <c r="AJ115" s="36">
        <v>62.481999999999999</v>
      </c>
      <c r="AK115" s="35">
        <v>309</v>
      </c>
      <c r="AL115" s="36">
        <v>500.40199999999999</v>
      </c>
      <c r="AM115" s="35">
        <v>69</v>
      </c>
      <c r="AN115" s="36">
        <v>101.25700000000001</v>
      </c>
      <c r="AO115" s="35">
        <v>510</v>
      </c>
      <c r="AP115" s="36">
        <v>2656.7420000000002</v>
      </c>
      <c r="AQ115" s="35">
        <v>149</v>
      </c>
      <c r="AR115" s="36">
        <v>194.005</v>
      </c>
      <c r="AS115" s="35">
        <v>42</v>
      </c>
      <c r="AT115" s="36">
        <v>352.36500000000001</v>
      </c>
      <c r="AU115" s="35">
        <v>139</v>
      </c>
      <c r="AV115" s="36">
        <v>142.02099999999999</v>
      </c>
      <c r="AW115" s="35">
        <v>113</v>
      </c>
      <c r="AX115" s="36">
        <v>958.20699999999999</v>
      </c>
      <c r="AY115" s="35">
        <v>315</v>
      </c>
      <c r="AZ115" s="36">
        <v>296.279</v>
      </c>
      <c r="BA115" s="35">
        <v>187</v>
      </c>
      <c r="BB115" s="36">
        <v>81.718000000000004</v>
      </c>
      <c r="BC115" s="35">
        <v>21</v>
      </c>
      <c r="BD115" s="36">
        <v>25.54</v>
      </c>
      <c r="BE115" s="37">
        <v>1026</v>
      </c>
      <c r="BF115" s="38">
        <v>899.45700000000011</v>
      </c>
      <c r="BG115" s="24" t="s">
        <v>176</v>
      </c>
      <c r="BH115" s="25"/>
    </row>
    <row r="116" spans="1:61" x14ac:dyDescent="0.3">
      <c r="A116" s="26" t="s">
        <v>177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BA116" s="1" t="s">
        <v>178</v>
      </c>
    </row>
    <row r="117" spans="1:61" ht="16.2" x14ac:dyDescent="0.3">
      <c r="A117" s="1" t="s">
        <v>183</v>
      </c>
      <c r="BA117" s="1" t="s">
        <v>184</v>
      </c>
    </row>
    <row r="118" spans="1:61" ht="16.2" x14ac:dyDescent="0.3">
      <c r="A118" s="1" t="s">
        <v>185</v>
      </c>
      <c r="BA118" s="1" t="s">
        <v>186</v>
      </c>
    </row>
    <row r="119" spans="1:61" ht="16.95" customHeight="1" x14ac:dyDescent="0.3">
      <c r="A119" s="108" t="s">
        <v>187</v>
      </c>
      <c r="B119" s="108"/>
      <c r="C119" s="108"/>
      <c r="D119" s="108"/>
      <c r="E119" s="108"/>
      <c r="F119" s="108"/>
      <c r="G119" s="108"/>
      <c r="H119" s="108"/>
      <c r="BA119" s="109" t="s">
        <v>188</v>
      </c>
      <c r="BB119" s="109"/>
      <c r="BC119" s="109"/>
      <c r="BD119" s="109"/>
      <c r="BE119" s="109"/>
      <c r="BF119" s="109"/>
      <c r="BG119" s="109"/>
      <c r="BH119" s="109"/>
      <c r="BI119" s="28"/>
    </row>
    <row r="120" spans="1:61" x14ac:dyDescent="0.3">
      <c r="A120" s="108"/>
      <c r="B120" s="108"/>
      <c r="C120" s="108"/>
      <c r="D120" s="108"/>
      <c r="E120" s="108"/>
      <c r="F120" s="108"/>
      <c r="G120" s="108"/>
      <c r="H120" s="108"/>
      <c r="BA120" s="109"/>
      <c r="BB120" s="109"/>
      <c r="BC120" s="109"/>
      <c r="BD120" s="109"/>
      <c r="BE120" s="109"/>
      <c r="BF120" s="109"/>
      <c r="BG120" s="109"/>
      <c r="BH120" s="109"/>
      <c r="BI120" s="28"/>
    </row>
    <row r="121" spans="1:61" x14ac:dyDescent="0.3">
      <c r="A121" s="108"/>
      <c r="B121" s="108"/>
      <c r="C121" s="108"/>
      <c r="D121" s="108"/>
      <c r="E121" s="108"/>
      <c r="F121" s="108"/>
      <c r="G121" s="108"/>
      <c r="H121" s="108"/>
      <c r="AZ121" s="28"/>
      <c r="BA121" s="109"/>
      <c r="BB121" s="109"/>
      <c r="BC121" s="109"/>
      <c r="BD121" s="109"/>
      <c r="BE121" s="109"/>
      <c r="BF121" s="109"/>
      <c r="BG121" s="109"/>
      <c r="BH121" s="109"/>
    </row>
  </sheetData>
  <mergeCells count="837">
    <mergeCell ref="AS8:AT12"/>
    <mergeCell ref="AU8:AV12"/>
    <mergeCell ref="AW8:AX12"/>
    <mergeCell ref="AY8:AZ12"/>
    <mergeCell ref="BA8:BB12"/>
    <mergeCell ref="BC8:BD12"/>
    <mergeCell ref="BE8:BF12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C13:BD13"/>
    <mergeCell ref="BE13:BF13"/>
    <mergeCell ref="AG13:AH13"/>
    <mergeCell ref="AG8:AH12"/>
    <mergeCell ref="AI8:AJ12"/>
    <mergeCell ref="AI13:AJ13"/>
    <mergeCell ref="AK8:AL12"/>
    <mergeCell ref="AM8:AN12"/>
    <mergeCell ref="AO8:AP12"/>
    <mergeCell ref="AQ8:AR12"/>
    <mergeCell ref="Y13:Z13"/>
    <mergeCell ref="W13:X13"/>
    <mergeCell ref="U13:V13"/>
    <mergeCell ref="S13:T13"/>
    <mergeCell ref="Q13:R13"/>
    <mergeCell ref="O13:P13"/>
    <mergeCell ref="M13:N13"/>
    <mergeCell ref="K13:L13"/>
    <mergeCell ref="I13:J13"/>
    <mergeCell ref="B8:B12"/>
    <mergeCell ref="B13:B14"/>
    <mergeCell ref="AC9:AF9"/>
    <mergeCell ref="AC10:AD10"/>
    <mergeCell ref="AE10:AF10"/>
    <mergeCell ref="AA9:AB10"/>
    <mergeCell ref="AA11:AF11"/>
    <mergeCell ref="C13:D13"/>
    <mergeCell ref="C8:D12"/>
    <mergeCell ref="E8:F12"/>
    <mergeCell ref="Y8:Z12"/>
    <mergeCell ref="W8:X12"/>
    <mergeCell ref="U8:V12"/>
    <mergeCell ref="S8:T12"/>
    <mergeCell ref="Q8:R12"/>
    <mergeCell ref="O8:P12"/>
    <mergeCell ref="M8:N12"/>
    <mergeCell ref="K8:L12"/>
    <mergeCell ref="I8:J12"/>
    <mergeCell ref="G8:H12"/>
    <mergeCell ref="E13:F13"/>
    <mergeCell ref="G13:H13"/>
    <mergeCell ref="A119:H121"/>
    <mergeCell ref="BA119:BH121"/>
    <mergeCell ref="AL88:AL89"/>
    <mergeCell ref="AU88:AU89"/>
    <mergeCell ref="AG78:AG79"/>
    <mergeCell ref="AH78:AH79"/>
    <mergeCell ref="AI78:AI79"/>
    <mergeCell ref="AJ78:AJ79"/>
    <mergeCell ref="AK78:AK79"/>
    <mergeCell ref="AL78:AL79"/>
    <mergeCell ref="AU78:AU7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S78:AS79"/>
    <mergeCell ref="AT78:AT79"/>
    <mergeCell ref="M110:M111"/>
    <mergeCell ref="N110:N111"/>
    <mergeCell ref="AK88:AK89"/>
    <mergeCell ref="AO25:AO26"/>
    <mergeCell ref="AP25:AP26"/>
    <mergeCell ref="AQ25:AQ26"/>
    <mergeCell ref="D3:T3"/>
    <mergeCell ref="D5:T5"/>
    <mergeCell ref="D4:T4"/>
    <mergeCell ref="AR25:AR26"/>
    <mergeCell ref="AS25:AS26"/>
    <mergeCell ref="AT25:AT26"/>
    <mergeCell ref="AK15:AK16"/>
    <mergeCell ref="AL15:AL16"/>
    <mergeCell ref="AK17:AK18"/>
    <mergeCell ref="AL17:AL18"/>
    <mergeCell ref="M15:M16"/>
    <mergeCell ref="AO17:AO18"/>
    <mergeCell ref="AP17:AP18"/>
    <mergeCell ref="AO15:AO16"/>
    <mergeCell ref="AP15:AP16"/>
    <mergeCell ref="AI15:AI16"/>
    <mergeCell ref="AQ45:AQ46"/>
    <mergeCell ref="AN52:AN53"/>
    <mergeCell ref="AO52:AO53"/>
    <mergeCell ref="AP52:AP53"/>
    <mergeCell ref="AN59:AN60"/>
    <mergeCell ref="AO59:AO60"/>
    <mergeCell ref="AP59:AP60"/>
    <mergeCell ref="AS45:AS46"/>
    <mergeCell ref="AQ59:AQ60"/>
    <mergeCell ref="D2:T2"/>
    <mergeCell ref="AM39:AM40"/>
    <mergeCell ref="AN39:AN40"/>
    <mergeCell ref="AK25:AK26"/>
    <mergeCell ref="AL25:AL26"/>
    <mergeCell ref="O15:O16"/>
    <mergeCell ref="N15:N16"/>
    <mergeCell ref="AA8:AF8"/>
    <mergeCell ref="AE13:AF13"/>
    <mergeCell ref="AA12:AB13"/>
    <mergeCell ref="N17:N18"/>
    <mergeCell ref="AG15:AG16"/>
    <mergeCell ref="AH15:AH16"/>
    <mergeCell ref="AG17:AG18"/>
    <mergeCell ref="AH17:AH18"/>
    <mergeCell ref="S15:S16"/>
    <mergeCell ref="T15:T16"/>
    <mergeCell ref="M39:M40"/>
    <mergeCell ref="N39:N40"/>
    <mergeCell ref="K39:K40"/>
    <mergeCell ref="L39:L40"/>
    <mergeCell ref="O39:O40"/>
    <mergeCell ref="K15:K16"/>
    <mergeCell ref="H45:H46"/>
    <mergeCell ref="C39:C40"/>
    <mergeCell ref="D39:D40"/>
    <mergeCell ref="E39:E40"/>
    <mergeCell ref="AW25:AW26"/>
    <mergeCell ref="AV66:AV67"/>
    <mergeCell ref="AW66:AW67"/>
    <mergeCell ref="I25:I26"/>
    <mergeCell ref="AV88:AV89"/>
    <mergeCell ref="AW88:AW89"/>
    <mergeCell ref="AG66:AG67"/>
    <mergeCell ref="AH66:AH67"/>
    <mergeCell ref="AK66:AK67"/>
    <mergeCell ref="AL66:AL67"/>
    <mergeCell ref="AU66:AU67"/>
    <mergeCell ref="AI52:AI53"/>
    <mergeCell ref="AJ52:AJ53"/>
    <mergeCell ref="AG88:AG89"/>
    <mergeCell ref="AH88:AH89"/>
    <mergeCell ref="AI88:AI89"/>
    <mergeCell ref="AJ88:AJ89"/>
    <mergeCell ref="AG52:AG53"/>
    <mergeCell ref="AH45:AH46"/>
    <mergeCell ref="AI45:AI46"/>
    <mergeCell ref="AU71:AU72"/>
    <mergeCell ref="AV71:AV72"/>
    <mergeCell ref="AW71:AW72"/>
    <mergeCell ref="AX71:AX72"/>
    <mergeCell ref="D95:D96"/>
    <mergeCell ref="E95:E96"/>
    <mergeCell ref="F95:F96"/>
    <mergeCell ref="AX25:AX26"/>
    <mergeCell ref="AS95:AS96"/>
    <mergeCell ref="AT95:AT96"/>
    <mergeCell ref="AX88:AX89"/>
    <mergeCell ref="AM78:AM79"/>
    <mergeCell ref="AN78:AN79"/>
    <mergeCell ref="L88:L89"/>
    <mergeCell ref="K95:K96"/>
    <mergeCell ref="L95:L96"/>
    <mergeCell ref="O95:O96"/>
    <mergeCell ref="P95:P96"/>
    <mergeCell ref="M88:M89"/>
    <mergeCell ref="N88:N89"/>
    <mergeCell ref="M95:M96"/>
    <mergeCell ref="N95:N96"/>
    <mergeCell ref="G88:G89"/>
    <mergeCell ref="H88:H89"/>
    <mergeCell ref="B15:B16"/>
    <mergeCell ref="B59:B60"/>
    <mergeCell ref="B66:B67"/>
    <mergeCell ref="B71:B72"/>
    <mergeCell ref="B78:B79"/>
    <mergeCell ref="AJ15:AJ16"/>
    <mergeCell ref="AI17:AI18"/>
    <mergeCell ref="AJ17:AJ18"/>
    <mergeCell ref="P15:P16"/>
    <mergeCell ref="P17:P18"/>
    <mergeCell ref="W15:W16"/>
    <mergeCell ref="X15:X16"/>
    <mergeCell ref="B17:B18"/>
    <mergeCell ref="B25:B26"/>
    <mergeCell ref="M17:M18"/>
    <mergeCell ref="AG25:AG26"/>
    <mergeCell ref="K78:K79"/>
    <mergeCell ref="L78:L79"/>
    <mergeCell ref="O78:O79"/>
    <mergeCell ref="P78:P79"/>
    <mergeCell ref="M78:M79"/>
    <mergeCell ref="N78:N79"/>
    <mergeCell ref="AI25:AI26"/>
    <mergeCell ref="AJ25:AJ26"/>
    <mergeCell ref="E52:E53"/>
    <mergeCell ref="F52:F53"/>
    <mergeCell ref="C66:C67"/>
    <mergeCell ref="D66:D67"/>
    <mergeCell ref="E66:E67"/>
    <mergeCell ref="F66:F67"/>
    <mergeCell ref="C59:C60"/>
    <mergeCell ref="D59:D60"/>
    <mergeCell ref="E59:E60"/>
    <mergeCell ref="F59:F60"/>
    <mergeCell ref="B39:B40"/>
    <mergeCell ref="B45:B46"/>
    <mergeCell ref="B52:B53"/>
    <mergeCell ref="B110:B111"/>
    <mergeCell ref="B88:B89"/>
    <mergeCell ref="B95:B96"/>
    <mergeCell ref="C110:C111"/>
    <mergeCell ref="C52:C53"/>
    <mergeCell ref="D52:D53"/>
    <mergeCell ref="D110:D111"/>
    <mergeCell ref="C88:C89"/>
    <mergeCell ref="D88:D89"/>
    <mergeCell ref="C78:C79"/>
    <mergeCell ref="D78:D79"/>
    <mergeCell ref="E78:E79"/>
    <mergeCell ref="F78:F79"/>
    <mergeCell ref="AL95:AL96"/>
    <mergeCell ref="AA95:AA96"/>
    <mergeCell ref="AB95:AB96"/>
    <mergeCell ref="AI95:AI96"/>
    <mergeCell ref="U110:U111"/>
    <mergeCell ref="V110:V111"/>
    <mergeCell ref="W110:W111"/>
    <mergeCell ref="X110:X111"/>
    <mergeCell ref="AC95:AC96"/>
    <mergeCell ref="Z110:Z111"/>
    <mergeCell ref="AA110:AA111"/>
    <mergeCell ref="AB110:AB111"/>
    <mergeCell ref="AC110:AC111"/>
    <mergeCell ref="AD110:AD111"/>
    <mergeCell ref="AG110:AG111"/>
    <mergeCell ref="AI110:AI111"/>
    <mergeCell ref="AJ110:AJ111"/>
    <mergeCell ref="AK110:AK111"/>
    <mergeCell ref="AL110:AL111"/>
    <mergeCell ref="AH110:AH111"/>
    <mergeCell ref="Y110:Y111"/>
    <mergeCell ref="BC88:BC89"/>
    <mergeCell ref="BD88:BD89"/>
    <mergeCell ref="BF95:BF96"/>
    <mergeCell ref="BA95:BA96"/>
    <mergeCell ref="BB95:BB96"/>
    <mergeCell ref="BC95:BC96"/>
    <mergeCell ref="BD95:BD96"/>
    <mergeCell ref="E88:E89"/>
    <mergeCell ref="F88:F89"/>
    <mergeCell ref="O88:O89"/>
    <mergeCell ref="P88:P89"/>
    <mergeCell ref="AJ95:AJ96"/>
    <mergeCell ref="AK95:AK96"/>
    <mergeCell ref="AU95:AU96"/>
    <mergeCell ref="AV95:AV96"/>
    <mergeCell ref="AW95:AW96"/>
    <mergeCell ref="AX95:AX96"/>
    <mergeCell ref="G95:G96"/>
    <mergeCell ref="W88:W89"/>
    <mergeCell ref="X88:X89"/>
    <mergeCell ref="Y88:Y89"/>
    <mergeCell ref="Z88:Z89"/>
    <mergeCell ref="AF95:AF96"/>
    <mergeCell ref="G52:G53"/>
    <mergeCell ref="H52:H53"/>
    <mergeCell ref="K66:K67"/>
    <mergeCell ref="L66:L67"/>
    <mergeCell ref="O66:O67"/>
    <mergeCell ref="G66:G67"/>
    <mergeCell ref="H66:H67"/>
    <mergeCell ref="M66:M67"/>
    <mergeCell ref="N66:N67"/>
    <mergeCell ref="I59:I60"/>
    <mergeCell ref="J59:J60"/>
    <mergeCell ref="K52:K53"/>
    <mergeCell ref="L52:L53"/>
    <mergeCell ref="O52:O53"/>
    <mergeCell ref="G59:G60"/>
    <mergeCell ref="H59:H60"/>
    <mergeCell ref="I66:I67"/>
    <mergeCell ref="J66:J67"/>
    <mergeCell ref="I52:I53"/>
    <mergeCell ref="J52:J53"/>
    <mergeCell ref="M52:M53"/>
    <mergeCell ref="N52:N53"/>
    <mergeCell ref="K59:K60"/>
    <mergeCell ref="L59:L60"/>
    <mergeCell ref="Z17:Z18"/>
    <mergeCell ref="O17:O18"/>
    <mergeCell ref="U39:U40"/>
    <mergeCell ref="V39:V40"/>
    <mergeCell ref="W39:W40"/>
    <mergeCell ref="X39:X40"/>
    <mergeCell ref="AC25:AC26"/>
    <mergeCell ref="AD25:AD26"/>
    <mergeCell ref="AE25:AE26"/>
    <mergeCell ref="Y39:Y40"/>
    <mergeCell ref="Z39:Z40"/>
    <mergeCell ref="P39:P40"/>
    <mergeCell ref="BF17:BF18"/>
    <mergeCell ref="AU17:AU18"/>
    <mergeCell ref="AV17:AV18"/>
    <mergeCell ref="AW17:AW18"/>
    <mergeCell ref="AX17:AX18"/>
    <mergeCell ref="AZ15:AZ16"/>
    <mergeCell ref="BB15:BB16"/>
    <mergeCell ref="AM17:AM18"/>
    <mergeCell ref="AN17:AN18"/>
    <mergeCell ref="AQ17:AQ18"/>
    <mergeCell ref="AR17:AR18"/>
    <mergeCell ref="AS17:AS18"/>
    <mergeCell ref="AT17:AT18"/>
    <mergeCell ref="BA17:BA18"/>
    <mergeCell ref="BB17:BB18"/>
    <mergeCell ref="BC17:BC18"/>
    <mergeCell ref="BD17:BD18"/>
    <mergeCell ref="BE17:BE18"/>
    <mergeCell ref="K45:K46"/>
    <mergeCell ref="L45:L46"/>
    <mergeCell ref="AV25:AV26"/>
    <mergeCell ref="AV39:AV40"/>
    <mergeCell ref="AW39:AW40"/>
    <mergeCell ref="AX39:AX40"/>
    <mergeCell ref="BA25:BA26"/>
    <mergeCell ref="AU25:AU26"/>
    <mergeCell ref="O45:O46"/>
    <mergeCell ref="P45:P46"/>
    <mergeCell ref="AL45:AL46"/>
    <mergeCell ref="AP45:AP46"/>
    <mergeCell ref="AT45:AT46"/>
    <mergeCell ref="AM45:AM46"/>
    <mergeCell ref="AV45:AV46"/>
    <mergeCell ref="AR45:AR46"/>
    <mergeCell ref="AG45:AG46"/>
    <mergeCell ref="AJ45:AJ46"/>
    <mergeCell ref="AK45:AK46"/>
    <mergeCell ref="AM25:AM26"/>
    <mergeCell ref="AN25:AN26"/>
    <mergeCell ref="AH25:AH26"/>
    <mergeCell ref="AG39:AG40"/>
    <mergeCell ref="AH39:AH40"/>
    <mergeCell ref="M45:M46"/>
    <mergeCell ref="N45:N46"/>
    <mergeCell ref="M59:M60"/>
    <mergeCell ref="N59:N60"/>
    <mergeCell ref="AE39:AE40"/>
    <mergeCell ref="AF39:AF40"/>
    <mergeCell ref="Q59:Q60"/>
    <mergeCell ref="R59:R60"/>
    <mergeCell ref="S59:S60"/>
    <mergeCell ref="T59:T60"/>
    <mergeCell ref="Y52:Y53"/>
    <mergeCell ref="Z52:Z53"/>
    <mergeCell ref="AB52:AB53"/>
    <mergeCell ref="AE52:AE53"/>
    <mergeCell ref="AF52:AF53"/>
    <mergeCell ref="W52:W53"/>
    <mergeCell ref="X52:X53"/>
    <mergeCell ref="AW45:AW46"/>
    <mergeCell ref="AX45:AX46"/>
    <mergeCell ref="AN45:AN46"/>
    <mergeCell ref="AO45:AO46"/>
    <mergeCell ref="O59:O60"/>
    <mergeCell ref="P59:P60"/>
    <mergeCell ref="AF25:AF26"/>
    <mergeCell ref="W45:W46"/>
    <mergeCell ref="X45:X46"/>
    <mergeCell ref="Y45:Y46"/>
    <mergeCell ref="Z45:Z46"/>
    <mergeCell ref="AK52:AK53"/>
    <mergeCell ref="AH59:AH60"/>
    <mergeCell ref="AI39:AI40"/>
    <mergeCell ref="AJ39:AJ40"/>
    <mergeCell ref="AK39:AK40"/>
    <mergeCell ref="AL39:AL40"/>
    <mergeCell ref="AO39:AO40"/>
    <mergeCell ref="AP39:AP40"/>
    <mergeCell ref="AU52:AU53"/>
    <mergeCell ref="AR59:AR60"/>
    <mergeCell ref="AS59:AS60"/>
    <mergeCell ref="AT59:AT60"/>
    <mergeCell ref="AU45:AU46"/>
    <mergeCell ref="BE25:BE26"/>
    <mergeCell ref="BF25:BF26"/>
    <mergeCell ref="AQ39:AQ40"/>
    <mergeCell ref="AR39:AR40"/>
    <mergeCell ref="AS39:AS40"/>
    <mergeCell ref="AT39:AT40"/>
    <mergeCell ref="BA39:BA40"/>
    <mergeCell ref="BB39:BB40"/>
    <mergeCell ref="BC39:BC40"/>
    <mergeCell ref="BD39:BD40"/>
    <mergeCell ref="BE39:BE40"/>
    <mergeCell ref="BF39:BF40"/>
    <mergeCell ref="BB25:BB26"/>
    <mergeCell ref="BC25:BC26"/>
    <mergeCell ref="BD25:BD26"/>
    <mergeCell ref="AY39:AY40"/>
    <mergeCell ref="AZ39:AZ40"/>
    <mergeCell ref="AU39:AU40"/>
    <mergeCell ref="BC71:BC72"/>
    <mergeCell ref="BD71:BD72"/>
    <mergeCell ref="AY66:AY67"/>
    <mergeCell ref="BE71:BE72"/>
    <mergeCell ref="AY71:AY72"/>
    <mergeCell ref="AZ71:AZ72"/>
    <mergeCell ref="BC45:BC46"/>
    <mergeCell ref="BD45:BD46"/>
    <mergeCell ref="BB59:BB60"/>
    <mergeCell ref="BE59:BE60"/>
    <mergeCell ref="BC59:BC60"/>
    <mergeCell ref="BD59:BD60"/>
    <mergeCell ref="BD52:BD53"/>
    <mergeCell ref="AZ66:AZ67"/>
    <mergeCell ref="BA59:BA60"/>
    <mergeCell ref="BA45:BA46"/>
    <mergeCell ref="AM71:AM72"/>
    <mergeCell ref="AN71:AN72"/>
    <mergeCell ref="AO71:AO72"/>
    <mergeCell ref="AP71:AP72"/>
    <mergeCell ref="AQ71:AQ72"/>
    <mergeCell ref="AR71:AR72"/>
    <mergeCell ref="AS71:AS72"/>
    <mergeCell ref="AT71:AT72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L52:AL53"/>
    <mergeCell ref="AH52:AH53"/>
    <mergeCell ref="AR52:AR53"/>
    <mergeCell ref="AS52:AS53"/>
    <mergeCell ref="AT52:AT53"/>
    <mergeCell ref="BC66:BC67"/>
    <mergeCell ref="BB52:BB53"/>
    <mergeCell ref="BC52:BC53"/>
    <mergeCell ref="AW59:AW60"/>
    <mergeCell ref="AX59:AX60"/>
    <mergeCell ref="AV52:AV53"/>
    <mergeCell ref="AW52:AW53"/>
    <mergeCell ref="AX52:AX53"/>
    <mergeCell ref="AQ52:AQ53"/>
    <mergeCell ref="AJ66:AJ67"/>
    <mergeCell ref="AI59:AI60"/>
    <mergeCell ref="AJ59:AJ60"/>
    <mergeCell ref="AK59:AK60"/>
    <mergeCell ref="AL59:AL60"/>
    <mergeCell ref="AU59:AU60"/>
    <mergeCell ref="AV59:AV60"/>
    <mergeCell ref="AM59:AM60"/>
    <mergeCell ref="AM52:AM53"/>
    <mergeCell ref="L15:L16"/>
    <mergeCell ref="BB71:BB72"/>
    <mergeCell ref="C15:C16"/>
    <mergeCell ref="D15:D16"/>
    <mergeCell ref="E15:E16"/>
    <mergeCell ref="F15:F16"/>
    <mergeCell ref="G15:G16"/>
    <mergeCell ref="J17:J18"/>
    <mergeCell ref="K17:K18"/>
    <mergeCell ref="L17:L18"/>
    <mergeCell ref="BA71:BA72"/>
    <mergeCell ref="J25:J26"/>
    <mergeCell ref="K25:K26"/>
    <mergeCell ref="L25:L26"/>
    <mergeCell ref="AC71:AC72"/>
    <mergeCell ref="AD71:AD72"/>
    <mergeCell ref="AE71:AE72"/>
    <mergeCell ref="AF71:AF72"/>
    <mergeCell ref="AE59:AE60"/>
    <mergeCell ref="AF59:AF60"/>
    <mergeCell ref="AC52:AC53"/>
    <mergeCell ref="AD52:AD53"/>
    <mergeCell ref="AA71:AA72"/>
    <mergeCell ref="AB71:AB72"/>
    <mergeCell ref="BA110:BA111"/>
    <mergeCell ref="BB110:BB111"/>
    <mergeCell ref="BC110:BC111"/>
    <mergeCell ref="BD110:BD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Y110:AY111"/>
    <mergeCell ref="AZ110:AZ111"/>
    <mergeCell ref="AU110:AU111"/>
    <mergeCell ref="AV110:AV111"/>
    <mergeCell ref="AW110:AW111"/>
    <mergeCell ref="AX110:AX111"/>
    <mergeCell ref="BG110:BH111"/>
    <mergeCell ref="BE110:BE111"/>
    <mergeCell ref="BF110:BF111"/>
    <mergeCell ref="AE110:AE111"/>
    <mergeCell ref="AF110:AF111"/>
    <mergeCell ref="AG95:AG96"/>
    <mergeCell ref="AH95:AH96"/>
    <mergeCell ref="A110:A111"/>
    <mergeCell ref="Q110:Q111"/>
    <mergeCell ref="R110:R111"/>
    <mergeCell ref="S110:S111"/>
    <mergeCell ref="T110:T111"/>
    <mergeCell ref="W95:W96"/>
    <mergeCell ref="X95:X96"/>
    <mergeCell ref="Y95:Y96"/>
    <mergeCell ref="Z95:Z96"/>
    <mergeCell ref="I110:I111"/>
    <mergeCell ref="J110:J111"/>
    <mergeCell ref="I95:I96"/>
    <mergeCell ref="J95:J96"/>
    <mergeCell ref="K110:K111"/>
    <mergeCell ref="L110:L111"/>
    <mergeCell ref="O110:O111"/>
    <mergeCell ref="P110:P111"/>
    <mergeCell ref="E110:E111"/>
    <mergeCell ref="F110:F111"/>
    <mergeCell ref="G110:G111"/>
    <mergeCell ref="H110:H111"/>
    <mergeCell ref="C95:C96"/>
    <mergeCell ref="BG88:BH89"/>
    <mergeCell ref="A95:A96"/>
    <mergeCell ref="Q95:Q96"/>
    <mergeCell ref="R95:R96"/>
    <mergeCell ref="S95:S96"/>
    <mergeCell ref="T95:T96"/>
    <mergeCell ref="U95:U96"/>
    <mergeCell ref="V95:V96"/>
    <mergeCell ref="AY95:AY96"/>
    <mergeCell ref="AZ95:AZ96"/>
    <mergeCell ref="AA88:AA89"/>
    <mergeCell ref="AB88:AB89"/>
    <mergeCell ref="AC88:AC89"/>
    <mergeCell ref="AD88:AD89"/>
    <mergeCell ref="AE88:AE89"/>
    <mergeCell ref="AF88:AF89"/>
    <mergeCell ref="AY88:AY89"/>
    <mergeCell ref="AZ88:AZ89"/>
    <mergeCell ref="AD95:AD96"/>
    <mergeCell ref="BG95:BH96"/>
    <mergeCell ref="A88:A89"/>
    <mergeCell ref="Q88:Q89"/>
    <mergeCell ref="R88:R89"/>
    <mergeCell ref="S88:S89"/>
    <mergeCell ref="T88:T89"/>
    <mergeCell ref="U88:U89"/>
    <mergeCell ref="V88:V89"/>
    <mergeCell ref="I88:I89"/>
    <mergeCell ref="J88:J89"/>
    <mergeCell ref="K88:K89"/>
    <mergeCell ref="H95:H96"/>
    <mergeCell ref="AE95:AE96"/>
    <mergeCell ref="AM95:AM96"/>
    <mergeCell ref="AN95:AN96"/>
    <mergeCell ref="AO95:AO96"/>
    <mergeCell ref="AP95:AP96"/>
    <mergeCell ref="AQ95:AQ96"/>
    <mergeCell ref="AR95:AR96"/>
    <mergeCell ref="BE95:BE96"/>
    <mergeCell ref="BE88:BE89"/>
    <mergeCell ref="BF88:BF89"/>
    <mergeCell ref="BA88:BA89"/>
    <mergeCell ref="BB88:BB89"/>
    <mergeCell ref="G78:G79"/>
    <mergeCell ref="H78:H79"/>
    <mergeCell ref="AE78:AE79"/>
    <mergeCell ref="AF78:AF79"/>
    <mergeCell ref="BG78:BH79"/>
    <mergeCell ref="AA78:AA79"/>
    <mergeCell ref="AB78:AB79"/>
    <mergeCell ref="AC78:AC79"/>
    <mergeCell ref="AD78:AD79"/>
    <mergeCell ref="BE78:BE79"/>
    <mergeCell ref="BF78:BF79"/>
    <mergeCell ref="BA78:BA79"/>
    <mergeCell ref="BB78:BB79"/>
    <mergeCell ref="BC78:BC79"/>
    <mergeCell ref="BD78:BD79"/>
    <mergeCell ref="AY78:AY79"/>
    <mergeCell ref="AZ78:AZ79"/>
    <mergeCell ref="W78:W79"/>
    <mergeCell ref="X78:X79"/>
    <mergeCell ref="I78:I79"/>
    <mergeCell ref="J78:J79"/>
    <mergeCell ref="P71:P72"/>
    <mergeCell ref="C71:C72"/>
    <mergeCell ref="D71:D72"/>
    <mergeCell ref="E71:E72"/>
    <mergeCell ref="F71:F72"/>
    <mergeCell ref="BF71:BF72"/>
    <mergeCell ref="AO78:AO79"/>
    <mergeCell ref="AP78:AP79"/>
    <mergeCell ref="AQ78:AQ79"/>
    <mergeCell ref="AR78:AR79"/>
    <mergeCell ref="AV78:AV79"/>
    <mergeCell ref="AW78:AW79"/>
    <mergeCell ref="AX78:AX79"/>
    <mergeCell ref="AG71:AG72"/>
    <mergeCell ref="AH71:AH72"/>
    <mergeCell ref="AI71:AI72"/>
    <mergeCell ref="AJ71:AJ72"/>
    <mergeCell ref="AK71:AK72"/>
    <mergeCell ref="AL71:AL72"/>
    <mergeCell ref="K71:K72"/>
    <mergeCell ref="L71:L72"/>
    <mergeCell ref="O71:O72"/>
    <mergeCell ref="M71:M72"/>
    <mergeCell ref="N71:N72"/>
    <mergeCell ref="A78:A79"/>
    <mergeCell ref="Q78:Q79"/>
    <mergeCell ref="R78:R79"/>
    <mergeCell ref="S78:S79"/>
    <mergeCell ref="T78:T79"/>
    <mergeCell ref="W71:W72"/>
    <mergeCell ref="X71:X72"/>
    <mergeCell ref="Y71:Y72"/>
    <mergeCell ref="Z71:Z72"/>
    <mergeCell ref="A71:A72"/>
    <mergeCell ref="Q71:Q72"/>
    <mergeCell ref="R71:R72"/>
    <mergeCell ref="S71:S72"/>
    <mergeCell ref="T71:T72"/>
    <mergeCell ref="U71:U72"/>
    <mergeCell ref="V71:V72"/>
    <mergeCell ref="G71:G72"/>
    <mergeCell ref="H71:H72"/>
    <mergeCell ref="I71:I72"/>
    <mergeCell ref="J71:J72"/>
    <mergeCell ref="Y78:Y79"/>
    <mergeCell ref="Z78:Z79"/>
    <mergeCell ref="U78:U79"/>
    <mergeCell ref="V78:V79"/>
    <mergeCell ref="BG59:BH60"/>
    <mergeCell ref="AA59:AA60"/>
    <mergeCell ref="AB59:AB60"/>
    <mergeCell ref="AC59:AC60"/>
    <mergeCell ref="AD59:AD60"/>
    <mergeCell ref="AY59:AY60"/>
    <mergeCell ref="AZ59:AZ60"/>
    <mergeCell ref="BG66:BH67"/>
    <mergeCell ref="AA66:AA67"/>
    <mergeCell ref="AB66:AB67"/>
    <mergeCell ref="BD66:BD67"/>
    <mergeCell ref="BF59:BF60"/>
    <mergeCell ref="BF66:BF67"/>
    <mergeCell ref="AE66:AE67"/>
    <mergeCell ref="AF66:AF67"/>
    <mergeCell ref="AX66:AX67"/>
    <mergeCell ref="AI66:AI67"/>
    <mergeCell ref="BG71:BH72"/>
    <mergeCell ref="BA66:BA67"/>
    <mergeCell ref="AC66:AC67"/>
    <mergeCell ref="AD66:AD67"/>
    <mergeCell ref="BB66:BB67"/>
    <mergeCell ref="AG59:AG60"/>
    <mergeCell ref="BE66:BE67"/>
    <mergeCell ref="A66:A67"/>
    <mergeCell ref="Q66:Q67"/>
    <mergeCell ref="R66:R67"/>
    <mergeCell ref="S66:S67"/>
    <mergeCell ref="T66:T67"/>
    <mergeCell ref="U66:U67"/>
    <mergeCell ref="V66:V67"/>
    <mergeCell ref="Y59:Y60"/>
    <mergeCell ref="Z59:Z60"/>
    <mergeCell ref="U59:U60"/>
    <mergeCell ref="V59:V60"/>
    <mergeCell ref="W59:W60"/>
    <mergeCell ref="X59:X60"/>
    <mergeCell ref="A59:A60"/>
    <mergeCell ref="P66:P67"/>
    <mergeCell ref="W66:W67"/>
    <mergeCell ref="X66:X67"/>
    <mergeCell ref="Y66:Y67"/>
    <mergeCell ref="Z66:Z67"/>
    <mergeCell ref="BG45:BH46"/>
    <mergeCell ref="A52:A53"/>
    <mergeCell ref="Q52:Q53"/>
    <mergeCell ref="R52:R53"/>
    <mergeCell ref="S52:S53"/>
    <mergeCell ref="T52:T53"/>
    <mergeCell ref="U52:U53"/>
    <mergeCell ref="V52:V53"/>
    <mergeCell ref="AY52:AY53"/>
    <mergeCell ref="AZ52:AZ53"/>
    <mergeCell ref="AA45:AA46"/>
    <mergeCell ref="AB45:AB46"/>
    <mergeCell ref="AC45:AC46"/>
    <mergeCell ref="AD45:AD46"/>
    <mergeCell ref="AE45:AE46"/>
    <mergeCell ref="AF45:AF46"/>
    <mergeCell ref="AY45:AY46"/>
    <mergeCell ref="AZ45:AZ46"/>
    <mergeCell ref="P52:P53"/>
    <mergeCell ref="BE52:BE53"/>
    <mergeCell ref="BF52:BF53"/>
    <mergeCell ref="BB45:BB46"/>
    <mergeCell ref="BG39:BH40"/>
    <mergeCell ref="AA39:AA40"/>
    <mergeCell ref="AB39:AB40"/>
    <mergeCell ref="AC39:AC40"/>
    <mergeCell ref="AD39:AD40"/>
    <mergeCell ref="BG52:BH53"/>
    <mergeCell ref="AA52:AA53"/>
    <mergeCell ref="A45:A46"/>
    <mergeCell ref="Q45:Q46"/>
    <mergeCell ref="R45:R46"/>
    <mergeCell ref="S45:S46"/>
    <mergeCell ref="T45:T46"/>
    <mergeCell ref="U45:U46"/>
    <mergeCell ref="V45:V46"/>
    <mergeCell ref="I45:I46"/>
    <mergeCell ref="J45:J46"/>
    <mergeCell ref="C45:C46"/>
    <mergeCell ref="D45:D46"/>
    <mergeCell ref="E45:E46"/>
    <mergeCell ref="F45:F46"/>
    <mergeCell ref="G45:G46"/>
    <mergeCell ref="BE45:BE46"/>
    <mergeCell ref="BF45:BF46"/>
    <mergeCell ref="BA52:BA53"/>
    <mergeCell ref="A39:A40"/>
    <mergeCell ref="Q39:Q40"/>
    <mergeCell ref="R39:R40"/>
    <mergeCell ref="S39:S40"/>
    <mergeCell ref="T39:T40"/>
    <mergeCell ref="W25:W26"/>
    <mergeCell ref="X25:X26"/>
    <mergeCell ref="Y25:Y26"/>
    <mergeCell ref="Z25:Z26"/>
    <mergeCell ref="C25:C26"/>
    <mergeCell ref="D25:D26"/>
    <mergeCell ref="E25:E26"/>
    <mergeCell ref="F25:F26"/>
    <mergeCell ref="G25:G26"/>
    <mergeCell ref="H25:H26"/>
    <mergeCell ref="P25:P26"/>
    <mergeCell ref="F39:F40"/>
    <mergeCell ref="G39:G40"/>
    <mergeCell ref="H39:H40"/>
    <mergeCell ref="I39:I40"/>
    <mergeCell ref="J39:J40"/>
    <mergeCell ref="O25:O26"/>
    <mergeCell ref="M25:M26"/>
    <mergeCell ref="N25:N26"/>
    <mergeCell ref="BG17:BH18"/>
    <mergeCell ref="A25:A26"/>
    <mergeCell ref="Q25:Q26"/>
    <mergeCell ref="R25:R26"/>
    <mergeCell ref="S25:S26"/>
    <mergeCell ref="T25:T26"/>
    <mergeCell ref="U25:U26"/>
    <mergeCell ref="V25:V26"/>
    <mergeCell ref="AY25:AY26"/>
    <mergeCell ref="AZ25:AZ26"/>
    <mergeCell ref="AA17:AA18"/>
    <mergeCell ref="AB17:AB18"/>
    <mergeCell ref="AC17:AC18"/>
    <mergeCell ref="AD17:AD18"/>
    <mergeCell ref="AE17:AE18"/>
    <mergeCell ref="AF17:AF18"/>
    <mergeCell ref="AY17:AY18"/>
    <mergeCell ref="AZ17:AZ18"/>
    <mergeCell ref="W17:W18"/>
    <mergeCell ref="X17:X18"/>
    <mergeCell ref="Y17:Y18"/>
    <mergeCell ref="BG25:BH26"/>
    <mergeCell ref="AA25:AA26"/>
    <mergeCell ref="AB25:AB26"/>
    <mergeCell ref="A17:A18"/>
    <mergeCell ref="Q17:Q18"/>
    <mergeCell ref="R17:R18"/>
    <mergeCell ref="S17:S18"/>
    <mergeCell ref="T17:T18"/>
    <mergeCell ref="U17:U18"/>
    <mergeCell ref="V17:V18"/>
    <mergeCell ref="Y15:Y16"/>
    <mergeCell ref="Z15:Z16"/>
    <mergeCell ref="U15:U16"/>
    <mergeCell ref="V15:V16"/>
    <mergeCell ref="H15:H16"/>
    <mergeCell ref="I17:I18"/>
    <mergeCell ref="C17:C18"/>
    <mergeCell ref="D17:D18"/>
    <mergeCell ref="E17:E18"/>
    <mergeCell ref="F17:F18"/>
    <mergeCell ref="G17:G18"/>
    <mergeCell ref="H17:H18"/>
    <mergeCell ref="I15:I16"/>
    <mergeCell ref="J15:J16"/>
    <mergeCell ref="A15:A16"/>
    <mergeCell ref="Q15:Q16"/>
    <mergeCell ref="R15:R16"/>
    <mergeCell ref="BG15:BH16"/>
    <mergeCell ref="AA15:AA16"/>
    <mergeCell ref="AB15:AB16"/>
    <mergeCell ref="AC15:AC16"/>
    <mergeCell ref="AD15:AD16"/>
    <mergeCell ref="AY15:AY16"/>
    <mergeCell ref="AM15:AM16"/>
    <mergeCell ref="AN15:AN16"/>
    <mergeCell ref="AQ15:AQ16"/>
    <mergeCell ref="AR15:AR16"/>
    <mergeCell ref="AS15:AS16"/>
    <mergeCell ref="AT15:AT16"/>
    <mergeCell ref="BA15:BA16"/>
    <mergeCell ref="AU15:AU16"/>
    <mergeCell ref="AV15:AV16"/>
    <mergeCell ref="AW15:AW16"/>
    <mergeCell ref="BC15:BC16"/>
    <mergeCell ref="BD15:BD16"/>
    <mergeCell ref="AX15:AX16"/>
    <mergeCell ref="BE15:BE16"/>
    <mergeCell ref="BF15:BF16"/>
    <mergeCell ref="AE15:AE16"/>
    <mergeCell ref="AF15:AF16"/>
    <mergeCell ref="A8:A14"/>
    <mergeCell ref="BG8:BH14"/>
    <mergeCell ref="AC12:AF12"/>
    <mergeCell ref="AC13:AD13"/>
  </mergeCells>
  <pageMargins left="0.7" right="0.7" top="0.75" bottom="0.75" header="0.3" footer="0.3"/>
  <pageSetup paperSize="9" orientation="portrait" r:id="rId1"/>
  <ignoredErrors>
    <ignoredError sqref="W15:BF16 W40:BF40 W34:BF34 W67:BF67 B59:B60 W59:BF60 W26:BF26 B23:B24 B27:B33 B35:B38 W46:BF46 B41:B44 W53:BF53 B47:B51 B54:B58 B61:B65 W72:BF72 B68:B70 W79:BF79 B73:B77 W89:BF89 B80:B87 W96:BF96 B90:B94 W111:BF111 B97:B109 B112:B115 W17:BF18 X25:BF25 W39:BD39 W45:Y45 W52:BF52 W66:BF66 W71:BF71 W78:BF78 W88:BF88 W95:BF95 W110:BD110 B110 B95:U95 B88 B78:V78 B71:V71 B66:V66 B52:V52 B45:V45 B39:O39 B25:V25 C18:T18 B111 B96:V96 B89 B79:V79 B72:V72 B53:V53 B46:V46 B26:V26 E59:V60 B67:V67 C34:V34 B40:V40 C16:V16 D15:U15 C17:T17 V17 V18 Q39:V39 AA45:BF45 E88:V88 E89:V89 E110:V110 E111:V111 BF110" unlockedFormula="1"/>
    <ignoredError sqref="B34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2015-05-22T06:23:02Z</dcterms:created>
  <dcterms:modified xsi:type="dcterms:W3CDTF">2025-06-11T11:55:40Z</dcterms:modified>
</cp:coreProperties>
</file>