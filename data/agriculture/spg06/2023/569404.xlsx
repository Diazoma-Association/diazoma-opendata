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314EF6CB-954E-401D-8CB2-58853F198B91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B14" i="1" s="1"/>
  <c r="E15" i="1" l="1"/>
  <c r="B15" i="1" s="1"/>
  <c r="F50" i="1" l="1"/>
  <c r="G50" i="1"/>
  <c r="H50" i="1"/>
  <c r="I50" i="1"/>
  <c r="J50" i="1"/>
  <c r="K50" i="1"/>
  <c r="L50" i="1"/>
  <c r="M50" i="1"/>
  <c r="E40" i="1"/>
  <c r="B40" i="1" s="1"/>
  <c r="E22" i="1"/>
  <c r="B22" i="1" s="1"/>
  <c r="E23" i="1"/>
  <c r="B23" i="1" s="1"/>
  <c r="E16" i="1"/>
  <c r="B16" i="1" s="1"/>
  <c r="H95" i="1"/>
  <c r="E24" i="1"/>
  <c r="B24" i="1" s="1"/>
  <c r="D13" i="1"/>
  <c r="C13" i="1"/>
  <c r="E99" i="1"/>
  <c r="B99" i="1" s="1"/>
  <c r="E98" i="1"/>
  <c r="B98" i="1" s="1"/>
  <c r="E97" i="1"/>
  <c r="B97" i="1" s="1"/>
  <c r="E96" i="1"/>
  <c r="B96" i="1" s="1"/>
  <c r="E94" i="1"/>
  <c r="B94" i="1" s="1"/>
  <c r="E93" i="1"/>
  <c r="B93" i="1" s="1"/>
  <c r="E92" i="1"/>
  <c r="B92" i="1" s="1"/>
  <c r="E91" i="1"/>
  <c r="B91" i="1" s="1"/>
  <c r="E90" i="1"/>
  <c r="B90" i="1" s="1"/>
  <c r="E89" i="1"/>
  <c r="B89" i="1" s="1"/>
  <c r="E88" i="1"/>
  <c r="B88" i="1" s="1"/>
  <c r="E87" i="1"/>
  <c r="B87" i="1" s="1"/>
  <c r="E86" i="1"/>
  <c r="B86" i="1" s="1"/>
  <c r="E85" i="1"/>
  <c r="B85" i="1" s="1"/>
  <c r="E84" i="1"/>
  <c r="B84" i="1" s="1"/>
  <c r="E83" i="1"/>
  <c r="B83" i="1" s="1"/>
  <c r="E82" i="1"/>
  <c r="B82" i="1" s="1"/>
  <c r="E80" i="1"/>
  <c r="B80" i="1" s="1"/>
  <c r="E79" i="1"/>
  <c r="B79" i="1" s="1"/>
  <c r="E78" i="1"/>
  <c r="B78" i="1" s="1"/>
  <c r="E77" i="1"/>
  <c r="B77" i="1" s="1"/>
  <c r="E76" i="1"/>
  <c r="B76" i="1" s="1"/>
  <c r="E74" i="1"/>
  <c r="B74" i="1" s="1"/>
  <c r="E73" i="1"/>
  <c r="B73" i="1" s="1"/>
  <c r="E72" i="1"/>
  <c r="B72" i="1" s="1"/>
  <c r="E71" i="1"/>
  <c r="B71" i="1" s="1"/>
  <c r="E70" i="1"/>
  <c r="B70" i="1" s="1"/>
  <c r="E69" i="1"/>
  <c r="B69" i="1" s="1"/>
  <c r="E68" i="1"/>
  <c r="B68" i="1" s="1"/>
  <c r="E67" i="1"/>
  <c r="B67" i="1" s="1"/>
  <c r="E65" i="1"/>
  <c r="B65" i="1" s="1"/>
  <c r="E64" i="1"/>
  <c r="B64" i="1" s="1"/>
  <c r="E63" i="1"/>
  <c r="B63" i="1" s="1"/>
  <c r="E62" i="1"/>
  <c r="B62" i="1" s="1"/>
  <c r="E61" i="1"/>
  <c r="B61" i="1" s="1"/>
  <c r="E59" i="1"/>
  <c r="B59" i="1" s="1"/>
  <c r="E58" i="1"/>
  <c r="B58" i="1" s="1"/>
  <c r="E57" i="1"/>
  <c r="B57" i="1" s="1"/>
  <c r="E55" i="1"/>
  <c r="B55" i="1" s="1"/>
  <c r="E54" i="1"/>
  <c r="B54" i="1" s="1"/>
  <c r="E53" i="1"/>
  <c r="B53" i="1" s="1"/>
  <c r="E52" i="1"/>
  <c r="B52" i="1" s="1"/>
  <c r="E51" i="1"/>
  <c r="B51" i="1" s="1"/>
  <c r="E49" i="1"/>
  <c r="B49" i="1" s="1"/>
  <c r="E48" i="1"/>
  <c r="B48" i="1" s="1"/>
  <c r="E47" i="1"/>
  <c r="B47" i="1" s="1"/>
  <c r="E46" i="1"/>
  <c r="B46" i="1" s="1"/>
  <c r="E45" i="1"/>
  <c r="E43" i="1"/>
  <c r="B43" i="1" s="1"/>
  <c r="E42" i="1"/>
  <c r="B42" i="1" s="1"/>
  <c r="E41" i="1"/>
  <c r="B41" i="1" s="1"/>
  <c r="E39" i="1"/>
  <c r="B39" i="1" s="1"/>
  <c r="E37" i="1"/>
  <c r="B37" i="1" s="1"/>
  <c r="E36" i="1"/>
  <c r="B36" i="1" s="1"/>
  <c r="E35" i="1"/>
  <c r="B35" i="1" s="1"/>
  <c r="E34" i="1"/>
  <c r="B34" i="1" s="1"/>
  <c r="E32" i="1"/>
  <c r="B32" i="1" s="1"/>
  <c r="E31" i="1"/>
  <c r="B31" i="1" s="1"/>
  <c r="E30" i="1"/>
  <c r="B30" i="1" s="1"/>
  <c r="E29" i="1"/>
  <c r="B29" i="1" s="1"/>
  <c r="E27" i="1"/>
  <c r="B27" i="1" s="1"/>
  <c r="E26" i="1"/>
  <c r="B26" i="1" s="1"/>
  <c r="E25" i="1"/>
  <c r="B25" i="1" s="1"/>
  <c r="E21" i="1"/>
  <c r="B21" i="1" s="1"/>
  <c r="E17" i="1"/>
  <c r="B17" i="1" s="1"/>
  <c r="E18" i="1"/>
  <c r="B18" i="1" s="1"/>
  <c r="E19" i="1"/>
  <c r="B19" i="1" s="1"/>
  <c r="F95" i="1"/>
  <c r="G95" i="1"/>
  <c r="F81" i="1"/>
  <c r="G81" i="1"/>
  <c r="H81" i="1"/>
  <c r="F75" i="1"/>
  <c r="G75" i="1"/>
  <c r="H75" i="1"/>
  <c r="F66" i="1"/>
  <c r="G66" i="1"/>
  <c r="H66" i="1"/>
  <c r="F60" i="1"/>
  <c r="G60" i="1"/>
  <c r="H60" i="1"/>
  <c r="F56" i="1"/>
  <c r="G56" i="1"/>
  <c r="H56" i="1"/>
  <c r="F44" i="1"/>
  <c r="G44" i="1"/>
  <c r="H44" i="1"/>
  <c r="F38" i="1"/>
  <c r="G38" i="1"/>
  <c r="H38" i="1"/>
  <c r="F33" i="1"/>
  <c r="G33" i="1"/>
  <c r="H33" i="1"/>
  <c r="F28" i="1"/>
  <c r="G28" i="1"/>
  <c r="H28" i="1"/>
  <c r="I28" i="1"/>
  <c r="F13" i="1"/>
  <c r="G13" i="1"/>
  <c r="I95" i="1"/>
  <c r="I81" i="1"/>
  <c r="I75" i="1"/>
  <c r="I66" i="1"/>
  <c r="I60" i="1"/>
  <c r="I56" i="1"/>
  <c r="I44" i="1"/>
  <c r="I38" i="1"/>
  <c r="I33" i="1"/>
  <c r="I20" i="1"/>
  <c r="H20" i="1"/>
  <c r="I13" i="1"/>
  <c r="H13" i="1"/>
  <c r="F20" i="1"/>
  <c r="G20" i="1"/>
  <c r="B13" i="1" l="1"/>
  <c r="E44" i="1"/>
  <c r="E13" i="1"/>
  <c r="H12" i="1"/>
  <c r="B45" i="1"/>
  <c r="B44" i="1" s="1"/>
  <c r="E28" i="1"/>
  <c r="I12" i="1"/>
  <c r="B28" i="1"/>
  <c r="B33" i="1"/>
  <c r="B81" i="1"/>
  <c r="B66" i="1"/>
  <c r="B95" i="1"/>
  <c r="B20" i="1"/>
  <c r="B50" i="1"/>
  <c r="B38" i="1"/>
  <c r="B56" i="1"/>
  <c r="B75" i="1"/>
  <c r="B60" i="1"/>
  <c r="F12" i="1"/>
  <c r="G12" i="1"/>
  <c r="J13" i="1"/>
  <c r="K13" i="1"/>
  <c r="L13" i="1"/>
  <c r="M13" i="1"/>
  <c r="K28" i="1"/>
  <c r="C28" i="1"/>
  <c r="J20" i="1"/>
  <c r="J28" i="1"/>
  <c r="L28" i="1"/>
  <c r="M28" i="1"/>
  <c r="D28" i="1"/>
  <c r="K20" i="1"/>
  <c r="L20" i="1"/>
  <c r="M20" i="1"/>
  <c r="D20" i="1"/>
  <c r="C20" i="1"/>
  <c r="C95" i="1"/>
  <c r="C81" i="1"/>
  <c r="C75" i="1"/>
  <c r="C66" i="1"/>
  <c r="C60" i="1"/>
  <c r="C56" i="1"/>
  <c r="C50" i="1"/>
  <c r="C44" i="1"/>
  <c r="C38" i="1"/>
  <c r="C33" i="1"/>
  <c r="K95" i="1"/>
  <c r="K81" i="1"/>
  <c r="K75" i="1"/>
  <c r="K66" i="1"/>
  <c r="K60" i="1"/>
  <c r="K56" i="1"/>
  <c r="K44" i="1"/>
  <c r="K38" i="1"/>
  <c r="K33" i="1"/>
  <c r="D95" i="1"/>
  <c r="M95" i="1"/>
  <c r="L95" i="1"/>
  <c r="J95" i="1"/>
  <c r="D81" i="1"/>
  <c r="M81" i="1"/>
  <c r="L81" i="1"/>
  <c r="J81" i="1"/>
  <c r="D75" i="1"/>
  <c r="M75" i="1"/>
  <c r="L75" i="1"/>
  <c r="J75" i="1"/>
  <c r="D66" i="1"/>
  <c r="M66" i="1"/>
  <c r="L66" i="1"/>
  <c r="J66" i="1"/>
  <c r="D60" i="1"/>
  <c r="M60" i="1"/>
  <c r="L60" i="1"/>
  <c r="J60" i="1"/>
  <c r="D56" i="1"/>
  <c r="M56" i="1"/>
  <c r="L56" i="1"/>
  <c r="J56" i="1"/>
  <c r="D50" i="1"/>
  <c r="D44" i="1"/>
  <c r="M44" i="1"/>
  <c r="L44" i="1"/>
  <c r="J44" i="1"/>
  <c r="D38" i="1"/>
  <c r="M38" i="1"/>
  <c r="L38" i="1"/>
  <c r="J38" i="1"/>
  <c r="D33" i="1"/>
  <c r="M33" i="1"/>
  <c r="L33" i="1"/>
  <c r="J33" i="1"/>
  <c r="B12" i="1" l="1"/>
  <c r="C12" i="1"/>
  <c r="E56" i="1"/>
  <c r="E66" i="1"/>
  <c r="M12" i="1"/>
  <c r="K12" i="1"/>
  <c r="D12" i="1"/>
  <c r="L12" i="1"/>
  <c r="J12" i="1"/>
  <c r="E33" i="1"/>
  <c r="E38" i="1"/>
  <c r="E50" i="1"/>
  <c r="E60" i="1"/>
  <c r="E81" i="1"/>
  <c r="E20" i="1"/>
  <c r="E75" i="1"/>
  <c r="E95" i="1"/>
  <c r="E12" i="1" l="1"/>
</calcChain>
</file>

<file path=xl/sharedStrings.xml><?xml version="1.0" encoding="utf-8"?>
<sst xmlns="http://schemas.openxmlformats.org/spreadsheetml/2006/main" count="547" uniqueCount="220">
  <si>
    <t>Περιφέρειες και Περιφερειακές Ενότητες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</si>
  <si>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</si>
  <si>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</si>
  <si>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</si>
  <si>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</si>
  <si>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</si>
  <si>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</si>
  <si>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>―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</si>
  <si>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</si>
  <si>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</si>
  <si>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</si>
  <si>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</si>
  <si>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</si>
  <si>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</si>
  <si>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</si>
  <si>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</si>
  <si>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</si>
  <si>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</si>
  <si>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</si>
  <si>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</si>
  <si>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</si>
  <si>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</si>
  <si>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</si>
  <si>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</si>
  <si>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</si>
  <si>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</si>
  <si>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</si>
  <si>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</si>
  <si>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</si>
  <si>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</si>
  <si>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</si>
  <si>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</si>
  <si>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</si>
  <si>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</si>
  <si>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</si>
  <si>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</si>
  <si>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</si>
  <si>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</si>
  <si>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</si>
  <si>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</si>
  <si>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</si>
  <si>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</si>
  <si>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</si>
  <si>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</si>
  <si>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</si>
  <si>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</si>
  <si>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</si>
  <si>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</si>
  <si>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</si>
  <si>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</si>
  <si>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</si>
  <si>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</si>
  <si>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</si>
  <si>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</si>
  <si>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</si>
  <si>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</si>
  <si>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</si>
  <si>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</si>
  <si>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</si>
  <si>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</si>
  <si>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</si>
  <si>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</si>
  <si>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</si>
  <si>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</si>
  <si>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</si>
  <si>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</si>
  <si>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</si>
  <si>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</si>
  <si>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</si>
  <si>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</si>
  <si>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</si>
  <si>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</si>
  <si>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</si>
  <si>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</si>
  <si>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</si>
  <si>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</si>
  <si>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</si>
  <si>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</si>
  <si>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</si>
  <si>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</si>
  <si>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</si>
  <si>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</si>
  <si>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</si>
  <si>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</si>
  <si>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</si>
  <si>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</si>
  <si>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</si>
  <si>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</si>
  <si>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</si>
  <si>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</si>
  <si>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</si>
  <si>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</si>
  <si>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</si>
  <si>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</si>
  <si>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</si>
  <si>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</si>
  <si>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</si>
  <si>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</si>
  <si>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</si>
  <si>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</si>
  <si>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</si>
  <si>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</si>
  <si>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</si>
  <si>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</si>
  <si>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</si>
  <si>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</si>
  <si>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</si>
  <si>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</si>
  <si>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</si>
  <si>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</si>
  <si>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</si>
  <si>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</si>
  <si>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</si>
  <si>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</si>
  <si>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</si>
  <si>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</si>
  <si>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</si>
  <si>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</si>
  <si>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</si>
  <si>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</si>
  <si>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</si>
  <si>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</si>
  <si>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</si>
  <si>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</si>
  <si>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</si>
  <si>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</si>
  <si>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</si>
  <si>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</si>
  <si>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</si>
  <si>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</si>
  <si>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</si>
  <si>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</si>
  <si>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</si>
  <si>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</si>
  <si>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</si>
  <si>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</si>
  <si>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</si>
  <si>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</si>
  <si>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</si>
  <si>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</si>
  <si>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</si>
  <si>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</si>
  <si>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</si>
  <si>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</si>
  <si>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</si>
  <si>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</si>
  <si>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</si>
  <si>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</si>
  <si>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</si>
  <si>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</si>
  <si>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</si>
  <si>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</si>
  <si>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</si>
  <si>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</si>
  <si>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</si>
  <si>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</si>
  <si>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</si>
  <si>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</si>
  <si>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</si>
  <si>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</si>
  <si>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</si>
  <si>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</si>
  <si>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</si>
  <si>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</si>
  <si>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</si>
  <si>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</si>
  <si>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</si>
  <si>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</si>
  <si>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</si>
  <si>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</si>
  <si>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</si>
  <si>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</si>
  <si>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</si>
  <si>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</si>
  <si>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</si>
  <si>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</si>
  <si>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</si>
  <si>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Εκτάσεις σε στρέμματα</t>
  </si>
  <si>
    <t>Περιφέρεια Δυτικής Μακεδονίας</t>
  </si>
  <si>
    <t>Region of Western Macedonia</t>
  </si>
  <si>
    <t xml:space="preserve">(1) Refers to net horticulture area. Does not include successive crops or intercropping </t>
  </si>
  <si>
    <t>(1) Αναφέρεται στην καθαρή έκταση της κηπευτικής γης. Δεν περιλαμβάνονται οι διαδοχικές καλλιέργειες και συγκαλλιέργεις.</t>
  </si>
  <si>
    <t>Areas in stremmas (1 stremma = 0.1 ha)</t>
  </si>
  <si>
    <t>—</t>
  </si>
  <si>
    <t>Πίνακας 3β. Κηπευτική γη. Εκτάσεις γης κηπευτικών και άλλων καλλιεργειών (άνθη, σπορεία, φυτώρια), κατά Περιφέρεια και Περιφερειακή Ενότητα, 2023</t>
  </si>
  <si>
    <r>
      <t>Κηπευτική γη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</si>
  <si>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>Holticulture land</t>
    </r>
    <r>
      <rPr>
        <vertAlign val="superscript"/>
        <sz val="11"/>
        <rFont val="Calibri"/>
        <family val="2"/>
        <charset val="161"/>
        <scheme val="minor"/>
      </rPr>
      <t>(1)</t>
    </r>
  </si>
  <si>
    <t>Ornamental plants - Seedbeds - Nurseries</t>
  </si>
  <si>
    <t>Καλλωπιστικά φυτά - Σπορεία - Φυτώρια</t>
  </si>
  <si>
    <t xml:space="preserve">Γενικό Σύνολο </t>
  </si>
  <si>
    <t>Grand total</t>
  </si>
  <si>
    <t xml:space="preserve">Έκταση γης  που φυτεύτηκε με λαχανικά </t>
  </si>
  <si>
    <t xml:space="preserve">Areas under vegetables </t>
  </si>
  <si>
    <t>Εκ των οποίων εκτάσεις θερμοκηπίων για καλλιέργεια κηπευτικών</t>
  </si>
  <si>
    <t>Thereof lands under vegetables in greenhouses</t>
  </si>
  <si>
    <t>Σύνολο</t>
  </si>
  <si>
    <t>Total</t>
  </si>
  <si>
    <t>Εμπορικοί ανθόκηποι</t>
  </si>
  <si>
    <t>Commercial flower gardens</t>
  </si>
  <si>
    <t>Σπορεία</t>
  </si>
  <si>
    <t>Seedbeds</t>
  </si>
  <si>
    <t>Φυτώρια</t>
  </si>
  <si>
    <t>Nurseries</t>
  </si>
  <si>
    <t>Εκτάσεις καλλιεργειών ανθέων και καλλωπιστικών φυτών</t>
  </si>
  <si>
    <t>Εκ των οποίων εκτάσεις θερμοκηπίων για άνθη και καλλωπιστικά φυτά</t>
  </si>
  <si>
    <t>Lands under flower and ornamental plants</t>
  </si>
  <si>
    <t>Thereof lands under flower and ornamental plants in greenhouses</t>
  </si>
  <si>
    <t>Καπνοσπορεία</t>
  </si>
  <si>
    <t>Σπορεία παραγωγής μόνο φυταρίων κηπευτικών για μεταμφύτευση</t>
  </si>
  <si>
    <t>Καρποφόρων δένδρων</t>
  </si>
  <si>
    <t>Δασικών δένδρων</t>
  </si>
  <si>
    <t>Καλλωπιστικών φυτών</t>
  </si>
  <si>
    <t>Αμερικανικών αμπέλων</t>
  </si>
  <si>
    <t>Tobacco seedbeds</t>
  </si>
  <si>
    <t>Seedbeds for producing  seedlings exclusively for transplanting</t>
  </si>
  <si>
    <t>Fruit trees</t>
  </si>
  <si>
    <t>Forest 
trees</t>
  </si>
  <si>
    <t>Decorative plants</t>
  </si>
  <si>
    <t>American 
vines</t>
  </si>
  <si>
    <t>Table 3b. Horticulture area. Areas under vegetables and other crops (ornamental plants, seedbeds, nurseries), by Regions and Regional Unity,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</si>
</sst>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Protection="1">
      <protection locked="0"/>
    </xf>
    <xf numFmtId="3" fontId="3" fillId="0" borderId="0" xfId="0" applyNumberFormat="1" applyFont="1" applyProtection="1">
      <protection locked="0"/>
    </xf>
    <xf numFmtId="3" fontId="0" fillId="0" borderId="0" xfId="0" applyNumberFormat="1" applyProtection="1">
      <protection locked="0"/>
    </xf>
    <xf numFmtId="0" fontId="3" fillId="0" borderId="2" xfId="0" applyFont="1" applyBorder="1" applyAlignment="1" applyProtection="1">
      <alignment vertical="center" wrapText="1"/>
      <protection locked="0"/>
    </xf>
    <xf numFmtId="0" fontId="5" fillId="0" borderId="23" xfId="0" applyFont="1" applyBorder="1" applyAlignment="1" applyProtection="1">
      <alignment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17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left" wrapText="1" indent="1"/>
      <protection locked="0"/>
    </xf>
    <xf numFmtId="0" fontId="0" fillId="0" borderId="0" xfId="0" applyAlignment="1" applyProtection="1">
      <alignment horizontal="left"/>
      <protection locked="0"/>
    </xf>
    <xf numFmtId="3" fontId="3" fillId="0" borderId="0" xfId="0" applyNumberFormat="1" applyFont="1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2" fontId="6" fillId="0" borderId="0" xfId="0" applyNumberFormat="1" applyFont="1" applyAlignment="1" applyProtection="1">
      <alignment horizontal="left" vertical="center" wrapText="1" indent="2"/>
      <protection locked="0"/>
    </xf>
    <xf numFmtId="49" fontId="0" fillId="0" borderId="1" xfId="0" applyNumberFormat="1" applyBorder="1" applyAlignment="1" applyProtection="1">
      <alignment horizontal="left" wrapText="1" inden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8" fillId="0" borderId="0" xfId="0" applyFont="1" applyProtection="1"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Protection="1">
      <protection locked="0"/>
    </xf>
    <xf numFmtId="3" fontId="10" fillId="0" borderId="2" xfId="0" applyNumberFormat="1" applyFont="1" applyBorder="1" applyAlignment="1">
      <alignment horizontal="right" vertical="top"/>
    </xf>
    <xf numFmtId="3" fontId="10" fillId="0" borderId="7" xfId="0" applyNumberFormat="1" applyFont="1" applyBorder="1" applyAlignment="1">
      <alignment horizontal="right" vertical="top"/>
    </xf>
    <xf numFmtId="0" fontId="9" fillId="0" borderId="16" xfId="0" applyFont="1" applyBorder="1" applyProtection="1">
      <protection locked="0"/>
    </xf>
    <xf numFmtId="0" fontId="9" fillId="0" borderId="21" xfId="0" applyFont="1" applyBorder="1" applyAlignment="1" applyProtection="1">
      <alignment vertical="center" wrapText="1"/>
      <protection locked="0"/>
    </xf>
    <xf numFmtId="0" fontId="10" fillId="0" borderId="2" xfId="0" applyFont="1" applyBorder="1" applyAlignment="1">
      <alignment horizontal="right" vertical="top"/>
    </xf>
    <xf numFmtId="3" fontId="10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10" fillId="0" borderId="29" xfId="0" applyFont="1" applyBorder="1" applyAlignment="1">
      <alignment horizontal="right" vertical="top"/>
    </xf>
    <xf numFmtId="3" fontId="10" fillId="0" borderId="29" xfId="0" applyNumberFormat="1" applyFont="1" applyBorder="1" applyAlignment="1">
      <alignment horizontal="right" vertical="top"/>
    </xf>
    <xf numFmtId="3" fontId="10" fillId="0" borderId="1" xfId="0" applyNumberFormat="1" applyFont="1" applyBorder="1" applyAlignment="1">
      <alignment horizontal="right" vertical="top"/>
    </xf>
    <xf numFmtId="0" fontId="10" fillId="0" borderId="7" xfId="0" applyFont="1" applyBorder="1" applyAlignment="1">
      <alignment horizontal="right" vertical="top"/>
    </xf>
    <xf numFmtId="0" fontId="10" fillId="0" borderId="30" xfId="0" applyFont="1" applyBorder="1" applyAlignment="1">
      <alignment horizontal="right" vertical="top"/>
    </xf>
    <xf numFmtId="0" fontId="3" fillId="0" borderId="24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25" xfId="0" applyFont="1" applyBorder="1" applyAlignment="1" applyProtection="1">
      <alignment horizontal="center" vertical="center" wrapText="1"/>
      <protection locked="0"/>
    </xf>
    <xf numFmtId="3" fontId="2" fillId="2" borderId="6" xfId="0" applyNumberFormat="1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5" xfId="0" applyNumberFormat="1" applyFont="1" applyFill="1" applyBorder="1" applyAlignment="1">
      <alignment vertical="center"/>
    </xf>
    <xf numFmtId="3" fontId="2" fillId="2" borderId="18" xfId="0" applyNumberFormat="1" applyFont="1" applyFill="1" applyBorder="1" applyAlignment="1">
      <alignment vertical="center"/>
    </xf>
    <xf numFmtId="3" fontId="2" fillId="2" borderId="17" xfId="0" applyNumberFormat="1" applyFont="1" applyFill="1" applyBorder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15" xfId="0" applyNumberFormat="1" applyFont="1" applyFill="1" applyBorder="1" applyAlignment="1">
      <alignment horizontal="right" vertical="center"/>
    </xf>
    <xf numFmtId="3" fontId="2" fillId="2" borderId="8" xfId="0" applyNumberFormat="1" applyFont="1" applyFill="1" applyBorder="1" applyAlignment="1">
      <alignment horizontal="right" vertical="center"/>
    </xf>
    <xf numFmtId="3" fontId="2" fillId="2" borderId="20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8" xfId="0" applyNumberFormat="1" applyFont="1" applyFill="1" applyBorder="1" applyAlignment="1">
      <alignment horizontal="right" vertical="center" wrapText="1"/>
    </xf>
    <xf numFmtId="3" fontId="1" fillId="2" borderId="19" xfId="0" applyNumberFormat="1" applyFont="1" applyFill="1" applyBorder="1" applyAlignment="1" applyProtection="1">
      <alignment vertical="center" wrapText="1"/>
      <protection locked="0"/>
    </xf>
    <xf numFmtId="3" fontId="2" fillId="2" borderId="27" xfId="0" applyNumberFormat="1" applyFont="1" applyFill="1" applyBorder="1" applyAlignment="1">
      <alignment horizontal="right" vertical="center"/>
    </xf>
    <xf numFmtId="3" fontId="0" fillId="2" borderId="19" xfId="0" applyNumberFormat="1" applyFill="1" applyBorder="1" applyAlignment="1" applyProtection="1">
      <alignment wrapText="1"/>
      <protection locked="0"/>
    </xf>
    <xf numFmtId="3" fontId="2" fillId="2" borderId="27" xfId="0" applyNumberFormat="1" applyFont="1" applyFill="1" applyBorder="1" applyAlignment="1">
      <alignment horizontal="right" vertical="center" wrapText="1"/>
    </xf>
    <xf numFmtId="3" fontId="0" fillId="2" borderId="16" xfId="0" applyNumberFormat="1" applyFill="1" applyBorder="1" applyAlignment="1" applyProtection="1">
      <alignment wrapText="1"/>
      <protection locked="0"/>
    </xf>
    <xf numFmtId="3" fontId="3" fillId="2" borderId="20" xfId="0" applyNumberFormat="1" applyFont="1" applyFill="1" applyBorder="1" applyAlignment="1">
      <alignment horizontal="right" vertical="center"/>
    </xf>
    <xf numFmtId="3" fontId="3" fillId="2" borderId="26" xfId="0" applyNumberFormat="1" applyFont="1" applyFill="1" applyBorder="1" applyAlignment="1">
      <alignment horizontal="right" vertical="center"/>
    </xf>
    <xf numFmtId="0" fontId="9" fillId="0" borderId="1" xfId="0" applyFont="1" applyBorder="1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24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25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2" fillId="0" borderId="27" xfId="0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" xfId="0" applyBorder="1" applyAlignment="1" applyProtection="1">
      <alignment horizontal="left" wrapText="1"/>
      <protection locked="0"/>
    </xf>
    <xf numFmtId="49" fontId="0" fillId="0" borderId="0" xfId="0" applyNumberFormat="1" applyAlignment="1" applyProtection="1">
      <alignment horizontal="left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31" xfId="0" applyFont="1" applyBorder="1" applyAlignment="1" applyProtection="1">
      <alignment horizontal="center" vertical="center" wrapText="1"/>
      <protection locked="0"/>
    </xf>
    <xf numFmtId="0" fontId="3" fillId="0" borderId="32" xfId="0" applyFont="1" applyBorder="1" applyAlignment="1" applyProtection="1">
      <alignment horizontal="center" vertical="center" wrapText="1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center" vertical="center" wrapText="1"/>
      <protection locked="0"/>
    </xf>
    <xf numFmtId="0" fontId="3" fillId="0" borderId="34" xfId="0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18"/>
  <sheetViews>
    <sheetView showGridLines="0" tabSelected="1" zoomScaleNormal="100" workbookViewId="0">
      <selection activeCell="H11" sqref="H11"/>
    </sheetView>
  </sheetViews>
  <sheetFormatPr defaultRowHeight="14.4" x14ac:dyDescent="0.3"/>
  <cols>
    <col min="1" max="1" width="43.109375" style="3" bestFit="1" customWidth="1"/>
    <col min="2" max="2" width="8.5546875" style="3" customWidth="1"/>
    <col min="3" max="3" width="12.88671875" style="1" customWidth="1"/>
    <col min="4" max="4" width="13.5546875" style="1" customWidth="1"/>
    <col min="5" max="5" width="9.6640625" style="1" bestFit="1" customWidth="1"/>
    <col min="6" max="6" width="14" style="1" customWidth="1"/>
    <col min="7" max="7" width="14.33203125" style="1" customWidth="1"/>
    <col min="8" max="8" width="13.33203125" style="1" customWidth="1"/>
    <col min="9" max="9" width="14.44140625" style="1" customWidth="1"/>
    <col min="10" max="10" width="12.5546875" style="1" customWidth="1"/>
    <col min="11" max="11" width="11.109375" style="1" bestFit="1" customWidth="1"/>
    <col min="12" max="12" width="13.6640625" style="1" customWidth="1"/>
    <col min="13" max="13" width="13.109375" style="1" customWidth="1"/>
    <col min="14" max="14" width="10.77734375" style="1" customWidth="1"/>
    <col min="15" max="15" width="10.5546875" style="1" customWidth="1"/>
    <col min="16" max="16" width="12.109375" style="1" customWidth="1"/>
    <col min="17" max="17" width="9.5546875" style="1" customWidth="1"/>
    <col min="18" max="18" width="7.33203125" style="1" customWidth="1"/>
    <col min="19" max="19" width="7.5546875" style="1" bestFit="1" customWidth="1"/>
    <col min="20" max="16384" width="8.88671875" style="1"/>
  </cols>
  <sheetData>
    <row r="2" spans="1:19" s="30" customFormat="1" ht="18" x14ac:dyDescent="0.3">
      <c r="A2" s="83" t="s">
        <v>184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29"/>
      <c r="O2" s="29"/>
      <c r="P2" s="29"/>
      <c r="Q2" s="29"/>
      <c r="R2" s="29"/>
    </row>
    <row r="3" spans="1:19" s="30" customFormat="1" ht="18" x14ac:dyDescent="0.3">
      <c r="A3" s="83" t="s">
        <v>219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29"/>
      <c r="O3" s="29"/>
      <c r="P3" s="29"/>
      <c r="Q3" s="29"/>
      <c r="R3" s="29"/>
    </row>
    <row r="4" spans="1:19" x14ac:dyDescent="0.3">
      <c r="C4" s="2"/>
      <c r="D4" s="2"/>
      <c r="E4" s="2"/>
      <c r="F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9" ht="15" customHeight="1" thickBot="1" x14ac:dyDescent="0.35">
      <c r="A5" s="35" t="s">
        <v>177</v>
      </c>
      <c r="B5" s="32"/>
      <c r="C5" s="32"/>
      <c r="D5" s="32"/>
      <c r="E5" s="32"/>
      <c r="F5" s="32"/>
      <c r="G5" s="32"/>
      <c r="H5" s="32"/>
      <c r="I5" s="32"/>
      <c r="J5" s="32"/>
      <c r="K5" s="4"/>
      <c r="L5" s="4"/>
      <c r="M5" s="4"/>
      <c r="N5" s="67" t="s">
        <v>182</v>
      </c>
      <c r="O5" s="67"/>
      <c r="P5" s="67"/>
      <c r="Q5" s="5"/>
      <c r="R5" s="6"/>
    </row>
    <row r="6" spans="1:19" ht="18.75" customHeight="1" x14ac:dyDescent="0.3">
      <c r="A6" s="71" t="s">
        <v>0</v>
      </c>
      <c r="B6" s="103" t="s">
        <v>185</v>
      </c>
      <c r="C6" s="74"/>
      <c r="D6" s="79"/>
      <c r="E6" s="95" t="s">
        <v>188</v>
      </c>
      <c r="F6" s="96"/>
      <c r="G6" s="96"/>
      <c r="H6" s="96"/>
      <c r="I6" s="96"/>
      <c r="J6" s="96"/>
      <c r="K6" s="96"/>
      <c r="L6" s="96"/>
      <c r="M6" s="97"/>
      <c r="N6" s="91" t="s">
        <v>1</v>
      </c>
      <c r="O6" s="91"/>
      <c r="P6" s="91"/>
    </row>
    <row r="7" spans="1:19" ht="20.399999999999999" customHeight="1" x14ac:dyDescent="0.3">
      <c r="A7" s="72"/>
      <c r="B7" s="102" t="s">
        <v>186</v>
      </c>
      <c r="C7" s="94"/>
      <c r="D7" s="93"/>
      <c r="E7" s="80" t="s">
        <v>187</v>
      </c>
      <c r="F7" s="75"/>
      <c r="G7" s="75"/>
      <c r="H7" s="75"/>
      <c r="I7" s="75"/>
      <c r="J7" s="75"/>
      <c r="K7" s="75"/>
      <c r="L7" s="75"/>
      <c r="M7" s="76"/>
      <c r="N7" s="90"/>
      <c r="O7" s="90"/>
      <c r="P7" s="90"/>
      <c r="R7" s="7"/>
    </row>
    <row r="8" spans="1:19" x14ac:dyDescent="0.3">
      <c r="A8" s="72"/>
      <c r="B8" s="104" t="s">
        <v>189</v>
      </c>
      <c r="C8" s="101" t="s">
        <v>191</v>
      </c>
      <c r="D8" s="99" t="s">
        <v>193</v>
      </c>
      <c r="E8" s="107" t="s">
        <v>195</v>
      </c>
      <c r="F8" s="69" t="s">
        <v>197</v>
      </c>
      <c r="G8" s="70"/>
      <c r="H8" s="69" t="s">
        <v>199</v>
      </c>
      <c r="I8" s="70"/>
      <c r="J8" s="69" t="s">
        <v>201</v>
      </c>
      <c r="K8" s="77"/>
      <c r="L8" s="77"/>
      <c r="M8" s="78"/>
      <c r="N8" s="90"/>
      <c r="O8" s="90"/>
      <c r="P8" s="90"/>
    </row>
    <row r="9" spans="1:19" ht="100.8" customHeight="1" x14ac:dyDescent="0.3">
      <c r="A9" s="72"/>
      <c r="B9" s="82"/>
      <c r="C9" s="89"/>
      <c r="D9" s="100"/>
      <c r="E9" s="108"/>
      <c r="F9" s="31" t="s">
        <v>203</v>
      </c>
      <c r="G9" s="106" t="s">
        <v>204</v>
      </c>
      <c r="H9" s="31" t="s">
        <v>207</v>
      </c>
      <c r="I9" s="45" t="s">
        <v>208</v>
      </c>
      <c r="J9" s="31" t="s">
        <v>209</v>
      </c>
      <c r="K9" s="45" t="s">
        <v>210</v>
      </c>
      <c r="L9" s="45" t="s">
        <v>211</v>
      </c>
      <c r="M9" s="47" t="s">
        <v>212</v>
      </c>
      <c r="N9" s="90"/>
      <c r="O9" s="90"/>
      <c r="P9" s="90"/>
    </row>
    <row r="10" spans="1:19" x14ac:dyDescent="0.3">
      <c r="A10" s="72"/>
      <c r="B10" s="81" t="s">
        <v>190</v>
      </c>
      <c r="C10" s="88" t="s">
        <v>192</v>
      </c>
      <c r="D10" s="105" t="s">
        <v>194</v>
      </c>
      <c r="E10" s="98"/>
      <c r="F10" s="69" t="s">
        <v>198</v>
      </c>
      <c r="G10" s="70"/>
      <c r="H10" s="69" t="s">
        <v>200</v>
      </c>
      <c r="I10" s="70"/>
      <c r="J10" s="69" t="s">
        <v>202</v>
      </c>
      <c r="K10" s="77"/>
      <c r="L10" s="77"/>
      <c r="M10" s="78"/>
      <c r="N10" s="90"/>
      <c r="O10" s="90"/>
      <c r="P10" s="90"/>
    </row>
    <row r="11" spans="1:19" ht="86.4" x14ac:dyDescent="0.3">
      <c r="A11" s="73"/>
      <c r="B11" s="82"/>
      <c r="C11" s="89"/>
      <c r="D11" s="100"/>
      <c r="E11" s="46" t="s">
        <v>196</v>
      </c>
      <c r="F11" s="8" t="s">
        <v>205</v>
      </c>
      <c r="G11" s="36" t="s">
        <v>206</v>
      </c>
      <c r="H11" s="31" t="s">
        <v>213</v>
      </c>
      <c r="I11" s="9" t="s">
        <v>214</v>
      </c>
      <c r="J11" s="10" t="s">
        <v>215</v>
      </c>
      <c r="K11" s="11" t="s">
        <v>216</v>
      </c>
      <c r="L11" s="11" t="s">
        <v>217</v>
      </c>
      <c r="M11" s="12" t="s">
        <v>218</v>
      </c>
      <c r="N11" s="92"/>
      <c r="O11" s="92"/>
      <c r="P11" s="92"/>
      <c r="R11" s="7"/>
    </row>
    <row r="12" spans="1:19" ht="21" customHeight="1" x14ac:dyDescent="0.3">
      <c r="A12" s="13" t="s">
        <v>2</v>
      </c>
      <c r="B12" s="60">
        <f>SUM(B13,B20,B28,B33,B38,B44,B50,B56,B60,B66,B75,B81,B95)</f>
        <v>444523</v>
      </c>
      <c r="C12" s="48">
        <f>SUM(C13,C20,C28,C33,C38,C44,C50,C56,C60,C66,C75,C81,C95)</f>
        <v>423885</v>
      </c>
      <c r="D12" s="48">
        <f>SUM(D13,D20,D28,D33,D38,D44,D50,D56,D60,D66,D75,D81,D95)</f>
        <v>84745</v>
      </c>
      <c r="E12" s="50">
        <f>SUM(E13,E20,E28,E33,E38,E44,E50,E56,E60,E66,E75,E81,E95)</f>
        <v>20638</v>
      </c>
      <c r="F12" s="48">
        <f t="shared" ref="F12:G12" si="0">SUM(F13,F20,F28,F33,F38,F44,F50,F56,F60,F66,F75,F81,F95)</f>
        <v>9704</v>
      </c>
      <c r="G12" s="48">
        <f t="shared" si="0"/>
        <v>2195</v>
      </c>
      <c r="H12" s="50">
        <f>SUM(H13,H20,H28,H33,H38,H44,H50,H56,H60,H66,H75,H81,H95)</f>
        <v>718</v>
      </c>
      <c r="I12" s="51">
        <f>SUM(I13,I20,I28,I33,I38,I44,I50,I56,I60,I66,I75,I81,I95)</f>
        <v>908</v>
      </c>
      <c r="J12" s="51">
        <f t="shared" ref="J12:M12" si="1">SUM(J13,J20,J28,J33,J38,J44,J50,J56,J60,J66,J75,J81,J95)</f>
        <v>4200</v>
      </c>
      <c r="K12" s="51">
        <f t="shared" si="1"/>
        <v>2158</v>
      </c>
      <c r="L12" s="51">
        <f t="shared" si="1"/>
        <v>1751</v>
      </c>
      <c r="M12" s="52">
        <f t="shared" si="1"/>
        <v>1199</v>
      </c>
      <c r="N12" s="14" t="s">
        <v>3</v>
      </c>
      <c r="O12" s="15"/>
      <c r="P12" s="15"/>
      <c r="R12" s="7"/>
    </row>
    <row r="13" spans="1:19" ht="24.6" customHeight="1" x14ac:dyDescent="0.3">
      <c r="A13" s="16" t="s">
        <v>4</v>
      </c>
      <c r="B13" s="61">
        <f>SUM(B14:B19)</f>
        <v>37216</v>
      </c>
      <c r="C13" s="49">
        <f>SUM(C14:C19)</f>
        <v>36408</v>
      </c>
      <c r="D13" s="49">
        <f>SUM(D14:D19)</f>
        <v>927</v>
      </c>
      <c r="E13" s="53">
        <f>SUM(E14:E19)</f>
        <v>808</v>
      </c>
      <c r="F13" s="49">
        <f t="shared" ref="F13:H13" si="2">SUM(F14:F19)</f>
        <v>199</v>
      </c>
      <c r="G13" s="49">
        <f t="shared" si="2"/>
        <v>98</v>
      </c>
      <c r="H13" s="53">
        <f t="shared" si="2"/>
        <v>362</v>
      </c>
      <c r="I13" s="54">
        <f>SUM(I14:I19)</f>
        <v>90</v>
      </c>
      <c r="J13" s="54">
        <f t="shared" ref="J13:M13" si="3">SUM(J14:J19)</f>
        <v>29</v>
      </c>
      <c r="K13" s="54">
        <f t="shared" si="3"/>
        <v>99</v>
      </c>
      <c r="L13" s="54">
        <f t="shared" si="3"/>
        <v>29</v>
      </c>
      <c r="M13" s="55">
        <f t="shared" si="3"/>
        <v>0</v>
      </c>
      <c r="N13" s="17" t="s">
        <v>5</v>
      </c>
      <c r="O13" s="17"/>
      <c r="P13" s="17"/>
      <c r="Q13" s="18"/>
      <c r="R13" s="7"/>
    </row>
    <row r="14" spans="1:19" x14ac:dyDescent="0.3">
      <c r="A14" s="19" t="s">
        <v>6</v>
      </c>
      <c r="B14" s="62">
        <f>SUM(C14,E14)</f>
        <v>7547</v>
      </c>
      <c r="C14" s="33">
        <v>7275</v>
      </c>
      <c r="D14" s="33">
        <v>73</v>
      </c>
      <c r="E14" s="65">
        <f>SUM(F14,H14:M14)</f>
        <v>272</v>
      </c>
      <c r="F14" s="33">
        <v>8</v>
      </c>
      <c r="G14" s="38">
        <v>7</v>
      </c>
      <c r="H14" s="33">
        <v>232</v>
      </c>
      <c r="I14" s="38">
        <v>22</v>
      </c>
      <c r="J14" s="33">
        <v>1</v>
      </c>
      <c r="K14" s="39" t="s">
        <v>183</v>
      </c>
      <c r="L14" s="33">
        <v>9</v>
      </c>
      <c r="M14" s="40" t="s">
        <v>183</v>
      </c>
      <c r="N14" s="20" t="s">
        <v>8</v>
      </c>
      <c r="Q14" s="7"/>
      <c r="S14" s="7"/>
    </row>
    <row r="15" spans="1:19" x14ac:dyDescent="0.3">
      <c r="A15" s="19" t="s">
        <v>9</v>
      </c>
      <c r="B15" s="62">
        <f>SUM(C15,E15)</f>
        <v>3381</v>
      </c>
      <c r="C15" s="33">
        <v>3280</v>
      </c>
      <c r="D15" s="33">
        <v>398</v>
      </c>
      <c r="E15" s="65">
        <f>SUM(F15,H15:M15)</f>
        <v>101</v>
      </c>
      <c r="F15" s="33">
        <v>17</v>
      </c>
      <c r="G15" s="38">
        <v>1</v>
      </c>
      <c r="H15" s="37" t="s">
        <v>183</v>
      </c>
      <c r="I15" s="39" t="s">
        <v>183</v>
      </c>
      <c r="J15" s="37" t="s">
        <v>183</v>
      </c>
      <c r="K15" s="38">
        <v>84</v>
      </c>
      <c r="L15" s="33" t="s">
        <v>183</v>
      </c>
      <c r="M15" s="40" t="s">
        <v>183</v>
      </c>
      <c r="N15" s="20" t="s">
        <v>10</v>
      </c>
      <c r="R15" s="7"/>
      <c r="S15" s="7"/>
    </row>
    <row r="16" spans="1:19" x14ac:dyDescent="0.3">
      <c r="A16" s="19" t="s">
        <v>11</v>
      </c>
      <c r="B16" s="62">
        <f>SUM(C16,E16)</f>
        <v>13079</v>
      </c>
      <c r="C16" s="33">
        <v>12989</v>
      </c>
      <c r="D16" s="33">
        <v>139</v>
      </c>
      <c r="E16" s="65">
        <f>SUM(F16,H16:M16)</f>
        <v>90</v>
      </c>
      <c r="F16" s="33">
        <v>51</v>
      </c>
      <c r="G16" s="38">
        <v>8</v>
      </c>
      <c r="H16" s="33">
        <v>12</v>
      </c>
      <c r="I16" s="38">
        <v>2</v>
      </c>
      <c r="J16" s="33">
        <v>12</v>
      </c>
      <c r="K16" s="38">
        <v>12</v>
      </c>
      <c r="L16" s="33">
        <v>1</v>
      </c>
      <c r="M16" s="40" t="s">
        <v>183</v>
      </c>
      <c r="N16" s="20" t="s">
        <v>12</v>
      </c>
      <c r="R16" s="7"/>
      <c r="S16" s="21"/>
    </row>
    <row r="17" spans="1:20" x14ac:dyDescent="0.3">
      <c r="A17" s="19" t="s">
        <v>13</v>
      </c>
      <c r="B17" s="62">
        <f t="shared" ref="B17:B19" si="4">SUM(C17,E17)</f>
        <v>8</v>
      </c>
      <c r="C17" s="33">
        <v>7</v>
      </c>
      <c r="D17" s="37">
        <v>1</v>
      </c>
      <c r="E17" s="65">
        <f t="shared" ref="E17:E19" si="5">SUM(F17,H17:M17)</f>
        <v>1</v>
      </c>
      <c r="F17" s="33">
        <v>1</v>
      </c>
      <c r="G17" s="39" t="s">
        <v>183</v>
      </c>
      <c r="H17" s="37" t="s">
        <v>183</v>
      </c>
      <c r="I17" s="39" t="s">
        <v>183</v>
      </c>
      <c r="J17" s="37" t="s">
        <v>183</v>
      </c>
      <c r="K17" s="39" t="s">
        <v>183</v>
      </c>
      <c r="L17" s="37" t="s">
        <v>183</v>
      </c>
      <c r="M17" s="40" t="s">
        <v>183</v>
      </c>
      <c r="N17" s="20" t="s">
        <v>14</v>
      </c>
    </row>
    <row r="18" spans="1:20" x14ac:dyDescent="0.3">
      <c r="A18" s="19" t="s">
        <v>15</v>
      </c>
      <c r="B18" s="62">
        <f t="shared" si="4"/>
        <v>7358</v>
      </c>
      <c r="C18" s="33">
        <v>7174</v>
      </c>
      <c r="D18" s="33">
        <v>129</v>
      </c>
      <c r="E18" s="65">
        <f t="shared" si="5"/>
        <v>184</v>
      </c>
      <c r="F18" s="33">
        <v>110</v>
      </c>
      <c r="G18" s="38">
        <v>77</v>
      </c>
      <c r="H18" s="37" t="s">
        <v>183</v>
      </c>
      <c r="I18" s="38">
        <v>45</v>
      </c>
      <c r="J18" s="33">
        <v>14</v>
      </c>
      <c r="K18" s="39">
        <v>1</v>
      </c>
      <c r="L18" s="33">
        <v>14</v>
      </c>
      <c r="M18" s="40" t="s">
        <v>183</v>
      </c>
      <c r="N18" s="20" t="s">
        <v>16</v>
      </c>
      <c r="S18" s="7"/>
    </row>
    <row r="19" spans="1:20" x14ac:dyDescent="0.3">
      <c r="A19" s="19" t="s">
        <v>17</v>
      </c>
      <c r="B19" s="62">
        <f t="shared" si="4"/>
        <v>5843</v>
      </c>
      <c r="C19" s="33">
        <v>5683</v>
      </c>
      <c r="D19" s="33">
        <v>187</v>
      </c>
      <c r="E19" s="65">
        <f t="shared" si="5"/>
        <v>160</v>
      </c>
      <c r="F19" s="33">
        <v>12</v>
      </c>
      <c r="G19" s="38">
        <v>5</v>
      </c>
      <c r="H19" s="33">
        <v>118</v>
      </c>
      <c r="I19" s="38">
        <v>21</v>
      </c>
      <c r="J19" s="37">
        <v>2</v>
      </c>
      <c r="K19" s="39">
        <v>2</v>
      </c>
      <c r="L19" s="33">
        <v>5</v>
      </c>
      <c r="M19" s="40" t="s">
        <v>183</v>
      </c>
      <c r="N19" s="20" t="s">
        <v>18</v>
      </c>
    </row>
    <row r="20" spans="1:20" ht="20.399999999999999" customHeight="1" x14ac:dyDescent="0.3">
      <c r="A20" s="16" t="s">
        <v>19</v>
      </c>
      <c r="B20" s="61">
        <f>SUM(B21:B27)</f>
        <v>86363</v>
      </c>
      <c r="C20" s="49">
        <f>SUM(C21:C27)</f>
        <v>78150</v>
      </c>
      <c r="D20" s="49">
        <f>SUM(D21:D27)</f>
        <v>5552</v>
      </c>
      <c r="E20" s="56">
        <f>SUM(E21:E27)</f>
        <v>8213</v>
      </c>
      <c r="F20" s="49">
        <f>SUM(F21:F27)</f>
        <v>3147</v>
      </c>
      <c r="G20" s="49">
        <f t="shared" ref="G20:H20" si="6">SUM(G21:G27)</f>
        <v>207</v>
      </c>
      <c r="H20" s="56">
        <f t="shared" si="6"/>
        <v>256</v>
      </c>
      <c r="I20" s="49">
        <f>SUM(I21:I27)</f>
        <v>230</v>
      </c>
      <c r="J20" s="49">
        <f>SUM(J21:J27)</f>
        <v>2292</v>
      </c>
      <c r="K20" s="49">
        <f t="shared" ref="K20:M20" si="7">SUM(K21:K27)</f>
        <v>1741</v>
      </c>
      <c r="L20" s="49">
        <f t="shared" si="7"/>
        <v>518</v>
      </c>
      <c r="M20" s="55">
        <f t="shared" si="7"/>
        <v>29</v>
      </c>
      <c r="N20" s="22" t="s">
        <v>20</v>
      </c>
      <c r="O20" s="22"/>
      <c r="P20" s="22"/>
      <c r="Q20" s="7"/>
    </row>
    <row r="21" spans="1:20" x14ac:dyDescent="0.3">
      <c r="A21" s="19" t="s">
        <v>21</v>
      </c>
      <c r="B21" s="62">
        <f t="shared" ref="B21:B32" si="8">SUM(C21,E21)</f>
        <v>22174</v>
      </c>
      <c r="C21" s="33">
        <v>19869</v>
      </c>
      <c r="D21" s="33">
        <v>1362</v>
      </c>
      <c r="E21" s="65">
        <f t="shared" ref="E21:E27" si="9">SUM(F21,H21:M21)</f>
        <v>2305</v>
      </c>
      <c r="F21" s="33">
        <v>2196</v>
      </c>
      <c r="G21" s="38">
        <v>109</v>
      </c>
      <c r="H21" s="37" t="s">
        <v>183</v>
      </c>
      <c r="I21" s="38">
        <v>30</v>
      </c>
      <c r="J21" s="33">
        <v>29</v>
      </c>
      <c r="K21" s="38">
        <v>25</v>
      </c>
      <c r="L21" s="33">
        <v>25</v>
      </c>
      <c r="M21" s="41" t="s">
        <v>183</v>
      </c>
      <c r="N21" s="20" t="s">
        <v>22</v>
      </c>
    </row>
    <row r="22" spans="1:20" x14ac:dyDescent="0.3">
      <c r="A22" s="19" t="s">
        <v>23</v>
      </c>
      <c r="B22" s="62">
        <f t="shared" si="8"/>
        <v>10845</v>
      </c>
      <c r="C22" s="33">
        <v>9489</v>
      </c>
      <c r="D22" s="33">
        <v>1806</v>
      </c>
      <c r="E22" s="65">
        <f>SUM(F22,H22:M22)</f>
        <v>1356</v>
      </c>
      <c r="F22" s="33">
        <v>49</v>
      </c>
      <c r="G22" s="38">
        <v>25</v>
      </c>
      <c r="H22" s="37" t="s">
        <v>183</v>
      </c>
      <c r="I22" s="39">
        <v>22</v>
      </c>
      <c r="J22" s="33">
        <v>1248</v>
      </c>
      <c r="K22" s="39">
        <v>6</v>
      </c>
      <c r="L22" s="33">
        <v>2</v>
      </c>
      <c r="M22" s="40">
        <v>29</v>
      </c>
      <c r="N22" s="20" t="s">
        <v>24</v>
      </c>
      <c r="R22" s="7"/>
    </row>
    <row r="23" spans="1:20" x14ac:dyDescent="0.3">
      <c r="A23" s="19" t="s">
        <v>25</v>
      </c>
      <c r="B23" s="62">
        <f t="shared" si="8"/>
        <v>9363</v>
      </c>
      <c r="C23" s="33">
        <v>9152</v>
      </c>
      <c r="D23" s="33">
        <v>30</v>
      </c>
      <c r="E23" s="65">
        <f>SUM(F23,H23:M23)</f>
        <v>211</v>
      </c>
      <c r="F23" s="33">
        <v>202</v>
      </c>
      <c r="G23" s="38">
        <v>3</v>
      </c>
      <c r="H23" s="37" t="s">
        <v>183</v>
      </c>
      <c r="I23" s="38" t="s">
        <v>183</v>
      </c>
      <c r="J23" s="33">
        <v>1</v>
      </c>
      <c r="K23" s="38">
        <v>5</v>
      </c>
      <c r="L23" s="37">
        <v>3</v>
      </c>
      <c r="M23" s="40" t="s">
        <v>183</v>
      </c>
      <c r="N23" s="20" t="s">
        <v>26</v>
      </c>
    </row>
    <row r="24" spans="1:20" x14ac:dyDescent="0.3">
      <c r="A24" s="19" t="s">
        <v>27</v>
      </c>
      <c r="B24" s="62">
        <f t="shared" si="8"/>
        <v>19163</v>
      </c>
      <c r="C24" s="33">
        <v>17534</v>
      </c>
      <c r="D24" s="33">
        <v>1645</v>
      </c>
      <c r="E24" s="65">
        <f>SUM(F24,H24:M24)</f>
        <v>1629</v>
      </c>
      <c r="F24" s="33">
        <v>323</v>
      </c>
      <c r="G24" s="38">
        <v>29</v>
      </c>
      <c r="H24" s="33">
        <v>22</v>
      </c>
      <c r="I24" s="38">
        <v>70</v>
      </c>
      <c r="J24" s="33">
        <v>859</v>
      </c>
      <c r="K24" s="38">
        <v>18</v>
      </c>
      <c r="L24" s="33">
        <v>337</v>
      </c>
      <c r="M24" s="40" t="s">
        <v>183</v>
      </c>
      <c r="N24" s="20" t="s">
        <v>28</v>
      </c>
      <c r="S24" s="7"/>
    </row>
    <row r="25" spans="1:20" x14ac:dyDescent="0.3">
      <c r="A25" s="19" t="s">
        <v>29</v>
      </c>
      <c r="B25" s="62">
        <f t="shared" si="8"/>
        <v>5891</v>
      </c>
      <c r="C25" s="33">
        <v>5261</v>
      </c>
      <c r="D25" s="33">
        <v>225</v>
      </c>
      <c r="E25" s="65">
        <f t="shared" si="9"/>
        <v>630</v>
      </c>
      <c r="F25" s="33">
        <v>129</v>
      </c>
      <c r="G25" s="38">
        <v>18</v>
      </c>
      <c r="H25" s="33">
        <v>234</v>
      </c>
      <c r="I25" s="38">
        <v>83</v>
      </c>
      <c r="J25" s="33">
        <v>74</v>
      </c>
      <c r="K25" s="38">
        <v>15</v>
      </c>
      <c r="L25" s="33">
        <v>95</v>
      </c>
      <c r="M25" s="40" t="s">
        <v>183</v>
      </c>
      <c r="N25" s="20" t="s">
        <v>30</v>
      </c>
    </row>
    <row r="26" spans="1:20" x14ac:dyDescent="0.3">
      <c r="A26" s="19" t="s">
        <v>31</v>
      </c>
      <c r="B26" s="62">
        <f t="shared" si="8"/>
        <v>11314</v>
      </c>
      <c r="C26" s="33">
        <v>11129</v>
      </c>
      <c r="D26" s="33">
        <v>255</v>
      </c>
      <c r="E26" s="65">
        <f t="shared" si="9"/>
        <v>185</v>
      </c>
      <c r="F26" s="33">
        <v>109</v>
      </c>
      <c r="G26" s="38">
        <v>22</v>
      </c>
      <c r="H26" s="33" t="s">
        <v>183</v>
      </c>
      <c r="I26" s="38">
        <v>22</v>
      </c>
      <c r="J26" s="33">
        <v>25</v>
      </c>
      <c r="K26" s="38">
        <v>7</v>
      </c>
      <c r="L26" s="33">
        <v>22</v>
      </c>
      <c r="M26" s="40" t="s">
        <v>183</v>
      </c>
      <c r="N26" s="20" t="s">
        <v>32</v>
      </c>
    </row>
    <row r="27" spans="1:20" x14ac:dyDescent="0.3">
      <c r="A27" s="19" t="s">
        <v>33</v>
      </c>
      <c r="B27" s="62">
        <f t="shared" si="8"/>
        <v>7613</v>
      </c>
      <c r="C27" s="33">
        <v>5716</v>
      </c>
      <c r="D27" s="33">
        <v>229</v>
      </c>
      <c r="E27" s="65">
        <f t="shared" si="9"/>
        <v>1897</v>
      </c>
      <c r="F27" s="33">
        <v>139</v>
      </c>
      <c r="G27" s="38">
        <v>1</v>
      </c>
      <c r="H27" s="37" t="s">
        <v>183</v>
      </c>
      <c r="I27" s="38">
        <v>3</v>
      </c>
      <c r="J27" s="33">
        <v>56</v>
      </c>
      <c r="K27" s="38">
        <v>1665</v>
      </c>
      <c r="L27" s="33">
        <v>34</v>
      </c>
      <c r="M27" s="40" t="s">
        <v>183</v>
      </c>
      <c r="N27" s="20" t="s">
        <v>34</v>
      </c>
    </row>
    <row r="28" spans="1:20" ht="24.6" customHeight="1" x14ac:dyDescent="0.3">
      <c r="A28" s="16" t="s">
        <v>178</v>
      </c>
      <c r="B28" s="63">
        <f>SUM(B29:B32)</f>
        <v>13482</v>
      </c>
      <c r="C28" s="57">
        <f>SUM(C29:C32)</f>
        <v>13339</v>
      </c>
      <c r="D28" s="57">
        <f>SUM(D29:D32)</f>
        <v>356</v>
      </c>
      <c r="E28" s="58">
        <f>SUM(E29:E32)</f>
        <v>143</v>
      </c>
      <c r="F28" s="57">
        <f t="shared" ref="F28:H28" si="10">SUM(F29:F32)</f>
        <v>32</v>
      </c>
      <c r="G28" s="57">
        <f t="shared" si="10"/>
        <v>5</v>
      </c>
      <c r="H28" s="58">
        <f t="shared" si="10"/>
        <v>18</v>
      </c>
      <c r="I28" s="57">
        <f>SUM(I29:I32)</f>
        <v>8</v>
      </c>
      <c r="J28" s="57">
        <f t="shared" ref="J28:M28" si="11">SUM(J29:J32)</f>
        <v>63</v>
      </c>
      <c r="K28" s="57">
        <f>SUM(K29:K32)</f>
        <v>3</v>
      </c>
      <c r="L28" s="57">
        <f t="shared" si="11"/>
        <v>19</v>
      </c>
      <c r="M28" s="59">
        <f t="shared" si="11"/>
        <v>0</v>
      </c>
      <c r="N28" s="22" t="s">
        <v>179</v>
      </c>
    </row>
    <row r="29" spans="1:20" x14ac:dyDescent="0.3">
      <c r="A29" s="19" t="s">
        <v>35</v>
      </c>
      <c r="B29" s="62">
        <f t="shared" si="8"/>
        <v>5851</v>
      </c>
      <c r="C29" s="33">
        <v>5764</v>
      </c>
      <c r="D29" s="33">
        <v>63</v>
      </c>
      <c r="E29" s="65">
        <f t="shared" ref="E29:E32" si="12">SUM(F29,H29:M29)</f>
        <v>87</v>
      </c>
      <c r="F29" s="33">
        <v>13</v>
      </c>
      <c r="G29" s="38">
        <v>3</v>
      </c>
      <c r="H29" s="33" t="s">
        <v>183</v>
      </c>
      <c r="I29" s="38">
        <v>8</v>
      </c>
      <c r="J29" s="33">
        <v>48</v>
      </c>
      <c r="K29" s="38" t="s">
        <v>183</v>
      </c>
      <c r="L29" s="33">
        <v>18</v>
      </c>
      <c r="M29" s="40" t="s">
        <v>183</v>
      </c>
      <c r="N29" s="20" t="s">
        <v>36</v>
      </c>
    </row>
    <row r="30" spans="1:20" x14ac:dyDescent="0.3">
      <c r="A30" s="19" t="s">
        <v>37</v>
      </c>
      <c r="B30" s="62">
        <f>SUM(C30,E30)</f>
        <v>1474</v>
      </c>
      <c r="C30" s="33">
        <v>1445</v>
      </c>
      <c r="D30" s="33">
        <v>12</v>
      </c>
      <c r="E30" s="65">
        <f t="shared" si="12"/>
        <v>29</v>
      </c>
      <c r="F30" s="33">
        <v>7</v>
      </c>
      <c r="G30" s="38" t="s">
        <v>183</v>
      </c>
      <c r="H30" s="33">
        <v>18</v>
      </c>
      <c r="I30" s="38" t="s">
        <v>183</v>
      </c>
      <c r="J30" s="37" t="s">
        <v>183</v>
      </c>
      <c r="K30" s="39">
        <v>3</v>
      </c>
      <c r="L30" s="37">
        <v>1</v>
      </c>
      <c r="M30" s="40" t="s">
        <v>183</v>
      </c>
      <c r="N30" s="20" t="s">
        <v>38</v>
      </c>
      <c r="T30" s="7"/>
    </row>
    <row r="31" spans="1:20" x14ac:dyDescent="0.3">
      <c r="A31" s="19" t="s">
        <v>39</v>
      </c>
      <c r="B31" s="62">
        <f>SUM(C31,E31)</f>
        <v>1798</v>
      </c>
      <c r="C31" s="33">
        <v>1794</v>
      </c>
      <c r="D31" s="33">
        <v>4</v>
      </c>
      <c r="E31" s="65">
        <f t="shared" si="12"/>
        <v>4</v>
      </c>
      <c r="F31" s="33">
        <v>4</v>
      </c>
      <c r="G31" s="39">
        <v>2</v>
      </c>
      <c r="H31" s="37" t="s">
        <v>183</v>
      </c>
      <c r="I31" s="39" t="s">
        <v>183</v>
      </c>
      <c r="J31" s="37" t="s">
        <v>183</v>
      </c>
      <c r="K31" s="39" t="s">
        <v>183</v>
      </c>
      <c r="L31" s="37" t="s">
        <v>183</v>
      </c>
      <c r="M31" s="40" t="s">
        <v>183</v>
      </c>
      <c r="N31" s="20" t="s">
        <v>40</v>
      </c>
      <c r="R31" s="7"/>
    </row>
    <row r="32" spans="1:20" x14ac:dyDescent="0.3">
      <c r="A32" s="19" t="s">
        <v>41</v>
      </c>
      <c r="B32" s="62">
        <f t="shared" si="8"/>
        <v>4359</v>
      </c>
      <c r="C32" s="33">
        <v>4336</v>
      </c>
      <c r="D32" s="33">
        <v>277</v>
      </c>
      <c r="E32" s="65">
        <f t="shared" si="12"/>
        <v>23</v>
      </c>
      <c r="F32" s="33">
        <v>8</v>
      </c>
      <c r="G32" s="38" t="s">
        <v>183</v>
      </c>
      <c r="H32" s="37" t="s">
        <v>183</v>
      </c>
      <c r="I32" s="39" t="s">
        <v>183</v>
      </c>
      <c r="J32" s="37">
        <v>15</v>
      </c>
      <c r="K32" s="39" t="s">
        <v>183</v>
      </c>
      <c r="L32" s="37" t="s">
        <v>183</v>
      </c>
      <c r="M32" s="40" t="s">
        <v>183</v>
      </c>
      <c r="N32" s="20" t="s">
        <v>42</v>
      </c>
      <c r="R32" s="7"/>
    </row>
    <row r="33" spans="1:18" ht="20.399999999999999" customHeight="1" x14ac:dyDescent="0.3">
      <c r="A33" s="16" t="s">
        <v>43</v>
      </c>
      <c r="B33" s="61">
        <f>SUM(B34:B37)</f>
        <v>6843</v>
      </c>
      <c r="C33" s="49">
        <f>SUM(C34:C37)</f>
        <v>6374</v>
      </c>
      <c r="D33" s="49">
        <f>SUM(D34:D37)</f>
        <v>2062</v>
      </c>
      <c r="E33" s="56">
        <f>SUM(E34:E37)</f>
        <v>469</v>
      </c>
      <c r="F33" s="49">
        <f t="shared" ref="F33:H33" si="13">SUM(F34:F37)</f>
        <v>167</v>
      </c>
      <c r="G33" s="49">
        <f t="shared" si="13"/>
        <v>19</v>
      </c>
      <c r="H33" s="56">
        <f t="shared" si="13"/>
        <v>0</v>
      </c>
      <c r="I33" s="49">
        <f>SUM(I34:I37)</f>
        <v>34</v>
      </c>
      <c r="J33" s="49">
        <f t="shared" ref="J33:M33" si="14">SUM(J34:J37)</f>
        <v>193</v>
      </c>
      <c r="K33" s="49">
        <f>SUM(K34:K37)</f>
        <v>50</v>
      </c>
      <c r="L33" s="49">
        <f t="shared" si="14"/>
        <v>25</v>
      </c>
      <c r="M33" s="55">
        <f t="shared" si="14"/>
        <v>0</v>
      </c>
      <c r="N33" s="22" t="s">
        <v>44</v>
      </c>
      <c r="O33" s="22"/>
      <c r="P33" s="22"/>
      <c r="R33" s="7"/>
    </row>
    <row r="34" spans="1:18" x14ac:dyDescent="0.3">
      <c r="A34" s="19" t="s">
        <v>45</v>
      </c>
      <c r="B34" s="62">
        <f t="shared" ref="B34:B37" si="15">SUM(C34,E34)</f>
        <v>1108</v>
      </c>
      <c r="C34" s="33">
        <v>909</v>
      </c>
      <c r="D34" s="33">
        <v>196</v>
      </c>
      <c r="E34" s="65">
        <f t="shared" ref="E34:E37" si="16">SUM(F34,H34:M34)</f>
        <v>199</v>
      </c>
      <c r="F34" s="33">
        <v>112</v>
      </c>
      <c r="G34" s="38">
        <v>9</v>
      </c>
      <c r="H34" s="37" t="s">
        <v>183</v>
      </c>
      <c r="I34" s="39">
        <v>13</v>
      </c>
      <c r="J34" s="37">
        <v>66</v>
      </c>
      <c r="K34" s="39" t="s">
        <v>183</v>
      </c>
      <c r="L34" s="33">
        <v>8</v>
      </c>
      <c r="M34" s="40" t="s">
        <v>183</v>
      </c>
      <c r="N34" s="20" t="s">
        <v>46</v>
      </c>
    </row>
    <row r="35" spans="1:18" x14ac:dyDescent="0.3">
      <c r="A35" s="19" t="s">
        <v>47</v>
      </c>
      <c r="B35" s="62">
        <f t="shared" si="15"/>
        <v>2441</v>
      </c>
      <c r="C35" s="33">
        <v>2267</v>
      </c>
      <c r="D35" s="33">
        <v>200</v>
      </c>
      <c r="E35" s="65">
        <f t="shared" si="16"/>
        <v>174</v>
      </c>
      <c r="F35" s="33">
        <v>8</v>
      </c>
      <c r="G35" s="38">
        <v>3</v>
      </c>
      <c r="H35" s="37" t="s">
        <v>183</v>
      </c>
      <c r="I35" s="38">
        <v>1</v>
      </c>
      <c r="J35" s="33">
        <v>114</v>
      </c>
      <c r="K35" s="38">
        <v>50</v>
      </c>
      <c r="L35" s="33">
        <v>1</v>
      </c>
      <c r="M35" s="40" t="s">
        <v>183</v>
      </c>
      <c r="N35" s="20" t="s">
        <v>48</v>
      </c>
    </row>
    <row r="36" spans="1:18" x14ac:dyDescent="0.3">
      <c r="A36" s="19" t="s">
        <v>49</v>
      </c>
      <c r="B36" s="62">
        <f>SUM(C36,E36)</f>
        <v>1250</v>
      </c>
      <c r="C36" s="33">
        <v>1231</v>
      </c>
      <c r="D36" s="33">
        <v>70</v>
      </c>
      <c r="E36" s="65">
        <f t="shared" si="16"/>
        <v>19</v>
      </c>
      <c r="F36" s="33">
        <v>5</v>
      </c>
      <c r="G36" s="38">
        <v>5</v>
      </c>
      <c r="H36" s="37" t="s">
        <v>183</v>
      </c>
      <c r="I36" s="38">
        <v>1</v>
      </c>
      <c r="J36" s="33">
        <v>9</v>
      </c>
      <c r="K36" s="39" t="s">
        <v>183</v>
      </c>
      <c r="L36" s="33">
        <v>4</v>
      </c>
      <c r="M36" s="40" t="s">
        <v>183</v>
      </c>
      <c r="N36" s="20" t="s">
        <v>50</v>
      </c>
    </row>
    <row r="37" spans="1:18" x14ac:dyDescent="0.3">
      <c r="A37" s="19" t="s">
        <v>51</v>
      </c>
      <c r="B37" s="62">
        <f t="shared" si="15"/>
        <v>2044</v>
      </c>
      <c r="C37" s="33">
        <v>1967</v>
      </c>
      <c r="D37" s="33">
        <v>1596</v>
      </c>
      <c r="E37" s="65">
        <f t="shared" si="16"/>
        <v>77</v>
      </c>
      <c r="F37" s="33">
        <v>42</v>
      </c>
      <c r="G37" s="38">
        <v>2</v>
      </c>
      <c r="H37" s="37" t="s">
        <v>183</v>
      </c>
      <c r="I37" s="38">
        <v>19</v>
      </c>
      <c r="J37" s="33">
        <v>4</v>
      </c>
      <c r="K37" s="39" t="s">
        <v>183</v>
      </c>
      <c r="L37" s="33">
        <v>12</v>
      </c>
      <c r="M37" s="40" t="s">
        <v>183</v>
      </c>
      <c r="N37" s="20" t="s">
        <v>52</v>
      </c>
    </row>
    <row r="38" spans="1:18" ht="19.95" customHeight="1" x14ac:dyDescent="0.3">
      <c r="A38" s="16" t="s">
        <v>53</v>
      </c>
      <c r="B38" s="61">
        <f>SUM(B39:B43)</f>
        <v>55786</v>
      </c>
      <c r="C38" s="49">
        <f>SUM(C39:C43)</f>
        <v>54128</v>
      </c>
      <c r="D38" s="49">
        <f>SUM(D39:D43)</f>
        <v>1391</v>
      </c>
      <c r="E38" s="56">
        <f>SUM(E39:E43)</f>
        <v>1658</v>
      </c>
      <c r="F38" s="49">
        <f t="shared" ref="F38:H38" si="17">SUM(F39:F43)</f>
        <v>904</v>
      </c>
      <c r="G38" s="49">
        <f t="shared" si="17"/>
        <v>204</v>
      </c>
      <c r="H38" s="56">
        <f t="shared" si="17"/>
        <v>67</v>
      </c>
      <c r="I38" s="49">
        <f>SUM(I39:I43)</f>
        <v>36</v>
      </c>
      <c r="J38" s="49">
        <f t="shared" ref="J38:M38" si="18">SUM(J39:J43)</f>
        <v>465</v>
      </c>
      <c r="K38" s="49">
        <f>SUM(K39:K43)</f>
        <v>43</v>
      </c>
      <c r="L38" s="49">
        <f t="shared" si="18"/>
        <v>98</v>
      </c>
      <c r="M38" s="55">
        <f t="shared" si="18"/>
        <v>45</v>
      </c>
      <c r="N38" s="22" t="s">
        <v>54</v>
      </c>
      <c r="O38" s="22"/>
      <c r="P38" s="22"/>
    </row>
    <row r="39" spans="1:18" x14ac:dyDescent="0.3">
      <c r="A39" s="19" t="s">
        <v>55</v>
      </c>
      <c r="B39" s="62">
        <f t="shared" ref="B39:B43" si="19">SUM(C39,E39)</f>
        <v>33405</v>
      </c>
      <c r="C39" s="33">
        <v>32825</v>
      </c>
      <c r="D39" s="33">
        <v>389</v>
      </c>
      <c r="E39" s="65">
        <f t="shared" ref="E39:E43" si="20">SUM(F39,H39:M39)</f>
        <v>580</v>
      </c>
      <c r="F39" s="33">
        <v>100</v>
      </c>
      <c r="G39" s="38">
        <v>6</v>
      </c>
      <c r="H39" s="37" t="s">
        <v>183</v>
      </c>
      <c r="I39" s="38">
        <v>20</v>
      </c>
      <c r="J39" s="33">
        <v>386</v>
      </c>
      <c r="K39" s="38" t="s">
        <v>183</v>
      </c>
      <c r="L39" s="33">
        <v>29</v>
      </c>
      <c r="M39" s="41">
        <v>45</v>
      </c>
      <c r="N39" s="20" t="s">
        <v>56</v>
      </c>
    </row>
    <row r="40" spans="1:18" x14ac:dyDescent="0.3">
      <c r="A40" s="19" t="s">
        <v>57</v>
      </c>
      <c r="B40" s="62">
        <f t="shared" si="19"/>
        <v>10828</v>
      </c>
      <c r="C40" s="33">
        <v>10755</v>
      </c>
      <c r="D40" s="33">
        <v>247</v>
      </c>
      <c r="E40" s="65">
        <f>SUM(F40,H40:M40)</f>
        <v>73</v>
      </c>
      <c r="F40" s="33">
        <v>2</v>
      </c>
      <c r="G40" s="38">
        <v>2</v>
      </c>
      <c r="H40" s="33">
        <v>62</v>
      </c>
      <c r="I40" s="38" t="s">
        <v>183</v>
      </c>
      <c r="J40" s="33" t="s">
        <v>183</v>
      </c>
      <c r="K40" s="38">
        <v>8</v>
      </c>
      <c r="L40" s="37">
        <v>1</v>
      </c>
      <c r="M40" s="40" t="s">
        <v>183</v>
      </c>
      <c r="N40" s="20" t="s">
        <v>58</v>
      </c>
    </row>
    <row r="41" spans="1:18" x14ac:dyDescent="0.3">
      <c r="A41" s="19" t="s">
        <v>59</v>
      </c>
      <c r="B41" s="62">
        <f t="shared" si="19"/>
        <v>6073</v>
      </c>
      <c r="C41" s="33">
        <v>5236</v>
      </c>
      <c r="D41" s="33">
        <v>170</v>
      </c>
      <c r="E41" s="65">
        <f t="shared" si="20"/>
        <v>837</v>
      </c>
      <c r="F41" s="33">
        <v>751</v>
      </c>
      <c r="G41" s="38">
        <v>163</v>
      </c>
      <c r="H41" s="37" t="s">
        <v>183</v>
      </c>
      <c r="I41" s="38">
        <v>5</v>
      </c>
      <c r="J41" s="33">
        <v>70</v>
      </c>
      <c r="K41" s="39" t="s">
        <v>183</v>
      </c>
      <c r="L41" s="33">
        <v>11</v>
      </c>
      <c r="M41" s="40" t="s">
        <v>183</v>
      </c>
      <c r="N41" s="20" t="s">
        <v>60</v>
      </c>
    </row>
    <row r="42" spans="1:18" x14ac:dyDescent="0.3">
      <c r="A42" s="19" t="s">
        <v>61</v>
      </c>
      <c r="B42" s="62">
        <f t="shared" si="19"/>
        <v>24</v>
      </c>
      <c r="C42" s="33">
        <v>22</v>
      </c>
      <c r="D42" s="33">
        <v>4</v>
      </c>
      <c r="E42" s="65">
        <f t="shared" si="20"/>
        <v>2</v>
      </c>
      <c r="F42" s="33">
        <v>2</v>
      </c>
      <c r="G42" s="39" t="s">
        <v>183</v>
      </c>
      <c r="H42" s="37" t="s">
        <v>183</v>
      </c>
      <c r="I42" s="39" t="s">
        <v>183</v>
      </c>
      <c r="J42" s="37" t="s">
        <v>183</v>
      </c>
      <c r="K42" s="39" t="s">
        <v>183</v>
      </c>
      <c r="L42" s="37" t="s">
        <v>183</v>
      </c>
      <c r="M42" s="40" t="s">
        <v>183</v>
      </c>
      <c r="N42" s="68" t="s">
        <v>62</v>
      </c>
      <c r="O42" s="68"/>
      <c r="P42" s="68"/>
    </row>
    <row r="43" spans="1:18" x14ac:dyDescent="0.3">
      <c r="A43" s="19" t="s">
        <v>63</v>
      </c>
      <c r="B43" s="62">
        <f t="shared" si="19"/>
        <v>5456</v>
      </c>
      <c r="C43" s="33">
        <v>5290</v>
      </c>
      <c r="D43" s="33">
        <v>581</v>
      </c>
      <c r="E43" s="65">
        <f t="shared" si="20"/>
        <v>166</v>
      </c>
      <c r="F43" s="33">
        <v>49</v>
      </c>
      <c r="G43" s="38">
        <v>33</v>
      </c>
      <c r="H43" s="33">
        <v>5</v>
      </c>
      <c r="I43" s="38">
        <v>11</v>
      </c>
      <c r="J43" s="33">
        <v>9</v>
      </c>
      <c r="K43" s="38">
        <v>35</v>
      </c>
      <c r="L43" s="33">
        <v>57</v>
      </c>
      <c r="M43" s="40" t="s">
        <v>183</v>
      </c>
      <c r="N43" s="20" t="s">
        <v>64</v>
      </c>
    </row>
    <row r="44" spans="1:18" ht="19.95" customHeight="1" x14ac:dyDescent="0.3">
      <c r="A44" s="16" t="s">
        <v>65</v>
      </c>
      <c r="B44" s="61">
        <f>SUM(B45:B49)</f>
        <v>62131</v>
      </c>
      <c r="C44" s="49">
        <f>SUM(C45:C49)</f>
        <v>60719</v>
      </c>
      <c r="D44" s="49">
        <f>SUM(D45:D49)</f>
        <v>872</v>
      </c>
      <c r="E44" s="56">
        <f>SUM(E45:E49)</f>
        <v>1412</v>
      </c>
      <c r="F44" s="49">
        <f t="shared" ref="F44:H44" si="21">SUM(F45:F49)</f>
        <v>838</v>
      </c>
      <c r="G44" s="49">
        <f t="shared" si="21"/>
        <v>37</v>
      </c>
      <c r="H44" s="56">
        <f t="shared" si="21"/>
        <v>0</v>
      </c>
      <c r="I44" s="49">
        <f>SUM(I45:I49)</f>
        <v>70</v>
      </c>
      <c r="J44" s="49">
        <f t="shared" ref="J44:M44" si="22">SUM(J45:J49)</f>
        <v>24</v>
      </c>
      <c r="K44" s="49">
        <f>SUM(K45:K49)</f>
        <v>2</v>
      </c>
      <c r="L44" s="49">
        <f t="shared" si="22"/>
        <v>244</v>
      </c>
      <c r="M44" s="55">
        <f t="shared" si="22"/>
        <v>234</v>
      </c>
      <c r="N44" s="23" t="s">
        <v>66</v>
      </c>
      <c r="O44" s="23"/>
      <c r="P44" s="23"/>
    </row>
    <row r="45" spans="1:18" x14ac:dyDescent="0.3">
      <c r="A45" s="19" t="s">
        <v>67</v>
      </c>
      <c r="B45" s="62">
        <f t="shared" ref="B45:B49" si="23">SUM(C45,E45)</f>
        <v>13938</v>
      </c>
      <c r="C45" s="33">
        <v>13591</v>
      </c>
      <c r="D45" s="33">
        <v>231</v>
      </c>
      <c r="E45" s="65">
        <f t="shared" ref="E45:E49" si="24">SUM(F45,H45:M45)</f>
        <v>347</v>
      </c>
      <c r="F45" s="33">
        <v>90</v>
      </c>
      <c r="G45" s="38">
        <v>11</v>
      </c>
      <c r="H45" s="37" t="s">
        <v>183</v>
      </c>
      <c r="I45" s="38">
        <v>3</v>
      </c>
      <c r="J45" s="33">
        <v>18</v>
      </c>
      <c r="K45" s="38" t="s">
        <v>183</v>
      </c>
      <c r="L45" s="33">
        <v>236</v>
      </c>
      <c r="M45" s="40" t="s">
        <v>183</v>
      </c>
      <c r="N45" s="20" t="s">
        <v>68</v>
      </c>
    </row>
    <row r="46" spans="1:18" x14ac:dyDescent="0.3">
      <c r="A46" s="19" t="s">
        <v>69</v>
      </c>
      <c r="B46" s="62">
        <f t="shared" si="23"/>
        <v>33518</v>
      </c>
      <c r="C46" s="33">
        <v>32531</v>
      </c>
      <c r="D46" s="33">
        <v>240</v>
      </c>
      <c r="E46" s="65">
        <f t="shared" si="24"/>
        <v>987</v>
      </c>
      <c r="F46" s="33">
        <v>730</v>
      </c>
      <c r="G46" s="38">
        <v>20</v>
      </c>
      <c r="H46" s="37" t="s">
        <v>183</v>
      </c>
      <c r="I46" s="38">
        <v>23</v>
      </c>
      <c r="J46" s="37" t="s">
        <v>183</v>
      </c>
      <c r="K46" s="39" t="s">
        <v>183</v>
      </c>
      <c r="L46" s="33" t="s">
        <v>183</v>
      </c>
      <c r="M46" s="41">
        <v>234</v>
      </c>
      <c r="N46" s="20" t="s">
        <v>70</v>
      </c>
    </row>
    <row r="47" spans="1:18" x14ac:dyDescent="0.3">
      <c r="A47" s="19" t="s">
        <v>71</v>
      </c>
      <c r="B47" s="62">
        <f>SUM(C47,E47)</f>
        <v>13704</v>
      </c>
      <c r="C47" s="33">
        <v>13635</v>
      </c>
      <c r="D47" s="33">
        <v>350</v>
      </c>
      <c r="E47" s="65">
        <f t="shared" si="24"/>
        <v>69</v>
      </c>
      <c r="F47" s="33">
        <v>18</v>
      </c>
      <c r="G47" s="38">
        <v>6</v>
      </c>
      <c r="H47" s="37" t="s">
        <v>183</v>
      </c>
      <c r="I47" s="38">
        <v>44</v>
      </c>
      <c r="J47" s="33">
        <v>3</v>
      </c>
      <c r="K47" s="39" t="s">
        <v>183</v>
      </c>
      <c r="L47" s="33">
        <v>4</v>
      </c>
      <c r="M47" s="41" t="s">
        <v>183</v>
      </c>
      <c r="N47" s="20" t="s">
        <v>72</v>
      </c>
    </row>
    <row r="48" spans="1:18" x14ac:dyDescent="0.3">
      <c r="A48" s="19" t="s">
        <v>73</v>
      </c>
      <c r="B48" s="62">
        <f>SUM(C48,E48)</f>
        <v>57</v>
      </c>
      <c r="C48" s="33">
        <v>57</v>
      </c>
      <c r="D48" s="33">
        <v>1</v>
      </c>
      <c r="E48" s="65">
        <f t="shared" si="24"/>
        <v>0</v>
      </c>
      <c r="F48" s="33" t="s">
        <v>183</v>
      </c>
      <c r="G48" s="39" t="s">
        <v>183</v>
      </c>
      <c r="H48" s="37" t="s">
        <v>183</v>
      </c>
      <c r="I48" s="39" t="s">
        <v>183</v>
      </c>
      <c r="J48" s="37" t="s">
        <v>183</v>
      </c>
      <c r="K48" s="39" t="s">
        <v>183</v>
      </c>
      <c r="L48" s="37" t="s">
        <v>183</v>
      </c>
      <c r="M48" s="40" t="s">
        <v>183</v>
      </c>
      <c r="N48" s="20" t="s">
        <v>74</v>
      </c>
    </row>
    <row r="49" spans="1:16" x14ac:dyDescent="0.3">
      <c r="A49" s="19" t="s">
        <v>75</v>
      </c>
      <c r="B49" s="62">
        <f t="shared" si="23"/>
        <v>914</v>
      </c>
      <c r="C49" s="33">
        <v>905</v>
      </c>
      <c r="D49" s="33">
        <v>50</v>
      </c>
      <c r="E49" s="65">
        <f t="shared" si="24"/>
        <v>9</v>
      </c>
      <c r="F49" s="33" t="s">
        <v>183</v>
      </c>
      <c r="G49" s="39" t="s">
        <v>183</v>
      </c>
      <c r="H49" s="37" t="s">
        <v>183</v>
      </c>
      <c r="I49" s="39" t="s">
        <v>183</v>
      </c>
      <c r="J49" s="37">
        <v>3</v>
      </c>
      <c r="K49" s="39">
        <v>2</v>
      </c>
      <c r="L49" s="37">
        <v>4</v>
      </c>
      <c r="M49" s="40" t="s">
        <v>183</v>
      </c>
      <c r="N49" s="20" t="s">
        <v>76</v>
      </c>
    </row>
    <row r="50" spans="1:16" ht="17.399999999999999" customHeight="1" x14ac:dyDescent="0.3">
      <c r="A50" s="16" t="s">
        <v>77</v>
      </c>
      <c r="B50" s="61">
        <f>SUM(B51:B55)</f>
        <v>2696</v>
      </c>
      <c r="C50" s="49">
        <f>SUM(C51:C55)</f>
        <v>2650</v>
      </c>
      <c r="D50" s="49">
        <f>SUM(D51:D55)</f>
        <v>252</v>
      </c>
      <c r="E50" s="56">
        <f>SUM(E51:E55)</f>
        <v>46</v>
      </c>
      <c r="F50" s="49">
        <f t="shared" ref="F50:H50" si="25">SUM(F51:F55)</f>
        <v>25</v>
      </c>
      <c r="G50" s="49">
        <f t="shared" si="25"/>
        <v>5</v>
      </c>
      <c r="H50" s="56">
        <f t="shared" si="25"/>
        <v>0</v>
      </c>
      <c r="I50" s="49">
        <f>SUM(I51:I55)</f>
        <v>7</v>
      </c>
      <c r="J50" s="49">
        <f t="shared" ref="J50:M50" si="26">SUM(J51:J55)</f>
        <v>1</v>
      </c>
      <c r="K50" s="49">
        <f>SUM(K51:K55)</f>
        <v>0</v>
      </c>
      <c r="L50" s="49">
        <f t="shared" si="26"/>
        <v>13</v>
      </c>
      <c r="M50" s="55">
        <f t="shared" si="26"/>
        <v>0</v>
      </c>
      <c r="N50" s="22" t="s">
        <v>78</v>
      </c>
      <c r="O50" s="22"/>
      <c r="P50" s="22"/>
    </row>
    <row r="51" spans="1:16" x14ac:dyDescent="0.3">
      <c r="A51" s="19" t="s">
        <v>79</v>
      </c>
      <c r="B51" s="62">
        <f t="shared" ref="B51:B55" si="27">SUM(C51,E51)</f>
        <v>565</v>
      </c>
      <c r="C51" s="33">
        <v>547</v>
      </c>
      <c r="D51" s="33">
        <v>93</v>
      </c>
      <c r="E51" s="65">
        <f t="shared" ref="E51:E55" si="28">SUM(F51,H51:M51)</f>
        <v>18</v>
      </c>
      <c r="F51" s="33">
        <v>3</v>
      </c>
      <c r="G51" s="39">
        <v>3</v>
      </c>
      <c r="H51" s="37" t="s">
        <v>183</v>
      </c>
      <c r="I51" s="39">
        <v>7</v>
      </c>
      <c r="J51" s="33" t="s">
        <v>183</v>
      </c>
      <c r="K51" s="39" t="s">
        <v>183</v>
      </c>
      <c r="L51" s="33">
        <v>8</v>
      </c>
      <c r="M51" s="40" t="s">
        <v>183</v>
      </c>
      <c r="N51" s="20" t="s">
        <v>80</v>
      </c>
    </row>
    <row r="52" spans="1:16" x14ac:dyDescent="0.3">
      <c r="A52" s="19" t="s">
        <v>81</v>
      </c>
      <c r="B52" s="62">
        <f t="shared" si="27"/>
        <v>807</v>
      </c>
      <c r="C52" s="33">
        <v>807</v>
      </c>
      <c r="D52" s="33">
        <v>91</v>
      </c>
      <c r="E52" s="65">
        <f t="shared" si="28"/>
        <v>0</v>
      </c>
      <c r="F52" s="33" t="s">
        <v>183</v>
      </c>
      <c r="G52" s="39" t="s">
        <v>183</v>
      </c>
      <c r="H52" s="37" t="s">
        <v>183</v>
      </c>
      <c r="I52" s="39" t="s">
        <v>183</v>
      </c>
      <c r="J52" s="37" t="s">
        <v>183</v>
      </c>
      <c r="K52" s="39" t="s">
        <v>183</v>
      </c>
      <c r="L52" s="37" t="s">
        <v>183</v>
      </c>
      <c r="M52" s="40" t="s">
        <v>183</v>
      </c>
      <c r="N52" s="20" t="s">
        <v>82</v>
      </c>
    </row>
    <row r="53" spans="1:16" x14ac:dyDescent="0.3">
      <c r="A53" s="19" t="s">
        <v>83</v>
      </c>
      <c r="B53" s="62">
        <f t="shared" si="27"/>
        <v>0</v>
      </c>
      <c r="C53" s="33" t="s">
        <v>183</v>
      </c>
      <c r="D53" s="37" t="s">
        <v>183</v>
      </c>
      <c r="E53" s="65">
        <f t="shared" si="28"/>
        <v>0</v>
      </c>
      <c r="F53" s="33" t="s">
        <v>183</v>
      </c>
      <c r="G53" s="39" t="s">
        <v>183</v>
      </c>
      <c r="H53" s="37" t="s">
        <v>183</v>
      </c>
      <c r="I53" s="39" t="s">
        <v>183</v>
      </c>
      <c r="J53" s="37" t="s">
        <v>183</v>
      </c>
      <c r="K53" s="39" t="s">
        <v>183</v>
      </c>
      <c r="L53" s="37" t="s">
        <v>183</v>
      </c>
      <c r="M53" s="40" t="s">
        <v>183</v>
      </c>
      <c r="N53" s="20" t="s">
        <v>84</v>
      </c>
    </row>
    <row r="54" spans="1:16" x14ac:dyDescent="0.3">
      <c r="A54" s="19" t="s">
        <v>85</v>
      </c>
      <c r="B54" s="62">
        <f t="shared" si="27"/>
        <v>1097</v>
      </c>
      <c r="C54" s="33">
        <v>1069</v>
      </c>
      <c r="D54" s="33">
        <v>60</v>
      </c>
      <c r="E54" s="65">
        <f t="shared" si="28"/>
        <v>28</v>
      </c>
      <c r="F54" s="33">
        <v>22</v>
      </c>
      <c r="G54" s="39">
        <v>2</v>
      </c>
      <c r="H54" s="37" t="s">
        <v>183</v>
      </c>
      <c r="I54" s="38" t="s">
        <v>183</v>
      </c>
      <c r="J54" s="33">
        <v>1</v>
      </c>
      <c r="K54" s="39" t="s">
        <v>183</v>
      </c>
      <c r="L54" s="33">
        <v>5</v>
      </c>
      <c r="M54" s="40" t="s">
        <v>183</v>
      </c>
      <c r="N54" s="20" t="s">
        <v>86</v>
      </c>
    </row>
    <row r="55" spans="1:16" x14ac:dyDescent="0.3">
      <c r="A55" s="19" t="s">
        <v>87</v>
      </c>
      <c r="B55" s="62">
        <f t="shared" si="27"/>
        <v>227</v>
      </c>
      <c r="C55" s="33">
        <v>227</v>
      </c>
      <c r="D55" s="33">
        <v>8</v>
      </c>
      <c r="E55" s="65">
        <f t="shared" si="28"/>
        <v>0</v>
      </c>
      <c r="F55" s="33" t="s">
        <v>183</v>
      </c>
      <c r="G55" s="39" t="s">
        <v>183</v>
      </c>
      <c r="H55" s="37" t="s">
        <v>183</v>
      </c>
      <c r="I55" s="39" t="s">
        <v>183</v>
      </c>
      <c r="J55" s="37" t="s">
        <v>183</v>
      </c>
      <c r="K55" s="39" t="s">
        <v>183</v>
      </c>
      <c r="L55" s="37" t="s">
        <v>183</v>
      </c>
      <c r="M55" s="40" t="s">
        <v>183</v>
      </c>
      <c r="N55" s="20" t="s">
        <v>88</v>
      </c>
    </row>
    <row r="56" spans="1:16" ht="16.8" customHeight="1" x14ac:dyDescent="0.3">
      <c r="A56" s="16" t="s">
        <v>89</v>
      </c>
      <c r="B56" s="61">
        <f>SUM(B57:B59)</f>
        <v>67671</v>
      </c>
      <c r="C56" s="49">
        <f>SUM(C57:C59)</f>
        <v>66160</v>
      </c>
      <c r="D56" s="49">
        <f>SUM(D57:D59)</f>
        <v>34680</v>
      </c>
      <c r="E56" s="56">
        <f>SUM(E57:E59)</f>
        <v>1511</v>
      </c>
      <c r="F56" s="49">
        <f t="shared" ref="F56:H56" si="29">SUM(F57:F59)</f>
        <v>568</v>
      </c>
      <c r="G56" s="49">
        <f t="shared" si="29"/>
        <v>301</v>
      </c>
      <c r="H56" s="56">
        <f t="shared" si="29"/>
        <v>14</v>
      </c>
      <c r="I56" s="49">
        <f>SUM(I57:I59)</f>
        <v>88</v>
      </c>
      <c r="J56" s="49">
        <f t="shared" ref="J56:M56" si="30">SUM(J57:J59)</f>
        <v>207</v>
      </c>
      <c r="K56" s="49">
        <f>SUM(K57:K59)</f>
        <v>55</v>
      </c>
      <c r="L56" s="49">
        <f t="shared" si="30"/>
        <v>331</v>
      </c>
      <c r="M56" s="55">
        <f t="shared" si="30"/>
        <v>248</v>
      </c>
      <c r="N56" s="23" t="s">
        <v>90</v>
      </c>
      <c r="O56" s="23"/>
      <c r="P56" s="23"/>
    </row>
    <row r="57" spans="1:16" x14ac:dyDescent="0.3">
      <c r="A57" s="19" t="s">
        <v>91</v>
      </c>
      <c r="B57" s="62">
        <f t="shared" ref="B57:B59" si="31">SUM(C57,E57)</f>
        <v>18558</v>
      </c>
      <c r="C57" s="33">
        <v>18154</v>
      </c>
      <c r="D57" s="33">
        <v>13042</v>
      </c>
      <c r="E57" s="65">
        <f t="shared" ref="E57:E59" si="32">SUM(F57,H57:M57)</f>
        <v>404</v>
      </c>
      <c r="F57" s="33">
        <v>177</v>
      </c>
      <c r="G57" s="38">
        <v>94</v>
      </c>
      <c r="H57" s="37" t="s">
        <v>183</v>
      </c>
      <c r="I57" s="38">
        <v>15</v>
      </c>
      <c r="J57" s="33">
        <v>37</v>
      </c>
      <c r="K57" s="38">
        <v>27</v>
      </c>
      <c r="L57" s="33">
        <v>148</v>
      </c>
      <c r="M57" s="40" t="s">
        <v>183</v>
      </c>
      <c r="N57" s="20" t="s">
        <v>92</v>
      </c>
    </row>
    <row r="58" spans="1:16" x14ac:dyDescent="0.3">
      <c r="A58" s="19" t="s">
        <v>93</v>
      </c>
      <c r="B58" s="62">
        <f>SUM(C58,E58)</f>
        <v>8051</v>
      </c>
      <c r="C58" s="33">
        <v>7678</v>
      </c>
      <c r="D58" s="33">
        <v>1069</v>
      </c>
      <c r="E58" s="65">
        <f t="shared" si="32"/>
        <v>373</v>
      </c>
      <c r="F58" s="33">
        <v>246</v>
      </c>
      <c r="G58" s="38">
        <v>113</v>
      </c>
      <c r="H58" s="33">
        <v>14</v>
      </c>
      <c r="I58" s="38">
        <v>35</v>
      </c>
      <c r="J58" s="33">
        <v>41</v>
      </c>
      <c r="K58" s="38">
        <v>11</v>
      </c>
      <c r="L58" s="33">
        <v>26</v>
      </c>
      <c r="M58" s="40" t="s">
        <v>183</v>
      </c>
      <c r="N58" s="68" t="s">
        <v>94</v>
      </c>
      <c r="O58" s="68"/>
      <c r="P58" s="68"/>
    </row>
    <row r="59" spans="1:16" x14ac:dyDescent="0.3">
      <c r="A59" s="19" t="s">
        <v>95</v>
      </c>
      <c r="B59" s="62">
        <f t="shared" si="31"/>
        <v>41062</v>
      </c>
      <c r="C59" s="33">
        <v>40328</v>
      </c>
      <c r="D59" s="33">
        <v>20569</v>
      </c>
      <c r="E59" s="65">
        <f t="shared" si="32"/>
        <v>734</v>
      </c>
      <c r="F59" s="33">
        <v>145</v>
      </c>
      <c r="G59" s="38">
        <v>94</v>
      </c>
      <c r="H59" s="37" t="s">
        <v>183</v>
      </c>
      <c r="I59" s="38">
        <v>38</v>
      </c>
      <c r="J59" s="33">
        <v>129</v>
      </c>
      <c r="K59" s="38">
        <v>17</v>
      </c>
      <c r="L59" s="33">
        <v>157</v>
      </c>
      <c r="M59" s="41">
        <v>248</v>
      </c>
      <c r="N59" s="20" t="s">
        <v>96</v>
      </c>
    </row>
    <row r="60" spans="1:16" ht="16.350000000000001" customHeight="1" x14ac:dyDescent="0.3">
      <c r="A60" s="16" t="s">
        <v>97</v>
      </c>
      <c r="B60" s="61">
        <f>SUM(B61:B65)</f>
        <v>36067</v>
      </c>
      <c r="C60" s="49">
        <f>SUM(C61:C65)</f>
        <v>34100</v>
      </c>
      <c r="D60" s="49">
        <f>SUM(D61:D65)</f>
        <v>4687</v>
      </c>
      <c r="E60" s="56">
        <f>SUM(E61:E65)</f>
        <v>1967</v>
      </c>
      <c r="F60" s="49">
        <f t="shared" ref="F60:H60" si="33">SUM(F61:F65)</f>
        <v>283</v>
      </c>
      <c r="G60" s="49">
        <f t="shared" si="33"/>
        <v>31</v>
      </c>
      <c r="H60" s="56">
        <f t="shared" si="33"/>
        <v>1</v>
      </c>
      <c r="I60" s="49">
        <f>SUM(I61:I65)</f>
        <v>51</v>
      </c>
      <c r="J60" s="49">
        <f t="shared" ref="J60:M60" si="34">SUM(J61:J65)</f>
        <v>818</v>
      </c>
      <c r="K60" s="49">
        <f>SUM(K61:K65)</f>
        <v>62</v>
      </c>
      <c r="L60" s="49">
        <f t="shared" si="34"/>
        <v>150</v>
      </c>
      <c r="M60" s="55">
        <f t="shared" si="34"/>
        <v>602</v>
      </c>
      <c r="N60" s="23" t="s">
        <v>98</v>
      </c>
      <c r="O60" s="23"/>
      <c r="P60" s="23"/>
    </row>
    <row r="61" spans="1:16" x14ac:dyDescent="0.3">
      <c r="A61" s="19" t="s">
        <v>99</v>
      </c>
      <c r="B61" s="62">
        <f t="shared" ref="B61:B65" si="35">SUM(C61,E61)</f>
        <v>7931</v>
      </c>
      <c r="C61" s="33">
        <v>7714</v>
      </c>
      <c r="D61" s="33">
        <v>396</v>
      </c>
      <c r="E61" s="65">
        <f t="shared" ref="E61:E65" si="36">SUM(F61,H61:M61)</f>
        <v>217</v>
      </c>
      <c r="F61" s="33">
        <v>29</v>
      </c>
      <c r="G61" s="38">
        <v>10</v>
      </c>
      <c r="H61" s="37" t="s">
        <v>183</v>
      </c>
      <c r="I61" s="38">
        <v>4</v>
      </c>
      <c r="J61" s="33">
        <v>27</v>
      </c>
      <c r="K61" s="38">
        <v>52</v>
      </c>
      <c r="L61" s="33">
        <v>5</v>
      </c>
      <c r="M61" s="40">
        <v>100</v>
      </c>
      <c r="N61" s="20" t="s">
        <v>100</v>
      </c>
    </row>
    <row r="62" spans="1:16" x14ac:dyDescent="0.3">
      <c r="A62" s="19" t="s">
        <v>101</v>
      </c>
      <c r="B62" s="62">
        <f t="shared" si="35"/>
        <v>9266</v>
      </c>
      <c r="C62" s="33">
        <v>8839</v>
      </c>
      <c r="D62" s="33">
        <v>665</v>
      </c>
      <c r="E62" s="65">
        <f t="shared" si="36"/>
        <v>427</v>
      </c>
      <c r="F62" s="33">
        <v>38</v>
      </c>
      <c r="G62" s="38">
        <v>6</v>
      </c>
      <c r="H62" s="37" t="s">
        <v>183</v>
      </c>
      <c r="I62" s="38">
        <v>38</v>
      </c>
      <c r="J62" s="33">
        <v>57</v>
      </c>
      <c r="K62" s="38">
        <v>1</v>
      </c>
      <c r="L62" s="33">
        <v>49</v>
      </c>
      <c r="M62" s="40">
        <v>244</v>
      </c>
      <c r="N62" s="20" t="s">
        <v>102</v>
      </c>
    </row>
    <row r="63" spans="1:16" x14ac:dyDescent="0.3">
      <c r="A63" s="19" t="s">
        <v>103</v>
      </c>
      <c r="B63" s="62">
        <f t="shared" si="35"/>
        <v>9783</v>
      </c>
      <c r="C63" s="33">
        <v>9147</v>
      </c>
      <c r="D63" s="33">
        <v>200</v>
      </c>
      <c r="E63" s="65">
        <f t="shared" si="36"/>
        <v>636</v>
      </c>
      <c r="F63" s="33">
        <v>10</v>
      </c>
      <c r="G63" s="38" t="s">
        <v>183</v>
      </c>
      <c r="H63" s="37" t="s">
        <v>183</v>
      </c>
      <c r="I63" s="38" t="s">
        <v>183</v>
      </c>
      <c r="J63" s="33">
        <v>332</v>
      </c>
      <c r="K63" s="38">
        <v>7</v>
      </c>
      <c r="L63" s="33">
        <v>29</v>
      </c>
      <c r="M63" s="41">
        <v>258</v>
      </c>
      <c r="N63" s="20" t="s">
        <v>104</v>
      </c>
    </row>
    <row r="64" spans="1:16" x14ac:dyDescent="0.3">
      <c r="A64" s="19" t="s">
        <v>105</v>
      </c>
      <c r="B64" s="62">
        <f t="shared" si="35"/>
        <v>3948</v>
      </c>
      <c r="C64" s="33">
        <v>3532</v>
      </c>
      <c r="D64" s="33">
        <v>490</v>
      </c>
      <c r="E64" s="65">
        <f t="shared" si="36"/>
        <v>416</v>
      </c>
      <c r="F64" s="33">
        <v>58</v>
      </c>
      <c r="G64" s="38">
        <v>3</v>
      </c>
      <c r="H64" s="37">
        <v>1</v>
      </c>
      <c r="I64" s="38">
        <v>3</v>
      </c>
      <c r="J64" s="33">
        <v>342</v>
      </c>
      <c r="K64" s="38" t="s">
        <v>183</v>
      </c>
      <c r="L64" s="33">
        <v>12</v>
      </c>
      <c r="M64" s="40" t="s">
        <v>183</v>
      </c>
      <c r="N64" s="20" t="s">
        <v>106</v>
      </c>
    </row>
    <row r="65" spans="1:17" x14ac:dyDescent="0.3">
      <c r="A65" s="19" t="s">
        <v>107</v>
      </c>
      <c r="B65" s="62">
        <f t="shared" si="35"/>
        <v>5139</v>
      </c>
      <c r="C65" s="33">
        <v>4868</v>
      </c>
      <c r="D65" s="33">
        <v>2936</v>
      </c>
      <c r="E65" s="65">
        <f t="shared" si="36"/>
        <v>271</v>
      </c>
      <c r="F65" s="33">
        <v>148</v>
      </c>
      <c r="G65" s="38">
        <v>12</v>
      </c>
      <c r="H65" s="37" t="s">
        <v>183</v>
      </c>
      <c r="I65" s="38">
        <v>6</v>
      </c>
      <c r="J65" s="33">
        <v>60</v>
      </c>
      <c r="K65" s="39">
        <v>2</v>
      </c>
      <c r="L65" s="33">
        <v>55</v>
      </c>
      <c r="M65" s="40" t="s">
        <v>183</v>
      </c>
      <c r="N65" s="20" t="s">
        <v>108</v>
      </c>
    </row>
    <row r="66" spans="1:17" ht="15.6" customHeight="1" x14ac:dyDescent="0.3">
      <c r="A66" s="16" t="s">
        <v>109</v>
      </c>
      <c r="B66" s="61">
        <f>SUM(B67:B74)</f>
        <v>18834</v>
      </c>
      <c r="C66" s="49">
        <f>SUM(C67:C74)</f>
        <v>15744</v>
      </c>
      <c r="D66" s="49">
        <f>SUM(D67:D74)</f>
        <v>1945</v>
      </c>
      <c r="E66" s="56">
        <f>SUM(E67:E74)</f>
        <v>3090</v>
      </c>
      <c r="F66" s="49">
        <f t="shared" ref="F66:H66" si="37">SUM(F67:F74)</f>
        <v>2620</v>
      </c>
      <c r="G66" s="49">
        <f t="shared" si="37"/>
        <v>1031</v>
      </c>
      <c r="H66" s="56">
        <f t="shared" si="37"/>
        <v>0</v>
      </c>
      <c r="I66" s="49">
        <f>SUM(I67:I74)</f>
        <v>243</v>
      </c>
      <c r="J66" s="49">
        <f t="shared" ref="J66:M66" si="38">SUM(J67:J74)</f>
        <v>7</v>
      </c>
      <c r="K66" s="49">
        <f>SUM(K67:K74)</f>
        <v>0</v>
      </c>
      <c r="L66" s="49">
        <f t="shared" si="38"/>
        <v>220</v>
      </c>
      <c r="M66" s="55">
        <f t="shared" si="38"/>
        <v>0</v>
      </c>
      <c r="N66" s="22" t="s">
        <v>110</v>
      </c>
      <c r="O66" s="22"/>
      <c r="P66" s="22"/>
    </row>
    <row r="67" spans="1:17" x14ac:dyDescent="0.3">
      <c r="A67" s="24" t="s">
        <v>111</v>
      </c>
      <c r="B67" s="62">
        <f t="shared" ref="B67:B74" si="39">SUM(C67,E67)</f>
        <v>0</v>
      </c>
      <c r="C67" s="33" t="s">
        <v>183</v>
      </c>
      <c r="D67" s="33" t="s">
        <v>183</v>
      </c>
      <c r="E67" s="65">
        <f t="shared" ref="E67:E74" si="40">SUM(F67,H67:M67)</f>
        <v>0</v>
      </c>
      <c r="F67" s="33" t="s">
        <v>183</v>
      </c>
      <c r="G67" s="38" t="s">
        <v>183</v>
      </c>
      <c r="H67" s="37" t="s">
        <v>183</v>
      </c>
      <c r="I67" s="38" t="s">
        <v>183</v>
      </c>
      <c r="J67" s="33" t="s">
        <v>183</v>
      </c>
      <c r="K67" s="39" t="s">
        <v>183</v>
      </c>
      <c r="L67" s="33" t="s">
        <v>183</v>
      </c>
      <c r="M67" s="40" t="s">
        <v>183</v>
      </c>
      <c r="N67" s="87" t="s">
        <v>112</v>
      </c>
      <c r="O67" s="87"/>
      <c r="P67" s="87"/>
      <c r="Q67" s="87"/>
    </row>
    <row r="68" spans="1:17" x14ac:dyDescent="0.3">
      <c r="A68" s="24" t="s">
        <v>113</v>
      </c>
      <c r="B68" s="62">
        <f t="shared" si="39"/>
        <v>66</v>
      </c>
      <c r="C68" s="33">
        <v>29</v>
      </c>
      <c r="D68" s="33">
        <v>8</v>
      </c>
      <c r="E68" s="65">
        <f t="shared" si="40"/>
        <v>37</v>
      </c>
      <c r="F68" s="33">
        <v>21</v>
      </c>
      <c r="G68" s="38">
        <v>8</v>
      </c>
      <c r="H68" s="37" t="s">
        <v>183</v>
      </c>
      <c r="I68" s="39" t="s">
        <v>183</v>
      </c>
      <c r="J68" s="37" t="s">
        <v>183</v>
      </c>
      <c r="K68" s="39" t="s">
        <v>183</v>
      </c>
      <c r="L68" s="33">
        <v>16</v>
      </c>
      <c r="M68" s="40" t="s">
        <v>183</v>
      </c>
      <c r="N68" s="87" t="s">
        <v>114</v>
      </c>
      <c r="O68" s="87"/>
      <c r="P68" s="87"/>
      <c r="Q68" s="87"/>
    </row>
    <row r="69" spans="1:17" x14ac:dyDescent="0.3">
      <c r="A69" s="24" t="s">
        <v>171</v>
      </c>
      <c r="B69" s="62">
        <f t="shared" si="39"/>
        <v>7</v>
      </c>
      <c r="C69" s="33" t="s">
        <v>183</v>
      </c>
      <c r="D69" s="37" t="s">
        <v>183</v>
      </c>
      <c r="E69" s="65">
        <f t="shared" si="40"/>
        <v>7</v>
      </c>
      <c r="F69" s="33">
        <v>7</v>
      </c>
      <c r="G69" s="39">
        <v>2</v>
      </c>
      <c r="H69" s="37" t="s">
        <v>183</v>
      </c>
      <c r="I69" s="39" t="s">
        <v>183</v>
      </c>
      <c r="J69" s="37" t="s">
        <v>183</v>
      </c>
      <c r="K69" s="39" t="s">
        <v>183</v>
      </c>
      <c r="L69" s="33" t="s">
        <v>183</v>
      </c>
      <c r="M69" s="40" t="s">
        <v>183</v>
      </c>
      <c r="N69" s="87" t="s">
        <v>115</v>
      </c>
      <c r="O69" s="87"/>
      <c r="P69" s="87"/>
      <c r="Q69" s="87"/>
    </row>
    <row r="70" spans="1:17" x14ac:dyDescent="0.3">
      <c r="A70" s="24" t="s">
        <v>172</v>
      </c>
      <c r="B70" s="62">
        <f t="shared" si="39"/>
        <v>0</v>
      </c>
      <c r="C70" s="33" t="s">
        <v>183</v>
      </c>
      <c r="D70" s="37" t="s">
        <v>183</v>
      </c>
      <c r="E70" s="65">
        <f t="shared" si="40"/>
        <v>0</v>
      </c>
      <c r="F70" s="33" t="s">
        <v>183</v>
      </c>
      <c r="G70" s="39" t="s">
        <v>183</v>
      </c>
      <c r="H70" s="37" t="s">
        <v>183</v>
      </c>
      <c r="I70" s="39" t="s">
        <v>183</v>
      </c>
      <c r="J70" s="37" t="s">
        <v>183</v>
      </c>
      <c r="K70" s="39" t="s">
        <v>183</v>
      </c>
      <c r="L70" s="33" t="s">
        <v>183</v>
      </c>
      <c r="M70" s="40" t="s">
        <v>183</v>
      </c>
      <c r="N70" s="87" t="s">
        <v>116</v>
      </c>
      <c r="O70" s="87"/>
      <c r="P70" s="87"/>
      <c r="Q70" s="87"/>
    </row>
    <row r="71" spans="1:17" x14ac:dyDescent="0.3">
      <c r="A71" s="24" t="s">
        <v>173</v>
      </c>
      <c r="B71" s="62">
        <f t="shared" si="39"/>
        <v>8954</v>
      </c>
      <c r="C71" s="33">
        <v>6630</v>
      </c>
      <c r="D71" s="33">
        <v>1406</v>
      </c>
      <c r="E71" s="65">
        <f t="shared" si="40"/>
        <v>2324</v>
      </c>
      <c r="F71" s="33">
        <v>1886</v>
      </c>
      <c r="G71" s="38">
        <v>703</v>
      </c>
      <c r="H71" s="37" t="s">
        <v>183</v>
      </c>
      <c r="I71" s="39">
        <v>231</v>
      </c>
      <c r="J71" s="33">
        <v>7</v>
      </c>
      <c r="K71" s="39" t="s">
        <v>183</v>
      </c>
      <c r="L71" s="33">
        <v>200</v>
      </c>
      <c r="M71" s="40" t="s">
        <v>183</v>
      </c>
      <c r="N71" s="87" t="s">
        <v>117</v>
      </c>
      <c r="O71" s="87"/>
      <c r="P71" s="87"/>
      <c r="Q71" s="87"/>
    </row>
    <row r="72" spans="1:17" x14ac:dyDescent="0.3">
      <c r="A72" s="24" t="s">
        <v>174</v>
      </c>
      <c r="B72" s="62">
        <f t="shared" si="39"/>
        <v>6349</v>
      </c>
      <c r="C72" s="33">
        <v>6193</v>
      </c>
      <c r="D72" s="33">
        <v>71</v>
      </c>
      <c r="E72" s="65">
        <f t="shared" si="40"/>
        <v>156</v>
      </c>
      <c r="F72" s="33">
        <v>140</v>
      </c>
      <c r="G72" s="38">
        <v>67</v>
      </c>
      <c r="H72" s="37" t="s">
        <v>183</v>
      </c>
      <c r="I72" s="38">
        <v>12</v>
      </c>
      <c r="J72" s="33" t="s">
        <v>183</v>
      </c>
      <c r="K72" s="39" t="s">
        <v>183</v>
      </c>
      <c r="L72" s="33">
        <v>4</v>
      </c>
      <c r="M72" s="40" t="s">
        <v>183</v>
      </c>
      <c r="N72" s="87" t="s">
        <v>118</v>
      </c>
      <c r="O72" s="87"/>
      <c r="P72" s="87"/>
      <c r="Q72" s="87"/>
    </row>
    <row r="73" spans="1:17" ht="12" customHeight="1" x14ac:dyDescent="0.3">
      <c r="A73" s="24" t="s">
        <v>175</v>
      </c>
      <c r="B73" s="62">
        <f t="shared" si="39"/>
        <v>0</v>
      </c>
      <c r="C73" s="33" t="s">
        <v>183</v>
      </c>
      <c r="D73" s="33" t="s">
        <v>183</v>
      </c>
      <c r="E73" s="65">
        <f t="shared" si="40"/>
        <v>0</v>
      </c>
      <c r="F73" s="33" t="s">
        <v>183</v>
      </c>
      <c r="G73" s="38" t="s">
        <v>183</v>
      </c>
      <c r="H73" s="37" t="s">
        <v>183</v>
      </c>
      <c r="I73" s="38" t="s">
        <v>183</v>
      </c>
      <c r="J73" s="33" t="s">
        <v>183</v>
      </c>
      <c r="K73" s="39" t="s">
        <v>183</v>
      </c>
      <c r="L73" s="33" t="s">
        <v>183</v>
      </c>
      <c r="M73" s="40" t="s">
        <v>183</v>
      </c>
      <c r="N73" s="87" t="s">
        <v>119</v>
      </c>
      <c r="O73" s="87"/>
      <c r="P73" s="87"/>
      <c r="Q73" s="87"/>
    </row>
    <row r="74" spans="1:17" x14ac:dyDescent="0.3">
      <c r="A74" s="24" t="s">
        <v>176</v>
      </c>
      <c r="B74" s="62">
        <f t="shared" si="39"/>
        <v>3458</v>
      </c>
      <c r="C74" s="33">
        <v>2892</v>
      </c>
      <c r="D74" s="33">
        <v>460</v>
      </c>
      <c r="E74" s="65">
        <f t="shared" si="40"/>
        <v>566</v>
      </c>
      <c r="F74" s="33">
        <v>566</v>
      </c>
      <c r="G74" s="38">
        <v>251</v>
      </c>
      <c r="H74" s="37" t="s">
        <v>183</v>
      </c>
      <c r="I74" s="39" t="s">
        <v>183</v>
      </c>
      <c r="J74" s="37" t="s">
        <v>183</v>
      </c>
      <c r="K74" s="39" t="s">
        <v>183</v>
      </c>
      <c r="L74" s="37" t="s">
        <v>183</v>
      </c>
      <c r="M74" s="40" t="s">
        <v>183</v>
      </c>
      <c r="N74" s="87" t="s">
        <v>120</v>
      </c>
      <c r="O74" s="87"/>
      <c r="P74" s="87"/>
      <c r="Q74" s="87"/>
    </row>
    <row r="75" spans="1:17" ht="21" customHeight="1" x14ac:dyDescent="0.3">
      <c r="A75" s="16" t="s">
        <v>121</v>
      </c>
      <c r="B75" s="61">
        <f>SUM(B76:B80)</f>
        <v>5232</v>
      </c>
      <c r="C75" s="49">
        <f>SUM(C76:C80)</f>
        <v>5177</v>
      </c>
      <c r="D75" s="49">
        <f>SUM(D76:D80)</f>
        <v>324</v>
      </c>
      <c r="E75" s="56">
        <f>SUM(E76:E80)</f>
        <v>55</v>
      </c>
      <c r="F75" s="49">
        <f t="shared" ref="F75:H75" si="41">SUM(F76:F80)</f>
        <v>44</v>
      </c>
      <c r="G75" s="49">
        <f t="shared" si="41"/>
        <v>8</v>
      </c>
      <c r="H75" s="56">
        <f t="shared" si="41"/>
        <v>0</v>
      </c>
      <c r="I75" s="49">
        <f>SUM(I76:I80)</f>
        <v>3</v>
      </c>
      <c r="J75" s="49">
        <f t="shared" ref="J75:M75" si="42">SUM(J76:J80)</f>
        <v>4</v>
      </c>
      <c r="K75" s="49">
        <f>SUM(K76:K80)</f>
        <v>4</v>
      </c>
      <c r="L75" s="49">
        <f t="shared" si="42"/>
        <v>0</v>
      </c>
      <c r="M75" s="55">
        <f t="shared" si="42"/>
        <v>0</v>
      </c>
      <c r="N75" s="23" t="s">
        <v>122</v>
      </c>
      <c r="O75" s="23"/>
      <c r="P75" s="23"/>
    </row>
    <row r="76" spans="1:17" x14ac:dyDescent="0.3">
      <c r="A76" s="19" t="s">
        <v>123</v>
      </c>
      <c r="B76" s="62">
        <f t="shared" ref="B76:B80" si="43">SUM(C76,E76)</f>
        <v>1848</v>
      </c>
      <c r="C76" s="33">
        <v>1843</v>
      </c>
      <c r="D76" s="33">
        <v>178</v>
      </c>
      <c r="E76" s="65">
        <f t="shared" ref="E76:E80" si="44">SUM(F76,H76:M76)</f>
        <v>5</v>
      </c>
      <c r="F76" s="33">
        <v>1</v>
      </c>
      <c r="G76" s="38">
        <v>1</v>
      </c>
      <c r="H76" s="37" t="s">
        <v>183</v>
      </c>
      <c r="I76" s="38" t="s">
        <v>183</v>
      </c>
      <c r="J76" s="37" t="s">
        <v>183</v>
      </c>
      <c r="K76" s="39">
        <v>4</v>
      </c>
      <c r="L76" s="37" t="s">
        <v>183</v>
      </c>
      <c r="M76" s="40" t="s">
        <v>183</v>
      </c>
      <c r="N76" s="20" t="s">
        <v>124</v>
      </c>
    </row>
    <row r="77" spans="1:17" x14ac:dyDescent="0.3">
      <c r="A77" s="19" t="s">
        <v>125</v>
      </c>
      <c r="B77" s="62">
        <f t="shared" si="43"/>
        <v>910</v>
      </c>
      <c r="C77" s="33">
        <v>908</v>
      </c>
      <c r="D77" s="33">
        <v>3</v>
      </c>
      <c r="E77" s="65">
        <f t="shared" si="44"/>
        <v>2</v>
      </c>
      <c r="F77" s="33">
        <v>1</v>
      </c>
      <c r="G77" s="38">
        <v>1</v>
      </c>
      <c r="H77" s="37" t="s">
        <v>183</v>
      </c>
      <c r="I77" s="38">
        <v>1</v>
      </c>
      <c r="J77" s="37" t="s">
        <v>183</v>
      </c>
      <c r="K77" s="39" t="s">
        <v>183</v>
      </c>
      <c r="L77" s="37" t="s">
        <v>183</v>
      </c>
      <c r="M77" s="40" t="s">
        <v>183</v>
      </c>
      <c r="N77" s="20" t="s">
        <v>126</v>
      </c>
    </row>
    <row r="78" spans="1:17" x14ac:dyDescent="0.3">
      <c r="A78" s="19" t="s">
        <v>127</v>
      </c>
      <c r="B78" s="62">
        <f t="shared" si="43"/>
        <v>1586</v>
      </c>
      <c r="C78" s="33">
        <v>1586</v>
      </c>
      <c r="D78" s="33">
        <v>36</v>
      </c>
      <c r="E78" s="65">
        <f t="shared" si="44"/>
        <v>0</v>
      </c>
      <c r="F78" s="33" t="s">
        <v>183</v>
      </c>
      <c r="G78" s="39" t="s">
        <v>183</v>
      </c>
      <c r="H78" s="37" t="s">
        <v>183</v>
      </c>
      <c r="I78" s="38" t="s">
        <v>183</v>
      </c>
      <c r="J78" s="37" t="s">
        <v>183</v>
      </c>
      <c r="K78" s="39" t="s">
        <v>183</v>
      </c>
      <c r="L78" s="37" t="s">
        <v>183</v>
      </c>
      <c r="M78" s="40" t="s">
        <v>183</v>
      </c>
      <c r="N78" s="20" t="s">
        <v>128</v>
      </c>
    </row>
    <row r="79" spans="1:17" x14ac:dyDescent="0.3">
      <c r="A79" s="19" t="s">
        <v>129</v>
      </c>
      <c r="B79" s="62">
        <f t="shared" si="43"/>
        <v>496</v>
      </c>
      <c r="C79" s="33">
        <v>452</v>
      </c>
      <c r="D79" s="33">
        <v>61</v>
      </c>
      <c r="E79" s="65">
        <f t="shared" si="44"/>
        <v>44</v>
      </c>
      <c r="F79" s="33">
        <v>38</v>
      </c>
      <c r="G79" s="38">
        <v>6</v>
      </c>
      <c r="H79" s="37" t="s">
        <v>183</v>
      </c>
      <c r="I79" s="38">
        <v>2</v>
      </c>
      <c r="J79" s="33">
        <v>4</v>
      </c>
      <c r="K79" s="39" t="s">
        <v>183</v>
      </c>
      <c r="L79" s="37" t="s">
        <v>183</v>
      </c>
      <c r="M79" s="40" t="s">
        <v>183</v>
      </c>
      <c r="N79" s="20" t="s">
        <v>130</v>
      </c>
    </row>
    <row r="80" spans="1:17" x14ac:dyDescent="0.3">
      <c r="A80" s="19" t="s">
        <v>131</v>
      </c>
      <c r="B80" s="62">
        <f t="shared" si="43"/>
        <v>392</v>
      </c>
      <c r="C80" s="33">
        <v>388</v>
      </c>
      <c r="D80" s="33">
        <v>46</v>
      </c>
      <c r="E80" s="65">
        <f t="shared" si="44"/>
        <v>4</v>
      </c>
      <c r="F80" s="33">
        <v>4</v>
      </c>
      <c r="G80" s="38" t="s">
        <v>183</v>
      </c>
      <c r="H80" s="37" t="s">
        <v>183</v>
      </c>
      <c r="I80" s="38" t="s">
        <v>183</v>
      </c>
      <c r="J80" s="33" t="s">
        <v>183</v>
      </c>
      <c r="K80" s="38" t="s">
        <v>183</v>
      </c>
      <c r="L80" s="33" t="s">
        <v>183</v>
      </c>
      <c r="M80" s="40" t="s">
        <v>183</v>
      </c>
      <c r="N80" s="20" t="s">
        <v>132</v>
      </c>
    </row>
    <row r="81" spans="1:16" ht="16.350000000000001" customHeight="1" x14ac:dyDescent="0.3">
      <c r="A81" s="16" t="s">
        <v>133</v>
      </c>
      <c r="B81" s="61">
        <f>SUM(B82:B94)</f>
        <v>6734</v>
      </c>
      <c r="C81" s="49">
        <f>SUM(C82:C94)</f>
        <v>6597</v>
      </c>
      <c r="D81" s="49">
        <f>SUM(D82:D94)</f>
        <v>726</v>
      </c>
      <c r="E81" s="56">
        <f>SUM(E82:E94)</f>
        <v>137</v>
      </c>
      <c r="F81" s="49">
        <f t="shared" ref="F81:H81" si="45">SUM(F82:F94)</f>
        <v>85</v>
      </c>
      <c r="G81" s="49">
        <f t="shared" si="45"/>
        <v>33</v>
      </c>
      <c r="H81" s="56">
        <f t="shared" si="45"/>
        <v>0</v>
      </c>
      <c r="I81" s="49">
        <f>SUM(I82:I94)</f>
        <v>3</v>
      </c>
      <c r="J81" s="49">
        <f t="shared" ref="J81:M81" si="46">SUM(J82:J94)</f>
        <v>4</v>
      </c>
      <c r="K81" s="49">
        <f>SUM(K82:K94)</f>
        <v>0</v>
      </c>
      <c r="L81" s="49">
        <f t="shared" si="46"/>
        <v>43</v>
      </c>
      <c r="M81" s="55">
        <f t="shared" si="46"/>
        <v>2</v>
      </c>
      <c r="N81" s="22" t="s">
        <v>134</v>
      </c>
      <c r="O81" s="22"/>
      <c r="P81" s="22"/>
    </row>
    <row r="82" spans="1:16" x14ac:dyDescent="0.3">
      <c r="A82" s="19" t="s">
        <v>135</v>
      </c>
      <c r="B82" s="62">
        <f t="shared" ref="B82:B94" si="47">SUM(C82,E82)</f>
        <v>263</v>
      </c>
      <c r="C82" s="33">
        <v>263</v>
      </c>
      <c r="D82" s="33">
        <v>149</v>
      </c>
      <c r="E82" s="65">
        <f t="shared" ref="E82:E94" si="48">SUM(F82,H82:M82)</f>
        <v>0</v>
      </c>
      <c r="F82" s="33" t="s">
        <v>183</v>
      </c>
      <c r="G82" s="39" t="s">
        <v>183</v>
      </c>
      <c r="H82" s="37" t="s">
        <v>183</v>
      </c>
      <c r="I82" s="39" t="s">
        <v>183</v>
      </c>
      <c r="J82" s="37" t="s">
        <v>183</v>
      </c>
      <c r="K82" s="39" t="s">
        <v>183</v>
      </c>
      <c r="L82" s="37" t="s">
        <v>183</v>
      </c>
      <c r="M82" s="40" t="s">
        <v>183</v>
      </c>
      <c r="N82" s="20" t="s">
        <v>136</v>
      </c>
    </row>
    <row r="83" spans="1:16" x14ac:dyDescent="0.3">
      <c r="A83" s="19" t="s">
        <v>137</v>
      </c>
      <c r="B83" s="62">
        <f t="shared" si="47"/>
        <v>810</v>
      </c>
      <c r="C83" s="33">
        <v>810</v>
      </c>
      <c r="D83" s="33">
        <v>7</v>
      </c>
      <c r="E83" s="65">
        <f t="shared" si="48"/>
        <v>0</v>
      </c>
      <c r="F83" s="33" t="s">
        <v>183</v>
      </c>
      <c r="G83" s="39" t="s">
        <v>183</v>
      </c>
      <c r="H83" s="37" t="s">
        <v>183</v>
      </c>
      <c r="I83" s="39" t="s">
        <v>183</v>
      </c>
      <c r="J83" s="37" t="s">
        <v>183</v>
      </c>
      <c r="K83" s="39" t="s">
        <v>183</v>
      </c>
      <c r="L83" s="37" t="s">
        <v>183</v>
      </c>
      <c r="M83" s="40" t="s">
        <v>183</v>
      </c>
      <c r="N83" s="20" t="s">
        <v>138</v>
      </c>
    </row>
    <row r="84" spans="1:16" x14ac:dyDescent="0.3">
      <c r="A84" s="19" t="s">
        <v>139</v>
      </c>
      <c r="B84" s="62">
        <f t="shared" si="47"/>
        <v>1096</v>
      </c>
      <c r="C84" s="33">
        <v>1094</v>
      </c>
      <c r="D84" s="33">
        <v>5</v>
      </c>
      <c r="E84" s="65">
        <f t="shared" si="48"/>
        <v>2</v>
      </c>
      <c r="F84" s="33">
        <v>2</v>
      </c>
      <c r="G84" s="38">
        <v>2</v>
      </c>
      <c r="H84" s="37" t="s">
        <v>183</v>
      </c>
      <c r="I84" s="39" t="s">
        <v>183</v>
      </c>
      <c r="J84" s="33" t="s">
        <v>183</v>
      </c>
      <c r="K84" s="39" t="s">
        <v>183</v>
      </c>
      <c r="L84" s="37" t="s">
        <v>183</v>
      </c>
      <c r="M84" s="40" t="s">
        <v>183</v>
      </c>
      <c r="N84" s="20" t="s">
        <v>140</v>
      </c>
    </row>
    <row r="85" spans="1:16" x14ac:dyDescent="0.3">
      <c r="A85" s="19" t="s">
        <v>141</v>
      </c>
      <c r="B85" s="62">
        <f t="shared" si="47"/>
        <v>648</v>
      </c>
      <c r="C85" s="33">
        <v>643</v>
      </c>
      <c r="D85" s="33">
        <v>6</v>
      </c>
      <c r="E85" s="65">
        <f t="shared" si="48"/>
        <v>5</v>
      </c>
      <c r="F85" s="33">
        <v>3</v>
      </c>
      <c r="G85" s="38" t="s">
        <v>183</v>
      </c>
      <c r="H85" s="37" t="s">
        <v>183</v>
      </c>
      <c r="I85" s="38">
        <v>2</v>
      </c>
      <c r="J85" s="37" t="s">
        <v>183</v>
      </c>
      <c r="K85" s="39" t="s">
        <v>183</v>
      </c>
      <c r="L85" s="37" t="s">
        <v>183</v>
      </c>
      <c r="M85" s="40" t="s">
        <v>183</v>
      </c>
      <c r="N85" s="20" t="s">
        <v>142</v>
      </c>
    </row>
    <row r="86" spans="1:16" x14ac:dyDescent="0.3">
      <c r="A86" s="19" t="s">
        <v>143</v>
      </c>
      <c r="B86" s="62">
        <f t="shared" si="47"/>
        <v>39</v>
      </c>
      <c r="C86" s="33">
        <v>39</v>
      </c>
      <c r="D86" s="33">
        <v>3</v>
      </c>
      <c r="E86" s="65">
        <f t="shared" si="48"/>
        <v>0</v>
      </c>
      <c r="F86" s="33" t="s">
        <v>183</v>
      </c>
      <c r="G86" s="39" t="s">
        <v>183</v>
      </c>
      <c r="H86" s="37" t="s">
        <v>183</v>
      </c>
      <c r="I86" s="39" t="s">
        <v>183</v>
      </c>
      <c r="J86" s="37" t="s">
        <v>183</v>
      </c>
      <c r="K86" s="39" t="s">
        <v>183</v>
      </c>
      <c r="L86" s="37" t="s">
        <v>183</v>
      </c>
      <c r="M86" s="40" t="s">
        <v>183</v>
      </c>
      <c r="N86" s="20" t="s">
        <v>144</v>
      </c>
    </row>
    <row r="87" spans="1:16" x14ac:dyDescent="0.3">
      <c r="A87" s="19" t="s">
        <v>145</v>
      </c>
      <c r="B87" s="62">
        <f t="shared" si="47"/>
        <v>173</v>
      </c>
      <c r="C87" s="33">
        <v>173</v>
      </c>
      <c r="D87" s="37">
        <v>3</v>
      </c>
      <c r="E87" s="65">
        <f t="shared" si="48"/>
        <v>0</v>
      </c>
      <c r="F87" s="33" t="s">
        <v>183</v>
      </c>
      <c r="G87" s="39" t="s">
        <v>183</v>
      </c>
      <c r="H87" s="37" t="s">
        <v>183</v>
      </c>
      <c r="I87" s="39" t="s">
        <v>183</v>
      </c>
      <c r="J87" s="37" t="s">
        <v>183</v>
      </c>
      <c r="K87" s="39" t="s">
        <v>183</v>
      </c>
      <c r="L87" s="37" t="s">
        <v>183</v>
      </c>
      <c r="M87" s="40" t="s">
        <v>183</v>
      </c>
      <c r="N87" s="20" t="s">
        <v>146</v>
      </c>
    </row>
    <row r="88" spans="1:16" x14ac:dyDescent="0.3">
      <c r="A88" s="19" t="s">
        <v>147</v>
      </c>
      <c r="B88" s="62">
        <f t="shared" si="47"/>
        <v>736</v>
      </c>
      <c r="C88" s="33">
        <v>669</v>
      </c>
      <c r="D88" s="33">
        <v>133</v>
      </c>
      <c r="E88" s="65">
        <f t="shared" si="48"/>
        <v>67</v>
      </c>
      <c r="F88" s="33">
        <v>64</v>
      </c>
      <c r="G88" s="38">
        <v>19</v>
      </c>
      <c r="H88" s="37" t="s">
        <v>183</v>
      </c>
      <c r="I88" s="38">
        <v>1</v>
      </c>
      <c r="J88" s="37">
        <v>1</v>
      </c>
      <c r="K88" s="39" t="s">
        <v>183</v>
      </c>
      <c r="L88" s="37">
        <v>1</v>
      </c>
      <c r="M88" s="40" t="s">
        <v>183</v>
      </c>
      <c r="N88" s="20" t="s">
        <v>148</v>
      </c>
    </row>
    <row r="89" spans="1:16" x14ac:dyDescent="0.3">
      <c r="A89" s="19" t="s">
        <v>149</v>
      </c>
      <c r="B89" s="62">
        <f t="shared" si="47"/>
        <v>318</v>
      </c>
      <c r="C89" s="33">
        <v>318</v>
      </c>
      <c r="D89" s="33">
        <v>25</v>
      </c>
      <c r="E89" s="65">
        <f t="shared" si="48"/>
        <v>0</v>
      </c>
      <c r="F89" s="33" t="s">
        <v>183</v>
      </c>
      <c r="G89" s="39" t="s">
        <v>183</v>
      </c>
      <c r="H89" s="37" t="s">
        <v>183</v>
      </c>
      <c r="I89" s="39" t="s">
        <v>183</v>
      </c>
      <c r="J89" s="37" t="s">
        <v>183</v>
      </c>
      <c r="K89" s="39" t="s">
        <v>183</v>
      </c>
      <c r="L89" s="37" t="s">
        <v>183</v>
      </c>
      <c r="M89" s="40" t="s">
        <v>183</v>
      </c>
      <c r="N89" s="20" t="s">
        <v>150</v>
      </c>
    </row>
    <row r="90" spans="1:16" x14ac:dyDescent="0.3">
      <c r="A90" s="19" t="s">
        <v>151</v>
      </c>
      <c r="B90" s="62">
        <f t="shared" si="47"/>
        <v>13</v>
      </c>
      <c r="C90" s="33">
        <v>13</v>
      </c>
      <c r="D90" s="33">
        <v>3</v>
      </c>
      <c r="E90" s="65">
        <f t="shared" si="48"/>
        <v>0</v>
      </c>
      <c r="F90" s="33" t="s">
        <v>183</v>
      </c>
      <c r="G90" s="39" t="s">
        <v>183</v>
      </c>
      <c r="H90" s="37" t="s">
        <v>183</v>
      </c>
      <c r="I90" s="39" t="s">
        <v>183</v>
      </c>
      <c r="J90" s="37" t="s">
        <v>183</v>
      </c>
      <c r="K90" s="39" t="s">
        <v>183</v>
      </c>
      <c r="L90" s="37" t="s">
        <v>183</v>
      </c>
      <c r="M90" s="40" t="s">
        <v>183</v>
      </c>
      <c r="N90" s="20" t="s">
        <v>152</v>
      </c>
    </row>
    <row r="91" spans="1:16" x14ac:dyDescent="0.3">
      <c r="A91" s="19" t="s">
        <v>153</v>
      </c>
      <c r="B91" s="62">
        <f t="shared" si="47"/>
        <v>676</v>
      </c>
      <c r="C91" s="33">
        <v>676</v>
      </c>
      <c r="D91" s="33">
        <v>29</v>
      </c>
      <c r="E91" s="65">
        <f t="shared" si="48"/>
        <v>0</v>
      </c>
      <c r="F91" s="33" t="s">
        <v>183</v>
      </c>
      <c r="G91" s="39" t="s">
        <v>183</v>
      </c>
      <c r="H91" s="37" t="s">
        <v>183</v>
      </c>
      <c r="I91" s="39" t="s">
        <v>183</v>
      </c>
      <c r="J91" s="37" t="s">
        <v>183</v>
      </c>
      <c r="K91" s="39" t="s">
        <v>183</v>
      </c>
      <c r="L91" s="37" t="s">
        <v>183</v>
      </c>
      <c r="M91" s="40" t="s">
        <v>183</v>
      </c>
      <c r="N91" s="20" t="s">
        <v>154</v>
      </c>
    </row>
    <row r="92" spans="1:16" x14ac:dyDescent="0.3">
      <c r="A92" s="19" t="s">
        <v>155</v>
      </c>
      <c r="B92" s="62">
        <f t="shared" si="47"/>
        <v>315</v>
      </c>
      <c r="C92" s="33">
        <v>311</v>
      </c>
      <c r="D92" s="33">
        <v>37</v>
      </c>
      <c r="E92" s="65">
        <f t="shared" si="48"/>
        <v>4</v>
      </c>
      <c r="F92" s="33" t="s">
        <v>183</v>
      </c>
      <c r="G92" s="39" t="s">
        <v>183</v>
      </c>
      <c r="H92" s="37" t="s">
        <v>183</v>
      </c>
      <c r="I92" s="39" t="s">
        <v>183</v>
      </c>
      <c r="J92" s="37">
        <v>3</v>
      </c>
      <c r="K92" s="39" t="s">
        <v>183</v>
      </c>
      <c r="L92" s="37">
        <v>1</v>
      </c>
      <c r="M92" s="40" t="s">
        <v>183</v>
      </c>
      <c r="N92" s="20" t="s">
        <v>156</v>
      </c>
    </row>
    <row r="93" spans="1:16" x14ac:dyDescent="0.3">
      <c r="A93" s="19" t="s">
        <v>157</v>
      </c>
      <c r="B93" s="62">
        <f t="shared" si="47"/>
        <v>1422</v>
      </c>
      <c r="C93" s="33">
        <v>1363</v>
      </c>
      <c r="D93" s="33">
        <v>314</v>
      </c>
      <c r="E93" s="65">
        <f t="shared" si="48"/>
        <v>59</v>
      </c>
      <c r="F93" s="33">
        <v>16</v>
      </c>
      <c r="G93" s="39">
        <v>12</v>
      </c>
      <c r="H93" s="37" t="s">
        <v>183</v>
      </c>
      <c r="I93" s="38" t="s">
        <v>183</v>
      </c>
      <c r="J93" s="37" t="s">
        <v>183</v>
      </c>
      <c r="K93" s="39" t="s">
        <v>183</v>
      </c>
      <c r="L93" s="37">
        <v>41</v>
      </c>
      <c r="M93" s="40">
        <v>2</v>
      </c>
      <c r="N93" s="20" t="s">
        <v>158</v>
      </c>
    </row>
    <row r="94" spans="1:16" x14ac:dyDescent="0.3">
      <c r="A94" s="19" t="s">
        <v>159</v>
      </c>
      <c r="B94" s="62">
        <f t="shared" si="47"/>
        <v>225</v>
      </c>
      <c r="C94" s="33">
        <v>225</v>
      </c>
      <c r="D94" s="33">
        <v>12</v>
      </c>
      <c r="E94" s="65">
        <f t="shared" si="48"/>
        <v>0</v>
      </c>
      <c r="F94" s="33" t="s">
        <v>183</v>
      </c>
      <c r="G94" s="39" t="s">
        <v>183</v>
      </c>
      <c r="H94" s="37" t="s">
        <v>183</v>
      </c>
      <c r="I94" s="39" t="s">
        <v>183</v>
      </c>
      <c r="J94" s="37" t="s">
        <v>183</v>
      </c>
      <c r="K94" s="39" t="s">
        <v>183</v>
      </c>
      <c r="L94" s="37" t="s">
        <v>183</v>
      </c>
      <c r="M94" s="40" t="s">
        <v>183</v>
      </c>
      <c r="N94" s="20" t="s">
        <v>160</v>
      </c>
    </row>
    <row r="95" spans="1:16" ht="20.399999999999999" customHeight="1" x14ac:dyDescent="0.3">
      <c r="A95" s="16" t="s">
        <v>161</v>
      </c>
      <c r="B95" s="61">
        <f>SUM(B96:B99)</f>
        <v>45468</v>
      </c>
      <c r="C95" s="49">
        <f>SUM(C96:C99)</f>
        <v>44339</v>
      </c>
      <c r="D95" s="49">
        <f>SUM(D96:D99)</f>
        <v>30971</v>
      </c>
      <c r="E95" s="56">
        <f>SUM(E96:E99)</f>
        <v>1129</v>
      </c>
      <c r="F95" s="49">
        <f t="shared" ref="F95:G95" si="49">SUM(F96:F99)</f>
        <v>792</v>
      </c>
      <c r="G95" s="49">
        <f t="shared" si="49"/>
        <v>216</v>
      </c>
      <c r="H95" s="56">
        <f>SUM(H96:H99)</f>
        <v>0</v>
      </c>
      <c r="I95" s="49">
        <f>SUM(I96:I99)</f>
        <v>45</v>
      </c>
      <c r="J95" s="49">
        <f t="shared" ref="J95:M95" si="50">SUM(J96:J99)</f>
        <v>93</v>
      </c>
      <c r="K95" s="49">
        <f>SUM(K96:K99)</f>
        <v>99</v>
      </c>
      <c r="L95" s="49">
        <f t="shared" si="50"/>
        <v>61</v>
      </c>
      <c r="M95" s="55">
        <f t="shared" si="50"/>
        <v>39</v>
      </c>
      <c r="N95" s="22" t="s">
        <v>162</v>
      </c>
      <c r="O95" s="22"/>
      <c r="P95" s="22"/>
    </row>
    <row r="96" spans="1:16" x14ac:dyDescent="0.3">
      <c r="A96" s="19" t="s">
        <v>163</v>
      </c>
      <c r="B96" s="62">
        <f t="shared" ref="B96:B99" si="51">SUM(C96,E96)</f>
        <v>17007</v>
      </c>
      <c r="C96" s="33">
        <v>16405</v>
      </c>
      <c r="D96" s="33">
        <v>11509</v>
      </c>
      <c r="E96" s="65">
        <f t="shared" ref="E96:E99" si="52">SUM(F96,H96:M96)</f>
        <v>602</v>
      </c>
      <c r="F96" s="33">
        <v>390</v>
      </c>
      <c r="G96" s="38">
        <v>97</v>
      </c>
      <c r="H96" s="37" t="s">
        <v>183</v>
      </c>
      <c r="I96" s="38">
        <v>27</v>
      </c>
      <c r="J96" s="33">
        <v>44</v>
      </c>
      <c r="K96" s="38">
        <v>98</v>
      </c>
      <c r="L96" s="33">
        <v>40</v>
      </c>
      <c r="M96" s="41">
        <v>3</v>
      </c>
      <c r="N96" s="20" t="s">
        <v>164</v>
      </c>
    </row>
    <row r="97" spans="1:16" x14ac:dyDescent="0.3">
      <c r="A97" s="19" t="s">
        <v>165</v>
      </c>
      <c r="B97" s="62">
        <f t="shared" si="51"/>
        <v>18091</v>
      </c>
      <c r="C97" s="33">
        <v>17743</v>
      </c>
      <c r="D97" s="33">
        <v>15676</v>
      </c>
      <c r="E97" s="65">
        <f t="shared" si="52"/>
        <v>348</v>
      </c>
      <c r="F97" s="33">
        <v>283</v>
      </c>
      <c r="G97" s="38">
        <v>88</v>
      </c>
      <c r="H97" s="37" t="s">
        <v>183</v>
      </c>
      <c r="I97" s="38">
        <v>8</v>
      </c>
      <c r="J97" s="33">
        <v>14</v>
      </c>
      <c r="K97" s="39" t="s">
        <v>183</v>
      </c>
      <c r="L97" s="33">
        <v>7</v>
      </c>
      <c r="M97" s="40">
        <v>36</v>
      </c>
      <c r="N97" s="20" t="s">
        <v>166</v>
      </c>
    </row>
    <row r="98" spans="1:16" x14ac:dyDescent="0.3">
      <c r="A98" s="19" t="s">
        <v>167</v>
      </c>
      <c r="B98" s="62">
        <f t="shared" si="51"/>
        <v>4364</v>
      </c>
      <c r="C98" s="33">
        <v>4232</v>
      </c>
      <c r="D98" s="33">
        <v>402</v>
      </c>
      <c r="E98" s="65">
        <f t="shared" si="52"/>
        <v>132</v>
      </c>
      <c r="F98" s="33">
        <v>104</v>
      </c>
      <c r="G98" s="38">
        <v>27</v>
      </c>
      <c r="H98" s="37" t="s">
        <v>183</v>
      </c>
      <c r="I98" s="38">
        <v>6</v>
      </c>
      <c r="J98" s="37">
        <v>18</v>
      </c>
      <c r="K98" s="39" t="s">
        <v>183</v>
      </c>
      <c r="L98" s="33">
        <v>4</v>
      </c>
      <c r="M98" s="40" t="s">
        <v>183</v>
      </c>
      <c r="N98" s="20" t="s">
        <v>168</v>
      </c>
    </row>
    <row r="99" spans="1:16" ht="15" thickBot="1" x14ac:dyDescent="0.35">
      <c r="A99" s="25" t="s">
        <v>169</v>
      </c>
      <c r="B99" s="64">
        <f t="shared" si="51"/>
        <v>6006</v>
      </c>
      <c r="C99" s="34">
        <v>5959</v>
      </c>
      <c r="D99" s="34">
        <v>3384</v>
      </c>
      <c r="E99" s="66">
        <f t="shared" si="52"/>
        <v>47</v>
      </c>
      <c r="F99" s="34">
        <v>15</v>
      </c>
      <c r="G99" s="42">
        <v>4</v>
      </c>
      <c r="H99" s="43" t="s">
        <v>183</v>
      </c>
      <c r="I99" s="42">
        <v>4</v>
      </c>
      <c r="J99" s="34">
        <v>17</v>
      </c>
      <c r="K99" s="42">
        <v>1</v>
      </c>
      <c r="L99" s="34">
        <v>10</v>
      </c>
      <c r="M99" s="44" t="s">
        <v>183</v>
      </c>
      <c r="N99" s="26" t="s">
        <v>170</v>
      </c>
      <c r="O99" s="27"/>
      <c r="P99" s="27"/>
    </row>
    <row r="100" spans="1:16" ht="31.95" customHeight="1" x14ac:dyDescent="0.3">
      <c r="A100" s="86" t="s">
        <v>181</v>
      </c>
      <c r="B100" s="86"/>
      <c r="C100" s="86"/>
      <c r="D100" s="86"/>
      <c r="I100" s="20"/>
      <c r="M100" s="84" t="s">
        <v>180</v>
      </c>
      <c r="N100" s="85"/>
      <c r="O100" s="85"/>
      <c r="P100" s="85"/>
    </row>
    <row r="101" spans="1:16" x14ac:dyDescent="0.3">
      <c r="B101" s="28"/>
      <c r="C101" s="7"/>
    </row>
    <row r="118" spans="18:18" x14ac:dyDescent="0.3">
      <c r="R118" s="1" t="s">
        <v>7</v>
      </c>
    </row>
  </sheetData>
  <mergeCells count="34">
    <mergeCell ref="J10:M10"/>
    <mergeCell ref="H10:I10"/>
    <mergeCell ref="B7:D7"/>
    <mergeCell ref="B6:D6"/>
    <mergeCell ref="D8:D9"/>
    <mergeCell ref="C8:C9"/>
    <mergeCell ref="B8:B9"/>
    <mergeCell ref="D10:D11"/>
    <mergeCell ref="C10:C11"/>
    <mergeCell ref="B10:B11"/>
    <mergeCell ref="A2:M2"/>
    <mergeCell ref="A3:M3"/>
    <mergeCell ref="M100:P100"/>
    <mergeCell ref="A100:D100"/>
    <mergeCell ref="H8:I8"/>
    <mergeCell ref="N74:Q74"/>
    <mergeCell ref="E8:E9"/>
    <mergeCell ref="N70:Q70"/>
    <mergeCell ref="N71:Q71"/>
    <mergeCell ref="N67:Q67"/>
    <mergeCell ref="N68:Q68"/>
    <mergeCell ref="N69:Q69"/>
    <mergeCell ref="N72:Q72"/>
    <mergeCell ref="N73:Q73"/>
    <mergeCell ref="N6:P11"/>
    <mergeCell ref="N5:P5"/>
    <mergeCell ref="N58:P58"/>
    <mergeCell ref="F8:G8"/>
    <mergeCell ref="A6:A11"/>
    <mergeCell ref="N42:P42"/>
    <mergeCell ref="J8:M8"/>
    <mergeCell ref="E6:M6"/>
    <mergeCell ref="E7:M7"/>
    <mergeCell ref="F10:G10"/>
  </mergeCells>
  <pageMargins left="0.7" right="0.7" top="0.75" bottom="0.75" header="0.3" footer="0.3"/>
  <pageSetup paperSize="9" orientation="portrait" horizontalDpi="200" verticalDpi="200" r:id="rId1"/>
  <ignoredErrors>
    <ignoredError sqref="B17:B19" unlockedFormula="1"/>
    <ignoredError sqref="B20:B29 B59:B99 B31:B46 B48:B57" formula="1" unlockedFormula="1"/>
    <ignoredError sqref="E28:E38 E44:E98 E2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2015-05-08T06:26:32Z</cp:lastPrinted>
  <dcterms:created xsi:type="dcterms:W3CDTF">2015-05-07T09:58:04Z</dcterms:created>
  <dcterms:modified xsi:type="dcterms:W3CDTF">2025-06-11T12:09:27Z</dcterms:modified>
</cp:coreProperties>
</file>