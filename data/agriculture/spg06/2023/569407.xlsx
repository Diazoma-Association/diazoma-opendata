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416B86D0-9A68-483A-8C3E-A784FD49852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1" i="1" l="1"/>
  <c r="K71" i="1"/>
  <c r="G27" i="1"/>
  <c r="G103" i="1"/>
  <c r="G88" i="1"/>
  <c r="G81" i="1"/>
  <c r="G71" i="1"/>
  <c r="F71" i="1"/>
  <c r="E71" i="1"/>
  <c r="G64" i="1"/>
  <c r="G59" i="1"/>
  <c r="G52" i="1"/>
  <c r="G45" i="1"/>
  <c r="G38" i="1"/>
  <c r="G32" i="1"/>
  <c r="G18" i="1"/>
  <c r="G10" i="1"/>
  <c r="G8" i="1" l="1"/>
  <c r="Q103" i="1"/>
  <c r="R103" i="1"/>
  <c r="S103" i="1"/>
  <c r="T103" i="1"/>
  <c r="U103" i="1"/>
  <c r="V103" i="1"/>
  <c r="Q88" i="1"/>
  <c r="R88" i="1"/>
  <c r="S88" i="1"/>
  <c r="T88" i="1"/>
  <c r="U88" i="1"/>
  <c r="V88" i="1"/>
  <c r="Q81" i="1"/>
  <c r="R81" i="1"/>
  <c r="S81" i="1"/>
  <c r="T81" i="1"/>
  <c r="U81" i="1"/>
  <c r="V81" i="1"/>
  <c r="Q71" i="1"/>
  <c r="R71" i="1"/>
  <c r="S71" i="1"/>
  <c r="T71" i="1"/>
  <c r="U71" i="1"/>
  <c r="V71" i="1"/>
  <c r="Q64" i="1"/>
  <c r="R64" i="1"/>
  <c r="S64" i="1"/>
  <c r="T64" i="1"/>
  <c r="U64" i="1"/>
  <c r="V64" i="1"/>
  <c r="Q59" i="1"/>
  <c r="R59" i="1"/>
  <c r="S59" i="1"/>
  <c r="T59" i="1"/>
  <c r="U59" i="1"/>
  <c r="V59" i="1"/>
  <c r="Q52" i="1"/>
  <c r="R52" i="1"/>
  <c r="S52" i="1"/>
  <c r="T52" i="1"/>
  <c r="U52" i="1"/>
  <c r="V52" i="1"/>
  <c r="Q45" i="1"/>
  <c r="R45" i="1"/>
  <c r="S45" i="1"/>
  <c r="T45" i="1"/>
  <c r="U45" i="1"/>
  <c r="V45" i="1"/>
  <c r="Q38" i="1"/>
  <c r="R38" i="1"/>
  <c r="S38" i="1"/>
  <c r="T38" i="1"/>
  <c r="U38" i="1"/>
  <c r="V38" i="1"/>
  <c r="Q32" i="1"/>
  <c r="R32" i="1"/>
  <c r="S32" i="1"/>
  <c r="T32" i="1"/>
  <c r="U32" i="1"/>
  <c r="V32" i="1"/>
  <c r="Q27" i="1"/>
  <c r="R27" i="1"/>
  <c r="S27" i="1"/>
  <c r="T27" i="1"/>
  <c r="U27" i="1"/>
  <c r="V27" i="1"/>
  <c r="Q18" i="1"/>
  <c r="R18" i="1"/>
  <c r="S18" i="1"/>
  <c r="T18" i="1"/>
  <c r="U18" i="1"/>
  <c r="V18" i="1"/>
  <c r="Q10" i="1"/>
  <c r="R10" i="1"/>
  <c r="S10" i="1"/>
  <c r="T10" i="1"/>
  <c r="U10" i="1"/>
  <c r="V10" i="1"/>
  <c r="D10" i="1"/>
  <c r="S8" i="1" l="1"/>
  <c r="Q8" i="1"/>
  <c r="U8" i="1"/>
  <c r="R8" i="1"/>
  <c r="V8" i="1"/>
  <c r="T8" i="1"/>
  <c r="H10" i="1"/>
  <c r="I10" i="1"/>
  <c r="J10" i="1"/>
  <c r="K10" i="1"/>
  <c r="F10" i="1"/>
  <c r="E10" i="1"/>
  <c r="B10" i="1"/>
  <c r="M10" i="1"/>
  <c r="L10" i="1"/>
  <c r="F27" i="1"/>
  <c r="E27" i="1"/>
  <c r="N32" i="1"/>
  <c r="C27" i="1"/>
  <c r="D27" i="1"/>
  <c r="H27" i="1"/>
  <c r="I27" i="1"/>
  <c r="J27" i="1"/>
  <c r="K27" i="1"/>
  <c r="L27" i="1"/>
  <c r="M27" i="1"/>
  <c r="N27" i="1"/>
  <c r="O27" i="1"/>
  <c r="P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27" i="1"/>
  <c r="C18" i="1"/>
  <c r="D18" i="1"/>
  <c r="E18" i="1"/>
  <c r="F18" i="1"/>
  <c r="H18" i="1"/>
  <c r="I18" i="1"/>
  <c r="J18" i="1"/>
  <c r="K18" i="1"/>
  <c r="L18" i="1"/>
  <c r="M18" i="1"/>
  <c r="N18" i="1"/>
  <c r="O18" i="1"/>
  <c r="P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18" i="1"/>
  <c r="Z52" i="1"/>
  <c r="X52" i="1"/>
  <c r="Y52" i="1"/>
  <c r="X38" i="1"/>
  <c r="K103" i="1"/>
  <c r="L103" i="1"/>
  <c r="M103" i="1"/>
  <c r="L88" i="1"/>
  <c r="M88" i="1"/>
  <c r="K88" i="1"/>
  <c r="L81" i="1"/>
  <c r="M81" i="1"/>
  <c r="K81" i="1"/>
  <c r="L71" i="1"/>
  <c r="M71" i="1"/>
  <c r="L64" i="1"/>
  <c r="M64" i="1"/>
  <c r="K64" i="1"/>
  <c r="L59" i="1"/>
  <c r="M59" i="1"/>
  <c r="K59" i="1"/>
  <c r="L52" i="1"/>
  <c r="M52" i="1"/>
  <c r="K52" i="1"/>
  <c r="L45" i="1"/>
  <c r="M45" i="1"/>
  <c r="K45" i="1"/>
  <c r="L38" i="1"/>
  <c r="M38" i="1"/>
  <c r="K38" i="1"/>
  <c r="L32" i="1"/>
  <c r="M32" i="1"/>
  <c r="K32" i="1"/>
  <c r="H103" i="1"/>
  <c r="I103" i="1"/>
  <c r="J103" i="1"/>
  <c r="H88" i="1"/>
  <c r="I88" i="1"/>
  <c r="J88" i="1"/>
  <c r="H81" i="1"/>
  <c r="I81" i="1"/>
  <c r="J81" i="1"/>
  <c r="H71" i="1"/>
  <c r="I71" i="1"/>
  <c r="H64" i="1"/>
  <c r="I64" i="1"/>
  <c r="J64" i="1"/>
  <c r="H59" i="1"/>
  <c r="I59" i="1"/>
  <c r="J59" i="1"/>
  <c r="H52" i="1"/>
  <c r="I52" i="1"/>
  <c r="J52" i="1"/>
  <c r="H45" i="1"/>
  <c r="I45" i="1"/>
  <c r="J45" i="1"/>
  <c r="H38" i="1"/>
  <c r="I38" i="1"/>
  <c r="J38" i="1"/>
  <c r="H32" i="1"/>
  <c r="I32" i="1"/>
  <c r="J32" i="1"/>
  <c r="E103" i="1"/>
  <c r="F103" i="1"/>
  <c r="E81" i="1"/>
  <c r="F81" i="1"/>
  <c r="E88" i="1"/>
  <c r="F88" i="1"/>
  <c r="E64" i="1"/>
  <c r="F64" i="1"/>
  <c r="E59" i="1"/>
  <c r="F59" i="1"/>
  <c r="E52" i="1"/>
  <c r="F52" i="1"/>
  <c r="E45" i="1"/>
  <c r="F45" i="1"/>
  <c r="E38" i="1"/>
  <c r="F38" i="1"/>
  <c r="E32" i="1"/>
  <c r="F32" i="1"/>
  <c r="C103" i="1"/>
  <c r="D103" i="1"/>
  <c r="C88" i="1"/>
  <c r="D88" i="1"/>
  <c r="C81" i="1"/>
  <c r="D81" i="1"/>
  <c r="C71" i="1"/>
  <c r="D71" i="1"/>
  <c r="C64" i="1"/>
  <c r="D64" i="1"/>
  <c r="C59" i="1"/>
  <c r="D59" i="1"/>
  <c r="C52" i="1"/>
  <c r="D52" i="1"/>
  <c r="C45" i="1"/>
  <c r="D45" i="1"/>
  <c r="C38" i="1"/>
  <c r="D38" i="1"/>
  <c r="C32" i="1"/>
  <c r="D32" i="1"/>
  <c r="C10" i="1"/>
  <c r="B32" i="1"/>
  <c r="B38" i="1"/>
  <c r="B45" i="1"/>
  <c r="B52" i="1"/>
  <c r="B59" i="1"/>
  <c r="B64" i="1"/>
  <c r="B71" i="1"/>
  <c r="B81" i="1"/>
  <c r="B88" i="1"/>
  <c r="B103" i="1"/>
  <c r="BA103" i="1"/>
  <c r="AZ103" i="1"/>
  <c r="AY103" i="1"/>
  <c r="AX103" i="1"/>
  <c r="AW103" i="1"/>
  <c r="AV103" i="1"/>
  <c r="AU103" i="1"/>
  <c r="AT103" i="1"/>
  <c r="AS103" i="1"/>
  <c r="AR103" i="1"/>
  <c r="BA88" i="1"/>
  <c r="AZ88" i="1"/>
  <c r="AY88" i="1"/>
  <c r="AX88" i="1"/>
  <c r="AW88" i="1"/>
  <c r="AV88" i="1"/>
  <c r="AU88" i="1"/>
  <c r="AT88" i="1"/>
  <c r="AS88" i="1"/>
  <c r="AR88" i="1"/>
  <c r="BA81" i="1"/>
  <c r="AZ81" i="1"/>
  <c r="AY81" i="1"/>
  <c r="AX81" i="1"/>
  <c r="AW81" i="1"/>
  <c r="AV81" i="1"/>
  <c r="AU81" i="1"/>
  <c r="AT81" i="1"/>
  <c r="AS81" i="1"/>
  <c r="AR81" i="1"/>
  <c r="BA71" i="1"/>
  <c r="AZ71" i="1"/>
  <c r="AY71" i="1"/>
  <c r="AX71" i="1"/>
  <c r="AW71" i="1"/>
  <c r="AV71" i="1"/>
  <c r="AU71" i="1"/>
  <c r="AT71" i="1"/>
  <c r="AS71" i="1"/>
  <c r="AR71" i="1"/>
  <c r="BA64" i="1"/>
  <c r="AZ64" i="1"/>
  <c r="AY64" i="1"/>
  <c r="AX64" i="1"/>
  <c r="AW64" i="1"/>
  <c r="AV64" i="1"/>
  <c r="AU64" i="1"/>
  <c r="AT64" i="1"/>
  <c r="AS64" i="1"/>
  <c r="AR64" i="1"/>
  <c r="BA59" i="1"/>
  <c r="AZ59" i="1"/>
  <c r="AY59" i="1"/>
  <c r="AX59" i="1"/>
  <c r="AW59" i="1"/>
  <c r="AV59" i="1"/>
  <c r="AU59" i="1"/>
  <c r="AT59" i="1"/>
  <c r="AS59" i="1"/>
  <c r="AR59" i="1"/>
  <c r="BA52" i="1"/>
  <c r="AZ52" i="1"/>
  <c r="AY52" i="1"/>
  <c r="AX52" i="1"/>
  <c r="AW52" i="1"/>
  <c r="AV52" i="1"/>
  <c r="AU52" i="1"/>
  <c r="AT52" i="1"/>
  <c r="AS52" i="1"/>
  <c r="AR52" i="1"/>
  <c r="BA45" i="1"/>
  <c r="AZ45" i="1"/>
  <c r="AY45" i="1"/>
  <c r="AX45" i="1"/>
  <c r="AW45" i="1"/>
  <c r="AV45" i="1"/>
  <c r="AU45" i="1"/>
  <c r="AT45" i="1"/>
  <c r="AS45" i="1"/>
  <c r="AR45" i="1"/>
  <c r="BA38" i="1"/>
  <c r="AZ38" i="1"/>
  <c r="AY38" i="1"/>
  <c r="AX38" i="1"/>
  <c r="AW38" i="1"/>
  <c r="AV38" i="1"/>
  <c r="AU38" i="1"/>
  <c r="AT38" i="1"/>
  <c r="AS38" i="1"/>
  <c r="AR38" i="1"/>
  <c r="BA32" i="1"/>
  <c r="AZ32" i="1"/>
  <c r="AY32" i="1"/>
  <c r="AX32" i="1"/>
  <c r="AW32" i="1"/>
  <c r="AV32" i="1"/>
  <c r="AU32" i="1"/>
  <c r="AT32" i="1"/>
  <c r="AS32" i="1"/>
  <c r="AR32" i="1"/>
  <c r="BA10" i="1"/>
  <c r="AZ10" i="1"/>
  <c r="AY10" i="1"/>
  <c r="AX10" i="1"/>
  <c r="AW10" i="1"/>
  <c r="AV10" i="1"/>
  <c r="AU10" i="1"/>
  <c r="AT10" i="1"/>
  <c r="AS10" i="1"/>
  <c r="AR10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3" i="1"/>
  <c r="AD103" i="1"/>
  <c r="AC103" i="1"/>
  <c r="AB103" i="1"/>
  <c r="AA103" i="1"/>
  <c r="Z103" i="1"/>
  <c r="Y103" i="1"/>
  <c r="X103" i="1"/>
  <c r="W103" i="1"/>
  <c r="P103" i="1"/>
  <c r="O103" i="1"/>
  <c r="N103" i="1"/>
  <c r="AE88" i="1"/>
  <c r="AD88" i="1"/>
  <c r="AC88" i="1"/>
  <c r="AB88" i="1"/>
  <c r="AA88" i="1"/>
  <c r="Z88" i="1"/>
  <c r="Y88" i="1"/>
  <c r="X88" i="1"/>
  <c r="W88" i="1"/>
  <c r="P88" i="1"/>
  <c r="O88" i="1"/>
  <c r="N88" i="1"/>
  <c r="AE81" i="1"/>
  <c r="AD81" i="1"/>
  <c r="AC81" i="1"/>
  <c r="AB81" i="1"/>
  <c r="AA81" i="1"/>
  <c r="Z81" i="1"/>
  <c r="Y81" i="1"/>
  <c r="X81" i="1"/>
  <c r="W81" i="1"/>
  <c r="P81" i="1"/>
  <c r="O81" i="1"/>
  <c r="N81" i="1"/>
  <c r="AE71" i="1"/>
  <c r="AD71" i="1"/>
  <c r="AC71" i="1"/>
  <c r="AB71" i="1"/>
  <c r="AA71" i="1"/>
  <c r="Z71" i="1"/>
  <c r="Y71" i="1"/>
  <c r="X71" i="1"/>
  <c r="W71" i="1"/>
  <c r="P71" i="1"/>
  <c r="O71" i="1"/>
  <c r="N71" i="1"/>
  <c r="AE64" i="1"/>
  <c r="AD64" i="1"/>
  <c r="AC64" i="1"/>
  <c r="AB64" i="1"/>
  <c r="AA64" i="1"/>
  <c r="Z64" i="1"/>
  <c r="Y64" i="1"/>
  <c r="X64" i="1"/>
  <c r="W64" i="1"/>
  <c r="P64" i="1"/>
  <c r="O64" i="1"/>
  <c r="N64" i="1"/>
  <c r="AE59" i="1"/>
  <c r="AD59" i="1"/>
  <c r="AC59" i="1"/>
  <c r="AB59" i="1"/>
  <c r="AA59" i="1"/>
  <c r="Z59" i="1"/>
  <c r="Y59" i="1"/>
  <c r="X59" i="1"/>
  <c r="W59" i="1"/>
  <c r="P59" i="1"/>
  <c r="O59" i="1"/>
  <c r="N59" i="1"/>
  <c r="AE52" i="1"/>
  <c r="AD52" i="1"/>
  <c r="AC52" i="1"/>
  <c r="AB52" i="1"/>
  <c r="AA52" i="1"/>
  <c r="W52" i="1"/>
  <c r="P52" i="1"/>
  <c r="O52" i="1"/>
  <c r="N52" i="1"/>
  <c r="AE45" i="1"/>
  <c r="AD45" i="1"/>
  <c r="AC45" i="1"/>
  <c r="AB45" i="1"/>
  <c r="AA45" i="1"/>
  <c r="Z45" i="1"/>
  <c r="Y45" i="1"/>
  <c r="X45" i="1"/>
  <c r="W45" i="1"/>
  <c r="P45" i="1"/>
  <c r="O45" i="1"/>
  <c r="N45" i="1"/>
  <c r="AE38" i="1"/>
  <c r="AD38" i="1"/>
  <c r="AC38" i="1"/>
  <c r="AB38" i="1"/>
  <c r="AA38" i="1"/>
  <c r="Z38" i="1"/>
  <c r="Y38" i="1"/>
  <c r="W38" i="1"/>
  <c r="P38" i="1"/>
  <c r="O38" i="1"/>
  <c r="N38" i="1"/>
  <c r="AE32" i="1"/>
  <c r="AD32" i="1"/>
  <c r="AC32" i="1"/>
  <c r="AB32" i="1"/>
  <c r="AA32" i="1"/>
  <c r="Z32" i="1"/>
  <c r="Y32" i="1"/>
  <c r="X32" i="1"/>
  <c r="W32" i="1"/>
  <c r="P32" i="1"/>
  <c r="O32" i="1"/>
  <c r="AE10" i="1"/>
  <c r="AD10" i="1"/>
  <c r="AC10" i="1"/>
  <c r="AB10" i="1"/>
  <c r="AA10" i="1"/>
  <c r="Z10" i="1"/>
  <c r="Y10" i="1"/>
  <c r="X10" i="1"/>
  <c r="W10" i="1"/>
  <c r="P10" i="1"/>
  <c r="O10" i="1"/>
  <c r="N10" i="1"/>
  <c r="AF8" i="1" l="1"/>
  <c r="AH8" i="1"/>
  <c r="AJ8" i="1"/>
  <c r="AL8" i="1"/>
  <c r="AP8" i="1"/>
  <c r="AT8" i="1"/>
  <c r="AV8" i="1"/>
  <c r="AX8" i="1"/>
  <c r="AZ8" i="1"/>
  <c r="D8" i="1"/>
  <c r="J8" i="1"/>
  <c r="H8" i="1"/>
  <c r="M8" i="1"/>
  <c r="I8" i="1"/>
  <c r="AR8" i="1"/>
  <c r="AN8" i="1"/>
  <c r="AG8" i="1"/>
  <c r="AI8" i="1"/>
  <c r="AK8" i="1"/>
  <c r="AM8" i="1"/>
  <c r="AO8" i="1"/>
  <c r="AQ8" i="1"/>
  <c r="AS8" i="1"/>
  <c r="AU8" i="1"/>
  <c r="AW8" i="1"/>
  <c r="AY8" i="1"/>
  <c r="BA8" i="1"/>
  <c r="C8" i="1"/>
  <c r="N8" i="1"/>
  <c r="P8" i="1"/>
  <c r="X8" i="1"/>
  <c r="Z8" i="1"/>
  <c r="AB8" i="1"/>
  <c r="AD8" i="1"/>
  <c r="E8" i="1"/>
  <c r="O8" i="1"/>
  <c r="F8" i="1"/>
  <c r="W8" i="1"/>
  <c r="Y8" i="1"/>
  <c r="AA8" i="1"/>
  <c r="AC8" i="1"/>
  <c r="AE8" i="1"/>
  <c r="L8" i="1"/>
  <c r="K8" i="1"/>
  <c r="B8" i="1"/>
</calcChain>
</file>

<file path=xl/sharedStrings.xml><?xml version="1.0" encoding="utf-8"?>
<sst xmlns="http://schemas.openxmlformats.org/spreadsheetml/2006/main" count="1075" uniqueCount="225">
  <si>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</si>
  <si>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</si>
  <si>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</si>
  <si>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</si>
  <si>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</si>
  <si>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</si>
  <si>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</si>
  <si>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</si>
  <si>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</si>
  <si>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</si>
  <si>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</si>
  <si>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</si>
  <si>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</si>
  <si>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</si>
  <si>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</si>
  <si>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</si>
  <si>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</si>
  <si>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</si>
  <si>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</si>
  <si>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</si>
  <si>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</si>
  <si>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</si>
  <si>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</si>
  <si>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</si>
  <si>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</si>
  <si>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</si>
  <si>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</si>
  <si>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</si>
  <si>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</si>
  <si>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</si>
  <si>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</si>
  <si>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</si>
  <si>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</si>
  <si>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</si>
  <si>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</si>
  <si>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</si>
  <si>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</si>
  <si>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</si>
  <si>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</si>
  <si>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</si>
  <si>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</si>
  <si>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</si>
  <si>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</si>
  <si>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</si>
  <si>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</si>
  <si>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</si>
  <si>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</si>
  <si>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</si>
  <si>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</si>
  <si>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</si>
  <si>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</si>
  <si>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</si>
  <si>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</si>
  <si>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</si>
  <si>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</si>
  <si>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</si>
  <si>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</si>
  <si>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</si>
  <si>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</si>
  <si>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</si>
  <si>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</si>
  <si>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</si>
  <si>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</si>
  <si>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</si>
  <si>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</si>
  <si>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</si>
  <si>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</si>
  <si>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</si>
  <si>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</si>
  <si>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</si>
  <si>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</si>
  <si>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</si>
  <si>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</si>
  <si>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</si>
  <si>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</si>
  <si>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</si>
  <si>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</si>
  <si>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</si>
  <si>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</si>
  <si>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</si>
  <si>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</si>
  <si>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</si>
  <si>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</si>
  <si>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</si>
  <si>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</si>
  <si>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</si>
  <si>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</si>
  <si>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</si>
  <si>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</si>
  <si>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</si>
  <si>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</si>
  <si>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</si>
  <si>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</si>
  <si>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</si>
  <si>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</si>
  <si>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</si>
  <si>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</si>
  <si>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</si>
  <si>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</si>
  <si>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</si>
  <si>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</si>
  <si>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</si>
  <si>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</si>
  <si>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</si>
  <si>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</si>
  <si>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</si>
  <si>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</si>
  <si>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</si>
  <si>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</si>
  <si>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</si>
  <si>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3=συνολικός αριθμός δένδρων</t>
  </si>
  <si>
    <t>3=total number of trees</t>
  </si>
  <si>
    <t>4=δένδρα κανονικών δενδρώνων</t>
  </si>
  <si>
    <t>4=trees in compact plantations</t>
  </si>
  <si>
    <t>5α - 5a</t>
  </si>
  <si>
    <t>5β - 5b</t>
  </si>
  <si>
    <t>5=παραγωγή όλων των δένδρων (5α βρώσιμων ελιών, 5β για ελαιοποίηση)</t>
  </si>
  <si>
    <t>5=production of all trees (5a edible olives, 5b for olive oil)</t>
  </si>
  <si>
    <t>Παραγωγή σε τόνους</t>
  </si>
  <si>
    <t>Region of Western Macedonia</t>
  </si>
  <si>
    <t>Περιφέρεια Δυτικής Μακεδονίας</t>
  </si>
  <si>
    <t>Areas in stremmas (1 stremma = 0.1 ha)</t>
  </si>
  <si>
    <t>—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</si>
  <si>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</si>
  <si>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</si>
  <si>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</si>
  <si>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</si>
  <si>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</si>
  <si>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</si>
  <si>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</si>
  <si>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</si>
  <si>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</si>
  <si>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</si>
  <si>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</si>
  <si>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</si>
  <si>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</si>
  <si>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</si>
  <si>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</si>
  <si>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</si>
  <si>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</si>
  <si>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</si>
  <si>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</si>
  <si>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</si>
  <si>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</si>
  <si>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</si>
  <si>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</si>
  <si>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</si>
  <si>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</si>
  <si>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</si>
  <si>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</si>
  <si>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</si>
  <si>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</si>
  <si>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</si>
  <si>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</si>
  <si>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</si>
  <si>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</si>
  <si>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</si>
  <si>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</si>
  <si>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</si>
  <si>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</si>
  <si>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</si>
  <si>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</si>
  <si>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</si>
  <si>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</si>
  <si>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</si>
  <si>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</si>
  <si>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</si>
  <si>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</si>
  <si>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</si>
  <si>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</si>
  <si>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</si>
  <si>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</si>
  <si>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</si>
  <si>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</si>
  <si>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</si>
  <si>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</si>
  <si>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</si>
  <si>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</si>
  <si>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</si>
  <si>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</si>
  <si>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</si>
  <si>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</si>
  <si>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</si>
  <si>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</si>
  <si>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</si>
  <si>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</si>
  <si>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</si>
  <si>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</si>
  <si>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</si>
  <si>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Λεμονιές</t>
  </si>
  <si>
    <t>Lemon trees</t>
  </si>
  <si>
    <t>Orange trees</t>
  </si>
  <si>
    <t>Πορτοκαλιές</t>
  </si>
  <si>
    <t>Μανταρινιές</t>
  </si>
  <si>
    <t>Mandarin trees</t>
  </si>
  <si>
    <t>Αχλαδιές</t>
  </si>
  <si>
    <t>Pear trees</t>
  </si>
  <si>
    <t>Μηλιές</t>
  </si>
  <si>
    <t>Apple trees</t>
  </si>
  <si>
    <t>Ακτινίδια</t>
  </si>
  <si>
    <t>Kiwi trees</t>
  </si>
  <si>
    <t>Ροδιές</t>
  </si>
  <si>
    <t>Pomegranate trees</t>
  </si>
  <si>
    <t>Ροδακινιές - Νεκταρινιές</t>
  </si>
  <si>
    <t>Peach - Nectarine trees</t>
  </si>
  <si>
    <t>Βερικοκιές</t>
  </si>
  <si>
    <t>Apricot trees</t>
  </si>
  <si>
    <t>Κερασιές</t>
  </si>
  <si>
    <t>Cherry trees</t>
  </si>
  <si>
    <t>Συκιές για νωπά σύκα</t>
  </si>
  <si>
    <t>Fig trees, fresh</t>
  </si>
  <si>
    <t>Συκιές για ξηρά σύκα</t>
  </si>
  <si>
    <t>Fig trees, dry</t>
  </si>
  <si>
    <t>Αμυγδαλιές</t>
  </si>
  <si>
    <t>Almond trees</t>
  </si>
  <si>
    <t>Καρυδιές</t>
  </si>
  <si>
    <t>Walnut trees</t>
  </si>
  <si>
    <t>Καστανιές</t>
  </si>
  <si>
    <t>Chestnut trees</t>
  </si>
  <si>
    <t>Φιστικιές</t>
  </si>
  <si>
    <t>Pistachio trees</t>
  </si>
  <si>
    <t>Ελιές</t>
  </si>
  <si>
    <t>Olive trees</t>
  </si>
  <si>
    <t>Table 5b. Tree crops. Number of trees and tree production, by Region and Regional Unities, 2023</t>
  </si>
  <si>
    <t>Πίνακας 5β. Δενδρώδεις Καλλιέργειες. Αριθμός δένδρων και παραγωγή δενδρωδών καλλιεργειών, κατά Περιφέρεια και Περιφερειακή Ενότητα,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</si>
</sst>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7"/>
      <name val="Arial"/>
      <family val="2"/>
      <charset val="161"/>
    </font>
    <font>
      <sz val="9"/>
      <color theme="1"/>
      <name val="Arial"/>
      <family val="2"/>
      <charset val="161"/>
    </font>
    <font>
      <b/>
      <sz val="9"/>
      <name val="Arial"/>
      <family val="2"/>
      <charset val="161"/>
    </font>
    <font>
      <sz val="10"/>
      <color theme="1"/>
      <name val="Arial"/>
      <family val="2"/>
      <charset val="161"/>
    </font>
    <font>
      <b/>
      <sz val="10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  <xf numFmtId="0" fontId="2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3" fontId="6" fillId="2" borderId="7" xfId="0" applyNumberFormat="1" applyFont="1" applyFill="1" applyBorder="1" applyAlignment="1">
      <alignment horizontal="right" vertical="center"/>
    </xf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3" fontId="6" fillId="2" borderId="26" xfId="0" applyNumberFormat="1" applyFont="1" applyFill="1" applyBorder="1" applyAlignment="1">
      <alignment horizontal="right" vertical="center"/>
    </xf>
    <xf numFmtId="3" fontId="6" fillId="2" borderId="27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7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3" fontId="3" fillId="0" borderId="0" xfId="0" applyNumberFormat="1" applyFont="1" applyAlignment="1">
      <alignment horizontal="right" vertical="top" wrapText="1"/>
    </xf>
    <xf numFmtId="3" fontId="3" fillId="0" borderId="7" xfId="0" applyNumberFormat="1" applyFont="1" applyBorder="1" applyAlignment="1">
      <alignment horizontal="right" vertical="top" wrapText="1"/>
    </xf>
    <xf numFmtId="0" fontId="3" fillId="0" borderId="26" xfId="0" applyFont="1" applyBorder="1" applyAlignment="1">
      <alignment horizontal="right" vertical="top" wrapText="1"/>
    </xf>
    <xf numFmtId="3" fontId="3" fillId="0" borderId="22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3" fontId="3" fillId="0" borderId="26" xfId="0" applyNumberFormat="1" applyFont="1" applyBorder="1" applyAlignment="1">
      <alignment horizontal="right" vertical="top" wrapText="1"/>
    </xf>
    <xf numFmtId="3" fontId="3" fillId="0" borderId="28" xfId="0" applyNumberFormat="1" applyFont="1" applyBorder="1" applyAlignment="1">
      <alignment horizontal="right" vertical="top" wrapText="1"/>
    </xf>
    <xf numFmtId="3" fontId="3" fillId="0" borderId="1" xfId="0" applyNumberFormat="1" applyFont="1" applyBorder="1" applyAlignment="1">
      <alignment horizontal="right" vertical="top" wrapText="1"/>
    </xf>
    <xf numFmtId="3" fontId="3" fillId="0" borderId="29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29" xfId="0" applyFont="1" applyBorder="1" applyAlignment="1">
      <alignment horizontal="right" vertical="top" wrapText="1"/>
    </xf>
    <xf numFmtId="3" fontId="3" fillId="0" borderId="30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left" wrapText="1" indent="1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12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1" xfId="0" applyFont="1" applyBorder="1"/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/>
    </xf>
    <xf numFmtId="49" fontId="12" fillId="0" borderId="0" xfId="0" applyNumberFormat="1" applyFont="1" applyAlignment="1">
      <alignment vertical="center" wrapText="1"/>
    </xf>
    <xf numFmtId="49" fontId="14" fillId="0" borderId="0" xfId="0" applyNumberFormat="1" applyFont="1" applyAlignment="1" applyProtection="1">
      <alignment horizontal="left" vertical="center" wrapText="1" indent="1"/>
      <protection locked="0"/>
    </xf>
    <xf numFmtId="49" fontId="13" fillId="0" borderId="1" xfId="0" applyNumberFormat="1" applyFont="1" applyBorder="1" applyAlignment="1">
      <alignment horizontal="left" wrapText="1" indent="1"/>
    </xf>
    <xf numFmtId="49" fontId="13" fillId="0" borderId="0" xfId="0" applyNumberFormat="1" applyFont="1" applyAlignment="1">
      <alignment vertical="center"/>
    </xf>
    <xf numFmtId="49" fontId="13" fillId="0" borderId="0" xfId="0" applyNumberFormat="1" applyFont="1"/>
    <xf numFmtId="3" fontId="15" fillId="0" borderId="7" xfId="0" applyNumberFormat="1" applyFont="1" applyBorder="1" applyAlignment="1">
      <alignment horizontal="right" vertical="top"/>
    </xf>
    <xf numFmtId="3" fontId="15" fillId="0" borderId="0" xfId="0" applyNumberFormat="1" applyFont="1" applyAlignment="1">
      <alignment horizontal="right" vertical="top"/>
    </xf>
    <xf numFmtId="3" fontId="15" fillId="0" borderId="26" xfId="0" applyNumberFormat="1" applyFont="1" applyBorder="1" applyAlignment="1">
      <alignment horizontal="right" vertical="top"/>
    </xf>
    <xf numFmtId="3" fontId="15" fillId="0" borderId="28" xfId="0" applyNumberFormat="1" applyFont="1" applyBorder="1" applyAlignment="1">
      <alignment horizontal="right" vertical="top"/>
    </xf>
    <xf numFmtId="3" fontId="15" fillId="0" borderId="1" xfId="0" applyNumberFormat="1" applyFont="1" applyBorder="1" applyAlignment="1">
      <alignment horizontal="right" vertical="top"/>
    </xf>
    <xf numFmtId="3" fontId="15" fillId="0" borderId="29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0" fillId="0" borderId="17" xfId="0" applyBorder="1" applyAlignment="1">
      <alignment horizontal="left" indent="1"/>
    </xf>
    <xf numFmtId="0" fontId="11" fillId="0" borderId="17" xfId="0" applyFont="1" applyBorder="1" applyAlignment="1">
      <alignment vertical="center"/>
    </xf>
    <xf numFmtId="0" fontId="0" fillId="0" borderId="32" xfId="0" applyBorder="1" applyAlignment="1">
      <alignment horizontal="left" indent="1"/>
    </xf>
    <xf numFmtId="0" fontId="0" fillId="0" borderId="1" xfId="0" applyBorder="1" applyAlignment="1">
      <alignment horizontal="left"/>
    </xf>
    <xf numFmtId="3" fontId="15" fillId="0" borderId="22" xfId="0" applyNumberFormat="1" applyFont="1" applyBorder="1" applyAlignment="1">
      <alignment horizontal="right" vertical="top"/>
    </xf>
    <xf numFmtId="3" fontId="15" fillId="0" borderId="30" xfId="0" applyNumberFormat="1" applyFont="1" applyBorder="1" applyAlignment="1">
      <alignment horizontal="right" vertical="top"/>
    </xf>
    <xf numFmtId="3" fontId="12" fillId="0" borderId="0" xfId="0" applyNumberFormat="1" applyFont="1" applyAlignment="1">
      <alignment vertical="center" wrapText="1"/>
    </xf>
    <xf numFmtId="3" fontId="12" fillId="4" borderId="26" xfId="0" applyNumberFormat="1" applyFont="1" applyFill="1" applyBorder="1" applyAlignment="1">
      <alignment horizontal="right" vertical="center"/>
    </xf>
    <xf numFmtId="3" fontId="12" fillId="4" borderId="7" xfId="0" applyNumberFormat="1" applyFont="1" applyFill="1" applyBorder="1" applyAlignment="1">
      <alignment horizontal="right" vertical="center"/>
    </xf>
    <xf numFmtId="3" fontId="12" fillId="4" borderId="27" xfId="0" applyNumberFormat="1" applyFont="1" applyFill="1" applyBorder="1" applyAlignment="1">
      <alignment horizontal="right" vertical="center"/>
    </xf>
    <xf numFmtId="3" fontId="12" fillId="3" borderId="7" xfId="0" applyNumberFormat="1" applyFont="1" applyFill="1" applyBorder="1" applyAlignment="1">
      <alignment horizontal="right" vertical="center"/>
    </xf>
    <xf numFmtId="3" fontId="12" fillId="3" borderId="27" xfId="0" applyNumberFormat="1" applyFont="1" applyFill="1" applyBorder="1" applyAlignment="1">
      <alignment horizontal="right" vertical="center"/>
    </xf>
    <xf numFmtId="3" fontId="12" fillId="3" borderId="7" xfId="0" quotePrefix="1" applyNumberFormat="1" applyFont="1" applyFill="1" applyBorder="1" applyAlignment="1">
      <alignment horizontal="right" vertical="center"/>
    </xf>
    <xf numFmtId="3" fontId="12" fillId="3" borderId="27" xfId="0" quotePrefix="1" applyNumberFormat="1" applyFont="1" applyFill="1" applyBorder="1" applyAlignment="1">
      <alignment horizontal="right" vertical="center"/>
    </xf>
    <xf numFmtId="3" fontId="12" fillId="3" borderId="25" xfId="0" applyNumberFormat="1" applyFont="1" applyFill="1" applyBorder="1" applyAlignment="1">
      <alignment horizontal="right" vertical="center"/>
    </xf>
    <xf numFmtId="3" fontId="12" fillId="3" borderId="13" xfId="0" applyNumberFormat="1" applyFont="1" applyFill="1" applyBorder="1" applyAlignment="1">
      <alignment horizontal="right" vertical="center"/>
    </xf>
    <xf numFmtId="3" fontId="12" fillId="3" borderId="8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3" fontId="12" fillId="3" borderId="26" xfId="0" applyNumberFormat="1" applyFont="1" applyFill="1" applyBorder="1" applyAlignment="1">
      <alignment horizontal="right" vertical="center"/>
    </xf>
    <xf numFmtId="49" fontId="12" fillId="0" borderId="14" xfId="0" applyNumberFormat="1" applyFont="1" applyBorder="1" applyAlignment="1">
      <alignment horizontal="left" vertical="center" wrapText="1"/>
    </xf>
    <xf numFmtId="3" fontId="12" fillId="3" borderId="31" xfId="0" applyNumberFormat="1" applyFont="1" applyFill="1" applyBorder="1" applyAlignment="1">
      <alignment horizontal="right" vertical="center"/>
    </xf>
    <xf numFmtId="3" fontId="12" fillId="3" borderId="17" xfId="0" applyNumberFormat="1" applyFont="1" applyFill="1" applyBorder="1" applyAlignment="1">
      <alignment horizontal="right" vertical="center"/>
    </xf>
    <xf numFmtId="3" fontId="12" fillId="3" borderId="7" xfId="0" applyNumberFormat="1" applyFont="1" applyFill="1" applyBorder="1" applyAlignment="1">
      <alignment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3" fontId="1" fillId="0" borderId="7" xfId="0" applyNumberFormat="1" applyFont="1" applyBorder="1" applyAlignment="1">
      <alignment horizontal="right" vertical="center"/>
    </xf>
    <xf numFmtId="3" fontId="1" fillId="0" borderId="27" xfId="0" applyNumberFormat="1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3" fontId="1" fillId="0" borderId="26" xfId="0" applyNumberFormat="1" applyFont="1" applyBorder="1" applyAlignment="1">
      <alignment horizontal="right" vertical="center"/>
    </xf>
    <xf numFmtId="3" fontId="1" fillId="0" borderId="7" xfId="0" quotePrefix="1" applyNumberFormat="1" applyFont="1" applyBorder="1" applyAlignment="1">
      <alignment horizontal="right" vertical="center"/>
    </xf>
    <xf numFmtId="3" fontId="1" fillId="0" borderId="27" xfId="0" quotePrefix="1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1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3" fontId="1" fillId="0" borderId="13" xfId="0" applyNumberFormat="1" applyFont="1" applyBorder="1" applyAlignment="1">
      <alignment horizontal="right" vertical="center"/>
    </xf>
    <xf numFmtId="3" fontId="1" fillId="0" borderId="25" xfId="0" applyNumberFormat="1" applyFont="1" applyBorder="1" applyAlignment="1">
      <alignment horizontal="right" vertical="center"/>
    </xf>
    <xf numFmtId="49" fontId="1" fillId="0" borderId="14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3" fontId="1" fillId="0" borderId="24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0" fillId="0" borderId="0" xfId="0" applyAlignment="1"/>
    <xf numFmtId="0" fontId="13" fillId="0" borderId="3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2"/>
  <sheetViews>
    <sheetView showGridLines="0" tabSelected="1" zoomScaleNormal="100" workbookViewId="0">
      <selection activeCell="W18" sqref="W18:W19"/>
    </sheetView>
  </sheetViews>
  <sheetFormatPr defaultRowHeight="14.4" x14ac:dyDescent="0.3"/>
  <cols>
    <col min="1" max="1" width="33.33203125" customWidth="1"/>
    <col min="2" max="3" width="9.109375" bestFit="1" customWidth="1"/>
    <col min="4" max="4" width="6.5546875" bestFit="1" customWidth="1"/>
    <col min="5" max="6" width="10.109375" bestFit="1" customWidth="1"/>
    <col min="7" max="7" width="7.5546875" bestFit="1" customWidth="1"/>
    <col min="8" max="9" width="9.109375" bestFit="1" customWidth="1"/>
    <col min="10" max="10" width="7.5546875" bestFit="1" customWidth="1"/>
    <col min="11" max="12" width="9.109375" bestFit="1" customWidth="1"/>
    <col min="13" max="13" width="7.5546875" bestFit="1" customWidth="1"/>
    <col min="14" max="15" width="10.109375" bestFit="1" customWidth="1"/>
    <col min="16" max="16" width="7.5546875" bestFit="1" customWidth="1"/>
    <col min="17" max="18" width="9.109375" bestFit="1" customWidth="1"/>
    <col min="19" max="19" width="7.5546875" bestFit="1" customWidth="1"/>
    <col min="20" max="21" width="9.109375" bestFit="1" customWidth="1"/>
    <col min="22" max="22" width="6.5546875" bestFit="1" customWidth="1"/>
    <col min="23" max="24" width="10.109375" bestFit="1" customWidth="1"/>
    <col min="25" max="25" width="7.5546875" bestFit="1" customWidth="1"/>
    <col min="26" max="27" width="9.109375" bestFit="1" customWidth="1"/>
    <col min="28" max="28" width="7.5546875" bestFit="1" customWidth="1"/>
    <col min="29" max="30" width="9.109375" bestFit="1" customWidth="1"/>
    <col min="31" max="33" width="7.5546875" bestFit="1" customWidth="1"/>
    <col min="34" max="34" width="6.5546875" bestFit="1" customWidth="1"/>
    <col min="35" max="36" width="7.5546875" bestFit="1" customWidth="1"/>
    <col min="37" max="37" width="6.5546875" bestFit="1" customWidth="1"/>
    <col min="38" max="39" width="9.109375" bestFit="1" customWidth="1"/>
    <col min="40" max="40" width="6.5546875" bestFit="1" customWidth="1"/>
    <col min="41" max="42" width="9.109375" bestFit="1" customWidth="1"/>
    <col min="43" max="43" width="6.5546875" bestFit="1" customWidth="1"/>
    <col min="44" max="45" width="9.109375" bestFit="1" customWidth="1"/>
    <col min="46" max="46" width="6.5546875" bestFit="1" customWidth="1"/>
    <col min="47" max="48" width="9.109375" bestFit="1" customWidth="1"/>
    <col min="49" max="49" width="6.5546875" bestFit="1" customWidth="1"/>
    <col min="50" max="51" width="11.109375" bestFit="1" customWidth="1"/>
    <col min="52" max="52" width="8.33203125" customWidth="1"/>
    <col min="53" max="53" width="9.88671875" customWidth="1"/>
    <col min="54" max="54" width="26.77734375" bestFit="1" customWidth="1"/>
    <col min="55" max="55" width="15.109375" customWidth="1"/>
    <col min="56" max="56" width="34.33203125" bestFit="1" customWidth="1"/>
  </cols>
  <sheetData>
    <row r="1" spans="1:64" ht="6.3" customHeigh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</row>
    <row r="2" spans="1:64" ht="18" x14ac:dyDescent="0.3">
      <c r="A2" s="118" t="s">
        <v>224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3"/>
      <c r="BF2" s="53"/>
      <c r="BG2" s="53"/>
      <c r="BH2" s="53"/>
      <c r="BI2" s="53"/>
      <c r="BJ2" s="53"/>
      <c r="BK2" s="53"/>
      <c r="BL2" s="53"/>
    </row>
    <row r="3" spans="1:64" ht="18" x14ac:dyDescent="0.3">
      <c r="A3" s="118" t="s">
        <v>223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76"/>
      <c r="Y3" s="54"/>
      <c r="Z3" s="54"/>
      <c r="AA3" s="54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86"/>
      <c r="BC3" s="52"/>
      <c r="BD3" s="52"/>
      <c r="BE3" s="53"/>
      <c r="BF3" s="53"/>
      <c r="BG3" s="53"/>
      <c r="BH3" s="53"/>
      <c r="BI3" s="53"/>
      <c r="BJ3" s="53"/>
      <c r="BK3" s="53"/>
      <c r="BL3" s="53"/>
    </row>
    <row r="4" spans="1:64" ht="15" thickBot="1" x14ac:dyDescent="0.35">
      <c r="A4" s="77" t="s">
        <v>118</v>
      </c>
      <c r="B4" s="55"/>
      <c r="C4" s="55"/>
      <c r="D4" s="55"/>
      <c r="E4" s="55"/>
      <c r="F4" s="55"/>
      <c r="G4" s="97"/>
      <c r="H4" s="97"/>
      <c r="I4" s="97"/>
      <c r="J4" s="97"/>
      <c r="K4" s="97"/>
      <c r="L4" s="97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7"/>
      <c r="BC4" s="78"/>
      <c r="BD4" s="79" t="s">
        <v>121</v>
      </c>
      <c r="BF4" s="56"/>
      <c r="BG4" s="56"/>
      <c r="BH4" s="56"/>
      <c r="BI4" s="56"/>
      <c r="BJ4" s="56"/>
      <c r="BK4" s="56"/>
      <c r="BL4" s="56"/>
    </row>
    <row r="5" spans="1:64" ht="15" customHeight="1" x14ac:dyDescent="0.3">
      <c r="A5" s="98" t="s">
        <v>0</v>
      </c>
      <c r="B5" s="156" t="s">
        <v>189</v>
      </c>
      <c r="C5" s="157"/>
      <c r="D5" s="158"/>
      <c r="E5" s="159" t="s">
        <v>192</v>
      </c>
      <c r="F5" s="157"/>
      <c r="G5" s="158"/>
      <c r="H5" s="159" t="s">
        <v>193</v>
      </c>
      <c r="I5" s="157"/>
      <c r="J5" s="158"/>
      <c r="K5" s="159" t="s">
        <v>195</v>
      </c>
      <c r="L5" s="157"/>
      <c r="M5" s="158"/>
      <c r="N5" s="159" t="s">
        <v>197</v>
      </c>
      <c r="O5" s="157"/>
      <c r="P5" s="158"/>
      <c r="Q5" s="159" t="s">
        <v>199</v>
      </c>
      <c r="R5" s="157"/>
      <c r="S5" s="158"/>
      <c r="T5" s="159" t="s">
        <v>201</v>
      </c>
      <c r="U5" s="157"/>
      <c r="V5" s="158"/>
      <c r="W5" s="159" t="s">
        <v>203</v>
      </c>
      <c r="X5" s="157"/>
      <c r="Y5" s="158"/>
      <c r="Z5" s="159" t="s">
        <v>205</v>
      </c>
      <c r="AA5" s="157"/>
      <c r="AB5" s="158"/>
      <c r="AC5" s="159" t="s">
        <v>207</v>
      </c>
      <c r="AD5" s="157"/>
      <c r="AE5" s="158"/>
      <c r="AF5" s="159" t="s">
        <v>209</v>
      </c>
      <c r="AG5" s="157"/>
      <c r="AH5" s="158"/>
      <c r="AI5" s="159" t="s">
        <v>211</v>
      </c>
      <c r="AJ5" s="157"/>
      <c r="AK5" s="158"/>
      <c r="AL5" s="159" t="s">
        <v>213</v>
      </c>
      <c r="AM5" s="157"/>
      <c r="AN5" s="158"/>
      <c r="AO5" s="159" t="s">
        <v>215</v>
      </c>
      <c r="AP5" s="157"/>
      <c r="AQ5" s="158"/>
      <c r="AR5" s="159" t="s">
        <v>217</v>
      </c>
      <c r="AS5" s="157"/>
      <c r="AT5" s="158"/>
      <c r="AU5" s="159" t="s">
        <v>219</v>
      </c>
      <c r="AV5" s="157"/>
      <c r="AW5" s="158"/>
      <c r="AX5" s="159" t="s">
        <v>221</v>
      </c>
      <c r="AY5" s="157"/>
      <c r="AZ5" s="157"/>
      <c r="BA5" s="160"/>
      <c r="BB5" s="101" t="s">
        <v>1</v>
      </c>
      <c r="BC5" s="98"/>
      <c r="BD5" s="98"/>
    </row>
    <row r="6" spans="1:64" s="161" customFormat="1" x14ac:dyDescent="0.3">
      <c r="A6" s="99"/>
      <c r="B6" s="162" t="s">
        <v>190</v>
      </c>
      <c r="C6" s="163"/>
      <c r="D6" s="164"/>
      <c r="E6" s="165" t="s">
        <v>191</v>
      </c>
      <c r="F6" s="163"/>
      <c r="G6" s="164"/>
      <c r="H6" s="165" t="s">
        <v>194</v>
      </c>
      <c r="I6" s="163"/>
      <c r="J6" s="164"/>
      <c r="K6" s="165" t="s">
        <v>196</v>
      </c>
      <c r="L6" s="163"/>
      <c r="M6" s="164"/>
      <c r="N6" s="165" t="s">
        <v>198</v>
      </c>
      <c r="O6" s="163"/>
      <c r="P6" s="164"/>
      <c r="Q6" s="165" t="s">
        <v>200</v>
      </c>
      <c r="R6" s="163"/>
      <c r="S6" s="164"/>
      <c r="T6" s="165" t="s">
        <v>202</v>
      </c>
      <c r="U6" s="163"/>
      <c r="V6" s="164"/>
      <c r="W6" s="165" t="s">
        <v>204</v>
      </c>
      <c r="X6" s="163"/>
      <c r="Y6" s="164"/>
      <c r="Z6" s="165" t="s">
        <v>206</v>
      </c>
      <c r="AA6" s="163"/>
      <c r="AB6" s="164"/>
      <c r="AC6" s="165" t="s">
        <v>208</v>
      </c>
      <c r="AD6" s="163"/>
      <c r="AE6" s="164"/>
      <c r="AF6" s="165" t="s">
        <v>210</v>
      </c>
      <c r="AG6" s="163"/>
      <c r="AH6" s="164"/>
      <c r="AI6" s="165" t="s">
        <v>212</v>
      </c>
      <c r="AJ6" s="163"/>
      <c r="AK6" s="164"/>
      <c r="AL6" s="165" t="s">
        <v>214</v>
      </c>
      <c r="AM6" s="163"/>
      <c r="AN6" s="164"/>
      <c r="AO6" s="165" t="s">
        <v>216</v>
      </c>
      <c r="AP6" s="163"/>
      <c r="AQ6" s="164"/>
      <c r="AR6" s="165" t="s">
        <v>218</v>
      </c>
      <c r="AS6" s="163"/>
      <c r="AT6" s="164"/>
      <c r="AU6" s="165" t="s">
        <v>220</v>
      </c>
      <c r="AV6" s="163"/>
      <c r="AW6" s="164"/>
      <c r="AX6" s="165" t="s">
        <v>222</v>
      </c>
      <c r="AY6" s="163"/>
      <c r="AZ6" s="163"/>
      <c r="BA6" s="166"/>
      <c r="BB6" s="102"/>
      <c r="BC6" s="99"/>
      <c r="BD6" s="99"/>
    </row>
    <row r="7" spans="1:64" x14ac:dyDescent="0.3">
      <c r="A7" s="100"/>
      <c r="B7" s="58">
        <v>3</v>
      </c>
      <c r="C7" s="59">
        <v>4</v>
      </c>
      <c r="D7" s="60">
        <v>5</v>
      </c>
      <c r="E7" s="61">
        <v>3</v>
      </c>
      <c r="F7" s="59">
        <v>4</v>
      </c>
      <c r="G7" s="59">
        <v>5</v>
      </c>
      <c r="H7" s="61">
        <v>3</v>
      </c>
      <c r="I7" s="59">
        <v>4</v>
      </c>
      <c r="J7" s="59">
        <v>5</v>
      </c>
      <c r="K7" s="61">
        <v>3</v>
      </c>
      <c r="L7" s="59">
        <v>4</v>
      </c>
      <c r="M7" s="59">
        <v>5</v>
      </c>
      <c r="N7" s="59">
        <v>3</v>
      </c>
      <c r="O7" s="59">
        <v>4</v>
      </c>
      <c r="P7" s="61">
        <v>5</v>
      </c>
      <c r="Q7" s="59">
        <v>3</v>
      </c>
      <c r="R7" s="59">
        <v>4</v>
      </c>
      <c r="S7" s="61">
        <v>5</v>
      </c>
      <c r="T7" s="59">
        <v>3</v>
      </c>
      <c r="U7" s="59">
        <v>4</v>
      </c>
      <c r="V7" s="60">
        <v>5</v>
      </c>
      <c r="W7" s="61">
        <v>3</v>
      </c>
      <c r="X7" s="59">
        <v>4</v>
      </c>
      <c r="Y7" s="59">
        <v>5</v>
      </c>
      <c r="Z7" s="61">
        <v>3</v>
      </c>
      <c r="AA7" s="59">
        <v>4</v>
      </c>
      <c r="AB7" s="59">
        <v>5</v>
      </c>
      <c r="AC7" s="61">
        <v>3</v>
      </c>
      <c r="AD7" s="59">
        <v>4</v>
      </c>
      <c r="AE7" s="59">
        <v>5</v>
      </c>
      <c r="AF7" s="59">
        <v>3</v>
      </c>
      <c r="AG7" s="59">
        <v>4</v>
      </c>
      <c r="AH7" s="60">
        <v>5</v>
      </c>
      <c r="AI7" s="61">
        <v>3</v>
      </c>
      <c r="AJ7" s="59">
        <v>4</v>
      </c>
      <c r="AK7" s="59">
        <v>5</v>
      </c>
      <c r="AL7" s="61">
        <v>3</v>
      </c>
      <c r="AM7" s="59">
        <v>4</v>
      </c>
      <c r="AN7" s="59">
        <v>5</v>
      </c>
      <c r="AO7" s="61">
        <v>3</v>
      </c>
      <c r="AP7" s="59">
        <v>4</v>
      </c>
      <c r="AQ7" s="59">
        <v>5</v>
      </c>
      <c r="AR7" s="59">
        <v>3</v>
      </c>
      <c r="AS7" s="59">
        <v>4</v>
      </c>
      <c r="AT7" s="59">
        <v>5</v>
      </c>
      <c r="AU7" s="61">
        <v>3</v>
      </c>
      <c r="AV7" s="59">
        <v>4</v>
      </c>
      <c r="AW7" s="59">
        <v>5</v>
      </c>
      <c r="AX7" s="61">
        <v>3</v>
      </c>
      <c r="AY7" s="59">
        <v>4</v>
      </c>
      <c r="AZ7" s="61" t="s">
        <v>114</v>
      </c>
      <c r="BA7" s="62" t="s">
        <v>115</v>
      </c>
      <c r="BB7" s="103"/>
      <c r="BC7" s="100"/>
      <c r="BD7" s="100"/>
    </row>
    <row r="8" spans="1:64" x14ac:dyDescent="0.3">
      <c r="A8" s="110" t="s">
        <v>2</v>
      </c>
      <c r="B8" s="111">
        <f>SUM(B10,B18,B27,B32,B38,B45,B52,B59,B64,B71,B81,B88,B103)</f>
        <v>1413839</v>
      </c>
      <c r="C8" s="95">
        <f>SUM(C10,C18,C27,C32,C38,C45,C52,C59,C64,C71,C81,C88,C103)</f>
        <v>1211814</v>
      </c>
      <c r="D8" s="95">
        <f t="shared" ref="D8:F8" si="0">SUM(D10,D18,D27,D32,D38,D45,D52,D59,D64,D71,D81,D88,D103)</f>
        <v>55221.17</v>
      </c>
      <c r="E8" s="95">
        <f t="shared" si="0"/>
        <v>13654998</v>
      </c>
      <c r="F8" s="95">
        <f t="shared" si="0"/>
        <v>13409868</v>
      </c>
      <c r="G8" s="95">
        <f>SUM(G10,G18,G27,G32,G38,G45,G52,G59,G64,G71,G81,G88,G103)</f>
        <v>683063.89399999997</v>
      </c>
      <c r="H8" s="95">
        <f>SUM(H10,H18,H27,H32,H38,H45,H52,H59,H64,H71,H81,H88,H103)</f>
        <v>4876480</v>
      </c>
      <c r="I8" s="95">
        <f>SUM(I10,I18,I27,I32,I38,I45,I52,I59,I64,I71,I81,I88,I103)</f>
        <v>4753759</v>
      </c>
      <c r="J8" s="95">
        <f>SUM(J10,J18,J27,J32,J38,J45,J52,J59,J64,J71,J81,J88,J103)</f>
        <v>216083.88699999999</v>
      </c>
      <c r="K8" s="95">
        <f t="shared" ref="K8:O8" si="1">SUM(K10,K18,K27,K32,K38,K45,K52,K59,K64,K71,K81,K88,K103)</f>
        <v>3695251</v>
      </c>
      <c r="L8" s="95">
        <f>SUM(L10,L18,L27,L32,L38,L45,L52,L59,L64,L71,L81,L88,L103)</f>
        <v>3547128</v>
      </c>
      <c r="M8" s="95">
        <f>SUM(M10,M18,M27,M32,M38,M45,M52,M59,M64,M71,M81,M88,M103)</f>
        <v>102443.258</v>
      </c>
      <c r="N8" s="95">
        <f t="shared" si="1"/>
        <v>14585047</v>
      </c>
      <c r="O8" s="95">
        <f t="shared" si="1"/>
        <v>14420965</v>
      </c>
      <c r="P8" s="95">
        <f t="shared" ref="P8:BA8" si="2">SUM(P10,P18,P27,P32,P38,P45,P52,P59,P64,P71,P81,P88,P103)</f>
        <v>327138.61500000005</v>
      </c>
      <c r="Q8" s="95">
        <f>SUM(Q10,Q18,Q27,Q32,Q38,Q45,Q52,Q59,Q64,Q71,Q81,Q88,Q103)</f>
        <v>9033071</v>
      </c>
      <c r="R8" s="95">
        <f t="shared" ref="R8:V8" si="3">SUM(R10,R18,R27,R32,R38,R45,R52,R59,R64,R71,R81,R88,R103)</f>
        <v>9028229</v>
      </c>
      <c r="S8" s="95">
        <f t="shared" si="3"/>
        <v>353236.24500000011</v>
      </c>
      <c r="T8" s="95">
        <f t="shared" si="3"/>
        <v>1663598</v>
      </c>
      <c r="U8" s="95">
        <f t="shared" si="3"/>
        <v>1592801</v>
      </c>
      <c r="V8" s="95">
        <f t="shared" si="3"/>
        <v>49893.254000000008</v>
      </c>
      <c r="W8" s="95">
        <f t="shared" si="2"/>
        <v>19460702</v>
      </c>
      <c r="X8" s="95">
        <f t="shared" si="2"/>
        <v>19287830</v>
      </c>
      <c r="Y8" s="95">
        <f t="shared" si="2"/>
        <v>655833.85</v>
      </c>
      <c r="Z8" s="95">
        <f t="shared" si="2"/>
        <v>4927328</v>
      </c>
      <c r="AA8" s="95">
        <f t="shared" si="2"/>
        <v>4841223</v>
      </c>
      <c r="AB8" s="95">
        <f t="shared" si="2"/>
        <v>155567.72099999999</v>
      </c>
      <c r="AC8" s="95">
        <f t="shared" si="2"/>
        <v>8550931</v>
      </c>
      <c r="AD8" s="95">
        <f t="shared" si="2"/>
        <v>8495526</v>
      </c>
      <c r="AE8" s="95">
        <f t="shared" si="2"/>
        <v>133602.9</v>
      </c>
      <c r="AF8" s="95">
        <f t="shared" si="2"/>
        <v>342530</v>
      </c>
      <c r="AG8" s="95">
        <f t="shared" si="2"/>
        <v>210776</v>
      </c>
      <c r="AH8" s="95">
        <f t="shared" si="2"/>
        <v>10878.040999999999</v>
      </c>
      <c r="AI8" s="95">
        <f t="shared" si="2"/>
        <v>625483</v>
      </c>
      <c r="AJ8" s="95">
        <f t="shared" si="2"/>
        <v>605514</v>
      </c>
      <c r="AK8" s="95">
        <f t="shared" si="2"/>
        <v>19686.290000000005</v>
      </c>
      <c r="AL8" s="95">
        <f t="shared" si="2"/>
        <v>6313207</v>
      </c>
      <c r="AM8" s="95">
        <f t="shared" si="2"/>
        <v>6169009</v>
      </c>
      <c r="AN8" s="95">
        <f t="shared" si="2"/>
        <v>72538.874000000011</v>
      </c>
      <c r="AO8" s="95">
        <f t="shared" si="2"/>
        <v>3144609</v>
      </c>
      <c r="AP8" s="95">
        <f t="shared" si="2"/>
        <v>2949903</v>
      </c>
      <c r="AQ8" s="95">
        <f t="shared" si="2"/>
        <v>54830.35</v>
      </c>
      <c r="AR8" s="95">
        <f t="shared" si="2"/>
        <v>1586604</v>
      </c>
      <c r="AS8" s="95">
        <f t="shared" si="2"/>
        <v>1518490</v>
      </c>
      <c r="AT8" s="95">
        <f t="shared" si="2"/>
        <v>39841.273000000008</v>
      </c>
      <c r="AU8" s="95">
        <f t="shared" si="2"/>
        <v>1398083</v>
      </c>
      <c r="AV8" s="95">
        <f t="shared" si="2"/>
        <v>1392354</v>
      </c>
      <c r="AW8" s="95">
        <f t="shared" si="2"/>
        <v>19892.655999999992</v>
      </c>
      <c r="AX8" s="95">
        <f t="shared" si="2"/>
        <v>148071031</v>
      </c>
      <c r="AY8" s="95">
        <f t="shared" si="2"/>
        <v>145275389</v>
      </c>
      <c r="AZ8" s="95">
        <f t="shared" si="2"/>
        <v>334399.50699999993</v>
      </c>
      <c r="BA8" s="94">
        <f t="shared" si="2"/>
        <v>2164541.8939999999</v>
      </c>
      <c r="BB8" s="104" t="s">
        <v>3</v>
      </c>
      <c r="BC8" s="105"/>
      <c r="BD8" s="105"/>
    </row>
    <row r="9" spans="1:64" x14ac:dyDescent="0.3">
      <c r="A9" s="108"/>
      <c r="B9" s="112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1"/>
      <c r="BB9" s="106"/>
      <c r="BC9" s="107"/>
      <c r="BD9" s="107"/>
    </row>
    <row r="10" spans="1:64" x14ac:dyDescent="0.3">
      <c r="A10" s="108" t="s">
        <v>4</v>
      </c>
      <c r="B10" s="109">
        <f>SUM(B12:B17)</f>
        <v>50</v>
      </c>
      <c r="C10" s="90">
        <f t="shared" ref="C10" si="4">SUM(C12:C17)</f>
        <v>50</v>
      </c>
      <c r="D10" s="90">
        <f>SUM(D12:D17)</f>
        <v>0.6</v>
      </c>
      <c r="E10" s="90">
        <f>SUM(E12:E17)</f>
        <v>595</v>
      </c>
      <c r="F10" s="90">
        <f>SUM(F12:F17)</f>
        <v>590</v>
      </c>
      <c r="G10" s="90">
        <f>SUM(G12:G17)</f>
        <v>9.3559999999999999</v>
      </c>
      <c r="H10" s="90">
        <f t="shared" ref="H10:J10" si="5">SUM(H12:H17)</f>
        <v>273</v>
      </c>
      <c r="I10" s="90">
        <f t="shared" si="5"/>
        <v>270</v>
      </c>
      <c r="J10" s="90">
        <f t="shared" si="5"/>
        <v>2.8809999999999998</v>
      </c>
      <c r="K10" s="113">
        <f>SUM(K12:K17)</f>
        <v>136801</v>
      </c>
      <c r="L10" s="113">
        <f>SUM(L12:L17)</f>
        <v>135723</v>
      </c>
      <c r="M10" s="113">
        <f>SUM(M12:M17)</f>
        <v>4110.4560000000001</v>
      </c>
      <c r="N10" s="90">
        <f>SUM(N12:N17)</f>
        <v>256007</v>
      </c>
      <c r="O10" s="90">
        <f t="shared" ref="O10:AE10" si="6">SUM(O12:O17)</f>
        <v>254051</v>
      </c>
      <c r="P10" s="90">
        <f t="shared" si="6"/>
        <v>6841.6570000000002</v>
      </c>
      <c r="Q10" s="90">
        <f>SUM(Q12:Q17)</f>
        <v>2061448</v>
      </c>
      <c r="R10" s="90">
        <f t="shared" ref="R10:V10" si="7">SUM(R12:R17)</f>
        <v>2061447</v>
      </c>
      <c r="S10" s="90">
        <f t="shared" si="7"/>
        <v>69881.714999999997</v>
      </c>
      <c r="T10" s="90">
        <f t="shared" si="7"/>
        <v>250357</v>
      </c>
      <c r="U10" s="90">
        <f t="shared" si="7"/>
        <v>249711</v>
      </c>
      <c r="V10" s="90">
        <f t="shared" si="7"/>
        <v>9586.6250000000018</v>
      </c>
      <c r="W10" s="90">
        <f t="shared" si="6"/>
        <v>78107</v>
      </c>
      <c r="X10" s="90">
        <f t="shared" si="6"/>
        <v>76850</v>
      </c>
      <c r="Y10" s="90">
        <f t="shared" si="6"/>
        <v>1603.5690000000002</v>
      </c>
      <c r="Z10" s="96">
        <f t="shared" si="6"/>
        <v>50922</v>
      </c>
      <c r="AA10" s="90">
        <f t="shared" si="6"/>
        <v>50004</v>
      </c>
      <c r="AB10" s="90">
        <f t="shared" si="6"/>
        <v>1280.2049999999999</v>
      </c>
      <c r="AC10" s="90">
        <f t="shared" si="6"/>
        <v>304248</v>
      </c>
      <c r="AD10" s="90">
        <f t="shared" si="6"/>
        <v>299342</v>
      </c>
      <c r="AE10" s="90">
        <f t="shared" si="6"/>
        <v>5136.0839999999998</v>
      </c>
      <c r="AF10" s="90">
        <f>SUM(AF12:AF17)</f>
        <v>9337</v>
      </c>
      <c r="AG10" s="90">
        <f t="shared" ref="AG10:AQ10" si="8">SUM(AG12:AG17)</f>
        <v>9225</v>
      </c>
      <c r="AH10" s="90">
        <f t="shared" si="8"/>
        <v>262.14499999999998</v>
      </c>
      <c r="AI10" s="90">
        <f t="shared" si="8"/>
        <v>215</v>
      </c>
      <c r="AJ10" s="90">
        <f t="shared" si="8"/>
        <v>215</v>
      </c>
      <c r="AK10" s="90">
        <f t="shared" si="8"/>
        <v>10.500999999999999</v>
      </c>
      <c r="AL10" s="90">
        <f t="shared" si="8"/>
        <v>437913</v>
      </c>
      <c r="AM10" s="90">
        <f t="shared" si="8"/>
        <v>436433</v>
      </c>
      <c r="AN10" s="90">
        <f t="shared" si="8"/>
        <v>3735.5149999999999</v>
      </c>
      <c r="AO10" s="90">
        <f t="shared" si="8"/>
        <v>318199</v>
      </c>
      <c r="AP10" s="90">
        <f t="shared" si="8"/>
        <v>313383</v>
      </c>
      <c r="AQ10" s="90">
        <f t="shared" si="8"/>
        <v>5372.7709999999997</v>
      </c>
      <c r="AR10" s="90">
        <f>SUM(AR12:AR17)</f>
        <v>13934</v>
      </c>
      <c r="AS10" s="90">
        <f t="shared" ref="AS10:BA10" si="9">SUM(AS12:AS17)</f>
        <v>13733</v>
      </c>
      <c r="AT10" s="90">
        <f t="shared" si="9"/>
        <v>346.53100000000001</v>
      </c>
      <c r="AU10" s="90">
        <f t="shared" si="9"/>
        <v>1501</v>
      </c>
      <c r="AV10" s="90">
        <f t="shared" si="9"/>
        <v>1486</v>
      </c>
      <c r="AW10" s="90">
        <f t="shared" si="9"/>
        <v>9.8719999999999999</v>
      </c>
      <c r="AX10" s="90">
        <f t="shared" si="9"/>
        <v>3551779</v>
      </c>
      <c r="AY10" s="90">
        <f t="shared" si="9"/>
        <v>3536863</v>
      </c>
      <c r="AZ10" s="90">
        <f t="shared" si="9"/>
        <v>51058.585999999996</v>
      </c>
      <c r="BA10" s="91">
        <f t="shared" si="9"/>
        <v>63681.150999999998</v>
      </c>
      <c r="BB10" s="106" t="s">
        <v>5</v>
      </c>
      <c r="BC10" s="107"/>
      <c r="BD10" s="107"/>
    </row>
    <row r="11" spans="1:64" x14ac:dyDescent="0.3">
      <c r="A11" s="108"/>
      <c r="B11" s="109"/>
      <c r="C11" s="90"/>
      <c r="D11" s="90"/>
      <c r="E11" s="90"/>
      <c r="F11" s="90"/>
      <c r="G11" s="90"/>
      <c r="H11" s="90"/>
      <c r="I11" s="90"/>
      <c r="J11" s="90"/>
      <c r="K11" s="113"/>
      <c r="L11" s="113"/>
      <c r="M11" s="113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6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1"/>
      <c r="BB11" s="106"/>
      <c r="BC11" s="107"/>
      <c r="BD11" s="107"/>
    </row>
    <row r="12" spans="1:64" x14ac:dyDescent="0.3">
      <c r="A12" s="63" t="s">
        <v>123</v>
      </c>
      <c r="B12" s="72" t="s">
        <v>122</v>
      </c>
      <c r="C12" s="71" t="s">
        <v>122</v>
      </c>
      <c r="D12" s="70" t="s">
        <v>122</v>
      </c>
      <c r="E12" s="71" t="s">
        <v>122</v>
      </c>
      <c r="F12" s="70" t="s">
        <v>122</v>
      </c>
      <c r="G12" s="71" t="s">
        <v>122</v>
      </c>
      <c r="H12" s="70" t="s">
        <v>122</v>
      </c>
      <c r="I12" s="71" t="s">
        <v>122</v>
      </c>
      <c r="J12" s="70" t="s">
        <v>122</v>
      </c>
      <c r="K12" s="71">
        <v>21555</v>
      </c>
      <c r="L12" s="70">
        <v>21453</v>
      </c>
      <c r="M12" s="71">
        <v>453</v>
      </c>
      <c r="N12" s="70">
        <v>35480</v>
      </c>
      <c r="O12" s="71">
        <v>35415</v>
      </c>
      <c r="P12" s="70">
        <v>847.30100000000004</v>
      </c>
      <c r="Q12" s="71">
        <v>85140</v>
      </c>
      <c r="R12" s="70">
        <v>85140</v>
      </c>
      <c r="S12" s="71">
        <v>2716.81</v>
      </c>
      <c r="T12" s="70">
        <v>47563</v>
      </c>
      <c r="U12" s="71">
        <v>47553</v>
      </c>
      <c r="V12" s="70">
        <v>2240.4699999999998</v>
      </c>
      <c r="W12" s="71">
        <v>8220</v>
      </c>
      <c r="X12" s="70">
        <v>8180</v>
      </c>
      <c r="Y12" s="71">
        <v>200.35</v>
      </c>
      <c r="Z12" s="70">
        <v>6882</v>
      </c>
      <c r="AA12" s="71">
        <v>6870</v>
      </c>
      <c r="AB12" s="70">
        <v>126.791</v>
      </c>
      <c r="AC12" s="71">
        <v>228023</v>
      </c>
      <c r="AD12" s="70">
        <v>223988</v>
      </c>
      <c r="AE12" s="71">
        <v>3677.33</v>
      </c>
      <c r="AF12" s="70">
        <v>797</v>
      </c>
      <c r="AG12" s="71">
        <v>787</v>
      </c>
      <c r="AH12" s="70">
        <v>20.946000000000002</v>
      </c>
      <c r="AI12" s="71" t="s">
        <v>122</v>
      </c>
      <c r="AJ12" s="70" t="s">
        <v>122</v>
      </c>
      <c r="AK12" s="71" t="s">
        <v>122</v>
      </c>
      <c r="AL12" s="70">
        <v>44558</v>
      </c>
      <c r="AM12" s="71">
        <v>44363</v>
      </c>
      <c r="AN12" s="70">
        <v>515.58000000000004</v>
      </c>
      <c r="AO12" s="71">
        <v>57701</v>
      </c>
      <c r="AP12" s="70">
        <v>57434</v>
      </c>
      <c r="AQ12" s="71">
        <v>997.31899999999996</v>
      </c>
      <c r="AR12" s="70">
        <v>1605</v>
      </c>
      <c r="AS12" s="71">
        <v>1585</v>
      </c>
      <c r="AT12" s="70">
        <v>37.994999999999997</v>
      </c>
      <c r="AU12" s="71">
        <v>1190</v>
      </c>
      <c r="AV12" s="70">
        <v>1190</v>
      </c>
      <c r="AW12" s="71">
        <v>5.8410000000000002</v>
      </c>
      <c r="AX12" s="70">
        <v>689565</v>
      </c>
      <c r="AY12" s="71">
        <v>687355</v>
      </c>
      <c r="AZ12" s="70">
        <v>450.88299999999998</v>
      </c>
      <c r="BA12" s="84">
        <v>5621.6030000000001</v>
      </c>
      <c r="BB12" s="80" t="s">
        <v>6</v>
      </c>
      <c r="BC12" s="64"/>
      <c r="BD12" s="64"/>
    </row>
    <row r="13" spans="1:64" x14ac:dyDescent="0.3">
      <c r="A13" s="63" t="s">
        <v>124</v>
      </c>
      <c r="B13" s="72">
        <v>50</v>
      </c>
      <c r="C13" s="71">
        <v>50</v>
      </c>
      <c r="D13" s="70">
        <v>0.6</v>
      </c>
      <c r="E13" s="71">
        <v>500</v>
      </c>
      <c r="F13" s="70">
        <v>500</v>
      </c>
      <c r="G13" s="71">
        <v>7.5</v>
      </c>
      <c r="H13" s="70">
        <v>230</v>
      </c>
      <c r="I13" s="71">
        <v>230</v>
      </c>
      <c r="J13" s="70">
        <v>2.76</v>
      </c>
      <c r="K13" s="71">
        <v>13744</v>
      </c>
      <c r="L13" s="70">
        <v>13579</v>
      </c>
      <c r="M13" s="71">
        <v>454.98</v>
      </c>
      <c r="N13" s="70">
        <v>31301</v>
      </c>
      <c r="O13" s="71">
        <v>30514</v>
      </c>
      <c r="P13" s="70">
        <v>2006.405</v>
      </c>
      <c r="Q13" s="71">
        <v>17042</v>
      </c>
      <c r="R13" s="70">
        <v>17042</v>
      </c>
      <c r="S13" s="71">
        <v>939.745</v>
      </c>
      <c r="T13" s="70">
        <v>72275</v>
      </c>
      <c r="U13" s="71">
        <v>71805</v>
      </c>
      <c r="V13" s="70">
        <v>4061.942</v>
      </c>
      <c r="W13" s="71">
        <v>6684</v>
      </c>
      <c r="X13" s="70">
        <v>6438</v>
      </c>
      <c r="Y13" s="71">
        <v>122.63600000000001</v>
      </c>
      <c r="Z13" s="70">
        <v>1873</v>
      </c>
      <c r="AA13" s="71">
        <v>1795</v>
      </c>
      <c r="AB13" s="70">
        <v>46.63</v>
      </c>
      <c r="AC13" s="71">
        <v>10345</v>
      </c>
      <c r="AD13" s="70">
        <v>10247</v>
      </c>
      <c r="AE13" s="71">
        <v>421.73500000000001</v>
      </c>
      <c r="AF13" s="70">
        <v>1242</v>
      </c>
      <c r="AG13" s="71">
        <v>1242</v>
      </c>
      <c r="AH13" s="70">
        <v>44.49</v>
      </c>
      <c r="AI13" s="71">
        <v>215</v>
      </c>
      <c r="AJ13" s="70">
        <v>215</v>
      </c>
      <c r="AK13" s="71">
        <v>10.500999999999999</v>
      </c>
      <c r="AL13" s="70">
        <v>17957</v>
      </c>
      <c r="AM13" s="71">
        <v>17911</v>
      </c>
      <c r="AN13" s="70">
        <v>194.62</v>
      </c>
      <c r="AO13" s="71">
        <v>33291</v>
      </c>
      <c r="AP13" s="70">
        <v>32769</v>
      </c>
      <c r="AQ13" s="71">
        <v>556.46699999999998</v>
      </c>
      <c r="AR13" s="70">
        <v>1304</v>
      </c>
      <c r="AS13" s="71">
        <v>1263</v>
      </c>
      <c r="AT13" s="70">
        <v>36.86</v>
      </c>
      <c r="AU13" s="71">
        <v>150</v>
      </c>
      <c r="AV13" s="70">
        <v>150</v>
      </c>
      <c r="AW13" s="71">
        <v>3</v>
      </c>
      <c r="AX13" s="70">
        <v>128279</v>
      </c>
      <c r="AY13" s="71">
        <v>125007</v>
      </c>
      <c r="AZ13" s="70">
        <v>1182.0719999999999</v>
      </c>
      <c r="BA13" s="84">
        <v>2123.3470000000002</v>
      </c>
      <c r="BB13" s="80" t="s">
        <v>7</v>
      </c>
      <c r="BC13" s="64"/>
      <c r="BD13" s="64"/>
    </row>
    <row r="14" spans="1:64" x14ac:dyDescent="0.3">
      <c r="A14" s="63" t="s">
        <v>125</v>
      </c>
      <c r="B14" s="72" t="s">
        <v>122</v>
      </c>
      <c r="C14" s="71" t="s">
        <v>122</v>
      </c>
      <c r="D14" s="70" t="s">
        <v>122</v>
      </c>
      <c r="E14" s="71" t="s">
        <v>122</v>
      </c>
      <c r="F14" s="70" t="s">
        <v>122</v>
      </c>
      <c r="G14" s="71" t="s">
        <v>122</v>
      </c>
      <c r="H14" s="70" t="s">
        <v>122</v>
      </c>
      <c r="I14" s="71" t="s">
        <v>122</v>
      </c>
      <c r="J14" s="70" t="s">
        <v>122</v>
      </c>
      <c r="K14" s="71">
        <v>11604</v>
      </c>
      <c r="L14" s="70">
        <v>10952</v>
      </c>
      <c r="M14" s="71">
        <v>258.33499999999998</v>
      </c>
      <c r="N14" s="70">
        <v>80746</v>
      </c>
      <c r="O14" s="71">
        <v>79718</v>
      </c>
      <c r="P14" s="70">
        <v>1376.933</v>
      </c>
      <c r="Q14" s="71">
        <v>2672</v>
      </c>
      <c r="R14" s="70">
        <v>2672</v>
      </c>
      <c r="S14" s="71">
        <v>153.64099999999999</v>
      </c>
      <c r="T14" s="70">
        <v>9023</v>
      </c>
      <c r="U14" s="71">
        <v>8932</v>
      </c>
      <c r="V14" s="70">
        <v>242.703</v>
      </c>
      <c r="W14" s="71">
        <v>29743</v>
      </c>
      <c r="X14" s="70">
        <v>28821</v>
      </c>
      <c r="Y14" s="71">
        <v>605.40900000000011</v>
      </c>
      <c r="Z14" s="70">
        <v>7453</v>
      </c>
      <c r="AA14" s="71">
        <v>6912</v>
      </c>
      <c r="AB14" s="70">
        <v>164.46100000000001</v>
      </c>
      <c r="AC14" s="71">
        <v>28514</v>
      </c>
      <c r="AD14" s="70">
        <v>27807</v>
      </c>
      <c r="AE14" s="71">
        <v>415.05500000000001</v>
      </c>
      <c r="AF14" s="70">
        <v>1935</v>
      </c>
      <c r="AG14" s="71">
        <v>1841</v>
      </c>
      <c r="AH14" s="70">
        <v>26.914999999999999</v>
      </c>
      <c r="AI14" s="71" t="s">
        <v>122</v>
      </c>
      <c r="AJ14" s="70" t="s">
        <v>122</v>
      </c>
      <c r="AK14" s="71" t="s">
        <v>122</v>
      </c>
      <c r="AL14" s="70">
        <v>54536</v>
      </c>
      <c r="AM14" s="71">
        <v>53347</v>
      </c>
      <c r="AN14" s="70">
        <v>404.32900000000001</v>
      </c>
      <c r="AO14" s="71">
        <v>112217</v>
      </c>
      <c r="AP14" s="70">
        <v>110803</v>
      </c>
      <c r="AQ14" s="71">
        <v>1306.1300000000001</v>
      </c>
      <c r="AR14" s="70">
        <v>593</v>
      </c>
      <c r="AS14" s="71">
        <v>468</v>
      </c>
      <c r="AT14" s="70">
        <v>7.59</v>
      </c>
      <c r="AU14" s="71">
        <v>64</v>
      </c>
      <c r="AV14" s="70">
        <v>49</v>
      </c>
      <c r="AW14" s="71">
        <v>1.03</v>
      </c>
      <c r="AX14" s="70">
        <v>529253</v>
      </c>
      <c r="AY14" s="71">
        <v>527667</v>
      </c>
      <c r="AZ14" s="70">
        <v>214.36</v>
      </c>
      <c r="BA14" s="84">
        <v>4760.8010000000004</v>
      </c>
      <c r="BB14" s="80" t="s">
        <v>8</v>
      </c>
      <c r="BC14" s="64"/>
      <c r="BD14" s="64"/>
    </row>
    <row r="15" spans="1:64" x14ac:dyDescent="0.3">
      <c r="A15" s="63" t="s">
        <v>126</v>
      </c>
      <c r="B15" s="72" t="s">
        <v>122</v>
      </c>
      <c r="C15" s="71" t="s">
        <v>122</v>
      </c>
      <c r="D15" s="70" t="s">
        <v>122</v>
      </c>
      <c r="E15" s="71" t="s">
        <v>122</v>
      </c>
      <c r="F15" s="70" t="s">
        <v>122</v>
      </c>
      <c r="G15" s="71" t="s">
        <v>122</v>
      </c>
      <c r="H15" s="70" t="s">
        <v>122</v>
      </c>
      <c r="I15" s="71" t="s">
        <v>122</v>
      </c>
      <c r="J15" s="70" t="s">
        <v>122</v>
      </c>
      <c r="K15" s="71" t="s">
        <v>122</v>
      </c>
      <c r="L15" s="70" t="s">
        <v>122</v>
      </c>
      <c r="M15" s="71" t="s">
        <v>122</v>
      </c>
      <c r="N15" s="70">
        <v>30</v>
      </c>
      <c r="O15" s="71">
        <v>30</v>
      </c>
      <c r="P15" s="70">
        <v>1.575</v>
      </c>
      <c r="Q15" s="71" t="s">
        <v>122</v>
      </c>
      <c r="R15" s="70" t="s">
        <v>122</v>
      </c>
      <c r="S15" s="71" t="s">
        <v>122</v>
      </c>
      <c r="T15" s="70" t="s">
        <v>122</v>
      </c>
      <c r="U15" s="71" t="s">
        <v>122</v>
      </c>
      <c r="V15" s="70" t="s">
        <v>122</v>
      </c>
      <c r="W15" s="71">
        <v>107</v>
      </c>
      <c r="X15" s="70">
        <v>105</v>
      </c>
      <c r="Y15" s="71">
        <v>3.585</v>
      </c>
      <c r="Z15" s="70">
        <v>4</v>
      </c>
      <c r="AA15" s="71" t="s">
        <v>122</v>
      </c>
      <c r="AB15" s="70">
        <v>0.08</v>
      </c>
      <c r="AC15" s="71">
        <v>43</v>
      </c>
      <c r="AD15" s="70">
        <v>40</v>
      </c>
      <c r="AE15" s="71">
        <v>1.0620000000000001</v>
      </c>
      <c r="AF15" s="70">
        <v>29</v>
      </c>
      <c r="AG15" s="71">
        <v>25</v>
      </c>
      <c r="AH15" s="70">
        <v>0.1</v>
      </c>
      <c r="AI15" s="71" t="s">
        <v>122</v>
      </c>
      <c r="AJ15" s="70" t="s">
        <v>122</v>
      </c>
      <c r="AK15" s="71" t="s">
        <v>122</v>
      </c>
      <c r="AL15" s="70">
        <v>40</v>
      </c>
      <c r="AM15" s="71">
        <v>40</v>
      </c>
      <c r="AN15" s="70">
        <v>1.8</v>
      </c>
      <c r="AO15" s="71">
        <v>21</v>
      </c>
      <c r="AP15" s="70">
        <v>15</v>
      </c>
      <c r="AQ15" s="71">
        <v>0.12</v>
      </c>
      <c r="AR15" s="70">
        <v>30</v>
      </c>
      <c r="AS15" s="71">
        <v>30</v>
      </c>
      <c r="AT15" s="70">
        <v>0.56999999999999995</v>
      </c>
      <c r="AU15" s="71" t="s">
        <v>122</v>
      </c>
      <c r="AV15" s="70" t="s">
        <v>122</v>
      </c>
      <c r="AW15" s="71" t="s">
        <v>122</v>
      </c>
      <c r="AX15" s="70">
        <v>579820</v>
      </c>
      <c r="AY15" s="71">
        <v>578942</v>
      </c>
      <c r="AZ15" s="70">
        <v>1718.16</v>
      </c>
      <c r="BA15" s="84">
        <v>26823.360000000001</v>
      </c>
      <c r="BB15" s="80" t="s">
        <v>9</v>
      </c>
      <c r="BC15" s="64"/>
      <c r="BD15" s="64"/>
    </row>
    <row r="16" spans="1:64" x14ac:dyDescent="0.3">
      <c r="A16" s="63" t="s">
        <v>127</v>
      </c>
      <c r="B16" s="72" t="s">
        <v>122</v>
      </c>
      <c r="C16" s="71" t="s">
        <v>122</v>
      </c>
      <c r="D16" s="70" t="s">
        <v>122</v>
      </c>
      <c r="E16" s="71">
        <v>35</v>
      </c>
      <c r="F16" s="70">
        <v>30</v>
      </c>
      <c r="G16" s="71">
        <v>1.855</v>
      </c>
      <c r="H16" s="70">
        <v>3</v>
      </c>
      <c r="I16" s="71" t="s">
        <v>122</v>
      </c>
      <c r="J16" s="70">
        <v>0.12</v>
      </c>
      <c r="K16" s="71">
        <v>59879</v>
      </c>
      <c r="L16" s="70">
        <v>59720</v>
      </c>
      <c r="M16" s="71">
        <v>1828.165</v>
      </c>
      <c r="N16" s="70">
        <v>63738</v>
      </c>
      <c r="O16" s="71">
        <v>63662</v>
      </c>
      <c r="P16" s="70">
        <v>1989.9639999999999</v>
      </c>
      <c r="Q16" s="71">
        <v>1436310</v>
      </c>
      <c r="R16" s="70">
        <v>1436310</v>
      </c>
      <c r="S16" s="71">
        <v>53957.497000000003</v>
      </c>
      <c r="T16" s="70">
        <v>15022</v>
      </c>
      <c r="U16" s="71">
        <v>14947</v>
      </c>
      <c r="V16" s="70">
        <v>778.096</v>
      </c>
      <c r="W16" s="71">
        <v>21518</v>
      </c>
      <c r="X16" s="70">
        <v>21471</v>
      </c>
      <c r="Y16" s="71">
        <v>494.30399999999997</v>
      </c>
      <c r="Z16" s="70">
        <v>26329</v>
      </c>
      <c r="AA16" s="71">
        <v>26046</v>
      </c>
      <c r="AB16" s="70">
        <v>852.98400000000004</v>
      </c>
      <c r="AC16" s="71">
        <v>26628</v>
      </c>
      <c r="AD16" s="70">
        <v>26565</v>
      </c>
      <c r="AE16" s="71">
        <v>526.19899999999996</v>
      </c>
      <c r="AF16" s="70">
        <v>3537</v>
      </c>
      <c r="AG16" s="71">
        <v>3533</v>
      </c>
      <c r="AH16" s="70">
        <v>135.87299999999999</v>
      </c>
      <c r="AI16" s="71" t="s">
        <v>122</v>
      </c>
      <c r="AJ16" s="70" t="s">
        <v>122</v>
      </c>
      <c r="AK16" s="71" t="s">
        <v>122</v>
      </c>
      <c r="AL16" s="70">
        <v>253846</v>
      </c>
      <c r="AM16" s="71">
        <v>253796</v>
      </c>
      <c r="AN16" s="70">
        <v>1696.0229999999999</v>
      </c>
      <c r="AO16" s="71">
        <v>45391</v>
      </c>
      <c r="AP16" s="70">
        <v>42784</v>
      </c>
      <c r="AQ16" s="71">
        <v>1347.6559999999999</v>
      </c>
      <c r="AR16" s="70">
        <v>7327</v>
      </c>
      <c r="AS16" s="71">
        <v>7313</v>
      </c>
      <c r="AT16" s="70">
        <v>233.625</v>
      </c>
      <c r="AU16" s="71" t="s">
        <v>122</v>
      </c>
      <c r="AV16" s="70" t="s">
        <v>122</v>
      </c>
      <c r="AW16" s="71" t="s">
        <v>122</v>
      </c>
      <c r="AX16" s="70">
        <v>1354892</v>
      </c>
      <c r="AY16" s="71">
        <v>1350333</v>
      </c>
      <c r="AZ16" s="70">
        <v>45435.218999999997</v>
      </c>
      <c r="BA16" s="84">
        <v>18126.685000000001</v>
      </c>
      <c r="BB16" s="80" t="s">
        <v>10</v>
      </c>
      <c r="BC16" s="64"/>
      <c r="BD16" s="64"/>
    </row>
    <row r="17" spans="1:56" x14ac:dyDescent="0.3">
      <c r="A17" s="63" t="s">
        <v>128</v>
      </c>
      <c r="B17" s="72" t="s">
        <v>122</v>
      </c>
      <c r="C17" s="71" t="s">
        <v>122</v>
      </c>
      <c r="D17" s="70" t="s">
        <v>122</v>
      </c>
      <c r="E17" s="71">
        <v>60</v>
      </c>
      <c r="F17" s="70">
        <v>60</v>
      </c>
      <c r="G17" s="71">
        <v>1E-3</v>
      </c>
      <c r="H17" s="70">
        <v>40</v>
      </c>
      <c r="I17" s="71">
        <v>40</v>
      </c>
      <c r="J17" s="70">
        <v>1E-3</v>
      </c>
      <c r="K17" s="71">
        <v>30019</v>
      </c>
      <c r="L17" s="70">
        <v>30019</v>
      </c>
      <c r="M17" s="71">
        <v>1115.9760000000001</v>
      </c>
      <c r="N17" s="70">
        <v>44712</v>
      </c>
      <c r="O17" s="71">
        <v>44712</v>
      </c>
      <c r="P17" s="70">
        <v>619.47900000000004</v>
      </c>
      <c r="Q17" s="71">
        <v>520284</v>
      </c>
      <c r="R17" s="70">
        <v>520283</v>
      </c>
      <c r="S17" s="71">
        <v>12114.022000000001</v>
      </c>
      <c r="T17" s="70">
        <v>106474</v>
      </c>
      <c r="U17" s="71">
        <v>106474</v>
      </c>
      <c r="V17" s="70">
        <v>2263.4140000000002</v>
      </c>
      <c r="W17" s="71">
        <v>11835</v>
      </c>
      <c r="X17" s="70">
        <v>11835</v>
      </c>
      <c r="Y17" s="71">
        <v>177.285</v>
      </c>
      <c r="Z17" s="70">
        <v>8381</v>
      </c>
      <c r="AA17" s="71">
        <v>8381</v>
      </c>
      <c r="AB17" s="70">
        <v>89.259</v>
      </c>
      <c r="AC17" s="71">
        <v>10695</v>
      </c>
      <c r="AD17" s="70">
        <v>10695</v>
      </c>
      <c r="AE17" s="71">
        <v>94.703000000000003</v>
      </c>
      <c r="AF17" s="70">
        <v>1797</v>
      </c>
      <c r="AG17" s="71">
        <v>1797</v>
      </c>
      <c r="AH17" s="70">
        <v>33.820999999999998</v>
      </c>
      <c r="AI17" s="71" t="s">
        <v>122</v>
      </c>
      <c r="AJ17" s="70" t="s">
        <v>122</v>
      </c>
      <c r="AK17" s="71" t="s">
        <v>122</v>
      </c>
      <c r="AL17" s="70">
        <v>66976</v>
      </c>
      <c r="AM17" s="71">
        <v>66976</v>
      </c>
      <c r="AN17" s="70">
        <v>923.16300000000001</v>
      </c>
      <c r="AO17" s="71">
        <v>69578</v>
      </c>
      <c r="AP17" s="70">
        <v>69578</v>
      </c>
      <c r="AQ17" s="71">
        <v>1165.079</v>
      </c>
      <c r="AR17" s="70">
        <v>3075</v>
      </c>
      <c r="AS17" s="71">
        <v>3074</v>
      </c>
      <c r="AT17" s="70">
        <v>29.890999999999998</v>
      </c>
      <c r="AU17" s="71">
        <v>97</v>
      </c>
      <c r="AV17" s="70">
        <v>97</v>
      </c>
      <c r="AW17" s="71">
        <v>1E-3</v>
      </c>
      <c r="AX17" s="70">
        <v>269970</v>
      </c>
      <c r="AY17" s="71">
        <v>267559</v>
      </c>
      <c r="AZ17" s="70">
        <v>2057.8919999999998</v>
      </c>
      <c r="BA17" s="84">
        <v>6225.3549999999996</v>
      </c>
      <c r="BB17" s="80" t="s">
        <v>11</v>
      </c>
      <c r="BC17" s="64"/>
      <c r="BD17" s="64"/>
    </row>
    <row r="18" spans="1:56" x14ac:dyDescent="0.3">
      <c r="A18" s="108" t="s">
        <v>12</v>
      </c>
      <c r="B18" s="109">
        <f>SUM(B20:B26)</f>
        <v>297</v>
      </c>
      <c r="C18" s="90">
        <f t="shared" ref="C18:BA18" si="10">SUM(C20:C26)</f>
        <v>295</v>
      </c>
      <c r="D18" s="90">
        <f t="shared" si="10"/>
        <v>15.82</v>
      </c>
      <c r="E18" s="90">
        <f t="shared" si="10"/>
        <v>673</v>
      </c>
      <c r="F18" s="90">
        <f t="shared" si="10"/>
        <v>657</v>
      </c>
      <c r="G18" s="90">
        <f>SUM(G20:G26)</f>
        <v>7.6590000000000007</v>
      </c>
      <c r="H18" s="90">
        <f t="shared" si="10"/>
        <v>451</v>
      </c>
      <c r="I18" s="90">
        <f t="shared" si="10"/>
        <v>451</v>
      </c>
      <c r="J18" s="90">
        <f t="shared" si="10"/>
        <v>7.4509999999999996</v>
      </c>
      <c r="K18" s="90">
        <f t="shared" si="10"/>
        <v>910592</v>
      </c>
      <c r="L18" s="90">
        <f t="shared" si="10"/>
        <v>895449</v>
      </c>
      <c r="M18" s="90">
        <f t="shared" si="10"/>
        <v>25289.020000000004</v>
      </c>
      <c r="N18" s="90">
        <f t="shared" si="10"/>
        <v>3334906</v>
      </c>
      <c r="O18" s="90">
        <f t="shared" si="10"/>
        <v>3271538</v>
      </c>
      <c r="P18" s="90">
        <f t="shared" si="10"/>
        <v>80946.377000000008</v>
      </c>
      <c r="Q18" s="90">
        <f t="shared" ref="Q18:V18" si="11">SUM(Q20:Q26)</f>
        <v>4255290</v>
      </c>
      <c r="R18" s="90">
        <f t="shared" si="11"/>
        <v>4254836</v>
      </c>
      <c r="S18" s="90">
        <f t="shared" si="11"/>
        <v>149236.05700000003</v>
      </c>
      <c r="T18" s="90">
        <f t="shared" si="11"/>
        <v>425746</v>
      </c>
      <c r="U18" s="90">
        <f t="shared" si="11"/>
        <v>425186</v>
      </c>
      <c r="V18" s="90">
        <f t="shared" si="11"/>
        <v>8562.128999999999</v>
      </c>
      <c r="W18" s="90">
        <f t="shared" si="10"/>
        <v>15992533</v>
      </c>
      <c r="X18" s="90">
        <f t="shared" si="10"/>
        <v>15880486</v>
      </c>
      <c r="Y18" s="90">
        <f t="shared" si="10"/>
        <v>539050.50099999993</v>
      </c>
      <c r="Z18" s="90">
        <f t="shared" si="10"/>
        <v>3187153</v>
      </c>
      <c r="AA18" s="90">
        <f t="shared" si="10"/>
        <v>3154282</v>
      </c>
      <c r="AB18" s="90">
        <f t="shared" si="10"/>
        <v>87379.7</v>
      </c>
      <c r="AC18" s="90">
        <f t="shared" si="10"/>
        <v>6253953</v>
      </c>
      <c r="AD18" s="90">
        <f t="shared" si="10"/>
        <v>6251653</v>
      </c>
      <c r="AE18" s="90">
        <f t="shared" si="10"/>
        <v>88255.989999999991</v>
      </c>
      <c r="AF18" s="90">
        <f t="shared" si="10"/>
        <v>86784</v>
      </c>
      <c r="AG18" s="90">
        <f t="shared" si="10"/>
        <v>86585</v>
      </c>
      <c r="AH18" s="90">
        <f t="shared" si="10"/>
        <v>2304.5319999999997</v>
      </c>
      <c r="AI18" s="90">
        <f t="shared" si="10"/>
        <v>13051</v>
      </c>
      <c r="AJ18" s="90">
        <f t="shared" si="10"/>
        <v>13001</v>
      </c>
      <c r="AK18" s="90">
        <f t="shared" si="10"/>
        <v>209.101</v>
      </c>
      <c r="AL18" s="90">
        <f t="shared" si="10"/>
        <v>1450255</v>
      </c>
      <c r="AM18" s="90">
        <f t="shared" si="10"/>
        <v>1450050</v>
      </c>
      <c r="AN18" s="90">
        <f t="shared" si="10"/>
        <v>12107.902</v>
      </c>
      <c r="AO18" s="90">
        <f t="shared" si="10"/>
        <v>551900</v>
      </c>
      <c r="AP18" s="90">
        <f t="shared" si="10"/>
        <v>550700</v>
      </c>
      <c r="AQ18" s="90">
        <f t="shared" si="10"/>
        <v>8958.7330000000002</v>
      </c>
      <c r="AR18" s="90">
        <f t="shared" si="10"/>
        <v>478372</v>
      </c>
      <c r="AS18" s="90">
        <f t="shared" si="10"/>
        <v>478252</v>
      </c>
      <c r="AT18" s="90">
        <f t="shared" si="10"/>
        <v>9250.3399999999983</v>
      </c>
      <c r="AU18" s="90">
        <f t="shared" si="10"/>
        <v>78101</v>
      </c>
      <c r="AV18" s="90">
        <f t="shared" si="10"/>
        <v>77968</v>
      </c>
      <c r="AW18" s="90">
        <f t="shared" si="10"/>
        <v>840.84099999999989</v>
      </c>
      <c r="AX18" s="90">
        <f t="shared" si="10"/>
        <v>9843877</v>
      </c>
      <c r="AY18" s="90">
        <f t="shared" si="10"/>
        <v>9773600</v>
      </c>
      <c r="AZ18" s="90">
        <f t="shared" si="10"/>
        <v>45411.898000000001</v>
      </c>
      <c r="BA18" s="91">
        <f t="shared" si="10"/>
        <v>56224.181000000004</v>
      </c>
      <c r="BB18" s="114" t="s">
        <v>13</v>
      </c>
      <c r="BC18" s="115"/>
      <c r="BD18" s="115"/>
    </row>
    <row r="19" spans="1:56" x14ac:dyDescent="0.3">
      <c r="A19" s="108"/>
      <c r="B19" s="10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1"/>
      <c r="BB19" s="114"/>
      <c r="BC19" s="115"/>
      <c r="BD19" s="115"/>
    </row>
    <row r="20" spans="1:56" x14ac:dyDescent="0.3">
      <c r="A20" s="63" t="s">
        <v>129</v>
      </c>
      <c r="B20" s="72" t="s">
        <v>122</v>
      </c>
      <c r="C20" s="71" t="s">
        <v>122</v>
      </c>
      <c r="D20" s="70" t="s">
        <v>122</v>
      </c>
      <c r="E20" s="71">
        <v>16</v>
      </c>
      <c r="F20" s="70" t="s">
        <v>122</v>
      </c>
      <c r="G20" s="71">
        <v>0.4</v>
      </c>
      <c r="H20" s="70">
        <v>30</v>
      </c>
      <c r="I20" s="71">
        <v>30</v>
      </c>
      <c r="J20" s="70">
        <v>0.3</v>
      </c>
      <c r="K20" s="71">
        <v>26559</v>
      </c>
      <c r="L20" s="70">
        <v>26543</v>
      </c>
      <c r="M20" s="71">
        <v>945.09299999999996</v>
      </c>
      <c r="N20" s="70">
        <v>36951</v>
      </c>
      <c r="O20" s="71">
        <v>36907</v>
      </c>
      <c r="P20" s="70">
        <v>1837.307</v>
      </c>
      <c r="Q20" s="71">
        <v>8739</v>
      </c>
      <c r="R20" s="70">
        <v>8739</v>
      </c>
      <c r="S20" s="71">
        <v>254.48699999999999</v>
      </c>
      <c r="T20" s="70">
        <v>53989</v>
      </c>
      <c r="U20" s="71">
        <v>53985</v>
      </c>
      <c r="V20" s="70">
        <v>1120.7370000000001</v>
      </c>
      <c r="W20" s="71">
        <v>18040</v>
      </c>
      <c r="X20" s="70">
        <v>18027</v>
      </c>
      <c r="Y20" s="71">
        <v>646.04000000000008</v>
      </c>
      <c r="Z20" s="70">
        <v>17011</v>
      </c>
      <c r="AA20" s="71">
        <v>17011</v>
      </c>
      <c r="AB20" s="70">
        <v>460.26299999999998</v>
      </c>
      <c r="AC20" s="71">
        <v>22726</v>
      </c>
      <c r="AD20" s="70">
        <v>22715</v>
      </c>
      <c r="AE20" s="71">
        <v>630.17899999999997</v>
      </c>
      <c r="AF20" s="70">
        <v>11531</v>
      </c>
      <c r="AG20" s="71">
        <v>11529</v>
      </c>
      <c r="AH20" s="70">
        <v>408.14499999999998</v>
      </c>
      <c r="AI20" s="71">
        <v>250</v>
      </c>
      <c r="AJ20" s="70">
        <v>250</v>
      </c>
      <c r="AK20" s="71">
        <v>4.25</v>
      </c>
      <c r="AL20" s="70">
        <v>106902</v>
      </c>
      <c r="AM20" s="71">
        <v>106902</v>
      </c>
      <c r="AN20" s="70">
        <v>1252.797</v>
      </c>
      <c r="AO20" s="71">
        <v>59788</v>
      </c>
      <c r="AP20" s="70">
        <v>59774</v>
      </c>
      <c r="AQ20" s="71">
        <v>1060.2090000000001</v>
      </c>
      <c r="AR20" s="70">
        <v>7245</v>
      </c>
      <c r="AS20" s="71">
        <v>7245</v>
      </c>
      <c r="AT20" s="70">
        <v>214.25800000000001</v>
      </c>
      <c r="AU20" s="71">
        <v>2751</v>
      </c>
      <c r="AV20" s="70">
        <v>2751</v>
      </c>
      <c r="AW20" s="71">
        <v>48.56</v>
      </c>
      <c r="AX20" s="70">
        <v>569580</v>
      </c>
      <c r="AY20" s="71">
        <v>569572</v>
      </c>
      <c r="AZ20" s="70">
        <v>3935.1030000000001</v>
      </c>
      <c r="BA20" s="84">
        <v>10528.441000000001</v>
      </c>
      <c r="BB20" s="80" t="s">
        <v>14</v>
      </c>
      <c r="BC20" s="64"/>
      <c r="BD20" s="64"/>
    </row>
    <row r="21" spans="1:56" x14ac:dyDescent="0.3">
      <c r="A21" s="63" t="s">
        <v>130</v>
      </c>
      <c r="B21" s="72">
        <v>52</v>
      </c>
      <c r="C21" s="71">
        <v>50</v>
      </c>
      <c r="D21" s="70">
        <v>2</v>
      </c>
      <c r="E21" s="71" t="s">
        <v>122</v>
      </c>
      <c r="F21" s="70" t="s">
        <v>122</v>
      </c>
      <c r="G21" s="71" t="s">
        <v>122</v>
      </c>
      <c r="H21" s="70" t="s">
        <v>122</v>
      </c>
      <c r="I21" s="71" t="s">
        <v>122</v>
      </c>
      <c r="J21" s="70" t="s">
        <v>122</v>
      </c>
      <c r="K21" s="71">
        <v>492115</v>
      </c>
      <c r="L21" s="70">
        <v>477365</v>
      </c>
      <c r="M21" s="71">
        <v>20635.43</v>
      </c>
      <c r="N21" s="70">
        <v>834054</v>
      </c>
      <c r="O21" s="71">
        <v>771224</v>
      </c>
      <c r="P21" s="70">
        <v>39808.281999999999</v>
      </c>
      <c r="Q21" s="71">
        <v>889033</v>
      </c>
      <c r="R21" s="70">
        <v>889029</v>
      </c>
      <c r="S21" s="71">
        <v>32886.385000000002</v>
      </c>
      <c r="T21" s="70">
        <v>16450</v>
      </c>
      <c r="U21" s="71">
        <v>16365</v>
      </c>
      <c r="V21" s="70">
        <v>471.11</v>
      </c>
      <c r="W21" s="71">
        <v>7423802</v>
      </c>
      <c r="X21" s="70">
        <v>7312079</v>
      </c>
      <c r="Y21" s="71">
        <v>252469.14499999999</v>
      </c>
      <c r="Z21" s="70">
        <v>487459</v>
      </c>
      <c r="AA21" s="71">
        <v>454696</v>
      </c>
      <c r="AB21" s="70">
        <v>11229.749</v>
      </c>
      <c r="AC21" s="71">
        <v>624862</v>
      </c>
      <c r="AD21" s="70">
        <v>624793</v>
      </c>
      <c r="AE21" s="71">
        <v>19553.774000000001</v>
      </c>
      <c r="AF21" s="70">
        <v>12607</v>
      </c>
      <c r="AG21" s="71">
        <v>12552</v>
      </c>
      <c r="AH21" s="70">
        <v>703.16</v>
      </c>
      <c r="AI21" s="71" t="s">
        <v>122</v>
      </c>
      <c r="AJ21" s="70" t="s">
        <v>122</v>
      </c>
      <c r="AK21" s="71" t="s">
        <v>122</v>
      </c>
      <c r="AL21" s="70">
        <v>139074</v>
      </c>
      <c r="AM21" s="71">
        <v>139018</v>
      </c>
      <c r="AN21" s="70">
        <v>1091.278</v>
      </c>
      <c r="AO21" s="71">
        <v>46078</v>
      </c>
      <c r="AP21" s="70">
        <v>45977</v>
      </c>
      <c r="AQ21" s="71">
        <v>734.08500000000004</v>
      </c>
      <c r="AR21" s="70">
        <v>12058</v>
      </c>
      <c r="AS21" s="71">
        <v>12058</v>
      </c>
      <c r="AT21" s="70">
        <v>91.6</v>
      </c>
      <c r="AU21" s="71">
        <v>608</v>
      </c>
      <c r="AV21" s="70">
        <v>608</v>
      </c>
      <c r="AW21" s="71">
        <v>1.5509999999999999</v>
      </c>
      <c r="AX21" s="70">
        <v>113229</v>
      </c>
      <c r="AY21" s="71">
        <v>111989</v>
      </c>
      <c r="AZ21" s="70">
        <v>139.958</v>
      </c>
      <c r="BA21" s="84">
        <v>1739.43</v>
      </c>
      <c r="BB21" s="80" t="s">
        <v>15</v>
      </c>
      <c r="BC21" s="64"/>
      <c r="BD21" s="64"/>
    </row>
    <row r="22" spans="1:56" x14ac:dyDescent="0.3">
      <c r="A22" s="63" t="s">
        <v>131</v>
      </c>
      <c r="B22" s="72" t="s">
        <v>122</v>
      </c>
      <c r="C22" s="71" t="s">
        <v>122</v>
      </c>
      <c r="D22" s="70" t="s">
        <v>122</v>
      </c>
      <c r="E22" s="71" t="s">
        <v>122</v>
      </c>
      <c r="F22" s="70" t="s">
        <v>122</v>
      </c>
      <c r="G22" s="71" t="s">
        <v>122</v>
      </c>
      <c r="H22" s="70" t="s">
        <v>122</v>
      </c>
      <c r="I22" s="71" t="s">
        <v>122</v>
      </c>
      <c r="J22" s="70" t="s">
        <v>122</v>
      </c>
      <c r="K22" s="71">
        <v>3173</v>
      </c>
      <c r="L22" s="70">
        <v>3173</v>
      </c>
      <c r="M22" s="71">
        <v>25.509</v>
      </c>
      <c r="N22" s="70">
        <v>9996</v>
      </c>
      <c r="O22" s="71">
        <v>9996</v>
      </c>
      <c r="P22" s="70">
        <v>113.206</v>
      </c>
      <c r="Q22" s="71">
        <v>6353</v>
      </c>
      <c r="R22" s="70">
        <v>6353</v>
      </c>
      <c r="S22" s="71">
        <v>40.655999999999999</v>
      </c>
      <c r="T22" s="70">
        <v>126877</v>
      </c>
      <c r="U22" s="71">
        <v>126877</v>
      </c>
      <c r="V22" s="70">
        <v>1111.568</v>
      </c>
      <c r="W22" s="71">
        <v>22100</v>
      </c>
      <c r="X22" s="70">
        <v>22100</v>
      </c>
      <c r="Y22" s="71">
        <v>447.33500000000004</v>
      </c>
      <c r="Z22" s="70">
        <v>8101</v>
      </c>
      <c r="AA22" s="71">
        <v>8101</v>
      </c>
      <c r="AB22" s="70">
        <v>175</v>
      </c>
      <c r="AC22" s="71">
        <v>73225</v>
      </c>
      <c r="AD22" s="70">
        <v>73225</v>
      </c>
      <c r="AE22" s="71">
        <v>517.84900000000005</v>
      </c>
      <c r="AF22" s="70">
        <v>23021</v>
      </c>
      <c r="AG22" s="71">
        <v>23021</v>
      </c>
      <c r="AH22" s="70">
        <v>365.38099999999997</v>
      </c>
      <c r="AI22" s="71">
        <v>11122</v>
      </c>
      <c r="AJ22" s="70">
        <v>11122</v>
      </c>
      <c r="AK22" s="71">
        <v>187.2</v>
      </c>
      <c r="AL22" s="70">
        <v>94055</v>
      </c>
      <c r="AM22" s="71">
        <v>94055</v>
      </c>
      <c r="AN22" s="70">
        <v>790.19899999999996</v>
      </c>
      <c r="AO22" s="71">
        <v>28726</v>
      </c>
      <c r="AP22" s="70">
        <v>28726</v>
      </c>
      <c r="AQ22" s="71">
        <v>334.99400000000003</v>
      </c>
      <c r="AR22" s="70">
        <v>118278</v>
      </c>
      <c r="AS22" s="71">
        <v>118278</v>
      </c>
      <c r="AT22" s="70">
        <v>2379.674</v>
      </c>
      <c r="AU22" s="71">
        <v>5163</v>
      </c>
      <c r="AV22" s="70">
        <v>5030</v>
      </c>
      <c r="AW22" s="71">
        <v>45.052999999999997</v>
      </c>
      <c r="AX22" s="70">
        <v>199710</v>
      </c>
      <c r="AY22" s="71">
        <v>199710</v>
      </c>
      <c r="AZ22" s="70">
        <v>456.202</v>
      </c>
      <c r="BA22" s="84">
        <v>1476.681</v>
      </c>
      <c r="BB22" s="80" t="s">
        <v>16</v>
      </c>
      <c r="BC22" s="64"/>
      <c r="BD22" s="64"/>
    </row>
    <row r="23" spans="1:56" x14ac:dyDescent="0.3">
      <c r="A23" s="63" t="s">
        <v>132</v>
      </c>
      <c r="B23" s="72" t="s">
        <v>122</v>
      </c>
      <c r="C23" s="71" t="s">
        <v>122</v>
      </c>
      <c r="D23" s="70" t="s">
        <v>122</v>
      </c>
      <c r="E23" s="71" t="s">
        <v>122</v>
      </c>
      <c r="F23" s="70" t="s">
        <v>122</v>
      </c>
      <c r="G23" s="71" t="s">
        <v>122</v>
      </c>
      <c r="H23" s="70" t="s">
        <v>122</v>
      </c>
      <c r="I23" s="71" t="s">
        <v>122</v>
      </c>
      <c r="J23" s="70" t="s">
        <v>122</v>
      </c>
      <c r="K23" s="71">
        <v>368495</v>
      </c>
      <c r="L23" s="70">
        <v>368225</v>
      </c>
      <c r="M23" s="71">
        <v>3087.1660000000002</v>
      </c>
      <c r="N23" s="70">
        <v>2241886</v>
      </c>
      <c r="O23" s="71">
        <v>2241666</v>
      </c>
      <c r="P23" s="70">
        <v>35491.248</v>
      </c>
      <c r="Q23" s="71">
        <v>658765</v>
      </c>
      <c r="R23" s="70">
        <v>658765</v>
      </c>
      <c r="S23" s="71">
        <v>17871.62</v>
      </c>
      <c r="T23" s="70">
        <v>81612</v>
      </c>
      <c r="U23" s="71">
        <v>81462</v>
      </c>
      <c r="V23" s="70">
        <v>1179.585</v>
      </c>
      <c r="W23" s="71">
        <v>8440157</v>
      </c>
      <c r="X23" s="70">
        <v>8439907</v>
      </c>
      <c r="Y23" s="71">
        <v>281895.90299999999</v>
      </c>
      <c r="Z23" s="70">
        <v>1826207</v>
      </c>
      <c r="AA23" s="71">
        <v>1826127</v>
      </c>
      <c r="AB23" s="70">
        <v>48204.578000000001</v>
      </c>
      <c r="AC23" s="71">
        <v>5077963</v>
      </c>
      <c r="AD23" s="70">
        <v>5075923</v>
      </c>
      <c r="AE23" s="71">
        <v>62335.826000000001</v>
      </c>
      <c r="AF23" s="70">
        <v>19989</v>
      </c>
      <c r="AG23" s="71">
        <v>19889</v>
      </c>
      <c r="AH23" s="70">
        <v>388.69099999999997</v>
      </c>
      <c r="AI23" s="71" t="s">
        <v>122</v>
      </c>
      <c r="AJ23" s="70" t="s">
        <v>122</v>
      </c>
      <c r="AK23" s="71" t="s">
        <v>122</v>
      </c>
      <c r="AL23" s="70">
        <v>222163</v>
      </c>
      <c r="AM23" s="71">
        <v>222063</v>
      </c>
      <c r="AN23" s="70">
        <v>865.95600000000002</v>
      </c>
      <c r="AO23" s="71">
        <v>174403</v>
      </c>
      <c r="AP23" s="70">
        <v>173403</v>
      </c>
      <c r="AQ23" s="71">
        <v>1552.2090000000001</v>
      </c>
      <c r="AR23" s="70">
        <v>246739</v>
      </c>
      <c r="AS23" s="71">
        <v>246639</v>
      </c>
      <c r="AT23" s="70">
        <v>4828.9669999999996</v>
      </c>
      <c r="AU23" s="71">
        <v>3091</v>
      </c>
      <c r="AV23" s="70">
        <v>3091</v>
      </c>
      <c r="AW23" s="71">
        <v>4.5519999999999996</v>
      </c>
      <c r="AX23" s="70">
        <v>315500</v>
      </c>
      <c r="AY23" s="71">
        <v>314920</v>
      </c>
      <c r="AZ23" s="70">
        <v>22.315000000000001</v>
      </c>
      <c r="BA23" s="84">
        <v>57.499000000000002</v>
      </c>
      <c r="BB23" s="80" t="s">
        <v>17</v>
      </c>
      <c r="BC23" s="64"/>
      <c r="BD23" s="64"/>
    </row>
    <row r="24" spans="1:56" x14ac:dyDescent="0.3">
      <c r="A24" s="63" t="s">
        <v>133</v>
      </c>
      <c r="B24" s="72">
        <v>30</v>
      </c>
      <c r="C24" s="71">
        <v>30</v>
      </c>
      <c r="D24" s="70">
        <v>0.67</v>
      </c>
      <c r="E24" s="71" t="s">
        <v>122</v>
      </c>
      <c r="F24" s="70" t="s">
        <v>122</v>
      </c>
      <c r="G24" s="71" t="s">
        <v>122</v>
      </c>
      <c r="H24" s="70" t="s">
        <v>122</v>
      </c>
      <c r="I24" s="71" t="s">
        <v>122</v>
      </c>
      <c r="J24" s="70" t="s">
        <v>122</v>
      </c>
      <c r="K24" s="71">
        <v>4272</v>
      </c>
      <c r="L24" s="70">
        <v>4172</v>
      </c>
      <c r="M24" s="71">
        <v>160.66800000000001</v>
      </c>
      <c r="N24" s="70">
        <v>138749</v>
      </c>
      <c r="O24" s="71">
        <v>138497</v>
      </c>
      <c r="P24" s="70">
        <v>2468.0990000000002</v>
      </c>
      <c r="Q24" s="71">
        <v>2645327</v>
      </c>
      <c r="R24" s="70">
        <v>2645327</v>
      </c>
      <c r="S24" s="71">
        <v>96579.4</v>
      </c>
      <c r="T24" s="70">
        <v>29250</v>
      </c>
      <c r="U24" s="71">
        <v>29140</v>
      </c>
      <c r="V24" s="70">
        <v>769.99</v>
      </c>
      <c r="W24" s="71">
        <v>64697</v>
      </c>
      <c r="X24" s="70">
        <v>64636</v>
      </c>
      <c r="Y24" s="71">
        <v>2818.5729999999999</v>
      </c>
      <c r="Z24" s="70">
        <v>212485</v>
      </c>
      <c r="AA24" s="71">
        <v>212457</v>
      </c>
      <c r="AB24" s="70">
        <v>5237.6980000000003</v>
      </c>
      <c r="AC24" s="71">
        <v>422567</v>
      </c>
      <c r="AD24" s="70">
        <v>422387</v>
      </c>
      <c r="AE24" s="71">
        <v>4762.3360000000002</v>
      </c>
      <c r="AF24" s="70">
        <v>4345</v>
      </c>
      <c r="AG24" s="71">
        <v>4303</v>
      </c>
      <c r="AH24" s="70">
        <v>70.709999999999994</v>
      </c>
      <c r="AI24" s="71">
        <v>460</v>
      </c>
      <c r="AJ24" s="70">
        <v>410</v>
      </c>
      <c r="AK24" s="71">
        <v>3.2509999999999999</v>
      </c>
      <c r="AL24" s="70">
        <v>126534</v>
      </c>
      <c r="AM24" s="71">
        <v>126485</v>
      </c>
      <c r="AN24" s="70">
        <v>1396.7449999999999</v>
      </c>
      <c r="AO24" s="71">
        <v>120202</v>
      </c>
      <c r="AP24" s="70">
        <v>120117</v>
      </c>
      <c r="AQ24" s="71">
        <v>2219.88</v>
      </c>
      <c r="AR24" s="70">
        <v>70180</v>
      </c>
      <c r="AS24" s="71">
        <v>70160</v>
      </c>
      <c r="AT24" s="70">
        <v>1408.41</v>
      </c>
      <c r="AU24" s="71">
        <v>1755</v>
      </c>
      <c r="AV24" s="70">
        <v>1755</v>
      </c>
      <c r="AW24" s="71">
        <v>12.425000000000001</v>
      </c>
      <c r="AX24" s="70">
        <v>1017658</v>
      </c>
      <c r="AY24" s="71">
        <v>1014298</v>
      </c>
      <c r="AZ24" s="70">
        <v>424.88400000000001</v>
      </c>
      <c r="BA24" s="84">
        <v>5594.27</v>
      </c>
      <c r="BB24" s="80" t="s">
        <v>18</v>
      </c>
      <c r="BC24" s="64"/>
      <c r="BD24" s="64"/>
    </row>
    <row r="25" spans="1:56" x14ac:dyDescent="0.3">
      <c r="A25" s="63" t="s">
        <v>134</v>
      </c>
      <c r="B25" s="72" t="s">
        <v>122</v>
      </c>
      <c r="C25" s="71" t="s">
        <v>122</v>
      </c>
      <c r="D25" s="70" t="s">
        <v>122</v>
      </c>
      <c r="E25" s="71">
        <v>25</v>
      </c>
      <c r="F25" s="70">
        <v>25</v>
      </c>
      <c r="G25" s="71">
        <v>1</v>
      </c>
      <c r="H25" s="70" t="s">
        <v>122</v>
      </c>
      <c r="I25" s="71" t="s">
        <v>122</v>
      </c>
      <c r="J25" s="70" t="s">
        <v>122</v>
      </c>
      <c r="K25" s="71">
        <v>7149</v>
      </c>
      <c r="L25" s="70">
        <v>7143</v>
      </c>
      <c r="M25" s="71">
        <v>247.613</v>
      </c>
      <c r="N25" s="70">
        <v>58327</v>
      </c>
      <c r="O25" s="71">
        <v>58305</v>
      </c>
      <c r="P25" s="70">
        <v>993.8</v>
      </c>
      <c r="Q25" s="71">
        <v>45392</v>
      </c>
      <c r="R25" s="70">
        <v>44942</v>
      </c>
      <c r="S25" s="71">
        <v>1578.9090000000001</v>
      </c>
      <c r="T25" s="70">
        <v>93492</v>
      </c>
      <c r="U25" s="71">
        <v>93281</v>
      </c>
      <c r="V25" s="70">
        <v>2712.9180000000001</v>
      </c>
      <c r="W25" s="71">
        <v>14686</v>
      </c>
      <c r="X25" s="70">
        <v>14686</v>
      </c>
      <c r="Y25" s="71">
        <v>558.16700000000003</v>
      </c>
      <c r="Z25" s="70">
        <v>2474</v>
      </c>
      <c r="AA25" s="71">
        <v>2474</v>
      </c>
      <c r="AB25" s="70">
        <v>49.11</v>
      </c>
      <c r="AC25" s="71">
        <v>22336</v>
      </c>
      <c r="AD25" s="70">
        <v>22336</v>
      </c>
      <c r="AE25" s="71">
        <v>276.39600000000002</v>
      </c>
      <c r="AF25" s="70">
        <v>5024</v>
      </c>
      <c r="AG25" s="71">
        <v>5024</v>
      </c>
      <c r="AH25" s="70">
        <v>138.86000000000001</v>
      </c>
      <c r="AI25" s="71">
        <v>1163</v>
      </c>
      <c r="AJ25" s="70">
        <v>1163</v>
      </c>
      <c r="AK25" s="71">
        <v>14</v>
      </c>
      <c r="AL25" s="70">
        <v>710021</v>
      </c>
      <c r="AM25" s="71">
        <v>710021</v>
      </c>
      <c r="AN25" s="70">
        <v>6113.1170000000002</v>
      </c>
      <c r="AO25" s="71">
        <v>102551</v>
      </c>
      <c r="AP25" s="70">
        <v>102551</v>
      </c>
      <c r="AQ25" s="71">
        <v>2674.5810000000001</v>
      </c>
      <c r="AR25" s="70">
        <v>4599</v>
      </c>
      <c r="AS25" s="71">
        <v>4599</v>
      </c>
      <c r="AT25" s="70">
        <v>145.55000000000001</v>
      </c>
      <c r="AU25" s="71">
        <v>2379</v>
      </c>
      <c r="AV25" s="70">
        <v>2379</v>
      </c>
      <c r="AW25" s="71">
        <v>22.27</v>
      </c>
      <c r="AX25" s="70">
        <v>1781040</v>
      </c>
      <c r="AY25" s="71">
        <v>1715951</v>
      </c>
      <c r="AZ25" s="70">
        <v>3445.9949999999999</v>
      </c>
      <c r="BA25" s="84">
        <v>22617.633999999998</v>
      </c>
      <c r="BB25" s="80" t="s">
        <v>19</v>
      </c>
      <c r="BC25" s="64"/>
      <c r="BD25" s="64"/>
    </row>
    <row r="26" spans="1:56" x14ac:dyDescent="0.3">
      <c r="A26" s="63" t="s">
        <v>135</v>
      </c>
      <c r="B26" s="72">
        <v>215</v>
      </c>
      <c r="C26" s="71">
        <v>215</v>
      </c>
      <c r="D26" s="70">
        <v>13.15</v>
      </c>
      <c r="E26" s="71">
        <v>632</v>
      </c>
      <c r="F26" s="70">
        <v>632</v>
      </c>
      <c r="G26" s="71">
        <v>6.2590000000000003</v>
      </c>
      <c r="H26" s="70">
        <v>421</v>
      </c>
      <c r="I26" s="71">
        <v>421</v>
      </c>
      <c r="J26" s="70">
        <v>7.1509999999999998</v>
      </c>
      <c r="K26" s="71">
        <v>8829</v>
      </c>
      <c r="L26" s="70">
        <v>8828</v>
      </c>
      <c r="M26" s="71">
        <v>187.541</v>
      </c>
      <c r="N26" s="70">
        <v>14943</v>
      </c>
      <c r="O26" s="71">
        <v>14943</v>
      </c>
      <c r="P26" s="70">
        <v>234.435</v>
      </c>
      <c r="Q26" s="71">
        <v>1681</v>
      </c>
      <c r="R26" s="70">
        <v>1681</v>
      </c>
      <c r="S26" s="71">
        <v>24.6</v>
      </c>
      <c r="T26" s="70">
        <v>24076</v>
      </c>
      <c r="U26" s="71">
        <v>24076</v>
      </c>
      <c r="V26" s="70">
        <v>1196.221</v>
      </c>
      <c r="W26" s="71">
        <v>9051</v>
      </c>
      <c r="X26" s="70">
        <v>9051</v>
      </c>
      <c r="Y26" s="71">
        <v>215.33799999999999</v>
      </c>
      <c r="Z26" s="70">
        <v>633416</v>
      </c>
      <c r="AA26" s="71">
        <v>633416</v>
      </c>
      <c r="AB26" s="70">
        <v>22023.302</v>
      </c>
      <c r="AC26" s="71">
        <v>10274</v>
      </c>
      <c r="AD26" s="70">
        <v>10274</v>
      </c>
      <c r="AE26" s="71">
        <v>179.63</v>
      </c>
      <c r="AF26" s="70">
        <v>10267</v>
      </c>
      <c r="AG26" s="71">
        <v>10267</v>
      </c>
      <c r="AH26" s="70">
        <v>229.58500000000001</v>
      </c>
      <c r="AI26" s="71">
        <v>56</v>
      </c>
      <c r="AJ26" s="70">
        <v>56</v>
      </c>
      <c r="AK26" s="71">
        <v>0.4</v>
      </c>
      <c r="AL26" s="70">
        <v>51506</v>
      </c>
      <c r="AM26" s="71">
        <v>51506</v>
      </c>
      <c r="AN26" s="70">
        <v>597.80999999999995</v>
      </c>
      <c r="AO26" s="71">
        <v>20152</v>
      </c>
      <c r="AP26" s="70">
        <v>20152</v>
      </c>
      <c r="AQ26" s="71">
        <v>382.77499999999998</v>
      </c>
      <c r="AR26" s="70">
        <v>19273</v>
      </c>
      <c r="AS26" s="71">
        <v>19273</v>
      </c>
      <c r="AT26" s="70">
        <v>181.881</v>
      </c>
      <c r="AU26" s="71">
        <v>62354</v>
      </c>
      <c r="AV26" s="70">
        <v>62354</v>
      </c>
      <c r="AW26" s="71">
        <v>706.43</v>
      </c>
      <c r="AX26" s="70">
        <v>5847160</v>
      </c>
      <c r="AY26" s="71">
        <v>5847160</v>
      </c>
      <c r="AZ26" s="70">
        <v>36987.440999999999</v>
      </c>
      <c r="BA26" s="84">
        <v>14210.226000000001</v>
      </c>
      <c r="BB26" s="80" t="s">
        <v>20</v>
      </c>
      <c r="BC26" s="64"/>
      <c r="BD26" s="64"/>
    </row>
    <row r="27" spans="1:56" ht="22.2" customHeight="1" x14ac:dyDescent="0.3">
      <c r="A27" s="65" t="s">
        <v>120</v>
      </c>
      <c r="B27" s="87">
        <f>SUM(B28:B31)</f>
        <v>0</v>
      </c>
      <c r="C27" s="88">
        <f t="shared" ref="C27:BA27" si="12">SUM(C28:C31)</f>
        <v>0</v>
      </c>
      <c r="D27" s="88">
        <f t="shared" si="12"/>
        <v>0</v>
      </c>
      <c r="E27" s="88">
        <f>SUM(E28:E31)</f>
        <v>0</v>
      </c>
      <c r="F27" s="88">
        <f>SUM(F28:F31)</f>
        <v>0</v>
      </c>
      <c r="G27" s="88">
        <f>SUM(G28:G31)</f>
        <v>0</v>
      </c>
      <c r="H27" s="88">
        <f t="shared" si="12"/>
        <v>0</v>
      </c>
      <c r="I27" s="88">
        <f t="shared" si="12"/>
        <v>0</v>
      </c>
      <c r="J27" s="88">
        <f t="shared" si="12"/>
        <v>0</v>
      </c>
      <c r="K27" s="88">
        <f t="shared" si="12"/>
        <v>109600</v>
      </c>
      <c r="L27" s="88">
        <f t="shared" si="12"/>
        <v>107076</v>
      </c>
      <c r="M27" s="88">
        <f t="shared" si="12"/>
        <v>2309.7619999999997</v>
      </c>
      <c r="N27" s="88">
        <f t="shared" si="12"/>
        <v>5976608</v>
      </c>
      <c r="O27" s="88">
        <f t="shared" si="12"/>
        <v>5971690</v>
      </c>
      <c r="P27" s="88">
        <f t="shared" si="12"/>
        <v>97184.197000000015</v>
      </c>
      <c r="Q27" s="88">
        <f t="shared" si="12"/>
        <v>539</v>
      </c>
      <c r="R27" s="88">
        <f t="shared" si="12"/>
        <v>539</v>
      </c>
      <c r="S27" s="88">
        <f t="shared" si="12"/>
        <v>22.259999999999998</v>
      </c>
      <c r="T27" s="88">
        <f t="shared" si="12"/>
        <v>7346</v>
      </c>
      <c r="U27" s="88">
        <f t="shared" si="12"/>
        <v>5202</v>
      </c>
      <c r="V27" s="88">
        <f t="shared" si="12"/>
        <v>188.494</v>
      </c>
      <c r="W27" s="88">
        <f t="shared" si="12"/>
        <v>1563010</v>
      </c>
      <c r="X27" s="88">
        <f t="shared" si="12"/>
        <v>1562131</v>
      </c>
      <c r="Y27" s="88">
        <f t="shared" si="12"/>
        <v>55837.01</v>
      </c>
      <c r="Z27" s="88">
        <f t="shared" si="12"/>
        <v>23844</v>
      </c>
      <c r="AA27" s="88">
        <f t="shared" si="12"/>
        <v>23528</v>
      </c>
      <c r="AB27" s="88">
        <f t="shared" si="12"/>
        <v>600.96699999999998</v>
      </c>
      <c r="AC27" s="88">
        <f t="shared" si="12"/>
        <v>978685</v>
      </c>
      <c r="AD27" s="88">
        <f t="shared" si="12"/>
        <v>975591</v>
      </c>
      <c r="AE27" s="88">
        <f t="shared" si="12"/>
        <v>20387.682000000001</v>
      </c>
      <c r="AF27" s="88">
        <f t="shared" si="12"/>
        <v>2601</v>
      </c>
      <c r="AG27" s="88">
        <f t="shared" si="12"/>
        <v>1580</v>
      </c>
      <c r="AH27" s="88">
        <f t="shared" si="12"/>
        <v>245.935</v>
      </c>
      <c r="AI27" s="88">
        <f t="shared" si="12"/>
        <v>1005</v>
      </c>
      <c r="AJ27" s="88">
        <f t="shared" si="12"/>
        <v>1005</v>
      </c>
      <c r="AK27" s="88">
        <f t="shared" si="12"/>
        <v>16.75</v>
      </c>
      <c r="AL27" s="88">
        <f t="shared" si="12"/>
        <v>424156</v>
      </c>
      <c r="AM27" s="88">
        <f t="shared" si="12"/>
        <v>421266</v>
      </c>
      <c r="AN27" s="88">
        <f t="shared" si="12"/>
        <v>6451.7090000000007</v>
      </c>
      <c r="AO27" s="88">
        <f t="shared" si="12"/>
        <v>425492</v>
      </c>
      <c r="AP27" s="88">
        <f t="shared" si="12"/>
        <v>419943</v>
      </c>
      <c r="AQ27" s="88">
        <f t="shared" si="12"/>
        <v>5610.0609999999997</v>
      </c>
      <c r="AR27" s="88">
        <f t="shared" si="12"/>
        <v>101163</v>
      </c>
      <c r="AS27" s="88">
        <f t="shared" si="12"/>
        <v>99655</v>
      </c>
      <c r="AT27" s="88">
        <f t="shared" si="12"/>
        <v>1862.0070000000001</v>
      </c>
      <c r="AU27" s="88">
        <f t="shared" si="12"/>
        <v>2047</v>
      </c>
      <c r="AV27" s="88">
        <f t="shared" si="12"/>
        <v>2042</v>
      </c>
      <c r="AW27" s="88">
        <f t="shared" si="12"/>
        <v>76.115000000000009</v>
      </c>
      <c r="AX27" s="88">
        <f t="shared" si="12"/>
        <v>88798</v>
      </c>
      <c r="AY27" s="88">
        <f t="shared" si="12"/>
        <v>88771</v>
      </c>
      <c r="AZ27" s="88">
        <f t="shared" si="12"/>
        <v>221.91499999999999</v>
      </c>
      <c r="BA27" s="89">
        <f t="shared" si="12"/>
        <v>746.76300000000003</v>
      </c>
      <c r="BB27" s="81" t="s">
        <v>119</v>
      </c>
      <c r="BC27" s="64"/>
      <c r="BD27" s="64"/>
    </row>
    <row r="28" spans="1:56" x14ac:dyDescent="0.3">
      <c r="A28" s="63" t="s">
        <v>136</v>
      </c>
      <c r="B28" s="72" t="s">
        <v>122</v>
      </c>
      <c r="C28" s="71" t="s">
        <v>122</v>
      </c>
      <c r="D28" s="70" t="s">
        <v>122</v>
      </c>
      <c r="E28" s="71" t="s">
        <v>122</v>
      </c>
      <c r="F28" s="70" t="s">
        <v>122</v>
      </c>
      <c r="G28" s="71" t="s">
        <v>122</v>
      </c>
      <c r="H28" s="70" t="s">
        <v>122</v>
      </c>
      <c r="I28" s="71" t="s">
        <v>122</v>
      </c>
      <c r="J28" s="70" t="s">
        <v>122</v>
      </c>
      <c r="K28" s="71">
        <v>42275</v>
      </c>
      <c r="L28" s="70">
        <v>40179</v>
      </c>
      <c r="M28" s="71">
        <v>442.286</v>
      </c>
      <c r="N28" s="70">
        <v>3030494</v>
      </c>
      <c r="O28" s="71">
        <v>3026986</v>
      </c>
      <c r="P28" s="70">
        <v>46156.945</v>
      </c>
      <c r="Q28" s="71">
        <v>255</v>
      </c>
      <c r="R28" s="70">
        <v>255</v>
      </c>
      <c r="S28" s="71">
        <v>12</v>
      </c>
      <c r="T28" s="70">
        <v>6801</v>
      </c>
      <c r="U28" s="71">
        <v>4668</v>
      </c>
      <c r="V28" s="70">
        <v>169</v>
      </c>
      <c r="W28" s="71">
        <v>592002</v>
      </c>
      <c r="X28" s="70">
        <v>591185</v>
      </c>
      <c r="Y28" s="71">
        <v>11707.361000000001</v>
      </c>
      <c r="Z28" s="70">
        <v>9029</v>
      </c>
      <c r="AA28" s="71">
        <v>8752</v>
      </c>
      <c r="AB28" s="70">
        <v>93.361999999999995</v>
      </c>
      <c r="AC28" s="71">
        <v>670752</v>
      </c>
      <c r="AD28" s="70">
        <v>668542</v>
      </c>
      <c r="AE28" s="71">
        <v>9222.125</v>
      </c>
      <c r="AF28" s="70">
        <v>1425</v>
      </c>
      <c r="AG28" s="71">
        <v>507</v>
      </c>
      <c r="AH28" s="70">
        <v>33.064999999999998</v>
      </c>
      <c r="AI28" s="71" t="s">
        <v>122</v>
      </c>
      <c r="AJ28" s="70" t="s">
        <v>122</v>
      </c>
      <c r="AK28" s="71" t="s">
        <v>122</v>
      </c>
      <c r="AL28" s="70">
        <v>220303</v>
      </c>
      <c r="AM28" s="71">
        <v>218210</v>
      </c>
      <c r="AN28" s="70">
        <v>1046.1310000000001</v>
      </c>
      <c r="AO28" s="71">
        <v>197687</v>
      </c>
      <c r="AP28" s="70">
        <v>195065</v>
      </c>
      <c r="AQ28" s="71">
        <v>2119.9380000000001</v>
      </c>
      <c r="AR28" s="70">
        <v>25991</v>
      </c>
      <c r="AS28" s="71">
        <v>24508</v>
      </c>
      <c r="AT28" s="70">
        <v>381.52499999999998</v>
      </c>
      <c r="AU28" s="71">
        <v>1948</v>
      </c>
      <c r="AV28" s="70">
        <v>1943</v>
      </c>
      <c r="AW28" s="71">
        <v>73.150000000000006</v>
      </c>
      <c r="AX28" s="70">
        <v>88778</v>
      </c>
      <c r="AY28" s="71">
        <v>88751</v>
      </c>
      <c r="AZ28" s="70">
        <v>221.91499999999999</v>
      </c>
      <c r="BA28" s="84">
        <v>746.26300000000003</v>
      </c>
      <c r="BB28" s="80" t="s">
        <v>21</v>
      </c>
      <c r="BC28" s="64"/>
      <c r="BD28" s="64"/>
    </row>
    <row r="29" spans="1:56" x14ac:dyDescent="0.3">
      <c r="A29" s="63" t="s">
        <v>137</v>
      </c>
      <c r="B29" s="72" t="s">
        <v>122</v>
      </c>
      <c r="C29" s="71" t="s">
        <v>122</v>
      </c>
      <c r="D29" s="70" t="s">
        <v>122</v>
      </c>
      <c r="E29" s="71" t="s">
        <v>122</v>
      </c>
      <c r="F29" s="70" t="s">
        <v>122</v>
      </c>
      <c r="G29" s="71" t="s">
        <v>122</v>
      </c>
      <c r="H29" s="70" t="s">
        <v>122</v>
      </c>
      <c r="I29" s="71" t="s">
        <v>122</v>
      </c>
      <c r="J29" s="70" t="s">
        <v>122</v>
      </c>
      <c r="K29" s="71">
        <v>2736</v>
      </c>
      <c r="L29" s="70">
        <v>2308</v>
      </c>
      <c r="M29" s="71">
        <v>50.875999999999998</v>
      </c>
      <c r="N29" s="70">
        <v>36423</v>
      </c>
      <c r="O29" s="71">
        <v>35028</v>
      </c>
      <c r="P29" s="70">
        <v>815.19</v>
      </c>
      <c r="Q29" s="71" t="s">
        <v>122</v>
      </c>
      <c r="R29" s="70" t="s">
        <v>122</v>
      </c>
      <c r="S29" s="71" t="s">
        <v>122</v>
      </c>
      <c r="T29" s="70">
        <v>11</v>
      </c>
      <c r="U29" s="71" t="s">
        <v>122</v>
      </c>
      <c r="V29" s="70">
        <v>0.154</v>
      </c>
      <c r="W29" s="71">
        <v>1007</v>
      </c>
      <c r="X29" s="70">
        <v>945</v>
      </c>
      <c r="Y29" s="71">
        <v>15.699</v>
      </c>
      <c r="Z29" s="70">
        <v>325</v>
      </c>
      <c r="AA29" s="71">
        <v>286</v>
      </c>
      <c r="AB29" s="70">
        <v>5.1109999999999998</v>
      </c>
      <c r="AC29" s="71">
        <v>25076</v>
      </c>
      <c r="AD29" s="70">
        <v>24192</v>
      </c>
      <c r="AE29" s="71">
        <v>293.529</v>
      </c>
      <c r="AF29" s="70">
        <v>108</v>
      </c>
      <c r="AG29" s="71">
        <v>5</v>
      </c>
      <c r="AH29" s="70">
        <v>1.33</v>
      </c>
      <c r="AI29" s="71" t="s">
        <v>122</v>
      </c>
      <c r="AJ29" s="70" t="s">
        <v>122</v>
      </c>
      <c r="AK29" s="71" t="s">
        <v>122</v>
      </c>
      <c r="AL29" s="70">
        <v>43557</v>
      </c>
      <c r="AM29" s="71">
        <v>42760</v>
      </c>
      <c r="AN29" s="70">
        <v>339.74400000000003</v>
      </c>
      <c r="AO29" s="71">
        <v>97043</v>
      </c>
      <c r="AP29" s="70">
        <v>95150</v>
      </c>
      <c r="AQ29" s="71">
        <v>1066.8</v>
      </c>
      <c r="AR29" s="70">
        <v>8206</v>
      </c>
      <c r="AS29" s="71">
        <v>8181</v>
      </c>
      <c r="AT29" s="70">
        <v>111.33</v>
      </c>
      <c r="AU29" s="71" t="s">
        <v>122</v>
      </c>
      <c r="AV29" s="70" t="s">
        <v>122</v>
      </c>
      <c r="AW29" s="71" t="s">
        <v>122</v>
      </c>
      <c r="AX29" s="70" t="s">
        <v>122</v>
      </c>
      <c r="AY29" s="71" t="s">
        <v>122</v>
      </c>
      <c r="AZ29" s="70" t="s">
        <v>122</v>
      </c>
      <c r="BA29" s="84" t="s">
        <v>122</v>
      </c>
      <c r="BB29" s="80" t="s">
        <v>22</v>
      </c>
      <c r="BC29" s="64"/>
      <c r="BD29" s="64"/>
    </row>
    <row r="30" spans="1:56" x14ac:dyDescent="0.3">
      <c r="A30" s="63" t="s">
        <v>138</v>
      </c>
      <c r="B30" s="72" t="s">
        <v>122</v>
      </c>
      <c r="C30" s="71" t="s">
        <v>122</v>
      </c>
      <c r="D30" s="70" t="s">
        <v>122</v>
      </c>
      <c r="E30" s="71" t="s">
        <v>122</v>
      </c>
      <c r="F30" s="70" t="s">
        <v>122</v>
      </c>
      <c r="G30" s="71" t="s">
        <v>122</v>
      </c>
      <c r="H30" s="70" t="s">
        <v>122</v>
      </c>
      <c r="I30" s="71" t="s">
        <v>122</v>
      </c>
      <c r="J30" s="70" t="s">
        <v>122</v>
      </c>
      <c r="K30" s="71">
        <v>10881</v>
      </c>
      <c r="L30" s="70">
        <v>10881</v>
      </c>
      <c r="M30" s="71">
        <v>39.424999999999997</v>
      </c>
      <c r="N30" s="70">
        <v>2490096</v>
      </c>
      <c r="O30" s="71">
        <v>2490081</v>
      </c>
      <c r="P30" s="70">
        <v>35453.728000000003</v>
      </c>
      <c r="Q30" s="71" t="s">
        <v>122</v>
      </c>
      <c r="R30" s="70" t="s">
        <v>122</v>
      </c>
      <c r="S30" s="71" t="s">
        <v>122</v>
      </c>
      <c r="T30" s="70">
        <v>20</v>
      </c>
      <c r="U30" s="71">
        <v>20</v>
      </c>
      <c r="V30" s="70">
        <v>0.9</v>
      </c>
      <c r="W30" s="71">
        <v>335</v>
      </c>
      <c r="X30" s="70">
        <v>335</v>
      </c>
      <c r="Y30" s="71">
        <v>7.7550000000000008</v>
      </c>
      <c r="Z30" s="70">
        <v>195</v>
      </c>
      <c r="AA30" s="71">
        <v>195</v>
      </c>
      <c r="AB30" s="70">
        <v>3.9289999999999998</v>
      </c>
      <c r="AC30" s="71">
        <v>10443</v>
      </c>
      <c r="AD30" s="70">
        <v>10443</v>
      </c>
      <c r="AE30" s="71">
        <v>47.036000000000001</v>
      </c>
      <c r="AF30" s="70">
        <v>988</v>
      </c>
      <c r="AG30" s="71">
        <v>988</v>
      </c>
      <c r="AH30" s="70">
        <v>208.74</v>
      </c>
      <c r="AI30" s="71">
        <v>1005</v>
      </c>
      <c r="AJ30" s="70">
        <v>1005</v>
      </c>
      <c r="AK30" s="71">
        <v>16.75</v>
      </c>
      <c r="AL30" s="70">
        <v>27863</v>
      </c>
      <c r="AM30" s="71">
        <v>27863</v>
      </c>
      <c r="AN30" s="70">
        <v>142.12200000000001</v>
      </c>
      <c r="AO30" s="71">
        <v>56470</v>
      </c>
      <c r="AP30" s="70">
        <v>55436</v>
      </c>
      <c r="AQ30" s="71">
        <v>721.54</v>
      </c>
      <c r="AR30" s="70">
        <v>13123</v>
      </c>
      <c r="AS30" s="71">
        <v>13123</v>
      </c>
      <c r="AT30" s="70">
        <v>201.03</v>
      </c>
      <c r="AU30" s="71">
        <v>20</v>
      </c>
      <c r="AV30" s="70">
        <v>20</v>
      </c>
      <c r="AW30" s="71">
        <v>0.2</v>
      </c>
      <c r="AX30" s="70" t="s">
        <v>122</v>
      </c>
      <c r="AY30" s="71" t="s">
        <v>122</v>
      </c>
      <c r="AZ30" s="70" t="s">
        <v>122</v>
      </c>
      <c r="BA30" s="84" t="s">
        <v>122</v>
      </c>
      <c r="BB30" s="80" t="s">
        <v>23</v>
      </c>
      <c r="BC30" s="64"/>
      <c r="BD30" s="64"/>
    </row>
    <row r="31" spans="1:56" x14ac:dyDescent="0.3">
      <c r="A31" s="63" t="s">
        <v>139</v>
      </c>
      <c r="B31" s="72" t="s">
        <v>122</v>
      </c>
      <c r="C31" s="71" t="s">
        <v>122</v>
      </c>
      <c r="D31" s="70" t="s">
        <v>122</v>
      </c>
      <c r="E31" s="71" t="s">
        <v>122</v>
      </c>
      <c r="F31" s="70" t="s">
        <v>122</v>
      </c>
      <c r="G31" s="71" t="s">
        <v>122</v>
      </c>
      <c r="H31" s="70" t="s">
        <v>122</v>
      </c>
      <c r="I31" s="71" t="s">
        <v>122</v>
      </c>
      <c r="J31" s="70" t="s">
        <v>122</v>
      </c>
      <c r="K31" s="71">
        <v>53708</v>
      </c>
      <c r="L31" s="70">
        <v>53708</v>
      </c>
      <c r="M31" s="71">
        <v>1777.175</v>
      </c>
      <c r="N31" s="70">
        <v>419595</v>
      </c>
      <c r="O31" s="71">
        <v>419595</v>
      </c>
      <c r="P31" s="70">
        <v>14758.334000000001</v>
      </c>
      <c r="Q31" s="71">
        <v>284</v>
      </c>
      <c r="R31" s="70">
        <v>284</v>
      </c>
      <c r="S31" s="71">
        <v>10.26</v>
      </c>
      <c r="T31" s="70">
        <v>514</v>
      </c>
      <c r="U31" s="71">
        <v>514</v>
      </c>
      <c r="V31" s="70">
        <v>18.440000000000001</v>
      </c>
      <c r="W31" s="71">
        <v>969666</v>
      </c>
      <c r="X31" s="70">
        <v>969666</v>
      </c>
      <c r="Y31" s="71">
        <v>44106.195</v>
      </c>
      <c r="Z31" s="70">
        <v>14295</v>
      </c>
      <c r="AA31" s="71">
        <v>14295</v>
      </c>
      <c r="AB31" s="70">
        <v>498.565</v>
      </c>
      <c r="AC31" s="71">
        <v>272414</v>
      </c>
      <c r="AD31" s="70">
        <v>272414</v>
      </c>
      <c r="AE31" s="71">
        <v>10824.992</v>
      </c>
      <c r="AF31" s="70">
        <v>80</v>
      </c>
      <c r="AG31" s="71">
        <v>80</v>
      </c>
      <c r="AH31" s="70">
        <v>2.8</v>
      </c>
      <c r="AI31" s="71" t="s">
        <v>122</v>
      </c>
      <c r="AJ31" s="70" t="s">
        <v>122</v>
      </c>
      <c r="AK31" s="71" t="s">
        <v>122</v>
      </c>
      <c r="AL31" s="70">
        <v>132433</v>
      </c>
      <c r="AM31" s="71">
        <v>132433</v>
      </c>
      <c r="AN31" s="70">
        <v>4923.7120000000004</v>
      </c>
      <c r="AO31" s="71">
        <v>74292</v>
      </c>
      <c r="AP31" s="70">
        <v>74292</v>
      </c>
      <c r="AQ31" s="71">
        <v>1701.7829999999999</v>
      </c>
      <c r="AR31" s="70">
        <v>53843</v>
      </c>
      <c r="AS31" s="71">
        <v>53843</v>
      </c>
      <c r="AT31" s="70">
        <v>1168.1220000000001</v>
      </c>
      <c r="AU31" s="71">
        <v>79</v>
      </c>
      <c r="AV31" s="70">
        <v>79</v>
      </c>
      <c r="AW31" s="71">
        <v>2.7650000000000001</v>
      </c>
      <c r="AX31" s="70">
        <v>20</v>
      </c>
      <c r="AY31" s="71">
        <v>20</v>
      </c>
      <c r="AZ31" s="70" t="s">
        <v>122</v>
      </c>
      <c r="BA31" s="84">
        <v>0.5</v>
      </c>
      <c r="BB31" s="80" t="s">
        <v>24</v>
      </c>
      <c r="BC31" s="64"/>
      <c r="BD31" s="64"/>
    </row>
    <row r="32" spans="1:56" x14ac:dyDescent="0.3">
      <c r="A32" s="108" t="s">
        <v>25</v>
      </c>
      <c r="B32" s="109">
        <f t="shared" ref="B32:J32" si="13">SUM(B34:B37)</f>
        <v>79351</v>
      </c>
      <c r="C32" s="90">
        <f t="shared" si="13"/>
        <v>72874</v>
      </c>
      <c r="D32" s="90">
        <f t="shared" si="13"/>
        <v>2669.5519999999997</v>
      </c>
      <c r="E32" s="90">
        <f t="shared" si="13"/>
        <v>1317944</v>
      </c>
      <c r="F32" s="90">
        <f t="shared" si="13"/>
        <v>1308582</v>
      </c>
      <c r="G32" s="90">
        <f>SUM(G34:G37)</f>
        <v>50784.447</v>
      </c>
      <c r="H32" s="90">
        <f t="shared" si="13"/>
        <v>1676422</v>
      </c>
      <c r="I32" s="90">
        <f t="shared" si="13"/>
        <v>1669675</v>
      </c>
      <c r="J32" s="90">
        <f t="shared" si="13"/>
        <v>80812.368999999992</v>
      </c>
      <c r="K32" s="90">
        <f>SUM(K34:K37)</f>
        <v>10549</v>
      </c>
      <c r="L32" s="90">
        <f>SUM(L34:L37)</f>
        <v>5206</v>
      </c>
      <c r="M32" s="90">
        <f>SUM(M34:M37)</f>
        <v>275.99799999999999</v>
      </c>
      <c r="N32" s="90">
        <f>SUM(N34:N37)</f>
        <v>10995</v>
      </c>
      <c r="O32" s="90">
        <f t="shared" ref="O32:AE32" si="14">SUM(O34:O37)</f>
        <v>6738</v>
      </c>
      <c r="P32" s="90">
        <f t="shared" si="14"/>
        <v>393.28899999999999</v>
      </c>
      <c r="Q32" s="90">
        <f t="shared" ref="Q32:V32" si="15">SUM(Q34:Q37)</f>
        <v>1715902</v>
      </c>
      <c r="R32" s="90">
        <f t="shared" si="15"/>
        <v>1715752</v>
      </c>
      <c r="S32" s="90">
        <f t="shared" si="15"/>
        <v>98088.042999999991</v>
      </c>
      <c r="T32" s="90">
        <f t="shared" si="15"/>
        <v>31279</v>
      </c>
      <c r="U32" s="90">
        <f t="shared" si="15"/>
        <v>26968</v>
      </c>
      <c r="V32" s="90">
        <f t="shared" si="15"/>
        <v>770.16600000000005</v>
      </c>
      <c r="W32" s="90">
        <f t="shared" si="14"/>
        <v>11859</v>
      </c>
      <c r="X32" s="90">
        <f t="shared" si="14"/>
        <v>9113</v>
      </c>
      <c r="Y32" s="90">
        <f t="shared" si="14"/>
        <v>346.23699999999997</v>
      </c>
      <c r="Z32" s="96">
        <f t="shared" si="14"/>
        <v>3594</v>
      </c>
      <c r="AA32" s="90">
        <f t="shared" si="14"/>
        <v>2738</v>
      </c>
      <c r="AB32" s="90">
        <f t="shared" si="14"/>
        <v>95.058999999999997</v>
      </c>
      <c r="AC32" s="90">
        <f t="shared" si="14"/>
        <v>9480</v>
      </c>
      <c r="AD32" s="90">
        <f t="shared" si="14"/>
        <v>4606</v>
      </c>
      <c r="AE32" s="90">
        <f t="shared" si="14"/>
        <v>222.232</v>
      </c>
      <c r="AF32" s="90">
        <f>SUM(AF34:AF37)</f>
        <v>13395</v>
      </c>
      <c r="AG32" s="90">
        <f t="shared" ref="AG32:AQ32" si="16">SUM(AG34:AG37)</f>
        <v>2801</v>
      </c>
      <c r="AH32" s="90">
        <f t="shared" si="16"/>
        <v>376.59</v>
      </c>
      <c r="AI32" s="90">
        <f t="shared" si="16"/>
        <v>72</v>
      </c>
      <c r="AJ32" s="90">
        <f t="shared" si="16"/>
        <v>5</v>
      </c>
      <c r="AK32" s="90">
        <f t="shared" si="16"/>
        <v>1.6400000000000001</v>
      </c>
      <c r="AL32" s="90">
        <f t="shared" si="16"/>
        <v>27306</v>
      </c>
      <c r="AM32" s="90">
        <f t="shared" si="16"/>
        <v>20787</v>
      </c>
      <c r="AN32" s="90">
        <f t="shared" si="16"/>
        <v>485.79900000000004</v>
      </c>
      <c r="AO32" s="90">
        <f t="shared" si="16"/>
        <v>57543</v>
      </c>
      <c r="AP32" s="90">
        <f t="shared" si="16"/>
        <v>44706</v>
      </c>
      <c r="AQ32" s="90">
        <f t="shared" si="16"/>
        <v>1117.3910000000001</v>
      </c>
      <c r="AR32" s="90">
        <f>SUM(AR34:AR37)</f>
        <v>29699</v>
      </c>
      <c r="AS32" s="90">
        <f t="shared" ref="AS32:BA32" si="17">SUM(AS34:AS37)</f>
        <v>25260</v>
      </c>
      <c r="AT32" s="90">
        <f t="shared" si="17"/>
        <v>514.25900000000001</v>
      </c>
      <c r="AU32" s="90">
        <f t="shared" si="17"/>
        <v>0</v>
      </c>
      <c r="AV32" s="90">
        <f t="shared" si="17"/>
        <v>0</v>
      </c>
      <c r="AW32" s="90">
        <f t="shared" si="17"/>
        <v>0</v>
      </c>
      <c r="AX32" s="90">
        <f t="shared" si="17"/>
        <v>2522829</v>
      </c>
      <c r="AY32" s="90">
        <f t="shared" si="17"/>
        <v>2485383</v>
      </c>
      <c r="AZ32" s="90">
        <f t="shared" si="17"/>
        <v>25379.900999999998</v>
      </c>
      <c r="BA32" s="91">
        <f t="shared" si="17"/>
        <v>50158.934999999998</v>
      </c>
      <c r="BB32" s="116" t="s">
        <v>26</v>
      </c>
      <c r="BC32" s="117"/>
      <c r="BD32" s="117"/>
    </row>
    <row r="33" spans="1:56" x14ac:dyDescent="0.3">
      <c r="A33" s="108"/>
      <c r="B33" s="10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6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1"/>
      <c r="BB33" s="116"/>
      <c r="BC33" s="117"/>
      <c r="BD33" s="117"/>
    </row>
    <row r="34" spans="1:56" x14ac:dyDescent="0.3">
      <c r="A34" s="63" t="s">
        <v>140</v>
      </c>
      <c r="B34" s="72" t="s">
        <v>122</v>
      </c>
      <c r="C34" s="71" t="s">
        <v>122</v>
      </c>
      <c r="D34" s="70" t="s">
        <v>122</v>
      </c>
      <c r="E34" s="71" t="s">
        <v>122</v>
      </c>
      <c r="F34" s="70" t="s">
        <v>122</v>
      </c>
      <c r="G34" s="71" t="s">
        <v>122</v>
      </c>
      <c r="H34" s="70" t="s">
        <v>122</v>
      </c>
      <c r="I34" s="71" t="s">
        <v>122</v>
      </c>
      <c r="J34" s="70" t="s">
        <v>122</v>
      </c>
      <c r="K34" s="71">
        <v>247</v>
      </c>
      <c r="L34" s="70">
        <v>228</v>
      </c>
      <c r="M34" s="71">
        <v>12.513999999999999</v>
      </c>
      <c r="N34" s="70">
        <v>2411</v>
      </c>
      <c r="O34" s="71">
        <v>2122</v>
      </c>
      <c r="P34" s="70">
        <v>146.05699999999999</v>
      </c>
      <c r="Q34" s="71">
        <v>125</v>
      </c>
      <c r="R34" s="70">
        <v>70</v>
      </c>
      <c r="S34" s="71">
        <v>8.75</v>
      </c>
      <c r="T34" s="70">
        <v>469</v>
      </c>
      <c r="U34" s="71">
        <v>367</v>
      </c>
      <c r="V34" s="70">
        <v>26.074999999999999</v>
      </c>
      <c r="W34" s="71">
        <v>2370</v>
      </c>
      <c r="X34" s="70">
        <v>2370</v>
      </c>
      <c r="Y34" s="71">
        <v>110</v>
      </c>
      <c r="Z34" s="70">
        <v>38</v>
      </c>
      <c r="AA34" s="71">
        <v>25</v>
      </c>
      <c r="AB34" s="70">
        <v>1.22</v>
      </c>
      <c r="AC34" s="71">
        <v>857</v>
      </c>
      <c r="AD34" s="70">
        <v>814</v>
      </c>
      <c r="AE34" s="71">
        <v>19.899999999999999</v>
      </c>
      <c r="AF34" s="70">
        <v>52</v>
      </c>
      <c r="AG34" s="71">
        <v>48</v>
      </c>
      <c r="AH34" s="70">
        <v>2.92</v>
      </c>
      <c r="AI34" s="71" t="s">
        <v>122</v>
      </c>
      <c r="AJ34" s="70" t="s">
        <v>122</v>
      </c>
      <c r="AK34" s="71" t="s">
        <v>122</v>
      </c>
      <c r="AL34" s="70">
        <v>3020</v>
      </c>
      <c r="AM34" s="71">
        <v>2002</v>
      </c>
      <c r="AN34" s="70">
        <v>38.805</v>
      </c>
      <c r="AO34" s="71">
        <v>20047</v>
      </c>
      <c r="AP34" s="70">
        <v>17979</v>
      </c>
      <c r="AQ34" s="71">
        <v>500.036</v>
      </c>
      <c r="AR34" s="70">
        <v>922</v>
      </c>
      <c r="AS34" s="71">
        <v>548</v>
      </c>
      <c r="AT34" s="70">
        <v>25.91</v>
      </c>
      <c r="AU34" s="71" t="s">
        <v>122</v>
      </c>
      <c r="AV34" s="70" t="s">
        <v>122</v>
      </c>
      <c r="AW34" s="71" t="s">
        <v>122</v>
      </c>
      <c r="AX34" s="70">
        <v>22371</v>
      </c>
      <c r="AY34" s="71">
        <v>15609</v>
      </c>
      <c r="AZ34" s="70">
        <v>12.92</v>
      </c>
      <c r="BA34" s="84">
        <v>466.66</v>
      </c>
      <c r="BB34" s="80" t="s">
        <v>27</v>
      </c>
      <c r="BC34" s="64"/>
      <c r="BD34" s="64"/>
    </row>
    <row r="35" spans="1:56" x14ac:dyDescent="0.3">
      <c r="A35" s="63" t="s">
        <v>141</v>
      </c>
      <c r="B35" s="72">
        <v>37923</v>
      </c>
      <c r="C35" s="71">
        <v>35116</v>
      </c>
      <c r="D35" s="70">
        <v>1333.847</v>
      </c>
      <c r="E35" s="71">
        <v>1104734</v>
      </c>
      <c r="F35" s="70">
        <v>1102594</v>
      </c>
      <c r="G35" s="71">
        <v>42019.326999999997</v>
      </c>
      <c r="H35" s="70">
        <v>848069</v>
      </c>
      <c r="I35" s="71">
        <v>845464</v>
      </c>
      <c r="J35" s="70">
        <v>32647.989000000001</v>
      </c>
      <c r="K35" s="71">
        <v>5079</v>
      </c>
      <c r="L35" s="70">
        <v>1655</v>
      </c>
      <c r="M35" s="71">
        <v>133.96899999999999</v>
      </c>
      <c r="N35" s="70">
        <v>4161</v>
      </c>
      <c r="O35" s="71">
        <v>1507</v>
      </c>
      <c r="P35" s="70">
        <v>99.037000000000006</v>
      </c>
      <c r="Q35" s="71">
        <v>1504116</v>
      </c>
      <c r="R35" s="70">
        <v>1504116</v>
      </c>
      <c r="S35" s="71">
        <v>90503.717999999993</v>
      </c>
      <c r="T35" s="70">
        <v>8866</v>
      </c>
      <c r="U35" s="71">
        <v>6226</v>
      </c>
      <c r="V35" s="70">
        <v>244.624</v>
      </c>
      <c r="W35" s="71">
        <v>3667</v>
      </c>
      <c r="X35" s="70">
        <v>2226</v>
      </c>
      <c r="Y35" s="71">
        <v>117.49499999999999</v>
      </c>
      <c r="Z35" s="70">
        <v>2507</v>
      </c>
      <c r="AA35" s="71">
        <v>1968</v>
      </c>
      <c r="AB35" s="70">
        <v>75.385999999999996</v>
      </c>
      <c r="AC35" s="71">
        <v>5750</v>
      </c>
      <c r="AD35" s="70">
        <v>1967</v>
      </c>
      <c r="AE35" s="71">
        <v>137.44300000000001</v>
      </c>
      <c r="AF35" s="70">
        <v>7629</v>
      </c>
      <c r="AG35" s="71">
        <v>610</v>
      </c>
      <c r="AH35" s="70">
        <v>222.572</v>
      </c>
      <c r="AI35" s="71">
        <v>55</v>
      </c>
      <c r="AJ35" s="70">
        <v>5</v>
      </c>
      <c r="AK35" s="71">
        <v>1.54</v>
      </c>
      <c r="AL35" s="70">
        <v>5908</v>
      </c>
      <c r="AM35" s="71">
        <v>2785</v>
      </c>
      <c r="AN35" s="70">
        <v>115.86499999999999</v>
      </c>
      <c r="AO35" s="71">
        <v>19179</v>
      </c>
      <c r="AP35" s="70">
        <v>11056</v>
      </c>
      <c r="AQ35" s="71">
        <v>306.01</v>
      </c>
      <c r="AR35" s="70">
        <v>25769</v>
      </c>
      <c r="AS35" s="71">
        <v>21852</v>
      </c>
      <c r="AT35" s="70">
        <v>444.32400000000001</v>
      </c>
      <c r="AU35" s="71" t="s">
        <v>122</v>
      </c>
      <c r="AV35" s="70" t="s">
        <v>122</v>
      </c>
      <c r="AW35" s="71" t="s">
        <v>122</v>
      </c>
      <c r="AX35" s="70">
        <v>805282</v>
      </c>
      <c r="AY35" s="71">
        <v>804388</v>
      </c>
      <c r="AZ35" s="70">
        <v>21764.661</v>
      </c>
      <c r="BA35" s="84">
        <v>7069.9279999999999</v>
      </c>
      <c r="BB35" s="80" t="s">
        <v>28</v>
      </c>
      <c r="BC35" s="64"/>
      <c r="BD35" s="64"/>
    </row>
    <row r="36" spans="1:56" x14ac:dyDescent="0.3">
      <c r="A36" s="63" t="s">
        <v>142</v>
      </c>
      <c r="B36" s="72">
        <v>13800</v>
      </c>
      <c r="C36" s="71">
        <v>11396</v>
      </c>
      <c r="D36" s="70">
        <v>480.916</v>
      </c>
      <c r="E36" s="71">
        <v>127505</v>
      </c>
      <c r="F36" s="70">
        <v>125246</v>
      </c>
      <c r="G36" s="71">
        <v>6131.6239999999998</v>
      </c>
      <c r="H36" s="70">
        <v>745731</v>
      </c>
      <c r="I36" s="71">
        <v>743660</v>
      </c>
      <c r="J36" s="70">
        <v>46062.057999999997</v>
      </c>
      <c r="K36" s="71">
        <v>3101</v>
      </c>
      <c r="L36" s="70">
        <v>1405</v>
      </c>
      <c r="M36" s="71">
        <v>58.284999999999997</v>
      </c>
      <c r="N36" s="70">
        <v>3455</v>
      </c>
      <c r="O36" s="71">
        <v>2181</v>
      </c>
      <c r="P36" s="70">
        <v>120.22499999999999</v>
      </c>
      <c r="Q36" s="71">
        <v>103645</v>
      </c>
      <c r="R36" s="70">
        <v>103550</v>
      </c>
      <c r="S36" s="71">
        <v>3746.55</v>
      </c>
      <c r="T36" s="70">
        <v>13640</v>
      </c>
      <c r="U36" s="71">
        <v>12150</v>
      </c>
      <c r="V36" s="70">
        <v>389.44400000000002</v>
      </c>
      <c r="W36" s="71">
        <v>3772</v>
      </c>
      <c r="X36" s="70">
        <v>2530</v>
      </c>
      <c r="Y36" s="71">
        <v>84.954999999999998</v>
      </c>
      <c r="Z36" s="70">
        <v>884</v>
      </c>
      <c r="AA36" s="71">
        <v>630</v>
      </c>
      <c r="AB36" s="70">
        <v>16.64</v>
      </c>
      <c r="AC36" s="71">
        <v>2485</v>
      </c>
      <c r="AD36" s="70">
        <v>1495</v>
      </c>
      <c r="AE36" s="71">
        <v>59.79</v>
      </c>
      <c r="AF36" s="70">
        <v>4098</v>
      </c>
      <c r="AG36" s="71">
        <v>700</v>
      </c>
      <c r="AH36" s="70">
        <v>115.88</v>
      </c>
      <c r="AI36" s="71">
        <v>17</v>
      </c>
      <c r="AJ36" s="70" t="s">
        <v>122</v>
      </c>
      <c r="AK36" s="71">
        <v>0.1</v>
      </c>
      <c r="AL36" s="70">
        <v>10150</v>
      </c>
      <c r="AM36" s="71">
        <v>8120</v>
      </c>
      <c r="AN36" s="70">
        <v>123.05500000000001</v>
      </c>
      <c r="AO36" s="71">
        <v>8905</v>
      </c>
      <c r="AP36" s="70">
        <v>6713</v>
      </c>
      <c r="AQ36" s="71">
        <v>167.995</v>
      </c>
      <c r="AR36" s="70">
        <v>3008</v>
      </c>
      <c r="AS36" s="71">
        <v>2860</v>
      </c>
      <c r="AT36" s="70">
        <v>44.024999999999999</v>
      </c>
      <c r="AU36" s="71" t="s">
        <v>122</v>
      </c>
      <c r="AV36" s="70" t="s">
        <v>122</v>
      </c>
      <c r="AW36" s="71" t="s">
        <v>122</v>
      </c>
      <c r="AX36" s="70">
        <v>765738</v>
      </c>
      <c r="AY36" s="71">
        <v>760571</v>
      </c>
      <c r="AZ36" s="70">
        <v>585.44500000000005</v>
      </c>
      <c r="BA36" s="84">
        <v>15398.857</v>
      </c>
      <c r="BB36" s="80" t="s">
        <v>29</v>
      </c>
      <c r="BC36" s="64"/>
      <c r="BD36" s="64"/>
    </row>
    <row r="37" spans="1:56" x14ac:dyDescent="0.3">
      <c r="A37" s="63" t="s">
        <v>143</v>
      </c>
      <c r="B37" s="72">
        <v>27628</v>
      </c>
      <c r="C37" s="71">
        <v>26362</v>
      </c>
      <c r="D37" s="70">
        <v>854.78899999999999</v>
      </c>
      <c r="E37" s="71">
        <v>85705</v>
      </c>
      <c r="F37" s="70">
        <v>80742</v>
      </c>
      <c r="G37" s="71">
        <v>2633.4960000000001</v>
      </c>
      <c r="H37" s="70">
        <v>82622</v>
      </c>
      <c r="I37" s="71">
        <v>80551</v>
      </c>
      <c r="J37" s="70">
        <v>2102.3220000000001</v>
      </c>
      <c r="K37" s="71">
        <v>2122</v>
      </c>
      <c r="L37" s="70">
        <v>1918</v>
      </c>
      <c r="M37" s="71">
        <v>71.23</v>
      </c>
      <c r="N37" s="70">
        <v>968</v>
      </c>
      <c r="O37" s="71">
        <v>928</v>
      </c>
      <c r="P37" s="70">
        <v>27.97</v>
      </c>
      <c r="Q37" s="71">
        <v>108016</v>
      </c>
      <c r="R37" s="70">
        <v>108016</v>
      </c>
      <c r="S37" s="71">
        <v>3829.0250000000001</v>
      </c>
      <c r="T37" s="70">
        <v>8304</v>
      </c>
      <c r="U37" s="71">
        <v>8225</v>
      </c>
      <c r="V37" s="70">
        <v>110.023</v>
      </c>
      <c r="W37" s="71">
        <v>2050</v>
      </c>
      <c r="X37" s="70">
        <v>1987</v>
      </c>
      <c r="Y37" s="71">
        <v>33.786999999999999</v>
      </c>
      <c r="Z37" s="70">
        <v>165</v>
      </c>
      <c r="AA37" s="71">
        <v>115</v>
      </c>
      <c r="AB37" s="70">
        <v>1.8129999999999999</v>
      </c>
      <c r="AC37" s="71">
        <v>388</v>
      </c>
      <c r="AD37" s="70">
        <v>330</v>
      </c>
      <c r="AE37" s="71">
        <v>5.0990000000000002</v>
      </c>
      <c r="AF37" s="70">
        <v>1616</v>
      </c>
      <c r="AG37" s="71">
        <v>1443</v>
      </c>
      <c r="AH37" s="70">
        <v>35.218000000000004</v>
      </c>
      <c r="AI37" s="71" t="s">
        <v>122</v>
      </c>
      <c r="AJ37" s="70" t="s">
        <v>122</v>
      </c>
      <c r="AK37" s="71" t="s">
        <v>122</v>
      </c>
      <c r="AL37" s="70">
        <v>8228</v>
      </c>
      <c r="AM37" s="71">
        <v>7880</v>
      </c>
      <c r="AN37" s="70">
        <v>208.07400000000001</v>
      </c>
      <c r="AO37" s="71">
        <v>9412</v>
      </c>
      <c r="AP37" s="70">
        <v>8958</v>
      </c>
      <c r="AQ37" s="71">
        <v>143.35</v>
      </c>
      <c r="AR37" s="70" t="s">
        <v>122</v>
      </c>
      <c r="AS37" s="71" t="s">
        <v>122</v>
      </c>
      <c r="AT37" s="70" t="s">
        <v>122</v>
      </c>
      <c r="AU37" s="71" t="s">
        <v>122</v>
      </c>
      <c r="AV37" s="70" t="s">
        <v>122</v>
      </c>
      <c r="AW37" s="71" t="s">
        <v>122</v>
      </c>
      <c r="AX37" s="70">
        <v>929438</v>
      </c>
      <c r="AY37" s="71">
        <v>904815</v>
      </c>
      <c r="AZ37" s="70">
        <v>3016.875</v>
      </c>
      <c r="BA37" s="84">
        <v>27223.49</v>
      </c>
      <c r="BB37" s="80" t="s">
        <v>30</v>
      </c>
      <c r="BC37" s="64"/>
      <c r="BD37" s="64"/>
    </row>
    <row r="38" spans="1:56" x14ac:dyDescent="0.3">
      <c r="A38" s="108" t="s">
        <v>31</v>
      </c>
      <c r="B38" s="109">
        <f t="shared" ref="B38:J38" si="18">SUM(B40:B44)</f>
        <v>2529</v>
      </c>
      <c r="C38" s="90">
        <f t="shared" si="18"/>
        <v>2255</v>
      </c>
      <c r="D38" s="90">
        <f t="shared" si="18"/>
        <v>65.429999999999993</v>
      </c>
      <c r="E38" s="90">
        <f t="shared" si="18"/>
        <v>4045</v>
      </c>
      <c r="F38" s="90">
        <f t="shared" si="18"/>
        <v>3867</v>
      </c>
      <c r="G38" s="90">
        <f>SUM(G40:G44)</f>
        <v>273.245</v>
      </c>
      <c r="H38" s="90">
        <f t="shared" si="18"/>
        <v>2413</v>
      </c>
      <c r="I38" s="90">
        <f t="shared" si="18"/>
        <v>2315</v>
      </c>
      <c r="J38" s="90">
        <f t="shared" si="18"/>
        <v>175.46299999999999</v>
      </c>
      <c r="K38" s="90">
        <f>SUM(K40:K44)</f>
        <v>2069849</v>
      </c>
      <c r="L38" s="90">
        <f>SUM(L40:L44)</f>
        <v>2060570</v>
      </c>
      <c r="M38" s="90">
        <f>SUM(M40:M44)</f>
        <v>58256.361999999994</v>
      </c>
      <c r="N38" s="90">
        <f>SUM(N40:N44)</f>
        <v>3945629</v>
      </c>
      <c r="O38" s="90">
        <f t="shared" ref="O38:AE38" si="19">SUM(O40:O44)</f>
        <v>3940858</v>
      </c>
      <c r="P38" s="90">
        <f t="shared" si="19"/>
        <v>110148.66699999999</v>
      </c>
      <c r="Q38" s="90">
        <f t="shared" ref="Q38:V38" si="20">SUM(Q40:Q44)</f>
        <v>500849</v>
      </c>
      <c r="R38" s="90">
        <f t="shared" si="20"/>
        <v>500220</v>
      </c>
      <c r="S38" s="90">
        <f t="shared" si="20"/>
        <v>13796.031000000001</v>
      </c>
      <c r="T38" s="90">
        <f t="shared" si="20"/>
        <v>184880</v>
      </c>
      <c r="U38" s="90">
        <f t="shared" si="20"/>
        <v>176695</v>
      </c>
      <c r="V38" s="90">
        <f t="shared" si="20"/>
        <v>5354.8029999999999</v>
      </c>
      <c r="W38" s="90">
        <f t="shared" si="19"/>
        <v>1420726</v>
      </c>
      <c r="X38" s="90">
        <f t="shared" si="19"/>
        <v>1415379</v>
      </c>
      <c r="Y38" s="90">
        <f t="shared" si="19"/>
        <v>43984.669999999991</v>
      </c>
      <c r="Z38" s="96">
        <f t="shared" si="19"/>
        <v>459795</v>
      </c>
      <c r="AA38" s="90">
        <f t="shared" si="19"/>
        <v>458668</v>
      </c>
      <c r="AB38" s="90">
        <f t="shared" si="19"/>
        <v>14119.447000000002</v>
      </c>
      <c r="AC38" s="90">
        <f t="shared" si="19"/>
        <v>696646</v>
      </c>
      <c r="AD38" s="90">
        <f t="shared" si="19"/>
        <v>693493</v>
      </c>
      <c r="AE38" s="90">
        <f t="shared" si="19"/>
        <v>11777.898999999999</v>
      </c>
      <c r="AF38" s="90">
        <f>SUM(AF40:AF44)</f>
        <v>14874</v>
      </c>
      <c r="AG38" s="90">
        <f t="shared" ref="AG38:AQ38" si="21">SUM(AG40:AG44)</f>
        <v>14234</v>
      </c>
      <c r="AH38" s="90">
        <f t="shared" si="21"/>
        <v>885.44399999999996</v>
      </c>
      <c r="AI38" s="90">
        <f t="shared" si="21"/>
        <v>3190</v>
      </c>
      <c r="AJ38" s="90">
        <f t="shared" si="21"/>
        <v>3010</v>
      </c>
      <c r="AK38" s="90">
        <f t="shared" si="21"/>
        <v>68.36699999999999</v>
      </c>
      <c r="AL38" s="90">
        <f t="shared" si="21"/>
        <v>3289594</v>
      </c>
      <c r="AM38" s="90">
        <f t="shared" si="21"/>
        <v>3282186</v>
      </c>
      <c r="AN38" s="90">
        <f t="shared" si="21"/>
        <v>41496.946000000004</v>
      </c>
      <c r="AO38" s="90">
        <f t="shared" si="21"/>
        <v>648025</v>
      </c>
      <c r="AP38" s="90">
        <f t="shared" si="21"/>
        <v>641444</v>
      </c>
      <c r="AQ38" s="90">
        <f t="shared" si="21"/>
        <v>14268.112000000001</v>
      </c>
      <c r="AR38" s="90">
        <f>SUM(AR40:AR44)</f>
        <v>589265</v>
      </c>
      <c r="AS38" s="90">
        <f t="shared" ref="AS38:BA38" si="22">SUM(AS40:AS44)</f>
        <v>586150</v>
      </c>
      <c r="AT38" s="90">
        <f t="shared" si="22"/>
        <v>20706.482000000004</v>
      </c>
      <c r="AU38" s="90">
        <f t="shared" si="22"/>
        <v>475192</v>
      </c>
      <c r="AV38" s="90">
        <f t="shared" si="22"/>
        <v>474671</v>
      </c>
      <c r="AW38" s="90">
        <f t="shared" si="22"/>
        <v>5407.8179999999993</v>
      </c>
      <c r="AX38" s="90">
        <f t="shared" si="22"/>
        <v>6183590</v>
      </c>
      <c r="AY38" s="90">
        <f t="shared" si="22"/>
        <v>6154222</v>
      </c>
      <c r="AZ38" s="90">
        <f t="shared" si="22"/>
        <v>23944.107999999997</v>
      </c>
      <c r="BA38" s="91">
        <f t="shared" si="22"/>
        <v>127693.67199999999</v>
      </c>
      <c r="BB38" s="116" t="s">
        <v>32</v>
      </c>
      <c r="BC38" s="117"/>
      <c r="BD38" s="117"/>
    </row>
    <row r="39" spans="1:56" x14ac:dyDescent="0.3">
      <c r="A39" s="108"/>
      <c r="B39" s="109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6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1"/>
      <c r="BB39" s="116"/>
      <c r="BC39" s="117"/>
      <c r="BD39" s="117"/>
    </row>
    <row r="40" spans="1:56" x14ac:dyDescent="0.3">
      <c r="A40" s="63" t="s">
        <v>144</v>
      </c>
      <c r="B40" s="72">
        <v>34</v>
      </c>
      <c r="C40" s="71">
        <v>34</v>
      </c>
      <c r="D40" s="70">
        <v>1.8</v>
      </c>
      <c r="E40" s="71">
        <v>25</v>
      </c>
      <c r="F40" s="70">
        <v>25</v>
      </c>
      <c r="G40" s="71">
        <v>0.7</v>
      </c>
      <c r="H40" s="70" t="s">
        <v>122</v>
      </c>
      <c r="I40" s="71" t="s">
        <v>122</v>
      </c>
      <c r="J40" s="70" t="s">
        <v>122</v>
      </c>
      <c r="K40" s="71">
        <v>1932408</v>
      </c>
      <c r="L40" s="70">
        <v>1932202</v>
      </c>
      <c r="M40" s="71">
        <v>54006.1</v>
      </c>
      <c r="N40" s="70">
        <v>2866414</v>
      </c>
      <c r="O40" s="71">
        <v>2866105</v>
      </c>
      <c r="P40" s="70">
        <v>79396.335999999996</v>
      </c>
      <c r="Q40" s="71">
        <v>467919</v>
      </c>
      <c r="R40" s="70">
        <v>467840</v>
      </c>
      <c r="S40" s="71">
        <v>12772.177</v>
      </c>
      <c r="T40" s="70">
        <v>106546</v>
      </c>
      <c r="U40" s="71">
        <v>99960</v>
      </c>
      <c r="V40" s="70">
        <v>2899.605</v>
      </c>
      <c r="W40" s="71">
        <v>1340511</v>
      </c>
      <c r="X40" s="70">
        <v>1340189</v>
      </c>
      <c r="Y40" s="71">
        <v>41625.828999999998</v>
      </c>
      <c r="Z40" s="70">
        <v>438823</v>
      </c>
      <c r="AA40" s="71">
        <v>438614</v>
      </c>
      <c r="AB40" s="70">
        <v>13668.78</v>
      </c>
      <c r="AC40" s="71">
        <v>622668</v>
      </c>
      <c r="AD40" s="70">
        <v>622305</v>
      </c>
      <c r="AE40" s="71">
        <v>10532.81</v>
      </c>
      <c r="AF40" s="70">
        <v>7871</v>
      </c>
      <c r="AG40" s="71">
        <v>7840</v>
      </c>
      <c r="AH40" s="70">
        <v>462.34899999999999</v>
      </c>
      <c r="AI40" s="71">
        <v>781</v>
      </c>
      <c r="AJ40" s="70">
        <v>615</v>
      </c>
      <c r="AK40" s="71">
        <v>9.4</v>
      </c>
      <c r="AL40" s="70">
        <v>2454518</v>
      </c>
      <c r="AM40" s="71">
        <v>2453275</v>
      </c>
      <c r="AN40" s="70">
        <v>30718.297999999999</v>
      </c>
      <c r="AO40" s="71">
        <v>436659</v>
      </c>
      <c r="AP40" s="70">
        <v>436016</v>
      </c>
      <c r="AQ40" s="71">
        <v>10551.495000000001</v>
      </c>
      <c r="AR40" s="70">
        <v>455150</v>
      </c>
      <c r="AS40" s="71">
        <v>454982</v>
      </c>
      <c r="AT40" s="70">
        <v>16717.095000000001</v>
      </c>
      <c r="AU40" s="71">
        <v>359608</v>
      </c>
      <c r="AV40" s="70">
        <v>359580</v>
      </c>
      <c r="AW40" s="71">
        <v>4191.8999999999996</v>
      </c>
      <c r="AX40" s="70">
        <v>1846434</v>
      </c>
      <c r="AY40" s="71">
        <v>1845581</v>
      </c>
      <c r="AZ40" s="70">
        <v>18019.312999999998</v>
      </c>
      <c r="BA40" s="84">
        <v>49400.334999999999</v>
      </c>
      <c r="BB40" s="80" t="s">
        <v>33</v>
      </c>
      <c r="BC40" s="64"/>
      <c r="BD40" s="64"/>
    </row>
    <row r="41" spans="1:56" x14ac:dyDescent="0.3">
      <c r="A41" s="63" t="s">
        <v>145</v>
      </c>
      <c r="B41" s="72" t="s">
        <v>122</v>
      </c>
      <c r="C41" s="71" t="s">
        <v>122</v>
      </c>
      <c r="D41" s="70" t="s">
        <v>122</v>
      </c>
      <c r="E41" s="71" t="s">
        <v>122</v>
      </c>
      <c r="F41" s="70" t="s">
        <v>122</v>
      </c>
      <c r="G41" s="71" t="s">
        <v>122</v>
      </c>
      <c r="H41" s="70" t="s">
        <v>122</v>
      </c>
      <c r="I41" s="71" t="s">
        <v>122</v>
      </c>
      <c r="J41" s="70" t="s">
        <v>122</v>
      </c>
      <c r="K41" s="71">
        <v>13747</v>
      </c>
      <c r="L41" s="70">
        <v>6693</v>
      </c>
      <c r="M41" s="71">
        <v>202.024</v>
      </c>
      <c r="N41" s="70">
        <v>10586</v>
      </c>
      <c r="O41" s="71">
        <v>8746</v>
      </c>
      <c r="P41" s="70">
        <v>265.57400000000001</v>
      </c>
      <c r="Q41" s="71">
        <v>3372</v>
      </c>
      <c r="R41" s="70">
        <v>2843</v>
      </c>
      <c r="S41" s="71">
        <v>160.54499999999999</v>
      </c>
      <c r="T41" s="70">
        <v>22523</v>
      </c>
      <c r="U41" s="71">
        <v>21346</v>
      </c>
      <c r="V41" s="70">
        <v>660.11</v>
      </c>
      <c r="W41" s="71">
        <v>5964</v>
      </c>
      <c r="X41" s="70">
        <v>2875</v>
      </c>
      <c r="Y41" s="71">
        <v>100.15300000000001</v>
      </c>
      <c r="Z41" s="70">
        <v>481</v>
      </c>
      <c r="AA41" s="71">
        <v>481</v>
      </c>
      <c r="AB41" s="70">
        <v>13.186</v>
      </c>
      <c r="AC41" s="71">
        <v>1555</v>
      </c>
      <c r="AD41" s="70">
        <v>1295</v>
      </c>
      <c r="AE41" s="71">
        <v>15.363</v>
      </c>
      <c r="AF41" s="70">
        <v>1854</v>
      </c>
      <c r="AG41" s="71">
        <v>1727</v>
      </c>
      <c r="AH41" s="70">
        <v>111.824</v>
      </c>
      <c r="AI41" s="71">
        <v>870</v>
      </c>
      <c r="AJ41" s="70">
        <v>870</v>
      </c>
      <c r="AK41" s="71">
        <v>12.012</v>
      </c>
      <c r="AL41" s="70">
        <v>54243</v>
      </c>
      <c r="AM41" s="71">
        <v>50142</v>
      </c>
      <c r="AN41" s="70">
        <v>491.166</v>
      </c>
      <c r="AO41" s="71">
        <v>46130</v>
      </c>
      <c r="AP41" s="70">
        <v>45820</v>
      </c>
      <c r="AQ41" s="71">
        <v>652.04100000000005</v>
      </c>
      <c r="AR41" s="70">
        <v>14082</v>
      </c>
      <c r="AS41" s="71">
        <v>14037</v>
      </c>
      <c r="AT41" s="70">
        <v>235.327</v>
      </c>
      <c r="AU41" s="71">
        <v>13255</v>
      </c>
      <c r="AV41" s="70">
        <v>12840</v>
      </c>
      <c r="AW41" s="71">
        <v>57.835999999999999</v>
      </c>
      <c r="AX41" s="70">
        <v>57775</v>
      </c>
      <c r="AY41" s="71">
        <v>43663</v>
      </c>
      <c r="AZ41" s="70">
        <v>38.276000000000003</v>
      </c>
      <c r="BA41" s="84">
        <v>809.48199999999997</v>
      </c>
      <c r="BB41" s="80" t="s">
        <v>34</v>
      </c>
      <c r="BC41" s="64"/>
      <c r="BD41" s="64"/>
    </row>
    <row r="42" spans="1:56" x14ac:dyDescent="0.3">
      <c r="A42" s="63" t="s">
        <v>146</v>
      </c>
      <c r="B42" s="72">
        <v>2398</v>
      </c>
      <c r="C42" s="71">
        <v>2139</v>
      </c>
      <c r="D42" s="70">
        <v>58.78</v>
      </c>
      <c r="E42" s="71">
        <v>3857</v>
      </c>
      <c r="F42" s="70">
        <v>3688</v>
      </c>
      <c r="G42" s="71">
        <v>267.745</v>
      </c>
      <c r="H42" s="70">
        <v>2413</v>
      </c>
      <c r="I42" s="71">
        <v>2315</v>
      </c>
      <c r="J42" s="70">
        <v>175.46299999999999</v>
      </c>
      <c r="K42" s="71">
        <v>85889</v>
      </c>
      <c r="L42" s="70">
        <v>85790</v>
      </c>
      <c r="M42" s="71">
        <v>3436.665</v>
      </c>
      <c r="N42" s="70">
        <v>998477</v>
      </c>
      <c r="O42" s="71">
        <v>998348</v>
      </c>
      <c r="P42" s="70">
        <v>28542.117999999999</v>
      </c>
      <c r="Q42" s="71">
        <v>3536</v>
      </c>
      <c r="R42" s="70">
        <v>3520</v>
      </c>
      <c r="S42" s="71">
        <v>202.27</v>
      </c>
      <c r="T42" s="70">
        <v>21587</v>
      </c>
      <c r="U42" s="71">
        <v>21482</v>
      </c>
      <c r="V42" s="70">
        <v>1123.133</v>
      </c>
      <c r="W42" s="71">
        <v>37474</v>
      </c>
      <c r="X42" s="70">
        <v>37263</v>
      </c>
      <c r="Y42" s="71">
        <v>1638.4449999999999</v>
      </c>
      <c r="Z42" s="70">
        <v>10237</v>
      </c>
      <c r="AA42" s="71">
        <v>10140</v>
      </c>
      <c r="AB42" s="70">
        <v>304.87</v>
      </c>
      <c r="AC42" s="71">
        <v>50605</v>
      </c>
      <c r="AD42" s="70">
        <v>50218</v>
      </c>
      <c r="AE42" s="71">
        <v>920.76</v>
      </c>
      <c r="AF42" s="70">
        <v>4502</v>
      </c>
      <c r="AG42" s="71">
        <v>4343</v>
      </c>
      <c r="AH42" s="70">
        <v>285.61500000000001</v>
      </c>
      <c r="AI42" s="71">
        <v>1339</v>
      </c>
      <c r="AJ42" s="70">
        <v>1325</v>
      </c>
      <c r="AK42" s="71">
        <v>43.954999999999998</v>
      </c>
      <c r="AL42" s="70">
        <v>677614</v>
      </c>
      <c r="AM42" s="71">
        <v>677064</v>
      </c>
      <c r="AN42" s="70">
        <v>9664.8389999999999</v>
      </c>
      <c r="AO42" s="71">
        <v>45811</v>
      </c>
      <c r="AP42" s="70">
        <v>45145</v>
      </c>
      <c r="AQ42" s="71">
        <v>922.62599999999998</v>
      </c>
      <c r="AR42" s="70">
        <v>98872</v>
      </c>
      <c r="AS42" s="71">
        <v>98522</v>
      </c>
      <c r="AT42" s="70">
        <v>3284.0050000000001</v>
      </c>
      <c r="AU42" s="71">
        <v>99019</v>
      </c>
      <c r="AV42" s="70">
        <v>98951</v>
      </c>
      <c r="AW42" s="71">
        <v>1146.1679999999999</v>
      </c>
      <c r="AX42" s="70">
        <v>3616898</v>
      </c>
      <c r="AY42" s="71">
        <v>3606256</v>
      </c>
      <c r="AZ42" s="70">
        <v>5458.6719999999996</v>
      </c>
      <c r="BA42" s="84">
        <v>73384.978000000003</v>
      </c>
      <c r="BB42" s="80" t="s">
        <v>35</v>
      </c>
      <c r="BC42" s="64"/>
      <c r="BD42" s="64"/>
    </row>
    <row r="43" spans="1:56" x14ac:dyDescent="0.3">
      <c r="A43" s="63" t="s">
        <v>147</v>
      </c>
      <c r="B43" s="72">
        <v>97</v>
      </c>
      <c r="C43" s="71">
        <v>82</v>
      </c>
      <c r="D43" s="70">
        <v>4.8499999999999996</v>
      </c>
      <c r="E43" s="71">
        <v>163</v>
      </c>
      <c r="F43" s="70">
        <v>154</v>
      </c>
      <c r="G43" s="71">
        <v>4.8</v>
      </c>
      <c r="H43" s="70" t="s">
        <v>122</v>
      </c>
      <c r="I43" s="71" t="s">
        <v>122</v>
      </c>
      <c r="J43" s="70" t="s">
        <v>122</v>
      </c>
      <c r="K43" s="71">
        <v>36</v>
      </c>
      <c r="L43" s="70">
        <v>36</v>
      </c>
      <c r="M43" s="71">
        <v>1</v>
      </c>
      <c r="N43" s="70">
        <v>625</v>
      </c>
      <c r="O43" s="71">
        <v>617</v>
      </c>
      <c r="P43" s="70">
        <v>31.25</v>
      </c>
      <c r="Q43" s="71" t="s">
        <v>122</v>
      </c>
      <c r="R43" s="70" t="s">
        <v>122</v>
      </c>
      <c r="S43" s="70" t="s">
        <v>122</v>
      </c>
      <c r="T43" s="70">
        <v>5</v>
      </c>
      <c r="U43" s="71" t="s">
        <v>122</v>
      </c>
      <c r="V43" s="70">
        <v>0.3</v>
      </c>
      <c r="W43" s="71">
        <v>21</v>
      </c>
      <c r="X43" s="70">
        <v>21</v>
      </c>
      <c r="Y43" s="71">
        <v>0.63</v>
      </c>
      <c r="Z43" s="70">
        <v>114</v>
      </c>
      <c r="AA43" s="71">
        <v>102</v>
      </c>
      <c r="AB43" s="70">
        <v>3.6</v>
      </c>
      <c r="AC43" s="71">
        <v>39</v>
      </c>
      <c r="AD43" s="70">
        <v>39</v>
      </c>
      <c r="AE43" s="71">
        <v>1.17</v>
      </c>
      <c r="AF43" s="70">
        <v>156</v>
      </c>
      <c r="AG43" s="71">
        <v>142</v>
      </c>
      <c r="AH43" s="70">
        <v>10.88</v>
      </c>
      <c r="AI43" s="71" t="s">
        <v>122</v>
      </c>
      <c r="AJ43" s="70" t="s">
        <v>122</v>
      </c>
      <c r="AK43" s="71" t="s">
        <v>122</v>
      </c>
      <c r="AL43" s="70">
        <v>1354</v>
      </c>
      <c r="AM43" s="71">
        <v>1354</v>
      </c>
      <c r="AN43" s="70">
        <v>27.08</v>
      </c>
      <c r="AO43" s="71">
        <v>40</v>
      </c>
      <c r="AP43" s="70">
        <v>40</v>
      </c>
      <c r="AQ43" s="71">
        <v>2</v>
      </c>
      <c r="AR43" s="70">
        <v>82</v>
      </c>
      <c r="AS43" s="71">
        <v>82</v>
      </c>
      <c r="AT43" s="70">
        <v>2.87</v>
      </c>
      <c r="AU43" s="71" t="s">
        <v>122</v>
      </c>
      <c r="AV43" s="70" t="s">
        <v>122</v>
      </c>
      <c r="AW43" s="71" t="s">
        <v>122</v>
      </c>
      <c r="AX43" s="70">
        <v>207632</v>
      </c>
      <c r="AY43" s="71">
        <v>207626</v>
      </c>
      <c r="AZ43" s="70">
        <v>263.10000000000002</v>
      </c>
      <c r="BA43" s="84">
        <v>2283</v>
      </c>
      <c r="BB43" s="80" t="s">
        <v>36</v>
      </c>
      <c r="BC43" s="64"/>
      <c r="BD43" s="64"/>
    </row>
    <row r="44" spans="1:56" x14ac:dyDescent="0.3">
      <c r="A44" s="63" t="s">
        <v>148</v>
      </c>
      <c r="B44" s="72" t="s">
        <v>122</v>
      </c>
      <c r="C44" s="71" t="s">
        <v>122</v>
      </c>
      <c r="D44" s="70" t="s">
        <v>122</v>
      </c>
      <c r="E44" s="71" t="s">
        <v>122</v>
      </c>
      <c r="F44" s="70" t="s">
        <v>122</v>
      </c>
      <c r="G44" s="71" t="s">
        <v>122</v>
      </c>
      <c r="H44" s="70" t="s">
        <v>122</v>
      </c>
      <c r="I44" s="71" t="s">
        <v>122</v>
      </c>
      <c r="J44" s="70" t="s">
        <v>122</v>
      </c>
      <c r="K44" s="71">
        <v>37769</v>
      </c>
      <c r="L44" s="70">
        <v>35849</v>
      </c>
      <c r="M44" s="71">
        <v>610.57299999999998</v>
      </c>
      <c r="N44" s="70">
        <v>69527</v>
      </c>
      <c r="O44" s="71">
        <v>67042</v>
      </c>
      <c r="P44" s="70">
        <v>1913.3889999999999</v>
      </c>
      <c r="Q44" s="71">
        <v>26022</v>
      </c>
      <c r="R44" s="70">
        <v>26017</v>
      </c>
      <c r="S44" s="71">
        <v>661.03899999999999</v>
      </c>
      <c r="T44" s="70">
        <v>34219</v>
      </c>
      <c r="U44" s="71">
        <v>33907</v>
      </c>
      <c r="V44" s="70">
        <v>671.65499999999997</v>
      </c>
      <c r="W44" s="71">
        <v>36756</v>
      </c>
      <c r="X44" s="70">
        <v>35031</v>
      </c>
      <c r="Y44" s="71">
        <v>619.61300000000006</v>
      </c>
      <c r="Z44" s="70">
        <v>10140</v>
      </c>
      <c r="AA44" s="71">
        <v>9331</v>
      </c>
      <c r="AB44" s="70">
        <v>129.011</v>
      </c>
      <c r="AC44" s="71">
        <v>21779</v>
      </c>
      <c r="AD44" s="70">
        <v>19636</v>
      </c>
      <c r="AE44" s="71">
        <v>307.79599999999999</v>
      </c>
      <c r="AF44" s="70">
        <v>491</v>
      </c>
      <c r="AG44" s="71">
        <v>182</v>
      </c>
      <c r="AH44" s="70">
        <v>14.776</v>
      </c>
      <c r="AI44" s="71">
        <v>200</v>
      </c>
      <c r="AJ44" s="70">
        <v>200</v>
      </c>
      <c r="AK44" s="71">
        <v>3</v>
      </c>
      <c r="AL44" s="70">
        <v>101865</v>
      </c>
      <c r="AM44" s="71">
        <v>100351</v>
      </c>
      <c r="AN44" s="70">
        <v>595.56299999999999</v>
      </c>
      <c r="AO44" s="71">
        <v>119385</v>
      </c>
      <c r="AP44" s="70">
        <v>114423</v>
      </c>
      <c r="AQ44" s="71">
        <v>2139.9499999999998</v>
      </c>
      <c r="AR44" s="70">
        <v>21079</v>
      </c>
      <c r="AS44" s="71">
        <v>18527</v>
      </c>
      <c r="AT44" s="70">
        <v>467.185</v>
      </c>
      <c r="AU44" s="71">
        <v>3310</v>
      </c>
      <c r="AV44" s="70">
        <v>3300</v>
      </c>
      <c r="AW44" s="71">
        <v>11.914</v>
      </c>
      <c r="AX44" s="70">
        <v>454851</v>
      </c>
      <c r="AY44" s="71">
        <v>451096</v>
      </c>
      <c r="AZ44" s="70">
        <v>164.74700000000001</v>
      </c>
      <c r="BA44" s="84">
        <v>1815.877</v>
      </c>
      <c r="BB44" s="80" t="s">
        <v>37</v>
      </c>
      <c r="BC44" s="64"/>
      <c r="BD44" s="64"/>
    </row>
    <row r="45" spans="1:56" x14ac:dyDescent="0.3">
      <c r="A45" s="108" t="s">
        <v>38</v>
      </c>
      <c r="B45" s="109">
        <f t="shared" ref="B45:J45" si="23">SUM(B47:B51)</f>
        <v>15164</v>
      </c>
      <c r="C45" s="90">
        <f t="shared" si="23"/>
        <v>10383</v>
      </c>
      <c r="D45" s="90">
        <f t="shared" si="23"/>
        <v>384.05099999999999</v>
      </c>
      <c r="E45" s="90">
        <f t="shared" si="23"/>
        <v>45610</v>
      </c>
      <c r="F45" s="90">
        <f t="shared" si="23"/>
        <v>40688</v>
      </c>
      <c r="G45" s="90">
        <f>SUM(G47:G51)</f>
        <v>1538.9929999999999</v>
      </c>
      <c r="H45" s="90">
        <f t="shared" si="23"/>
        <v>8300</v>
      </c>
      <c r="I45" s="90">
        <f t="shared" si="23"/>
        <v>5834</v>
      </c>
      <c r="J45" s="90">
        <f t="shared" si="23"/>
        <v>195.78100000000001</v>
      </c>
      <c r="K45" s="90">
        <f>SUM(K47:K51)</f>
        <v>46797</v>
      </c>
      <c r="L45" s="90">
        <f>SUM(L47:L51)</f>
        <v>39803</v>
      </c>
      <c r="M45" s="90">
        <f>SUM(M47:M51)</f>
        <v>780.19200000000001</v>
      </c>
      <c r="N45" s="90">
        <f>SUM(N47:N51)</f>
        <v>132241</v>
      </c>
      <c r="O45" s="90">
        <f t="shared" ref="O45:AE45" si="24">SUM(O47:O51)</f>
        <v>118050</v>
      </c>
      <c r="P45" s="90">
        <f t="shared" si="24"/>
        <v>2044.11</v>
      </c>
      <c r="Q45" s="90">
        <f t="shared" ref="Q45:V45" si="25">SUM(Q47:Q51)</f>
        <v>140231</v>
      </c>
      <c r="R45" s="90">
        <f t="shared" si="25"/>
        <v>140009</v>
      </c>
      <c r="S45" s="90">
        <f t="shared" si="25"/>
        <v>8112.5140000000001</v>
      </c>
      <c r="T45" s="90">
        <f t="shared" si="25"/>
        <v>252205</v>
      </c>
      <c r="U45" s="90">
        <f t="shared" si="25"/>
        <v>248445</v>
      </c>
      <c r="V45" s="90">
        <f t="shared" si="25"/>
        <v>6906.8210000000008</v>
      </c>
      <c r="W45" s="90">
        <f t="shared" si="24"/>
        <v>38680</v>
      </c>
      <c r="X45" s="90">
        <f t="shared" si="24"/>
        <v>36372</v>
      </c>
      <c r="Y45" s="90">
        <f t="shared" si="24"/>
        <v>1137.8499999999999</v>
      </c>
      <c r="Z45" s="96">
        <f t="shared" si="24"/>
        <v>13492</v>
      </c>
      <c r="AA45" s="90">
        <f t="shared" si="24"/>
        <v>12164</v>
      </c>
      <c r="AB45" s="90">
        <f t="shared" si="24"/>
        <v>287.64200000000005</v>
      </c>
      <c r="AC45" s="90">
        <f t="shared" si="24"/>
        <v>112540</v>
      </c>
      <c r="AD45" s="90">
        <f t="shared" si="24"/>
        <v>102771</v>
      </c>
      <c r="AE45" s="90">
        <f t="shared" si="24"/>
        <v>2358.154</v>
      </c>
      <c r="AF45" s="90">
        <f>SUM(AF47:AF51)</f>
        <v>15853</v>
      </c>
      <c r="AG45" s="90">
        <f t="shared" ref="AG45:AQ45" si="26">SUM(AG47:AG51)</f>
        <v>10571</v>
      </c>
      <c r="AH45" s="90">
        <f t="shared" si="26"/>
        <v>361.84</v>
      </c>
      <c r="AI45" s="90">
        <f t="shared" si="26"/>
        <v>295484</v>
      </c>
      <c r="AJ45" s="90">
        <f t="shared" si="26"/>
        <v>293712</v>
      </c>
      <c r="AK45" s="90">
        <f t="shared" si="26"/>
        <v>10127.574000000001</v>
      </c>
      <c r="AL45" s="90">
        <f t="shared" si="26"/>
        <v>393820</v>
      </c>
      <c r="AM45" s="90">
        <f t="shared" si="26"/>
        <v>379254</v>
      </c>
      <c r="AN45" s="90">
        <f t="shared" si="26"/>
        <v>4381.7749999999996</v>
      </c>
      <c r="AO45" s="90">
        <f t="shared" si="26"/>
        <v>403355</v>
      </c>
      <c r="AP45" s="90">
        <f t="shared" si="26"/>
        <v>368724</v>
      </c>
      <c r="AQ45" s="90">
        <f t="shared" si="26"/>
        <v>7768.8189999999995</v>
      </c>
      <c r="AR45" s="90">
        <f>SUM(AR47:AR51)</f>
        <v>71904</v>
      </c>
      <c r="AS45" s="90">
        <f t="shared" ref="AS45:BA45" si="27">SUM(AS47:AS51)</f>
        <v>57332</v>
      </c>
      <c r="AT45" s="90">
        <f t="shared" si="27"/>
        <v>917.15099999999995</v>
      </c>
      <c r="AU45" s="90">
        <f t="shared" si="27"/>
        <v>619063</v>
      </c>
      <c r="AV45" s="90">
        <f t="shared" si="27"/>
        <v>617641</v>
      </c>
      <c r="AW45" s="90">
        <f t="shared" si="27"/>
        <v>10055.694</v>
      </c>
      <c r="AX45" s="90">
        <f t="shared" si="27"/>
        <v>13972186</v>
      </c>
      <c r="AY45" s="90">
        <f t="shared" si="27"/>
        <v>13825376</v>
      </c>
      <c r="AZ45" s="90">
        <f t="shared" si="27"/>
        <v>49201.119000000006</v>
      </c>
      <c r="BA45" s="91">
        <f t="shared" si="27"/>
        <v>97334.421000000002</v>
      </c>
      <c r="BB45" s="116" t="s">
        <v>39</v>
      </c>
      <c r="BC45" s="117"/>
      <c r="BD45" s="117"/>
    </row>
    <row r="46" spans="1:56" x14ac:dyDescent="0.3">
      <c r="A46" s="108"/>
      <c r="B46" s="10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6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1"/>
      <c r="BB46" s="116"/>
      <c r="BC46" s="117"/>
      <c r="BD46" s="117"/>
    </row>
    <row r="47" spans="1:56" x14ac:dyDescent="0.3">
      <c r="A47" s="63" t="s">
        <v>149</v>
      </c>
      <c r="B47" s="72">
        <v>1539</v>
      </c>
      <c r="C47" s="71">
        <v>1522</v>
      </c>
      <c r="D47" s="70">
        <v>45.36</v>
      </c>
      <c r="E47" s="71">
        <v>3487</v>
      </c>
      <c r="F47" s="70">
        <v>3275</v>
      </c>
      <c r="G47" s="71">
        <v>125.154</v>
      </c>
      <c r="H47" s="70">
        <v>1239</v>
      </c>
      <c r="I47" s="71">
        <v>933</v>
      </c>
      <c r="J47" s="70">
        <v>25.443000000000001</v>
      </c>
      <c r="K47" s="71">
        <v>28571</v>
      </c>
      <c r="L47" s="70">
        <v>27287</v>
      </c>
      <c r="M47" s="71">
        <v>409.41899999999998</v>
      </c>
      <c r="N47" s="70">
        <v>104715</v>
      </c>
      <c r="O47" s="71">
        <v>102083</v>
      </c>
      <c r="P47" s="70">
        <v>1381.4269999999999</v>
      </c>
      <c r="Q47" s="71">
        <v>130644</v>
      </c>
      <c r="R47" s="70">
        <v>130644</v>
      </c>
      <c r="S47" s="71">
        <v>7906.68</v>
      </c>
      <c r="T47" s="70">
        <v>182027</v>
      </c>
      <c r="U47" s="71">
        <v>181854</v>
      </c>
      <c r="V47" s="70">
        <v>4380.2349999999997</v>
      </c>
      <c r="W47" s="71">
        <v>32701</v>
      </c>
      <c r="X47" s="70">
        <v>32041</v>
      </c>
      <c r="Y47" s="71">
        <v>949.57199999999989</v>
      </c>
      <c r="Z47" s="70">
        <v>11173</v>
      </c>
      <c r="AA47" s="71">
        <v>10542</v>
      </c>
      <c r="AB47" s="70">
        <v>210.97800000000001</v>
      </c>
      <c r="AC47" s="71">
        <v>84559</v>
      </c>
      <c r="AD47" s="70">
        <v>82688</v>
      </c>
      <c r="AE47" s="71">
        <v>1440.1489999999999</v>
      </c>
      <c r="AF47" s="70">
        <v>740</v>
      </c>
      <c r="AG47" s="71">
        <v>659</v>
      </c>
      <c r="AH47" s="70">
        <v>21.677</v>
      </c>
      <c r="AI47" s="71">
        <v>741</v>
      </c>
      <c r="AJ47" s="70">
        <v>594</v>
      </c>
      <c r="AK47" s="71">
        <v>22.018000000000001</v>
      </c>
      <c r="AL47" s="70">
        <v>269096</v>
      </c>
      <c r="AM47" s="71">
        <v>268273</v>
      </c>
      <c r="AN47" s="70">
        <v>3012.97</v>
      </c>
      <c r="AO47" s="71">
        <v>286530</v>
      </c>
      <c r="AP47" s="70">
        <v>284110</v>
      </c>
      <c r="AQ47" s="71">
        <v>5361.2290000000003</v>
      </c>
      <c r="AR47" s="70">
        <v>28143</v>
      </c>
      <c r="AS47" s="71">
        <v>26230</v>
      </c>
      <c r="AT47" s="70">
        <v>435.88900000000001</v>
      </c>
      <c r="AU47" s="71">
        <v>507488</v>
      </c>
      <c r="AV47" s="70">
        <v>506963</v>
      </c>
      <c r="AW47" s="71">
        <v>7906.7150000000001</v>
      </c>
      <c r="AX47" s="70">
        <v>7388307</v>
      </c>
      <c r="AY47" s="71">
        <v>7379963</v>
      </c>
      <c r="AZ47" s="70">
        <v>43504.455000000002</v>
      </c>
      <c r="BA47" s="84">
        <v>40199.012000000002</v>
      </c>
      <c r="BB47" s="80" t="s">
        <v>40</v>
      </c>
      <c r="BC47" s="64"/>
      <c r="BD47" s="64"/>
    </row>
    <row r="48" spans="1:56" x14ac:dyDescent="0.3">
      <c r="A48" s="63" t="s">
        <v>150</v>
      </c>
      <c r="B48" s="72">
        <v>237</v>
      </c>
      <c r="C48" s="71">
        <v>237</v>
      </c>
      <c r="D48" s="70">
        <v>7.2009999999999996</v>
      </c>
      <c r="E48" s="71">
        <v>1624</v>
      </c>
      <c r="F48" s="70">
        <v>1624</v>
      </c>
      <c r="G48" s="71">
        <v>93.762</v>
      </c>
      <c r="H48" s="70">
        <v>899</v>
      </c>
      <c r="I48" s="71">
        <v>899</v>
      </c>
      <c r="J48" s="70">
        <v>31.760999999999999</v>
      </c>
      <c r="K48" s="71">
        <v>7724</v>
      </c>
      <c r="L48" s="70">
        <v>7724</v>
      </c>
      <c r="M48" s="71">
        <v>151.63999999999999</v>
      </c>
      <c r="N48" s="70">
        <v>498</v>
      </c>
      <c r="O48" s="71">
        <v>498</v>
      </c>
      <c r="P48" s="70">
        <v>13.5</v>
      </c>
      <c r="Q48" s="71">
        <v>7681</v>
      </c>
      <c r="R48" s="70">
        <v>7681</v>
      </c>
      <c r="S48" s="71">
        <v>138.13</v>
      </c>
      <c r="T48" s="70">
        <v>41068</v>
      </c>
      <c r="U48" s="71">
        <v>41028</v>
      </c>
      <c r="V48" s="70">
        <v>1255.7750000000001</v>
      </c>
      <c r="W48" s="71">
        <v>780</v>
      </c>
      <c r="X48" s="70">
        <v>780</v>
      </c>
      <c r="Y48" s="71">
        <v>27.89</v>
      </c>
      <c r="Z48" s="70">
        <v>582</v>
      </c>
      <c r="AA48" s="71">
        <v>582</v>
      </c>
      <c r="AB48" s="70">
        <v>23.47</v>
      </c>
      <c r="AC48" s="71">
        <v>2659</v>
      </c>
      <c r="AD48" s="70">
        <v>2659</v>
      </c>
      <c r="AE48" s="71">
        <v>106.57</v>
      </c>
      <c r="AF48" s="70">
        <v>2724</v>
      </c>
      <c r="AG48" s="71">
        <v>2724</v>
      </c>
      <c r="AH48" s="70">
        <v>43.927999999999997</v>
      </c>
      <c r="AI48" s="71">
        <v>1237</v>
      </c>
      <c r="AJ48" s="70">
        <v>1237</v>
      </c>
      <c r="AK48" s="71">
        <v>23.2</v>
      </c>
      <c r="AL48" s="70">
        <v>58086</v>
      </c>
      <c r="AM48" s="71">
        <v>57936</v>
      </c>
      <c r="AN48" s="70">
        <v>689.11599999999999</v>
      </c>
      <c r="AO48" s="71">
        <v>10689</v>
      </c>
      <c r="AP48" s="70">
        <v>10689</v>
      </c>
      <c r="AQ48" s="71">
        <v>277.27999999999997</v>
      </c>
      <c r="AR48" s="70">
        <v>228</v>
      </c>
      <c r="AS48" s="71">
        <v>228</v>
      </c>
      <c r="AT48" s="70">
        <v>2.9460000000000002</v>
      </c>
      <c r="AU48" s="71">
        <v>58992</v>
      </c>
      <c r="AV48" s="70">
        <v>58967</v>
      </c>
      <c r="AW48" s="71">
        <v>822.76800000000003</v>
      </c>
      <c r="AX48" s="70">
        <v>2321729</v>
      </c>
      <c r="AY48" s="71">
        <v>2316696</v>
      </c>
      <c r="AZ48" s="70">
        <v>100.425</v>
      </c>
      <c r="BA48" s="84">
        <v>14864.737999999999</v>
      </c>
      <c r="BB48" s="80" t="s">
        <v>41</v>
      </c>
      <c r="BC48" s="64"/>
      <c r="BD48" s="64"/>
    </row>
    <row r="49" spans="1:56" x14ac:dyDescent="0.3">
      <c r="A49" s="63" t="s">
        <v>151</v>
      </c>
      <c r="B49" s="72">
        <v>3608</v>
      </c>
      <c r="C49" s="71">
        <v>2895</v>
      </c>
      <c r="D49" s="70">
        <v>123.2</v>
      </c>
      <c r="E49" s="71">
        <v>23123</v>
      </c>
      <c r="F49" s="70">
        <v>21420</v>
      </c>
      <c r="G49" s="71">
        <v>983.52700000000004</v>
      </c>
      <c r="H49" s="70">
        <v>2810</v>
      </c>
      <c r="I49" s="71">
        <v>2472</v>
      </c>
      <c r="J49" s="70">
        <v>85.326999999999998</v>
      </c>
      <c r="K49" s="71">
        <v>4703</v>
      </c>
      <c r="L49" s="70">
        <v>4251</v>
      </c>
      <c r="M49" s="71">
        <v>173.26599999999999</v>
      </c>
      <c r="N49" s="70">
        <v>12495</v>
      </c>
      <c r="O49" s="71">
        <v>11844</v>
      </c>
      <c r="P49" s="70">
        <v>525.38300000000004</v>
      </c>
      <c r="Q49" s="71">
        <v>1824</v>
      </c>
      <c r="R49" s="70">
        <v>1684</v>
      </c>
      <c r="S49" s="71">
        <v>66.5</v>
      </c>
      <c r="T49" s="70">
        <v>25723</v>
      </c>
      <c r="U49" s="71">
        <v>23925</v>
      </c>
      <c r="V49" s="70">
        <v>1217.7260000000001</v>
      </c>
      <c r="W49" s="71">
        <v>3758</v>
      </c>
      <c r="X49" s="70">
        <v>3393</v>
      </c>
      <c r="Y49" s="71">
        <v>152.43799999999999</v>
      </c>
      <c r="Z49" s="70">
        <v>1228</v>
      </c>
      <c r="AA49" s="71">
        <v>1033</v>
      </c>
      <c r="AB49" s="70">
        <v>48.228999999999999</v>
      </c>
      <c r="AC49" s="71">
        <v>17709</v>
      </c>
      <c r="AD49" s="70">
        <v>16752</v>
      </c>
      <c r="AE49" s="71">
        <v>758.01499999999999</v>
      </c>
      <c r="AF49" s="70">
        <v>7727</v>
      </c>
      <c r="AG49" s="71">
        <v>7188</v>
      </c>
      <c r="AH49" s="70">
        <v>259.80500000000001</v>
      </c>
      <c r="AI49" s="71">
        <v>293506</v>
      </c>
      <c r="AJ49" s="70">
        <v>291881</v>
      </c>
      <c r="AK49" s="71">
        <v>10082.356</v>
      </c>
      <c r="AL49" s="70">
        <v>32985</v>
      </c>
      <c r="AM49" s="71">
        <v>31956</v>
      </c>
      <c r="AN49" s="70">
        <v>404.072</v>
      </c>
      <c r="AO49" s="71">
        <v>55600</v>
      </c>
      <c r="AP49" s="70">
        <v>53431</v>
      </c>
      <c r="AQ49" s="71">
        <v>1632.096</v>
      </c>
      <c r="AR49" s="70">
        <v>9428</v>
      </c>
      <c r="AS49" s="71">
        <v>9255</v>
      </c>
      <c r="AT49" s="70">
        <v>272.49299999999999</v>
      </c>
      <c r="AU49" s="71">
        <v>51629</v>
      </c>
      <c r="AV49" s="70">
        <v>50941</v>
      </c>
      <c r="AW49" s="71">
        <v>1303.7909999999999</v>
      </c>
      <c r="AX49" s="70">
        <v>3251544</v>
      </c>
      <c r="AY49" s="71">
        <v>3198674</v>
      </c>
      <c r="AZ49" s="70">
        <v>3099.797</v>
      </c>
      <c r="BA49" s="84">
        <v>37605.519999999997</v>
      </c>
      <c r="BB49" s="80" t="s">
        <v>42</v>
      </c>
      <c r="BC49" s="64"/>
      <c r="BD49" s="64"/>
    </row>
    <row r="50" spans="1:56" x14ac:dyDescent="0.3">
      <c r="A50" s="63" t="s">
        <v>152</v>
      </c>
      <c r="B50" s="72">
        <v>27</v>
      </c>
      <c r="C50" s="71">
        <v>20</v>
      </c>
      <c r="D50" s="70">
        <v>0.4</v>
      </c>
      <c r="E50" s="71">
        <v>397</v>
      </c>
      <c r="F50" s="70">
        <v>380</v>
      </c>
      <c r="G50" s="71">
        <v>9.4</v>
      </c>
      <c r="H50" s="70">
        <v>100</v>
      </c>
      <c r="I50" s="71">
        <v>100</v>
      </c>
      <c r="J50" s="70">
        <v>2.0499999999999998</v>
      </c>
      <c r="K50" s="71">
        <v>3465</v>
      </c>
      <c r="L50" s="70">
        <v>180</v>
      </c>
      <c r="M50" s="71">
        <v>23.96</v>
      </c>
      <c r="N50" s="70">
        <v>8190</v>
      </c>
      <c r="O50" s="71">
        <v>1254</v>
      </c>
      <c r="P50" s="70">
        <v>82.22</v>
      </c>
      <c r="Q50" s="71">
        <v>82</v>
      </c>
      <c r="R50" s="70" t="s">
        <v>122</v>
      </c>
      <c r="S50" s="71">
        <v>1.204</v>
      </c>
      <c r="T50" s="70">
        <v>455</v>
      </c>
      <c r="U50" s="71" t="s">
        <v>122</v>
      </c>
      <c r="V50" s="70">
        <v>2.91</v>
      </c>
      <c r="W50" s="71">
        <v>1108</v>
      </c>
      <c r="X50" s="70">
        <v>158</v>
      </c>
      <c r="Y50" s="71">
        <v>4.1500000000000004</v>
      </c>
      <c r="Z50" s="70">
        <v>105</v>
      </c>
      <c r="AA50" s="71" t="s">
        <v>122</v>
      </c>
      <c r="AB50" s="70">
        <v>0.78500000000000003</v>
      </c>
      <c r="AC50" s="71">
        <v>5238</v>
      </c>
      <c r="AD50" s="70">
        <v>100</v>
      </c>
      <c r="AE50" s="71">
        <v>35.520000000000003</v>
      </c>
      <c r="AF50" s="70">
        <v>2392</v>
      </c>
      <c r="AG50" s="71" t="s">
        <v>122</v>
      </c>
      <c r="AH50" s="70">
        <v>21.875</v>
      </c>
      <c r="AI50" s="71" t="s">
        <v>122</v>
      </c>
      <c r="AJ50" s="70" t="s">
        <v>122</v>
      </c>
      <c r="AK50" s="71" t="s">
        <v>122</v>
      </c>
      <c r="AL50" s="70">
        <v>740</v>
      </c>
      <c r="AM50" s="71">
        <v>330</v>
      </c>
      <c r="AN50" s="70">
        <v>1.655</v>
      </c>
      <c r="AO50" s="71">
        <v>29831</v>
      </c>
      <c r="AP50" s="70">
        <v>8758</v>
      </c>
      <c r="AQ50" s="71">
        <v>247.11</v>
      </c>
      <c r="AR50" s="70">
        <v>31298</v>
      </c>
      <c r="AS50" s="71">
        <v>20805</v>
      </c>
      <c r="AT50" s="70">
        <v>184.083</v>
      </c>
      <c r="AU50" s="71" t="s">
        <v>122</v>
      </c>
      <c r="AV50" s="70" t="s">
        <v>122</v>
      </c>
      <c r="AW50" s="71" t="s">
        <v>122</v>
      </c>
      <c r="AX50" s="70">
        <v>43658</v>
      </c>
      <c r="AY50" s="71">
        <v>38843</v>
      </c>
      <c r="AZ50" s="70">
        <v>13.839</v>
      </c>
      <c r="BA50" s="84">
        <v>125.86499999999999</v>
      </c>
      <c r="BB50" s="80" t="s">
        <v>43</v>
      </c>
      <c r="BC50" s="64"/>
      <c r="BD50" s="64"/>
    </row>
    <row r="51" spans="1:56" x14ac:dyDescent="0.3">
      <c r="A51" s="63" t="s">
        <v>153</v>
      </c>
      <c r="B51" s="72">
        <v>9753</v>
      </c>
      <c r="C51" s="71">
        <v>5709</v>
      </c>
      <c r="D51" s="70">
        <v>207.89</v>
      </c>
      <c r="E51" s="71">
        <v>16979</v>
      </c>
      <c r="F51" s="70">
        <v>13989</v>
      </c>
      <c r="G51" s="71">
        <v>327.14999999999998</v>
      </c>
      <c r="H51" s="70">
        <v>3252</v>
      </c>
      <c r="I51" s="71">
        <v>1430</v>
      </c>
      <c r="J51" s="70">
        <v>51.2</v>
      </c>
      <c r="K51" s="71">
        <v>2334</v>
      </c>
      <c r="L51" s="70">
        <v>361</v>
      </c>
      <c r="M51" s="71">
        <v>21.907</v>
      </c>
      <c r="N51" s="70">
        <v>6343</v>
      </c>
      <c r="O51" s="71">
        <v>2371</v>
      </c>
      <c r="P51" s="70">
        <v>41.58</v>
      </c>
      <c r="Q51" s="71" t="s">
        <v>122</v>
      </c>
      <c r="R51" s="70" t="s">
        <v>122</v>
      </c>
      <c r="S51" s="71" t="s">
        <v>122</v>
      </c>
      <c r="T51" s="70">
        <v>2932</v>
      </c>
      <c r="U51" s="71">
        <v>1638</v>
      </c>
      <c r="V51" s="70">
        <v>50.174999999999997</v>
      </c>
      <c r="W51" s="71">
        <v>333</v>
      </c>
      <c r="X51" s="70" t="s">
        <v>122</v>
      </c>
      <c r="Y51" s="71">
        <v>3.8</v>
      </c>
      <c r="Z51" s="70">
        <v>404</v>
      </c>
      <c r="AA51" s="71">
        <v>7</v>
      </c>
      <c r="AB51" s="70">
        <v>4.18</v>
      </c>
      <c r="AC51" s="71">
        <v>2375</v>
      </c>
      <c r="AD51" s="70">
        <v>572</v>
      </c>
      <c r="AE51" s="71">
        <v>17.899999999999999</v>
      </c>
      <c r="AF51" s="70">
        <v>2270</v>
      </c>
      <c r="AG51" s="71" t="s">
        <v>122</v>
      </c>
      <c r="AH51" s="70">
        <v>14.555</v>
      </c>
      <c r="AI51" s="71" t="s">
        <v>122</v>
      </c>
      <c r="AJ51" s="70" t="s">
        <v>122</v>
      </c>
      <c r="AK51" s="71" t="s">
        <v>122</v>
      </c>
      <c r="AL51" s="70">
        <v>32913</v>
      </c>
      <c r="AM51" s="71">
        <v>20759</v>
      </c>
      <c r="AN51" s="70">
        <v>273.96199999999999</v>
      </c>
      <c r="AO51" s="71">
        <v>20705</v>
      </c>
      <c r="AP51" s="70">
        <v>11736</v>
      </c>
      <c r="AQ51" s="71">
        <v>251.10400000000001</v>
      </c>
      <c r="AR51" s="70">
        <v>2807</v>
      </c>
      <c r="AS51" s="71">
        <v>814</v>
      </c>
      <c r="AT51" s="70">
        <v>21.74</v>
      </c>
      <c r="AU51" s="71">
        <v>954</v>
      </c>
      <c r="AV51" s="70">
        <v>770</v>
      </c>
      <c r="AW51" s="71">
        <v>22.42</v>
      </c>
      <c r="AX51" s="70">
        <v>966948</v>
      </c>
      <c r="AY51" s="71">
        <v>891200</v>
      </c>
      <c r="AZ51" s="70">
        <v>2482.6030000000001</v>
      </c>
      <c r="BA51" s="84">
        <v>4539.2860000000001</v>
      </c>
      <c r="BB51" s="80" t="s">
        <v>44</v>
      </c>
      <c r="BC51" s="64"/>
      <c r="BD51" s="64"/>
    </row>
    <row r="52" spans="1:56" x14ac:dyDescent="0.3">
      <c r="A52" s="108" t="s">
        <v>45</v>
      </c>
      <c r="B52" s="109">
        <f t="shared" ref="B52:J52" si="28">SUM(B54:B58)</f>
        <v>29641</v>
      </c>
      <c r="C52" s="90">
        <f t="shared" si="28"/>
        <v>14632</v>
      </c>
      <c r="D52" s="90">
        <f t="shared" si="28"/>
        <v>734.56100000000004</v>
      </c>
      <c r="E52" s="90">
        <f t="shared" si="28"/>
        <v>33386</v>
      </c>
      <c r="F52" s="90">
        <f t="shared" si="28"/>
        <v>22179</v>
      </c>
      <c r="G52" s="90">
        <f>SUM(G54:G58)</f>
        <v>964.21999999999991</v>
      </c>
      <c r="H52" s="90">
        <f t="shared" si="28"/>
        <v>11153</v>
      </c>
      <c r="I52" s="90">
        <f t="shared" si="28"/>
        <v>5358</v>
      </c>
      <c r="J52" s="90">
        <f t="shared" si="28"/>
        <v>291.31299999999999</v>
      </c>
      <c r="K52" s="90">
        <f>SUM(K54:K58)</f>
        <v>13898</v>
      </c>
      <c r="L52" s="90">
        <f>SUM(L54:L58)</f>
        <v>4581</v>
      </c>
      <c r="M52" s="90">
        <f>SUM(M54:M58)</f>
        <v>111.048</v>
      </c>
      <c r="N52" s="90">
        <f>SUM(N54:N58)</f>
        <v>1348</v>
      </c>
      <c r="O52" s="90">
        <f t="shared" ref="O52:AE52" si="29">SUM(O54:O58)</f>
        <v>468</v>
      </c>
      <c r="P52" s="90">
        <f t="shared" si="29"/>
        <v>23.395</v>
      </c>
      <c r="Q52" s="90">
        <f t="shared" ref="Q52:V52" si="30">SUM(Q54:Q58)</f>
        <v>0</v>
      </c>
      <c r="R52" s="90">
        <f t="shared" si="30"/>
        <v>0</v>
      </c>
      <c r="S52" s="90">
        <f t="shared" si="30"/>
        <v>0</v>
      </c>
      <c r="T52" s="90">
        <f t="shared" si="30"/>
        <v>3200</v>
      </c>
      <c r="U52" s="90">
        <f t="shared" si="30"/>
        <v>2645</v>
      </c>
      <c r="V52" s="90">
        <f t="shared" si="30"/>
        <v>91.114000000000004</v>
      </c>
      <c r="W52" s="90">
        <f t="shared" si="29"/>
        <v>1316</v>
      </c>
      <c r="X52" s="90">
        <f t="shared" si="29"/>
        <v>781</v>
      </c>
      <c r="Y52" s="90">
        <f t="shared" si="29"/>
        <v>26.369999999999997</v>
      </c>
      <c r="Z52" s="96">
        <f t="shared" si="29"/>
        <v>4034</v>
      </c>
      <c r="AA52" s="90">
        <f t="shared" si="29"/>
        <v>1185</v>
      </c>
      <c r="AB52" s="90">
        <f t="shared" si="29"/>
        <v>73.024999999999991</v>
      </c>
      <c r="AC52" s="90">
        <f t="shared" si="29"/>
        <v>352</v>
      </c>
      <c r="AD52" s="90">
        <f t="shared" si="29"/>
        <v>218</v>
      </c>
      <c r="AE52" s="90">
        <f t="shared" si="29"/>
        <v>6.3900000000000006</v>
      </c>
      <c r="AF52" s="90">
        <f>SUM(AF54:AF58)</f>
        <v>7558</v>
      </c>
      <c r="AG52" s="90">
        <f t="shared" ref="AG52:AQ52" si="31">SUM(AG54:AG58)</f>
        <v>1263</v>
      </c>
      <c r="AH52" s="90">
        <f t="shared" si="31"/>
        <v>105.12500000000001</v>
      </c>
      <c r="AI52" s="90">
        <f t="shared" si="31"/>
        <v>0</v>
      </c>
      <c r="AJ52" s="90">
        <f t="shared" si="31"/>
        <v>0</v>
      </c>
      <c r="AK52" s="90">
        <f t="shared" si="31"/>
        <v>0</v>
      </c>
      <c r="AL52" s="90">
        <f t="shared" si="31"/>
        <v>17938</v>
      </c>
      <c r="AM52" s="90">
        <f t="shared" si="31"/>
        <v>6045</v>
      </c>
      <c r="AN52" s="90">
        <f t="shared" si="31"/>
        <v>164.096</v>
      </c>
      <c r="AO52" s="90">
        <f t="shared" si="31"/>
        <v>6487</v>
      </c>
      <c r="AP52" s="90">
        <f t="shared" si="31"/>
        <v>1087</v>
      </c>
      <c r="AQ52" s="90">
        <f t="shared" si="31"/>
        <v>76.19</v>
      </c>
      <c r="AR52" s="90">
        <f>SUM(AR54:AR58)</f>
        <v>10</v>
      </c>
      <c r="AS52" s="90">
        <f t="shared" ref="AS52:BA52" si="32">SUM(AS54:AS58)</f>
        <v>10</v>
      </c>
      <c r="AT52" s="90">
        <f t="shared" si="32"/>
        <v>0.1</v>
      </c>
      <c r="AU52" s="90">
        <f t="shared" si="32"/>
        <v>45</v>
      </c>
      <c r="AV52" s="90">
        <f t="shared" si="32"/>
        <v>45</v>
      </c>
      <c r="AW52" s="90">
        <f t="shared" si="32"/>
        <v>0.60000000000000009</v>
      </c>
      <c r="AX52" s="90">
        <f t="shared" si="32"/>
        <v>4568442</v>
      </c>
      <c r="AY52" s="90">
        <f t="shared" si="32"/>
        <v>4291228</v>
      </c>
      <c r="AZ52" s="90">
        <f t="shared" si="32"/>
        <v>225.46099999999998</v>
      </c>
      <c r="BA52" s="91">
        <f t="shared" si="32"/>
        <v>95989.191000000006</v>
      </c>
      <c r="BB52" s="116" t="s">
        <v>46</v>
      </c>
      <c r="BC52" s="117"/>
      <c r="BD52" s="117"/>
    </row>
    <row r="53" spans="1:56" x14ac:dyDescent="0.3">
      <c r="A53" s="108"/>
      <c r="B53" s="109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6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1"/>
      <c r="BB53" s="116"/>
      <c r="BC53" s="117"/>
      <c r="BD53" s="117"/>
    </row>
    <row r="54" spans="1:56" x14ac:dyDescent="0.3">
      <c r="A54" s="63" t="s">
        <v>154</v>
      </c>
      <c r="B54" s="72">
        <v>3513</v>
      </c>
      <c r="C54" s="71">
        <v>3513</v>
      </c>
      <c r="D54" s="70">
        <v>130.035</v>
      </c>
      <c r="E54" s="71">
        <v>4019</v>
      </c>
      <c r="F54" s="70">
        <v>4019</v>
      </c>
      <c r="G54" s="71">
        <v>187.27099999999999</v>
      </c>
      <c r="H54" s="70">
        <v>2304</v>
      </c>
      <c r="I54" s="71">
        <v>2304</v>
      </c>
      <c r="J54" s="70">
        <v>69.25</v>
      </c>
      <c r="K54" s="71">
        <v>212</v>
      </c>
      <c r="L54" s="70">
        <v>212</v>
      </c>
      <c r="M54" s="71">
        <v>5.47</v>
      </c>
      <c r="N54" s="70">
        <v>407</v>
      </c>
      <c r="O54" s="71">
        <v>407</v>
      </c>
      <c r="P54" s="70">
        <v>12.54</v>
      </c>
      <c r="Q54" s="71" t="s">
        <v>122</v>
      </c>
      <c r="R54" s="70" t="s">
        <v>122</v>
      </c>
      <c r="S54" s="71" t="s">
        <v>122</v>
      </c>
      <c r="T54" s="70">
        <v>219</v>
      </c>
      <c r="U54" s="71">
        <v>219</v>
      </c>
      <c r="V54" s="70">
        <v>6.4249999999999998</v>
      </c>
      <c r="W54" s="71">
        <v>540</v>
      </c>
      <c r="X54" s="70">
        <v>540</v>
      </c>
      <c r="Y54" s="71">
        <v>12.12</v>
      </c>
      <c r="Z54" s="70">
        <v>945</v>
      </c>
      <c r="AA54" s="71">
        <v>945</v>
      </c>
      <c r="AB54" s="70">
        <v>22</v>
      </c>
      <c r="AC54" s="71">
        <v>50</v>
      </c>
      <c r="AD54" s="70">
        <v>50</v>
      </c>
      <c r="AE54" s="71">
        <v>0.9</v>
      </c>
      <c r="AF54" s="70">
        <v>91</v>
      </c>
      <c r="AG54" s="71">
        <v>91</v>
      </c>
      <c r="AH54" s="70">
        <v>4.6749999999999998</v>
      </c>
      <c r="AI54" s="71" t="s">
        <v>122</v>
      </c>
      <c r="AJ54" s="70" t="s">
        <v>122</v>
      </c>
      <c r="AK54" s="71" t="s">
        <v>122</v>
      </c>
      <c r="AL54" s="70">
        <v>762</v>
      </c>
      <c r="AM54" s="71">
        <v>762</v>
      </c>
      <c r="AN54" s="70">
        <v>6.875</v>
      </c>
      <c r="AO54" s="71">
        <v>654</v>
      </c>
      <c r="AP54" s="70">
        <v>654</v>
      </c>
      <c r="AQ54" s="71">
        <v>15.57</v>
      </c>
      <c r="AR54" s="70" t="s">
        <v>122</v>
      </c>
      <c r="AS54" s="71" t="s">
        <v>122</v>
      </c>
      <c r="AT54" s="70" t="s">
        <v>122</v>
      </c>
      <c r="AU54" s="71">
        <v>20</v>
      </c>
      <c r="AV54" s="70">
        <v>20</v>
      </c>
      <c r="AW54" s="71">
        <v>0.2</v>
      </c>
      <c r="AX54" s="70">
        <v>1946482</v>
      </c>
      <c r="AY54" s="71">
        <v>1946482</v>
      </c>
      <c r="AZ54" s="70">
        <v>34.869999999999997</v>
      </c>
      <c r="BA54" s="84">
        <v>65185.014999999999</v>
      </c>
      <c r="BB54" s="80" t="s">
        <v>47</v>
      </c>
      <c r="BC54" s="64"/>
      <c r="BD54" s="64"/>
    </row>
    <row r="55" spans="1:56" x14ac:dyDescent="0.3">
      <c r="A55" s="63" t="s">
        <v>155</v>
      </c>
      <c r="B55" s="72">
        <v>5288</v>
      </c>
      <c r="C55" s="71">
        <v>5288</v>
      </c>
      <c r="D55" s="70">
        <v>233.28</v>
      </c>
      <c r="E55" s="71">
        <v>5447</v>
      </c>
      <c r="F55" s="70">
        <v>5447</v>
      </c>
      <c r="G55" s="71">
        <v>219.4</v>
      </c>
      <c r="H55" s="70">
        <v>24</v>
      </c>
      <c r="I55" s="71">
        <v>24</v>
      </c>
      <c r="J55" s="70">
        <v>0.56000000000000005</v>
      </c>
      <c r="K55" s="71">
        <v>40</v>
      </c>
      <c r="L55" s="70">
        <v>40</v>
      </c>
      <c r="M55" s="71">
        <v>1.55</v>
      </c>
      <c r="N55" s="70" t="s">
        <v>122</v>
      </c>
      <c r="O55" s="71" t="s">
        <v>122</v>
      </c>
      <c r="P55" s="70" t="s">
        <v>122</v>
      </c>
      <c r="Q55" s="71" t="s">
        <v>122</v>
      </c>
      <c r="R55" s="70" t="s">
        <v>122</v>
      </c>
      <c r="S55" s="71" t="s">
        <v>122</v>
      </c>
      <c r="T55" s="70">
        <v>1326</v>
      </c>
      <c r="U55" s="71">
        <v>1326</v>
      </c>
      <c r="V55" s="70">
        <v>61.35</v>
      </c>
      <c r="W55" s="71">
        <v>136</v>
      </c>
      <c r="X55" s="70">
        <v>136</v>
      </c>
      <c r="Y55" s="71">
        <v>7</v>
      </c>
      <c r="Z55" s="70" t="s">
        <v>122</v>
      </c>
      <c r="AA55" s="71" t="s">
        <v>122</v>
      </c>
      <c r="AB55" s="70" t="s">
        <v>122</v>
      </c>
      <c r="AC55" s="71" t="s">
        <v>122</v>
      </c>
      <c r="AD55" s="70" t="s">
        <v>122</v>
      </c>
      <c r="AE55" s="71" t="s">
        <v>122</v>
      </c>
      <c r="AF55" s="70">
        <v>40</v>
      </c>
      <c r="AG55" s="71">
        <v>40</v>
      </c>
      <c r="AH55" s="70">
        <v>3.35</v>
      </c>
      <c r="AI55" s="71" t="s">
        <v>122</v>
      </c>
      <c r="AJ55" s="70" t="s">
        <v>122</v>
      </c>
      <c r="AK55" s="71" t="s">
        <v>122</v>
      </c>
      <c r="AL55" s="70">
        <v>33</v>
      </c>
      <c r="AM55" s="71">
        <v>33</v>
      </c>
      <c r="AN55" s="70">
        <v>0.28999999999999998</v>
      </c>
      <c r="AO55" s="71" t="s">
        <v>122</v>
      </c>
      <c r="AP55" s="70" t="s">
        <v>122</v>
      </c>
      <c r="AQ55" s="71" t="s">
        <v>122</v>
      </c>
      <c r="AR55" s="70" t="s">
        <v>122</v>
      </c>
      <c r="AS55" s="71" t="s">
        <v>122</v>
      </c>
      <c r="AT55" s="70" t="s">
        <v>122</v>
      </c>
      <c r="AU55" s="71" t="s">
        <v>122</v>
      </c>
      <c r="AV55" s="70" t="s">
        <v>122</v>
      </c>
      <c r="AW55" s="71" t="s">
        <v>122</v>
      </c>
      <c r="AX55" s="70">
        <v>1496084</v>
      </c>
      <c r="AY55" s="71">
        <v>1496084</v>
      </c>
      <c r="AZ55" s="70">
        <v>0.7</v>
      </c>
      <c r="BA55" s="84">
        <v>19018</v>
      </c>
      <c r="BB55" s="80" t="s">
        <v>48</v>
      </c>
      <c r="BC55" s="64"/>
      <c r="BD55" s="64"/>
    </row>
    <row r="56" spans="1:56" x14ac:dyDescent="0.3">
      <c r="A56" s="63" t="s">
        <v>156</v>
      </c>
      <c r="B56" s="72">
        <v>3</v>
      </c>
      <c r="C56" s="71">
        <v>3</v>
      </c>
      <c r="D56" s="70">
        <v>0.13</v>
      </c>
      <c r="E56" s="71">
        <v>772</v>
      </c>
      <c r="F56" s="70">
        <v>84</v>
      </c>
      <c r="G56" s="71">
        <v>30.765000000000001</v>
      </c>
      <c r="H56" s="70">
        <v>30</v>
      </c>
      <c r="I56" s="71">
        <v>30</v>
      </c>
      <c r="J56" s="70">
        <v>0.53</v>
      </c>
      <c r="K56" s="71">
        <v>2021</v>
      </c>
      <c r="L56" s="70">
        <v>21</v>
      </c>
      <c r="M56" s="71">
        <v>10.926</v>
      </c>
      <c r="N56" s="70" t="s">
        <v>122</v>
      </c>
      <c r="O56" s="71" t="s">
        <v>122</v>
      </c>
      <c r="P56" s="70" t="s">
        <v>122</v>
      </c>
      <c r="Q56" s="71" t="s">
        <v>122</v>
      </c>
      <c r="R56" s="70" t="s">
        <v>122</v>
      </c>
      <c r="S56" s="71" t="s">
        <v>122</v>
      </c>
      <c r="T56" s="70">
        <v>10</v>
      </c>
      <c r="U56" s="71">
        <v>10</v>
      </c>
      <c r="V56" s="70">
        <v>1E-3</v>
      </c>
      <c r="W56" s="71" t="s">
        <v>122</v>
      </c>
      <c r="X56" s="70" t="s">
        <v>122</v>
      </c>
      <c r="Y56" s="71" t="s">
        <v>122</v>
      </c>
      <c r="Z56" s="70" t="s">
        <v>122</v>
      </c>
      <c r="AA56" s="71" t="s">
        <v>122</v>
      </c>
      <c r="AB56" s="70" t="s">
        <v>122</v>
      </c>
      <c r="AC56" s="71" t="s">
        <v>122</v>
      </c>
      <c r="AD56" s="70" t="s">
        <v>122</v>
      </c>
      <c r="AE56" s="71" t="s">
        <v>122</v>
      </c>
      <c r="AF56" s="70" t="s">
        <v>122</v>
      </c>
      <c r="AG56" s="71" t="s">
        <v>122</v>
      </c>
      <c r="AH56" s="70" t="s">
        <v>122</v>
      </c>
      <c r="AI56" s="71" t="s">
        <v>122</v>
      </c>
      <c r="AJ56" s="70" t="s">
        <v>122</v>
      </c>
      <c r="AK56" s="71" t="s">
        <v>122</v>
      </c>
      <c r="AL56" s="70">
        <v>2</v>
      </c>
      <c r="AM56" s="71">
        <v>2</v>
      </c>
      <c r="AN56" s="70">
        <v>1E-3</v>
      </c>
      <c r="AO56" s="71" t="s">
        <v>122</v>
      </c>
      <c r="AP56" s="70" t="s">
        <v>122</v>
      </c>
      <c r="AQ56" s="71" t="s">
        <v>122</v>
      </c>
      <c r="AR56" s="70" t="s">
        <v>122</v>
      </c>
      <c r="AS56" s="71" t="s">
        <v>122</v>
      </c>
      <c r="AT56" s="70" t="s">
        <v>122</v>
      </c>
      <c r="AU56" s="71" t="s">
        <v>122</v>
      </c>
      <c r="AV56" s="70" t="s">
        <v>122</v>
      </c>
      <c r="AW56" s="71" t="s">
        <v>122</v>
      </c>
      <c r="AX56" s="70">
        <v>25750</v>
      </c>
      <c r="AY56" s="71">
        <v>25150</v>
      </c>
      <c r="AZ56" s="70" t="s">
        <v>122</v>
      </c>
      <c r="BA56" s="84">
        <v>1636.5830000000001</v>
      </c>
      <c r="BB56" s="80" t="s">
        <v>49</v>
      </c>
      <c r="BC56" s="64"/>
      <c r="BD56" s="64"/>
    </row>
    <row r="57" spans="1:56" x14ac:dyDescent="0.3">
      <c r="A57" s="63" t="s">
        <v>157</v>
      </c>
      <c r="B57" s="72">
        <v>11050</v>
      </c>
      <c r="C57" s="71">
        <v>3246</v>
      </c>
      <c r="D57" s="70">
        <v>265.21600000000001</v>
      </c>
      <c r="E57" s="71">
        <v>17933</v>
      </c>
      <c r="F57" s="70">
        <v>10439</v>
      </c>
      <c r="G57" s="71">
        <v>430.48399999999998</v>
      </c>
      <c r="H57" s="70">
        <v>7455</v>
      </c>
      <c r="I57" s="71">
        <v>2540</v>
      </c>
      <c r="J57" s="70">
        <v>193.37299999999999</v>
      </c>
      <c r="K57" s="71">
        <v>6685</v>
      </c>
      <c r="L57" s="70">
        <v>2648</v>
      </c>
      <c r="M57" s="71">
        <v>44.652000000000001</v>
      </c>
      <c r="N57" s="70">
        <v>41</v>
      </c>
      <c r="O57" s="71">
        <v>41</v>
      </c>
      <c r="P57" s="70">
        <v>1.1850000000000001</v>
      </c>
      <c r="Q57" s="71" t="s">
        <v>122</v>
      </c>
      <c r="R57" s="70" t="s">
        <v>122</v>
      </c>
      <c r="S57" s="71" t="s">
        <v>122</v>
      </c>
      <c r="T57" s="70">
        <v>887</v>
      </c>
      <c r="U57" s="71">
        <v>587</v>
      </c>
      <c r="V57" s="70">
        <v>16.239999999999998</v>
      </c>
      <c r="W57" s="71">
        <v>210</v>
      </c>
      <c r="X57" s="70">
        <v>65</v>
      </c>
      <c r="Y57" s="71">
        <v>3.2</v>
      </c>
      <c r="Z57" s="70">
        <v>2789</v>
      </c>
      <c r="AA57" s="71">
        <v>240</v>
      </c>
      <c r="AB57" s="70">
        <v>46.854999999999997</v>
      </c>
      <c r="AC57" s="71">
        <v>202</v>
      </c>
      <c r="AD57" s="70">
        <v>168</v>
      </c>
      <c r="AE57" s="71">
        <v>4.54</v>
      </c>
      <c r="AF57" s="70">
        <v>5697</v>
      </c>
      <c r="AG57" s="71">
        <v>1062</v>
      </c>
      <c r="AH57" s="70">
        <v>78.73</v>
      </c>
      <c r="AI57" s="71" t="s">
        <v>122</v>
      </c>
      <c r="AJ57" s="70" t="s">
        <v>122</v>
      </c>
      <c r="AK57" s="71" t="s">
        <v>122</v>
      </c>
      <c r="AL57" s="70">
        <v>7688</v>
      </c>
      <c r="AM57" s="71">
        <v>3070</v>
      </c>
      <c r="AN57" s="70">
        <v>82.26</v>
      </c>
      <c r="AO57" s="71">
        <v>4435</v>
      </c>
      <c r="AP57" s="70">
        <v>365</v>
      </c>
      <c r="AQ57" s="71">
        <v>46.4</v>
      </c>
      <c r="AR57" s="70">
        <v>10</v>
      </c>
      <c r="AS57" s="71">
        <v>10</v>
      </c>
      <c r="AT57" s="70">
        <v>0.1</v>
      </c>
      <c r="AU57" s="71">
        <v>25</v>
      </c>
      <c r="AV57" s="70">
        <v>25</v>
      </c>
      <c r="AW57" s="71">
        <v>0.4</v>
      </c>
      <c r="AX57" s="70">
        <v>338451</v>
      </c>
      <c r="AY57" s="71">
        <v>291537</v>
      </c>
      <c r="AZ57" s="70">
        <v>174.541</v>
      </c>
      <c r="BA57" s="84">
        <v>5978.2929999999997</v>
      </c>
      <c r="BB57" s="80" t="s">
        <v>50</v>
      </c>
      <c r="BC57" s="64"/>
      <c r="BD57" s="64"/>
    </row>
    <row r="58" spans="1:56" x14ac:dyDescent="0.3">
      <c r="A58" s="63" t="s">
        <v>158</v>
      </c>
      <c r="B58" s="72">
        <v>9787</v>
      </c>
      <c r="C58" s="71">
        <v>2582</v>
      </c>
      <c r="D58" s="70">
        <v>105.9</v>
      </c>
      <c r="E58" s="71">
        <v>5215</v>
      </c>
      <c r="F58" s="70">
        <v>2190</v>
      </c>
      <c r="G58" s="71">
        <v>96.3</v>
      </c>
      <c r="H58" s="70">
        <v>1340</v>
      </c>
      <c r="I58" s="71">
        <v>460</v>
      </c>
      <c r="J58" s="70">
        <v>27.6</v>
      </c>
      <c r="K58" s="71">
        <v>4940</v>
      </c>
      <c r="L58" s="70">
        <v>1660</v>
      </c>
      <c r="M58" s="71">
        <v>48.45</v>
      </c>
      <c r="N58" s="70">
        <v>900</v>
      </c>
      <c r="O58" s="71">
        <v>20</v>
      </c>
      <c r="P58" s="70">
        <v>9.67</v>
      </c>
      <c r="Q58" s="71" t="s">
        <v>122</v>
      </c>
      <c r="R58" s="70" t="s">
        <v>122</v>
      </c>
      <c r="S58" s="71" t="s">
        <v>122</v>
      </c>
      <c r="T58" s="70">
        <v>758</v>
      </c>
      <c r="U58" s="71">
        <v>503</v>
      </c>
      <c r="V58" s="70">
        <v>7.0979999999999999</v>
      </c>
      <c r="W58" s="71">
        <v>430</v>
      </c>
      <c r="X58" s="70">
        <v>40</v>
      </c>
      <c r="Y58" s="71">
        <v>4.05</v>
      </c>
      <c r="Z58" s="70">
        <v>300</v>
      </c>
      <c r="AA58" s="71" t="s">
        <v>122</v>
      </c>
      <c r="AB58" s="70">
        <v>4.17</v>
      </c>
      <c r="AC58" s="71">
        <v>100</v>
      </c>
      <c r="AD58" s="70" t="s">
        <v>122</v>
      </c>
      <c r="AE58" s="71">
        <v>0.95</v>
      </c>
      <c r="AF58" s="70">
        <v>1730</v>
      </c>
      <c r="AG58" s="71">
        <v>70</v>
      </c>
      <c r="AH58" s="70">
        <v>18.37</v>
      </c>
      <c r="AI58" s="71" t="s">
        <v>122</v>
      </c>
      <c r="AJ58" s="70" t="s">
        <v>122</v>
      </c>
      <c r="AK58" s="71" t="s">
        <v>122</v>
      </c>
      <c r="AL58" s="70">
        <v>9453</v>
      </c>
      <c r="AM58" s="71">
        <v>2178</v>
      </c>
      <c r="AN58" s="70">
        <v>74.67</v>
      </c>
      <c r="AO58" s="71">
        <v>1398</v>
      </c>
      <c r="AP58" s="70">
        <v>68</v>
      </c>
      <c r="AQ58" s="71">
        <v>14.22</v>
      </c>
      <c r="AR58" s="70" t="s">
        <v>122</v>
      </c>
      <c r="AS58" s="71" t="s">
        <v>122</v>
      </c>
      <c r="AT58" s="70" t="s">
        <v>122</v>
      </c>
      <c r="AU58" s="71" t="s">
        <v>122</v>
      </c>
      <c r="AV58" s="70" t="s">
        <v>122</v>
      </c>
      <c r="AW58" s="71" t="s">
        <v>122</v>
      </c>
      <c r="AX58" s="70">
        <v>761675</v>
      </c>
      <c r="AY58" s="71">
        <v>531975</v>
      </c>
      <c r="AZ58" s="70">
        <v>15.35</v>
      </c>
      <c r="BA58" s="84">
        <v>4171.3</v>
      </c>
      <c r="BB58" s="80" t="s">
        <v>51</v>
      </c>
      <c r="BC58" s="64"/>
      <c r="BD58" s="64"/>
    </row>
    <row r="59" spans="1:56" x14ac:dyDescent="0.3">
      <c r="A59" s="108" t="s">
        <v>52</v>
      </c>
      <c r="B59" s="109">
        <f t="shared" ref="B59:J59" si="33">SUM(B61:B63)</f>
        <v>433606</v>
      </c>
      <c r="C59" s="90">
        <f t="shared" si="33"/>
        <v>385825</v>
      </c>
      <c r="D59" s="90">
        <f t="shared" si="33"/>
        <v>18269.164000000001</v>
      </c>
      <c r="E59" s="90">
        <f t="shared" si="33"/>
        <v>2901901</v>
      </c>
      <c r="F59" s="90">
        <f t="shared" si="33"/>
        <v>2853352</v>
      </c>
      <c r="G59" s="90">
        <f>SUM(G61:G63)</f>
        <v>152356.65299999999</v>
      </c>
      <c r="H59" s="90">
        <f t="shared" si="33"/>
        <v>917266</v>
      </c>
      <c r="I59" s="90">
        <f t="shared" si="33"/>
        <v>901115</v>
      </c>
      <c r="J59" s="90">
        <f t="shared" si="33"/>
        <v>41287.137000000002</v>
      </c>
      <c r="K59" s="90">
        <f>SUM(K61:K63)</f>
        <v>66261</v>
      </c>
      <c r="L59" s="90">
        <f>SUM(L61:L63)</f>
        <v>51306</v>
      </c>
      <c r="M59" s="90">
        <f>SUM(M61:M63)</f>
        <v>1916.98</v>
      </c>
      <c r="N59" s="90">
        <f>SUM(N61:N63)</f>
        <v>53625</v>
      </c>
      <c r="O59" s="90">
        <f t="shared" ref="O59:AE59" si="34">SUM(O61:O63)</f>
        <v>37867</v>
      </c>
      <c r="P59" s="90">
        <f t="shared" si="34"/>
        <v>2694.1439999999998</v>
      </c>
      <c r="Q59" s="90">
        <f t="shared" ref="Q59:V59" si="35">SUM(Q61:Q63)</f>
        <v>345691</v>
      </c>
      <c r="R59" s="90">
        <f t="shared" si="35"/>
        <v>343685</v>
      </c>
      <c r="S59" s="90">
        <f t="shared" si="35"/>
        <v>13661.981000000002</v>
      </c>
      <c r="T59" s="90">
        <f t="shared" si="35"/>
        <v>145534</v>
      </c>
      <c r="U59" s="90">
        <f t="shared" si="35"/>
        <v>134254</v>
      </c>
      <c r="V59" s="90">
        <f t="shared" si="35"/>
        <v>5078.2</v>
      </c>
      <c r="W59" s="90">
        <f t="shared" si="34"/>
        <v>29009</v>
      </c>
      <c r="X59" s="90">
        <f t="shared" si="34"/>
        <v>16590</v>
      </c>
      <c r="Y59" s="90">
        <f t="shared" si="34"/>
        <v>1100.386</v>
      </c>
      <c r="Z59" s="96">
        <f t="shared" si="34"/>
        <v>18403</v>
      </c>
      <c r="AA59" s="90">
        <f t="shared" si="34"/>
        <v>11360</v>
      </c>
      <c r="AB59" s="90">
        <f t="shared" si="34"/>
        <v>891.76800000000003</v>
      </c>
      <c r="AC59" s="90">
        <f t="shared" si="34"/>
        <v>45185</v>
      </c>
      <c r="AD59" s="90">
        <f t="shared" si="34"/>
        <v>30812</v>
      </c>
      <c r="AE59" s="90">
        <f t="shared" si="34"/>
        <v>1359.0340000000001</v>
      </c>
      <c r="AF59" s="90">
        <f>SUM(AF61:AF63)</f>
        <v>24708</v>
      </c>
      <c r="AG59" s="90">
        <f t="shared" ref="AG59:AQ59" si="36">SUM(AG61:AG63)</f>
        <v>3539</v>
      </c>
      <c r="AH59" s="90">
        <f t="shared" si="36"/>
        <v>1076.873</v>
      </c>
      <c r="AI59" s="90">
        <f t="shared" si="36"/>
        <v>220</v>
      </c>
      <c r="AJ59" s="90">
        <f t="shared" si="36"/>
        <v>145</v>
      </c>
      <c r="AK59" s="90">
        <f t="shared" si="36"/>
        <v>6.5510000000000002</v>
      </c>
      <c r="AL59" s="90">
        <f t="shared" si="36"/>
        <v>56692</v>
      </c>
      <c r="AM59" s="90">
        <f t="shared" si="36"/>
        <v>39538</v>
      </c>
      <c r="AN59" s="90">
        <f t="shared" si="36"/>
        <v>1021.802</v>
      </c>
      <c r="AO59" s="90">
        <f t="shared" si="36"/>
        <v>257310</v>
      </c>
      <c r="AP59" s="90">
        <f t="shared" si="36"/>
        <v>199774</v>
      </c>
      <c r="AQ59" s="90">
        <f t="shared" si="36"/>
        <v>4647.6090000000004</v>
      </c>
      <c r="AR59" s="90">
        <f>SUM(AR61:AR63)</f>
        <v>56192</v>
      </c>
      <c r="AS59" s="90">
        <f t="shared" ref="AS59:BA59" si="37">SUM(AS61:AS63)</f>
        <v>44422</v>
      </c>
      <c r="AT59" s="90">
        <f t="shared" si="37"/>
        <v>1667.317</v>
      </c>
      <c r="AU59" s="90">
        <f t="shared" si="37"/>
        <v>717</v>
      </c>
      <c r="AV59" s="90">
        <f t="shared" si="37"/>
        <v>715</v>
      </c>
      <c r="AW59" s="90">
        <f t="shared" si="37"/>
        <v>7.1000000000000005</v>
      </c>
      <c r="AX59" s="90">
        <f t="shared" si="37"/>
        <v>19347133</v>
      </c>
      <c r="AY59" s="90">
        <f t="shared" si="37"/>
        <v>18458622</v>
      </c>
      <c r="AZ59" s="90">
        <f t="shared" si="37"/>
        <v>80841.546000000002</v>
      </c>
      <c r="BA59" s="91">
        <f t="shared" si="37"/>
        <v>506021.48700000002</v>
      </c>
      <c r="BB59" s="116" t="s">
        <v>53</v>
      </c>
      <c r="BC59" s="117"/>
      <c r="BD59" s="117"/>
    </row>
    <row r="60" spans="1:56" x14ac:dyDescent="0.3">
      <c r="A60" s="108"/>
      <c r="B60" s="109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6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1"/>
      <c r="BB60" s="116"/>
      <c r="BC60" s="117"/>
      <c r="BD60" s="117"/>
    </row>
    <row r="61" spans="1:56" x14ac:dyDescent="0.3">
      <c r="A61" s="63" t="s">
        <v>159</v>
      </c>
      <c r="B61" s="72">
        <v>292054</v>
      </c>
      <c r="C61" s="71">
        <v>265097</v>
      </c>
      <c r="D61" s="70">
        <v>12472.552</v>
      </c>
      <c r="E61" s="71">
        <v>70174</v>
      </c>
      <c r="F61" s="70">
        <v>60603</v>
      </c>
      <c r="G61" s="71">
        <v>4054.54</v>
      </c>
      <c r="H61" s="70">
        <v>11835</v>
      </c>
      <c r="I61" s="71">
        <v>10520</v>
      </c>
      <c r="J61" s="70">
        <v>602.64099999999996</v>
      </c>
      <c r="K61" s="71">
        <v>36739</v>
      </c>
      <c r="L61" s="70">
        <v>36229</v>
      </c>
      <c r="M61" s="71">
        <v>984.56899999999996</v>
      </c>
      <c r="N61" s="70">
        <v>26112</v>
      </c>
      <c r="O61" s="71">
        <v>25623</v>
      </c>
      <c r="P61" s="70">
        <v>1512.3869999999999</v>
      </c>
      <c r="Q61" s="71">
        <v>460</v>
      </c>
      <c r="R61" s="70">
        <v>460</v>
      </c>
      <c r="S61" s="71">
        <v>32.200000000000003</v>
      </c>
      <c r="T61" s="70">
        <v>29231</v>
      </c>
      <c r="U61" s="71">
        <v>28413</v>
      </c>
      <c r="V61" s="70">
        <v>810.38300000000004</v>
      </c>
      <c r="W61" s="71">
        <v>3573</v>
      </c>
      <c r="X61" s="70">
        <v>3264</v>
      </c>
      <c r="Y61" s="71">
        <v>134.88800000000001</v>
      </c>
      <c r="Z61" s="70">
        <v>8607</v>
      </c>
      <c r="AA61" s="71">
        <v>8014</v>
      </c>
      <c r="AB61" s="70">
        <v>538.553</v>
      </c>
      <c r="AC61" s="71">
        <v>23312</v>
      </c>
      <c r="AD61" s="70">
        <v>19824</v>
      </c>
      <c r="AE61" s="71">
        <v>862.06500000000005</v>
      </c>
      <c r="AF61" s="70">
        <v>1455</v>
      </c>
      <c r="AG61" s="71">
        <v>768</v>
      </c>
      <c r="AH61" s="70">
        <v>47.564999999999998</v>
      </c>
      <c r="AI61" s="71">
        <v>120</v>
      </c>
      <c r="AJ61" s="70">
        <v>100</v>
      </c>
      <c r="AK61" s="71">
        <v>2.7</v>
      </c>
      <c r="AL61" s="70">
        <v>9778</v>
      </c>
      <c r="AM61" s="71">
        <v>7237</v>
      </c>
      <c r="AN61" s="70">
        <v>166.80699999999999</v>
      </c>
      <c r="AO61" s="71">
        <v>45927</v>
      </c>
      <c r="AP61" s="70">
        <v>43364</v>
      </c>
      <c r="AQ61" s="71">
        <v>1170.212</v>
      </c>
      <c r="AR61" s="70">
        <v>2152</v>
      </c>
      <c r="AS61" s="71">
        <v>1967</v>
      </c>
      <c r="AT61" s="70">
        <v>73.492000000000004</v>
      </c>
      <c r="AU61" s="71">
        <v>2</v>
      </c>
      <c r="AV61" s="70" t="s">
        <v>122</v>
      </c>
      <c r="AW61" s="71">
        <v>0.06</v>
      </c>
      <c r="AX61" s="70">
        <v>3654767</v>
      </c>
      <c r="AY61" s="71">
        <v>3503269</v>
      </c>
      <c r="AZ61" s="70">
        <v>3508.65</v>
      </c>
      <c r="BA61" s="84">
        <v>103292.836</v>
      </c>
      <c r="BB61" s="80" t="s">
        <v>54</v>
      </c>
      <c r="BC61" s="64"/>
      <c r="BD61" s="64"/>
    </row>
    <row r="62" spans="1:56" x14ac:dyDescent="0.3">
      <c r="A62" s="63" t="s">
        <v>160</v>
      </c>
      <c r="B62" s="72">
        <v>69994</v>
      </c>
      <c r="C62" s="71">
        <v>62813</v>
      </c>
      <c r="D62" s="70">
        <v>2454.4920000000002</v>
      </c>
      <c r="E62" s="71">
        <v>1727673</v>
      </c>
      <c r="F62" s="70">
        <v>1712343</v>
      </c>
      <c r="G62" s="71">
        <v>69474.062999999995</v>
      </c>
      <c r="H62" s="70">
        <v>772732</v>
      </c>
      <c r="I62" s="71">
        <v>768988</v>
      </c>
      <c r="J62" s="70">
        <v>30864.791000000001</v>
      </c>
      <c r="K62" s="71">
        <v>20903</v>
      </c>
      <c r="L62" s="70">
        <v>10919</v>
      </c>
      <c r="M62" s="71">
        <v>535.41099999999994</v>
      </c>
      <c r="N62" s="70">
        <v>21786</v>
      </c>
      <c r="O62" s="71">
        <v>9684</v>
      </c>
      <c r="P62" s="70">
        <v>857.63199999999995</v>
      </c>
      <c r="Q62" s="71">
        <v>334104</v>
      </c>
      <c r="R62" s="70">
        <v>332138</v>
      </c>
      <c r="S62" s="71">
        <v>12979.691000000001</v>
      </c>
      <c r="T62" s="70">
        <v>52378</v>
      </c>
      <c r="U62" s="71">
        <v>51120</v>
      </c>
      <c r="V62" s="70">
        <v>1755.53</v>
      </c>
      <c r="W62" s="71">
        <v>12153</v>
      </c>
      <c r="X62" s="70">
        <v>7071</v>
      </c>
      <c r="Y62" s="71">
        <v>398.399</v>
      </c>
      <c r="Z62" s="70">
        <v>4361</v>
      </c>
      <c r="AA62" s="71">
        <v>2393</v>
      </c>
      <c r="AB62" s="70">
        <v>131.505</v>
      </c>
      <c r="AC62" s="71">
        <v>12543</v>
      </c>
      <c r="AD62" s="70">
        <v>5454</v>
      </c>
      <c r="AE62" s="71">
        <v>258.57900000000001</v>
      </c>
      <c r="AF62" s="70">
        <v>8225</v>
      </c>
      <c r="AG62" s="71">
        <v>939</v>
      </c>
      <c r="AH62" s="70">
        <v>262.76799999999997</v>
      </c>
      <c r="AI62" s="71">
        <v>15</v>
      </c>
      <c r="AJ62" s="70" t="s">
        <v>122</v>
      </c>
      <c r="AK62" s="71">
        <v>0.151</v>
      </c>
      <c r="AL62" s="70">
        <v>27988</v>
      </c>
      <c r="AM62" s="71">
        <v>19228</v>
      </c>
      <c r="AN62" s="70">
        <v>501.35</v>
      </c>
      <c r="AO62" s="71">
        <v>158609</v>
      </c>
      <c r="AP62" s="70">
        <v>111859</v>
      </c>
      <c r="AQ62" s="71">
        <v>1630.212</v>
      </c>
      <c r="AR62" s="70">
        <v>33473</v>
      </c>
      <c r="AS62" s="71">
        <v>22605</v>
      </c>
      <c r="AT62" s="70">
        <v>1033.115</v>
      </c>
      <c r="AU62" s="71">
        <v>80</v>
      </c>
      <c r="AV62" s="70">
        <v>80</v>
      </c>
      <c r="AW62" s="71">
        <v>1.0900000000000001</v>
      </c>
      <c r="AX62" s="70">
        <v>7076623</v>
      </c>
      <c r="AY62" s="71">
        <v>6430171</v>
      </c>
      <c r="AZ62" s="70">
        <v>72513.331000000006</v>
      </c>
      <c r="BA62" s="84">
        <v>49057.065999999999</v>
      </c>
      <c r="BB62" s="80" t="s">
        <v>55</v>
      </c>
      <c r="BC62" s="64"/>
      <c r="BD62" s="64"/>
    </row>
    <row r="63" spans="1:56" x14ac:dyDescent="0.3">
      <c r="A63" s="63" t="s">
        <v>161</v>
      </c>
      <c r="B63" s="72">
        <v>71558</v>
      </c>
      <c r="C63" s="71">
        <v>57915</v>
      </c>
      <c r="D63" s="70">
        <v>3342.12</v>
      </c>
      <c r="E63" s="71">
        <v>1104054</v>
      </c>
      <c r="F63" s="70">
        <v>1080406</v>
      </c>
      <c r="G63" s="71">
        <v>78828.05</v>
      </c>
      <c r="H63" s="70">
        <v>132699</v>
      </c>
      <c r="I63" s="71">
        <v>121607</v>
      </c>
      <c r="J63" s="70">
        <v>9819.7049999999999</v>
      </c>
      <c r="K63" s="71">
        <v>8619</v>
      </c>
      <c r="L63" s="70">
        <v>4158</v>
      </c>
      <c r="M63" s="71">
        <v>397</v>
      </c>
      <c r="N63" s="70">
        <v>5727</v>
      </c>
      <c r="O63" s="71">
        <v>2560</v>
      </c>
      <c r="P63" s="70">
        <v>324.125</v>
      </c>
      <c r="Q63" s="71">
        <v>11127</v>
      </c>
      <c r="R63" s="70">
        <v>11087</v>
      </c>
      <c r="S63" s="71">
        <v>650.09</v>
      </c>
      <c r="T63" s="70">
        <v>63925</v>
      </c>
      <c r="U63" s="71">
        <v>54721</v>
      </c>
      <c r="V63" s="70">
        <v>2512.2869999999998</v>
      </c>
      <c r="W63" s="71">
        <v>13283</v>
      </c>
      <c r="X63" s="70">
        <v>6255</v>
      </c>
      <c r="Y63" s="71">
        <v>567.09900000000005</v>
      </c>
      <c r="Z63" s="70">
        <v>5435</v>
      </c>
      <c r="AA63" s="71">
        <v>953</v>
      </c>
      <c r="AB63" s="70">
        <v>221.71</v>
      </c>
      <c r="AC63" s="71">
        <v>9330</v>
      </c>
      <c r="AD63" s="70">
        <v>5534</v>
      </c>
      <c r="AE63" s="71">
        <v>238.39</v>
      </c>
      <c r="AF63" s="70">
        <v>15028</v>
      </c>
      <c r="AG63" s="71">
        <v>1832</v>
      </c>
      <c r="AH63" s="70">
        <v>766.54</v>
      </c>
      <c r="AI63" s="71">
        <v>85</v>
      </c>
      <c r="AJ63" s="70">
        <v>45</v>
      </c>
      <c r="AK63" s="71">
        <v>3.7</v>
      </c>
      <c r="AL63" s="70">
        <v>18926</v>
      </c>
      <c r="AM63" s="71">
        <v>13073</v>
      </c>
      <c r="AN63" s="70">
        <v>353.64499999999998</v>
      </c>
      <c r="AO63" s="71">
        <v>52774</v>
      </c>
      <c r="AP63" s="70">
        <v>44551</v>
      </c>
      <c r="AQ63" s="71">
        <v>1847.1849999999999</v>
      </c>
      <c r="AR63" s="70">
        <v>20567</v>
      </c>
      <c r="AS63" s="71">
        <v>19850</v>
      </c>
      <c r="AT63" s="70">
        <v>560.71</v>
      </c>
      <c r="AU63" s="71">
        <v>635</v>
      </c>
      <c r="AV63" s="70">
        <v>635</v>
      </c>
      <c r="AW63" s="71">
        <v>5.95</v>
      </c>
      <c r="AX63" s="70">
        <v>8615743</v>
      </c>
      <c r="AY63" s="71">
        <v>8525182</v>
      </c>
      <c r="AZ63" s="70">
        <v>4819.5649999999996</v>
      </c>
      <c r="BA63" s="84">
        <v>353671.58500000002</v>
      </c>
      <c r="BB63" s="80" t="s">
        <v>56</v>
      </c>
      <c r="BC63" s="64"/>
      <c r="BD63" s="64"/>
    </row>
    <row r="64" spans="1:56" x14ac:dyDescent="0.3">
      <c r="A64" s="108" t="s">
        <v>57</v>
      </c>
      <c r="B64" s="109">
        <f t="shared" ref="B64:J64" si="38">SUM(B66:B70)</f>
        <v>546505</v>
      </c>
      <c r="C64" s="90">
        <f t="shared" si="38"/>
        <v>531618</v>
      </c>
      <c r="D64" s="90">
        <f t="shared" si="38"/>
        <v>21791.439000000002</v>
      </c>
      <c r="E64" s="90">
        <f t="shared" si="38"/>
        <v>8290271</v>
      </c>
      <c r="F64" s="90">
        <f t="shared" si="38"/>
        <v>8270506</v>
      </c>
      <c r="G64" s="90">
        <f>SUM(G66:G70)</f>
        <v>432879.18400000001</v>
      </c>
      <c r="H64" s="90">
        <f t="shared" si="38"/>
        <v>2027784</v>
      </c>
      <c r="I64" s="90">
        <f t="shared" si="38"/>
        <v>2021512</v>
      </c>
      <c r="J64" s="90">
        <f t="shared" si="38"/>
        <v>87409.179000000004</v>
      </c>
      <c r="K64" s="90">
        <f>SUM(K66:K70)</f>
        <v>218310</v>
      </c>
      <c r="L64" s="90">
        <f>SUM(L66:L70)</f>
        <v>208160</v>
      </c>
      <c r="M64" s="90">
        <f>SUM(M66:M70)</f>
        <v>7083.3160000000007</v>
      </c>
      <c r="N64" s="90">
        <f>SUM(N66:N70)</f>
        <v>698417</v>
      </c>
      <c r="O64" s="90">
        <f t="shared" ref="O64:AE64" si="39">SUM(O66:O70)</f>
        <v>695407</v>
      </c>
      <c r="P64" s="90">
        <f t="shared" si="39"/>
        <v>21280.080999999998</v>
      </c>
      <c r="Q64" s="90">
        <f t="shared" ref="Q64:V64" si="40">SUM(Q66:Q70)</f>
        <v>1040</v>
      </c>
      <c r="R64" s="90">
        <f t="shared" si="40"/>
        <v>1015</v>
      </c>
      <c r="S64" s="90">
        <f t="shared" si="40"/>
        <v>32.524999999999999</v>
      </c>
      <c r="T64" s="90">
        <f t="shared" si="40"/>
        <v>243599</v>
      </c>
      <c r="U64" s="90">
        <f t="shared" si="40"/>
        <v>235695</v>
      </c>
      <c r="V64" s="90">
        <f t="shared" si="40"/>
        <v>9486.9429999999993</v>
      </c>
      <c r="W64" s="90">
        <f t="shared" si="39"/>
        <v>264469</v>
      </c>
      <c r="X64" s="90">
        <f t="shared" si="39"/>
        <v>257665</v>
      </c>
      <c r="Y64" s="90">
        <f t="shared" si="39"/>
        <v>11046.109000000002</v>
      </c>
      <c r="Z64" s="96">
        <f t="shared" si="39"/>
        <v>1112409</v>
      </c>
      <c r="AA64" s="90">
        <f t="shared" si="39"/>
        <v>1108252</v>
      </c>
      <c r="AB64" s="90">
        <f t="shared" si="39"/>
        <v>49508.806000000004</v>
      </c>
      <c r="AC64" s="90">
        <f t="shared" si="39"/>
        <v>116184</v>
      </c>
      <c r="AD64" s="90">
        <f t="shared" si="39"/>
        <v>114475</v>
      </c>
      <c r="AE64" s="90">
        <f t="shared" si="39"/>
        <v>3620.4580000000005</v>
      </c>
      <c r="AF64" s="90">
        <f>SUM(AF66:AF70)</f>
        <v>44172</v>
      </c>
      <c r="AG64" s="90">
        <f t="shared" ref="AG64:AQ64" si="41">SUM(AG66:AG70)</f>
        <v>31964</v>
      </c>
      <c r="AH64" s="90">
        <f t="shared" si="41"/>
        <v>1294.0329999999999</v>
      </c>
      <c r="AI64" s="90">
        <f t="shared" si="41"/>
        <v>284088</v>
      </c>
      <c r="AJ64" s="90">
        <f t="shared" si="41"/>
        <v>282421</v>
      </c>
      <c r="AK64" s="90">
        <f t="shared" si="41"/>
        <v>8698.4390000000003</v>
      </c>
      <c r="AL64" s="90">
        <f t="shared" si="41"/>
        <v>108883</v>
      </c>
      <c r="AM64" s="90">
        <f t="shared" si="41"/>
        <v>102248</v>
      </c>
      <c r="AN64" s="90">
        <f t="shared" si="41"/>
        <v>1308.4740000000002</v>
      </c>
      <c r="AO64" s="90">
        <f t="shared" si="41"/>
        <v>366486</v>
      </c>
      <c r="AP64" s="90">
        <f t="shared" si="41"/>
        <v>345645</v>
      </c>
      <c r="AQ64" s="90">
        <f t="shared" si="41"/>
        <v>4393.8069999999998</v>
      </c>
      <c r="AR64" s="90">
        <f>SUM(AR66:AR70)</f>
        <v>161097</v>
      </c>
      <c r="AS64" s="90">
        <f t="shared" ref="AS64:BA64" si="42">SUM(AS66:AS70)</f>
        <v>157770</v>
      </c>
      <c r="AT64" s="90">
        <f t="shared" si="42"/>
        <v>2614.9830000000002</v>
      </c>
      <c r="AU64" s="90">
        <f t="shared" si="42"/>
        <v>9710</v>
      </c>
      <c r="AV64" s="90">
        <f t="shared" si="42"/>
        <v>9687</v>
      </c>
      <c r="AW64" s="90">
        <f t="shared" si="42"/>
        <v>212.68</v>
      </c>
      <c r="AX64" s="90">
        <f t="shared" si="42"/>
        <v>38508312</v>
      </c>
      <c r="AY64" s="90">
        <f t="shared" si="42"/>
        <v>38395856</v>
      </c>
      <c r="AZ64" s="90">
        <f t="shared" si="42"/>
        <v>53033.054000000004</v>
      </c>
      <c r="BA64" s="91">
        <f t="shared" si="42"/>
        <v>633365.92200000002</v>
      </c>
      <c r="BB64" s="116" t="s">
        <v>58</v>
      </c>
      <c r="BC64" s="117"/>
      <c r="BD64" s="117"/>
    </row>
    <row r="65" spans="1:56" x14ac:dyDescent="0.3">
      <c r="A65" s="108"/>
      <c r="B65" s="109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6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1"/>
      <c r="BB65" s="116"/>
      <c r="BC65" s="117"/>
      <c r="BD65" s="117"/>
    </row>
    <row r="66" spans="1:56" x14ac:dyDescent="0.3">
      <c r="A66" s="63" t="s">
        <v>162</v>
      </c>
      <c r="B66" s="72">
        <v>7132</v>
      </c>
      <c r="C66" s="71">
        <v>7088</v>
      </c>
      <c r="D66" s="70">
        <v>375.39600000000002</v>
      </c>
      <c r="E66" s="71">
        <v>21518</v>
      </c>
      <c r="F66" s="70">
        <v>21446</v>
      </c>
      <c r="G66" s="71">
        <v>1437.99</v>
      </c>
      <c r="H66" s="70">
        <v>14257</v>
      </c>
      <c r="I66" s="71">
        <v>14230</v>
      </c>
      <c r="J66" s="70">
        <v>962.21299999999997</v>
      </c>
      <c r="K66" s="71">
        <v>83669</v>
      </c>
      <c r="L66" s="70">
        <v>82173</v>
      </c>
      <c r="M66" s="71">
        <v>2297.1669999999999</v>
      </c>
      <c r="N66" s="70">
        <v>490623</v>
      </c>
      <c r="O66" s="71">
        <v>489593</v>
      </c>
      <c r="P66" s="70">
        <v>12513.532999999999</v>
      </c>
      <c r="Q66" s="71">
        <v>123</v>
      </c>
      <c r="R66" s="70">
        <v>123</v>
      </c>
      <c r="S66" s="71">
        <v>3.3</v>
      </c>
      <c r="T66" s="70">
        <v>10081</v>
      </c>
      <c r="U66" s="71">
        <v>9869</v>
      </c>
      <c r="V66" s="70">
        <v>196.34200000000001</v>
      </c>
      <c r="W66" s="71">
        <v>6840</v>
      </c>
      <c r="X66" s="70">
        <v>6764</v>
      </c>
      <c r="Y66" s="71">
        <v>185.94</v>
      </c>
      <c r="Z66" s="70">
        <v>81973</v>
      </c>
      <c r="AA66" s="71">
        <v>81825</v>
      </c>
      <c r="AB66" s="70">
        <v>1427.6869999999999</v>
      </c>
      <c r="AC66" s="71">
        <v>78029</v>
      </c>
      <c r="AD66" s="70">
        <v>77380</v>
      </c>
      <c r="AE66" s="71">
        <v>2535.84</v>
      </c>
      <c r="AF66" s="70">
        <v>1674</v>
      </c>
      <c r="AG66" s="71">
        <v>741</v>
      </c>
      <c r="AH66" s="70">
        <v>32.255000000000003</v>
      </c>
      <c r="AI66" s="71">
        <v>2881</v>
      </c>
      <c r="AJ66" s="70">
        <v>2874</v>
      </c>
      <c r="AK66" s="71">
        <v>43.1</v>
      </c>
      <c r="AL66" s="70">
        <v>43353</v>
      </c>
      <c r="AM66" s="71">
        <v>40848</v>
      </c>
      <c r="AN66" s="70">
        <v>316.53399999999999</v>
      </c>
      <c r="AO66" s="71">
        <v>188126</v>
      </c>
      <c r="AP66" s="70">
        <v>172298</v>
      </c>
      <c r="AQ66" s="71">
        <v>1419.3779999999999</v>
      </c>
      <c r="AR66" s="70">
        <v>123981</v>
      </c>
      <c r="AS66" s="71">
        <v>121116</v>
      </c>
      <c r="AT66" s="70">
        <v>1881.5709999999999</v>
      </c>
      <c r="AU66" s="71">
        <v>4</v>
      </c>
      <c r="AV66" s="70" t="s">
        <v>122</v>
      </c>
      <c r="AW66" s="71">
        <v>1.6E-2</v>
      </c>
      <c r="AX66" s="70">
        <v>2322106</v>
      </c>
      <c r="AY66" s="71">
        <v>2272786</v>
      </c>
      <c r="AZ66" s="70">
        <v>2465.902</v>
      </c>
      <c r="BA66" s="84">
        <v>11784.569</v>
      </c>
      <c r="BB66" s="80" t="s">
        <v>59</v>
      </c>
      <c r="BC66" s="64"/>
      <c r="BD66" s="64"/>
    </row>
    <row r="67" spans="1:56" x14ac:dyDescent="0.3">
      <c r="A67" s="63" t="s">
        <v>163</v>
      </c>
      <c r="B67" s="72">
        <v>100454</v>
      </c>
      <c r="C67" s="71">
        <v>99425</v>
      </c>
      <c r="D67" s="70">
        <v>5035.5600000000004</v>
      </c>
      <c r="E67" s="71">
        <v>4395977</v>
      </c>
      <c r="F67" s="70">
        <v>4393586</v>
      </c>
      <c r="G67" s="71">
        <v>224297.37700000001</v>
      </c>
      <c r="H67" s="70">
        <v>1422915</v>
      </c>
      <c r="I67" s="71">
        <v>1422103</v>
      </c>
      <c r="J67" s="70">
        <v>60357.733</v>
      </c>
      <c r="K67" s="71">
        <v>35596</v>
      </c>
      <c r="L67" s="70">
        <v>35205</v>
      </c>
      <c r="M67" s="71">
        <v>1350.6279999999999</v>
      </c>
      <c r="N67" s="70">
        <v>18984</v>
      </c>
      <c r="O67" s="71">
        <v>18644</v>
      </c>
      <c r="P67" s="70">
        <v>886.49</v>
      </c>
      <c r="Q67" s="71" t="s">
        <v>122</v>
      </c>
      <c r="R67" s="70" t="s">
        <v>122</v>
      </c>
      <c r="S67" s="71" t="s">
        <v>122</v>
      </c>
      <c r="T67" s="70">
        <v>139419</v>
      </c>
      <c r="U67" s="71">
        <v>137807</v>
      </c>
      <c r="V67" s="70">
        <v>4841.1419999999998</v>
      </c>
      <c r="W67" s="71">
        <v>193128</v>
      </c>
      <c r="X67" s="70">
        <v>192093</v>
      </c>
      <c r="Y67" s="71">
        <v>8322.612000000001</v>
      </c>
      <c r="Z67" s="70">
        <v>642713</v>
      </c>
      <c r="AA67" s="71">
        <v>641879</v>
      </c>
      <c r="AB67" s="70">
        <v>32927.345000000001</v>
      </c>
      <c r="AC67" s="71">
        <v>712</v>
      </c>
      <c r="AD67" s="70">
        <v>677</v>
      </c>
      <c r="AE67" s="71">
        <v>12.39</v>
      </c>
      <c r="AF67" s="70">
        <v>5375</v>
      </c>
      <c r="AG67" s="71">
        <v>4707</v>
      </c>
      <c r="AH67" s="70">
        <v>132.94499999999999</v>
      </c>
      <c r="AI67" s="71">
        <v>42</v>
      </c>
      <c r="AJ67" s="70">
        <v>42</v>
      </c>
      <c r="AK67" s="71">
        <v>0.76400000000000001</v>
      </c>
      <c r="AL67" s="70">
        <v>9085</v>
      </c>
      <c r="AM67" s="71">
        <v>8189</v>
      </c>
      <c r="AN67" s="70">
        <v>156.96899999999999</v>
      </c>
      <c r="AO67" s="71">
        <v>7477</v>
      </c>
      <c r="AP67" s="70">
        <v>7252</v>
      </c>
      <c r="AQ67" s="71">
        <v>61.718000000000004</v>
      </c>
      <c r="AR67" s="70">
        <v>1640</v>
      </c>
      <c r="AS67" s="71">
        <v>1640</v>
      </c>
      <c r="AT67" s="70">
        <v>21.241</v>
      </c>
      <c r="AU67" s="71">
        <v>7297</v>
      </c>
      <c r="AV67" s="70">
        <v>7292</v>
      </c>
      <c r="AW67" s="71">
        <v>175.13</v>
      </c>
      <c r="AX67" s="70">
        <v>4177097</v>
      </c>
      <c r="AY67" s="71">
        <v>4171721</v>
      </c>
      <c r="AZ67" s="70">
        <v>669.29</v>
      </c>
      <c r="BA67" s="84">
        <v>29680.814999999999</v>
      </c>
      <c r="BB67" s="80" t="s">
        <v>60</v>
      </c>
      <c r="BC67" s="64"/>
      <c r="BD67" s="64"/>
    </row>
    <row r="68" spans="1:56" x14ac:dyDescent="0.3">
      <c r="A68" s="63" t="s">
        <v>164</v>
      </c>
      <c r="B68" s="72">
        <v>347801</v>
      </c>
      <c r="C68" s="71">
        <v>347751</v>
      </c>
      <c r="D68" s="70">
        <v>11931.715</v>
      </c>
      <c r="E68" s="71">
        <v>189941</v>
      </c>
      <c r="F68" s="70">
        <v>189756</v>
      </c>
      <c r="G68" s="71">
        <v>5734.7820000000002</v>
      </c>
      <c r="H68" s="70">
        <v>28455</v>
      </c>
      <c r="I68" s="71">
        <v>28455</v>
      </c>
      <c r="J68" s="70">
        <v>804.88099999999997</v>
      </c>
      <c r="K68" s="71">
        <v>86833</v>
      </c>
      <c r="L68" s="70">
        <v>86791</v>
      </c>
      <c r="M68" s="71">
        <v>3200.86</v>
      </c>
      <c r="N68" s="70">
        <v>181154</v>
      </c>
      <c r="O68" s="71">
        <v>181154</v>
      </c>
      <c r="P68" s="70">
        <v>7602.4449999999997</v>
      </c>
      <c r="Q68" s="71">
        <v>160</v>
      </c>
      <c r="R68" s="70">
        <v>160</v>
      </c>
      <c r="S68" s="71">
        <v>6.1</v>
      </c>
      <c r="T68" s="70">
        <v>10989</v>
      </c>
      <c r="U68" s="71">
        <v>10989</v>
      </c>
      <c r="V68" s="70">
        <v>307.58</v>
      </c>
      <c r="W68" s="71">
        <v>44234</v>
      </c>
      <c r="X68" s="70">
        <v>44234</v>
      </c>
      <c r="Y68" s="71">
        <v>1839.62</v>
      </c>
      <c r="Z68" s="70">
        <v>376007</v>
      </c>
      <c r="AA68" s="71">
        <v>376007</v>
      </c>
      <c r="AB68" s="70">
        <v>14684.83</v>
      </c>
      <c r="AC68" s="71">
        <v>33975</v>
      </c>
      <c r="AD68" s="70">
        <v>33918</v>
      </c>
      <c r="AE68" s="71">
        <v>970.49</v>
      </c>
      <c r="AF68" s="70">
        <v>13923</v>
      </c>
      <c r="AG68" s="71">
        <v>13875</v>
      </c>
      <c r="AH68" s="70">
        <v>389.19</v>
      </c>
      <c r="AI68" s="71">
        <v>179</v>
      </c>
      <c r="AJ68" s="70">
        <v>179</v>
      </c>
      <c r="AK68" s="71">
        <v>2.621</v>
      </c>
      <c r="AL68" s="70">
        <v>22828</v>
      </c>
      <c r="AM68" s="71">
        <v>22821</v>
      </c>
      <c r="AN68" s="70">
        <v>246.262</v>
      </c>
      <c r="AO68" s="71">
        <v>110572</v>
      </c>
      <c r="AP68" s="70">
        <v>110572</v>
      </c>
      <c r="AQ68" s="71">
        <v>1074.9939999999999</v>
      </c>
      <c r="AR68" s="70">
        <v>4328</v>
      </c>
      <c r="AS68" s="71">
        <v>4211</v>
      </c>
      <c r="AT68" s="70">
        <v>72.91</v>
      </c>
      <c r="AU68" s="71">
        <v>1705</v>
      </c>
      <c r="AV68" s="70">
        <v>1705</v>
      </c>
      <c r="AW68" s="71">
        <v>27.870999999999999</v>
      </c>
      <c r="AX68" s="70">
        <v>3882374</v>
      </c>
      <c r="AY68" s="71">
        <v>3881251</v>
      </c>
      <c r="AZ68" s="70">
        <v>400.84</v>
      </c>
      <c r="BA68" s="84">
        <v>17769.86</v>
      </c>
      <c r="BB68" s="80" t="s">
        <v>61</v>
      </c>
      <c r="BC68" s="64"/>
      <c r="BD68" s="64"/>
    </row>
    <row r="69" spans="1:56" x14ac:dyDescent="0.3">
      <c r="A69" s="63" t="s">
        <v>165</v>
      </c>
      <c r="B69" s="72">
        <v>66513</v>
      </c>
      <c r="C69" s="71">
        <v>65819</v>
      </c>
      <c r="D69" s="70">
        <v>3521.5390000000002</v>
      </c>
      <c r="E69" s="71">
        <v>3598872</v>
      </c>
      <c r="F69" s="70">
        <v>3597550</v>
      </c>
      <c r="G69" s="71">
        <v>197229.905</v>
      </c>
      <c r="H69" s="70">
        <v>550914</v>
      </c>
      <c r="I69" s="71">
        <v>550031</v>
      </c>
      <c r="J69" s="70">
        <v>24829.878000000001</v>
      </c>
      <c r="K69" s="71">
        <v>2802</v>
      </c>
      <c r="L69" s="70">
        <v>1633</v>
      </c>
      <c r="M69" s="71">
        <v>58.292999999999999</v>
      </c>
      <c r="N69" s="70">
        <v>1862</v>
      </c>
      <c r="O69" s="71">
        <v>1799</v>
      </c>
      <c r="P69" s="70">
        <v>106.3</v>
      </c>
      <c r="Q69" s="71" t="s">
        <v>122</v>
      </c>
      <c r="R69" s="70" t="s">
        <v>122</v>
      </c>
      <c r="S69" s="71" t="s">
        <v>122</v>
      </c>
      <c r="T69" s="70">
        <v>63445</v>
      </c>
      <c r="U69" s="71">
        <v>63375</v>
      </c>
      <c r="V69" s="70">
        <v>3521.03</v>
      </c>
      <c r="W69" s="71">
        <v>15027</v>
      </c>
      <c r="X69" s="70">
        <v>12213</v>
      </c>
      <c r="Y69" s="71">
        <v>565.447</v>
      </c>
      <c r="Z69" s="70">
        <v>8354</v>
      </c>
      <c r="AA69" s="71">
        <v>7885</v>
      </c>
      <c r="AB69" s="70">
        <v>378.35500000000002</v>
      </c>
      <c r="AC69" s="71">
        <v>1288</v>
      </c>
      <c r="AD69" s="70">
        <v>1228</v>
      </c>
      <c r="AE69" s="71">
        <v>38.78</v>
      </c>
      <c r="AF69" s="70">
        <v>9599</v>
      </c>
      <c r="AG69" s="71">
        <v>9468</v>
      </c>
      <c r="AH69" s="70">
        <v>370.76</v>
      </c>
      <c r="AI69" s="71">
        <v>56634</v>
      </c>
      <c r="AJ69" s="70">
        <v>56178</v>
      </c>
      <c r="AK69" s="71">
        <v>3118.6559999999999</v>
      </c>
      <c r="AL69" s="70">
        <v>26029</v>
      </c>
      <c r="AM69" s="71">
        <v>25857</v>
      </c>
      <c r="AN69" s="70">
        <v>430.791</v>
      </c>
      <c r="AO69" s="71">
        <v>36707</v>
      </c>
      <c r="AP69" s="70">
        <v>36409</v>
      </c>
      <c r="AQ69" s="71">
        <v>982.71400000000006</v>
      </c>
      <c r="AR69" s="70">
        <v>28701</v>
      </c>
      <c r="AS69" s="71">
        <v>28466</v>
      </c>
      <c r="AT69" s="70">
        <v>566.51499999999999</v>
      </c>
      <c r="AU69" s="71">
        <v>654</v>
      </c>
      <c r="AV69" s="70">
        <v>648</v>
      </c>
      <c r="AW69" s="71">
        <v>8.7629999999999999</v>
      </c>
      <c r="AX69" s="70">
        <v>13611629</v>
      </c>
      <c r="AY69" s="71">
        <v>13606911</v>
      </c>
      <c r="AZ69" s="70">
        <v>43630.79</v>
      </c>
      <c r="BA69" s="84">
        <v>165261.47099999999</v>
      </c>
      <c r="BB69" s="80" t="s">
        <v>62</v>
      </c>
      <c r="BC69" s="64"/>
      <c r="BD69" s="64"/>
    </row>
    <row r="70" spans="1:56" x14ac:dyDescent="0.3">
      <c r="A70" s="63" t="s">
        <v>166</v>
      </c>
      <c r="B70" s="72">
        <v>24605</v>
      </c>
      <c r="C70" s="71">
        <v>11535</v>
      </c>
      <c r="D70" s="70">
        <v>927.22900000000004</v>
      </c>
      <c r="E70" s="71">
        <v>83963</v>
      </c>
      <c r="F70" s="70">
        <v>68168</v>
      </c>
      <c r="G70" s="71">
        <v>4179.13</v>
      </c>
      <c r="H70" s="70">
        <v>11243</v>
      </c>
      <c r="I70" s="71">
        <v>6693</v>
      </c>
      <c r="J70" s="70">
        <v>454.47399999999999</v>
      </c>
      <c r="K70" s="71">
        <v>9410</v>
      </c>
      <c r="L70" s="70">
        <v>2358</v>
      </c>
      <c r="M70" s="71">
        <v>176.36799999999999</v>
      </c>
      <c r="N70" s="70">
        <v>5794</v>
      </c>
      <c r="O70" s="71">
        <v>4217</v>
      </c>
      <c r="P70" s="70">
        <v>171.31299999999999</v>
      </c>
      <c r="Q70" s="71">
        <v>757</v>
      </c>
      <c r="R70" s="70">
        <v>732</v>
      </c>
      <c r="S70" s="71">
        <v>23.125</v>
      </c>
      <c r="T70" s="70">
        <v>19665</v>
      </c>
      <c r="U70" s="71">
        <v>13655</v>
      </c>
      <c r="V70" s="70">
        <v>620.84900000000005</v>
      </c>
      <c r="W70" s="71">
        <v>5240</v>
      </c>
      <c r="X70" s="70">
        <v>2361</v>
      </c>
      <c r="Y70" s="71">
        <v>132.49</v>
      </c>
      <c r="Z70" s="70">
        <v>3362</v>
      </c>
      <c r="AA70" s="71">
        <v>656</v>
      </c>
      <c r="AB70" s="70">
        <v>90.588999999999999</v>
      </c>
      <c r="AC70" s="71">
        <v>2180</v>
      </c>
      <c r="AD70" s="70">
        <v>1272</v>
      </c>
      <c r="AE70" s="71">
        <v>62.957999999999998</v>
      </c>
      <c r="AF70" s="70">
        <v>13601</v>
      </c>
      <c r="AG70" s="71">
        <v>3173</v>
      </c>
      <c r="AH70" s="70">
        <v>368.88299999999998</v>
      </c>
      <c r="AI70" s="71">
        <v>224352</v>
      </c>
      <c r="AJ70" s="70">
        <v>223148</v>
      </c>
      <c r="AK70" s="71">
        <v>5533.2979999999998</v>
      </c>
      <c r="AL70" s="70">
        <v>7588</v>
      </c>
      <c r="AM70" s="71">
        <v>4533</v>
      </c>
      <c r="AN70" s="70">
        <v>157.91800000000001</v>
      </c>
      <c r="AO70" s="71">
        <v>23604</v>
      </c>
      <c r="AP70" s="70">
        <v>19114</v>
      </c>
      <c r="AQ70" s="71">
        <v>855.00300000000004</v>
      </c>
      <c r="AR70" s="70">
        <v>2447</v>
      </c>
      <c r="AS70" s="71">
        <v>2337</v>
      </c>
      <c r="AT70" s="70">
        <v>72.745999999999995</v>
      </c>
      <c r="AU70" s="71">
        <v>50</v>
      </c>
      <c r="AV70" s="70">
        <v>42</v>
      </c>
      <c r="AW70" s="71">
        <v>0.9</v>
      </c>
      <c r="AX70" s="70">
        <v>14515106</v>
      </c>
      <c r="AY70" s="71">
        <v>14463187</v>
      </c>
      <c r="AZ70" s="70">
        <v>5866.232</v>
      </c>
      <c r="BA70" s="84">
        <v>408869.20699999999</v>
      </c>
      <c r="BB70" s="80" t="s">
        <v>63</v>
      </c>
      <c r="BC70" s="64"/>
      <c r="BD70" s="64"/>
    </row>
    <row r="71" spans="1:56" x14ac:dyDescent="0.3">
      <c r="A71" s="108" t="s">
        <v>64</v>
      </c>
      <c r="B71" s="109">
        <f t="shared" ref="B71:I71" si="43">SUM(B73:B80)</f>
        <v>46011</v>
      </c>
      <c r="C71" s="90">
        <f t="shared" si="43"/>
        <v>38595</v>
      </c>
      <c r="D71" s="90">
        <f t="shared" si="43"/>
        <v>2107.3879999999999</v>
      </c>
      <c r="E71" s="90">
        <f>SUM(E73:E80)</f>
        <v>20541</v>
      </c>
      <c r="F71" s="90">
        <f>SUM(F73:F80)</f>
        <v>20520</v>
      </c>
      <c r="G71" s="90">
        <f>SUM(G73:G80)</f>
        <v>947.25700000000006</v>
      </c>
      <c r="H71" s="90">
        <f t="shared" si="43"/>
        <v>20483</v>
      </c>
      <c r="I71" s="90">
        <f t="shared" si="43"/>
        <v>20463</v>
      </c>
      <c r="J71" s="90">
        <f>SUM(J73:J80)</f>
        <v>544.05999999999995</v>
      </c>
      <c r="K71" s="90">
        <f>SUM(K73:K80)</f>
        <v>4505</v>
      </c>
      <c r="L71" s="90">
        <f>SUM(L73:L80)</f>
        <v>4495</v>
      </c>
      <c r="M71" s="90">
        <f>SUM(M73:M80)</f>
        <v>144.08000000000001</v>
      </c>
      <c r="N71" s="90">
        <f>SUM(N73:N80)</f>
        <v>1063</v>
      </c>
      <c r="O71" s="90">
        <f t="shared" ref="O71:AE71" si="44">SUM(O73:O80)</f>
        <v>1063</v>
      </c>
      <c r="P71" s="90">
        <f t="shared" si="44"/>
        <v>35.037999999999997</v>
      </c>
      <c r="Q71" s="90">
        <f t="shared" ref="Q71:V71" si="45">SUM(Q73:Q80)</f>
        <v>536</v>
      </c>
      <c r="R71" s="90">
        <f t="shared" si="45"/>
        <v>536</v>
      </c>
      <c r="S71" s="90">
        <f t="shared" si="45"/>
        <v>2E-3</v>
      </c>
      <c r="T71" s="90">
        <f t="shared" si="45"/>
        <v>15610</v>
      </c>
      <c r="U71" s="90">
        <f t="shared" si="45"/>
        <v>15594</v>
      </c>
      <c r="V71" s="90">
        <f t="shared" si="45"/>
        <v>600.88300000000004</v>
      </c>
      <c r="W71" s="90">
        <f t="shared" si="44"/>
        <v>1045</v>
      </c>
      <c r="X71" s="90">
        <f t="shared" si="44"/>
        <v>1044</v>
      </c>
      <c r="Y71" s="90">
        <f t="shared" si="44"/>
        <v>39.094999999999999</v>
      </c>
      <c r="Z71" s="96">
        <f t="shared" si="44"/>
        <v>1582</v>
      </c>
      <c r="AA71" s="90">
        <f t="shared" si="44"/>
        <v>1563</v>
      </c>
      <c r="AB71" s="90">
        <f t="shared" si="44"/>
        <v>70.864000000000004</v>
      </c>
      <c r="AC71" s="90">
        <f t="shared" si="44"/>
        <v>4170</v>
      </c>
      <c r="AD71" s="90">
        <f t="shared" si="44"/>
        <v>4168</v>
      </c>
      <c r="AE71" s="90">
        <f t="shared" si="44"/>
        <v>42.694000000000003</v>
      </c>
      <c r="AF71" s="90">
        <f>SUM(AF73:AF80)</f>
        <v>17042</v>
      </c>
      <c r="AG71" s="90">
        <f t="shared" ref="AG71:AQ71" si="46">SUM(AG73:AG80)</f>
        <v>17008</v>
      </c>
      <c r="AH71" s="90">
        <f t="shared" si="46"/>
        <v>959.33499999999992</v>
      </c>
      <c r="AI71" s="90">
        <f t="shared" si="46"/>
        <v>354</v>
      </c>
      <c r="AJ71" s="90">
        <f t="shared" si="46"/>
        <v>354</v>
      </c>
      <c r="AK71" s="90">
        <f t="shared" si="46"/>
        <v>8.5359999999999996</v>
      </c>
      <c r="AL71" s="90">
        <f t="shared" si="46"/>
        <v>10921</v>
      </c>
      <c r="AM71" s="90">
        <f t="shared" si="46"/>
        <v>10806</v>
      </c>
      <c r="AN71" s="90">
        <f t="shared" si="46"/>
        <v>140.21700000000001</v>
      </c>
      <c r="AO71" s="90">
        <f t="shared" si="46"/>
        <v>2017</v>
      </c>
      <c r="AP71" s="90">
        <f t="shared" si="46"/>
        <v>2003</v>
      </c>
      <c r="AQ71" s="90">
        <f t="shared" si="46"/>
        <v>40.769999999999996</v>
      </c>
      <c r="AR71" s="92">
        <f>SUM(AR73:AR80)</f>
        <v>623</v>
      </c>
      <c r="AS71" s="92">
        <f t="shared" ref="AS71:BA71" si="47">SUM(AS73:AS80)</f>
        <v>623</v>
      </c>
      <c r="AT71" s="92">
        <f t="shared" si="47"/>
        <v>16.2</v>
      </c>
      <c r="AU71" s="92">
        <f t="shared" si="47"/>
        <v>197850</v>
      </c>
      <c r="AV71" s="92">
        <f t="shared" si="47"/>
        <v>197850</v>
      </c>
      <c r="AW71" s="92">
        <f t="shared" si="47"/>
        <v>3087.1410000000001</v>
      </c>
      <c r="AX71" s="92">
        <f t="shared" si="47"/>
        <v>1739793</v>
      </c>
      <c r="AY71" s="92">
        <f t="shared" si="47"/>
        <v>1657370</v>
      </c>
      <c r="AZ71" s="92">
        <f t="shared" si="47"/>
        <v>537.18700000000001</v>
      </c>
      <c r="BA71" s="93">
        <f t="shared" si="47"/>
        <v>39550.385000000002</v>
      </c>
      <c r="BB71" s="116" t="s">
        <v>65</v>
      </c>
      <c r="BC71" s="117"/>
      <c r="BD71" s="117"/>
    </row>
    <row r="72" spans="1:56" x14ac:dyDescent="0.3">
      <c r="A72" s="108"/>
      <c r="B72" s="109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6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1"/>
      <c r="BB72" s="116"/>
      <c r="BC72" s="117"/>
      <c r="BD72" s="117"/>
    </row>
    <row r="73" spans="1:56" x14ac:dyDescent="0.3">
      <c r="A73" s="66" t="s">
        <v>66</v>
      </c>
      <c r="B73" s="72" t="s">
        <v>122</v>
      </c>
      <c r="C73" s="71" t="s">
        <v>122</v>
      </c>
      <c r="D73" s="70" t="s">
        <v>122</v>
      </c>
      <c r="E73" s="71" t="s">
        <v>122</v>
      </c>
      <c r="F73" s="70" t="s">
        <v>122</v>
      </c>
      <c r="G73" s="71" t="s">
        <v>122</v>
      </c>
      <c r="H73" s="70" t="s">
        <v>122</v>
      </c>
      <c r="I73" s="71" t="s">
        <v>122</v>
      </c>
      <c r="J73" s="70" t="s">
        <v>122</v>
      </c>
      <c r="K73" s="71" t="s">
        <v>122</v>
      </c>
      <c r="L73" s="70" t="s">
        <v>122</v>
      </c>
      <c r="M73" s="71" t="s">
        <v>122</v>
      </c>
      <c r="N73" s="70" t="s">
        <v>122</v>
      </c>
      <c r="O73" s="71" t="s">
        <v>122</v>
      </c>
      <c r="P73" s="70" t="s">
        <v>122</v>
      </c>
      <c r="Q73" s="71" t="s">
        <v>122</v>
      </c>
      <c r="R73" s="70" t="s">
        <v>122</v>
      </c>
      <c r="S73" s="71" t="s">
        <v>122</v>
      </c>
      <c r="T73" s="70" t="s">
        <v>122</v>
      </c>
      <c r="U73" s="71" t="s">
        <v>122</v>
      </c>
      <c r="V73" s="70" t="s">
        <v>122</v>
      </c>
      <c r="W73" s="71" t="s">
        <v>122</v>
      </c>
      <c r="X73" s="70" t="s">
        <v>122</v>
      </c>
      <c r="Y73" s="71" t="s">
        <v>122</v>
      </c>
      <c r="Z73" s="70" t="s">
        <v>122</v>
      </c>
      <c r="AA73" s="71" t="s">
        <v>122</v>
      </c>
      <c r="AB73" s="70" t="s">
        <v>122</v>
      </c>
      <c r="AC73" s="71" t="s">
        <v>122</v>
      </c>
      <c r="AD73" s="70" t="s">
        <v>122</v>
      </c>
      <c r="AE73" s="71" t="s">
        <v>122</v>
      </c>
      <c r="AF73" s="70" t="s">
        <v>122</v>
      </c>
      <c r="AG73" s="71" t="s">
        <v>122</v>
      </c>
      <c r="AH73" s="70" t="s">
        <v>122</v>
      </c>
      <c r="AI73" s="71" t="s">
        <v>122</v>
      </c>
      <c r="AJ73" s="70" t="s">
        <v>122</v>
      </c>
      <c r="AK73" s="71" t="s">
        <v>122</v>
      </c>
      <c r="AL73" s="70" t="s">
        <v>122</v>
      </c>
      <c r="AM73" s="71" t="s">
        <v>122</v>
      </c>
      <c r="AN73" s="70" t="s">
        <v>122</v>
      </c>
      <c r="AO73" s="71" t="s">
        <v>122</v>
      </c>
      <c r="AP73" s="70" t="s">
        <v>122</v>
      </c>
      <c r="AQ73" s="71" t="s">
        <v>122</v>
      </c>
      <c r="AR73" s="70" t="s">
        <v>122</v>
      </c>
      <c r="AS73" s="71" t="s">
        <v>122</v>
      </c>
      <c r="AT73" s="70" t="s">
        <v>122</v>
      </c>
      <c r="AU73" s="71" t="s">
        <v>122</v>
      </c>
      <c r="AV73" s="70" t="s">
        <v>122</v>
      </c>
      <c r="AW73" s="71" t="s">
        <v>122</v>
      </c>
      <c r="AX73" s="70" t="s">
        <v>122</v>
      </c>
      <c r="AY73" s="71" t="s">
        <v>122</v>
      </c>
      <c r="AZ73" s="70" t="s">
        <v>122</v>
      </c>
      <c r="BA73" s="84" t="s">
        <v>122</v>
      </c>
      <c r="BB73" s="80" t="s">
        <v>67</v>
      </c>
      <c r="BC73" s="64"/>
      <c r="BD73" s="64"/>
    </row>
    <row r="74" spans="1:56" x14ac:dyDescent="0.3">
      <c r="A74" s="66" t="s">
        <v>68</v>
      </c>
      <c r="B74" s="72" t="s">
        <v>122</v>
      </c>
      <c r="C74" s="71" t="s">
        <v>122</v>
      </c>
      <c r="D74" s="70" t="s">
        <v>122</v>
      </c>
      <c r="E74" s="71" t="s">
        <v>122</v>
      </c>
      <c r="F74" s="70" t="s">
        <v>122</v>
      </c>
      <c r="G74" s="71" t="s">
        <v>122</v>
      </c>
      <c r="H74" s="70" t="s">
        <v>122</v>
      </c>
      <c r="I74" s="71" t="s">
        <v>122</v>
      </c>
      <c r="J74" s="70" t="s">
        <v>122</v>
      </c>
      <c r="K74" s="71">
        <v>180</v>
      </c>
      <c r="L74" s="70">
        <v>180</v>
      </c>
      <c r="M74" s="71">
        <v>5.4</v>
      </c>
      <c r="N74" s="70" t="s">
        <v>122</v>
      </c>
      <c r="O74" s="71" t="s">
        <v>122</v>
      </c>
      <c r="P74" s="70" t="s">
        <v>122</v>
      </c>
      <c r="Q74" s="71" t="s">
        <v>122</v>
      </c>
      <c r="R74" s="70" t="s">
        <v>122</v>
      </c>
      <c r="S74" s="71" t="s">
        <v>122</v>
      </c>
      <c r="T74" s="70" t="s">
        <v>122</v>
      </c>
      <c r="U74" s="71" t="s">
        <v>122</v>
      </c>
      <c r="V74" s="70" t="s">
        <v>122</v>
      </c>
      <c r="W74" s="71" t="s">
        <v>122</v>
      </c>
      <c r="X74" s="70" t="s">
        <v>122</v>
      </c>
      <c r="Y74" s="71" t="s">
        <v>122</v>
      </c>
      <c r="Z74" s="70" t="s">
        <v>122</v>
      </c>
      <c r="AA74" s="71" t="s">
        <v>122</v>
      </c>
      <c r="AB74" s="70" t="s">
        <v>122</v>
      </c>
      <c r="AC74" s="71" t="s">
        <v>122</v>
      </c>
      <c r="AD74" s="70" t="s">
        <v>122</v>
      </c>
      <c r="AE74" s="71" t="s">
        <v>122</v>
      </c>
      <c r="AF74" s="70">
        <v>14</v>
      </c>
      <c r="AG74" s="71">
        <v>14</v>
      </c>
      <c r="AH74" s="70">
        <v>2.4</v>
      </c>
      <c r="AI74" s="71" t="s">
        <v>122</v>
      </c>
      <c r="AJ74" s="70" t="s">
        <v>122</v>
      </c>
      <c r="AK74" s="71" t="s">
        <v>122</v>
      </c>
      <c r="AL74" s="70">
        <v>14</v>
      </c>
      <c r="AM74" s="71">
        <v>14</v>
      </c>
      <c r="AN74" s="70">
        <v>9.8000000000000004E-2</v>
      </c>
      <c r="AO74" s="71">
        <v>24</v>
      </c>
      <c r="AP74" s="70">
        <v>24</v>
      </c>
      <c r="AQ74" s="71">
        <v>0.72</v>
      </c>
      <c r="AR74" s="70" t="s">
        <v>122</v>
      </c>
      <c r="AS74" s="71" t="s">
        <v>122</v>
      </c>
      <c r="AT74" s="70" t="s">
        <v>122</v>
      </c>
      <c r="AU74" s="71" t="s">
        <v>122</v>
      </c>
      <c r="AV74" s="70" t="s">
        <v>122</v>
      </c>
      <c r="AW74" s="71" t="s">
        <v>122</v>
      </c>
      <c r="AX74" s="70">
        <v>757</v>
      </c>
      <c r="AY74" s="71">
        <v>757</v>
      </c>
      <c r="AZ74" s="70" t="s">
        <v>122</v>
      </c>
      <c r="BA74" s="84">
        <v>10.5</v>
      </c>
      <c r="BB74" s="80" t="s">
        <v>69</v>
      </c>
      <c r="BC74" s="64"/>
      <c r="BD74" s="64"/>
    </row>
    <row r="75" spans="1:56" x14ac:dyDescent="0.3">
      <c r="A75" s="66" t="s">
        <v>70</v>
      </c>
      <c r="B75" s="72" t="s">
        <v>122</v>
      </c>
      <c r="C75" s="71" t="s">
        <v>122</v>
      </c>
      <c r="D75" s="70" t="s">
        <v>122</v>
      </c>
      <c r="E75" s="71">
        <v>40</v>
      </c>
      <c r="F75" s="70">
        <v>40</v>
      </c>
      <c r="G75" s="71">
        <v>3.6</v>
      </c>
      <c r="H75" s="70" t="s">
        <v>122</v>
      </c>
      <c r="I75" s="71" t="s">
        <v>122</v>
      </c>
      <c r="J75" s="70" t="s">
        <v>122</v>
      </c>
      <c r="K75" s="71" t="s">
        <v>122</v>
      </c>
      <c r="L75" s="70" t="s">
        <v>122</v>
      </c>
      <c r="M75" s="71" t="s">
        <v>122</v>
      </c>
      <c r="N75" s="70" t="s">
        <v>122</v>
      </c>
      <c r="O75" s="71" t="s">
        <v>122</v>
      </c>
      <c r="P75" s="70" t="s">
        <v>122</v>
      </c>
      <c r="Q75" s="71" t="s">
        <v>122</v>
      </c>
      <c r="R75" s="70" t="s">
        <v>122</v>
      </c>
      <c r="S75" s="71" t="s">
        <v>122</v>
      </c>
      <c r="T75" s="70" t="s">
        <v>122</v>
      </c>
      <c r="U75" s="71" t="s">
        <v>122</v>
      </c>
      <c r="V75" s="70" t="s">
        <v>122</v>
      </c>
      <c r="W75" s="71" t="s">
        <v>122</v>
      </c>
      <c r="X75" s="70" t="s">
        <v>122</v>
      </c>
      <c r="Y75" s="71" t="s">
        <v>122</v>
      </c>
      <c r="Z75" s="70" t="s">
        <v>122</v>
      </c>
      <c r="AA75" s="71" t="s">
        <v>122</v>
      </c>
      <c r="AB75" s="70" t="s">
        <v>122</v>
      </c>
      <c r="AC75" s="71" t="s">
        <v>122</v>
      </c>
      <c r="AD75" s="70" t="s">
        <v>122</v>
      </c>
      <c r="AE75" s="71" t="s">
        <v>122</v>
      </c>
      <c r="AF75" s="70" t="s">
        <v>122</v>
      </c>
      <c r="AG75" s="71" t="s">
        <v>122</v>
      </c>
      <c r="AH75" s="70" t="s">
        <v>122</v>
      </c>
      <c r="AI75" s="71" t="s">
        <v>122</v>
      </c>
      <c r="AJ75" s="70" t="s">
        <v>122</v>
      </c>
      <c r="AK75" s="71" t="s">
        <v>122</v>
      </c>
      <c r="AL75" s="70" t="s">
        <v>122</v>
      </c>
      <c r="AM75" s="71" t="s">
        <v>122</v>
      </c>
      <c r="AN75" s="70" t="s">
        <v>122</v>
      </c>
      <c r="AO75" s="71" t="s">
        <v>122</v>
      </c>
      <c r="AP75" s="70" t="s">
        <v>122</v>
      </c>
      <c r="AQ75" s="71" t="s">
        <v>122</v>
      </c>
      <c r="AR75" s="70" t="s">
        <v>122</v>
      </c>
      <c r="AS75" s="71" t="s">
        <v>122</v>
      </c>
      <c r="AT75" s="70" t="s">
        <v>122</v>
      </c>
      <c r="AU75" s="71" t="s">
        <v>122</v>
      </c>
      <c r="AV75" s="70" t="s">
        <v>122</v>
      </c>
      <c r="AW75" s="71" t="s">
        <v>122</v>
      </c>
      <c r="AX75" s="70">
        <v>561</v>
      </c>
      <c r="AY75" s="71">
        <v>561</v>
      </c>
      <c r="AZ75" s="70" t="s">
        <v>122</v>
      </c>
      <c r="BA75" s="84">
        <v>25.03</v>
      </c>
      <c r="BB75" s="80" t="s">
        <v>71</v>
      </c>
      <c r="BC75" s="64"/>
      <c r="BD75" s="64"/>
    </row>
    <row r="76" spans="1:56" x14ac:dyDescent="0.3">
      <c r="A76" s="66" t="s">
        <v>72</v>
      </c>
      <c r="B76" s="72" t="s">
        <v>122</v>
      </c>
      <c r="C76" s="71" t="s">
        <v>122</v>
      </c>
      <c r="D76" s="70" t="s">
        <v>122</v>
      </c>
      <c r="E76" s="71" t="s">
        <v>122</v>
      </c>
      <c r="F76" s="70" t="s">
        <v>122</v>
      </c>
      <c r="G76" s="71" t="s">
        <v>122</v>
      </c>
      <c r="H76" s="70" t="s">
        <v>122</v>
      </c>
      <c r="I76" s="71" t="s">
        <v>122</v>
      </c>
      <c r="J76" s="70" t="s">
        <v>122</v>
      </c>
      <c r="K76" s="71" t="s">
        <v>122</v>
      </c>
      <c r="L76" s="70" t="s">
        <v>122</v>
      </c>
      <c r="M76" s="71" t="s">
        <v>122</v>
      </c>
      <c r="N76" s="70" t="s">
        <v>122</v>
      </c>
      <c r="O76" s="71" t="s">
        <v>122</v>
      </c>
      <c r="P76" s="70" t="s">
        <v>122</v>
      </c>
      <c r="Q76" s="71" t="s">
        <v>122</v>
      </c>
      <c r="R76" s="70" t="s">
        <v>122</v>
      </c>
      <c r="S76" s="71" t="s">
        <v>122</v>
      </c>
      <c r="T76" s="70" t="s">
        <v>122</v>
      </c>
      <c r="U76" s="71" t="s">
        <v>122</v>
      </c>
      <c r="V76" s="70" t="s">
        <v>122</v>
      </c>
      <c r="W76" s="71" t="s">
        <v>122</v>
      </c>
      <c r="X76" s="70" t="s">
        <v>122</v>
      </c>
      <c r="Y76" s="71" t="s">
        <v>122</v>
      </c>
      <c r="Z76" s="70" t="s">
        <v>122</v>
      </c>
      <c r="AA76" s="71" t="s">
        <v>122</v>
      </c>
      <c r="AB76" s="70" t="s">
        <v>122</v>
      </c>
      <c r="AC76" s="71" t="s">
        <v>122</v>
      </c>
      <c r="AD76" s="70" t="s">
        <v>122</v>
      </c>
      <c r="AE76" s="71" t="s">
        <v>122</v>
      </c>
      <c r="AF76" s="70" t="s">
        <v>122</v>
      </c>
      <c r="AG76" s="71" t="s">
        <v>122</v>
      </c>
      <c r="AH76" s="70" t="s">
        <v>122</v>
      </c>
      <c r="AI76" s="71" t="s">
        <v>122</v>
      </c>
      <c r="AJ76" s="70" t="s">
        <v>122</v>
      </c>
      <c r="AK76" s="71" t="s">
        <v>122</v>
      </c>
      <c r="AL76" s="70" t="s">
        <v>122</v>
      </c>
      <c r="AM76" s="71" t="s">
        <v>122</v>
      </c>
      <c r="AN76" s="70" t="s">
        <v>122</v>
      </c>
      <c r="AO76" s="71" t="s">
        <v>122</v>
      </c>
      <c r="AP76" s="70" t="s">
        <v>122</v>
      </c>
      <c r="AQ76" s="71" t="s">
        <v>122</v>
      </c>
      <c r="AR76" s="70" t="s">
        <v>122</v>
      </c>
      <c r="AS76" s="71" t="s">
        <v>122</v>
      </c>
      <c r="AT76" s="70" t="s">
        <v>122</v>
      </c>
      <c r="AU76" s="71" t="s">
        <v>122</v>
      </c>
      <c r="AV76" s="70" t="s">
        <v>122</v>
      </c>
      <c r="AW76" s="71" t="s">
        <v>122</v>
      </c>
      <c r="AX76" s="70" t="s">
        <v>122</v>
      </c>
      <c r="AY76" s="71" t="s">
        <v>122</v>
      </c>
      <c r="AZ76" s="70" t="s">
        <v>122</v>
      </c>
      <c r="BA76" s="84" t="s">
        <v>122</v>
      </c>
      <c r="BB76" s="80" t="s">
        <v>73</v>
      </c>
      <c r="BC76" s="64"/>
      <c r="BD76" s="64"/>
    </row>
    <row r="77" spans="1:56" x14ac:dyDescent="0.3">
      <c r="A77" s="66" t="s">
        <v>74</v>
      </c>
      <c r="B77" s="72">
        <v>2186</v>
      </c>
      <c r="C77" s="71">
        <v>2091</v>
      </c>
      <c r="D77" s="70">
        <v>112.383</v>
      </c>
      <c r="E77" s="71">
        <v>1961</v>
      </c>
      <c r="F77" s="70">
        <v>1959</v>
      </c>
      <c r="G77" s="71">
        <v>82.55</v>
      </c>
      <c r="H77" s="70">
        <v>463</v>
      </c>
      <c r="I77" s="71">
        <v>453</v>
      </c>
      <c r="J77" s="70">
        <v>19.262</v>
      </c>
      <c r="K77" s="71">
        <v>4185</v>
      </c>
      <c r="L77" s="70">
        <v>4185</v>
      </c>
      <c r="M77" s="71">
        <v>132.28</v>
      </c>
      <c r="N77" s="70">
        <v>1033</v>
      </c>
      <c r="O77" s="71">
        <v>1033</v>
      </c>
      <c r="P77" s="70">
        <v>34.537999999999997</v>
      </c>
      <c r="Q77" s="71">
        <v>536</v>
      </c>
      <c r="R77" s="70">
        <v>536</v>
      </c>
      <c r="S77" s="71">
        <v>2E-3</v>
      </c>
      <c r="T77" s="70">
        <v>6980</v>
      </c>
      <c r="U77" s="71">
        <v>6980</v>
      </c>
      <c r="V77" s="70">
        <v>361.41199999999998</v>
      </c>
      <c r="W77" s="71">
        <v>399</v>
      </c>
      <c r="X77" s="70">
        <v>399</v>
      </c>
      <c r="Y77" s="71">
        <v>14.575000000000001</v>
      </c>
      <c r="Z77" s="70">
        <v>420</v>
      </c>
      <c r="AA77" s="71">
        <v>420</v>
      </c>
      <c r="AB77" s="70">
        <v>18.2</v>
      </c>
      <c r="AC77" s="71">
        <v>3588</v>
      </c>
      <c r="AD77" s="70">
        <v>3588</v>
      </c>
      <c r="AE77" s="71">
        <v>31.39</v>
      </c>
      <c r="AF77" s="70">
        <v>15840</v>
      </c>
      <c r="AG77" s="71">
        <v>15840</v>
      </c>
      <c r="AH77" s="70">
        <v>907.63599999999997</v>
      </c>
      <c r="AI77" s="71">
        <v>274</v>
      </c>
      <c r="AJ77" s="70">
        <v>274</v>
      </c>
      <c r="AK77" s="71">
        <v>6.5359999999999996</v>
      </c>
      <c r="AL77" s="70">
        <v>7298</v>
      </c>
      <c r="AM77" s="71">
        <v>7283</v>
      </c>
      <c r="AN77" s="70">
        <v>86.186000000000007</v>
      </c>
      <c r="AO77" s="71">
        <v>1274</v>
      </c>
      <c r="AP77" s="70">
        <v>1260</v>
      </c>
      <c r="AQ77" s="71">
        <v>24.27</v>
      </c>
      <c r="AR77" s="70">
        <v>623</v>
      </c>
      <c r="AS77" s="71">
        <v>623</v>
      </c>
      <c r="AT77" s="70">
        <v>16.2</v>
      </c>
      <c r="AU77" s="71">
        <v>99162</v>
      </c>
      <c r="AV77" s="70">
        <v>99162</v>
      </c>
      <c r="AW77" s="71">
        <v>2204.5360000000001</v>
      </c>
      <c r="AX77" s="70">
        <v>448948</v>
      </c>
      <c r="AY77" s="71">
        <v>443050</v>
      </c>
      <c r="AZ77" s="70">
        <v>374.86900000000003</v>
      </c>
      <c r="BA77" s="84">
        <v>11386.206</v>
      </c>
      <c r="BB77" s="80" t="s">
        <v>75</v>
      </c>
      <c r="BC77" s="64"/>
      <c r="BD77" s="64"/>
    </row>
    <row r="78" spans="1:56" x14ac:dyDescent="0.3">
      <c r="A78" s="66" t="s">
        <v>76</v>
      </c>
      <c r="B78" s="72">
        <v>165</v>
      </c>
      <c r="C78" s="71">
        <v>120</v>
      </c>
      <c r="D78" s="70">
        <v>3.24</v>
      </c>
      <c r="E78" s="71">
        <v>82</v>
      </c>
      <c r="F78" s="70">
        <v>63</v>
      </c>
      <c r="G78" s="71">
        <v>4.92</v>
      </c>
      <c r="H78" s="70">
        <v>40</v>
      </c>
      <c r="I78" s="71">
        <v>30</v>
      </c>
      <c r="J78" s="70">
        <v>0.96</v>
      </c>
      <c r="K78" s="71">
        <v>140</v>
      </c>
      <c r="L78" s="70">
        <v>130</v>
      </c>
      <c r="M78" s="71">
        <v>6.4</v>
      </c>
      <c r="N78" s="70" t="s">
        <v>122</v>
      </c>
      <c r="O78" s="71" t="s">
        <v>122</v>
      </c>
      <c r="P78" s="70" t="s">
        <v>122</v>
      </c>
      <c r="Q78" s="71" t="s">
        <v>122</v>
      </c>
      <c r="R78" s="70" t="s">
        <v>122</v>
      </c>
      <c r="S78" s="71" t="s">
        <v>122</v>
      </c>
      <c r="T78" s="70">
        <v>2851</v>
      </c>
      <c r="U78" s="71">
        <v>2835</v>
      </c>
      <c r="V78" s="70">
        <v>52.780999999999999</v>
      </c>
      <c r="W78" s="71">
        <v>646</v>
      </c>
      <c r="X78" s="70">
        <v>645</v>
      </c>
      <c r="Y78" s="71">
        <v>24.52</v>
      </c>
      <c r="Z78" s="70">
        <v>240</v>
      </c>
      <c r="AA78" s="71">
        <v>221</v>
      </c>
      <c r="AB78" s="70">
        <v>6.4130000000000003</v>
      </c>
      <c r="AC78" s="71">
        <v>582</v>
      </c>
      <c r="AD78" s="70">
        <v>580</v>
      </c>
      <c r="AE78" s="71">
        <v>11.304</v>
      </c>
      <c r="AF78" s="70">
        <v>1188</v>
      </c>
      <c r="AG78" s="71">
        <v>1154</v>
      </c>
      <c r="AH78" s="70">
        <v>49.298999999999999</v>
      </c>
      <c r="AI78" s="71">
        <v>80</v>
      </c>
      <c r="AJ78" s="70">
        <v>80</v>
      </c>
      <c r="AK78" s="71">
        <v>2</v>
      </c>
      <c r="AL78" s="70">
        <v>2729</v>
      </c>
      <c r="AM78" s="71">
        <v>2729</v>
      </c>
      <c r="AN78" s="70">
        <v>42.832999999999998</v>
      </c>
      <c r="AO78" s="71">
        <v>719</v>
      </c>
      <c r="AP78" s="70">
        <v>719</v>
      </c>
      <c r="AQ78" s="71">
        <v>15.78</v>
      </c>
      <c r="AR78" s="70" t="s">
        <v>122</v>
      </c>
      <c r="AS78" s="71" t="s">
        <v>122</v>
      </c>
      <c r="AT78" s="70" t="s">
        <v>122</v>
      </c>
      <c r="AU78" s="71">
        <v>68743</v>
      </c>
      <c r="AV78" s="70">
        <v>68743</v>
      </c>
      <c r="AW78" s="71">
        <v>549.30499999999995</v>
      </c>
      <c r="AX78" s="70">
        <v>383459</v>
      </c>
      <c r="AY78" s="71">
        <v>383434</v>
      </c>
      <c r="AZ78" s="70">
        <v>110.72799999999999</v>
      </c>
      <c r="BA78" s="84">
        <v>3383.6489999999999</v>
      </c>
      <c r="BB78" s="80" t="s">
        <v>77</v>
      </c>
      <c r="BC78" s="64"/>
      <c r="BD78" s="64"/>
    </row>
    <row r="79" spans="1:56" x14ac:dyDescent="0.3">
      <c r="A79" s="66" t="s">
        <v>78</v>
      </c>
      <c r="B79" s="72" t="s">
        <v>122</v>
      </c>
      <c r="C79" s="71" t="s">
        <v>122</v>
      </c>
      <c r="D79" s="70" t="s">
        <v>122</v>
      </c>
      <c r="E79" s="71" t="s">
        <v>122</v>
      </c>
      <c r="F79" s="70" t="s">
        <v>122</v>
      </c>
      <c r="G79" s="71" t="s">
        <v>122</v>
      </c>
      <c r="H79" s="70" t="s">
        <v>122</v>
      </c>
      <c r="I79" s="71" t="s">
        <v>122</v>
      </c>
      <c r="J79" s="70" t="s">
        <v>122</v>
      </c>
      <c r="K79" s="71" t="s">
        <v>122</v>
      </c>
      <c r="L79" s="70" t="s">
        <v>122</v>
      </c>
      <c r="M79" s="71" t="s">
        <v>122</v>
      </c>
      <c r="N79" s="70" t="s">
        <v>122</v>
      </c>
      <c r="O79" s="71" t="s">
        <v>122</v>
      </c>
      <c r="P79" s="70" t="s">
        <v>122</v>
      </c>
      <c r="Q79" s="71" t="s">
        <v>122</v>
      </c>
      <c r="R79" s="70" t="s">
        <v>122</v>
      </c>
      <c r="S79" s="71" t="s">
        <v>122</v>
      </c>
      <c r="T79" s="70" t="s">
        <v>122</v>
      </c>
      <c r="U79" s="71" t="s">
        <v>122</v>
      </c>
      <c r="V79" s="70" t="s">
        <v>122</v>
      </c>
      <c r="W79" s="71" t="s">
        <v>122</v>
      </c>
      <c r="X79" s="70" t="s">
        <v>122</v>
      </c>
      <c r="Y79" s="71" t="s">
        <v>122</v>
      </c>
      <c r="Z79" s="70" t="s">
        <v>122</v>
      </c>
      <c r="AA79" s="71" t="s">
        <v>122</v>
      </c>
      <c r="AB79" s="70" t="s">
        <v>122</v>
      </c>
      <c r="AC79" s="71" t="s">
        <v>122</v>
      </c>
      <c r="AD79" s="70" t="s">
        <v>122</v>
      </c>
      <c r="AE79" s="71" t="s">
        <v>122</v>
      </c>
      <c r="AF79" s="70" t="s">
        <v>122</v>
      </c>
      <c r="AG79" s="71" t="s">
        <v>122</v>
      </c>
      <c r="AH79" s="70" t="s">
        <v>122</v>
      </c>
      <c r="AI79" s="71" t="s">
        <v>122</v>
      </c>
      <c r="AJ79" s="70" t="s">
        <v>122</v>
      </c>
      <c r="AK79" s="71" t="s">
        <v>122</v>
      </c>
      <c r="AL79" s="70" t="s">
        <v>122</v>
      </c>
      <c r="AM79" s="71" t="s">
        <v>122</v>
      </c>
      <c r="AN79" s="70" t="s">
        <v>122</v>
      </c>
      <c r="AO79" s="71" t="s">
        <v>122</v>
      </c>
      <c r="AP79" s="70" t="s">
        <v>122</v>
      </c>
      <c r="AQ79" s="71" t="s">
        <v>122</v>
      </c>
      <c r="AR79" s="70" t="s">
        <v>122</v>
      </c>
      <c r="AS79" s="71" t="s">
        <v>122</v>
      </c>
      <c r="AT79" s="70" t="s">
        <v>122</v>
      </c>
      <c r="AU79" s="71" t="s">
        <v>122</v>
      </c>
      <c r="AV79" s="70" t="s">
        <v>122</v>
      </c>
      <c r="AW79" s="71" t="s">
        <v>122</v>
      </c>
      <c r="AX79" s="70">
        <v>172</v>
      </c>
      <c r="AY79" s="71">
        <v>172</v>
      </c>
      <c r="AZ79" s="70">
        <v>1.59</v>
      </c>
      <c r="BA79" s="84">
        <v>0.54</v>
      </c>
      <c r="BB79" s="80" t="s">
        <v>79</v>
      </c>
      <c r="BC79" s="64"/>
      <c r="BD79" s="64"/>
    </row>
    <row r="80" spans="1:56" x14ac:dyDescent="0.3">
      <c r="A80" s="66" t="s">
        <v>80</v>
      </c>
      <c r="B80" s="72">
        <v>43660</v>
      </c>
      <c r="C80" s="71">
        <v>36384</v>
      </c>
      <c r="D80" s="70">
        <v>1991.7650000000001</v>
      </c>
      <c r="E80" s="71">
        <v>18458</v>
      </c>
      <c r="F80" s="70">
        <v>18458</v>
      </c>
      <c r="G80" s="71">
        <v>856.18700000000001</v>
      </c>
      <c r="H80" s="70">
        <v>19980</v>
      </c>
      <c r="I80" s="71">
        <v>19980</v>
      </c>
      <c r="J80" s="70">
        <v>523.83799999999997</v>
      </c>
      <c r="K80" s="71" t="s">
        <v>122</v>
      </c>
      <c r="L80" s="70" t="s">
        <v>122</v>
      </c>
      <c r="M80" s="71" t="s">
        <v>122</v>
      </c>
      <c r="N80" s="70">
        <v>30</v>
      </c>
      <c r="O80" s="71">
        <v>30</v>
      </c>
      <c r="P80" s="70">
        <v>0.5</v>
      </c>
      <c r="Q80" s="71" t="s">
        <v>122</v>
      </c>
      <c r="R80" s="70" t="s">
        <v>122</v>
      </c>
      <c r="S80" s="71" t="s">
        <v>122</v>
      </c>
      <c r="T80" s="70">
        <v>5779</v>
      </c>
      <c r="U80" s="71">
        <v>5779</v>
      </c>
      <c r="V80" s="70">
        <v>186.69</v>
      </c>
      <c r="W80" s="71" t="s">
        <v>122</v>
      </c>
      <c r="X80" s="70" t="s">
        <v>122</v>
      </c>
      <c r="Y80" s="71" t="s">
        <v>122</v>
      </c>
      <c r="Z80" s="70">
        <v>922</v>
      </c>
      <c r="AA80" s="71">
        <v>922</v>
      </c>
      <c r="AB80" s="70">
        <v>46.250999999999998</v>
      </c>
      <c r="AC80" s="71" t="s">
        <v>122</v>
      </c>
      <c r="AD80" s="70" t="s">
        <v>122</v>
      </c>
      <c r="AE80" s="71" t="s">
        <v>122</v>
      </c>
      <c r="AF80" s="70" t="s">
        <v>122</v>
      </c>
      <c r="AG80" s="71" t="s">
        <v>122</v>
      </c>
      <c r="AH80" s="70" t="s">
        <v>122</v>
      </c>
      <c r="AI80" s="71" t="s">
        <v>122</v>
      </c>
      <c r="AJ80" s="70" t="s">
        <v>122</v>
      </c>
      <c r="AK80" s="71" t="s">
        <v>122</v>
      </c>
      <c r="AL80" s="70">
        <v>880</v>
      </c>
      <c r="AM80" s="71">
        <v>780</v>
      </c>
      <c r="AN80" s="70">
        <v>11.1</v>
      </c>
      <c r="AO80" s="71" t="s">
        <v>122</v>
      </c>
      <c r="AP80" s="70" t="s">
        <v>122</v>
      </c>
      <c r="AQ80" s="71" t="s">
        <v>122</v>
      </c>
      <c r="AR80" s="70" t="s">
        <v>122</v>
      </c>
      <c r="AS80" s="71" t="s">
        <v>122</v>
      </c>
      <c r="AT80" s="70" t="s">
        <v>122</v>
      </c>
      <c r="AU80" s="71">
        <v>29945</v>
      </c>
      <c r="AV80" s="70">
        <v>29945</v>
      </c>
      <c r="AW80" s="71">
        <v>333.3</v>
      </c>
      <c r="AX80" s="70">
        <v>905896</v>
      </c>
      <c r="AY80" s="71">
        <v>829396</v>
      </c>
      <c r="AZ80" s="70">
        <v>50</v>
      </c>
      <c r="BA80" s="84">
        <v>24744.46</v>
      </c>
      <c r="BB80" s="80" t="s">
        <v>81</v>
      </c>
      <c r="BC80" s="64"/>
      <c r="BD80" s="64"/>
    </row>
    <row r="81" spans="1:56" x14ac:dyDescent="0.3">
      <c r="A81" s="108" t="s">
        <v>82</v>
      </c>
      <c r="B81" s="109">
        <f t="shared" ref="B81:J81" si="48">SUM(B83:B87)</f>
        <v>22978</v>
      </c>
      <c r="C81" s="90">
        <f t="shared" si="48"/>
        <v>9691</v>
      </c>
      <c r="D81" s="90">
        <f t="shared" si="48"/>
        <v>475.05000000000007</v>
      </c>
      <c r="E81" s="90">
        <f t="shared" si="48"/>
        <v>129560</v>
      </c>
      <c r="F81" s="90">
        <f t="shared" si="48"/>
        <v>78990</v>
      </c>
      <c r="G81" s="90">
        <f>SUM(G83:G87)</f>
        <v>2046.596</v>
      </c>
      <c r="H81" s="90">
        <f t="shared" si="48"/>
        <v>41270</v>
      </c>
      <c r="I81" s="90">
        <f t="shared" si="48"/>
        <v>26281</v>
      </c>
      <c r="J81" s="90">
        <f t="shared" si="48"/>
        <v>327.053</v>
      </c>
      <c r="K81" s="90">
        <f>SUM(K83:K87)</f>
        <v>24174</v>
      </c>
      <c r="L81" s="90">
        <f>SUM(L83:L87)</f>
        <v>2965</v>
      </c>
      <c r="M81" s="90">
        <f>SUM(M83:M87)</f>
        <v>211.99700000000001</v>
      </c>
      <c r="N81" s="90">
        <f>SUM(N83:N87)</f>
        <v>20949</v>
      </c>
      <c r="O81" s="90">
        <f t="shared" ref="O81:AE81" si="49">SUM(O83:O87)</f>
        <v>7436</v>
      </c>
      <c r="P81" s="90">
        <f t="shared" si="49"/>
        <v>339.04699999999991</v>
      </c>
      <c r="Q81" s="90">
        <f t="shared" ref="Q81:V81" si="50">SUM(Q83:Q87)</f>
        <v>132</v>
      </c>
      <c r="R81" s="90">
        <f t="shared" si="50"/>
        <v>25</v>
      </c>
      <c r="S81" s="90">
        <f t="shared" si="50"/>
        <v>3.09</v>
      </c>
      <c r="T81" s="90">
        <f t="shared" si="50"/>
        <v>9102</v>
      </c>
      <c r="U81" s="90">
        <f t="shared" si="50"/>
        <v>4829</v>
      </c>
      <c r="V81" s="90">
        <f t="shared" si="50"/>
        <v>185.51399999999998</v>
      </c>
      <c r="W81" s="90">
        <f t="shared" si="49"/>
        <v>8821</v>
      </c>
      <c r="X81" s="90">
        <f t="shared" si="49"/>
        <v>859</v>
      </c>
      <c r="Y81" s="90">
        <f t="shared" si="49"/>
        <v>120.02400000000002</v>
      </c>
      <c r="Z81" s="96">
        <f t="shared" si="49"/>
        <v>9776</v>
      </c>
      <c r="AA81" s="90">
        <f t="shared" si="49"/>
        <v>1102</v>
      </c>
      <c r="AB81" s="90">
        <f t="shared" si="49"/>
        <v>130</v>
      </c>
      <c r="AC81" s="90">
        <f t="shared" si="49"/>
        <v>7273</v>
      </c>
      <c r="AD81" s="90">
        <f t="shared" si="49"/>
        <v>3357</v>
      </c>
      <c r="AE81" s="90">
        <f t="shared" si="49"/>
        <v>69.405000000000001</v>
      </c>
      <c r="AF81" s="90">
        <f>SUM(AF83:AF87)</f>
        <v>39048</v>
      </c>
      <c r="AG81" s="90">
        <f t="shared" ref="AG81:AQ81" si="51">SUM(AG83:AG87)</f>
        <v>15596</v>
      </c>
      <c r="AH81" s="90">
        <f t="shared" si="51"/>
        <v>742.55399999999997</v>
      </c>
      <c r="AI81" s="90">
        <f t="shared" si="51"/>
        <v>13043</v>
      </c>
      <c r="AJ81" s="90">
        <f t="shared" si="51"/>
        <v>10793</v>
      </c>
      <c r="AK81" s="90">
        <f t="shared" si="51"/>
        <v>356.22</v>
      </c>
      <c r="AL81" s="90">
        <f t="shared" si="51"/>
        <v>27013</v>
      </c>
      <c r="AM81" s="90">
        <f t="shared" si="51"/>
        <v>5706</v>
      </c>
      <c r="AN81" s="90">
        <f t="shared" si="51"/>
        <v>187.13800000000001</v>
      </c>
      <c r="AO81" s="90">
        <f t="shared" si="51"/>
        <v>8815</v>
      </c>
      <c r="AP81" s="90">
        <f t="shared" si="51"/>
        <v>1052</v>
      </c>
      <c r="AQ81" s="90">
        <f t="shared" si="51"/>
        <v>93.661000000000001</v>
      </c>
      <c r="AR81" s="90">
        <f>SUM(AR83:AR87)</f>
        <v>21101</v>
      </c>
      <c r="AS81" s="90">
        <f t="shared" ref="AS81:BA81" si="52">SUM(AS83:AS87)</f>
        <v>12540</v>
      </c>
      <c r="AT81" s="90">
        <f t="shared" si="52"/>
        <v>253.065</v>
      </c>
      <c r="AU81" s="90">
        <f t="shared" si="52"/>
        <v>1192</v>
      </c>
      <c r="AV81" s="90">
        <f t="shared" si="52"/>
        <v>1078</v>
      </c>
      <c r="AW81" s="90">
        <f t="shared" si="52"/>
        <v>23.786999999999999</v>
      </c>
      <c r="AX81" s="90">
        <f t="shared" si="52"/>
        <v>8599038</v>
      </c>
      <c r="AY81" s="90">
        <f t="shared" si="52"/>
        <v>8107830</v>
      </c>
      <c r="AZ81" s="90">
        <f t="shared" si="52"/>
        <v>344.88700000000006</v>
      </c>
      <c r="BA81" s="91">
        <f t="shared" si="52"/>
        <v>30186.741000000002</v>
      </c>
      <c r="BB81" s="116" t="s">
        <v>83</v>
      </c>
      <c r="BC81" s="117"/>
      <c r="BD81" s="117"/>
    </row>
    <row r="82" spans="1:56" x14ac:dyDescent="0.3">
      <c r="A82" s="108"/>
      <c r="B82" s="109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6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1"/>
      <c r="BB82" s="116"/>
      <c r="BC82" s="117"/>
      <c r="BD82" s="117"/>
    </row>
    <row r="83" spans="1:56" x14ac:dyDescent="0.3">
      <c r="A83" s="63" t="s">
        <v>167</v>
      </c>
      <c r="B83" s="72">
        <v>5505</v>
      </c>
      <c r="C83" s="71">
        <v>730</v>
      </c>
      <c r="D83" s="70">
        <v>176.54499999999999</v>
      </c>
      <c r="E83" s="71">
        <v>12047</v>
      </c>
      <c r="F83" s="70">
        <v>2260</v>
      </c>
      <c r="G83" s="71">
        <v>406.83499999999998</v>
      </c>
      <c r="H83" s="70">
        <v>3029</v>
      </c>
      <c r="I83" s="71">
        <v>474</v>
      </c>
      <c r="J83" s="70">
        <v>67.052000000000007</v>
      </c>
      <c r="K83" s="71">
        <v>15911</v>
      </c>
      <c r="L83" s="70">
        <v>2091</v>
      </c>
      <c r="M83" s="71">
        <v>96.14</v>
      </c>
      <c r="N83" s="70">
        <v>12366</v>
      </c>
      <c r="O83" s="71">
        <v>4411</v>
      </c>
      <c r="P83" s="70">
        <v>137.66999999999999</v>
      </c>
      <c r="Q83" s="71">
        <v>25</v>
      </c>
      <c r="R83" s="70">
        <v>25</v>
      </c>
      <c r="S83" s="71">
        <v>1.8</v>
      </c>
      <c r="T83" s="70">
        <v>3775</v>
      </c>
      <c r="U83" s="71">
        <v>890</v>
      </c>
      <c r="V83" s="70">
        <v>33.390999999999998</v>
      </c>
      <c r="W83" s="71">
        <v>2890</v>
      </c>
      <c r="X83" s="70">
        <v>125</v>
      </c>
      <c r="Y83" s="71">
        <v>27.045000000000002</v>
      </c>
      <c r="Z83" s="70">
        <v>2471</v>
      </c>
      <c r="AA83" s="71">
        <v>195</v>
      </c>
      <c r="AB83" s="70">
        <v>31.195</v>
      </c>
      <c r="AC83" s="71">
        <v>4371</v>
      </c>
      <c r="AD83" s="70">
        <v>2737</v>
      </c>
      <c r="AE83" s="71">
        <v>30.88</v>
      </c>
      <c r="AF83" s="70">
        <v>10700</v>
      </c>
      <c r="AG83" s="71">
        <v>2670</v>
      </c>
      <c r="AH83" s="70">
        <v>136.82</v>
      </c>
      <c r="AI83" s="71">
        <v>2518</v>
      </c>
      <c r="AJ83" s="70">
        <v>625</v>
      </c>
      <c r="AK83" s="71">
        <v>22.07</v>
      </c>
      <c r="AL83" s="70">
        <v>10057</v>
      </c>
      <c r="AM83" s="71">
        <v>1312</v>
      </c>
      <c r="AN83" s="70">
        <v>52.84</v>
      </c>
      <c r="AO83" s="71">
        <v>4072</v>
      </c>
      <c r="AP83" s="70">
        <v>362</v>
      </c>
      <c r="AQ83" s="71">
        <v>40.83</v>
      </c>
      <c r="AR83" s="70">
        <v>15052</v>
      </c>
      <c r="AS83" s="71">
        <v>11704</v>
      </c>
      <c r="AT83" s="70">
        <v>169.47</v>
      </c>
      <c r="AU83" s="71">
        <v>573</v>
      </c>
      <c r="AV83" s="70">
        <v>523</v>
      </c>
      <c r="AW83" s="71">
        <v>16.78</v>
      </c>
      <c r="AX83" s="70">
        <v>6928423</v>
      </c>
      <c r="AY83" s="71">
        <v>6812940</v>
      </c>
      <c r="AZ83" s="70">
        <v>312.93200000000002</v>
      </c>
      <c r="BA83" s="84">
        <v>24400.834999999999</v>
      </c>
      <c r="BB83" s="80" t="s">
        <v>84</v>
      </c>
      <c r="BC83" s="64"/>
      <c r="BD83" s="64"/>
    </row>
    <row r="84" spans="1:56" x14ac:dyDescent="0.3">
      <c r="A84" s="63" t="s">
        <v>168</v>
      </c>
      <c r="B84" s="72">
        <v>6182</v>
      </c>
      <c r="C84" s="71">
        <v>570</v>
      </c>
      <c r="D84" s="70">
        <v>121.9</v>
      </c>
      <c r="E84" s="71">
        <v>6390</v>
      </c>
      <c r="F84" s="70">
        <v>1150</v>
      </c>
      <c r="G84" s="71">
        <v>183.30500000000001</v>
      </c>
      <c r="H84" s="70">
        <v>2300</v>
      </c>
      <c r="I84" s="71">
        <v>580</v>
      </c>
      <c r="J84" s="70">
        <v>44.625</v>
      </c>
      <c r="K84" s="71">
        <v>4945</v>
      </c>
      <c r="L84" s="70">
        <v>500</v>
      </c>
      <c r="M84" s="71">
        <v>74.045000000000002</v>
      </c>
      <c r="N84" s="70">
        <v>3155</v>
      </c>
      <c r="O84" s="71">
        <v>580</v>
      </c>
      <c r="P84" s="70">
        <v>124.6</v>
      </c>
      <c r="Q84" s="71">
        <v>56</v>
      </c>
      <c r="R84" s="70" t="s">
        <v>122</v>
      </c>
      <c r="S84" s="71">
        <v>0.93</v>
      </c>
      <c r="T84" s="70">
        <v>470</v>
      </c>
      <c r="U84" s="71" t="s">
        <v>122</v>
      </c>
      <c r="V84" s="70">
        <v>5.5750000000000002</v>
      </c>
      <c r="W84" s="71">
        <v>3088</v>
      </c>
      <c r="X84" s="70">
        <v>260</v>
      </c>
      <c r="Y84" s="71">
        <v>45.150000000000006</v>
      </c>
      <c r="Z84" s="70">
        <v>5040</v>
      </c>
      <c r="AA84" s="71">
        <v>630</v>
      </c>
      <c r="AB84" s="70">
        <v>74.625</v>
      </c>
      <c r="AC84" s="71">
        <v>700</v>
      </c>
      <c r="AD84" s="70">
        <v>60</v>
      </c>
      <c r="AE84" s="71">
        <v>12.8</v>
      </c>
      <c r="AF84" s="70">
        <v>11758</v>
      </c>
      <c r="AG84" s="71" t="s">
        <v>122</v>
      </c>
      <c r="AH84" s="70">
        <v>117.68</v>
      </c>
      <c r="AI84" s="71" t="s">
        <v>122</v>
      </c>
      <c r="AJ84" s="70" t="s">
        <v>122</v>
      </c>
      <c r="AK84" s="71" t="s">
        <v>122</v>
      </c>
      <c r="AL84" s="70">
        <v>10530</v>
      </c>
      <c r="AM84" s="71" t="s">
        <v>122</v>
      </c>
      <c r="AN84" s="70">
        <v>71.174999999999997</v>
      </c>
      <c r="AO84" s="71">
        <v>1858</v>
      </c>
      <c r="AP84" s="70">
        <v>20</v>
      </c>
      <c r="AQ84" s="71">
        <v>17.722999999999999</v>
      </c>
      <c r="AR84" s="70">
        <v>4498</v>
      </c>
      <c r="AS84" s="71">
        <v>645</v>
      </c>
      <c r="AT84" s="70">
        <v>67.319999999999993</v>
      </c>
      <c r="AU84" s="71" t="s">
        <v>122</v>
      </c>
      <c r="AV84" s="70" t="s">
        <v>122</v>
      </c>
      <c r="AW84" s="71" t="s">
        <v>122</v>
      </c>
      <c r="AX84" s="70">
        <v>293410</v>
      </c>
      <c r="AY84" s="71">
        <v>267170</v>
      </c>
      <c r="AZ84" s="70">
        <v>1.98</v>
      </c>
      <c r="BA84" s="84">
        <v>145.5</v>
      </c>
      <c r="BB84" s="80" t="s">
        <v>85</v>
      </c>
      <c r="BC84" s="64"/>
      <c r="BD84" s="64"/>
    </row>
    <row r="85" spans="1:56" x14ac:dyDescent="0.3">
      <c r="A85" s="63" t="s">
        <v>169</v>
      </c>
      <c r="B85" s="72">
        <v>200</v>
      </c>
      <c r="C85" s="71">
        <v>200</v>
      </c>
      <c r="D85" s="70">
        <v>8.1</v>
      </c>
      <c r="E85" s="71">
        <v>100</v>
      </c>
      <c r="F85" s="70">
        <v>100</v>
      </c>
      <c r="G85" s="71">
        <v>4.67</v>
      </c>
      <c r="H85" s="70">
        <v>20</v>
      </c>
      <c r="I85" s="71">
        <v>20</v>
      </c>
      <c r="J85" s="70">
        <v>1.2</v>
      </c>
      <c r="K85" s="71">
        <v>120</v>
      </c>
      <c r="L85" s="70">
        <v>120</v>
      </c>
      <c r="M85" s="71">
        <v>5.51</v>
      </c>
      <c r="N85" s="70">
        <v>144</v>
      </c>
      <c r="O85" s="71">
        <v>144</v>
      </c>
      <c r="P85" s="70">
        <v>7.4</v>
      </c>
      <c r="Q85" s="71" t="s">
        <v>122</v>
      </c>
      <c r="R85" s="70" t="s">
        <v>122</v>
      </c>
      <c r="S85" s="71" t="s">
        <v>122</v>
      </c>
      <c r="T85" s="70">
        <v>3700</v>
      </c>
      <c r="U85" s="71">
        <v>3700</v>
      </c>
      <c r="V85" s="70">
        <v>135.535</v>
      </c>
      <c r="W85" s="71">
        <v>373</v>
      </c>
      <c r="X85" s="70">
        <v>373</v>
      </c>
      <c r="Y85" s="71">
        <v>20.315999999999999</v>
      </c>
      <c r="Z85" s="70">
        <v>10</v>
      </c>
      <c r="AA85" s="71">
        <v>10</v>
      </c>
      <c r="AB85" s="70">
        <v>0.16</v>
      </c>
      <c r="AC85" s="71">
        <v>40</v>
      </c>
      <c r="AD85" s="70">
        <v>40</v>
      </c>
      <c r="AE85" s="71">
        <v>1.49</v>
      </c>
      <c r="AF85" s="70">
        <v>10775</v>
      </c>
      <c r="AG85" s="71">
        <v>10775</v>
      </c>
      <c r="AH85" s="70">
        <v>433.69</v>
      </c>
      <c r="AI85" s="71">
        <v>9956</v>
      </c>
      <c r="AJ85" s="70">
        <v>9956</v>
      </c>
      <c r="AK85" s="71">
        <v>328.42</v>
      </c>
      <c r="AL85" s="70">
        <v>3148</v>
      </c>
      <c r="AM85" s="71">
        <v>3148</v>
      </c>
      <c r="AN85" s="70">
        <v>47.798999999999999</v>
      </c>
      <c r="AO85" s="71">
        <v>30</v>
      </c>
      <c r="AP85" s="70">
        <v>30</v>
      </c>
      <c r="AQ85" s="71">
        <v>0.95</v>
      </c>
      <c r="AR85" s="70" t="s">
        <v>122</v>
      </c>
      <c r="AS85" s="71" t="s">
        <v>122</v>
      </c>
      <c r="AT85" s="70" t="s">
        <v>122</v>
      </c>
      <c r="AU85" s="71">
        <v>414</v>
      </c>
      <c r="AV85" s="70">
        <v>414</v>
      </c>
      <c r="AW85" s="71">
        <v>6.3520000000000003</v>
      </c>
      <c r="AX85" s="70">
        <v>54504</v>
      </c>
      <c r="AY85" s="71">
        <v>54504</v>
      </c>
      <c r="AZ85" s="70">
        <v>7.05</v>
      </c>
      <c r="BA85" s="84">
        <v>285.88</v>
      </c>
      <c r="BB85" s="80" t="s">
        <v>86</v>
      </c>
      <c r="BC85" s="64"/>
      <c r="BD85" s="64"/>
    </row>
    <row r="86" spans="1:56" x14ac:dyDescent="0.3">
      <c r="A86" s="63" t="s">
        <v>170</v>
      </c>
      <c r="B86" s="72">
        <v>4469</v>
      </c>
      <c r="C86" s="71">
        <v>1979</v>
      </c>
      <c r="D86" s="70">
        <v>61.854999999999997</v>
      </c>
      <c r="E86" s="71">
        <v>30475</v>
      </c>
      <c r="F86" s="70">
        <v>27837</v>
      </c>
      <c r="G86" s="71">
        <v>476.65499999999997</v>
      </c>
      <c r="H86" s="70">
        <v>2579</v>
      </c>
      <c r="I86" s="71">
        <v>969</v>
      </c>
      <c r="J86" s="70">
        <v>33.11</v>
      </c>
      <c r="K86" s="71">
        <v>3174</v>
      </c>
      <c r="L86" s="70">
        <v>254</v>
      </c>
      <c r="M86" s="71">
        <v>36.182000000000002</v>
      </c>
      <c r="N86" s="70">
        <v>5276</v>
      </c>
      <c r="O86" s="71">
        <v>2301</v>
      </c>
      <c r="P86" s="70">
        <v>69.352000000000004</v>
      </c>
      <c r="Q86" s="71">
        <v>51</v>
      </c>
      <c r="R86" s="70" t="s">
        <v>122</v>
      </c>
      <c r="S86" s="71">
        <v>0.36</v>
      </c>
      <c r="T86" s="70">
        <v>1024</v>
      </c>
      <c r="U86" s="71">
        <v>152</v>
      </c>
      <c r="V86" s="70">
        <v>10.73</v>
      </c>
      <c r="W86" s="71">
        <v>2408</v>
      </c>
      <c r="X86" s="70">
        <v>101</v>
      </c>
      <c r="Y86" s="71">
        <v>27.378</v>
      </c>
      <c r="Z86" s="70">
        <v>2217</v>
      </c>
      <c r="AA86" s="71">
        <v>267</v>
      </c>
      <c r="AB86" s="70">
        <v>23.91</v>
      </c>
      <c r="AC86" s="71">
        <v>1611</v>
      </c>
      <c r="AD86" s="70">
        <v>345</v>
      </c>
      <c r="AE86" s="71">
        <v>20.434999999999999</v>
      </c>
      <c r="AF86" s="70">
        <v>3576</v>
      </c>
      <c r="AG86" s="71">
        <v>1216</v>
      </c>
      <c r="AH86" s="70">
        <v>42.55</v>
      </c>
      <c r="AI86" s="71">
        <v>553</v>
      </c>
      <c r="AJ86" s="70">
        <v>196</v>
      </c>
      <c r="AK86" s="71">
        <v>5.68</v>
      </c>
      <c r="AL86" s="70">
        <v>1343</v>
      </c>
      <c r="AM86" s="71">
        <v>391</v>
      </c>
      <c r="AN86" s="70">
        <v>10.019</v>
      </c>
      <c r="AO86" s="71">
        <v>2513</v>
      </c>
      <c r="AP86" s="70">
        <v>340</v>
      </c>
      <c r="AQ86" s="71">
        <v>32.450000000000003</v>
      </c>
      <c r="AR86" s="70">
        <v>1032</v>
      </c>
      <c r="AS86" s="71">
        <v>191</v>
      </c>
      <c r="AT86" s="70">
        <v>10.585000000000001</v>
      </c>
      <c r="AU86" s="71">
        <v>25</v>
      </c>
      <c r="AV86" s="70" t="s">
        <v>122</v>
      </c>
      <c r="AW86" s="71">
        <v>0.15</v>
      </c>
      <c r="AX86" s="70">
        <v>831805</v>
      </c>
      <c r="AY86" s="71">
        <v>822127</v>
      </c>
      <c r="AZ86" s="70">
        <v>22.905000000000001</v>
      </c>
      <c r="BA86" s="84">
        <v>3671.2570000000001</v>
      </c>
      <c r="BB86" s="80" t="s">
        <v>87</v>
      </c>
      <c r="BC86" s="64"/>
      <c r="BD86" s="64"/>
    </row>
    <row r="87" spans="1:56" x14ac:dyDescent="0.3">
      <c r="A87" s="63" t="s">
        <v>171</v>
      </c>
      <c r="B87" s="72">
        <v>6622</v>
      </c>
      <c r="C87" s="71">
        <v>6212</v>
      </c>
      <c r="D87" s="70">
        <v>106.65</v>
      </c>
      <c r="E87" s="71">
        <v>80548</v>
      </c>
      <c r="F87" s="70">
        <v>47643</v>
      </c>
      <c r="G87" s="71">
        <v>975.13099999999997</v>
      </c>
      <c r="H87" s="70">
        <v>33342</v>
      </c>
      <c r="I87" s="71">
        <v>24238</v>
      </c>
      <c r="J87" s="70">
        <v>181.066</v>
      </c>
      <c r="K87" s="71">
        <v>24</v>
      </c>
      <c r="L87" s="70" t="s">
        <v>122</v>
      </c>
      <c r="M87" s="71">
        <v>0.12</v>
      </c>
      <c r="N87" s="70">
        <v>8</v>
      </c>
      <c r="O87" s="71" t="s">
        <v>122</v>
      </c>
      <c r="P87" s="70">
        <v>2.5000000000000001E-2</v>
      </c>
      <c r="Q87" s="71" t="s">
        <v>122</v>
      </c>
      <c r="R87" s="70" t="s">
        <v>122</v>
      </c>
      <c r="S87" s="71" t="s">
        <v>122</v>
      </c>
      <c r="T87" s="70">
        <v>133</v>
      </c>
      <c r="U87" s="71">
        <v>87</v>
      </c>
      <c r="V87" s="70">
        <v>0.28299999999999997</v>
      </c>
      <c r="W87" s="71">
        <v>62</v>
      </c>
      <c r="X87" s="70" t="s">
        <v>122</v>
      </c>
      <c r="Y87" s="71">
        <v>0.13500000000000001</v>
      </c>
      <c r="Z87" s="70">
        <v>38</v>
      </c>
      <c r="AA87" s="71" t="s">
        <v>122</v>
      </c>
      <c r="AB87" s="70">
        <v>0.11</v>
      </c>
      <c r="AC87" s="71">
        <v>551</v>
      </c>
      <c r="AD87" s="70">
        <v>175</v>
      </c>
      <c r="AE87" s="71">
        <v>3.8</v>
      </c>
      <c r="AF87" s="70">
        <v>2239</v>
      </c>
      <c r="AG87" s="71">
        <v>935</v>
      </c>
      <c r="AH87" s="70">
        <v>11.814</v>
      </c>
      <c r="AI87" s="71">
        <v>16</v>
      </c>
      <c r="AJ87" s="70">
        <v>16</v>
      </c>
      <c r="AK87" s="71">
        <v>0.05</v>
      </c>
      <c r="AL87" s="70">
        <v>1935</v>
      </c>
      <c r="AM87" s="71">
        <v>855</v>
      </c>
      <c r="AN87" s="70">
        <v>5.3049999999999997</v>
      </c>
      <c r="AO87" s="71">
        <v>342</v>
      </c>
      <c r="AP87" s="70">
        <v>300</v>
      </c>
      <c r="AQ87" s="71">
        <v>1.708</v>
      </c>
      <c r="AR87" s="70">
        <v>519</v>
      </c>
      <c r="AS87" s="71" t="s">
        <v>122</v>
      </c>
      <c r="AT87" s="70">
        <v>5.69</v>
      </c>
      <c r="AU87" s="71">
        <v>180</v>
      </c>
      <c r="AV87" s="70">
        <v>141</v>
      </c>
      <c r="AW87" s="71">
        <v>0.505</v>
      </c>
      <c r="AX87" s="70">
        <v>490896</v>
      </c>
      <c r="AY87" s="71">
        <v>151089</v>
      </c>
      <c r="AZ87" s="70">
        <v>0.02</v>
      </c>
      <c r="BA87" s="84">
        <v>1683.269</v>
      </c>
      <c r="BB87" s="80" t="s">
        <v>88</v>
      </c>
      <c r="BC87" s="64"/>
      <c r="BD87" s="64"/>
    </row>
    <row r="88" spans="1:56" x14ac:dyDescent="0.3">
      <c r="A88" s="108" t="s">
        <v>89</v>
      </c>
      <c r="B88" s="109">
        <f t="shared" ref="B88:J88" si="53">SUM(B90:B102)</f>
        <v>61947</v>
      </c>
      <c r="C88" s="90">
        <f t="shared" si="53"/>
        <v>30996</v>
      </c>
      <c r="D88" s="90">
        <f t="shared" si="53"/>
        <v>2168.5769999999998</v>
      </c>
      <c r="E88" s="90">
        <f t="shared" si="53"/>
        <v>112860</v>
      </c>
      <c r="F88" s="90">
        <f t="shared" si="53"/>
        <v>95046</v>
      </c>
      <c r="G88" s="90">
        <f>SUM(G90:G102)</f>
        <v>5913.63</v>
      </c>
      <c r="H88" s="90">
        <f t="shared" si="53"/>
        <v>23940</v>
      </c>
      <c r="I88" s="90">
        <f t="shared" si="53"/>
        <v>16597</v>
      </c>
      <c r="J88" s="90">
        <f t="shared" si="53"/>
        <v>819.66599999999994</v>
      </c>
      <c r="K88" s="90">
        <f>SUM(K90:K102)</f>
        <v>10304</v>
      </c>
      <c r="L88" s="90">
        <f>SUM(L90:L102)</f>
        <v>2098</v>
      </c>
      <c r="M88" s="90">
        <f>SUM(M90:M102)</f>
        <v>232.399</v>
      </c>
      <c r="N88" s="90">
        <f>SUM(N90:N102)</f>
        <v>9858</v>
      </c>
      <c r="O88" s="90">
        <f t="shared" ref="O88:AE88" si="54">SUM(O90:O102)</f>
        <v>6877</v>
      </c>
      <c r="P88" s="90">
        <f t="shared" si="54"/>
        <v>365.86</v>
      </c>
      <c r="Q88" s="90">
        <f t="shared" ref="Q88:V88" si="55">SUM(Q90:Q102)</f>
        <v>5</v>
      </c>
      <c r="R88" s="90">
        <f t="shared" si="55"/>
        <v>0</v>
      </c>
      <c r="S88" s="90">
        <f t="shared" si="55"/>
        <v>5.0000000000000001E-3</v>
      </c>
      <c r="T88" s="90">
        <f t="shared" si="55"/>
        <v>26467</v>
      </c>
      <c r="U88" s="90">
        <f t="shared" si="55"/>
        <v>20647</v>
      </c>
      <c r="V88" s="90">
        <f t="shared" si="55"/>
        <v>1047.2069999999999</v>
      </c>
      <c r="W88" s="90">
        <f t="shared" si="54"/>
        <v>24058</v>
      </c>
      <c r="X88" s="90">
        <f t="shared" si="54"/>
        <v>20155</v>
      </c>
      <c r="Y88" s="90">
        <f t="shared" si="54"/>
        <v>796.1</v>
      </c>
      <c r="Z88" s="96">
        <f t="shared" si="54"/>
        <v>10391</v>
      </c>
      <c r="AA88" s="90">
        <f t="shared" si="54"/>
        <v>4694</v>
      </c>
      <c r="AB88" s="90">
        <f t="shared" si="54"/>
        <v>273.84300000000002</v>
      </c>
      <c r="AC88" s="90">
        <f t="shared" si="54"/>
        <v>1616</v>
      </c>
      <c r="AD88" s="90">
        <f t="shared" si="54"/>
        <v>878</v>
      </c>
      <c r="AE88" s="90">
        <f t="shared" si="54"/>
        <v>17.001999999999999</v>
      </c>
      <c r="AF88" s="90">
        <f>SUM(AF90:AF102)</f>
        <v>14655</v>
      </c>
      <c r="AG88" s="90">
        <f t="shared" ref="AG88:AQ88" si="56">SUM(AG90:AG102)</f>
        <v>4175</v>
      </c>
      <c r="AH88" s="90">
        <f t="shared" si="56"/>
        <v>347.73099999999999</v>
      </c>
      <c r="AI88" s="90">
        <f t="shared" si="56"/>
        <v>14348</v>
      </c>
      <c r="AJ88" s="90">
        <f t="shared" si="56"/>
        <v>663</v>
      </c>
      <c r="AK88" s="90">
        <f t="shared" si="56"/>
        <v>175.27600000000001</v>
      </c>
      <c r="AL88" s="90">
        <f t="shared" si="56"/>
        <v>17635</v>
      </c>
      <c r="AM88" s="90">
        <f t="shared" si="56"/>
        <v>5639</v>
      </c>
      <c r="AN88" s="90">
        <f t="shared" si="56"/>
        <v>158.697</v>
      </c>
      <c r="AO88" s="90">
        <f t="shared" si="56"/>
        <v>2110</v>
      </c>
      <c r="AP88" s="90">
        <f t="shared" si="56"/>
        <v>659</v>
      </c>
      <c r="AQ88" s="90">
        <f t="shared" si="56"/>
        <v>31.875</v>
      </c>
      <c r="AR88" s="90">
        <f>SUM(AR90:AR102)</f>
        <v>154</v>
      </c>
      <c r="AS88" s="90">
        <f t="shared" ref="AS88:BA88" si="57">SUM(AS90:AS102)</f>
        <v>0</v>
      </c>
      <c r="AT88" s="90">
        <f t="shared" si="57"/>
        <v>0.81100000000000005</v>
      </c>
      <c r="AU88" s="90">
        <f t="shared" si="57"/>
        <v>10329</v>
      </c>
      <c r="AV88" s="90">
        <f t="shared" si="57"/>
        <v>7234</v>
      </c>
      <c r="AW88" s="90">
        <f t="shared" si="57"/>
        <v>71.957000000000008</v>
      </c>
      <c r="AX88" s="90">
        <f t="shared" si="57"/>
        <v>1978153</v>
      </c>
      <c r="AY88" s="90">
        <f t="shared" si="57"/>
        <v>1791732</v>
      </c>
      <c r="AZ88" s="90">
        <f t="shared" si="57"/>
        <v>1621.751</v>
      </c>
      <c r="BA88" s="91">
        <f t="shared" si="57"/>
        <v>50724.652999999991</v>
      </c>
      <c r="BB88" s="116" t="s">
        <v>90</v>
      </c>
      <c r="BC88" s="117"/>
      <c r="BD88" s="117"/>
    </row>
    <row r="89" spans="1:56" x14ac:dyDescent="0.3">
      <c r="A89" s="108"/>
      <c r="B89" s="109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6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1"/>
      <c r="BB89" s="116"/>
      <c r="BC89" s="117"/>
      <c r="BD89" s="117"/>
    </row>
    <row r="90" spans="1:56" x14ac:dyDescent="0.3">
      <c r="A90" s="63" t="s">
        <v>172</v>
      </c>
      <c r="B90" s="72">
        <v>653</v>
      </c>
      <c r="C90" s="71">
        <v>418</v>
      </c>
      <c r="D90" s="70">
        <v>15.725</v>
      </c>
      <c r="E90" s="71">
        <v>448</v>
      </c>
      <c r="F90" s="70">
        <v>165</v>
      </c>
      <c r="G90" s="71">
        <v>12.6</v>
      </c>
      <c r="H90" s="70">
        <v>357</v>
      </c>
      <c r="I90" s="71">
        <v>160</v>
      </c>
      <c r="J90" s="70">
        <v>6.84</v>
      </c>
      <c r="K90" s="71">
        <v>19</v>
      </c>
      <c r="L90" s="70" t="s">
        <v>122</v>
      </c>
      <c r="M90" s="71">
        <v>0.19</v>
      </c>
      <c r="N90" s="70">
        <v>2</v>
      </c>
      <c r="O90" s="71" t="s">
        <v>122</v>
      </c>
      <c r="P90" s="70">
        <v>0.03</v>
      </c>
      <c r="Q90" s="71" t="s">
        <v>122</v>
      </c>
      <c r="R90" s="70" t="s">
        <v>122</v>
      </c>
      <c r="S90" s="71" t="s">
        <v>122</v>
      </c>
      <c r="T90" s="70">
        <v>442</v>
      </c>
      <c r="U90" s="71">
        <v>320</v>
      </c>
      <c r="V90" s="70">
        <v>10.162000000000001</v>
      </c>
      <c r="W90" s="71">
        <v>60</v>
      </c>
      <c r="X90" s="70" t="s">
        <v>122</v>
      </c>
      <c r="Y90" s="71">
        <v>0.55000000000000004</v>
      </c>
      <c r="Z90" s="70">
        <v>5</v>
      </c>
      <c r="AA90" s="71" t="s">
        <v>122</v>
      </c>
      <c r="AB90" s="70">
        <v>0.05</v>
      </c>
      <c r="AC90" s="71" t="s">
        <v>122</v>
      </c>
      <c r="AD90" s="70" t="s">
        <v>122</v>
      </c>
      <c r="AE90" s="71" t="s">
        <v>122</v>
      </c>
      <c r="AF90" s="70">
        <v>146</v>
      </c>
      <c r="AG90" s="71">
        <v>75</v>
      </c>
      <c r="AH90" s="70">
        <v>1.514</v>
      </c>
      <c r="AI90" s="71">
        <v>295</v>
      </c>
      <c r="AJ90" s="70">
        <v>190</v>
      </c>
      <c r="AK90" s="71">
        <v>3</v>
      </c>
      <c r="AL90" s="70">
        <v>108</v>
      </c>
      <c r="AM90" s="71">
        <v>80</v>
      </c>
      <c r="AN90" s="70">
        <v>0.98</v>
      </c>
      <c r="AO90" s="71" t="s">
        <v>122</v>
      </c>
      <c r="AP90" s="70" t="s">
        <v>122</v>
      </c>
      <c r="AQ90" s="71" t="s">
        <v>122</v>
      </c>
      <c r="AR90" s="70" t="s">
        <v>122</v>
      </c>
      <c r="AS90" s="71" t="s">
        <v>122</v>
      </c>
      <c r="AT90" s="70" t="s">
        <v>122</v>
      </c>
      <c r="AU90" s="71">
        <v>395</v>
      </c>
      <c r="AV90" s="70">
        <v>255</v>
      </c>
      <c r="AW90" s="71">
        <v>1.825</v>
      </c>
      <c r="AX90" s="70">
        <v>5865</v>
      </c>
      <c r="AY90" s="71">
        <v>3720</v>
      </c>
      <c r="AZ90" s="70">
        <v>0.52</v>
      </c>
      <c r="BA90" s="84">
        <v>43.631999999999998</v>
      </c>
      <c r="BB90" s="80" t="s">
        <v>91</v>
      </c>
      <c r="BC90" s="64"/>
      <c r="BD90" s="64"/>
    </row>
    <row r="91" spans="1:56" x14ac:dyDescent="0.3">
      <c r="A91" s="63" t="s">
        <v>173</v>
      </c>
      <c r="B91" s="72">
        <v>14153</v>
      </c>
      <c r="C91" s="71">
        <v>4774</v>
      </c>
      <c r="D91" s="70">
        <v>205.95</v>
      </c>
      <c r="E91" s="71">
        <v>3277</v>
      </c>
      <c r="F91" s="70">
        <v>872</v>
      </c>
      <c r="G91" s="71">
        <v>47.81</v>
      </c>
      <c r="H91" s="70">
        <v>1202</v>
      </c>
      <c r="I91" s="71">
        <v>221</v>
      </c>
      <c r="J91" s="70">
        <v>16.734999999999999</v>
      </c>
      <c r="K91" s="71">
        <v>2640</v>
      </c>
      <c r="L91" s="70">
        <v>20</v>
      </c>
      <c r="M91" s="71">
        <v>34.26</v>
      </c>
      <c r="N91" s="70">
        <v>748</v>
      </c>
      <c r="O91" s="71" t="s">
        <v>122</v>
      </c>
      <c r="P91" s="70">
        <v>11.89</v>
      </c>
      <c r="Q91" s="71">
        <v>5</v>
      </c>
      <c r="R91" s="70" t="s">
        <v>122</v>
      </c>
      <c r="S91" s="71">
        <v>5.0000000000000001E-3</v>
      </c>
      <c r="T91" s="70">
        <v>2015</v>
      </c>
      <c r="U91" s="71">
        <v>315</v>
      </c>
      <c r="V91" s="70">
        <v>37.840000000000003</v>
      </c>
      <c r="W91" s="71">
        <v>353</v>
      </c>
      <c r="X91" s="70" t="s">
        <v>122</v>
      </c>
      <c r="Y91" s="71">
        <v>6.75</v>
      </c>
      <c r="Z91" s="70">
        <v>995</v>
      </c>
      <c r="AA91" s="71">
        <v>20</v>
      </c>
      <c r="AB91" s="70">
        <v>13.4</v>
      </c>
      <c r="AC91" s="71">
        <v>213</v>
      </c>
      <c r="AD91" s="70">
        <v>11</v>
      </c>
      <c r="AE91" s="71">
        <v>1.7569999999999999</v>
      </c>
      <c r="AF91" s="70">
        <v>330</v>
      </c>
      <c r="AG91" s="71">
        <v>10</v>
      </c>
      <c r="AH91" s="70">
        <v>5.65</v>
      </c>
      <c r="AI91" s="71">
        <v>11810</v>
      </c>
      <c r="AJ91" s="70" t="s">
        <v>122</v>
      </c>
      <c r="AK91" s="71">
        <v>140.08000000000001</v>
      </c>
      <c r="AL91" s="70">
        <v>3522</v>
      </c>
      <c r="AM91" s="71">
        <v>866</v>
      </c>
      <c r="AN91" s="70">
        <v>31.568999999999999</v>
      </c>
      <c r="AO91" s="71">
        <v>898</v>
      </c>
      <c r="AP91" s="70">
        <v>10</v>
      </c>
      <c r="AQ91" s="71">
        <v>8.625</v>
      </c>
      <c r="AR91" s="70">
        <v>154</v>
      </c>
      <c r="AS91" s="71" t="s">
        <v>122</v>
      </c>
      <c r="AT91" s="70">
        <v>0.81100000000000005</v>
      </c>
      <c r="AU91" s="71">
        <v>50</v>
      </c>
      <c r="AV91" s="70" t="s">
        <v>122</v>
      </c>
      <c r="AW91" s="71">
        <v>0.72</v>
      </c>
      <c r="AX91" s="70">
        <v>101943</v>
      </c>
      <c r="AY91" s="71">
        <v>63634</v>
      </c>
      <c r="AZ91" s="70">
        <v>4.915</v>
      </c>
      <c r="BA91" s="84">
        <v>391.32</v>
      </c>
      <c r="BB91" s="80" t="s">
        <v>92</v>
      </c>
      <c r="BC91" s="64"/>
      <c r="BD91" s="64"/>
    </row>
    <row r="92" spans="1:56" x14ac:dyDescent="0.3">
      <c r="A92" s="63" t="s">
        <v>174</v>
      </c>
      <c r="B92" s="72">
        <v>1268</v>
      </c>
      <c r="C92" s="71">
        <v>55</v>
      </c>
      <c r="D92" s="70">
        <v>24.41</v>
      </c>
      <c r="E92" s="71">
        <v>431</v>
      </c>
      <c r="F92" s="70">
        <v>66</v>
      </c>
      <c r="G92" s="71">
        <v>13.5</v>
      </c>
      <c r="H92" s="70">
        <v>189</v>
      </c>
      <c r="I92" s="71">
        <v>8</v>
      </c>
      <c r="J92" s="70">
        <v>2.52</v>
      </c>
      <c r="K92" s="71">
        <v>372</v>
      </c>
      <c r="L92" s="70" t="s">
        <v>122</v>
      </c>
      <c r="M92" s="71">
        <v>10.945</v>
      </c>
      <c r="N92" s="70">
        <v>170</v>
      </c>
      <c r="O92" s="71" t="s">
        <v>122</v>
      </c>
      <c r="P92" s="70">
        <v>6</v>
      </c>
      <c r="Q92" s="71" t="s">
        <v>122</v>
      </c>
      <c r="R92" s="70" t="s">
        <v>122</v>
      </c>
      <c r="S92" s="71" t="s">
        <v>122</v>
      </c>
      <c r="T92" s="70">
        <v>680</v>
      </c>
      <c r="U92" s="71">
        <v>40</v>
      </c>
      <c r="V92" s="70">
        <v>17.02</v>
      </c>
      <c r="W92" s="71">
        <v>215</v>
      </c>
      <c r="X92" s="70" t="s">
        <v>122</v>
      </c>
      <c r="Y92" s="71">
        <v>8.35</v>
      </c>
      <c r="Z92" s="70">
        <v>145</v>
      </c>
      <c r="AA92" s="71" t="s">
        <v>122</v>
      </c>
      <c r="AB92" s="70">
        <v>5.05</v>
      </c>
      <c r="AC92" s="71">
        <v>50</v>
      </c>
      <c r="AD92" s="70" t="s">
        <v>122</v>
      </c>
      <c r="AE92" s="71">
        <v>1.5</v>
      </c>
      <c r="AF92" s="70">
        <v>2431</v>
      </c>
      <c r="AG92" s="71">
        <v>111</v>
      </c>
      <c r="AH92" s="70">
        <v>25.12</v>
      </c>
      <c r="AI92" s="71">
        <v>90</v>
      </c>
      <c r="AJ92" s="70" t="s">
        <v>122</v>
      </c>
      <c r="AK92" s="71">
        <v>1.1000000000000001</v>
      </c>
      <c r="AL92" s="70">
        <v>1454</v>
      </c>
      <c r="AM92" s="71">
        <v>162</v>
      </c>
      <c r="AN92" s="70">
        <v>9.5739999999999998</v>
      </c>
      <c r="AO92" s="71" t="s">
        <v>122</v>
      </c>
      <c r="AP92" s="70" t="s">
        <v>122</v>
      </c>
      <c r="AQ92" s="71" t="s">
        <v>122</v>
      </c>
      <c r="AR92" s="70" t="s">
        <v>122</v>
      </c>
      <c r="AS92" s="71" t="s">
        <v>122</v>
      </c>
      <c r="AT92" s="70" t="s">
        <v>122</v>
      </c>
      <c r="AU92" s="71">
        <v>9110</v>
      </c>
      <c r="AV92" s="70">
        <v>6550</v>
      </c>
      <c r="AW92" s="71">
        <v>64.2</v>
      </c>
      <c r="AX92" s="70">
        <v>92882</v>
      </c>
      <c r="AY92" s="71">
        <v>85227</v>
      </c>
      <c r="AZ92" s="70">
        <v>20.706</v>
      </c>
      <c r="BA92" s="84">
        <v>775.73500000000001</v>
      </c>
      <c r="BB92" s="80" t="s">
        <v>93</v>
      </c>
      <c r="BC92" s="64"/>
      <c r="BD92" s="64"/>
    </row>
    <row r="93" spans="1:56" x14ac:dyDescent="0.3">
      <c r="A93" s="63" t="s">
        <v>175</v>
      </c>
      <c r="B93" s="72">
        <v>8477</v>
      </c>
      <c r="C93" s="71">
        <v>2542</v>
      </c>
      <c r="D93" s="70">
        <v>265.92500000000001</v>
      </c>
      <c r="E93" s="71">
        <v>11771</v>
      </c>
      <c r="F93" s="70">
        <v>9041</v>
      </c>
      <c r="G93" s="71">
        <v>164.22</v>
      </c>
      <c r="H93" s="70">
        <v>7330</v>
      </c>
      <c r="I93" s="71">
        <v>6040</v>
      </c>
      <c r="J93" s="70">
        <v>92.52</v>
      </c>
      <c r="K93" s="71">
        <v>640</v>
      </c>
      <c r="L93" s="70">
        <v>60</v>
      </c>
      <c r="M93" s="71">
        <v>7.14</v>
      </c>
      <c r="N93" s="70">
        <v>30</v>
      </c>
      <c r="O93" s="71" t="s">
        <v>122</v>
      </c>
      <c r="P93" s="70">
        <v>0.24</v>
      </c>
      <c r="Q93" s="71" t="s">
        <v>122</v>
      </c>
      <c r="R93" s="70" t="s">
        <v>122</v>
      </c>
      <c r="S93" s="71" t="s">
        <v>122</v>
      </c>
      <c r="T93" s="70">
        <v>883</v>
      </c>
      <c r="U93" s="71">
        <v>203</v>
      </c>
      <c r="V93" s="70">
        <v>8.6</v>
      </c>
      <c r="W93" s="71">
        <v>50</v>
      </c>
      <c r="X93" s="70" t="s">
        <v>122</v>
      </c>
      <c r="Y93" s="71">
        <v>0.65</v>
      </c>
      <c r="Z93" s="70">
        <v>660</v>
      </c>
      <c r="AA93" s="71">
        <v>150</v>
      </c>
      <c r="AB93" s="70">
        <v>11.05</v>
      </c>
      <c r="AC93" s="71" t="s">
        <v>122</v>
      </c>
      <c r="AD93" s="70" t="s">
        <v>122</v>
      </c>
      <c r="AE93" s="71" t="s">
        <v>122</v>
      </c>
      <c r="AF93" s="70">
        <v>2036</v>
      </c>
      <c r="AG93" s="71">
        <v>596</v>
      </c>
      <c r="AH93" s="70">
        <v>33.99</v>
      </c>
      <c r="AI93" s="71">
        <v>28</v>
      </c>
      <c r="AJ93" s="70">
        <v>18</v>
      </c>
      <c r="AK93" s="71">
        <v>0.40100000000000002</v>
      </c>
      <c r="AL93" s="70">
        <v>3690</v>
      </c>
      <c r="AM93" s="71">
        <v>420</v>
      </c>
      <c r="AN93" s="70">
        <v>29.26</v>
      </c>
      <c r="AO93" s="71">
        <v>50</v>
      </c>
      <c r="AP93" s="70">
        <v>40</v>
      </c>
      <c r="AQ93" s="71">
        <v>1</v>
      </c>
      <c r="AR93" s="70" t="s">
        <v>122</v>
      </c>
      <c r="AS93" s="71" t="s">
        <v>122</v>
      </c>
      <c r="AT93" s="70" t="s">
        <v>122</v>
      </c>
      <c r="AU93" s="71" t="s">
        <v>122</v>
      </c>
      <c r="AV93" s="70" t="s">
        <v>122</v>
      </c>
      <c r="AW93" s="71" t="s">
        <v>122</v>
      </c>
      <c r="AX93" s="70">
        <v>63948</v>
      </c>
      <c r="AY93" s="71">
        <v>47748</v>
      </c>
      <c r="AZ93" s="70">
        <v>47.85</v>
      </c>
      <c r="BA93" s="84">
        <v>750.34</v>
      </c>
      <c r="BB93" s="80" t="s">
        <v>94</v>
      </c>
      <c r="BC93" s="64"/>
      <c r="BD93" s="64"/>
    </row>
    <row r="94" spans="1:56" x14ac:dyDescent="0.3">
      <c r="A94" s="63" t="s">
        <v>176</v>
      </c>
      <c r="B94" s="72">
        <v>345</v>
      </c>
      <c r="C94" s="71">
        <v>345</v>
      </c>
      <c r="D94" s="70">
        <v>11.05</v>
      </c>
      <c r="E94" s="71">
        <v>135</v>
      </c>
      <c r="F94" s="70">
        <v>135</v>
      </c>
      <c r="G94" s="71">
        <v>3.3159999999999998</v>
      </c>
      <c r="H94" s="70">
        <v>20</v>
      </c>
      <c r="I94" s="71">
        <v>20</v>
      </c>
      <c r="J94" s="70">
        <v>0.3</v>
      </c>
      <c r="K94" s="71">
        <v>30</v>
      </c>
      <c r="L94" s="70">
        <v>30</v>
      </c>
      <c r="M94" s="71">
        <v>1</v>
      </c>
      <c r="N94" s="70">
        <v>50</v>
      </c>
      <c r="O94" s="71">
        <v>50</v>
      </c>
      <c r="P94" s="70">
        <v>2.5</v>
      </c>
      <c r="Q94" s="71" t="s">
        <v>122</v>
      </c>
      <c r="R94" s="70" t="s">
        <v>122</v>
      </c>
      <c r="S94" s="71" t="s">
        <v>122</v>
      </c>
      <c r="T94" s="70">
        <v>230</v>
      </c>
      <c r="U94" s="71">
        <v>230</v>
      </c>
      <c r="V94" s="70">
        <v>6.9</v>
      </c>
      <c r="W94" s="71">
        <v>140</v>
      </c>
      <c r="X94" s="70">
        <v>140</v>
      </c>
      <c r="Y94" s="71">
        <v>4.45</v>
      </c>
      <c r="Z94" s="70">
        <v>70</v>
      </c>
      <c r="AA94" s="71">
        <v>70</v>
      </c>
      <c r="AB94" s="70">
        <v>2.2000000000000002</v>
      </c>
      <c r="AC94" s="71" t="s">
        <v>122</v>
      </c>
      <c r="AD94" s="70" t="s">
        <v>122</v>
      </c>
      <c r="AE94" s="71" t="s">
        <v>122</v>
      </c>
      <c r="AF94" s="70">
        <v>110</v>
      </c>
      <c r="AG94" s="71">
        <v>102</v>
      </c>
      <c r="AH94" s="70">
        <v>4.6500000000000004</v>
      </c>
      <c r="AI94" s="71" t="s">
        <v>122</v>
      </c>
      <c r="AJ94" s="70" t="s">
        <v>122</v>
      </c>
      <c r="AK94" s="71" t="s">
        <v>122</v>
      </c>
      <c r="AL94" s="70">
        <v>148</v>
      </c>
      <c r="AM94" s="71">
        <v>148</v>
      </c>
      <c r="AN94" s="70">
        <v>1.381</v>
      </c>
      <c r="AO94" s="71">
        <v>15</v>
      </c>
      <c r="AP94" s="70">
        <v>15</v>
      </c>
      <c r="AQ94" s="71">
        <v>0.15</v>
      </c>
      <c r="AR94" s="70" t="s">
        <v>122</v>
      </c>
      <c r="AS94" s="71" t="s">
        <v>122</v>
      </c>
      <c r="AT94" s="70" t="s">
        <v>122</v>
      </c>
      <c r="AU94" s="71" t="s">
        <v>122</v>
      </c>
      <c r="AV94" s="70" t="s">
        <v>122</v>
      </c>
      <c r="AW94" s="71" t="s">
        <v>122</v>
      </c>
      <c r="AX94" s="70">
        <v>80207</v>
      </c>
      <c r="AY94" s="71">
        <v>80207</v>
      </c>
      <c r="AZ94" s="70" t="s">
        <v>122</v>
      </c>
      <c r="BA94" s="84">
        <v>613.39200000000005</v>
      </c>
      <c r="BB94" s="80" t="s">
        <v>95</v>
      </c>
      <c r="BC94" s="64"/>
      <c r="BD94" s="64"/>
    </row>
    <row r="95" spans="1:56" x14ac:dyDescent="0.3">
      <c r="A95" s="63" t="s">
        <v>177</v>
      </c>
      <c r="B95" s="72">
        <v>340</v>
      </c>
      <c r="C95" s="71">
        <v>220</v>
      </c>
      <c r="D95" s="70">
        <v>8.125</v>
      </c>
      <c r="E95" s="71">
        <v>320</v>
      </c>
      <c r="F95" s="70">
        <v>245</v>
      </c>
      <c r="G95" s="71">
        <v>8.6999999999999993</v>
      </c>
      <c r="H95" s="70">
        <v>213</v>
      </c>
      <c r="I95" s="71">
        <v>175</v>
      </c>
      <c r="J95" s="70">
        <v>4.2</v>
      </c>
      <c r="K95" s="71">
        <v>98</v>
      </c>
      <c r="L95" s="70">
        <v>80</v>
      </c>
      <c r="M95" s="71">
        <v>0.98</v>
      </c>
      <c r="N95" s="70">
        <v>30</v>
      </c>
      <c r="O95" s="71">
        <v>20</v>
      </c>
      <c r="P95" s="70">
        <v>0.45</v>
      </c>
      <c r="Q95" s="71" t="s">
        <v>122</v>
      </c>
      <c r="R95" s="70" t="s">
        <v>122</v>
      </c>
      <c r="S95" s="71" t="s">
        <v>122</v>
      </c>
      <c r="T95" s="70">
        <v>30</v>
      </c>
      <c r="U95" s="71">
        <v>30</v>
      </c>
      <c r="V95" s="70">
        <v>0.6</v>
      </c>
      <c r="W95" s="71">
        <v>30</v>
      </c>
      <c r="X95" s="70">
        <v>20</v>
      </c>
      <c r="Y95" s="71">
        <v>0.5</v>
      </c>
      <c r="Z95" s="70">
        <v>135</v>
      </c>
      <c r="AA95" s="71">
        <v>80</v>
      </c>
      <c r="AB95" s="70">
        <v>1.35</v>
      </c>
      <c r="AC95" s="71">
        <v>20</v>
      </c>
      <c r="AD95" s="70" t="s">
        <v>122</v>
      </c>
      <c r="AE95" s="71">
        <v>0.3</v>
      </c>
      <c r="AF95" s="70">
        <v>270</v>
      </c>
      <c r="AG95" s="71">
        <v>50</v>
      </c>
      <c r="AH95" s="70">
        <v>2.37</v>
      </c>
      <c r="AI95" s="71">
        <v>40</v>
      </c>
      <c r="AJ95" s="70">
        <v>40</v>
      </c>
      <c r="AK95" s="71">
        <v>0.32</v>
      </c>
      <c r="AL95" s="70">
        <v>3801</v>
      </c>
      <c r="AM95" s="71">
        <v>2900</v>
      </c>
      <c r="AN95" s="70">
        <v>30.408000000000001</v>
      </c>
      <c r="AO95" s="71" t="s">
        <v>122</v>
      </c>
      <c r="AP95" s="70" t="s">
        <v>122</v>
      </c>
      <c r="AQ95" s="71" t="s">
        <v>122</v>
      </c>
      <c r="AR95" s="70" t="s">
        <v>122</v>
      </c>
      <c r="AS95" s="71" t="s">
        <v>122</v>
      </c>
      <c r="AT95" s="70" t="s">
        <v>122</v>
      </c>
      <c r="AU95" s="71" t="s">
        <v>122</v>
      </c>
      <c r="AV95" s="70" t="s">
        <v>122</v>
      </c>
      <c r="AW95" s="71" t="s">
        <v>122</v>
      </c>
      <c r="AX95" s="70">
        <v>25278</v>
      </c>
      <c r="AY95" s="71">
        <v>9960</v>
      </c>
      <c r="AZ95" s="70">
        <v>3.4</v>
      </c>
      <c r="BA95" s="84">
        <v>172.053</v>
      </c>
      <c r="BB95" s="80" t="s">
        <v>96</v>
      </c>
      <c r="BC95" s="64"/>
      <c r="BD95" s="64"/>
    </row>
    <row r="96" spans="1:56" x14ac:dyDescent="0.3">
      <c r="A96" s="63" t="s">
        <v>178</v>
      </c>
      <c r="B96" s="72">
        <v>4155</v>
      </c>
      <c r="C96" s="71">
        <v>3505</v>
      </c>
      <c r="D96" s="70">
        <v>267.10000000000002</v>
      </c>
      <c r="E96" s="71">
        <v>5510</v>
      </c>
      <c r="F96" s="70">
        <v>5310</v>
      </c>
      <c r="G96" s="71">
        <v>358.65</v>
      </c>
      <c r="H96" s="70">
        <v>1630</v>
      </c>
      <c r="I96" s="71">
        <v>1550</v>
      </c>
      <c r="J96" s="70">
        <v>107.7</v>
      </c>
      <c r="K96" s="71">
        <v>444</v>
      </c>
      <c r="L96" s="70">
        <v>238</v>
      </c>
      <c r="M96" s="71">
        <v>20.399999999999999</v>
      </c>
      <c r="N96" s="70">
        <v>40</v>
      </c>
      <c r="O96" s="71">
        <v>40</v>
      </c>
      <c r="P96" s="70">
        <v>2</v>
      </c>
      <c r="Q96" s="71" t="s">
        <v>122</v>
      </c>
      <c r="R96" s="70" t="s">
        <v>122</v>
      </c>
      <c r="S96" s="71" t="s">
        <v>122</v>
      </c>
      <c r="T96" s="70">
        <v>775</v>
      </c>
      <c r="U96" s="71">
        <v>730</v>
      </c>
      <c r="V96" s="70">
        <v>38.75</v>
      </c>
      <c r="W96" s="71">
        <v>431</v>
      </c>
      <c r="X96" s="70">
        <v>411</v>
      </c>
      <c r="Y96" s="71">
        <v>18.05</v>
      </c>
      <c r="Z96" s="70">
        <v>365</v>
      </c>
      <c r="AA96" s="71">
        <v>355</v>
      </c>
      <c r="AB96" s="70">
        <v>18.25</v>
      </c>
      <c r="AC96" s="71">
        <v>5</v>
      </c>
      <c r="AD96" s="70">
        <v>5</v>
      </c>
      <c r="AE96" s="71">
        <v>0.25</v>
      </c>
      <c r="AF96" s="70">
        <v>1690</v>
      </c>
      <c r="AG96" s="71">
        <v>895</v>
      </c>
      <c r="AH96" s="70">
        <v>92.751000000000005</v>
      </c>
      <c r="AI96" s="71" t="s">
        <v>122</v>
      </c>
      <c r="AJ96" s="70" t="s">
        <v>122</v>
      </c>
      <c r="AK96" s="71" t="s">
        <v>122</v>
      </c>
      <c r="AL96" s="70">
        <v>226</v>
      </c>
      <c r="AM96" s="71">
        <v>226</v>
      </c>
      <c r="AN96" s="70">
        <v>4.3760000000000003</v>
      </c>
      <c r="AO96" s="71" t="s">
        <v>122</v>
      </c>
      <c r="AP96" s="70" t="s">
        <v>122</v>
      </c>
      <c r="AQ96" s="71" t="s">
        <v>122</v>
      </c>
      <c r="AR96" s="70" t="s">
        <v>122</v>
      </c>
      <c r="AS96" s="71" t="s">
        <v>122</v>
      </c>
      <c r="AT96" s="70" t="s">
        <v>122</v>
      </c>
      <c r="AU96" s="71" t="s">
        <v>122</v>
      </c>
      <c r="AV96" s="70" t="s">
        <v>122</v>
      </c>
      <c r="AW96" s="71" t="s">
        <v>122</v>
      </c>
      <c r="AX96" s="70">
        <v>205453</v>
      </c>
      <c r="AY96" s="71">
        <v>187708</v>
      </c>
      <c r="AZ96" s="70">
        <v>74.64</v>
      </c>
      <c r="BA96" s="84">
        <v>7941.7489999999998</v>
      </c>
      <c r="BB96" s="80" t="s">
        <v>97</v>
      </c>
      <c r="BC96" s="64"/>
      <c r="BD96" s="64"/>
    </row>
    <row r="97" spans="1:56" x14ac:dyDescent="0.3">
      <c r="A97" s="63" t="s">
        <v>179</v>
      </c>
      <c r="B97" s="72">
        <v>3437</v>
      </c>
      <c r="C97" s="71">
        <v>887</v>
      </c>
      <c r="D97" s="70">
        <v>72.656999999999996</v>
      </c>
      <c r="E97" s="71">
        <v>2384</v>
      </c>
      <c r="F97" s="70">
        <v>674</v>
      </c>
      <c r="G97" s="71">
        <v>53.674999999999997</v>
      </c>
      <c r="H97" s="70">
        <v>829</v>
      </c>
      <c r="I97" s="71">
        <v>149</v>
      </c>
      <c r="J97" s="70">
        <v>14.106</v>
      </c>
      <c r="K97" s="71">
        <v>1152</v>
      </c>
      <c r="L97" s="70">
        <v>147</v>
      </c>
      <c r="M97" s="71">
        <v>10.27</v>
      </c>
      <c r="N97" s="70">
        <v>20</v>
      </c>
      <c r="O97" s="71" t="s">
        <v>122</v>
      </c>
      <c r="P97" s="70">
        <v>0.13</v>
      </c>
      <c r="Q97" s="71" t="s">
        <v>122</v>
      </c>
      <c r="R97" s="70" t="s">
        <v>122</v>
      </c>
      <c r="S97" s="71" t="s">
        <v>122</v>
      </c>
      <c r="T97" s="70">
        <v>302</v>
      </c>
      <c r="U97" s="71">
        <v>62</v>
      </c>
      <c r="V97" s="70">
        <v>5.99</v>
      </c>
      <c r="W97" s="71">
        <v>514</v>
      </c>
      <c r="X97" s="70">
        <v>25</v>
      </c>
      <c r="Y97" s="71">
        <v>4.59</v>
      </c>
      <c r="Z97" s="70">
        <v>940</v>
      </c>
      <c r="AA97" s="71">
        <v>70</v>
      </c>
      <c r="AB97" s="70">
        <v>14.278</v>
      </c>
      <c r="AC97" s="71">
        <v>5</v>
      </c>
      <c r="AD97" s="70" t="s">
        <v>122</v>
      </c>
      <c r="AE97" s="71">
        <v>0.05</v>
      </c>
      <c r="AF97" s="70">
        <v>2789</v>
      </c>
      <c r="AG97" s="71">
        <v>144</v>
      </c>
      <c r="AH97" s="70">
        <v>18.5</v>
      </c>
      <c r="AI97" s="71">
        <v>355</v>
      </c>
      <c r="AJ97" s="70">
        <v>15</v>
      </c>
      <c r="AK97" s="71">
        <v>5.0049999999999999</v>
      </c>
      <c r="AL97" s="70">
        <v>1666</v>
      </c>
      <c r="AM97" s="71">
        <v>26</v>
      </c>
      <c r="AN97" s="70">
        <v>5.7</v>
      </c>
      <c r="AO97" s="71">
        <v>25</v>
      </c>
      <c r="AP97" s="70" t="s">
        <v>122</v>
      </c>
      <c r="AQ97" s="71">
        <v>0.4</v>
      </c>
      <c r="AR97" s="70" t="s">
        <v>122</v>
      </c>
      <c r="AS97" s="71" t="s">
        <v>122</v>
      </c>
      <c r="AT97" s="70" t="s">
        <v>122</v>
      </c>
      <c r="AU97" s="71">
        <v>611</v>
      </c>
      <c r="AV97" s="70">
        <v>366</v>
      </c>
      <c r="AW97" s="71">
        <v>0.94099999999999995</v>
      </c>
      <c r="AX97" s="70">
        <v>92973</v>
      </c>
      <c r="AY97" s="71">
        <v>61947</v>
      </c>
      <c r="AZ97" s="70">
        <v>1.43</v>
      </c>
      <c r="BA97" s="84">
        <v>163.19999999999999</v>
      </c>
      <c r="BB97" s="80" t="s">
        <v>98</v>
      </c>
      <c r="BC97" s="64"/>
      <c r="BD97" s="64"/>
    </row>
    <row r="98" spans="1:56" x14ac:dyDescent="0.3">
      <c r="A98" s="63" t="s">
        <v>180</v>
      </c>
      <c r="B98" s="72">
        <v>20</v>
      </c>
      <c r="C98" s="71" t="s">
        <v>122</v>
      </c>
      <c r="D98" s="70">
        <v>0.4</v>
      </c>
      <c r="E98" s="71" t="s">
        <v>122</v>
      </c>
      <c r="F98" s="70" t="s">
        <v>122</v>
      </c>
      <c r="G98" s="71" t="s">
        <v>122</v>
      </c>
      <c r="H98" s="70" t="s">
        <v>122</v>
      </c>
      <c r="I98" s="71" t="s">
        <v>122</v>
      </c>
      <c r="J98" s="70" t="s">
        <v>122</v>
      </c>
      <c r="K98" s="71" t="s">
        <v>122</v>
      </c>
      <c r="L98" s="70" t="s">
        <v>122</v>
      </c>
      <c r="M98" s="71" t="s">
        <v>122</v>
      </c>
      <c r="N98" s="70" t="s">
        <v>122</v>
      </c>
      <c r="O98" s="71" t="s">
        <v>122</v>
      </c>
      <c r="P98" s="70" t="s">
        <v>122</v>
      </c>
      <c r="Q98" s="71" t="s">
        <v>122</v>
      </c>
      <c r="R98" s="70" t="s">
        <v>122</v>
      </c>
      <c r="S98" s="71" t="s">
        <v>122</v>
      </c>
      <c r="T98" s="70" t="s">
        <v>122</v>
      </c>
      <c r="U98" s="71" t="s">
        <v>122</v>
      </c>
      <c r="V98" s="70" t="s">
        <v>122</v>
      </c>
      <c r="W98" s="71" t="s">
        <v>122</v>
      </c>
      <c r="X98" s="70" t="s">
        <v>122</v>
      </c>
      <c r="Y98" s="71" t="s">
        <v>122</v>
      </c>
      <c r="Z98" s="70" t="s">
        <v>122</v>
      </c>
      <c r="AA98" s="71" t="s">
        <v>122</v>
      </c>
      <c r="AB98" s="70" t="s">
        <v>122</v>
      </c>
      <c r="AC98" s="71" t="s">
        <v>122</v>
      </c>
      <c r="AD98" s="70" t="s">
        <v>122</v>
      </c>
      <c r="AE98" s="71" t="s">
        <v>122</v>
      </c>
      <c r="AF98" s="70" t="s">
        <v>122</v>
      </c>
      <c r="AG98" s="71" t="s">
        <v>122</v>
      </c>
      <c r="AH98" s="70" t="s">
        <v>122</v>
      </c>
      <c r="AI98" s="71" t="s">
        <v>122</v>
      </c>
      <c r="AJ98" s="70" t="s">
        <v>122</v>
      </c>
      <c r="AK98" s="71" t="s">
        <v>122</v>
      </c>
      <c r="AL98" s="70" t="s">
        <v>122</v>
      </c>
      <c r="AM98" s="71" t="s">
        <v>122</v>
      </c>
      <c r="AN98" s="70" t="s">
        <v>122</v>
      </c>
      <c r="AO98" s="71" t="s">
        <v>122</v>
      </c>
      <c r="AP98" s="70" t="s">
        <v>122</v>
      </c>
      <c r="AQ98" s="71" t="s">
        <v>122</v>
      </c>
      <c r="AR98" s="70" t="s">
        <v>122</v>
      </c>
      <c r="AS98" s="71" t="s">
        <v>122</v>
      </c>
      <c r="AT98" s="70" t="s">
        <v>122</v>
      </c>
      <c r="AU98" s="71" t="s">
        <v>122</v>
      </c>
      <c r="AV98" s="70" t="s">
        <v>122</v>
      </c>
      <c r="AW98" s="71" t="s">
        <v>122</v>
      </c>
      <c r="AX98" s="70">
        <v>787</v>
      </c>
      <c r="AY98" s="71">
        <v>520</v>
      </c>
      <c r="AZ98" s="70" t="s">
        <v>122</v>
      </c>
      <c r="BA98" s="84">
        <v>4.0949999999999998</v>
      </c>
      <c r="BB98" s="80" t="s">
        <v>99</v>
      </c>
      <c r="BC98" s="64"/>
      <c r="BD98" s="64"/>
    </row>
    <row r="99" spans="1:56" x14ac:dyDescent="0.3">
      <c r="A99" s="63" t="s">
        <v>181</v>
      </c>
      <c r="B99" s="72">
        <v>10371</v>
      </c>
      <c r="C99" s="71">
        <v>2166</v>
      </c>
      <c r="D99" s="70">
        <v>333.19</v>
      </c>
      <c r="E99" s="71">
        <v>12313</v>
      </c>
      <c r="F99" s="70">
        <v>5320</v>
      </c>
      <c r="G99" s="71">
        <v>420.16500000000002</v>
      </c>
      <c r="H99" s="70">
        <v>3268</v>
      </c>
      <c r="I99" s="71">
        <v>728</v>
      </c>
      <c r="J99" s="70">
        <v>91.185000000000002</v>
      </c>
      <c r="K99" s="71">
        <v>3142</v>
      </c>
      <c r="L99" s="70">
        <v>162</v>
      </c>
      <c r="M99" s="71">
        <v>70.924000000000007</v>
      </c>
      <c r="N99" s="70">
        <v>1805</v>
      </c>
      <c r="O99" s="71">
        <v>155</v>
      </c>
      <c r="P99" s="70">
        <v>52.57</v>
      </c>
      <c r="Q99" s="71" t="s">
        <v>122</v>
      </c>
      <c r="R99" s="70" t="s">
        <v>122</v>
      </c>
      <c r="S99" s="71" t="s">
        <v>122</v>
      </c>
      <c r="T99" s="70">
        <v>2440</v>
      </c>
      <c r="U99" s="71">
        <v>518</v>
      </c>
      <c r="V99" s="70">
        <v>58.854999999999997</v>
      </c>
      <c r="W99" s="71">
        <v>2375</v>
      </c>
      <c r="X99" s="70">
        <v>693</v>
      </c>
      <c r="Y99" s="71">
        <v>50.255000000000003</v>
      </c>
      <c r="Z99" s="70">
        <v>3018</v>
      </c>
      <c r="AA99" s="71">
        <v>308</v>
      </c>
      <c r="AB99" s="70">
        <v>66.959999999999994</v>
      </c>
      <c r="AC99" s="71">
        <v>1200</v>
      </c>
      <c r="AD99" s="70">
        <v>757</v>
      </c>
      <c r="AE99" s="71">
        <v>8.75</v>
      </c>
      <c r="AF99" s="70">
        <v>2410</v>
      </c>
      <c r="AG99" s="71">
        <v>360</v>
      </c>
      <c r="AH99" s="70">
        <v>62.424999999999997</v>
      </c>
      <c r="AI99" s="71">
        <v>1595</v>
      </c>
      <c r="AJ99" s="70">
        <v>400</v>
      </c>
      <c r="AK99" s="71">
        <v>19.07</v>
      </c>
      <c r="AL99" s="70">
        <v>2089</v>
      </c>
      <c r="AM99" s="71">
        <v>64</v>
      </c>
      <c r="AN99" s="70">
        <v>32.231000000000002</v>
      </c>
      <c r="AO99" s="71">
        <v>470</v>
      </c>
      <c r="AP99" s="70">
        <v>13</v>
      </c>
      <c r="AQ99" s="71">
        <v>11.05</v>
      </c>
      <c r="AR99" s="70" t="s">
        <v>122</v>
      </c>
      <c r="AS99" s="71" t="s">
        <v>122</v>
      </c>
      <c r="AT99" s="70" t="s">
        <v>122</v>
      </c>
      <c r="AU99" s="71">
        <v>116</v>
      </c>
      <c r="AV99" s="70">
        <v>16</v>
      </c>
      <c r="AW99" s="71">
        <v>2.5009999999999999</v>
      </c>
      <c r="AX99" s="70">
        <v>180170</v>
      </c>
      <c r="AY99" s="71">
        <v>152806</v>
      </c>
      <c r="AZ99" s="70">
        <v>207.46799999999999</v>
      </c>
      <c r="BA99" s="84">
        <v>2193.277</v>
      </c>
      <c r="BB99" s="80" t="s">
        <v>100</v>
      </c>
      <c r="BC99" s="64"/>
      <c r="BD99" s="64"/>
    </row>
    <row r="100" spans="1:56" x14ac:dyDescent="0.3">
      <c r="A100" s="63" t="s">
        <v>182</v>
      </c>
      <c r="B100" s="72">
        <v>1269</v>
      </c>
      <c r="C100" s="71">
        <v>489</v>
      </c>
      <c r="D100" s="70">
        <v>57.57</v>
      </c>
      <c r="E100" s="71">
        <v>1380</v>
      </c>
      <c r="F100" s="70">
        <v>520</v>
      </c>
      <c r="G100" s="71">
        <v>77.2</v>
      </c>
      <c r="H100" s="70">
        <v>866</v>
      </c>
      <c r="I100" s="71">
        <v>326</v>
      </c>
      <c r="J100" s="70">
        <v>35.200000000000003</v>
      </c>
      <c r="K100" s="71">
        <v>554</v>
      </c>
      <c r="L100" s="70">
        <v>199</v>
      </c>
      <c r="M100" s="71">
        <v>21.5</v>
      </c>
      <c r="N100" s="70">
        <v>220</v>
      </c>
      <c r="O100" s="71">
        <v>20</v>
      </c>
      <c r="P100" s="70">
        <v>11.75</v>
      </c>
      <c r="Q100" s="71" t="s">
        <v>122</v>
      </c>
      <c r="R100" s="70" t="s">
        <v>122</v>
      </c>
      <c r="S100" s="71" t="s">
        <v>122</v>
      </c>
      <c r="T100" s="70">
        <v>1677</v>
      </c>
      <c r="U100" s="71">
        <v>1617</v>
      </c>
      <c r="V100" s="70">
        <v>102.2</v>
      </c>
      <c r="W100" s="71">
        <v>330</v>
      </c>
      <c r="X100" s="70" t="s">
        <v>122</v>
      </c>
      <c r="Y100" s="71">
        <v>13.2</v>
      </c>
      <c r="Z100" s="70">
        <v>372</v>
      </c>
      <c r="AA100" s="71">
        <v>90</v>
      </c>
      <c r="AB100" s="70">
        <v>14.35</v>
      </c>
      <c r="AC100" s="71" t="s">
        <v>122</v>
      </c>
      <c r="AD100" s="70" t="s">
        <v>122</v>
      </c>
      <c r="AE100" s="71" t="s">
        <v>122</v>
      </c>
      <c r="AF100" s="70">
        <v>1577</v>
      </c>
      <c r="AG100" s="71">
        <v>1067</v>
      </c>
      <c r="AH100" s="70">
        <v>66.680999999999997</v>
      </c>
      <c r="AI100" s="71">
        <v>130</v>
      </c>
      <c r="AJ100" s="70" t="s">
        <v>122</v>
      </c>
      <c r="AK100" s="71">
        <v>6.3</v>
      </c>
      <c r="AL100" s="70">
        <v>545</v>
      </c>
      <c r="AM100" s="71">
        <v>375</v>
      </c>
      <c r="AN100" s="70">
        <v>7.9690000000000003</v>
      </c>
      <c r="AO100" s="71">
        <v>40</v>
      </c>
      <c r="AP100" s="70" t="s">
        <v>122</v>
      </c>
      <c r="AQ100" s="71">
        <v>0.9</v>
      </c>
      <c r="AR100" s="70" t="s">
        <v>122</v>
      </c>
      <c r="AS100" s="71" t="s">
        <v>122</v>
      </c>
      <c r="AT100" s="70" t="s">
        <v>122</v>
      </c>
      <c r="AU100" s="71">
        <v>30</v>
      </c>
      <c r="AV100" s="70">
        <v>30</v>
      </c>
      <c r="AW100" s="71">
        <v>1.45</v>
      </c>
      <c r="AX100" s="70">
        <v>68456</v>
      </c>
      <c r="AY100" s="71">
        <v>64156</v>
      </c>
      <c r="AZ100" s="70">
        <v>25.92</v>
      </c>
      <c r="BA100" s="84">
        <v>594.17999999999995</v>
      </c>
      <c r="BB100" s="80" t="s">
        <v>101</v>
      </c>
      <c r="BC100" s="64"/>
      <c r="BD100" s="64"/>
    </row>
    <row r="101" spans="1:56" x14ac:dyDescent="0.3">
      <c r="A101" s="63" t="s">
        <v>183</v>
      </c>
      <c r="B101" s="72">
        <v>16068</v>
      </c>
      <c r="C101" s="71">
        <v>15205</v>
      </c>
      <c r="D101" s="70">
        <v>881.17</v>
      </c>
      <c r="E101" s="71">
        <v>74130</v>
      </c>
      <c r="F101" s="70">
        <v>72323</v>
      </c>
      <c r="G101" s="71">
        <v>4732.6139999999996</v>
      </c>
      <c r="H101" s="70">
        <v>7441</v>
      </c>
      <c r="I101" s="71">
        <v>6917</v>
      </c>
      <c r="J101" s="70">
        <v>437.9</v>
      </c>
      <c r="K101" s="71">
        <v>1179</v>
      </c>
      <c r="L101" s="70">
        <v>1162</v>
      </c>
      <c r="M101" s="71">
        <v>54.43</v>
      </c>
      <c r="N101" s="70">
        <v>6731</v>
      </c>
      <c r="O101" s="71">
        <v>6592</v>
      </c>
      <c r="P101" s="70">
        <v>278.12</v>
      </c>
      <c r="Q101" s="71" t="s">
        <v>122</v>
      </c>
      <c r="R101" s="70" t="s">
        <v>122</v>
      </c>
      <c r="S101" s="71" t="s">
        <v>122</v>
      </c>
      <c r="T101" s="70">
        <v>16950</v>
      </c>
      <c r="U101" s="71">
        <v>16582</v>
      </c>
      <c r="V101" s="70">
        <v>759.49</v>
      </c>
      <c r="W101" s="71">
        <v>19530</v>
      </c>
      <c r="X101" s="70">
        <v>18866</v>
      </c>
      <c r="Y101" s="71">
        <v>688.42</v>
      </c>
      <c r="Z101" s="70">
        <v>3669</v>
      </c>
      <c r="AA101" s="71">
        <v>3551</v>
      </c>
      <c r="AB101" s="70">
        <v>126.735</v>
      </c>
      <c r="AC101" s="71">
        <v>115</v>
      </c>
      <c r="AD101" s="70">
        <v>105</v>
      </c>
      <c r="AE101" s="71">
        <v>4.2750000000000004</v>
      </c>
      <c r="AF101" s="70">
        <v>796</v>
      </c>
      <c r="AG101" s="71">
        <v>745</v>
      </c>
      <c r="AH101" s="70">
        <v>33.47</v>
      </c>
      <c r="AI101" s="71" t="s">
        <v>122</v>
      </c>
      <c r="AJ101" s="70" t="s">
        <v>122</v>
      </c>
      <c r="AK101" s="71" t="s">
        <v>122</v>
      </c>
      <c r="AL101" s="70">
        <v>386</v>
      </c>
      <c r="AM101" s="71">
        <v>372</v>
      </c>
      <c r="AN101" s="70">
        <v>5.2489999999999997</v>
      </c>
      <c r="AO101" s="71">
        <v>612</v>
      </c>
      <c r="AP101" s="70">
        <v>581</v>
      </c>
      <c r="AQ101" s="71">
        <v>9.75</v>
      </c>
      <c r="AR101" s="70" t="s">
        <v>122</v>
      </c>
      <c r="AS101" s="71" t="s">
        <v>122</v>
      </c>
      <c r="AT101" s="70" t="s">
        <v>122</v>
      </c>
      <c r="AU101" s="71">
        <v>17</v>
      </c>
      <c r="AV101" s="70">
        <v>17</v>
      </c>
      <c r="AW101" s="71">
        <v>0.32</v>
      </c>
      <c r="AX101" s="70">
        <v>1022859</v>
      </c>
      <c r="AY101" s="71">
        <v>1022849</v>
      </c>
      <c r="AZ101" s="70">
        <v>1234.902</v>
      </c>
      <c r="BA101" s="84">
        <v>36923.839999999997</v>
      </c>
      <c r="BB101" s="80" t="s">
        <v>102</v>
      </c>
      <c r="BC101" s="64"/>
      <c r="BD101" s="64"/>
    </row>
    <row r="102" spans="1:56" x14ac:dyDescent="0.3">
      <c r="A102" s="63" t="s">
        <v>184</v>
      </c>
      <c r="B102" s="72">
        <v>1391</v>
      </c>
      <c r="C102" s="71">
        <v>390</v>
      </c>
      <c r="D102" s="70">
        <v>25.305</v>
      </c>
      <c r="E102" s="71">
        <v>761</v>
      </c>
      <c r="F102" s="70">
        <v>375</v>
      </c>
      <c r="G102" s="71">
        <v>21.18</v>
      </c>
      <c r="H102" s="70">
        <v>595</v>
      </c>
      <c r="I102" s="71">
        <v>303</v>
      </c>
      <c r="J102" s="70">
        <v>10.46</v>
      </c>
      <c r="K102" s="71">
        <v>34</v>
      </c>
      <c r="L102" s="70" t="s">
        <v>122</v>
      </c>
      <c r="M102" s="71">
        <v>0.36</v>
      </c>
      <c r="N102" s="70">
        <v>12</v>
      </c>
      <c r="O102" s="71" t="s">
        <v>122</v>
      </c>
      <c r="P102" s="70">
        <v>0.18</v>
      </c>
      <c r="Q102" s="71" t="s">
        <v>122</v>
      </c>
      <c r="R102" s="70" t="s">
        <v>122</v>
      </c>
      <c r="S102" s="71" t="s">
        <v>122</v>
      </c>
      <c r="T102" s="70">
        <v>43</v>
      </c>
      <c r="U102" s="71" t="s">
        <v>122</v>
      </c>
      <c r="V102" s="70">
        <v>0.8</v>
      </c>
      <c r="W102" s="71">
        <v>30</v>
      </c>
      <c r="X102" s="70" t="s">
        <v>122</v>
      </c>
      <c r="Y102" s="71">
        <v>0.33499999999999996</v>
      </c>
      <c r="Z102" s="70">
        <v>17</v>
      </c>
      <c r="AA102" s="71" t="s">
        <v>122</v>
      </c>
      <c r="AB102" s="70">
        <v>0.17</v>
      </c>
      <c r="AC102" s="71">
        <v>8</v>
      </c>
      <c r="AD102" s="70" t="s">
        <v>122</v>
      </c>
      <c r="AE102" s="71">
        <v>0.12</v>
      </c>
      <c r="AF102" s="70">
        <v>70</v>
      </c>
      <c r="AG102" s="71">
        <v>20</v>
      </c>
      <c r="AH102" s="70">
        <v>0.61</v>
      </c>
      <c r="AI102" s="71">
        <v>5</v>
      </c>
      <c r="AJ102" s="70" t="s">
        <v>122</v>
      </c>
      <c r="AK102" s="71" t="s">
        <v>122</v>
      </c>
      <c r="AL102" s="70" t="s">
        <v>122</v>
      </c>
      <c r="AM102" s="71" t="s">
        <v>122</v>
      </c>
      <c r="AN102" s="70" t="s">
        <v>122</v>
      </c>
      <c r="AO102" s="71" t="s">
        <v>122</v>
      </c>
      <c r="AP102" s="70" t="s">
        <v>122</v>
      </c>
      <c r="AQ102" s="71" t="s">
        <v>122</v>
      </c>
      <c r="AR102" s="70" t="s">
        <v>122</v>
      </c>
      <c r="AS102" s="71" t="s">
        <v>122</v>
      </c>
      <c r="AT102" s="70" t="s">
        <v>122</v>
      </c>
      <c r="AU102" s="71" t="s">
        <v>122</v>
      </c>
      <c r="AV102" s="70" t="s">
        <v>122</v>
      </c>
      <c r="AW102" s="71" t="s">
        <v>122</v>
      </c>
      <c r="AX102" s="70">
        <v>37332</v>
      </c>
      <c r="AY102" s="71">
        <v>11250</v>
      </c>
      <c r="AZ102" s="70" t="s">
        <v>122</v>
      </c>
      <c r="BA102" s="84">
        <v>157.84</v>
      </c>
      <c r="BB102" s="80" t="s">
        <v>103</v>
      </c>
      <c r="BC102" s="64"/>
      <c r="BD102" s="64"/>
    </row>
    <row r="103" spans="1:56" x14ac:dyDescent="0.3">
      <c r="A103" s="108" t="s">
        <v>104</v>
      </c>
      <c r="B103" s="109">
        <f t="shared" ref="B103:J103" si="58">SUM(B105:B108)</f>
        <v>175760</v>
      </c>
      <c r="C103" s="90">
        <f t="shared" si="58"/>
        <v>114600</v>
      </c>
      <c r="D103" s="90">
        <f t="shared" si="58"/>
        <v>6539.5380000000005</v>
      </c>
      <c r="E103" s="90">
        <f t="shared" si="58"/>
        <v>797612</v>
      </c>
      <c r="F103" s="90">
        <f t="shared" si="58"/>
        <v>714891</v>
      </c>
      <c r="G103" s="90">
        <f>SUM(G105:G108)</f>
        <v>35342.654000000002</v>
      </c>
      <c r="H103" s="90">
        <f t="shared" si="58"/>
        <v>146725</v>
      </c>
      <c r="I103" s="90">
        <f t="shared" si="58"/>
        <v>83888</v>
      </c>
      <c r="J103" s="90">
        <f t="shared" si="58"/>
        <v>4211.5339999999997</v>
      </c>
      <c r="K103" s="90">
        <f>SUM(K105:K108)</f>
        <v>73611</v>
      </c>
      <c r="L103" s="90">
        <f>SUM(L105:L108)</f>
        <v>29696</v>
      </c>
      <c r="M103" s="90">
        <f>SUM(M105:M108)</f>
        <v>1721.6480000000001</v>
      </c>
      <c r="N103" s="90">
        <f>SUM(N105:N108)</f>
        <v>143401</v>
      </c>
      <c r="O103" s="90">
        <f t="shared" ref="O103:AE103" si="59">SUM(O105:O108)</f>
        <v>108922</v>
      </c>
      <c r="P103" s="90">
        <f t="shared" si="59"/>
        <v>4842.7529999999997</v>
      </c>
      <c r="Q103" s="90">
        <f t="shared" ref="Q103:V103" si="60">SUM(Q105:Q108)</f>
        <v>11408</v>
      </c>
      <c r="R103" s="90">
        <f t="shared" si="60"/>
        <v>10165</v>
      </c>
      <c r="S103" s="90">
        <f t="shared" si="60"/>
        <v>402.02200000000005</v>
      </c>
      <c r="T103" s="90">
        <f t="shared" si="60"/>
        <v>68273</v>
      </c>
      <c r="U103" s="90">
        <f t="shared" si="60"/>
        <v>46930</v>
      </c>
      <c r="V103" s="90">
        <f t="shared" si="60"/>
        <v>2034.3550000000002</v>
      </c>
      <c r="W103" s="90">
        <f t="shared" si="59"/>
        <v>27069</v>
      </c>
      <c r="X103" s="90">
        <f t="shared" si="59"/>
        <v>10405</v>
      </c>
      <c r="Y103" s="90">
        <f t="shared" si="59"/>
        <v>745.92900000000009</v>
      </c>
      <c r="Z103" s="96">
        <f t="shared" si="59"/>
        <v>31933</v>
      </c>
      <c r="AA103" s="90">
        <f t="shared" si="59"/>
        <v>11683</v>
      </c>
      <c r="AB103" s="90">
        <f t="shared" si="59"/>
        <v>856.39499999999998</v>
      </c>
      <c r="AC103" s="90">
        <f t="shared" si="59"/>
        <v>20599</v>
      </c>
      <c r="AD103" s="90">
        <f t="shared" si="59"/>
        <v>14162</v>
      </c>
      <c r="AE103" s="90">
        <f t="shared" si="59"/>
        <v>349.87600000000003</v>
      </c>
      <c r="AF103" s="90">
        <f>SUM(AF105:AF108)</f>
        <v>52503</v>
      </c>
      <c r="AG103" s="90">
        <f t="shared" ref="AG103:AQ103" si="61">SUM(AG105:AG108)</f>
        <v>12235</v>
      </c>
      <c r="AH103" s="90">
        <f t="shared" si="61"/>
        <v>1915.904</v>
      </c>
      <c r="AI103" s="90">
        <f t="shared" si="61"/>
        <v>413</v>
      </c>
      <c r="AJ103" s="90">
        <f t="shared" si="61"/>
        <v>190</v>
      </c>
      <c r="AK103" s="90">
        <f t="shared" si="61"/>
        <v>7.3350000000000009</v>
      </c>
      <c r="AL103" s="90">
        <f t="shared" si="61"/>
        <v>51081</v>
      </c>
      <c r="AM103" s="90">
        <f t="shared" si="61"/>
        <v>9051</v>
      </c>
      <c r="AN103" s="90">
        <f t="shared" si="61"/>
        <v>898.80399999999997</v>
      </c>
      <c r="AO103" s="90">
        <f t="shared" si="61"/>
        <v>96870</v>
      </c>
      <c r="AP103" s="90">
        <f t="shared" si="61"/>
        <v>60783</v>
      </c>
      <c r="AQ103" s="90">
        <f t="shared" si="61"/>
        <v>2450.5509999999999</v>
      </c>
      <c r="AR103" s="90">
        <f>SUM(AR105:AR108)</f>
        <v>63090</v>
      </c>
      <c r="AS103" s="90">
        <f t="shared" ref="AS103:BA103" si="62">SUM(AS105:AS108)</f>
        <v>42743</v>
      </c>
      <c r="AT103" s="90">
        <f t="shared" si="62"/>
        <v>1692.0269999999998</v>
      </c>
      <c r="AU103" s="90">
        <f t="shared" si="62"/>
        <v>2336</v>
      </c>
      <c r="AV103" s="90">
        <f t="shared" si="62"/>
        <v>1937</v>
      </c>
      <c r="AW103" s="90">
        <f t="shared" si="62"/>
        <v>99.051000000000002</v>
      </c>
      <c r="AX103" s="90">
        <f t="shared" si="62"/>
        <v>37167101</v>
      </c>
      <c r="AY103" s="90">
        <f t="shared" si="62"/>
        <v>36708536</v>
      </c>
      <c r="AZ103" s="90">
        <f t="shared" si="62"/>
        <v>2578.0940000000001</v>
      </c>
      <c r="BA103" s="91">
        <f t="shared" si="62"/>
        <v>412864.39199999999</v>
      </c>
      <c r="BB103" s="116" t="s">
        <v>105</v>
      </c>
      <c r="BC103" s="117"/>
      <c r="BD103" s="117"/>
    </row>
    <row r="104" spans="1:56" x14ac:dyDescent="0.3">
      <c r="A104" s="108"/>
      <c r="B104" s="109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6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1"/>
      <c r="BB104" s="116"/>
      <c r="BC104" s="117"/>
      <c r="BD104" s="117"/>
    </row>
    <row r="105" spans="1:56" x14ac:dyDescent="0.3">
      <c r="A105" s="63" t="s">
        <v>185</v>
      </c>
      <c r="B105" s="72">
        <v>50203</v>
      </c>
      <c r="C105" s="71">
        <v>32086</v>
      </c>
      <c r="D105" s="70">
        <v>2039.51</v>
      </c>
      <c r="E105" s="71">
        <v>70451</v>
      </c>
      <c r="F105" s="70">
        <v>52288</v>
      </c>
      <c r="G105" s="71">
        <v>2674.893</v>
      </c>
      <c r="H105" s="70">
        <v>23377</v>
      </c>
      <c r="I105" s="71">
        <v>9481</v>
      </c>
      <c r="J105" s="70">
        <v>750.61</v>
      </c>
      <c r="K105" s="71">
        <v>30839</v>
      </c>
      <c r="L105" s="70">
        <v>19315</v>
      </c>
      <c r="M105" s="71">
        <v>911.85500000000002</v>
      </c>
      <c r="N105" s="70">
        <v>69640</v>
      </c>
      <c r="O105" s="71">
        <v>50282</v>
      </c>
      <c r="P105" s="70">
        <v>2793.694</v>
      </c>
      <c r="Q105" s="71">
        <v>245</v>
      </c>
      <c r="R105" s="70" t="s">
        <v>122</v>
      </c>
      <c r="S105" s="71">
        <v>7.87</v>
      </c>
      <c r="T105" s="70">
        <v>37998</v>
      </c>
      <c r="U105" s="71">
        <v>27974</v>
      </c>
      <c r="V105" s="70">
        <v>1415.5150000000001</v>
      </c>
      <c r="W105" s="71">
        <v>13813</v>
      </c>
      <c r="X105" s="70">
        <v>5788</v>
      </c>
      <c r="Y105" s="71">
        <v>500.66499999999996</v>
      </c>
      <c r="Z105" s="70">
        <v>17181</v>
      </c>
      <c r="AA105" s="71">
        <v>9299</v>
      </c>
      <c r="AB105" s="70">
        <v>594.76499999999999</v>
      </c>
      <c r="AC105" s="71">
        <v>2999</v>
      </c>
      <c r="AD105" s="70">
        <v>1343</v>
      </c>
      <c r="AE105" s="71">
        <v>117.78</v>
      </c>
      <c r="AF105" s="70">
        <v>14577</v>
      </c>
      <c r="AG105" s="71">
        <v>4031</v>
      </c>
      <c r="AH105" s="70">
        <v>270.88</v>
      </c>
      <c r="AI105" s="71">
        <v>143</v>
      </c>
      <c r="AJ105" s="70">
        <v>10</v>
      </c>
      <c r="AK105" s="71">
        <v>1.675</v>
      </c>
      <c r="AL105" s="70">
        <v>15056</v>
      </c>
      <c r="AM105" s="71">
        <v>3547</v>
      </c>
      <c r="AN105" s="70">
        <v>538.87</v>
      </c>
      <c r="AO105" s="71">
        <v>29178</v>
      </c>
      <c r="AP105" s="70">
        <v>16749</v>
      </c>
      <c r="AQ105" s="71">
        <v>1184.9829999999999</v>
      </c>
      <c r="AR105" s="70">
        <v>385</v>
      </c>
      <c r="AS105" s="71">
        <v>25</v>
      </c>
      <c r="AT105" s="70">
        <v>9.1449999999999996</v>
      </c>
      <c r="AU105" s="71">
        <v>2042</v>
      </c>
      <c r="AV105" s="70">
        <v>1657</v>
      </c>
      <c r="AW105" s="71">
        <v>97.21</v>
      </c>
      <c r="AX105" s="70">
        <v>18107257</v>
      </c>
      <c r="AY105" s="71">
        <v>18054354</v>
      </c>
      <c r="AZ105" s="70">
        <v>1016.847</v>
      </c>
      <c r="BA105" s="84">
        <v>112631.66800000001</v>
      </c>
      <c r="BB105" s="80" t="s">
        <v>106</v>
      </c>
      <c r="BC105" s="64"/>
      <c r="BD105" s="64"/>
    </row>
    <row r="106" spans="1:56" x14ac:dyDescent="0.3">
      <c r="A106" s="63" t="s">
        <v>186</v>
      </c>
      <c r="B106" s="72">
        <v>11467</v>
      </c>
      <c r="C106" s="71">
        <v>3293</v>
      </c>
      <c r="D106" s="70">
        <v>329.755</v>
      </c>
      <c r="E106" s="71">
        <v>18053</v>
      </c>
      <c r="F106" s="70">
        <v>9365</v>
      </c>
      <c r="G106" s="71">
        <v>592.19500000000005</v>
      </c>
      <c r="H106" s="70">
        <v>7988</v>
      </c>
      <c r="I106" s="71">
        <v>1938</v>
      </c>
      <c r="J106" s="70">
        <v>226.38300000000001</v>
      </c>
      <c r="K106" s="71">
        <v>7733</v>
      </c>
      <c r="L106" s="70">
        <v>2067</v>
      </c>
      <c r="M106" s="71">
        <v>182.434</v>
      </c>
      <c r="N106" s="70">
        <v>20078</v>
      </c>
      <c r="O106" s="71">
        <v>12828</v>
      </c>
      <c r="P106" s="70">
        <v>559.93299999999999</v>
      </c>
      <c r="Q106" s="71">
        <v>20</v>
      </c>
      <c r="R106" s="70">
        <v>20</v>
      </c>
      <c r="S106" s="71">
        <v>0.8</v>
      </c>
      <c r="T106" s="70">
        <v>9316</v>
      </c>
      <c r="U106" s="71">
        <v>4474</v>
      </c>
      <c r="V106" s="70">
        <v>239.036</v>
      </c>
      <c r="W106" s="71">
        <v>1575</v>
      </c>
      <c r="X106" s="70">
        <v>200</v>
      </c>
      <c r="Y106" s="71">
        <v>15.113</v>
      </c>
      <c r="Z106" s="70">
        <v>2216</v>
      </c>
      <c r="AA106" s="71">
        <v>345</v>
      </c>
      <c r="AB106" s="70">
        <v>34.917999999999999</v>
      </c>
      <c r="AC106" s="71">
        <v>561</v>
      </c>
      <c r="AD106" s="70">
        <v>347</v>
      </c>
      <c r="AE106" s="71">
        <v>9.0250000000000004</v>
      </c>
      <c r="AF106" s="70">
        <v>7899</v>
      </c>
      <c r="AG106" s="71">
        <v>2394</v>
      </c>
      <c r="AH106" s="70">
        <v>148.19399999999999</v>
      </c>
      <c r="AI106" s="71">
        <v>70</v>
      </c>
      <c r="AJ106" s="70">
        <v>70</v>
      </c>
      <c r="AK106" s="71">
        <v>0.8</v>
      </c>
      <c r="AL106" s="70">
        <v>8730</v>
      </c>
      <c r="AM106" s="71">
        <v>3106</v>
      </c>
      <c r="AN106" s="70">
        <v>105.20699999999999</v>
      </c>
      <c r="AO106" s="71">
        <v>6403</v>
      </c>
      <c r="AP106" s="70">
        <v>3748</v>
      </c>
      <c r="AQ106" s="71">
        <v>348.34800000000001</v>
      </c>
      <c r="AR106" s="70">
        <v>841</v>
      </c>
      <c r="AS106" s="71">
        <v>138</v>
      </c>
      <c r="AT106" s="70">
        <v>22.895</v>
      </c>
      <c r="AU106" s="71">
        <v>18</v>
      </c>
      <c r="AV106" s="70">
        <v>10</v>
      </c>
      <c r="AW106" s="71">
        <v>0.15</v>
      </c>
      <c r="AX106" s="70">
        <v>5886881</v>
      </c>
      <c r="AY106" s="71">
        <v>5825365</v>
      </c>
      <c r="AZ106" s="70">
        <v>45.250999999999998</v>
      </c>
      <c r="BA106" s="84">
        <v>33941.733999999997</v>
      </c>
      <c r="BB106" s="80" t="s">
        <v>107</v>
      </c>
      <c r="BC106" s="64"/>
      <c r="BD106" s="64"/>
    </row>
    <row r="107" spans="1:56" x14ac:dyDescent="0.3">
      <c r="A107" s="63" t="s">
        <v>187</v>
      </c>
      <c r="B107" s="72">
        <v>19672</v>
      </c>
      <c r="C107" s="71">
        <v>10685</v>
      </c>
      <c r="D107" s="70">
        <v>506.815</v>
      </c>
      <c r="E107" s="71">
        <v>57118</v>
      </c>
      <c r="F107" s="70">
        <v>47640</v>
      </c>
      <c r="G107" s="71">
        <v>1687.64</v>
      </c>
      <c r="H107" s="70">
        <v>11925</v>
      </c>
      <c r="I107" s="71">
        <v>7393</v>
      </c>
      <c r="J107" s="70">
        <v>400.21499999999997</v>
      </c>
      <c r="K107" s="71">
        <v>7689</v>
      </c>
      <c r="L107" s="70">
        <v>3888</v>
      </c>
      <c r="M107" s="71">
        <v>97.421000000000006</v>
      </c>
      <c r="N107" s="70">
        <v>18124</v>
      </c>
      <c r="O107" s="71">
        <v>16131</v>
      </c>
      <c r="P107" s="70">
        <v>311.30099999999999</v>
      </c>
      <c r="Q107" s="71">
        <v>8690</v>
      </c>
      <c r="R107" s="70">
        <v>8660</v>
      </c>
      <c r="S107" s="71">
        <v>304.25</v>
      </c>
      <c r="T107" s="70">
        <v>15768</v>
      </c>
      <c r="U107" s="71">
        <v>11815</v>
      </c>
      <c r="V107" s="70">
        <v>236.81200000000001</v>
      </c>
      <c r="W107" s="71">
        <v>1628</v>
      </c>
      <c r="X107" s="70">
        <v>666</v>
      </c>
      <c r="Y107" s="71">
        <v>25.763999999999999</v>
      </c>
      <c r="Z107" s="70">
        <v>3652</v>
      </c>
      <c r="AA107" s="71">
        <v>913</v>
      </c>
      <c r="AB107" s="70">
        <v>49.024999999999999</v>
      </c>
      <c r="AC107" s="71">
        <v>12824</v>
      </c>
      <c r="AD107" s="70">
        <v>10969</v>
      </c>
      <c r="AE107" s="71">
        <v>75.545000000000002</v>
      </c>
      <c r="AF107" s="70">
        <v>11893</v>
      </c>
      <c r="AG107" s="71">
        <v>2785</v>
      </c>
      <c r="AH107" s="70">
        <v>1088.81</v>
      </c>
      <c r="AI107" s="71" t="s">
        <v>122</v>
      </c>
      <c r="AJ107" s="70" t="s">
        <v>122</v>
      </c>
      <c r="AK107" s="71" t="s">
        <v>122</v>
      </c>
      <c r="AL107" s="70">
        <v>4658</v>
      </c>
      <c r="AM107" s="71">
        <v>1213</v>
      </c>
      <c r="AN107" s="70">
        <v>47.481999999999999</v>
      </c>
      <c r="AO107" s="71">
        <v>40989</v>
      </c>
      <c r="AP107" s="70">
        <v>33652</v>
      </c>
      <c r="AQ107" s="71">
        <v>444.15899999999999</v>
      </c>
      <c r="AR107" s="70">
        <v>1543</v>
      </c>
      <c r="AS107" s="71">
        <v>905</v>
      </c>
      <c r="AT107" s="70">
        <v>16.675000000000001</v>
      </c>
      <c r="AU107" s="71">
        <v>235</v>
      </c>
      <c r="AV107" s="70">
        <v>235</v>
      </c>
      <c r="AW107" s="71">
        <v>1.48</v>
      </c>
      <c r="AX107" s="70">
        <v>5631814</v>
      </c>
      <c r="AY107" s="71">
        <v>5595750</v>
      </c>
      <c r="AZ107" s="70">
        <v>755.15499999999997</v>
      </c>
      <c r="BA107" s="84">
        <v>82870.316999999995</v>
      </c>
      <c r="BB107" s="80" t="s">
        <v>108</v>
      </c>
      <c r="BC107" s="64"/>
      <c r="BD107" s="64"/>
    </row>
    <row r="108" spans="1:56" ht="15" thickBot="1" x14ac:dyDescent="0.35">
      <c r="A108" s="67" t="s">
        <v>188</v>
      </c>
      <c r="B108" s="73">
        <v>94418</v>
      </c>
      <c r="C108" s="74">
        <v>68536</v>
      </c>
      <c r="D108" s="75">
        <v>3663.4580000000001</v>
      </c>
      <c r="E108" s="74">
        <v>651990</v>
      </c>
      <c r="F108" s="75">
        <v>605598</v>
      </c>
      <c r="G108" s="74">
        <v>30387.925999999999</v>
      </c>
      <c r="H108" s="75">
        <v>103435</v>
      </c>
      <c r="I108" s="74">
        <v>65076</v>
      </c>
      <c r="J108" s="75">
        <v>2834.326</v>
      </c>
      <c r="K108" s="74">
        <v>27350</v>
      </c>
      <c r="L108" s="75">
        <v>4426</v>
      </c>
      <c r="M108" s="74">
        <v>529.93799999999999</v>
      </c>
      <c r="N108" s="75">
        <v>35559</v>
      </c>
      <c r="O108" s="74">
        <v>29681</v>
      </c>
      <c r="P108" s="75">
        <v>1177.825</v>
      </c>
      <c r="Q108" s="74">
        <v>2453</v>
      </c>
      <c r="R108" s="75">
        <v>1485</v>
      </c>
      <c r="S108" s="74">
        <v>89.102000000000004</v>
      </c>
      <c r="T108" s="75">
        <v>5191</v>
      </c>
      <c r="U108" s="74">
        <v>2667</v>
      </c>
      <c r="V108" s="75">
        <v>142.99199999999999</v>
      </c>
      <c r="W108" s="74">
        <v>10053</v>
      </c>
      <c r="X108" s="75">
        <v>3751</v>
      </c>
      <c r="Y108" s="74">
        <v>204.387</v>
      </c>
      <c r="Z108" s="75">
        <v>8884</v>
      </c>
      <c r="AA108" s="74">
        <v>1126</v>
      </c>
      <c r="AB108" s="75">
        <v>177.68700000000001</v>
      </c>
      <c r="AC108" s="74">
        <v>4215</v>
      </c>
      <c r="AD108" s="75">
        <v>1503</v>
      </c>
      <c r="AE108" s="74">
        <v>147.52600000000001</v>
      </c>
      <c r="AF108" s="75">
        <v>18134</v>
      </c>
      <c r="AG108" s="74">
        <v>3025</v>
      </c>
      <c r="AH108" s="75">
        <v>408.02</v>
      </c>
      <c r="AI108" s="74">
        <v>200</v>
      </c>
      <c r="AJ108" s="75">
        <v>110</v>
      </c>
      <c r="AK108" s="74">
        <v>4.8600000000000003</v>
      </c>
      <c r="AL108" s="75">
        <v>22637</v>
      </c>
      <c r="AM108" s="74">
        <v>1185</v>
      </c>
      <c r="AN108" s="75">
        <v>207.245</v>
      </c>
      <c r="AO108" s="74">
        <v>20300</v>
      </c>
      <c r="AP108" s="75">
        <v>6634</v>
      </c>
      <c r="AQ108" s="74">
        <v>473.06099999999998</v>
      </c>
      <c r="AR108" s="75">
        <v>60321</v>
      </c>
      <c r="AS108" s="74">
        <v>41675</v>
      </c>
      <c r="AT108" s="75">
        <v>1643.3119999999999</v>
      </c>
      <c r="AU108" s="74">
        <v>41</v>
      </c>
      <c r="AV108" s="75">
        <v>35</v>
      </c>
      <c r="AW108" s="74">
        <v>0.21099999999999999</v>
      </c>
      <c r="AX108" s="75">
        <v>7541149</v>
      </c>
      <c r="AY108" s="74">
        <v>7233067</v>
      </c>
      <c r="AZ108" s="75">
        <v>760.84100000000001</v>
      </c>
      <c r="BA108" s="85">
        <v>183420.67300000001</v>
      </c>
      <c r="BB108" s="82" t="s">
        <v>109</v>
      </c>
      <c r="BC108" s="83"/>
      <c r="BD108" s="83"/>
    </row>
    <row r="109" spans="1:56" x14ac:dyDescent="0.3">
      <c r="A109" s="68" t="s">
        <v>110</v>
      </c>
      <c r="AZ109" s="68" t="s">
        <v>111</v>
      </c>
    </row>
    <row r="110" spans="1:56" x14ac:dyDescent="0.3">
      <c r="A110" s="69" t="s">
        <v>112</v>
      </c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9" t="s">
        <v>113</v>
      </c>
      <c r="BA110" s="68"/>
    </row>
    <row r="111" spans="1:56" x14ac:dyDescent="0.3">
      <c r="A111" s="69" t="s">
        <v>116</v>
      </c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 t="s">
        <v>117</v>
      </c>
      <c r="BA111" s="69"/>
    </row>
    <row r="112" spans="1:56" x14ac:dyDescent="0.3"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</row>
  </sheetData>
  <mergeCells count="741">
    <mergeCell ref="AU6:AW6"/>
    <mergeCell ref="AX6:BA6"/>
    <mergeCell ref="T6:V6"/>
    <mergeCell ref="W6:Y6"/>
    <mergeCell ref="Z6:AB6"/>
    <mergeCell ref="AC6:AE6"/>
    <mergeCell ref="AF6:AH6"/>
    <mergeCell ref="AI6:AK6"/>
    <mergeCell ref="AL6:AN6"/>
    <mergeCell ref="AO6:AQ6"/>
    <mergeCell ref="AR6:AT6"/>
    <mergeCell ref="AX5:BA5"/>
    <mergeCell ref="AU5:AW5"/>
    <mergeCell ref="AR5:AT5"/>
    <mergeCell ref="AO5:AQ5"/>
    <mergeCell ref="AL5:AN5"/>
    <mergeCell ref="AI5:AK5"/>
    <mergeCell ref="AF5:AH5"/>
    <mergeCell ref="AC5:AE5"/>
    <mergeCell ref="Z5:AB5"/>
    <mergeCell ref="AQ103:AQ104"/>
    <mergeCell ref="AE103:AE104"/>
    <mergeCell ref="A2:X2"/>
    <mergeCell ref="A3:W3"/>
    <mergeCell ref="M103:M104"/>
    <mergeCell ref="BB103:BD104"/>
    <mergeCell ref="G103:G104"/>
    <mergeCell ref="H103:H104"/>
    <mergeCell ref="I103:I104"/>
    <mergeCell ref="J103:J104"/>
    <mergeCell ref="K103:K104"/>
    <mergeCell ref="L103:L104"/>
    <mergeCell ref="AB103:AB104"/>
    <mergeCell ref="AC103:AC104"/>
    <mergeCell ref="AF103:AF104"/>
    <mergeCell ref="AG103:AG104"/>
    <mergeCell ref="AH103:AH104"/>
    <mergeCell ref="AI103:AI104"/>
    <mergeCell ref="AJ103:AJ104"/>
    <mergeCell ref="AK103:AK104"/>
    <mergeCell ref="AL103:AL104"/>
    <mergeCell ref="AM103:AM104"/>
    <mergeCell ref="AN103:AN104"/>
    <mergeCell ref="AO103:AO104"/>
    <mergeCell ref="AP103:AP104"/>
    <mergeCell ref="W103:W104"/>
    <mergeCell ref="X103:X104"/>
    <mergeCell ref="Y103:Y104"/>
    <mergeCell ref="Z103:Z104"/>
    <mergeCell ref="AA103:AA104"/>
    <mergeCell ref="AD103:AD104"/>
    <mergeCell ref="Q103:Q104"/>
    <mergeCell ref="R103:R104"/>
    <mergeCell ref="S103:S104"/>
    <mergeCell ref="T103:T104"/>
    <mergeCell ref="U103:U104"/>
    <mergeCell ref="V103:V104"/>
    <mergeCell ref="A103:A104"/>
    <mergeCell ref="B103:B104"/>
    <mergeCell ref="C103:C104"/>
    <mergeCell ref="D103:D104"/>
    <mergeCell ref="E103:E104"/>
    <mergeCell ref="F103:F104"/>
    <mergeCell ref="N103:N104"/>
    <mergeCell ref="O103:O104"/>
    <mergeCell ref="P103:P104"/>
    <mergeCell ref="I88:I89"/>
    <mergeCell ref="J88:J89"/>
    <mergeCell ref="K88:K89"/>
    <mergeCell ref="A88:A89"/>
    <mergeCell ref="B88:B89"/>
    <mergeCell ref="C88:C89"/>
    <mergeCell ref="D88:D89"/>
    <mergeCell ref="E88:E89"/>
    <mergeCell ref="F88:F89"/>
    <mergeCell ref="G88:G89"/>
    <mergeCell ref="H88:H89"/>
    <mergeCell ref="L88:L89"/>
    <mergeCell ref="M88:M89"/>
    <mergeCell ref="Y88:Y89"/>
    <mergeCell ref="AD88:AD89"/>
    <mergeCell ref="AE88:AE89"/>
    <mergeCell ref="BB88:BD89"/>
    <mergeCell ref="Z88:Z89"/>
    <mergeCell ref="AA88:AA89"/>
    <mergeCell ref="AB88:AB89"/>
    <mergeCell ref="AC88:AC89"/>
    <mergeCell ref="N88:N89"/>
    <mergeCell ref="O88:O89"/>
    <mergeCell ref="P88:P89"/>
    <mergeCell ref="W88:W89"/>
    <mergeCell ref="X88:X89"/>
    <mergeCell ref="AR88:AR89"/>
    <mergeCell ref="AS88:AS89"/>
    <mergeCell ref="AT88:AT89"/>
    <mergeCell ref="S88:S89"/>
    <mergeCell ref="T88:T89"/>
    <mergeCell ref="U88:U89"/>
    <mergeCell ref="V88:V89"/>
    <mergeCell ref="AF88:AF89"/>
    <mergeCell ref="AG88:AG89"/>
    <mergeCell ref="M81:M82"/>
    <mergeCell ref="BB81:BD82"/>
    <mergeCell ref="N81:N82"/>
    <mergeCell ref="O81:O82"/>
    <mergeCell ref="P81:P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N81:AN82"/>
    <mergeCell ref="AR81:AR82"/>
    <mergeCell ref="AS81:AS82"/>
    <mergeCell ref="AT81:AT82"/>
    <mergeCell ref="AU81:AU82"/>
    <mergeCell ref="AV81:AV82"/>
    <mergeCell ref="AW81:AW82"/>
    <mergeCell ref="AX81:AX82"/>
    <mergeCell ref="BA81:BA82"/>
    <mergeCell ref="AY81:AY82"/>
    <mergeCell ref="G81:G82"/>
    <mergeCell ref="H81:H82"/>
    <mergeCell ref="I81:I82"/>
    <mergeCell ref="J81:J82"/>
    <mergeCell ref="K81:K82"/>
    <mergeCell ref="L81:L82"/>
    <mergeCell ref="A81:A82"/>
    <mergeCell ref="B81:B82"/>
    <mergeCell ref="C81:C82"/>
    <mergeCell ref="D81:D82"/>
    <mergeCell ref="E81:E82"/>
    <mergeCell ref="F81:F82"/>
    <mergeCell ref="I71:I72"/>
    <mergeCell ref="J71:J72"/>
    <mergeCell ref="K71:K72"/>
    <mergeCell ref="L71:L72"/>
    <mergeCell ref="M71:M72"/>
    <mergeCell ref="BB71:BD72"/>
    <mergeCell ref="Z71:Z72"/>
    <mergeCell ref="AA71:AA72"/>
    <mergeCell ref="AB71:AB72"/>
    <mergeCell ref="AC71:AC72"/>
    <mergeCell ref="N71:N72"/>
    <mergeCell ref="O71:O72"/>
    <mergeCell ref="P71:P72"/>
    <mergeCell ref="W71:W72"/>
    <mergeCell ref="X71:X72"/>
    <mergeCell ref="Y71:Y72"/>
    <mergeCell ref="AD71:AD72"/>
    <mergeCell ref="AE71:AE72"/>
    <mergeCell ref="Q71:Q72"/>
    <mergeCell ref="R71:R72"/>
    <mergeCell ref="S71:S72"/>
    <mergeCell ref="T71:T72"/>
    <mergeCell ref="U71:U72"/>
    <mergeCell ref="V71:V72"/>
    <mergeCell ref="M64:M65"/>
    <mergeCell ref="BB64:BD65"/>
    <mergeCell ref="A71:A72"/>
    <mergeCell ref="B71:B72"/>
    <mergeCell ref="C71:C72"/>
    <mergeCell ref="D71:D72"/>
    <mergeCell ref="E71:E72"/>
    <mergeCell ref="F71:F72"/>
    <mergeCell ref="G71:G72"/>
    <mergeCell ref="H71:H72"/>
    <mergeCell ref="G64:G65"/>
    <mergeCell ref="H64:H65"/>
    <mergeCell ref="I64:I65"/>
    <mergeCell ref="J64:J65"/>
    <mergeCell ref="K64:K65"/>
    <mergeCell ref="L64:L65"/>
    <mergeCell ref="A64:A65"/>
    <mergeCell ref="B64:B65"/>
    <mergeCell ref="C64:C65"/>
    <mergeCell ref="D64:D65"/>
    <mergeCell ref="E64:E65"/>
    <mergeCell ref="F64:F65"/>
    <mergeCell ref="N64:N65"/>
    <mergeCell ref="O64:O65"/>
    <mergeCell ref="I59:I60"/>
    <mergeCell ref="J59:J60"/>
    <mergeCell ref="K59:K60"/>
    <mergeCell ref="L59:L60"/>
    <mergeCell ref="M59:M60"/>
    <mergeCell ref="BB59:BD60"/>
    <mergeCell ref="Z59:Z60"/>
    <mergeCell ref="AA59:AA60"/>
    <mergeCell ref="AB59:AB60"/>
    <mergeCell ref="AC59:AC60"/>
    <mergeCell ref="N59:N60"/>
    <mergeCell ref="O59:O60"/>
    <mergeCell ref="P59:P60"/>
    <mergeCell ref="W59:W60"/>
    <mergeCell ref="X59:X60"/>
    <mergeCell ref="Y59:Y60"/>
    <mergeCell ref="AD59:AD60"/>
    <mergeCell ref="AE59:AE60"/>
    <mergeCell ref="Q59:Q60"/>
    <mergeCell ref="R59:R60"/>
    <mergeCell ref="S59:S60"/>
    <mergeCell ref="T59:T60"/>
    <mergeCell ref="U59:U60"/>
    <mergeCell ref="V59:V60"/>
    <mergeCell ref="M52:M53"/>
    <mergeCell ref="BB52:BD53"/>
    <mergeCell ref="A59:A60"/>
    <mergeCell ref="B59:B60"/>
    <mergeCell ref="C59:C60"/>
    <mergeCell ref="D59:D60"/>
    <mergeCell ref="E59:E60"/>
    <mergeCell ref="F59:F60"/>
    <mergeCell ref="G59:G60"/>
    <mergeCell ref="H59:H60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F52:F53"/>
    <mergeCell ref="N52:N53"/>
    <mergeCell ref="O52:O53"/>
    <mergeCell ref="I45:I46"/>
    <mergeCell ref="J45:J46"/>
    <mergeCell ref="K45:K46"/>
    <mergeCell ref="L45:L46"/>
    <mergeCell ref="M45:M46"/>
    <mergeCell ref="BB45:BD46"/>
    <mergeCell ref="Z45:Z46"/>
    <mergeCell ref="AA45:AA46"/>
    <mergeCell ref="AB45:AB46"/>
    <mergeCell ref="AC45:AC46"/>
    <mergeCell ref="N45:N46"/>
    <mergeCell ref="O45:O46"/>
    <mergeCell ref="P45:P46"/>
    <mergeCell ref="W45:W46"/>
    <mergeCell ref="X45:X46"/>
    <mergeCell ref="Y45:Y46"/>
    <mergeCell ref="AD45:AD46"/>
    <mergeCell ref="AE45:AE46"/>
    <mergeCell ref="Q45:Q46"/>
    <mergeCell ref="R45:R46"/>
    <mergeCell ref="S45:S46"/>
    <mergeCell ref="T45:T46"/>
    <mergeCell ref="U45:U46"/>
    <mergeCell ref="V45:V46"/>
    <mergeCell ref="M38:M39"/>
    <mergeCell ref="BB38:BD39"/>
    <mergeCell ref="A45:A46"/>
    <mergeCell ref="B45:B46"/>
    <mergeCell ref="C45:C46"/>
    <mergeCell ref="D45:D46"/>
    <mergeCell ref="E45:E46"/>
    <mergeCell ref="F45:F46"/>
    <mergeCell ref="G45:G46"/>
    <mergeCell ref="H45:H46"/>
    <mergeCell ref="G38:G39"/>
    <mergeCell ref="H38:H39"/>
    <mergeCell ref="I38:I39"/>
    <mergeCell ref="J38:J39"/>
    <mergeCell ref="K38:K39"/>
    <mergeCell ref="L38:L39"/>
    <mergeCell ref="A38:A39"/>
    <mergeCell ref="B38:B39"/>
    <mergeCell ref="C38:C39"/>
    <mergeCell ref="D38:D39"/>
    <mergeCell ref="E38:E39"/>
    <mergeCell ref="F38:F39"/>
    <mergeCell ref="N38:N39"/>
    <mergeCell ref="O38:O39"/>
    <mergeCell ref="I32:I33"/>
    <mergeCell ref="J32:J33"/>
    <mergeCell ref="K32:K33"/>
    <mergeCell ref="L32:L33"/>
    <mergeCell ref="M32:M33"/>
    <mergeCell ref="BB32:BD33"/>
    <mergeCell ref="Z32:Z33"/>
    <mergeCell ref="AA32:AA33"/>
    <mergeCell ref="AB32:AB33"/>
    <mergeCell ref="AC32:AC33"/>
    <mergeCell ref="N32:N33"/>
    <mergeCell ref="O32:O33"/>
    <mergeCell ref="P32:P33"/>
    <mergeCell ref="W32:W33"/>
    <mergeCell ref="X32:X33"/>
    <mergeCell ref="Y32:Y33"/>
    <mergeCell ref="AD32:AD33"/>
    <mergeCell ref="AE32:AE33"/>
    <mergeCell ref="Q32:Q33"/>
    <mergeCell ref="R32:R33"/>
    <mergeCell ref="S32:S33"/>
    <mergeCell ref="T32:T33"/>
    <mergeCell ref="U32:U33"/>
    <mergeCell ref="V32:V33"/>
    <mergeCell ref="M18:M19"/>
    <mergeCell ref="BB18:BD19"/>
    <mergeCell ref="A32:A33"/>
    <mergeCell ref="B32:B33"/>
    <mergeCell ref="C32:C33"/>
    <mergeCell ref="D32:D33"/>
    <mergeCell ref="E32:E33"/>
    <mergeCell ref="F32:F33"/>
    <mergeCell ref="G32:G33"/>
    <mergeCell ref="H32:H33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N18:N19"/>
    <mergeCell ref="O18:O19"/>
    <mergeCell ref="J10:J11"/>
    <mergeCell ref="K10:K11"/>
    <mergeCell ref="L10:L11"/>
    <mergeCell ref="M10:M11"/>
    <mergeCell ref="BB10:BD11"/>
    <mergeCell ref="N10:N11"/>
    <mergeCell ref="O10:O11"/>
    <mergeCell ref="P10:P11"/>
    <mergeCell ref="W10:W11"/>
    <mergeCell ref="AM10:AM11"/>
    <mergeCell ref="AN10:AN11"/>
    <mergeCell ref="AQ10:AQ11"/>
    <mergeCell ref="AZ10:AZ11"/>
    <mergeCell ref="BA10:BA11"/>
    <mergeCell ref="AF10:AF11"/>
    <mergeCell ref="AG10:AG11"/>
    <mergeCell ref="AH10:AH11"/>
    <mergeCell ref="AI10:AI11"/>
    <mergeCell ref="AJ10:AJ11"/>
    <mergeCell ref="AK10:AK11"/>
    <mergeCell ref="AL10:AL11"/>
    <mergeCell ref="AO10:AO11"/>
    <mergeCell ref="AP10:AP11"/>
    <mergeCell ref="AY10:AY11"/>
    <mergeCell ref="BB8:BD9"/>
    <mergeCell ref="A10:A11"/>
    <mergeCell ref="B10:B11"/>
    <mergeCell ref="C10:C11"/>
    <mergeCell ref="D10:D11"/>
    <mergeCell ref="E10:E11"/>
    <mergeCell ref="F10:F11"/>
    <mergeCell ref="G10:G11"/>
    <mergeCell ref="H10:H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N8:N9"/>
    <mergeCell ref="O8:O9"/>
    <mergeCell ref="I10:I11"/>
    <mergeCell ref="A5:A7"/>
    <mergeCell ref="BB5:BD7"/>
    <mergeCell ref="B6:D6"/>
    <mergeCell ref="B5:D5"/>
    <mergeCell ref="W5:Y5"/>
    <mergeCell ref="T5:V5"/>
    <mergeCell ref="Q5:S5"/>
    <mergeCell ref="N5:P5"/>
    <mergeCell ref="K5:M5"/>
    <mergeCell ref="P8:P9"/>
    <mergeCell ref="W8:W9"/>
    <mergeCell ref="X8:X9"/>
    <mergeCell ref="Y8:Y9"/>
    <mergeCell ref="Z8:Z9"/>
    <mergeCell ref="AA8:AA9"/>
    <mergeCell ref="AB8:AB9"/>
    <mergeCell ref="G4:L4"/>
    <mergeCell ref="M8:M9"/>
    <mergeCell ref="Q8:Q9"/>
    <mergeCell ref="R8:R9"/>
    <mergeCell ref="S8:S9"/>
    <mergeCell ref="T8:T9"/>
    <mergeCell ref="U8:U9"/>
    <mergeCell ref="V8:V9"/>
    <mergeCell ref="H5:J5"/>
    <mergeCell ref="E5:G5"/>
    <mergeCell ref="E6:G6"/>
    <mergeCell ref="H6:J6"/>
    <mergeCell ref="K6:M6"/>
    <mergeCell ref="N6:P6"/>
    <mergeCell ref="Q6:S6"/>
    <mergeCell ref="AC8:AC9"/>
    <mergeCell ref="AD8:AD9"/>
    <mergeCell ref="AE8:AE9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P18:P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P38:P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Q38:Q39"/>
    <mergeCell ref="R38:R39"/>
    <mergeCell ref="S38:S39"/>
    <mergeCell ref="T38:T39"/>
    <mergeCell ref="U38:U39"/>
    <mergeCell ref="V38:V39"/>
    <mergeCell ref="P52:P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Q52:Q53"/>
    <mergeCell ref="R52:R53"/>
    <mergeCell ref="S52:S53"/>
    <mergeCell ref="T52:T53"/>
    <mergeCell ref="U52:U53"/>
    <mergeCell ref="V52:V53"/>
    <mergeCell ref="P64:P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Q64:Q65"/>
    <mergeCell ref="R64:R65"/>
    <mergeCell ref="S64:S65"/>
    <mergeCell ref="T64:T65"/>
    <mergeCell ref="U64:U65"/>
    <mergeCell ref="V64:V65"/>
    <mergeCell ref="AJ8:AJ9"/>
    <mergeCell ref="AK8:AK9"/>
    <mergeCell ref="AL8:AL9"/>
    <mergeCell ref="AM8:AM9"/>
    <mergeCell ref="AK38:AK39"/>
    <mergeCell ref="AL38:AL39"/>
    <mergeCell ref="AM38:AM39"/>
    <mergeCell ref="AI18:AI19"/>
    <mergeCell ref="AJ18:AJ19"/>
    <mergeCell ref="AK18:AK19"/>
    <mergeCell ref="AL18:AL19"/>
    <mergeCell ref="AN8:AN9"/>
    <mergeCell ref="AO8:AO9"/>
    <mergeCell ref="AP8:AP9"/>
    <mergeCell ref="AQ8:AQ9"/>
    <mergeCell ref="AQ18:AQ19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F18:AF19"/>
    <mergeCell ref="AG18:AG19"/>
    <mergeCell ref="AH18:AH19"/>
    <mergeCell ref="AF8:AF9"/>
    <mergeCell ref="AG8:AG9"/>
    <mergeCell ref="AH8:AH9"/>
    <mergeCell ref="AI8:AI9"/>
    <mergeCell ref="AF38:AF39"/>
    <mergeCell ref="AG38:AG39"/>
    <mergeCell ref="AH38:AH39"/>
    <mergeCell ref="AI38:AI39"/>
    <mergeCell ref="AJ38:AJ39"/>
    <mergeCell ref="AE64:AE65"/>
    <mergeCell ref="AE52:AE53"/>
    <mergeCell ref="AE38:AE39"/>
    <mergeCell ref="AE18:AE19"/>
    <mergeCell ref="AF45:AF46"/>
    <mergeCell ref="AG45:AG46"/>
    <mergeCell ref="AH45:AH46"/>
    <mergeCell ref="AI45:AI46"/>
    <mergeCell ref="AJ45:AJ46"/>
    <mergeCell ref="AF59:AF60"/>
    <mergeCell ref="AG59:AG60"/>
    <mergeCell ref="AH59:AH60"/>
    <mergeCell ref="AI59:AI60"/>
    <mergeCell ref="AJ59:AJ60"/>
    <mergeCell ref="AK45:AK46"/>
    <mergeCell ref="AL45:AL46"/>
    <mergeCell ref="AM45:AM46"/>
    <mergeCell ref="AN45:AN46"/>
    <mergeCell ref="AL52:AL53"/>
    <mergeCell ref="AM52:AM53"/>
    <mergeCell ref="AO18:AO19"/>
    <mergeCell ref="AP18:AP19"/>
    <mergeCell ref="AM18:AM19"/>
    <mergeCell ref="AN18:AN19"/>
    <mergeCell ref="AO38:AO39"/>
    <mergeCell ref="AP38:AP39"/>
    <mergeCell ref="AQ38:AQ39"/>
    <mergeCell ref="AO45:AO46"/>
    <mergeCell ref="AP45:AP46"/>
    <mergeCell ref="AQ45:AQ46"/>
    <mergeCell ref="AL64:AL65"/>
    <mergeCell ref="AM64:AM65"/>
    <mergeCell ref="AN38:AN39"/>
    <mergeCell ref="AO52:AO53"/>
    <mergeCell ref="AP52:AP53"/>
    <mergeCell ref="AQ52:AQ53"/>
    <mergeCell ref="AK59:AK60"/>
    <mergeCell ref="AL59:AL60"/>
    <mergeCell ref="AM59:AM60"/>
    <mergeCell ref="AN59:AN60"/>
    <mergeCell ref="AO59:AO60"/>
    <mergeCell ref="AP59:AP60"/>
    <mergeCell ref="AQ59:AQ60"/>
    <mergeCell ref="AF52:AF53"/>
    <mergeCell ref="AG52:AG53"/>
    <mergeCell ref="AH52:AH53"/>
    <mergeCell ref="AI52:AI53"/>
    <mergeCell ref="AJ52:AJ53"/>
    <mergeCell ref="AK52:AK53"/>
    <mergeCell ref="AF81:AF82"/>
    <mergeCell ref="AG81:AG82"/>
    <mergeCell ref="AH81:AH82"/>
    <mergeCell ref="AI81:AI82"/>
    <mergeCell ref="AJ81:AJ82"/>
    <mergeCell ref="AK81:AK82"/>
    <mergeCell ref="AL81:AL82"/>
    <mergeCell ref="AM81:AM82"/>
    <mergeCell ref="AN52:AN53"/>
    <mergeCell ref="AF71:AF72"/>
    <mergeCell ref="AG71:AG72"/>
    <mergeCell ref="AH71:AH72"/>
    <mergeCell ref="AI71:AI72"/>
    <mergeCell ref="AJ71:AJ72"/>
    <mergeCell ref="AK71:AK72"/>
    <mergeCell ref="AL71:AL72"/>
    <mergeCell ref="AM71:AM72"/>
    <mergeCell ref="AN71:AN72"/>
    <mergeCell ref="AF64:AF65"/>
    <mergeCell ref="AG64:AG65"/>
    <mergeCell ref="AH64:AH65"/>
    <mergeCell ref="AI64:AI65"/>
    <mergeCell ref="AJ64:AJ65"/>
    <mergeCell ref="AK64:AK65"/>
    <mergeCell ref="AH88:AH89"/>
    <mergeCell ref="AI88:AI89"/>
    <mergeCell ref="AJ88:AJ89"/>
    <mergeCell ref="AK88:AK89"/>
    <mergeCell ref="AL88:AL89"/>
    <mergeCell ref="AM88:AM89"/>
    <mergeCell ref="AN88:AN89"/>
    <mergeCell ref="BA18:BA19"/>
    <mergeCell ref="AR32:AR33"/>
    <mergeCell ref="AS32:AS33"/>
    <mergeCell ref="AT32:AT33"/>
    <mergeCell ref="AN64:AN65"/>
    <mergeCell ref="AO81:AO82"/>
    <mergeCell ref="AP81:AP82"/>
    <mergeCell ref="AQ81:AQ82"/>
    <mergeCell ref="AO88:AO89"/>
    <mergeCell ref="AP88:AP89"/>
    <mergeCell ref="AQ88:AQ89"/>
    <mergeCell ref="AO64:AO65"/>
    <mergeCell ref="AP64:AP65"/>
    <mergeCell ref="AQ64:AQ65"/>
    <mergeCell ref="AO71:AO72"/>
    <mergeCell ref="AP71:AP72"/>
    <mergeCell ref="AQ71:AQ72"/>
    <mergeCell ref="AY8:AY9"/>
    <mergeCell ref="AZ8:AZ9"/>
    <mergeCell ref="AR10:AR11"/>
    <mergeCell ref="AS10:AS11"/>
    <mergeCell ref="AT10:AT11"/>
    <mergeCell ref="AU10:AU11"/>
    <mergeCell ref="AV10:AV11"/>
    <mergeCell ref="AW10:AW11"/>
    <mergeCell ref="AX10:AX11"/>
    <mergeCell ref="BA8:BA9"/>
    <mergeCell ref="AU32:AU33"/>
    <mergeCell ref="AV32:AV33"/>
    <mergeCell ref="AW32:AW33"/>
    <mergeCell ref="AX32:AX33"/>
    <mergeCell ref="AY32:AY33"/>
    <mergeCell ref="AZ32:AZ33"/>
    <mergeCell ref="BA32:BA33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AR8:AR9"/>
    <mergeCell ref="AS8:AS9"/>
    <mergeCell ref="AT8:AT9"/>
    <mergeCell ref="AU8:AU9"/>
    <mergeCell ref="AV8:AV9"/>
    <mergeCell ref="AW8:AW9"/>
    <mergeCell ref="AX8:AX9"/>
    <mergeCell ref="BA38:BA39"/>
    <mergeCell ref="AR45:AR46"/>
    <mergeCell ref="AS45:AS46"/>
    <mergeCell ref="AT45:AT46"/>
    <mergeCell ref="AU45:AU46"/>
    <mergeCell ref="AV45:AV46"/>
    <mergeCell ref="AW45:AW46"/>
    <mergeCell ref="AX45:AX46"/>
    <mergeCell ref="AY45:AY46"/>
    <mergeCell ref="AZ45:AZ46"/>
    <mergeCell ref="BA45:BA46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52:BA53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BA59:BA60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64:BA65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BA71:BA72"/>
    <mergeCell ref="AZ71:AZ72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103:BA104"/>
    <mergeCell ref="AY88:AY89"/>
    <mergeCell ref="AZ88:AZ89"/>
    <mergeCell ref="BA88:BA89"/>
    <mergeCell ref="AR103:AR104"/>
    <mergeCell ref="AU88:AU89"/>
    <mergeCell ref="AV88:AV89"/>
    <mergeCell ref="AW88:AW89"/>
    <mergeCell ref="AX88:AX89"/>
    <mergeCell ref="AU103:AU104"/>
    <mergeCell ref="AT103:AT104"/>
    <mergeCell ref="AS103:AS104"/>
    <mergeCell ref="AW103:AW104"/>
    <mergeCell ref="AX103:AX104"/>
    <mergeCell ref="AZ81:AZ82"/>
    <mergeCell ref="AY103:AY104"/>
    <mergeCell ref="AZ103:AZ104"/>
    <mergeCell ref="AV103:AV104"/>
    <mergeCell ref="Q10:Q11"/>
    <mergeCell ref="R10:R11"/>
    <mergeCell ref="S10:S11"/>
    <mergeCell ref="T10:T11"/>
    <mergeCell ref="U10:U11"/>
    <mergeCell ref="V10:V11"/>
    <mergeCell ref="Q18:Q19"/>
    <mergeCell ref="R18:R19"/>
    <mergeCell ref="S18:S19"/>
    <mergeCell ref="T18:T19"/>
    <mergeCell ref="U18:U19"/>
    <mergeCell ref="V18:V19"/>
    <mergeCell ref="Q81:Q82"/>
    <mergeCell ref="R81:R82"/>
    <mergeCell ref="S81:S82"/>
    <mergeCell ref="T81:T82"/>
    <mergeCell ref="U81:U82"/>
    <mergeCell ref="V81:V82"/>
    <mergeCell ref="Q88:Q89"/>
    <mergeCell ref="R88:R89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14"/>
  <sheetViews>
    <sheetView workbookViewId="0">
      <selection activeCell="A10" sqref="A10:A11"/>
    </sheetView>
  </sheetViews>
  <sheetFormatPr defaultRowHeight="10.199999999999999" x14ac:dyDescent="0.2"/>
  <cols>
    <col min="1" max="1" width="35.33203125" style="1" customWidth="1"/>
    <col min="2" max="3" width="7.88671875" style="1" bestFit="1" customWidth="1"/>
    <col min="4" max="4" width="8.6640625" style="1" bestFit="1" customWidth="1"/>
    <col min="5" max="6" width="7.109375" style="1" bestFit="1" customWidth="1"/>
    <col min="7" max="7" width="7.88671875" style="1" bestFit="1" customWidth="1"/>
    <col min="8" max="9" width="7.109375" style="1" bestFit="1" customWidth="1"/>
    <col min="10" max="10" width="8.6640625" style="1" bestFit="1" customWidth="1"/>
    <col min="11" max="12" width="7.109375" style="1" bestFit="1" customWidth="1"/>
    <col min="13" max="13" width="8.88671875" style="1" customWidth="1"/>
    <col min="14" max="15" width="7.109375" style="1" bestFit="1" customWidth="1"/>
    <col min="16" max="18" width="7.88671875" style="1" bestFit="1" customWidth="1"/>
    <col min="19" max="19" width="9.109375" style="1" customWidth="1"/>
    <col min="20" max="21" width="7.109375" style="1" bestFit="1" customWidth="1"/>
    <col min="22" max="22" width="7.88671875" style="1" bestFit="1" customWidth="1"/>
    <col min="23" max="24" width="7.109375" style="1" bestFit="1" customWidth="1"/>
    <col min="25" max="25" width="7.88671875" style="1" bestFit="1" customWidth="1"/>
    <col min="26" max="26" width="5.88671875" style="1" bestFit="1" customWidth="1"/>
    <col min="27" max="27" width="5.109375" style="1" bestFit="1" customWidth="1"/>
    <col min="28" max="28" width="7.109375" style="1" bestFit="1" customWidth="1"/>
    <col min="29" max="30" width="5.88671875" style="1" bestFit="1" customWidth="1"/>
    <col min="31" max="31" width="7.88671875" style="1" bestFit="1" customWidth="1"/>
    <col min="32" max="33" width="7.109375" style="1" bestFit="1" customWidth="1"/>
    <col min="34" max="34" width="7.88671875" style="1" bestFit="1" customWidth="1"/>
    <col min="35" max="36" width="7.109375" style="1" bestFit="1" customWidth="1"/>
    <col min="37" max="37" width="8.88671875" style="1"/>
    <col min="38" max="39" width="7.109375" style="1" bestFit="1" customWidth="1"/>
    <col min="40" max="40" width="7.88671875" style="1" bestFit="1" customWidth="1"/>
    <col min="41" max="42" width="5.109375" style="1" bestFit="1" customWidth="1"/>
    <col min="43" max="43" width="5.88671875" style="1" bestFit="1" customWidth="1"/>
    <col min="44" max="46" width="8.6640625" style="1" bestFit="1" customWidth="1"/>
    <col min="47" max="47" width="9.88671875" style="1" bestFit="1" customWidth="1"/>
    <col min="48" max="16384" width="8.88671875" style="1"/>
  </cols>
  <sheetData>
    <row r="1" spans="1:5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s="27" customFormat="1" ht="13.2" x14ac:dyDescent="0.25"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30"/>
      <c r="AZ2" s="30"/>
      <c r="BA2" s="30"/>
      <c r="BB2" s="30"/>
      <c r="BC2" s="30"/>
      <c r="BD2" s="30"/>
      <c r="BE2" s="30"/>
      <c r="BF2" s="30"/>
    </row>
    <row r="3" spans="1:58" s="27" customFormat="1" ht="13.2" x14ac:dyDescent="0.25"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28"/>
      <c r="S3" s="28"/>
      <c r="T3" s="28"/>
      <c r="U3" s="28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30"/>
      <c r="AZ3" s="30"/>
      <c r="BA3" s="30"/>
      <c r="BB3" s="30"/>
      <c r="BC3" s="30"/>
      <c r="BD3" s="30"/>
      <c r="BE3" s="30"/>
      <c r="BF3" s="30"/>
    </row>
    <row r="4" spans="1:58" s="22" customFormat="1" ht="12" x14ac:dyDescent="0.2">
      <c r="B4" s="25"/>
      <c r="C4" s="25"/>
      <c r="D4" s="25"/>
      <c r="E4" s="25"/>
      <c r="F4" s="25"/>
      <c r="G4" s="25"/>
      <c r="H4" s="25"/>
      <c r="I4" s="25"/>
      <c r="K4" s="26"/>
      <c r="L4" s="26"/>
      <c r="M4" s="26"/>
      <c r="N4" s="26"/>
      <c r="O4" s="26"/>
      <c r="P4" s="26"/>
      <c r="Q4" s="26"/>
      <c r="R4" s="26"/>
      <c r="S4" s="2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4"/>
      <c r="AZ4" s="24"/>
      <c r="BA4" s="24"/>
      <c r="BB4" s="24"/>
      <c r="BC4" s="24"/>
      <c r="BD4" s="24"/>
      <c r="BE4" s="24"/>
      <c r="BF4" s="24"/>
    </row>
    <row r="5" spans="1:58" ht="10.8" thickBot="1" x14ac:dyDescent="0.25">
      <c r="A5" s="4"/>
      <c r="B5" s="18"/>
      <c r="C5" s="18"/>
      <c r="D5" s="18"/>
      <c r="E5" s="18"/>
      <c r="F5" s="18"/>
      <c r="G5" s="146"/>
      <c r="H5" s="146"/>
      <c r="I5" s="146"/>
      <c r="J5" s="146"/>
      <c r="K5" s="146"/>
      <c r="L5" s="14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16"/>
      <c r="AW5" s="147"/>
      <c r="AX5" s="147"/>
      <c r="AZ5" s="5"/>
      <c r="BA5" s="5"/>
      <c r="BB5" s="5"/>
      <c r="BC5" s="5"/>
      <c r="BD5" s="5"/>
      <c r="BE5" s="5"/>
      <c r="BF5" s="5"/>
    </row>
    <row r="6" spans="1:58" x14ac:dyDescent="0.2">
      <c r="A6" s="148"/>
      <c r="B6" s="150"/>
      <c r="C6" s="137"/>
      <c r="D6" s="137"/>
      <c r="E6" s="136"/>
      <c r="F6" s="137"/>
      <c r="G6" s="138"/>
      <c r="H6" s="136"/>
      <c r="I6" s="137"/>
      <c r="J6" s="138"/>
      <c r="K6" s="136"/>
      <c r="L6" s="137"/>
      <c r="M6" s="138"/>
      <c r="N6" s="137"/>
      <c r="O6" s="137"/>
      <c r="P6" s="138"/>
      <c r="Q6" s="136"/>
      <c r="R6" s="137"/>
      <c r="S6" s="138"/>
      <c r="T6" s="136"/>
      <c r="U6" s="137"/>
      <c r="V6" s="138"/>
      <c r="W6" s="136"/>
      <c r="X6" s="137"/>
      <c r="Y6" s="138"/>
      <c r="Z6" s="137"/>
      <c r="AA6" s="137"/>
      <c r="AB6" s="137"/>
      <c r="AC6" s="136"/>
      <c r="AD6" s="137"/>
      <c r="AE6" s="138"/>
      <c r="AF6" s="136"/>
      <c r="AG6" s="137"/>
      <c r="AH6" s="138"/>
      <c r="AI6" s="136"/>
      <c r="AJ6" s="137"/>
      <c r="AK6" s="138"/>
      <c r="AL6" s="137"/>
      <c r="AM6" s="137"/>
      <c r="AN6" s="138"/>
      <c r="AO6" s="136"/>
      <c r="AP6" s="137"/>
      <c r="AQ6" s="138"/>
      <c r="AR6" s="136"/>
      <c r="AS6" s="137"/>
      <c r="AT6" s="137"/>
      <c r="AU6" s="153"/>
      <c r="AV6" s="140"/>
      <c r="AW6" s="140"/>
      <c r="AX6" s="140"/>
    </row>
    <row r="7" spans="1:58" x14ac:dyDescent="0.2">
      <c r="A7" s="130"/>
      <c r="B7" s="151"/>
      <c r="C7" s="140"/>
      <c r="D7" s="140"/>
      <c r="E7" s="139"/>
      <c r="F7" s="140"/>
      <c r="G7" s="141"/>
      <c r="H7" s="139"/>
      <c r="I7" s="140"/>
      <c r="J7" s="141"/>
      <c r="K7" s="139"/>
      <c r="L7" s="140"/>
      <c r="M7" s="141"/>
      <c r="N7" s="140"/>
      <c r="O7" s="140"/>
      <c r="P7" s="141"/>
      <c r="Q7" s="139"/>
      <c r="R7" s="140"/>
      <c r="S7" s="141"/>
      <c r="T7" s="139"/>
      <c r="U7" s="140"/>
      <c r="V7" s="141"/>
      <c r="W7" s="139"/>
      <c r="X7" s="140"/>
      <c r="Y7" s="141"/>
      <c r="Z7" s="140"/>
      <c r="AA7" s="140"/>
      <c r="AB7" s="140"/>
      <c r="AC7" s="139"/>
      <c r="AD7" s="140"/>
      <c r="AE7" s="141"/>
      <c r="AF7" s="139"/>
      <c r="AG7" s="140"/>
      <c r="AH7" s="141"/>
      <c r="AI7" s="139"/>
      <c r="AJ7" s="140"/>
      <c r="AK7" s="141"/>
      <c r="AL7" s="140"/>
      <c r="AM7" s="140"/>
      <c r="AN7" s="141"/>
      <c r="AO7" s="139"/>
      <c r="AP7" s="140"/>
      <c r="AQ7" s="141"/>
      <c r="AR7" s="139"/>
      <c r="AS7" s="140"/>
      <c r="AT7" s="140"/>
      <c r="AU7" s="154"/>
      <c r="AV7" s="140"/>
      <c r="AW7" s="140"/>
      <c r="AX7" s="140"/>
    </row>
    <row r="8" spans="1:58" x14ac:dyDescent="0.2">
      <c r="A8" s="130"/>
      <c r="B8" s="152"/>
      <c r="C8" s="143"/>
      <c r="D8" s="143"/>
      <c r="E8" s="142"/>
      <c r="F8" s="143"/>
      <c r="G8" s="144"/>
      <c r="H8" s="142"/>
      <c r="I8" s="143"/>
      <c r="J8" s="144"/>
      <c r="K8" s="142"/>
      <c r="L8" s="143"/>
      <c r="M8" s="144"/>
      <c r="N8" s="143"/>
      <c r="O8" s="143"/>
      <c r="P8" s="144"/>
      <c r="Q8" s="142"/>
      <c r="R8" s="143"/>
      <c r="S8" s="144"/>
      <c r="T8" s="142"/>
      <c r="U8" s="143"/>
      <c r="V8" s="144"/>
      <c r="W8" s="142"/>
      <c r="X8" s="143"/>
      <c r="Y8" s="144"/>
      <c r="Z8" s="143"/>
      <c r="AA8" s="143"/>
      <c r="AB8" s="143"/>
      <c r="AC8" s="142"/>
      <c r="AD8" s="143"/>
      <c r="AE8" s="144"/>
      <c r="AF8" s="142"/>
      <c r="AG8" s="143"/>
      <c r="AH8" s="144"/>
      <c r="AI8" s="142"/>
      <c r="AJ8" s="143"/>
      <c r="AK8" s="144"/>
      <c r="AL8" s="143"/>
      <c r="AM8" s="143"/>
      <c r="AN8" s="144"/>
      <c r="AO8" s="142"/>
      <c r="AP8" s="143"/>
      <c r="AQ8" s="144"/>
      <c r="AR8" s="142"/>
      <c r="AS8" s="143"/>
      <c r="AT8" s="143"/>
      <c r="AU8" s="155"/>
      <c r="AV8" s="140"/>
      <c r="AW8" s="140"/>
      <c r="AX8" s="140"/>
    </row>
    <row r="9" spans="1:58" x14ac:dyDescent="0.2">
      <c r="A9" s="149"/>
      <c r="B9" s="6"/>
      <c r="C9" s="7"/>
      <c r="D9" s="8"/>
      <c r="E9" s="9"/>
      <c r="F9" s="7"/>
      <c r="G9" s="7"/>
      <c r="H9" s="9"/>
      <c r="I9" s="7"/>
      <c r="J9" s="7"/>
      <c r="K9" s="9"/>
      <c r="L9" s="7"/>
      <c r="M9" s="7"/>
      <c r="N9" s="7"/>
      <c r="O9" s="7"/>
      <c r="P9" s="8"/>
      <c r="Q9" s="9"/>
      <c r="R9" s="7"/>
      <c r="S9" s="7"/>
      <c r="T9" s="9"/>
      <c r="U9" s="7"/>
      <c r="V9" s="7"/>
      <c r="W9" s="9"/>
      <c r="X9" s="7"/>
      <c r="Y9" s="7"/>
      <c r="Z9" s="7"/>
      <c r="AA9" s="7"/>
      <c r="AB9" s="8"/>
      <c r="AC9" s="9"/>
      <c r="AD9" s="7"/>
      <c r="AE9" s="7"/>
      <c r="AF9" s="9"/>
      <c r="AG9" s="7"/>
      <c r="AH9" s="7"/>
      <c r="AI9" s="9"/>
      <c r="AJ9" s="7"/>
      <c r="AK9" s="7"/>
      <c r="AL9" s="7"/>
      <c r="AM9" s="7"/>
      <c r="AN9" s="7"/>
      <c r="AO9" s="9"/>
      <c r="AP9" s="7"/>
      <c r="AQ9" s="7"/>
      <c r="AR9" s="9"/>
      <c r="AS9" s="7"/>
      <c r="AT9" s="9"/>
      <c r="AU9" s="13"/>
      <c r="AV9" s="143"/>
      <c r="AW9" s="143"/>
      <c r="AX9" s="143"/>
    </row>
    <row r="10" spans="1:58" x14ac:dyDescent="0.2">
      <c r="A10" s="133"/>
      <c r="B10" s="135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2"/>
      <c r="AV10" s="130"/>
      <c r="AW10" s="130"/>
      <c r="AX10" s="130"/>
    </row>
    <row r="11" spans="1:58" x14ac:dyDescent="0.2">
      <c r="A11" s="134"/>
      <c r="B11" s="124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1"/>
      <c r="AV11" s="130"/>
      <c r="AW11" s="130"/>
      <c r="AX11" s="130"/>
    </row>
    <row r="12" spans="1:58" x14ac:dyDescent="0.2">
      <c r="A12" s="123"/>
      <c r="B12" s="124"/>
      <c r="C12" s="120"/>
      <c r="D12" s="120"/>
      <c r="E12" s="120"/>
      <c r="F12" s="120"/>
      <c r="G12" s="120"/>
      <c r="H12" s="125"/>
      <c r="I12" s="125"/>
      <c r="J12" s="125"/>
      <c r="K12" s="129"/>
      <c r="L12" s="129"/>
      <c r="M12" s="129"/>
      <c r="N12" s="120"/>
      <c r="O12" s="120"/>
      <c r="P12" s="120"/>
      <c r="Q12" s="120"/>
      <c r="R12" s="120"/>
      <c r="S12" s="120"/>
      <c r="T12" s="122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1"/>
      <c r="AV12" s="128"/>
      <c r="AW12" s="128"/>
      <c r="AX12" s="128"/>
    </row>
    <row r="13" spans="1:58" x14ac:dyDescent="0.2">
      <c r="A13" s="123"/>
      <c r="B13" s="124"/>
      <c r="C13" s="120"/>
      <c r="D13" s="120"/>
      <c r="E13" s="120"/>
      <c r="F13" s="120"/>
      <c r="G13" s="120"/>
      <c r="H13" s="120"/>
      <c r="I13" s="120"/>
      <c r="J13" s="120"/>
      <c r="K13" s="129"/>
      <c r="L13" s="129"/>
      <c r="M13" s="129"/>
      <c r="N13" s="120"/>
      <c r="O13" s="120"/>
      <c r="P13" s="120"/>
      <c r="Q13" s="120"/>
      <c r="R13" s="120"/>
      <c r="S13" s="120"/>
      <c r="T13" s="122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1"/>
      <c r="AV13" s="128"/>
      <c r="AW13" s="128"/>
      <c r="AX13" s="128"/>
    </row>
    <row r="14" spans="1:58" x14ac:dyDescent="0.2">
      <c r="A14" s="45"/>
      <c r="B14" s="35"/>
      <c r="C14" s="32"/>
      <c r="D14" s="31"/>
      <c r="E14" s="32"/>
      <c r="F14" s="31"/>
      <c r="G14" s="32"/>
      <c r="H14" s="31"/>
      <c r="I14" s="32"/>
      <c r="J14" s="31"/>
      <c r="K14" s="33"/>
      <c r="L14" s="34"/>
      <c r="M14" s="33"/>
      <c r="N14" s="34"/>
      <c r="O14" s="33"/>
      <c r="P14" s="34"/>
      <c r="Q14" s="33"/>
      <c r="R14" s="34"/>
      <c r="S14" s="33"/>
      <c r="T14" s="34"/>
      <c r="U14" s="33"/>
      <c r="V14" s="34"/>
      <c r="W14" s="33"/>
      <c r="X14" s="34"/>
      <c r="Y14" s="33"/>
      <c r="Z14" s="34"/>
      <c r="AA14" s="33"/>
      <c r="AB14" s="34"/>
      <c r="AC14" s="32"/>
      <c r="AD14" s="31"/>
      <c r="AE14" s="32"/>
      <c r="AF14" s="34"/>
      <c r="AG14" s="33"/>
      <c r="AH14" s="34"/>
      <c r="AI14" s="33"/>
      <c r="AJ14" s="34"/>
      <c r="AK14" s="33"/>
      <c r="AL14" s="31"/>
      <c r="AM14" s="33"/>
      <c r="AN14" s="31"/>
      <c r="AO14" s="33"/>
      <c r="AP14" s="34"/>
      <c r="AQ14" s="33"/>
      <c r="AR14" s="34"/>
      <c r="AS14" s="33"/>
      <c r="AT14" s="34"/>
      <c r="AU14" s="36"/>
      <c r="AV14" s="48"/>
      <c r="AW14" s="10"/>
      <c r="AX14" s="10"/>
    </row>
    <row r="15" spans="1:58" x14ac:dyDescent="0.2">
      <c r="A15" s="45"/>
      <c r="B15" s="35"/>
      <c r="C15" s="32"/>
      <c r="D15" s="31"/>
      <c r="E15" s="32"/>
      <c r="F15" s="31"/>
      <c r="G15" s="32"/>
      <c r="H15" s="31"/>
      <c r="I15" s="32"/>
      <c r="J15" s="31"/>
      <c r="K15" s="33"/>
      <c r="L15" s="34"/>
      <c r="M15" s="33"/>
      <c r="N15" s="34"/>
      <c r="O15" s="33"/>
      <c r="P15" s="34"/>
      <c r="Q15" s="33"/>
      <c r="R15" s="34"/>
      <c r="S15" s="33"/>
      <c r="T15" s="34"/>
      <c r="U15" s="33"/>
      <c r="V15" s="34"/>
      <c r="W15" s="33"/>
      <c r="X15" s="34"/>
      <c r="Y15" s="33"/>
      <c r="Z15" s="34"/>
      <c r="AA15" s="33"/>
      <c r="AB15" s="34"/>
      <c r="AC15" s="32"/>
      <c r="AD15" s="31"/>
      <c r="AE15" s="32"/>
      <c r="AF15" s="34"/>
      <c r="AG15" s="33"/>
      <c r="AH15" s="34"/>
      <c r="AI15" s="33"/>
      <c r="AJ15" s="34"/>
      <c r="AK15" s="33"/>
      <c r="AL15" s="34"/>
      <c r="AM15" s="33"/>
      <c r="AN15" s="34"/>
      <c r="AO15" s="33"/>
      <c r="AP15" s="34"/>
      <c r="AQ15" s="33"/>
      <c r="AR15" s="34"/>
      <c r="AS15" s="33"/>
      <c r="AT15" s="34"/>
      <c r="AU15" s="36"/>
      <c r="AV15" s="48"/>
      <c r="AW15" s="10"/>
      <c r="AX15" s="10"/>
    </row>
    <row r="16" spans="1:58" x14ac:dyDescent="0.2">
      <c r="A16" s="45"/>
      <c r="B16" s="35"/>
      <c r="C16" s="32"/>
      <c r="D16" s="31"/>
      <c r="E16" s="32"/>
      <c r="F16" s="31"/>
      <c r="G16" s="33"/>
      <c r="H16" s="31"/>
      <c r="I16" s="32"/>
      <c r="J16" s="31"/>
      <c r="K16" s="33"/>
      <c r="L16" s="34"/>
      <c r="M16" s="33"/>
      <c r="N16" s="34"/>
      <c r="O16" s="33"/>
      <c r="P16" s="34"/>
      <c r="Q16" s="33"/>
      <c r="R16" s="34"/>
      <c r="S16" s="33"/>
      <c r="T16" s="34"/>
      <c r="U16" s="33"/>
      <c r="V16" s="34"/>
      <c r="W16" s="33"/>
      <c r="X16" s="34"/>
      <c r="Y16" s="33"/>
      <c r="Z16" s="34"/>
      <c r="AA16" s="33"/>
      <c r="AB16" s="34"/>
      <c r="AC16" s="32"/>
      <c r="AD16" s="31"/>
      <c r="AE16" s="32"/>
      <c r="AF16" s="34"/>
      <c r="AG16" s="33"/>
      <c r="AH16" s="34"/>
      <c r="AI16" s="33"/>
      <c r="AJ16" s="34"/>
      <c r="AK16" s="33"/>
      <c r="AL16" s="34"/>
      <c r="AM16" s="33"/>
      <c r="AN16" s="34"/>
      <c r="AO16" s="33"/>
      <c r="AP16" s="34"/>
      <c r="AQ16" s="33"/>
      <c r="AR16" s="34"/>
      <c r="AS16" s="33"/>
      <c r="AT16" s="34"/>
      <c r="AU16" s="36"/>
      <c r="AV16" s="48"/>
      <c r="AW16" s="10"/>
      <c r="AX16" s="10"/>
    </row>
    <row r="17" spans="1:50" x14ac:dyDescent="0.2">
      <c r="A17" s="45"/>
      <c r="B17" s="35"/>
      <c r="C17" s="32"/>
      <c r="D17" s="31"/>
      <c r="E17" s="32"/>
      <c r="F17" s="31"/>
      <c r="G17" s="33"/>
      <c r="H17" s="31"/>
      <c r="I17" s="32"/>
      <c r="J17" s="31"/>
      <c r="K17" s="33"/>
      <c r="L17" s="34"/>
      <c r="M17" s="33"/>
      <c r="N17" s="34"/>
      <c r="O17" s="33"/>
      <c r="P17" s="34"/>
      <c r="Q17" s="33"/>
      <c r="R17" s="34"/>
      <c r="S17" s="33"/>
      <c r="T17" s="31"/>
      <c r="U17" s="32"/>
      <c r="V17" s="34"/>
      <c r="W17" s="33"/>
      <c r="X17" s="34"/>
      <c r="Y17" s="33"/>
      <c r="Z17" s="31"/>
      <c r="AA17" s="32"/>
      <c r="AB17" s="34"/>
      <c r="AC17" s="32"/>
      <c r="AD17" s="31"/>
      <c r="AE17" s="32"/>
      <c r="AF17" s="34"/>
      <c r="AG17" s="33"/>
      <c r="AH17" s="34"/>
      <c r="AI17" s="33"/>
      <c r="AJ17" s="34"/>
      <c r="AK17" s="33"/>
      <c r="AL17" s="31"/>
      <c r="AM17" s="32"/>
      <c r="AN17" s="34"/>
      <c r="AO17" s="33"/>
      <c r="AP17" s="34"/>
      <c r="AQ17" s="33"/>
      <c r="AR17" s="34"/>
      <c r="AS17" s="33"/>
      <c r="AT17" s="34"/>
      <c r="AU17" s="36"/>
      <c r="AV17" s="48"/>
      <c r="AW17" s="10"/>
      <c r="AX17" s="10"/>
    </row>
    <row r="18" spans="1:50" x14ac:dyDescent="0.2">
      <c r="A18" s="45"/>
      <c r="B18" s="35"/>
      <c r="C18" s="32"/>
      <c r="D18" s="31"/>
      <c r="E18" s="32"/>
      <c r="F18" s="31"/>
      <c r="G18" s="32"/>
      <c r="H18" s="31"/>
      <c r="I18" s="33"/>
      <c r="J18" s="34"/>
      <c r="K18" s="33"/>
      <c r="L18" s="34"/>
      <c r="M18" s="33"/>
      <c r="N18" s="34"/>
      <c r="O18" s="33"/>
      <c r="P18" s="34"/>
      <c r="Q18" s="33"/>
      <c r="R18" s="34"/>
      <c r="S18" s="33"/>
      <c r="T18" s="34"/>
      <c r="U18" s="33"/>
      <c r="V18" s="34"/>
      <c r="W18" s="33"/>
      <c r="X18" s="34"/>
      <c r="Y18" s="33"/>
      <c r="Z18" s="34"/>
      <c r="AA18" s="33"/>
      <c r="AB18" s="34"/>
      <c r="AC18" s="32"/>
      <c r="AD18" s="31"/>
      <c r="AE18" s="32"/>
      <c r="AF18" s="34"/>
      <c r="AG18" s="33"/>
      <c r="AH18" s="34"/>
      <c r="AI18" s="33"/>
      <c r="AJ18" s="34"/>
      <c r="AK18" s="33"/>
      <c r="AL18" s="34"/>
      <c r="AM18" s="33"/>
      <c r="AN18" s="34"/>
      <c r="AO18" s="33"/>
      <c r="AP18" s="34"/>
      <c r="AQ18" s="33"/>
      <c r="AR18" s="34"/>
      <c r="AS18" s="33"/>
      <c r="AT18" s="34"/>
      <c r="AU18" s="36"/>
      <c r="AV18" s="48"/>
      <c r="AW18" s="10"/>
      <c r="AX18" s="10"/>
    </row>
    <row r="19" spans="1:50" x14ac:dyDescent="0.2">
      <c r="A19" s="45"/>
      <c r="B19" s="35"/>
      <c r="C19" s="32"/>
      <c r="D19" s="31"/>
      <c r="E19" s="32"/>
      <c r="F19" s="31"/>
      <c r="G19" s="32"/>
      <c r="H19" s="31"/>
      <c r="I19" s="32"/>
      <c r="J19" s="31"/>
      <c r="K19" s="33"/>
      <c r="L19" s="34"/>
      <c r="M19" s="33"/>
      <c r="N19" s="34"/>
      <c r="O19" s="33"/>
      <c r="P19" s="34"/>
      <c r="Q19" s="33"/>
      <c r="R19" s="34"/>
      <c r="S19" s="33"/>
      <c r="T19" s="34"/>
      <c r="U19" s="33"/>
      <c r="V19" s="34"/>
      <c r="W19" s="33"/>
      <c r="X19" s="34"/>
      <c r="Y19" s="33"/>
      <c r="Z19" s="34"/>
      <c r="AA19" s="33"/>
      <c r="AB19" s="34"/>
      <c r="AC19" s="32"/>
      <c r="AD19" s="31"/>
      <c r="AE19" s="32"/>
      <c r="AF19" s="34"/>
      <c r="AG19" s="33"/>
      <c r="AH19" s="34"/>
      <c r="AI19" s="33"/>
      <c r="AJ19" s="34"/>
      <c r="AK19" s="33"/>
      <c r="AL19" s="34"/>
      <c r="AM19" s="33"/>
      <c r="AN19" s="34"/>
      <c r="AO19" s="33"/>
      <c r="AP19" s="34"/>
      <c r="AQ19" s="33"/>
      <c r="AR19" s="34"/>
      <c r="AS19" s="33"/>
      <c r="AT19" s="34"/>
      <c r="AU19" s="36"/>
      <c r="AV19" s="48"/>
      <c r="AW19" s="10"/>
      <c r="AX19" s="10"/>
    </row>
    <row r="20" spans="1:50" x14ac:dyDescent="0.2">
      <c r="A20" s="123"/>
      <c r="B20" s="124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1"/>
      <c r="AV20" s="127"/>
      <c r="AW20" s="127"/>
      <c r="AX20" s="127"/>
    </row>
    <row r="21" spans="1:50" x14ac:dyDescent="0.2">
      <c r="A21" s="123"/>
      <c r="B21" s="124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1"/>
      <c r="AV21" s="127"/>
      <c r="AW21" s="127"/>
      <c r="AX21" s="127"/>
    </row>
    <row r="22" spans="1:50" x14ac:dyDescent="0.2">
      <c r="A22" s="45"/>
      <c r="B22" s="35"/>
      <c r="C22" s="32"/>
      <c r="D22" s="31"/>
      <c r="E22" s="32"/>
      <c r="F22" s="31"/>
      <c r="G22" s="32"/>
      <c r="H22" s="31"/>
      <c r="I22" s="33"/>
      <c r="J22" s="31"/>
      <c r="K22" s="33"/>
      <c r="L22" s="34"/>
      <c r="M22" s="33"/>
      <c r="N22" s="34"/>
      <c r="O22" s="33"/>
      <c r="P22" s="34"/>
      <c r="Q22" s="33"/>
      <c r="R22" s="34"/>
      <c r="S22" s="33"/>
      <c r="T22" s="34"/>
      <c r="U22" s="33"/>
      <c r="V22" s="34"/>
      <c r="W22" s="33"/>
      <c r="X22" s="34"/>
      <c r="Y22" s="33"/>
      <c r="Z22" s="34"/>
      <c r="AA22" s="33"/>
      <c r="AB22" s="34"/>
      <c r="AC22" s="32"/>
      <c r="AD22" s="31"/>
      <c r="AE22" s="32"/>
      <c r="AF22" s="34"/>
      <c r="AG22" s="33"/>
      <c r="AH22" s="34"/>
      <c r="AI22" s="33"/>
      <c r="AJ22" s="34"/>
      <c r="AK22" s="33"/>
      <c r="AL22" s="34"/>
      <c r="AM22" s="33"/>
      <c r="AN22" s="34"/>
      <c r="AO22" s="33"/>
      <c r="AP22" s="34"/>
      <c r="AQ22" s="33"/>
      <c r="AR22" s="34"/>
      <c r="AS22" s="33"/>
      <c r="AT22" s="34"/>
      <c r="AU22" s="36"/>
      <c r="AV22" s="48"/>
      <c r="AW22" s="10"/>
      <c r="AX22" s="10"/>
    </row>
    <row r="23" spans="1:50" x14ac:dyDescent="0.2">
      <c r="A23" s="45"/>
      <c r="B23" s="35"/>
      <c r="C23" s="32"/>
      <c r="D23" s="31"/>
      <c r="E23" s="32"/>
      <c r="F23" s="34"/>
      <c r="G23" s="33"/>
      <c r="H23" s="31"/>
      <c r="I23" s="32"/>
      <c r="J23" s="31"/>
      <c r="K23" s="33"/>
      <c r="L23" s="34"/>
      <c r="M23" s="33"/>
      <c r="N23" s="34"/>
      <c r="O23" s="33"/>
      <c r="P23" s="34"/>
      <c r="Q23" s="33"/>
      <c r="R23" s="34"/>
      <c r="S23" s="33"/>
      <c r="T23" s="34"/>
      <c r="U23" s="33"/>
      <c r="V23" s="34"/>
      <c r="W23" s="33"/>
      <c r="X23" s="34"/>
      <c r="Y23" s="33"/>
      <c r="Z23" s="34"/>
      <c r="AA23" s="33"/>
      <c r="AB23" s="34"/>
      <c r="AC23" s="32"/>
      <c r="AD23" s="31"/>
      <c r="AE23" s="32"/>
      <c r="AF23" s="34"/>
      <c r="AG23" s="33"/>
      <c r="AH23" s="34"/>
      <c r="AI23" s="33"/>
      <c r="AJ23" s="34"/>
      <c r="AK23" s="33"/>
      <c r="AL23" s="34"/>
      <c r="AM23" s="33"/>
      <c r="AN23" s="34"/>
      <c r="AO23" s="33"/>
      <c r="AP23" s="34"/>
      <c r="AQ23" s="33"/>
      <c r="AR23" s="34"/>
      <c r="AS23" s="33"/>
      <c r="AT23" s="34"/>
      <c r="AU23" s="36"/>
      <c r="AV23" s="48"/>
      <c r="AW23" s="10"/>
      <c r="AX23" s="10"/>
    </row>
    <row r="24" spans="1:50" x14ac:dyDescent="0.2">
      <c r="A24" s="45"/>
      <c r="B24" s="35"/>
      <c r="C24" s="32"/>
      <c r="D24" s="31"/>
      <c r="E24" s="32"/>
      <c r="F24" s="34"/>
      <c r="G24" s="33"/>
      <c r="H24" s="31"/>
      <c r="I24" s="32"/>
      <c r="J24" s="31"/>
      <c r="K24" s="32"/>
      <c r="L24" s="34"/>
      <c r="M24" s="33"/>
      <c r="N24" s="31"/>
      <c r="O24" s="33"/>
      <c r="P24" s="34"/>
      <c r="Q24" s="33"/>
      <c r="R24" s="34"/>
      <c r="S24" s="33"/>
      <c r="T24" s="31"/>
      <c r="U24" s="33"/>
      <c r="V24" s="34"/>
      <c r="W24" s="32"/>
      <c r="X24" s="34"/>
      <c r="Y24" s="33"/>
      <c r="Z24" s="31"/>
      <c r="AA24" s="33"/>
      <c r="AB24" s="34"/>
      <c r="AC24" s="32"/>
      <c r="AD24" s="34"/>
      <c r="AE24" s="32"/>
      <c r="AF24" s="31"/>
      <c r="AG24" s="33"/>
      <c r="AH24" s="34"/>
      <c r="AI24" s="32"/>
      <c r="AJ24" s="34"/>
      <c r="AK24" s="33"/>
      <c r="AL24" s="31"/>
      <c r="AM24" s="33"/>
      <c r="AN24" s="34"/>
      <c r="AO24" s="32"/>
      <c r="AP24" s="34"/>
      <c r="AQ24" s="33"/>
      <c r="AR24" s="34"/>
      <c r="AS24" s="33"/>
      <c r="AT24" s="34"/>
      <c r="AU24" s="36"/>
      <c r="AV24" s="48"/>
      <c r="AW24" s="10"/>
      <c r="AX24" s="10"/>
    </row>
    <row r="25" spans="1:50" x14ac:dyDescent="0.2">
      <c r="A25" s="45"/>
      <c r="B25" s="35"/>
      <c r="C25" s="32"/>
      <c r="D25" s="31"/>
      <c r="E25" s="32"/>
      <c r="F25" s="31"/>
      <c r="G25" s="32"/>
      <c r="H25" s="31"/>
      <c r="I25" s="32"/>
      <c r="J25" s="31"/>
      <c r="K25" s="33"/>
      <c r="L25" s="34"/>
      <c r="M25" s="33"/>
      <c r="N25" s="34"/>
      <c r="O25" s="33"/>
      <c r="P25" s="34"/>
      <c r="Q25" s="33"/>
      <c r="R25" s="34"/>
      <c r="S25" s="33"/>
      <c r="T25" s="34"/>
      <c r="U25" s="33"/>
      <c r="V25" s="34"/>
      <c r="W25" s="33"/>
      <c r="X25" s="34"/>
      <c r="Y25" s="33"/>
      <c r="Z25" s="34"/>
      <c r="AA25" s="33"/>
      <c r="AB25" s="34"/>
      <c r="AC25" s="32"/>
      <c r="AD25" s="31"/>
      <c r="AE25" s="32"/>
      <c r="AF25" s="34"/>
      <c r="AG25" s="33"/>
      <c r="AH25" s="34"/>
      <c r="AI25" s="33"/>
      <c r="AJ25" s="34"/>
      <c r="AK25" s="33"/>
      <c r="AL25" s="34"/>
      <c r="AM25" s="33"/>
      <c r="AN25" s="34"/>
      <c r="AO25" s="33"/>
      <c r="AP25" s="34"/>
      <c r="AQ25" s="33"/>
      <c r="AR25" s="34"/>
      <c r="AS25" s="33"/>
      <c r="AT25" s="34"/>
      <c r="AU25" s="36"/>
      <c r="AV25" s="48"/>
      <c r="AW25" s="10"/>
      <c r="AX25" s="10"/>
    </row>
    <row r="26" spans="1:50" x14ac:dyDescent="0.2">
      <c r="A26" s="45"/>
      <c r="B26" s="35"/>
      <c r="C26" s="32"/>
      <c r="D26" s="31"/>
      <c r="E26" s="32"/>
      <c r="F26" s="31"/>
      <c r="G26" s="32"/>
      <c r="H26" s="31"/>
      <c r="I26" s="32"/>
      <c r="J26" s="31"/>
      <c r="K26" s="33"/>
      <c r="L26" s="34"/>
      <c r="M26" s="33"/>
      <c r="N26" s="34"/>
      <c r="O26" s="33"/>
      <c r="P26" s="34"/>
      <c r="Q26" s="33"/>
      <c r="R26" s="34"/>
      <c r="S26" s="33"/>
      <c r="T26" s="34"/>
      <c r="U26" s="33"/>
      <c r="V26" s="34"/>
      <c r="W26" s="33"/>
      <c r="X26" s="34"/>
      <c r="Y26" s="33"/>
      <c r="Z26" s="34"/>
      <c r="AA26" s="33"/>
      <c r="AB26" s="34"/>
      <c r="AC26" s="32"/>
      <c r="AD26" s="34"/>
      <c r="AE26" s="33"/>
      <c r="AF26" s="34"/>
      <c r="AG26" s="33"/>
      <c r="AH26" s="34"/>
      <c r="AI26" s="33"/>
      <c r="AJ26" s="34"/>
      <c r="AK26" s="33"/>
      <c r="AL26" s="34"/>
      <c r="AM26" s="33"/>
      <c r="AN26" s="34"/>
      <c r="AO26" s="32"/>
      <c r="AP26" s="34"/>
      <c r="AQ26" s="33"/>
      <c r="AR26" s="34"/>
      <c r="AS26" s="33"/>
      <c r="AT26" s="34"/>
      <c r="AU26" s="36"/>
      <c r="AV26" s="48"/>
      <c r="AW26" s="10"/>
      <c r="AX26" s="10"/>
    </row>
    <row r="27" spans="1:50" x14ac:dyDescent="0.2">
      <c r="A27" s="45"/>
      <c r="B27" s="35"/>
      <c r="C27" s="32"/>
      <c r="D27" s="31"/>
      <c r="E27" s="32"/>
      <c r="F27" s="34"/>
      <c r="G27" s="32"/>
      <c r="H27" s="31"/>
      <c r="I27" s="32"/>
      <c r="J27" s="31"/>
      <c r="K27" s="33"/>
      <c r="L27" s="34"/>
      <c r="M27" s="33"/>
      <c r="N27" s="34"/>
      <c r="O27" s="33"/>
      <c r="P27" s="34"/>
      <c r="Q27" s="33"/>
      <c r="R27" s="34"/>
      <c r="S27" s="33"/>
      <c r="T27" s="34"/>
      <c r="U27" s="33"/>
      <c r="V27" s="34"/>
      <c r="W27" s="33"/>
      <c r="X27" s="34"/>
      <c r="Y27" s="33"/>
      <c r="Z27" s="31"/>
      <c r="AA27" s="33"/>
      <c r="AB27" s="34"/>
      <c r="AC27" s="32"/>
      <c r="AD27" s="31"/>
      <c r="AE27" s="32"/>
      <c r="AF27" s="34"/>
      <c r="AG27" s="33"/>
      <c r="AH27" s="34"/>
      <c r="AI27" s="33"/>
      <c r="AJ27" s="34"/>
      <c r="AK27" s="33"/>
      <c r="AL27" s="31"/>
      <c r="AM27" s="33"/>
      <c r="AN27" s="34"/>
      <c r="AO27" s="32"/>
      <c r="AP27" s="34"/>
      <c r="AQ27" s="33"/>
      <c r="AR27" s="34"/>
      <c r="AS27" s="33"/>
      <c r="AT27" s="34"/>
      <c r="AU27" s="36"/>
      <c r="AV27" s="48"/>
      <c r="AW27" s="10"/>
      <c r="AX27" s="10"/>
    </row>
    <row r="28" spans="1:50" x14ac:dyDescent="0.2">
      <c r="A28" s="45"/>
      <c r="B28" s="35"/>
      <c r="C28" s="33"/>
      <c r="D28" s="34"/>
      <c r="E28" s="32"/>
      <c r="F28" s="34"/>
      <c r="G28" s="33"/>
      <c r="H28" s="31"/>
      <c r="I28" s="33"/>
      <c r="J28" s="34"/>
      <c r="K28" s="32"/>
      <c r="L28" s="34"/>
      <c r="M28" s="33"/>
      <c r="N28" s="34"/>
      <c r="O28" s="33"/>
      <c r="P28" s="34"/>
      <c r="Q28" s="33"/>
      <c r="R28" s="34"/>
      <c r="S28" s="33"/>
      <c r="T28" s="31"/>
      <c r="U28" s="33"/>
      <c r="V28" s="34"/>
      <c r="W28" s="32"/>
      <c r="X28" s="34"/>
      <c r="Y28" s="33"/>
      <c r="Z28" s="34"/>
      <c r="AA28" s="33"/>
      <c r="AB28" s="34"/>
      <c r="AC28" s="32"/>
      <c r="AD28" s="31"/>
      <c r="AE28" s="32"/>
      <c r="AF28" s="34"/>
      <c r="AG28" s="33"/>
      <c r="AH28" s="34"/>
      <c r="AI28" s="33"/>
      <c r="AJ28" s="34"/>
      <c r="AK28" s="33"/>
      <c r="AL28" s="31"/>
      <c r="AM28" s="33"/>
      <c r="AN28" s="34"/>
      <c r="AO28" s="32"/>
      <c r="AP28" s="34"/>
      <c r="AQ28" s="33"/>
      <c r="AR28" s="34"/>
      <c r="AS28" s="33"/>
      <c r="AT28" s="34"/>
      <c r="AU28" s="36"/>
      <c r="AV28" s="48"/>
      <c r="AW28" s="10"/>
      <c r="AX28" s="10"/>
    </row>
    <row r="29" spans="1:50" ht="22.2" customHeight="1" x14ac:dyDescent="0.2">
      <c r="A29" s="21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20"/>
      <c r="AV29" s="17"/>
      <c r="AW29" s="10"/>
      <c r="AX29" s="10"/>
    </row>
    <row r="30" spans="1:50" x14ac:dyDescent="0.2">
      <c r="A30" s="45"/>
      <c r="B30" s="35"/>
      <c r="C30" s="32"/>
      <c r="D30" s="31"/>
      <c r="E30" s="32"/>
      <c r="F30" s="31"/>
      <c r="G30" s="32"/>
      <c r="H30" s="31"/>
      <c r="I30" s="32"/>
      <c r="J30" s="31"/>
      <c r="K30" s="33"/>
      <c r="L30" s="34"/>
      <c r="M30" s="33"/>
      <c r="N30" s="34"/>
      <c r="O30" s="33"/>
      <c r="P30" s="34"/>
      <c r="Q30" s="33"/>
      <c r="R30" s="34"/>
      <c r="S30" s="33"/>
      <c r="T30" s="34"/>
      <c r="U30" s="33"/>
      <c r="V30" s="34"/>
      <c r="W30" s="33"/>
      <c r="X30" s="34"/>
      <c r="Y30" s="33"/>
      <c r="Z30" s="34"/>
      <c r="AA30" s="33"/>
      <c r="AB30" s="34"/>
      <c r="AC30" s="32"/>
      <c r="AD30" s="31"/>
      <c r="AE30" s="32"/>
      <c r="AF30" s="34"/>
      <c r="AG30" s="33"/>
      <c r="AH30" s="34"/>
      <c r="AI30" s="33"/>
      <c r="AJ30" s="34"/>
      <c r="AK30" s="33"/>
      <c r="AL30" s="34"/>
      <c r="AM30" s="33"/>
      <c r="AN30" s="34"/>
      <c r="AO30" s="33"/>
      <c r="AP30" s="34"/>
      <c r="AQ30" s="33"/>
      <c r="AR30" s="34"/>
      <c r="AS30" s="33"/>
      <c r="AT30" s="34"/>
      <c r="AU30" s="36"/>
      <c r="AV30" s="48"/>
      <c r="AW30" s="10"/>
      <c r="AX30" s="10"/>
    </row>
    <row r="31" spans="1:50" x14ac:dyDescent="0.2">
      <c r="A31" s="45"/>
      <c r="B31" s="35"/>
      <c r="C31" s="32"/>
      <c r="D31" s="31"/>
      <c r="E31" s="32"/>
      <c r="F31" s="31"/>
      <c r="G31" s="32"/>
      <c r="H31" s="31"/>
      <c r="I31" s="32"/>
      <c r="J31" s="31"/>
      <c r="K31" s="33"/>
      <c r="L31" s="34"/>
      <c r="M31" s="33"/>
      <c r="N31" s="34"/>
      <c r="O31" s="33"/>
      <c r="P31" s="34"/>
      <c r="Q31" s="33"/>
      <c r="R31" s="34"/>
      <c r="S31" s="33"/>
      <c r="T31" s="34"/>
      <c r="U31" s="33"/>
      <c r="V31" s="34"/>
      <c r="W31" s="33"/>
      <c r="X31" s="34"/>
      <c r="Y31" s="33"/>
      <c r="Z31" s="31"/>
      <c r="AA31" s="32"/>
      <c r="AB31" s="34"/>
      <c r="AC31" s="32"/>
      <c r="AD31" s="31"/>
      <c r="AE31" s="32"/>
      <c r="AF31" s="34"/>
      <c r="AG31" s="33"/>
      <c r="AH31" s="34"/>
      <c r="AI31" s="33"/>
      <c r="AJ31" s="34"/>
      <c r="AK31" s="33"/>
      <c r="AL31" s="31"/>
      <c r="AM31" s="33"/>
      <c r="AN31" s="34"/>
      <c r="AO31" s="32"/>
      <c r="AP31" s="34"/>
      <c r="AQ31" s="32"/>
      <c r="AR31" s="34"/>
      <c r="AS31" s="33"/>
      <c r="AT31" s="31"/>
      <c r="AU31" s="37"/>
      <c r="AV31" s="48"/>
      <c r="AW31" s="10"/>
      <c r="AX31" s="10"/>
    </row>
    <row r="32" spans="1:50" x14ac:dyDescent="0.2">
      <c r="A32" s="45"/>
      <c r="B32" s="35"/>
      <c r="C32" s="32"/>
      <c r="D32" s="31"/>
      <c r="E32" s="32"/>
      <c r="F32" s="31"/>
      <c r="G32" s="32"/>
      <c r="H32" s="31"/>
      <c r="I32" s="32"/>
      <c r="J32" s="31"/>
      <c r="K32" s="33"/>
      <c r="L32" s="34"/>
      <c r="M32" s="33"/>
      <c r="N32" s="34"/>
      <c r="O32" s="33"/>
      <c r="P32" s="34"/>
      <c r="Q32" s="33"/>
      <c r="R32" s="34"/>
      <c r="S32" s="33"/>
      <c r="T32" s="31"/>
      <c r="U32" s="33"/>
      <c r="V32" s="34"/>
      <c r="W32" s="33"/>
      <c r="X32" s="34"/>
      <c r="Y32" s="33"/>
      <c r="Z32" s="31"/>
      <c r="AA32" s="32"/>
      <c r="AB32" s="34"/>
      <c r="AC32" s="32"/>
      <c r="AD32" s="31"/>
      <c r="AE32" s="33"/>
      <c r="AF32" s="34"/>
      <c r="AG32" s="33"/>
      <c r="AH32" s="34"/>
      <c r="AI32" s="33"/>
      <c r="AJ32" s="34"/>
      <c r="AK32" s="33"/>
      <c r="AL32" s="34"/>
      <c r="AM32" s="33"/>
      <c r="AN32" s="34"/>
      <c r="AO32" s="33"/>
      <c r="AP32" s="34"/>
      <c r="AQ32" s="33"/>
      <c r="AR32" s="34"/>
      <c r="AS32" s="33"/>
      <c r="AT32" s="31"/>
      <c r="AU32" s="37"/>
      <c r="AV32" s="48"/>
      <c r="AW32" s="10"/>
      <c r="AX32" s="10"/>
    </row>
    <row r="33" spans="1:50" x14ac:dyDescent="0.2">
      <c r="A33" s="45"/>
      <c r="B33" s="35"/>
      <c r="C33" s="32"/>
      <c r="D33" s="31"/>
      <c r="E33" s="32"/>
      <c r="F33" s="31"/>
      <c r="G33" s="32"/>
      <c r="H33" s="31"/>
      <c r="I33" s="32"/>
      <c r="J33" s="31"/>
      <c r="K33" s="33"/>
      <c r="L33" s="34"/>
      <c r="M33" s="33"/>
      <c r="N33" s="34"/>
      <c r="O33" s="33"/>
      <c r="P33" s="34"/>
      <c r="Q33" s="33"/>
      <c r="R33" s="34"/>
      <c r="S33" s="33"/>
      <c r="T33" s="34"/>
      <c r="U33" s="33"/>
      <c r="V33" s="34"/>
      <c r="W33" s="33"/>
      <c r="X33" s="34"/>
      <c r="Y33" s="33"/>
      <c r="Z33" s="31"/>
      <c r="AA33" s="33"/>
      <c r="AB33" s="34"/>
      <c r="AC33" s="32"/>
      <c r="AD33" s="31"/>
      <c r="AE33" s="32"/>
      <c r="AF33" s="34"/>
      <c r="AG33" s="33"/>
      <c r="AH33" s="34"/>
      <c r="AI33" s="33"/>
      <c r="AJ33" s="34"/>
      <c r="AK33" s="33"/>
      <c r="AL33" s="34"/>
      <c r="AM33" s="33"/>
      <c r="AN33" s="34"/>
      <c r="AO33" s="32"/>
      <c r="AP33" s="34"/>
      <c r="AQ33" s="33"/>
      <c r="AR33" s="34"/>
      <c r="AS33" s="33"/>
      <c r="AT33" s="31"/>
      <c r="AU33" s="37"/>
      <c r="AV33" s="48"/>
      <c r="AW33" s="10"/>
      <c r="AX33" s="10"/>
    </row>
    <row r="34" spans="1:50" x14ac:dyDescent="0.2">
      <c r="A34" s="123"/>
      <c r="B34" s="124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2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1"/>
      <c r="AV34" s="119"/>
      <c r="AW34" s="119"/>
      <c r="AX34" s="119"/>
    </row>
    <row r="35" spans="1:50" x14ac:dyDescent="0.2">
      <c r="A35" s="123"/>
      <c r="B35" s="124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2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1"/>
      <c r="AV35" s="119"/>
      <c r="AW35" s="119"/>
      <c r="AX35" s="119"/>
    </row>
    <row r="36" spans="1:50" x14ac:dyDescent="0.2">
      <c r="A36" s="45"/>
      <c r="B36" s="38"/>
      <c r="C36" s="33"/>
      <c r="D36" s="34"/>
      <c r="E36" s="32"/>
      <c r="F36" s="31"/>
      <c r="G36" s="32"/>
      <c r="H36" s="31"/>
      <c r="I36" s="32"/>
      <c r="J36" s="31"/>
      <c r="K36" s="33"/>
      <c r="L36" s="34"/>
      <c r="M36" s="33"/>
      <c r="N36" s="34"/>
      <c r="O36" s="33"/>
      <c r="P36" s="34"/>
      <c r="Q36" s="33"/>
      <c r="R36" s="34"/>
      <c r="S36" s="33"/>
      <c r="T36" s="34"/>
      <c r="U36" s="33"/>
      <c r="V36" s="34"/>
      <c r="W36" s="33"/>
      <c r="X36" s="34"/>
      <c r="Y36" s="33"/>
      <c r="Z36" s="31"/>
      <c r="AA36" s="32"/>
      <c r="AB36" s="34"/>
      <c r="AC36" s="32"/>
      <c r="AD36" s="31"/>
      <c r="AE36" s="33"/>
      <c r="AF36" s="34"/>
      <c r="AG36" s="33"/>
      <c r="AH36" s="34"/>
      <c r="AI36" s="33"/>
      <c r="AJ36" s="34"/>
      <c r="AK36" s="33"/>
      <c r="AL36" s="34"/>
      <c r="AM36" s="33"/>
      <c r="AN36" s="34"/>
      <c r="AO36" s="33"/>
      <c r="AP36" s="34"/>
      <c r="AQ36" s="33"/>
      <c r="AR36" s="34"/>
      <c r="AS36" s="33"/>
      <c r="AT36" s="34"/>
      <c r="AU36" s="36"/>
      <c r="AV36" s="48"/>
      <c r="AW36" s="10"/>
      <c r="AX36" s="10"/>
    </row>
    <row r="37" spans="1:50" x14ac:dyDescent="0.2">
      <c r="A37" s="45"/>
      <c r="B37" s="38"/>
      <c r="C37" s="33"/>
      <c r="D37" s="34"/>
      <c r="E37" s="33"/>
      <c r="F37" s="34"/>
      <c r="G37" s="33"/>
      <c r="H37" s="34"/>
      <c r="I37" s="33"/>
      <c r="J37" s="34"/>
      <c r="K37" s="33"/>
      <c r="L37" s="34"/>
      <c r="M37" s="33"/>
      <c r="N37" s="34"/>
      <c r="O37" s="33"/>
      <c r="P37" s="34"/>
      <c r="Q37" s="33"/>
      <c r="R37" s="34"/>
      <c r="S37" s="33"/>
      <c r="T37" s="34"/>
      <c r="U37" s="33"/>
      <c r="V37" s="34"/>
      <c r="W37" s="33"/>
      <c r="X37" s="34"/>
      <c r="Y37" s="33"/>
      <c r="Z37" s="34"/>
      <c r="AA37" s="33"/>
      <c r="AB37" s="34"/>
      <c r="AC37" s="32"/>
      <c r="AD37" s="31"/>
      <c r="AE37" s="33"/>
      <c r="AF37" s="34"/>
      <c r="AG37" s="33"/>
      <c r="AH37" s="34"/>
      <c r="AI37" s="33"/>
      <c r="AJ37" s="34"/>
      <c r="AK37" s="33"/>
      <c r="AL37" s="34"/>
      <c r="AM37" s="33"/>
      <c r="AN37" s="34"/>
      <c r="AO37" s="33"/>
      <c r="AP37" s="34"/>
      <c r="AQ37" s="33"/>
      <c r="AR37" s="34"/>
      <c r="AS37" s="33"/>
      <c r="AT37" s="34"/>
      <c r="AU37" s="36"/>
      <c r="AV37" s="48"/>
      <c r="AW37" s="10"/>
      <c r="AX37" s="10"/>
    </row>
    <row r="38" spans="1:50" x14ac:dyDescent="0.2">
      <c r="A38" s="45"/>
      <c r="B38" s="38"/>
      <c r="C38" s="33"/>
      <c r="D38" s="34"/>
      <c r="E38" s="33"/>
      <c r="F38" s="34"/>
      <c r="G38" s="33"/>
      <c r="H38" s="34"/>
      <c r="I38" s="33"/>
      <c r="J38" s="34"/>
      <c r="K38" s="33"/>
      <c r="L38" s="34"/>
      <c r="M38" s="33"/>
      <c r="N38" s="34"/>
      <c r="O38" s="33"/>
      <c r="P38" s="34"/>
      <c r="Q38" s="33"/>
      <c r="R38" s="34"/>
      <c r="S38" s="33"/>
      <c r="T38" s="34"/>
      <c r="U38" s="33"/>
      <c r="V38" s="34"/>
      <c r="W38" s="33"/>
      <c r="X38" s="34"/>
      <c r="Y38" s="33"/>
      <c r="Z38" s="34"/>
      <c r="AA38" s="33"/>
      <c r="AB38" s="34"/>
      <c r="AC38" s="32"/>
      <c r="AD38" s="31"/>
      <c r="AE38" s="33"/>
      <c r="AF38" s="34"/>
      <c r="AG38" s="33"/>
      <c r="AH38" s="34"/>
      <c r="AI38" s="33"/>
      <c r="AJ38" s="34"/>
      <c r="AK38" s="33"/>
      <c r="AL38" s="34"/>
      <c r="AM38" s="33"/>
      <c r="AN38" s="34"/>
      <c r="AO38" s="32"/>
      <c r="AP38" s="34"/>
      <c r="AQ38" s="33"/>
      <c r="AR38" s="34"/>
      <c r="AS38" s="33"/>
      <c r="AT38" s="34"/>
      <c r="AU38" s="36"/>
      <c r="AV38" s="48"/>
      <c r="AW38" s="10"/>
      <c r="AX38" s="10"/>
    </row>
    <row r="39" spans="1:50" x14ac:dyDescent="0.2">
      <c r="A39" s="45"/>
      <c r="B39" s="38"/>
      <c r="C39" s="33"/>
      <c r="D39" s="34"/>
      <c r="E39" s="33"/>
      <c r="F39" s="34"/>
      <c r="G39" s="33"/>
      <c r="H39" s="34"/>
      <c r="I39" s="33"/>
      <c r="J39" s="34"/>
      <c r="K39" s="33"/>
      <c r="L39" s="34"/>
      <c r="M39" s="33"/>
      <c r="N39" s="34"/>
      <c r="O39" s="33"/>
      <c r="P39" s="34"/>
      <c r="Q39" s="33"/>
      <c r="R39" s="34"/>
      <c r="S39" s="33"/>
      <c r="T39" s="34"/>
      <c r="U39" s="33"/>
      <c r="V39" s="34"/>
      <c r="W39" s="33"/>
      <c r="X39" s="34"/>
      <c r="Y39" s="33"/>
      <c r="Z39" s="34"/>
      <c r="AA39" s="33"/>
      <c r="AB39" s="34"/>
      <c r="AC39" s="33"/>
      <c r="AD39" s="34"/>
      <c r="AE39" s="33"/>
      <c r="AF39" s="34"/>
      <c r="AG39" s="33"/>
      <c r="AH39" s="34"/>
      <c r="AI39" s="33"/>
      <c r="AJ39" s="34"/>
      <c r="AK39" s="33"/>
      <c r="AL39" s="31"/>
      <c r="AM39" s="32"/>
      <c r="AN39" s="31"/>
      <c r="AO39" s="32"/>
      <c r="AP39" s="31"/>
      <c r="AQ39" s="32"/>
      <c r="AR39" s="34"/>
      <c r="AS39" s="33"/>
      <c r="AT39" s="34"/>
      <c r="AU39" s="36"/>
      <c r="AV39" s="48"/>
      <c r="AW39" s="10"/>
      <c r="AX39" s="10"/>
    </row>
    <row r="40" spans="1:50" x14ac:dyDescent="0.2">
      <c r="A40" s="123"/>
      <c r="B40" s="124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2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1"/>
      <c r="AV40" s="119"/>
      <c r="AW40" s="119"/>
      <c r="AX40" s="119"/>
    </row>
    <row r="41" spans="1:50" x14ac:dyDescent="0.2">
      <c r="A41" s="123"/>
      <c r="B41" s="124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2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1"/>
      <c r="AV41" s="119"/>
      <c r="AW41" s="119"/>
      <c r="AX41" s="119"/>
    </row>
    <row r="42" spans="1:50" x14ac:dyDescent="0.2">
      <c r="A42" s="45"/>
      <c r="B42" s="35"/>
      <c r="C42" s="32"/>
      <c r="D42" s="34"/>
      <c r="E42" s="32"/>
      <c r="F42" s="31"/>
      <c r="G42" s="33"/>
      <c r="H42" s="31"/>
      <c r="I42" s="32"/>
      <c r="J42" s="34"/>
      <c r="K42" s="33"/>
      <c r="L42" s="34"/>
      <c r="M42" s="33"/>
      <c r="N42" s="34"/>
      <c r="O42" s="33"/>
      <c r="P42" s="34"/>
      <c r="Q42" s="33"/>
      <c r="R42" s="34"/>
      <c r="S42" s="33"/>
      <c r="T42" s="34"/>
      <c r="U42" s="33"/>
      <c r="V42" s="34"/>
      <c r="W42" s="33"/>
      <c r="X42" s="34"/>
      <c r="Y42" s="33"/>
      <c r="Z42" s="34"/>
      <c r="AA42" s="33"/>
      <c r="AB42" s="34"/>
      <c r="AC42" s="33"/>
      <c r="AD42" s="34"/>
      <c r="AE42" s="33"/>
      <c r="AF42" s="34"/>
      <c r="AG42" s="33"/>
      <c r="AH42" s="34"/>
      <c r="AI42" s="33"/>
      <c r="AJ42" s="34"/>
      <c r="AK42" s="33"/>
      <c r="AL42" s="34"/>
      <c r="AM42" s="33"/>
      <c r="AN42" s="34"/>
      <c r="AO42" s="33"/>
      <c r="AP42" s="34"/>
      <c r="AQ42" s="33"/>
      <c r="AR42" s="34"/>
      <c r="AS42" s="33"/>
      <c r="AT42" s="34"/>
      <c r="AU42" s="36"/>
      <c r="AV42" s="48"/>
      <c r="AW42" s="10"/>
      <c r="AX42" s="10"/>
    </row>
    <row r="43" spans="1:50" x14ac:dyDescent="0.2">
      <c r="A43" s="45"/>
      <c r="B43" s="35"/>
      <c r="C43" s="32"/>
      <c r="D43" s="31"/>
      <c r="E43" s="32"/>
      <c r="F43" s="31"/>
      <c r="G43" s="32"/>
      <c r="H43" s="31"/>
      <c r="I43" s="32"/>
      <c r="J43" s="31"/>
      <c r="K43" s="33"/>
      <c r="L43" s="34"/>
      <c r="M43" s="33"/>
      <c r="N43" s="34"/>
      <c r="O43" s="33"/>
      <c r="P43" s="34"/>
      <c r="Q43" s="33"/>
      <c r="R43" s="34"/>
      <c r="S43" s="33"/>
      <c r="T43" s="34"/>
      <c r="U43" s="33"/>
      <c r="V43" s="34"/>
      <c r="W43" s="33"/>
      <c r="X43" s="34"/>
      <c r="Y43" s="33"/>
      <c r="Z43" s="34"/>
      <c r="AA43" s="33"/>
      <c r="AB43" s="34"/>
      <c r="AC43" s="32"/>
      <c r="AD43" s="34"/>
      <c r="AE43" s="32"/>
      <c r="AF43" s="34"/>
      <c r="AG43" s="33"/>
      <c r="AH43" s="34"/>
      <c r="AI43" s="33"/>
      <c r="AJ43" s="34"/>
      <c r="AK43" s="33"/>
      <c r="AL43" s="34"/>
      <c r="AM43" s="33"/>
      <c r="AN43" s="34"/>
      <c r="AO43" s="32"/>
      <c r="AP43" s="34"/>
      <c r="AQ43" s="33"/>
      <c r="AR43" s="34"/>
      <c r="AS43" s="33"/>
      <c r="AT43" s="34"/>
      <c r="AU43" s="36"/>
      <c r="AV43" s="48"/>
      <c r="AW43" s="10"/>
      <c r="AX43" s="10"/>
    </row>
    <row r="44" spans="1:50" x14ac:dyDescent="0.2">
      <c r="A44" s="45"/>
      <c r="B44" s="38"/>
      <c r="C44" s="33"/>
      <c r="D44" s="34"/>
      <c r="E44" s="33"/>
      <c r="F44" s="34"/>
      <c r="G44" s="33"/>
      <c r="H44" s="34"/>
      <c r="I44" s="33"/>
      <c r="J44" s="34"/>
      <c r="K44" s="33"/>
      <c r="L44" s="34"/>
      <c r="M44" s="33"/>
      <c r="N44" s="34"/>
      <c r="O44" s="33"/>
      <c r="P44" s="34"/>
      <c r="Q44" s="33"/>
      <c r="R44" s="34"/>
      <c r="S44" s="33"/>
      <c r="T44" s="34"/>
      <c r="U44" s="33"/>
      <c r="V44" s="34"/>
      <c r="W44" s="33"/>
      <c r="X44" s="34"/>
      <c r="Y44" s="33"/>
      <c r="Z44" s="34"/>
      <c r="AA44" s="33"/>
      <c r="AB44" s="34"/>
      <c r="AC44" s="32"/>
      <c r="AD44" s="31"/>
      <c r="AE44" s="32"/>
      <c r="AF44" s="34"/>
      <c r="AG44" s="33"/>
      <c r="AH44" s="34"/>
      <c r="AI44" s="33"/>
      <c r="AJ44" s="34"/>
      <c r="AK44" s="33"/>
      <c r="AL44" s="34"/>
      <c r="AM44" s="33"/>
      <c r="AN44" s="34"/>
      <c r="AO44" s="32"/>
      <c r="AP44" s="34"/>
      <c r="AQ44" s="33"/>
      <c r="AR44" s="34"/>
      <c r="AS44" s="33"/>
      <c r="AT44" s="34"/>
      <c r="AU44" s="36"/>
      <c r="AV44" s="48"/>
      <c r="AW44" s="10"/>
      <c r="AX44" s="10"/>
    </row>
    <row r="45" spans="1:50" x14ac:dyDescent="0.2">
      <c r="A45" s="45"/>
      <c r="B45" s="38"/>
      <c r="C45" s="33"/>
      <c r="D45" s="34"/>
      <c r="E45" s="33"/>
      <c r="F45" s="34"/>
      <c r="G45" s="33"/>
      <c r="H45" s="31"/>
      <c r="I45" s="32"/>
      <c r="J45" s="34"/>
      <c r="K45" s="32"/>
      <c r="L45" s="34"/>
      <c r="M45" s="33"/>
      <c r="N45" s="34"/>
      <c r="O45" s="33"/>
      <c r="P45" s="34"/>
      <c r="Q45" s="33"/>
      <c r="R45" s="34"/>
      <c r="S45" s="33"/>
      <c r="T45" s="34"/>
      <c r="U45" s="33"/>
      <c r="V45" s="34"/>
      <c r="W45" s="33"/>
      <c r="X45" s="34"/>
      <c r="Y45" s="33"/>
      <c r="Z45" s="34"/>
      <c r="AA45" s="33"/>
      <c r="AB45" s="34"/>
      <c r="AC45" s="32"/>
      <c r="AD45" s="31"/>
      <c r="AE45" s="32"/>
      <c r="AF45" s="34"/>
      <c r="AG45" s="33"/>
      <c r="AH45" s="34"/>
      <c r="AI45" s="33"/>
      <c r="AJ45" s="34"/>
      <c r="AK45" s="33"/>
      <c r="AL45" s="31"/>
      <c r="AM45" s="32"/>
      <c r="AN45" s="31"/>
      <c r="AO45" s="32"/>
      <c r="AP45" s="31"/>
      <c r="AQ45" s="32"/>
      <c r="AR45" s="34"/>
      <c r="AS45" s="33"/>
      <c r="AT45" s="34"/>
      <c r="AU45" s="36"/>
      <c r="AV45" s="48"/>
      <c r="AW45" s="10"/>
      <c r="AX45" s="10"/>
    </row>
    <row r="46" spans="1:50" x14ac:dyDescent="0.2">
      <c r="A46" s="45"/>
      <c r="B46" s="35"/>
      <c r="C46" s="32"/>
      <c r="D46" s="34"/>
      <c r="E46" s="32"/>
      <c r="F46" s="31"/>
      <c r="G46" s="33"/>
      <c r="H46" s="31"/>
      <c r="I46" s="32"/>
      <c r="J46" s="31"/>
      <c r="K46" s="33"/>
      <c r="L46" s="34"/>
      <c r="M46" s="33"/>
      <c r="N46" s="34"/>
      <c r="O46" s="33"/>
      <c r="P46" s="34"/>
      <c r="Q46" s="33"/>
      <c r="R46" s="34"/>
      <c r="S46" s="33"/>
      <c r="T46" s="34"/>
      <c r="U46" s="33"/>
      <c r="V46" s="34"/>
      <c r="W46" s="33"/>
      <c r="X46" s="34"/>
      <c r="Y46" s="33"/>
      <c r="Z46" s="34"/>
      <c r="AA46" s="33"/>
      <c r="AB46" s="34"/>
      <c r="AC46" s="32"/>
      <c r="AD46" s="31"/>
      <c r="AE46" s="32"/>
      <c r="AF46" s="34"/>
      <c r="AG46" s="33"/>
      <c r="AH46" s="34"/>
      <c r="AI46" s="33"/>
      <c r="AJ46" s="34"/>
      <c r="AK46" s="33"/>
      <c r="AL46" s="34"/>
      <c r="AM46" s="33"/>
      <c r="AN46" s="34"/>
      <c r="AO46" s="33"/>
      <c r="AP46" s="34"/>
      <c r="AQ46" s="33"/>
      <c r="AR46" s="34"/>
      <c r="AS46" s="33"/>
      <c r="AT46" s="34"/>
      <c r="AU46" s="36"/>
      <c r="AV46" s="48"/>
      <c r="AW46" s="10"/>
      <c r="AX46" s="10"/>
    </row>
    <row r="47" spans="1:50" x14ac:dyDescent="0.2">
      <c r="A47" s="123"/>
      <c r="B47" s="124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2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1"/>
      <c r="AV47" s="119"/>
      <c r="AW47" s="119"/>
      <c r="AX47" s="119"/>
    </row>
    <row r="48" spans="1:50" x14ac:dyDescent="0.2">
      <c r="A48" s="123"/>
      <c r="B48" s="124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2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1"/>
      <c r="AV48" s="119"/>
      <c r="AW48" s="119"/>
      <c r="AX48" s="119"/>
    </row>
    <row r="49" spans="1:50" x14ac:dyDescent="0.2">
      <c r="A49" s="45"/>
      <c r="B49" s="38"/>
      <c r="C49" s="33"/>
      <c r="D49" s="34"/>
      <c r="E49" s="33"/>
      <c r="F49" s="34"/>
      <c r="G49" s="33"/>
      <c r="H49" s="34"/>
      <c r="I49" s="33"/>
      <c r="J49" s="34"/>
      <c r="K49" s="33"/>
      <c r="L49" s="34"/>
      <c r="M49" s="33"/>
      <c r="N49" s="34"/>
      <c r="O49" s="33"/>
      <c r="P49" s="34"/>
      <c r="Q49" s="33"/>
      <c r="R49" s="34"/>
      <c r="S49" s="33"/>
      <c r="T49" s="34"/>
      <c r="U49" s="33"/>
      <c r="V49" s="34"/>
      <c r="W49" s="33"/>
      <c r="X49" s="34"/>
      <c r="Y49" s="33"/>
      <c r="Z49" s="34"/>
      <c r="AA49" s="33"/>
      <c r="AB49" s="34"/>
      <c r="AC49" s="32"/>
      <c r="AD49" s="31"/>
      <c r="AE49" s="33"/>
      <c r="AF49" s="34"/>
      <c r="AG49" s="33"/>
      <c r="AH49" s="34"/>
      <c r="AI49" s="33"/>
      <c r="AJ49" s="34"/>
      <c r="AK49" s="33"/>
      <c r="AL49" s="34"/>
      <c r="AM49" s="33"/>
      <c r="AN49" s="34"/>
      <c r="AO49" s="33"/>
      <c r="AP49" s="34"/>
      <c r="AQ49" s="33"/>
      <c r="AR49" s="34"/>
      <c r="AS49" s="33"/>
      <c r="AT49" s="34"/>
      <c r="AU49" s="36"/>
      <c r="AV49" s="48"/>
      <c r="AW49" s="10"/>
      <c r="AX49" s="10"/>
    </row>
    <row r="50" spans="1:50" x14ac:dyDescent="0.2">
      <c r="A50" s="45"/>
      <c r="B50" s="38"/>
      <c r="C50" s="33"/>
      <c r="D50" s="34"/>
      <c r="E50" s="33"/>
      <c r="F50" s="34"/>
      <c r="G50" s="33"/>
      <c r="H50" s="34"/>
      <c r="I50" s="33"/>
      <c r="J50" s="34"/>
      <c r="K50" s="33"/>
      <c r="L50" s="34"/>
      <c r="M50" s="33"/>
      <c r="N50" s="34"/>
      <c r="O50" s="33"/>
      <c r="P50" s="34"/>
      <c r="Q50" s="33"/>
      <c r="R50" s="34"/>
      <c r="S50" s="33"/>
      <c r="T50" s="34"/>
      <c r="U50" s="33"/>
      <c r="V50" s="34"/>
      <c r="W50" s="33"/>
      <c r="X50" s="34"/>
      <c r="Y50" s="33"/>
      <c r="Z50" s="34"/>
      <c r="AA50" s="33"/>
      <c r="AB50" s="34"/>
      <c r="AC50" s="32"/>
      <c r="AD50" s="34"/>
      <c r="AE50" s="33"/>
      <c r="AF50" s="34"/>
      <c r="AG50" s="33"/>
      <c r="AH50" s="34"/>
      <c r="AI50" s="33"/>
      <c r="AJ50" s="34"/>
      <c r="AK50" s="33"/>
      <c r="AL50" s="31"/>
      <c r="AM50" s="32"/>
      <c r="AN50" s="31"/>
      <c r="AO50" s="32"/>
      <c r="AP50" s="34"/>
      <c r="AQ50" s="33"/>
      <c r="AR50" s="34"/>
      <c r="AS50" s="33"/>
      <c r="AT50" s="34"/>
      <c r="AU50" s="36"/>
      <c r="AV50" s="48"/>
      <c r="AW50" s="10"/>
      <c r="AX50" s="10"/>
    </row>
    <row r="51" spans="1:50" x14ac:dyDescent="0.2">
      <c r="A51" s="45"/>
      <c r="B51" s="38"/>
      <c r="C51" s="33"/>
      <c r="D51" s="34"/>
      <c r="E51" s="33"/>
      <c r="F51" s="34"/>
      <c r="G51" s="33"/>
      <c r="H51" s="34"/>
      <c r="I51" s="33"/>
      <c r="J51" s="34"/>
      <c r="K51" s="33"/>
      <c r="L51" s="34"/>
      <c r="M51" s="33"/>
      <c r="N51" s="34"/>
      <c r="O51" s="33"/>
      <c r="P51" s="34"/>
      <c r="Q51" s="33"/>
      <c r="R51" s="34"/>
      <c r="S51" s="33"/>
      <c r="T51" s="34"/>
      <c r="U51" s="33"/>
      <c r="V51" s="34"/>
      <c r="W51" s="33"/>
      <c r="X51" s="34"/>
      <c r="Y51" s="33"/>
      <c r="Z51" s="34"/>
      <c r="AA51" s="33"/>
      <c r="AB51" s="34"/>
      <c r="AC51" s="33"/>
      <c r="AD51" s="34"/>
      <c r="AE51" s="33"/>
      <c r="AF51" s="34"/>
      <c r="AG51" s="33"/>
      <c r="AH51" s="34"/>
      <c r="AI51" s="33"/>
      <c r="AJ51" s="34"/>
      <c r="AK51" s="33"/>
      <c r="AL51" s="34"/>
      <c r="AM51" s="33"/>
      <c r="AN51" s="34"/>
      <c r="AO51" s="32"/>
      <c r="AP51" s="34"/>
      <c r="AQ51" s="33"/>
      <c r="AR51" s="34"/>
      <c r="AS51" s="33"/>
      <c r="AT51" s="34"/>
      <c r="AU51" s="36"/>
      <c r="AV51" s="48"/>
      <c r="AW51" s="10"/>
      <c r="AX51" s="10"/>
    </row>
    <row r="52" spans="1:50" x14ac:dyDescent="0.2">
      <c r="A52" s="45"/>
      <c r="B52" s="35"/>
      <c r="C52" s="32"/>
      <c r="D52" s="34"/>
      <c r="E52" s="32"/>
      <c r="F52" s="31"/>
      <c r="G52" s="33"/>
      <c r="H52" s="31"/>
      <c r="I52" s="32"/>
      <c r="J52" s="31"/>
      <c r="K52" s="33"/>
      <c r="L52" s="34"/>
      <c r="M52" s="33"/>
      <c r="N52" s="34"/>
      <c r="O52" s="33"/>
      <c r="P52" s="34"/>
      <c r="Q52" s="33"/>
      <c r="R52" s="34"/>
      <c r="S52" s="33"/>
      <c r="T52" s="31"/>
      <c r="U52" s="32"/>
      <c r="V52" s="34"/>
      <c r="W52" s="33"/>
      <c r="X52" s="34"/>
      <c r="Y52" s="33"/>
      <c r="Z52" s="31"/>
      <c r="AA52" s="32"/>
      <c r="AB52" s="34"/>
      <c r="AC52" s="32"/>
      <c r="AD52" s="31"/>
      <c r="AE52" s="32"/>
      <c r="AF52" s="34"/>
      <c r="AG52" s="33"/>
      <c r="AH52" s="34"/>
      <c r="AI52" s="33"/>
      <c r="AJ52" s="34"/>
      <c r="AK52" s="33"/>
      <c r="AL52" s="34"/>
      <c r="AM52" s="33"/>
      <c r="AN52" s="34"/>
      <c r="AO52" s="32"/>
      <c r="AP52" s="34"/>
      <c r="AQ52" s="33"/>
      <c r="AR52" s="34"/>
      <c r="AS52" s="33"/>
      <c r="AT52" s="34"/>
      <c r="AU52" s="36"/>
      <c r="AV52" s="48"/>
      <c r="AW52" s="10"/>
      <c r="AX52" s="10"/>
    </row>
    <row r="53" spans="1:50" x14ac:dyDescent="0.2">
      <c r="A53" s="45"/>
      <c r="B53" s="38"/>
      <c r="C53" s="33"/>
      <c r="D53" s="34"/>
      <c r="E53" s="33"/>
      <c r="F53" s="34"/>
      <c r="G53" s="33"/>
      <c r="H53" s="34"/>
      <c r="I53" s="33"/>
      <c r="J53" s="34"/>
      <c r="K53" s="33"/>
      <c r="L53" s="34"/>
      <c r="M53" s="33"/>
      <c r="N53" s="34"/>
      <c r="O53" s="33"/>
      <c r="P53" s="34"/>
      <c r="Q53" s="33"/>
      <c r="R53" s="34"/>
      <c r="S53" s="33"/>
      <c r="T53" s="31"/>
      <c r="U53" s="32"/>
      <c r="V53" s="34"/>
      <c r="W53" s="33"/>
      <c r="X53" s="34"/>
      <c r="Y53" s="33"/>
      <c r="Z53" s="31"/>
      <c r="AA53" s="32"/>
      <c r="AB53" s="34"/>
      <c r="AC53" s="32"/>
      <c r="AD53" s="31"/>
      <c r="AE53" s="33"/>
      <c r="AF53" s="34"/>
      <c r="AG53" s="33"/>
      <c r="AH53" s="34"/>
      <c r="AI53" s="33"/>
      <c r="AJ53" s="34"/>
      <c r="AK53" s="33"/>
      <c r="AL53" s="34"/>
      <c r="AM53" s="33"/>
      <c r="AN53" s="34"/>
      <c r="AO53" s="32"/>
      <c r="AP53" s="31"/>
      <c r="AQ53" s="32"/>
      <c r="AR53" s="34"/>
      <c r="AS53" s="33"/>
      <c r="AT53" s="34"/>
      <c r="AU53" s="36"/>
      <c r="AV53" s="48"/>
      <c r="AW53" s="10"/>
      <c r="AX53" s="10"/>
    </row>
    <row r="54" spans="1:50" x14ac:dyDescent="0.2">
      <c r="A54" s="123"/>
      <c r="B54" s="124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2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1"/>
      <c r="AV54" s="119"/>
      <c r="AW54" s="119"/>
      <c r="AX54" s="119"/>
    </row>
    <row r="55" spans="1:50" x14ac:dyDescent="0.2">
      <c r="A55" s="123"/>
      <c r="B55" s="124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2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1"/>
      <c r="AV55" s="119"/>
      <c r="AW55" s="119"/>
      <c r="AX55" s="119"/>
    </row>
    <row r="56" spans="1:50" x14ac:dyDescent="0.2">
      <c r="A56" s="45"/>
      <c r="B56" s="38"/>
      <c r="C56" s="33"/>
      <c r="D56" s="34"/>
      <c r="E56" s="33"/>
      <c r="F56" s="34"/>
      <c r="G56" s="33"/>
      <c r="H56" s="34"/>
      <c r="I56" s="33"/>
      <c r="J56" s="34"/>
      <c r="K56" s="33"/>
      <c r="L56" s="34"/>
      <c r="M56" s="33"/>
      <c r="N56" s="34"/>
      <c r="O56" s="33"/>
      <c r="P56" s="34"/>
      <c r="Q56" s="33"/>
      <c r="R56" s="34"/>
      <c r="S56" s="33"/>
      <c r="T56" s="34"/>
      <c r="U56" s="33"/>
      <c r="V56" s="34"/>
      <c r="W56" s="33"/>
      <c r="X56" s="34"/>
      <c r="Y56" s="33"/>
      <c r="Z56" s="34"/>
      <c r="AA56" s="33"/>
      <c r="AB56" s="34"/>
      <c r="AC56" s="32"/>
      <c r="AD56" s="31"/>
      <c r="AE56" s="32"/>
      <c r="AF56" s="34"/>
      <c r="AG56" s="33"/>
      <c r="AH56" s="34"/>
      <c r="AI56" s="33"/>
      <c r="AJ56" s="34"/>
      <c r="AK56" s="33"/>
      <c r="AL56" s="31"/>
      <c r="AM56" s="32"/>
      <c r="AN56" s="34"/>
      <c r="AO56" s="33"/>
      <c r="AP56" s="34"/>
      <c r="AQ56" s="33"/>
      <c r="AR56" s="34"/>
      <c r="AS56" s="33"/>
      <c r="AT56" s="34"/>
      <c r="AU56" s="36"/>
      <c r="AV56" s="48"/>
      <c r="AW56" s="10"/>
      <c r="AX56" s="10"/>
    </row>
    <row r="57" spans="1:50" x14ac:dyDescent="0.2">
      <c r="A57" s="45"/>
      <c r="B57" s="38"/>
      <c r="C57" s="33"/>
      <c r="D57" s="34"/>
      <c r="E57" s="33"/>
      <c r="F57" s="34"/>
      <c r="G57" s="33"/>
      <c r="H57" s="34"/>
      <c r="I57" s="33"/>
      <c r="J57" s="34"/>
      <c r="K57" s="32"/>
      <c r="L57" s="31"/>
      <c r="M57" s="33"/>
      <c r="N57" s="31"/>
      <c r="O57" s="32"/>
      <c r="P57" s="34"/>
      <c r="Q57" s="33"/>
      <c r="R57" s="34"/>
      <c r="S57" s="33"/>
      <c r="T57" s="34"/>
      <c r="U57" s="33"/>
      <c r="V57" s="34"/>
      <c r="W57" s="32"/>
      <c r="X57" s="31"/>
      <c r="Y57" s="33"/>
      <c r="Z57" s="31"/>
      <c r="AA57" s="32"/>
      <c r="AB57" s="34"/>
      <c r="AC57" s="32"/>
      <c r="AD57" s="31"/>
      <c r="AE57" s="33"/>
      <c r="AF57" s="34"/>
      <c r="AG57" s="33"/>
      <c r="AH57" s="34"/>
      <c r="AI57" s="33"/>
      <c r="AJ57" s="34"/>
      <c r="AK57" s="33"/>
      <c r="AL57" s="31"/>
      <c r="AM57" s="32"/>
      <c r="AN57" s="31"/>
      <c r="AO57" s="32"/>
      <c r="AP57" s="31"/>
      <c r="AQ57" s="32"/>
      <c r="AR57" s="34"/>
      <c r="AS57" s="33"/>
      <c r="AT57" s="34"/>
      <c r="AU57" s="36"/>
      <c r="AV57" s="48"/>
      <c r="AW57" s="10"/>
      <c r="AX57" s="10"/>
    </row>
    <row r="58" spans="1:50" x14ac:dyDescent="0.2">
      <c r="A58" s="45"/>
      <c r="B58" s="38"/>
      <c r="C58" s="33"/>
      <c r="D58" s="34"/>
      <c r="E58" s="33"/>
      <c r="F58" s="34"/>
      <c r="G58" s="33"/>
      <c r="H58" s="31"/>
      <c r="I58" s="32"/>
      <c r="J58" s="34"/>
      <c r="K58" s="32"/>
      <c r="L58" s="31"/>
      <c r="M58" s="33"/>
      <c r="N58" s="34"/>
      <c r="O58" s="33"/>
      <c r="P58" s="34"/>
      <c r="Q58" s="33"/>
      <c r="R58" s="34"/>
      <c r="S58" s="33"/>
      <c r="T58" s="31"/>
      <c r="U58" s="32"/>
      <c r="V58" s="34"/>
      <c r="W58" s="32"/>
      <c r="X58" s="31"/>
      <c r="Y58" s="33"/>
      <c r="Z58" s="31"/>
      <c r="AA58" s="32"/>
      <c r="AB58" s="34"/>
      <c r="AC58" s="32"/>
      <c r="AD58" s="31"/>
      <c r="AE58" s="32"/>
      <c r="AF58" s="34"/>
      <c r="AG58" s="33"/>
      <c r="AH58" s="34"/>
      <c r="AI58" s="33"/>
      <c r="AJ58" s="34"/>
      <c r="AK58" s="33"/>
      <c r="AL58" s="31"/>
      <c r="AM58" s="32"/>
      <c r="AN58" s="34"/>
      <c r="AO58" s="32"/>
      <c r="AP58" s="31"/>
      <c r="AQ58" s="32"/>
      <c r="AR58" s="34"/>
      <c r="AS58" s="33"/>
      <c r="AT58" s="34"/>
      <c r="AU58" s="36"/>
      <c r="AV58" s="48"/>
      <c r="AW58" s="10"/>
      <c r="AX58" s="10"/>
    </row>
    <row r="59" spans="1:50" x14ac:dyDescent="0.2">
      <c r="A59" s="45"/>
      <c r="B59" s="38"/>
      <c r="C59" s="33"/>
      <c r="D59" s="34"/>
      <c r="E59" s="33"/>
      <c r="F59" s="34"/>
      <c r="G59" s="33"/>
      <c r="H59" s="34"/>
      <c r="I59" s="33"/>
      <c r="J59" s="34"/>
      <c r="K59" s="33"/>
      <c r="L59" s="34"/>
      <c r="M59" s="33"/>
      <c r="N59" s="34"/>
      <c r="O59" s="33"/>
      <c r="P59" s="34"/>
      <c r="Q59" s="33"/>
      <c r="R59" s="34"/>
      <c r="S59" s="33"/>
      <c r="T59" s="34"/>
      <c r="U59" s="33"/>
      <c r="V59" s="34"/>
      <c r="W59" s="33"/>
      <c r="X59" s="34"/>
      <c r="Y59" s="33"/>
      <c r="Z59" s="34"/>
      <c r="AA59" s="33"/>
      <c r="AB59" s="34"/>
      <c r="AC59" s="32"/>
      <c r="AD59" s="31"/>
      <c r="AE59" s="32"/>
      <c r="AF59" s="34"/>
      <c r="AG59" s="33"/>
      <c r="AH59" s="34"/>
      <c r="AI59" s="33"/>
      <c r="AJ59" s="34"/>
      <c r="AK59" s="33"/>
      <c r="AL59" s="31"/>
      <c r="AM59" s="32"/>
      <c r="AN59" s="31"/>
      <c r="AO59" s="32"/>
      <c r="AP59" s="31"/>
      <c r="AQ59" s="32"/>
      <c r="AR59" s="34"/>
      <c r="AS59" s="33"/>
      <c r="AT59" s="34"/>
      <c r="AU59" s="36"/>
      <c r="AV59" s="48"/>
      <c r="AW59" s="10"/>
      <c r="AX59" s="10"/>
    </row>
    <row r="60" spans="1:50" x14ac:dyDescent="0.2">
      <c r="A60" s="45"/>
      <c r="B60" s="38"/>
      <c r="C60" s="33"/>
      <c r="D60" s="34"/>
      <c r="E60" s="33"/>
      <c r="F60" s="34"/>
      <c r="G60" s="33"/>
      <c r="H60" s="34"/>
      <c r="I60" s="33"/>
      <c r="J60" s="34"/>
      <c r="K60" s="32"/>
      <c r="L60" s="31"/>
      <c r="M60" s="33"/>
      <c r="N60" s="31"/>
      <c r="O60" s="32"/>
      <c r="P60" s="34"/>
      <c r="Q60" s="33"/>
      <c r="R60" s="34"/>
      <c r="S60" s="33"/>
      <c r="T60" s="31"/>
      <c r="U60" s="32"/>
      <c r="V60" s="34"/>
      <c r="W60" s="32"/>
      <c r="X60" s="31"/>
      <c r="Y60" s="33"/>
      <c r="Z60" s="31"/>
      <c r="AA60" s="32"/>
      <c r="AB60" s="34"/>
      <c r="AC60" s="32"/>
      <c r="AD60" s="31"/>
      <c r="AE60" s="32"/>
      <c r="AF60" s="34"/>
      <c r="AG60" s="33"/>
      <c r="AH60" s="34"/>
      <c r="AI60" s="32"/>
      <c r="AJ60" s="31"/>
      <c r="AK60" s="33"/>
      <c r="AL60" s="31"/>
      <c r="AM60" s="32"/>
      <c r="AN60" s="31"/>
      <c r="AO60" s="32"/>
      <c r="AP60" s="31"/>
      <c r="AQ60" s="32"/>
      <c r="AR60" s="34"/>
      <c r="AS60" s="33"/>
      <c r="AT60" s="34"/>
      <c r="AU60" s="36"/>
      <c r="AV60" s="48"/>
      <c r="AW60" s="10"/>
      <c r="AX60" s="10"/>
    </row>
    <row r="61" spans="1:50" x14ac:dyDescent="0.2">
      <c r="A61" s="123"/>
      <c r="B61" s="124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2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1"/>
      <c r="AV61" s="119"/>
      <c r="AW61" s="119"/>
      <c r="AX61" s="119"/>
    </row>
    <row r="62" spans="1:50" x14ac:dyDescent="0.2">
      <c r="A62" s="123"/>
      <c r="B62" s="124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2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1"/>
      <c r="AV62" s="119"/>
      <c r="AW62" s="119"/>
      <c r="AX62" s="119"/>
    </row>
    <row r="63" spans="1:50" x14ac:dyDescent="0.2">
      <c r="A63" s="45"/>
      <c r="B63" s="38"/>
      <c r="C63" s="33"/>
      <c r="D63" s="34"/>
      <c r="E63" s="33"/>
      <c r="F63" s="34"/>
      <c r="G63" s="33"/>
      <c r="H63" s="34"/>
      <c r="I63" s="33"/>
      <c r="J63" s="34"/>
      <c r="K63" s="33"/>
      <c r="L63" s="34"/>
      <c r="M63" s="33"/>
      <c r="N63" s="34"/>
      <c r="O63" s="33"/>
      <c r="P63" s="34"/>
      <c r="Q63" s="33"/>
      <c r="R63" s="34"/>
      <c r="S63" s="33"/>
      <c r="T63" s="34"/>
      <c r="U63" s="33"/>
      <c r="V63" s="34"/>
      <c r="W63" s="33"/>
      <c r="X63" s="34"/>
      <c r="Y63" s="33"/>
      <c r="Z63" s="34"/>
      <c r="AA63" s="33"/>
      <c r="AB63" s="34"/>
      <c r="AC63" s="32"/>
      <c r="AD63" s="31"/>
      <c r="AE63" s="33"/>
      <c r="AF63" s="34"/>
      <c r="AG63" s="33"/>
      <c r="AH63" s="34"/>
      <c r="AI63" s="33"/>
      <c r="AJ63" s="34"/>
      <c r="AK63" s="33"/>
      <c r="AL63" s="34"/>
      <c r="AM63" s="33"/>
      <c r="AN63" s="34"/>
      <c r="AO63" s="32"/>
      <c r="AP63" s="31"/>
      <c r="AQ63" s="32"/>
      <c r="AR63" s="34"/>
      <c r="AS63" s="33"/>
      <c r="AT63" s="34"/>
      <c r="AU63" s="36"/>
      <c r="AV63" s="48"/>
      <c r="AW63" s="10"/>
      <c r="AX63" s="10"/>
    </row>
    <row r="64" spans="1:50" x14ac:dyDescent="0.2">
      <c r="A64" s="45"/>
      <c r="B64" s="38"/>
      <c r="C64" s="33"/>
      <c r="D64" s="34"/>
      <c r="E64" s="33"/>
      <c r="F64" s="34"/>
      <c r="G64" s="33"/>
      <c r="H64" s="34"/>
      <c r="I64" s="33"/>
      <c r="J64" s="34"/>
      <c r="K64" s="33"/>
      <c r="L64" s="34"/>
      <c r="M64" s="33"/>
      <c r="N64" s="34"/>
      <c r="O64" s="33"/>
      <c r="P64" s="34"/>
      <c r="Q64" s="33"/>
      <c r="R64" s="34"/>
      <c r="S64" s="33"/>
      <c r="T64" s="34"/>
      <c r="U64" s="33"/>
      <c r="V64" s="34"/>
      <c r="W64" s="33"/>
      <c r="X64" s="34"/>
      <c r="Y64" s="33"/>
      <c r="Z64" s="34"/>
      <c r="AA64" s="33"/>
      <c r="AB64" s="34"/>
      <c r="AC64" s="32"/>
      <c r="AD64" s="31"/>
      <c r="AE64" s="33"/>
      <c r="AF64" s="34"/>
      <c r="AG64" s="33"/>
      <c r="AH64" s="34"/>
      <c r="AI64" s="33"/>
      <c r="AJ64" s="34"/>
      <c r="AK64" s="33"/>
      <c r="AL64" s="34"/>
      <c r="AM64" s="33"/>
      <c r="AN64" s="34"/>
      <c r="AO64" s="32"/>
      <c r="AP64" s="31"/>
      <c r="AQ64" s="32"/>
      <c r="AR64" s="34"/>
      <c r="AS64" s="33"/>
      <c r="AT64" s="34"/>
      <c r="AU64" s="36"/>
      <c r="AV64" s="48"/>
      <c r="AW64" s="10"/>
      <c r="AX64" s="10"/>
    </row>
    <row r="65" spans="1:50" x14ac:dyDescent="0.2">
      <c r="A65" s="45"/>
      <c r="B65" s="38"/>
      <c r="C65" s="33"/>
      <c r="D65" s="34"/>
      <c r="E65" s="33"/>
      <c r="F65" s="34"/>
      <c r="G65" s="33"/>
      <c r="H65" s="34"/>
      <c r="I65" s="33"/>
      <c r="J65" s="34"/>
      <c r="K65" s="33"/>
      <c r="L65" s="34"/>
      <c r="M65" s="33"/>
      <c r="N65" s="34"/>
      <c r="O65" s="33"/>
      <c r="P65" s="34"/>
      <c r="Q65" s="33"/>
      <c r="R65" s="34"/>
      <c r="S65" s="33"/>
      <c r="T65" s="34"/>
      <c r="U65" s="33"/>
      <c r="V65" s="34"/>
      <c r="W65" s="33"/>
      <c r="X65" s="34"/>
      <c r="Y65" s="33"/>
      <c r="Z65" s="34"/>
      <c r="AA65" s="33"/>
      <c r="AB65" s="34"/>
      <c r="AC65" s="32"/>
      <c r="AD65" s="31"/>
      <c r="AE65" s="33"/>
      <c r="AF65" s="34"/>
      <c r="AG65" s="33"/>
      <c r="AH65" s="34"/>
      <c r="AI65" s="33"/>
      <c r="AJ65" s="34"/>
      <c r="AK65" s="33"/>
      <c r="AL65" s="34"/>
      <c r="AM65" s="33"/>
      <c r="AN65" s="34"/>
      <c r="AO65" s="33"/>
      <c r="AP65" s="34"/>
      <c r="AQ65" s="33"/>
      <c r="AR65" s="34"/>
      <c r="AS65" s="33"/>
      <c r="AT65" s="34"/>
      <c r="AU65" s="36"/>
      <c r="AV65" s="48"/>
      <c r="AW65" s="10"/>
      <c r="AX65" s="10"/>
    </row>
    <row r="66" spans="1:50" x14ac:dyDescent="0.2">
      <c r="A66" s="123"/>
      <c r="B66" s="124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2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1"/>
      <c r="AV66" s="119"/>
      <c r="AW66" s="119"/>
      <c r="AX66" s="119"/>
    </row>
    <row r="67" spans="1:50" x14ac:dyDescent="0.2">
      <c r="A67" s="123"/>
      <c r="B67" s="124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2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1"/>
      <c r="AV67" s="119"/>
      <c r="AW67" s="119"/>
      <c r="AX67" s="119"/>
    </row>
    <row r="68" spans="1:50" x14ac:dyDescent="0.2">
      <c r="A68" s="45"/>
      <c r="B68" s="38"/>
      <c r="C68" s="33"/>
      <c r="D68" s="34"/>
      <c r="E68" s="33"/>
      <c r="F68" s="34"/>
      <c r="G68" s="33"/>
      <c r="H68" s="34"/>
      <c r="I68" s="33"/>
      <c r="J68" s="34"/>
      <c r="K68" s="33"/>
      <c r="L68" s="34"/>
      <c r="M68" s="33"/>
      <c r="N68" s="34"/>
      <c r="O68" s="33"/>
      <c r="P68" s="34"/>
      <c r="Q68" s="33"/>
      <c r="R68" s="34"/>
      <c r="S68" s="33"/>
      <c r="T68" s="34"/>
      <c r="U68" s="33"/>
      <c r="V68" s="34"/>
      <c r="W68" s="33"/>
      <c r="X68" s="34"/>
      <c r="Y68" s="33"/>
      <c r="Z68" s="34"/>
      <c r="AA68" s="33"/>
      <c r="AB68" s="34"/>
      <c r="AC68" s="33"/>
      <c r="AD68" s="34"/>
      <c r="AE68" s="33"/>
      <c r="AF68" s="34"/>
      <c r="AG68" s="33"/>
      <c r="AH68" s="34"/>
      <c r="AI68" s="33"/>
      <c r="AJ68" s="34"/>
      <c r="AK68" s="33"/>
      <c r="AL68" s="34"/>
      <c r="AM68" s="33"/>
      <c r="AN68" s="34"/>
      <c r="AO68" s="33"/>
      <c r="AP68" s="34"/>
      <c r="AQ68" s="33"/>
      <c r="AR68" s="34"/>
      <c r="AS68" s="33"/>
      <c r="AT68" s="34"/>
      <c r="AU68" s="36"/>
      <c r="AV68" s="48"/>
      <c r="AW68" s="10"/>
      <c r="AX68" s="10"/>
    </row>
    <row r="69" spans="1:50" x14ac:dyDescent="0.2">
      <c r="A69" s="45"/>
      <c r="B69" s="38"/>
      <c r="C69" s="33"/>
      <c r="D69" s="34"/>
      <c r="E69" s="33"/>
      <c r="F69" s="34"/>
      <c r="G69" s="33"/>
      <c r="H69" s="34"/>
      <c r="I69" s="33"/>
      <c r="J69" s="34"/>
      <c r="K69" s="33"/>
      <c r="L69" s="34"/>
      <c r="M69" s="33"/>
      <c r="N69" s="34"/>
      <c r="O69" s="33"/>
      <c r="P69" s="34"/>
      <c r="Q69" s="33"/>
      <c r="R69" s="34"/>
      <c r="S69" s="33"/>
      <c r="T69" s="34"/>
      <c r="U69" s="33"/>
      <c r="V69" s="34"/>
      <c r="W69" s="32"/>
      <c r="X69" s="31"/>
      <c r="Y69" s="33"/>
      <c r="Z69" s="34"/>
      <c r="AA69" s="33"/>
      <c r="AB69" s="34"/>
      <c r="AC69" s="33"/>
      <c r="AD69" s="34"/>
      <c r="AE69" s="33"/>
      <c r="AF69" s="34"/>
      <c r="AG69" s="33"/>
      <c r="AH69" s="34"/>
      <c r="AI69" s="33"/>
      <c r="AJ69" s="34"/>
      <c r="AK69" s="33"/>
      <c r="AL69" s="31"/>
      <c r="AM69" s="32"/>
      <c r="AN69" s="31"/>
      <c r="AO69" s="32"/>
      <c r="AP69" s="31"/>
      <c r="AQ69" s="32"/>
      <c r="AR69" s="34"/>
      <c r="AS69" s="33"/>
      <c r="AT69" s="34"/>
      <c r="AU69" s="36"/>
      <c r="AV69" s="48"/>
      <c r="AW69" s="10"/>
      <c r="AX69" s="10"/>
    </row>
    <row r="70" spans="1:50" x14ac:dyDescent="0.2">
      <c r="A70" s="45"/>
      <c r="B70" s="38"/>
      <c r="C70" s="33"/>
      <c r="D70" s="34"/>
      <c r="E70" s="33"/>
      <c r="F70" s="34"/>
      <c r="G70" s="33"/>
      <c r="H70" s="34"/>
      <c r="I70" s="33"/>
      <c r="J70" s="34"/>
      <c r="K70" s="33"/>
      <c r="L70" s="34"/>
      <c r="M70" s="33"/>
      <c r="N70" s="34"/>
      <c r="O70" s="33"/>
      <c r="P70" s="34"/>
      <c r="Q70" s="33"/>
      <c r="R70" s="34"/>
      <c r="S70" s="33"/>
      <c r="T70" s="34"/>
      <c r="U70" s="33"/>
      <c r="V70" s="34"/>
      <c r="W70" s="33"/>
      <c r="X70" s="34"/>
      <c r="Y70" s="33"/>
      <c r="Z70" s="34"/>
      <c r="AA70" s="33"/>
      <c r="AB70" s="34"/>
      <c r="AC70" s="32"/>
      <c r="AD70" s="34"/>
      <c r="AE70" s="33"/>
      <c r="AF70" s="34"/>
      <c r="AG70" s="33"/>
      <c r="AH70" s="34"/>
      <c r="AI70" s="33"/>
      <c r="AJ70" s="34"/>
      <c r="AK70" s="33"/>
      <c r="AL70" s="34"/>
      <c r="AM70" s="33"/>
      <c r="AN70" s="34"/>
      <c r="AO70" s="32"/>
      <c r="AP70" s="34"/>
      <c r="AQ70" s="33"/>
      <c r="AR70" s="34"/>
      <c r="AS70" s="33"/>
      <c r="AT70" s="34"/>
      <c r="AU70" s="36"/>
      <c r="AV70" s="48"/>
      <c r="AW70" s="10"/>
      <c r="AX70" s="10"/>
    </row>
    <row r="71" spans="1:50" x14ac:dyDescent="0.2">
      <c r="A71" s="45"/>
      <c r="B71" s="38"/>
      <c r="C71" s="33"/>
      <c r="D71" s="34"/>
      <c r="E71" s="33"/>
      <c r="F71" s="34"/>
      <c r="G71" s="33"/>
      <c r="H71" s="34"/>
      <c r="I71" s="33"/>
      <c r="J71" s="34"/>
      <c r="K71" s="33"/>
      <c r="L71" s="34"/>
      <c r="M71" s="33"/>
      <c r="N71" s="34"/>
      <c r="O71" s="33"/>
      <c r="P71" s="34"/>
      <c r="Q71" s="33"/>
      <c r="R71" s="34"/>
      <c r="S71" s="33"/>
      <c r="T71" s="34"/>
      <c r="U71" s="33"/>
      <c r="V71" s="34"/>
      <c r="W71" s="33"/>
      <c r="X71" s="34"/>
      <c r="Y71" s="33"/>
      <c r="Z71" s="34"/>
      <c r="AA71" s="33"/>
      <c r="AB71" s="34"/>
      <c r="AC71" s="33"/>
      <c r="AD71" s="34"/>
      <c r="AE71" s="33"/>
      <c r="AF71" s="34"/>
      <c r="AG71" s="33"/>
      <c r="AH71" s="34"/>
      <c r="AI71" s="33"/>
      <c r="AJ71" s="34"/>
      <c r="AK71" s="33"/>
      <c r="AL71" s="34"/>
      <c r="AM71" s="33"/>
      <c r="AN71" s="34"/>
      <c r="AO71" s="32"/>
      <c r="AP71" s="31"/>
      <c r="AQ71" s="33"/>
      <c r="AR71" s="34"/>
      <c r="AS71" s="33"/>
      <c r="AT71" s="34"/>
      <c r="AU71" s="36"/>
      <c r="AV71" s="48"/>
      <c r="AW71" s="10"/>
      <c r="AX71" s="10"/>
    </row>
    <row r="72" spans="1:50" x14ac:dyDescent="0.2">
      <c r="A72" s="45"/>
      <c r="B72" s="38"/>
      <c r="C72" s="33"/>
      <c r="D72" s="34"/>
      <c r="E72" s="33"/>
      <c r="F72" s="34"/>
      <c r="G72" s="33"/>
      <c r="H72" s="34"/>
      <c r="I72" s="33"/>
      <c r="J72" s="34"/>
      <c r="K72" s="33"/>
      <c r="L72" s="34"/>
      <c r="M72" s="33"/>
      <c r="N72" s="34"/>
      <c r="O72" s="33"/>
      <c r="P72" s="34"/>
      <c r="Q72" s="33"/>
      <c r="R72" s="34"/>
      <c r="S72" s="33"/>
      <c r="T72" s="34"/>
      <c r="U72" s="33"/>
      <c r="V72" s="34"/>
      <c r="W72" s="33"/>
      <c r="X72" s="34"/>
      <c r="Y72" s="33"/>
      <c r="Z72" s="34"/>
      <c r="AA72" s="33"/>
      <c r="AB72" s="34"/>
      <c r="AC72" s="33"/>
      <c r="AD72" s="34"/>
      <c r="AE72" s="33"/>
      <c r="AF72" s="34"/>
      <c r="AG72" s="33"/>
      <c r="AH72" s="34"/>
      <c r="AI72" s="33"/>
      <c r="AJ72" s="34"/>
      <c r="AK72" s="33"/>
      <c r="AL72" s="34"/>
      <c r="AM72" s="33"/>
      <c r="AN72" s="34"/>
      <c r="AO72" s="32"/>
      <c r="AP72" s="31"/>
      <c r="AQ72" s="33"/>
      <c r="AR72" s="34"/>
      <c r="AS72" s="33"/>
      <c r="AT72" s="34"/>
      <c r="AU72" s="36"/>
      <c r="AV72" s="48"/>
      <c r="AW72" s="10"/>
      <c r="AX72" s="10"/>
    </row>
    <row r="73" spans="1:50" x14ac:dyDescent="0.2">
      <c r="A73" s="123"/>
      <c r="B73" s="124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2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5"/>
      <c r="AM73" s="125"/>
      <c r="AN73" s="125"/>
      <c r="AO73" s="125"/>
      <c r="AP73" s="125"/>
      <c r="AQ73" s="125"/>
      <c r="AR73" s="125"/>
      <c r="AS73" s="125"/>
      <c r="AT73" s="125"/>
      <c r="AU73" s="126"/>
      <c r="AV73" s="119"/>
      <c r="AW73" s="119"/>
      <c r="AX73" s="119"/>
    </row>
    <row r="74" spans="1:50" x14ac:dyDescent="0.2">
      <c r="A74" s="123"/>
      <c r="B74" s="124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2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1"/>
      <c r="AV74" s="119"/>
      <c r="AW74" s="119"/>
      <c r="AX74" s="119"/>
    </row>
    <row r="75" spans="1:50" x14ac:dyDescent="0.2">
      <c r="A75" s="46"/>
      <c r="B75" s="38"/>
      <c r="C75" s="33"/>
      <c r="D75" s="34"/>
      <c r="E75" s="33"/>
      <c r="F75" s="34"/>
      <c r="G75" s="33"/>
      <c r="H75" s="34"/>
      <c r="I75" s="33"/>
      <c r="J75" s="34"/>
      <c r="K75" s="33"/>
      <c r="L75" s="34"/>
      <c r="M75" s="33"/>
      <c r="N75" s="34"/>
      <c r="O75" s="33"/>
      <c r="P75" s="34"/>
      <c r="Q75" s="33"/>
      <c r="R75" s="34"/>
      <c r="S75" s="33"/>
      <c r="T75" s="34"/>
      <c r="U75" s="33"/>
      <c r="V75" s="34"/>
      <c r="W75" s="33"/>
      <c r="X75" s="34"/>
      <c r="Y75" s="33"/>
      <c r="Z75" s="34"/>
      <c r="AA75" s="33"/>
      <c r="AB75" s="34"/>
      <c r="AC75" s="33"/>
      <c r="AD75" s="34"/>
      <c r="AE75" s="33"/>
      <c r="AF75" s="34"/>
      <c r="AG75" s="33"/>
      <c r="AH75" s="34"/>
      <c r="AI75" s="33"/>
      <c r="AJ75" s="34"/>
      <c r="AK75" s="33"/>
      <c r="AL75" s="34"/>
      <c r="AM75" s="33"/>
      <c r="AN75" s="34"/>
      <c r="AO75" s="32"/>
      <c r="AP75" s="31"/>
      <c r="AQ75" s="33"/>
      <c r="AR75" s="34"/>
      <c r="AS75" s="33"/>
      <c r="AT75" s="34"/>
      <c r="AU75" s="36"/>
      <c r="AV75" s="48"/>
      <c r="AW75" s="10"/>
      <c r="AX75" s="10"/>
    </row>
    <row r="76" spans="1:50" x14ac:dyDescent="0.2">
      <c r="A76" s="46"/>
      <c r="B76" s="35"/>
      <c r="C76" s="32"/>
      <c r="D76" s="31"/>
      <c r="E76" s="32"/>
      <c r="F76" s="31"/>
      <c r="G76" s="32"/>
      <c r="H76" s="31"/>
      <c r="I76" s="32"/>
      <c r="J76" s="31"/>
      <c r="K76" s="32"/>
      <c r="L76" s="31"/>
      <c r="M76" s="32"/>
      <c r="N76" s="31"/>
      <c r="O76" s="32"/>
      <c r="P76" s="34"/>
      <c r="Q76" s="33"/>
      <c r="R76" s="34"/>
      <c r="S76" s="33"/>
      <c r="T76" s="31"/>
      <c r="U76" s="32"/>
      <c r="V76" s="31"/>
      <c r="W76" s="32"/>
      <c r="X76" s="31"/>
      <c r="Y76" s="33"/>
      <c r="Z76" s="31"/>
      <c r="AA76" s="32"/>
      <c r="AB76" s="34"/>
      <c r="AC76" s="32"/>
      <c r="AD76" s="31"/>
      <c r="AE76" s="32"/>
      <c r="AF76" s="34"/>
      <c r="AG76" s="33"/>
      <c r="AH76" s="34"/>
      <c r="AI76" s="32"/>
      <c r="AJ76" s="31"/>
      <c r="AK76" s="32"/>
      <c r="AL76" s="31"/>
      <c r="AM76" s="32"/>
      <c r="AN76" s="31"/>
      <c r="AO76" s="32"/>
      <c r="AP76" s="31"/>
      <c r="AQ76" s="32"/>
      <c r="AR76" s="34"/>
      <c r="AS76" s="33"/>
      <c r="AT76" s="34"/>
      <c r="AU76" s="36"/>
      <c r="AV76" s="48"/>
      <c r="AW76" s="10"/>
      <c r="AX76" s="10"/>
    </row>
    <row r="77" spans="1:50" x14ac:dyDescent="0.2">
      <c r="A77" s="46"/>
      <c r="B77" s="35"/>
      <c r="C77" s="32"/>
      <c r="D77" s="31"/>
      <c r="E77" s="32"/>
      <c r="F77" s="31"/>
      <c r="G77" s="32"/>
      <c r="H77" s="31"/>
      <c r="I77" s="32"/>
      <c r="J77" s="31"/>
      <c r="K77" s="32"/>
      <c r="L77" s="31"/>
      <c r="M77" s="32"/>
      <c r="N77" s="31"/>
      <c r="O77" s="32"/>
      <c r="P77" s="31"/>
      <c r="Q77" s="33"/>
      <c r="R77" s="34"/>
      <c r="S77" s="33"/>
      <c r="T77" s="31"/>
      <c r="U77" s="32"/>
      <c r="V77" s="31"/>
      <c r="W77" s="32"/>
      <c r="X77" s="31"/>
      <c r="Y77" s="32"/>
      <c r="Z77" s="31"/>
      <c r="AA77" s="33"/>
      <c r="AB77" s="34"/>
      <c r="AC77" s="32"/>
      <c r="AD77" s="31"/>
      <c r="AE77" s="32"/>
      <c r="AF77" s="31"/>
      <c r="AG77" s="32"/>
      <c r="AH77" s="31"/>
      <c r="AI77" s="32"/>
      <c r="AJ77" s="31"/>
      <c r="AK77" s="32"/>
      <c r="AL77" s="31"/>
      <c r="AM77" s="32"/>
      <c r="AN77" s="31"/>
      <c r="AO77" s="32"/>
      <c r="AP77" s="34"/>
      <c r="AQ77" s="33"/>
      <c r="AR77" s="34"/>
      <c r="AS77" s="33"/>
      <c r="AT77" s="31"/>
      <c r="AU77" s="36"/>
      <c r="AV77" s="48"/>
      <c r="AW77" s="10"/>
      <c r="AX77" s="10"/>
    </row>
    <row r="78" spans="1:50" x14ac:dyDescent="0.2">
      <c r="A78" s="46"/>
      <c r="B78" s="35"/>
      <c r="C78" s="32"/>
      <c r="D78" s="31"/>
      <c r="E78" s="32"/>
      <c r="F78" s="31"/>
      <c r="G78" s="32"/>
      <c r="H78" s="31"/>
      <c r="I78" s="32"/>
      <c r="J78" s="31"/>
      <c r="K78" s="32"/>
      <c r="L78" s="31"/>
      <c r="M78" s="32"/>
      <c r="N78" s="31"/>
      <c r="O78" s="32"/>
      <c r="P78" s="31"/>
      <c r="Q78" s="33"/>
      <c r="R78" s="34"/>
      <c r="S78" s="33"/>
      <c r="T78" s="31"/>
      <c r="U78" s="32"/>
      <c r="V78" s="31"/>
      <c r="W78" s="32"/>
      <c r="X78" s="31"/>
      <c r="Y78" s="32"/>
      <c r="Z78" s="31"/>
      <c r="AA78" s="33"/>
      <c r="AB78" s="34"/>
      <c r="AC78" s="32"/>
      <c r="AD78" s="31"/>
      <c r="AE78" s="32"/>
      <c r="AF78" s="31"/>
      <c r="AG78" s="32"/>
      <c r="AH78" s="31"/>
      <c r="AI78" s="32"/>
      <c r="AJ78" s="31"/>
      <c r="AK78" s="32"/>
      <c r="AL78" s="31"/>
      <c r="AM78" s="32"/>
      <c r="AN78" s="31"/>
      <c r="AO78" s="32"/>
      <c r="AP78" s="34"/>
      <c r="AQ78" s="33"/>
      <c r="AR78" s="34"/>
      <c r="AS78" s="33"/>
      <c r="AT78" s="31"/>
      <c r="AU78" s="36"/>
      <c r="AV78" s="48"/>
      <c r="AW78" s="10"/>
      <c r="AX78" s="10"/>
    </row>
    <row r="79" spans="1:50" x14ac:dyDescent="0.2">
      <c r="A79" s="46"/>
      <c r="B79" s="38"/>
      <c r="C79" s="33"/>
      <c r="D79" s="34"/>
      <c r="E79" s="33"/>
      <c r="F79" s="34"/>
      <c r="G79" s="33"/>
      <c r="H79" s="34"/>
      <c r="I79" s="33"/>
      <c r="J79" s="34"/>
      <c r="K79" s="33"/>
      <c r="L79" s="34"/>
      <c r="M79" s="33"/>
      <c r="N79" s="34"/>
      <c r="O79" s="33"/>
      <c r="P79" s="34"/>
      <c r="Q79" s="33"/>
      <c r="R79" s="34"/>
      <c r="S79" s="33"/>
      <c r="T79" s="34"/>
      <c r="U79" s="33"/>
      <c r="V79" s="34"/>
      <c r="W79" s="33"/>
      <c r="X79" s="34"/>
      <c r="Y79" s="33"/>
      <c r="Z79" s="34"/>
      <c r="AA79" s="33"/>
      <c r="AB79" s="34"/>
      <c r="AC79" s="32"/>
      <c r="AD79" s="34"/>
      <c r="AE79" s="33"/>
      <c r="AF79" s="34"/>
      <c r="AG79" s="33"/>
      <c r="AH79" s="34"/>
      <c r="AI79" s="33"/>
      <c r="AJ79" s="34"/>
      <c r="AK79" s="33"/>
      <c r="AL79" s="31"/>
      <c r="AM79" s="33"/>
      <c r="AN79" s="34"/>
      <c r="AO79" s="32"/>
      <c r="AP79" s="31"/>
      <c r="AQ79" s="33"/>
      <c r="AR79" s="34"/>
      <c r="AS79" s="33"/>
      <c r="AT79" s="34"/>
      <c r="AU79" s="36"/>
      <c r="AV79" s="48"/>
      <c r="AW79" s="10"/>
      <c r="AX79" s="10"/>
    </row>
    <row r="80" spans="1:50" x14ac:dyDescent="0.2">
      <c r="A80" s="46"/>
      <c r="B80" s="38"/>
      <c r="C80" s="33"/>
      <c r="D80" s="34"/>
      <c r="E80" s="33"/>
      <c r="F80" s="34"/>
      <c r="G80" s="33"/>
      <c r="H80" s="34"/>
      <c r="I80" s="33"/>
      <c r="J80" s="34"/>
      <c r="K80" s="32"/>
      <c r="L80" s="31"/>
      <c r="M80" s="33"/>
      <c r="N80" s="34"/>
      <c r="O80" s="33"/>
      <c r="P80" s="34"/>
      <c r="Q80" s="33"/>
      <c r="R80" s="34"/>
      <c r="S80" s="33"/>
      <c r="T80" s="34"/>
      <c r="U80" s="33"/>
      <c r="V80" s="34"/>
      <c r="W80" s="32"/>
      <c r="X80" s="31"/>
      <c r="Y80" s="33"/>
      <c r="Z80" s="31"/>
      <c r="AA80" s="32"/>
      <c r="AB80" s="34"/>
      <c r="AC80" s="32"/>
      <c r="AD80" s="31"/>
      <c r="AE80" s="33"/>
      <c r="AF80" s="34"/>
      <c r="AG80" s="33"/>
      <c r="AH80" s="34"/>
      <c r="AI80" s="32"/>
      <c r="AJ80" s="31"/>
      <c r="AK80" s="33"/>
      <c r="AL80" s="31"/>
      <c r="AM80" s="32"/>
      <c r="AN80" s="31"/>
      <c r="AO80" s="32"/>
      <c r="AP80" s="31"/>
      <c r="AQ80" s="32"/>
      <c r="AR80" s="34"/>
      <c r="AS80" s="33"/>
      <c r="AT80" s="34"/>
      <c r="AU80" s="36"/>
      <c r="AV80" s="48"/>
      <c r="AW80" s="10"/>
      <c r="AX80" s="10"/>
    </row>
    <row r="81" spans="1:50" x14ac:dyDescent="0.2">
      <c r="A81" s="46"/>
      <c r="B81" s="38"/>
      <c r="C81" s="33"/>
      <c r="D81" s="34"/>
      <c r="E81" s="33"/>
      <c r="F81" s="34"/>
      <c r="G81" s="33"/>
      <c r="H81" s="34"/>
      <c r="I81" s="33"/>
      <c r="J81" s="34"/>
      <c r="K81" s="32"/>
      <c r="L81" s="31"/>
      <c r="M81" s="33"/>
      <c r="N81" s="34"/>
      <c r="O81" s="33"/>
      <c r="P81" s="34"/>
      <c r="Q81" s="33"/>
      <c r="R81" s="34"/>
      <c r="S81" s="33"/>
      <c r="T81" s="34"/>
      <c r="U81" s="33"/>
      <c r="V81" s="34"/>
      <c r="W81" s="32"/>
      <c r="X81" s="31"/>
      <c r="Y81" s="33"/>
      <c r="Z81" s="31"/>
      <c r="AA81" s="32"/>
      <c r="AB81" s="34"/>
      <c r="AC81" s="32"/>
      <c r="AD81" s="31"/>
      <c r="AE81" s="33"/>
      <c r="AF81" s="34"/>
      <c r="AG81" s="33"/>
      <c r="AH81" s="34"/>
      <c r="AI81" s="32"/>
      <c r="AJ81" s="31"/>
      <c r="AK81" s="33"/>
      <c r="AL81" s="31"/>
      <c r="AM81" s="32"/>
      <c r="AN81" s="31"/>
      <c r="AO81" s="32"/>
      <c r="AP81" s="31"/>
      <c r="AQ81" s="32"/>
      <c r="AR81" s="34"/>
      <c r="AS81" s="33"/>
      <c r="AT81" s="34"/>
      <c r="AU81" s="36"/>
      <c r="AV81" s="48"/>
      <c r="AW81" s="10"/>
      <c r="AX81" s="10"/>
    </row>
    <row r="82" spans="1:50" x14ac:dyDescent="0.2">
      <c r="A82" s="46"/>
      <c r="B82" s="38"/>
      <c r="C82" s="33"/>
      <c r="D82" s="34"/>
      <c r="E82" s="33"/>
      <c r="F82" s="34"/>
      <c r="G82" s="33"/>
      <c r="H82" s="34"/>
      <c r="I82" s="33"/>
      <c r="J82" s="34"/>
      <c r="K82" s="32"/>
      <c r="L82" s="31"/>
      <c r="M82" s="33"/>
      <c r="N82" s="34"/>
      <c r="O82" s="33"/>
      <c r="P82" s="34"/>
      <c r="Q82" s="33"/>
      <c r="R82" s="34"/>
      <c r="S82" s="33"/>
      <c r="T82" s="34"/>
      <c r="U82" s="33"/>
      <c r="V82" s="34"/>
      <c r="W82" s="32"/>
      <c r="X82" s="31"/>
      <c r="Y82" s="33"/>
      <c r="Z82" s="34"/>
      <c r="AA82" s="33"/>
      <c r="AB82" s="34"/>
      <c r="AC82" s="32"/>
      <c r="AD82" s="31"/>
      <c r="AE82" s="32"/>
      <c r="AF82" s="34"/>
      <c r="AG82" s="33"/>
      <c r="AH82" s="34"/>
      <c r="AI82" s="33"/>
      <c r="AJ82" s="34"/>
      <c r="AK82" s="33"/>
      <c r="AL82" s="31"/>
      <c r="AM82" s="32"/>
      <c r="AN82" s="31"/>
      <c r="AO82" s="32"/>
      <c r="AP82" s="31"/>
      <c r="AQ82" s="32"/>
      <c r="AR82" s="34"/>
      <c r="AS82" s="33"/>
      <c r="AT82" s="34"/>
      <c r="AU82" s="36"/>
      <c r="AV82" s="48"/>
      <c r="AW82" s="10"/>
      <c r="AX82" s="10"/>
    </row>
    <row r="83" spans="1:50" x14ac:dyDescent="0.2">
      <c r="A83" s="123"/>
      <c r="B83" s="124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2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1"/>
      <c r="AV83" s="119"/>
      <c r="AW83" s="119"/>
      <c r="AX83" s="119"/>
    </row>
    <row r="84" spans="1:50" x14ac:dyDescent="0.2">
      <c r="A84" s="123"/>
      <c r="B84" s="124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2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1"/>
      <c r="AV84" s="119"/>
      <c r="AW84" s="119"/>
      <c r="AX84" s="119"/>
    </row>
    <row r="85" spans="1:50" x14ac:dyDescent="0.2">
      <c r="A85" s="45"/>
      <c r="B85" s="38"/>
      <c r="C85" s="33"/>
      <c r="D85" s="34"/>
      <c r="E85" s="33"/>
      <c r="F85" s="34"/>
      <c r="G85" s="33"/>
      <c r="H85" s="34"/>
      <c r="I85" s="33"/>
      <c r="J85" s="34"/>
      <c r="K85" s="33"/>
      <c r="L85" s="34"/>
      <c r="M85" s="33"/>
      <c r="N85" s="34"/>
      <c r="O85" s="33"/>
      <c r="P85" s="34"/>
      <c r="Q85" s="33"/>
      <c r="R85" s="34"/>
      <c r="S85" s="33"/>
      <c r="T85" s="34"/>
      <c r="U85" s="33"/>
      <c r="V85" s="34"/>
      <c r="W85" s="33"/>
      <c r="X85" s="34"/>
      <c r="Y85" s="33"/>
      <c r="Z85" s="34"/>
      <c r="AA85" s="33"/>
      <c r="AB85" s="34"/>
      <c r="AC85" s="33"/>
      <c r="AD85" s="34"/>
      <c r="AE85" s="33"/>
      <c r="AF85" s="34"/>
      <c r="AG85" s="33"/>
      <c r="AH85" s="34"/>
      <c r="AI85" s="33"/>
      <c r="AJ85" s="34"/>
      <c r="AK85" s="33"/>
      <c r="AL85" s="34"/>
      <c r="AM85" s="33"/>
      <c r="AN85" s="34"/>
      <c r="AO85" s="32"/>
      <c r="AP85" s="31"/>
      <c r="AQ85" s="33"/>
      <c r="AR85" s="34"/>
      <c r="AS85" s="33"/>
      <c r="AT85" s="34"/>
      <c r="AU85" s="36"/>
      <c r="AV85" s="48"/>
      <c r="AW85" s="10"/>
      <c r="AX85" s="10"/>
    </row>
    <row r="86" spans="1:50" x14ac:dyDescent="0.2">
      <c r="A86" s="45"/>
      <c r="B86" s="38"/>
      <c r="C86" s="33"/>
      <c r="D86" s="34"/>
      <c r="E86" s="33"/>
      <c r="F86" s="34"/>
      <c r="G86" s="33"/>
      <c r="H86" s="34"/>
      <c r="I86" s="33"/>
      <c r="J86" s="34"/>
      <c r="K86" s="33"/>
      <c r="L86" s="34"/>
      <c r="M86" s="33"/>
      <c r="N86" s="34"/>
      <c r="O86" s="33"/>
      <c r="P86" s="34"/>
      <c r="Q86" s="33"/>
      <c r="R86" s="34"/>
      <c r="S86" s="33"/>
      <c r="T86" s="34"/>
      <c r="U86" s="33"/>
      <c r="V86" s="34"/>
      <c r="W86" s="33"/>
      <c r="X86" s="34"/>
      <c r="Y86" s="33"/>
      <c r="Z86" s="31"/>
      <c r="AA86" s="32"/>
      <c r="AB86" s="34"/>
      <c r="AC86" s="32"/>
      <c r="AD86" s="31"/>
      <c r="AE86" s="33"/>
      <c r="AF86" s="31"/>
      <c r="AG86" s="32"/>
      <c r="AH86" s="34"/>
      <c r="AI86" s="33"/>
      <c r="AJ86" s="34"/>
      <c r="AK86" s="33"/>
      <c r="AL86" s="34"/>
      <c r="AM86" s="33"/>
      <c r="AN86" s="34"/>
      <c r="AO86" s="32"/>
      <c r="AP86" s="31"/>
      <c r="AQ86" s="32"/>
      <c r="AR86" s="34"/>
      <c r="AS86" s="33"/>
      <c r="AT86" s="34"/>
      <c r="AU86" s="36"/>
      <c r="AV86" s="48"/>
      <c r="AW86" s="10"/>
      <c r="AX86" s="10"/>
    </row>
    <row r="87" spans="1:50" x14ac:dyDescent="0.2">
      <c r="A87" s="45"/>
      <c r="B87" s="38"/>
      <c r="C87" s="33"/>
      <c r="D87" s="34"/>
      <c r="E87" s="33"/>
      <c r="F87" s="34"/>
      <c r="G87" s="33"/>
      <c r="H87" s="31"/>
      <c r="I87" s="32"/>
      <c r="J87" s="34"/>
      <c r="K87" s="33"/>
      <c r="L87" s="34"/>
      <c r="M87" s="33"/>
      <c r="N87" s="34"/>
      <c r="O87" s="33"/>
      <c r="P87" s="34"/>
      <c r="Q87" s="33"/>
      <c r="R87" s="34"/>
      <c r="S87" s="33"/>
      <c r="T87" s="31"/>
      <c r="U87" s="32"/>
      <c r="V87" s="34"/>
      <c r="W87" s="32"/>
      <c r="X87" s="31"/>
      <c r="Y87" s="33"/>
      <c r="Z87" s="34"/>
      <c r="AA87" s="33"/>
      <c r="AB87" s="34"/>
      <c r="AC87" s="33"/>
      <c r="AD87" s="34"/>
      <c r="AE87" s="33"/>
      <c r="AF87" s="34"/>
      <c r="AG87" s="33"/>
      <c r="AH87" s="34"/>
      <c r="AI87" s="32"/>
      <c r="AJ87" s="31"/>
      <c r="AK87" s="33"/>
      <c r="AL87" s="31"/>
      <c r="AM87" s="32"/>
      <c r="AN87" s="31"/>
      <c r="AO87" s="32"/>
      <c r="AP87" s="31"/>
      <c r="AQ87" s="32"/>
      <c r="AR87" s="34"/>
      <c r="AS87" s="33"/>
      <c r="AT87" s="34"/>
      <c r="AU87" s="36"/>
      <c r="AV87" s="48"/>
      <c r="AW87" s="10"/>
      <c r="AX87" s="10"/>
    </row>
    <row r="88" spans="1:50" x14ac:dyDescent="0.2">
      <c r="A88" s="45"/>
      <c r="B88" s="38"/>
      <c r="C88" s="33"/>
      <c r="D88" s="34"/>
      <c r="E88" s="33"/>
      <c r="F88" s="34"/>
      <c r="G88" s="33"/>
      <c r="H88" s="34"/>
      <c r="I88" s="33"/>
      <c r="J88" s="34"/>
      <c r="K88" s="33"/>
      <c r="L88" s="34"/>
      <c r="M88" s="33"/>
      <c r="N88" s="34"/>
      <c r="O88" s="33"/>
      <c r="P88" s="34"/>
      <c r="Q88" s="33"/>
      <c r="R88" s="34"/>
      <c r="S88" s="33"/>
      <c r="T88" s="34"/>
      <c r="U88" s="33"/>
      <c r="V88" s="34"/>
      <c r="W88" s="33"/>
      <c r="X88" s="34"/>
      <c r="Y88" s="33"/>
      <c r="Z88" s="34"/>
      <c r="AA88" s="33"/>
      <c r="AB88" s="34"/>
      <c r="AC88" s="33"/>
      <c r="AD88" s="34"/>
      <c r="AE88" s="33"/>
      <c r="AF88" s="34"/>
      <c r="AG88" s="33"/>
      <c r="AH88" s="34"/>
      <c r="AI88" s="32"/>
      <c r="AJ88" s="31"/>
      <c r="AK88" s="33"/>
      <c r="AL88" s="34"/>
      <c r="AM88" s="33"/>
      <c r="AN88" s="34"/>
      <c r="AO88" s="32"/>
      <c r="AP88" s="31"/>
      <c r="AQ88" s="32"/>
      <c r="AR88" s="34"/>
      <c r="AS88" s="33"/>
      <c r="AT88" s="34"/>
      <c r="AU88" s="36"/>
      <c r="AV88" s="48"/>
      <c r="AW88" s="10"/>
      <c r="AX88" s="10"/>
    </row>
    <row r="89" spans="1:50" x14ac:dyDescent="0.2">
      <c r="A89" s="45"/>
      <c r="B89" s="38"/>
      <c r="C89" s="33"/>
      <c r="D89" s="34"/>
      <c r="E89" s="33"/>
      <c r="F89" s="34"/>
      <c r="G89" s="33"/>
      <c r="H89" s="34"/>
      <c r="I89" s="33"/>
      <c r="J89" s="34"/>
      <c r="K89" s="32"/>
      <c r="L89" s="31"/>
      <c r="M89" s="33"/>
      <c r="N89" s="31"/>
      <c r="O89" s="32"/>
      <c r="P89" s="34"/>
      <c r="Q89" s="33"/>
      <c r="R89" s="34"/>
      <c r="S89" s="33"/>
      <c r="T89" s="34"/>
      <c r="U89" s="33"/>
      <c r="V89" s="34"/>
      <c r="W89" s="33"/>
      <c r="X89" s="34"/>
      <c r="Y89" s="33"/>
      <c r="Z89" s="34"/>
      <c r="AA89" s="33"/>
      <c r="AB89" s="34"/>
      <c r="AC89" s="33"/>
      <c r="AD89" s="34"/>
      <c r="AE89" s="33"/>
      <c r="AF89" s="34"/>
      <c r="AG89" s="33"/>
      <c r="AH89" s="34"/>
      <c r="AI89" s="33"/>
      <c r="AJ89" s="34"/>
      <c r="AK89" s="33"/>
      <c r="AL89" s="31"/>
      <c r="AM89" s="32"/>
      <c r="AN89" s="34"/>
      <c r="AO89" s="32"/>
      <c r="AP89" s="31"/>
      <c r="AQ89" s="32"/>
      <c r="AR89" s="34"/>
      <c r="AS89" s="33"/>
      <c r="AT89" s="34"/>
      <c r="AU89" s="36"/>
      <c r="AV89" s="48"/>
      <c r="AW89" s="10"/>
      <c r="AX89" s="10"/>
    </row>
    <row r="90" spans="1:50" x14ac:dyDescent="0.2">
      <c r="A90" s="123"/>
      <c r="B90" s="124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2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1"/>
      <c r="AV90" s="119"/>
      <c r="AW90" s="119"/>
      <c r="AX90" s="119"/>
    </row>
    <row r="91" spans="1:50" x14ac:dyDescent="0.2">
      <c r="A91" s="123"/>
      <c r="B91" s="124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2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1"/>
      <c r="AV91" s="119"/>
      <c r="AW91" s="119"/>
      <c r="AX91" s="119"/>
    </row>
    <row r="92" spans="1:50" x14ac:dyDescent="0.2">
      <c r="A92" s="45"/>
      <c r="B92" s="38"/>
      <c r="C92" s="33"/>
      <c r="D92" s="34"/>
      <c r="E92" s="33"/>
      <c r="F92" s="34"/>
      <c r="G92" s="33"/>
      <c r="H92" s="34"/>
      <c r="I92" s="33"/>
      <c r="J92" s="34"/>
      <c r="K92" s="32"/>
      <c r="L92" s="31"/>
      <c r="M92" s="32"/>
      <c r="N92" s="34"/>
      <c r="O92" s="33"/>
      <c r="P92" s="34"/>
      <c r="Q92" s="33"/>
      <c r="R92" s="34"/>
      <c r="S92" s="33"/>
      <c r="T92" s="31"/>
      <c r="U92" s="32"/>
      <c r="V92" s="34"/>
      <c r="W92" s="32"/>
      <c r="X92" s="31"/>
      <c r="Y92" s="32"/>
      <c r="Z92" s="34"/>
      <c r="AA92" s="33"/>
      <c r="AB92" s="34"/>
      <c r="AC92" s="33"/>
      <c r="AD92" s="34"/>
      <c r="AE92" s="33"/>
      <c r="AF92" s="34"/>
      <c r="AG92" s="33"/>
      <c r="AH92" s="34"/>
      <c r="AI92" s="32"/>
      <c r="AJ92" s="31"/>
      <c r="AK92" s="32"/>
      <c r="AL92" s="31"/>
      <c r="AM92" s="32"/>
      <c r="AN92" s="31"/>
      <c r="AO92" s="32"/>
      <c r="AP92" s="31"/>
      <c r="AQ92" s="32"/>
      <c r="AR92" s="34"/>
      <c r="AS92" s="33"/>
      <c r="AT92" s="34"/>
      <c r="AU92" s="36"/>
      <c r="AV92" s="48"/>
      <c r="AW92" s="10"/>
      <c r="AX92" s="10"/>
    </row>
    <row r="93" spans="1:50" x14ac:dyDescent="0.2">
      <c r="A93" s="45"/>
      <c r="B93" s="35"/>
      <c r="C93" s="32"/>
      <c r="D93" s="34"/>
      <c r="E93" s="33"/>
      <c r="F93" s="34"/>
      <c r="G93" s="33"/>
      <c r="H93" s="31"/>
      <c r="I93" s="32"/>
      <c r="J93" s="34"/>
      <c r="K93" s="32"/>
      <c r="L93" s="31"/>
      <c r="M93" s="33"/>
      <c r="N93" s="31"/>
      <c r="O93" s="32"/>
      <c r="P93" s="34"/>
      <c r="Q93" s="33"/>
      <c r="R93" s="34"/>
      <c r="S93" s="33"/>
      <c r="T93" s="31"/>
      <c r="U93" s="32"/>
      <c r="V93" s="34"/>
      <c r="W93" s="32"/>
      <c r="X93" s="31"/>
      <c r="Y93" s="33"/>
      <c r="Z93" s="31"/>
      <c r="AA93" s="32"/>
      <c r="AB93" s="34"/>
      <c r="AC93" s="32"/>
      <c r="AD93" s="31"/>
      <c r="AE93" s="33"/>
      <c r="AF93" s="31"/>
      <c r="AG93" s="32"/>
      <c r="AH93" s="34"/>
      <c r="AI93" s="32"/>
      <c r="AJ93" s="31"/>
      <c r="AK93" s="33"/>
      <c r="AL93" s="31"/>
      <c r="AM93" s="32"/>
      <c r="AN93" s="34"/>
      <c r="AO93" s="32"/>
      <c r="AP93" s="31"/>
      <c r="AQ93" s="32"/>
      <c r="AR93" s="34"/>
      <c r="AS93" s="33"/>
      <c r="AT93" s="34"/>
      <c r="AU93" s="36"/>
      <c r="AV93" s="48"/>
      <c r="AW93" s="10"/>
      <c r="AX93" s="10"/>
    </row>
    <row r="94" spans="1:50" x14ac:dyDescent="0.2">
      <c r="A94" s="45"/>
      <c r="B94" s="38"/>
      <c r="C94" s="33"/>
      <c r="D94" s="34"/>
      <c r="E94" s="33"/>
      <c r="F94" s="34"/>
      <c r="G94" s="33"/>
      <c r="H94" s="31"/>
      <c r="I94" s="32"/>
      <c r="J94" s="34"/>
      <c r="K94" s="32"/>
      <c r="L94" s="31"/>
      <c r="M94" s="33"/>
      <c r="N94" s="31"/>
      <c r="O94" s="32"/>
      <c r="P94" s="34"/>
      <c r="Q94" s="33"/>
      <c r="R94" s="34"/>
      <c r="S94" s="33"/>
      <c r="T94" s="31"/>
      <c r="U94" s="32"/>
      <c r="V94" s="34"/>
      <c r="W94" s="32"/>
      <c r="X94" s="31"/>
      <c r="Y94" s="32"/>
      <c r="Z94" s="31"/>
      <c r="AA94" s="32"/>
      <c r="AB94" s="34"/>
      <c r="AC94" s="32"/>
      <c r="AD94" s="31"/>
      <c r="AE94" s="33"/>
      <c r="AF94" s="34"/>
      <c r="AG94" s="33"/>
      <c r="AH94" s="34"/>
      <c r="AI94" s="32"/>
      <c r="AJ94" s="31"/>
      <c r="AK94" s="33"/>
      <c r="AL94" s="31"/>
      <c r="AM94" s="32"/>
      <c r="AN94" s="31"/>
      <c r="AO94" s="32"/>
      <c r="AP94" s="31"/>
      <c r="AQ94" s="33"/>
      <c r="AR94" s="34"/>
      <c r="AS94" s="33"/>
      <c r="AT94" s="34"/>
      <c r="AU94" s="36"/>
      <c r="AV94" s="48"/>
      <c r="AW94" s="10"/>
      <c r="AX94" s="10"/>
    </row>
    <row r="95" spans="1:50" x14ac:dyDescent="0.2">
      <c r="A95" s="45"/>
      <c r="B95" s="38"/>
      <c r="C95" s="33"/>
      <c r="D95" s="34"/>
      <c r="E95" s="33"/>
      <c r="F95" s="34"/>
      <c r="G95" s="33"/>
      <c r="H95" s="34"/>
      <c r="I95" s="33"/>
      <c r="J95" s="34"/>
      <c r="K95" s="32"/>
      <c r="L95" s="34"/>
      <c r="M95" s="33"/>
      <c r="N95" s="34"/>
      <c r="O95" s="33"/>
      <c r="P95" s="34"/>
      <c r="Q95" s="33"/>
      <c r="R95" s="34"/>
      <c r="S95" s="33"/>
      <c r="T95" s="34"/>
      <c r="U95" s="33"/>
      <c r="V95" s="34"/>
      <c r="W95" s="32"/>
      <c r="X95" s="31"/>
      <c r="Y95" s="32"/>
      <c r="Z95" s="34"/>
      <c r="AA95" s="33"/>
      <c r="AB95" s="34"/>
      <c r="AC95" s="33"/>
      <c r="AD95" s="34"/>
      <c r="AE95" s="33"/>
      <c r="AF95" s="34"/>
      <c r="AG95" s="33"/>
      <c r="AH95" s="34"/>
      <c r="AI95" s="32"/>
      <c r="AJ95" s="31"/>
      <c r="AK95" s="32"/>
      <c r="AL95" s="31"/>
      <c r="AM95" s="32"/>
      <c r="AN95" s="31"/>
      <c r="AO95" s="32"/>
      <c r="AP95" s="31"/>
      <c r="AQ95" s="32"/>
      <c r="AR95" s="34"/>
      <c r="AS95" s="33"/>
      <c r="AT95" s="34"/>
      <c r="AU95" s="36"/>
      <c r="AV95" s="48"/>
      <c r="AW95" s="10"/>
      <c r="AX95" s="10"/>
    </row>
    <row r="96" spans="1:50" x14ac:dyDescent="0.2">
      <c r="A96" s="45"/>
      <c r="B96" s="38"/>
      <c r="C96" s="33"/>
      <c r="D96" s="34"/>
      <c r="E96" s="33"/>
      <c r="F96" s="34"/>
      <c r="G96" s="33"/>
      <c r="H96" s="34"/>
      <c r="I96" s="33"/>
      <c r="J96" s="34"/>
      <c r="K96" s="33"/>
      <c r="L96" s="34"/>
      <c r="M96" s="33"/>
      <c r="N96" s="34"/>
      <c r="O96" s="33"/>
      <c r="P96" s="34"/>
      <c r="Q96" s="33"/>
      <c r="R96" s="34"/>
      <c r="S96" s="33"/>
      <c r="T96" s="34"/>
      <c r="U96" s="33"/>
      <c r="V96" s="34"/>
      <c r="W96" s="33"/>
      <c r="X96" s="34"/>
      <c r="Y96" s="33"/>
      <c r="Z96" s="34"/>
      <c r="AA96" s="33"/>
      <c r="AB96" s="34"/>
      <c r="AC96" s="33"/>
      <c r="AD96" s="34"/>
      <c r="AE96" s="33"/>
      <c r="AF96" s="34"/>
      <c r="AG96" s="33"/>
      <c r="AH96" s="34"/>
      <c r="AI96" s="33"/>
      <c r="AJ96" s="34"/>
      <c r="AK96" s="33"/>
      <c r="AL96" s="31"/>
      <c r="AM96" s="32"/>
      <c r="AN96" s="31"/>
      <c r="AO96" s="32"/>
      <c r="AP96" s="31"/>
      <c r="AQ96" s="33"/>
      <c r="AR96" s="34"/>
      <c r="AS96" s="33"/>
      <c r="AT96" s="34"/>
      <c r="AU96" s="36"/>
      <c r="AV96" s="48"/>
      <c r="AW96" s="10"/>
      <c r="AX96" s="10"/>
    </row>
    <row r="97" spans="1:50" x14ac:dyDescent="0.2">
      <c r="A97" s="45"/>
      <c r="B97" s="38"/>
      <c r="C97" s="33"/>
      <c r="D97" s="34"/>
      <c r="E97" s="33"/>
      <c r="F97" s="34"/>
      <c r="G97" s="33"/>
      <c r="H97" s="31"/>
      <c r="I97" s="33"/>
      <c r="J97" s="34"/>
      <c r="K97" s="32"/>
      <c r="L97" s="31"/>
      <c r="M97" s="32"/>
      <c r="N97" s="34"/>
      <c r="O97" s="33"/>
      <c r="P97" s="34"/>
      <c r="Q97" s="33"/>
      <c r="R97" s="34"/>
      <c r="S97" s="33"/>
      <c r="T97" s="34"/>
      <c r="U97" s="33"/>
      <c r="V97" s="34"/>
      <c r="W97" s="32"/>
      <c r="X97" s="31"/>
      <c r="Y97" s="32"/>
      <c r="Z97" s="31"/>
      <c r="AA97" s="32"/>
      <c r="AB97" s="34"/>
      <c r="AC97" s="32"/>
      <c r="AD97" s="31"/>
      <c r="AE97" s="33"/>
      <c r="AF97" s="34"/>
      <c r="AG97" s="33"/>
      <c r="AH97" s="34"/>
      <c r="AI97" s="32"/>
      <c r="AJ97" s="31"/>
      <c r="AK97" s="32"/>
      <c r="AL97" s="31"/>
      <c r="AM97" s="32"/>
      <c r="AN97" s="31"/>
      <c r="AO97" s="32"/>
      <c r="AP97" s="31"/>
      <c r="AQ97" s="32"/>
      <c r="AR97" s="34"/>
      <c r="AS97" s="33"/>
      <c r="AT97" s="34"/>
      <c r="AU97" s="36"/>
      <c r="AV97" s="48"/>
      <c r="AW97" s="10"/>
      <c r="AX97" s="10"/>
    </row>
    <row r="98" spans="1:50" x14ac:dyDescent="0.2">
      <c r="A98" s="45"/>
      <c r="B98" s="38"/>
      <c r="C98" s="33"/>
      <c r="D98" s="34"/>
      <c r="E98" s="33"/>
      <c r="F98" s="34"/>
      <c r="G98" s="33"/>
      <c r="H98" s="34"/>
      <c r="I98" s="33"/>
      <c r="J98" s="34"/>
      <c r="K98" s="32"/>
      <c r="L98" s="31"/>
      <c r="M98" s="32"/>
      <c r="N98" s="34"/>
      <c r="O98" s="33"/>
      <c r="P98" s="34"/>
      <c r="Q98" s="33"/>
      <c r="R98" s="34"/>
      <c r="S98" s="33"/>
      <c r="T98" s="34"/>
      <c r="U98" s="33"/>
      <c r="V98" s="34"/>
      <c r="W98" s="32"/>
      <c r="X98" s="31"/>
      <c r="Y98" s="32"/>
      <c r="Z98" s="34"/>
      <c r="AA98" s="33"/>
      <c r="AB98" s="34"/>
      <c r="AC98" s="32"/>
      <c r="AD98" s="31"/>
      <c r="AE98" s="32"/>
      <c r="AF98" s="34"/>
      <c r="AG98" s="33"/>
      <c r="AH98" s="34"/>
      <c r="AI98" s="32"/>
      <c r="AJ98" s="31"/>
      <c r="AK98" s="33"/>
      <c r="AL98" s="31"/>
      <c r="AM98" s="32"/>
      <c r="AN98" s="31"/>
      <c r="AO98" s="32"/>
      <c r="AP98" s="31"/>
      <c r="AQ98" s="32"/>
      <c r="AR98" s="34"/>
      <c r="AS98" s="33"/>
      <c r="AT98" s="34"/>
      <c r="AU98" s="36"/>
      <c r="AV98" s="48"/>
      <c r="AW98" s="10"/>
      <c r="AX98" s="10"/>
    </row>
    <row r="99" spans="1:50" x14ac:dyDescent="0.2">
      <c r="A99" s="45"/>
      <c r="B99" s="38"/>
      <c r="C99" s="33"/>
      <c r="D99" s="34"/>
      <c r="E99" s="33"/>
      <c r="F99" s="34"/>
      <c r="G99" s="33"/>
      <c r="H99" s="34"/>
      <c r="I99" s="33"/>
      <c r="J99" s="34"/>
      <c r="K99" s="32"/>
      <c r="L99" s="31"/>
      <c r="M99" s="33"/>
      <c r="N99" s="34"/>
      <c r="O99" s="33"/>
      <c r="P99" s="34"/>
      <c r="Q99" s="33"/>
      <c r="R99" s="34"/>
      <c r="S99" s="33"/>
      <c r="T99" s="34"/>
      <c r="U99" s="33"/>
      <c r="V99" s="34"/>
      <c r="W99" s="32"/>
      <c r="X99" s="31"/>
      <c r="Y99" s="32"/>
      <c r="Z99" s="34"/>
      <c r="AA99" s="33"/>
      <c r="AB99" s="34"/>
      <c r="AC99" s="32"/>
      <c r="AD99" s="31"/>
      <c r="AE99" s="33"/>
      <c r="AF99" s="34"/>
      <c r="AG99" s="33"/>
      <c r="AH99" s="34"/>
      <c r="AI99" s="32"/>
      <c r="AJ99" s="31"/>
      <c r="AK99" s="33"/>
      <c r="AL99" s="31"/>
      <c r="AM99" s="32"/>
      <c r="AN99" s="31"/>
      <c r="AO99" s="32"/>
      <c r="AP99" s="31"/>
      <c r="AQ99" s="32"/>
      <c r="AR99" s="34"/>
      <c r="AS99" s="33"/>
      <c r="AT99" s="34"/>
      <c r="AU99" s="36"/>
      <c r="AV99" s="48"/>
      <c r="AW99" s="10"/>
      <c r="AX99" s="10"/>
    </row>
    <row r="100" spans="1:50" x14ac:dyDescent="0.2">
      <c r="A100" s="45"/>
      <c r="B100" s="38"/>
      <c r="C100" s="33"/>
      <c r="D100" s="34"/>
      <c r="E100" s="33"/>
      <c r="F100" s="34"/>
      <c r="G100" s="33"/>
      <c r="H100" s="31"/>
      <c r="I100" s="32"/>
      <c r="J100" s="34"/>
      <c r="K100" s="32"/>
      <c r="L100" s="31"/>
      <c r="M100" s="33"/>
      <c r="N100" s="31"/>
      <c r="O100" s="32"/>
      <c r="P100" s="34"/>
      <c r="Q100" s="33"/>
      <c r="R100" s="34"/>
      <c r="S100" s="33"/>
      <c r="T100" s="31"/>
      <c r="U100" s="32"/>
      <c r="V100" s="34"/>
      <c r="W100" s="32"/>
      <c r="X100" s="31"/>
      <c r="Y100" s="32"/>
      <c r="Z100" s="34"/>
      <c r="AA100" s="33"/>
      <c r="AB100" s="34"/>
      <c r="AC100" s="33"/>
      <c r="AD100" s="34"/>
      <c r="AE100" s="33"/>
      <c r="AF100" s="31"/>
      <c r="AG100" s="32"/>
      <c r="AH100" s="34"/>
      <c r="AI100" s="32"/>
      <c r="AJ100" s="31"/>
      <c r="AK100" s="32"/>
      <c r="AL100" s="31"/>
      <c r="AM100" s="32"/>
      <c r="AN100" s="31"/>
      <c r="AO100" s="32"/>
      <c r="AP100" s="31"/>
      <c r="AQ100" s="32"/>
      <c r="AR100" s="34"/>
      <c r="AS100" s="33"/>
      <c r="AT100" s="34"/>
      <c r="AU100" s="36"/>
      <c r="AV100" s="48"/>
      <c r="AW100" s="10"/>
      <c r="AX100" s="10"/>
    </row>
    <row r="101" spans="1:50" x14ac:dyDescent="0.2">
      <c r="A101" s="45"/>
      <c r="B101" s="38"/>
      <c r="C101" s="33"/>
      <c r="D101" s="34"/>
      <c r="E101" s="33"/>
      <c r="F101" s="34"/>
      <c r="G101" s="33"/>
      <c r="H101" s="34"/>
      <c r="I101" s="33"/>
      <c r="J101" s="34"/>
      <c r="K101" s="33"/>
      <c r="L101" s="34"/>
      <c r="M101" s="33"/>
      <c r="N101" s="34"/>
      <c r="O101" s="33"/>
      <c r="P101" s="34"/>
      <c r="Q101" s="33"/>
      <c r="R101" s="34"/>
      <c r="S101" s="33"/>
      <c r="T101" s="34"/>
      <c r="U101" s="33"/>
      <c r="V101" s="34"/>
      <c r="W101" s="32"/>
      <c r="X101" s="31"/>
      <c r="Y101" s="33"/>
      <c r="Z101" s="34"/>
      <c r="AA101" s="33"/>
      <c r="AB101" s="34"/>
      <c r="AC101" s="33"/>
      <c r="AD101" s="34"/>
      <c r="AE101" s="33"/>
      <c r="AF101" s="34"/>
      <c r="AG101" s="33"/>
      <c r="AH101" s="34"/>
      <c r="AI101" s="33"/>
      <c r="AJ101" s="34"/>
      <c r="AK101" s="33"/>
      <c r="AL101" s="31"/>
      <c r="AM101" s="32"/>
      <c r="AN101" s="34"/>
      <c r="AO101" s="32"/>
      <c r="AP101" s="31"/>
      <c r="AQ101" s="32"/>
      <c r="AR101" s="34"/>
      <c r="AS101" s="33"/>
      <c r="AT101" s="34"/>
      <c r="AU101" s="36"/>
      <c r="AV101" s="48"/>
      <c r="AW101" s="10"/>
      <c r="AX101" s="10"/>
    </row>
    <row r="102" spans="1:50" x14ac:dyDescent="0.2">
      <c r="A102" s="45"/>
      <c r="B102" s="38"/>
      <c r="C102" s="33"/>
      <c r="D102" s="34"/>
      <c r="E102" s="33"/>
      <c r="F102" s="34"/>
      <c r="G102" s="33"/>
      <c r="H102" s="34"/>
      <c r="I102" s="33"/>
      <c r="J102" s="34"/>
      <c r="K102" s="32"/>
      <c r="L102" s="31"/>
      <c r="M102" s="32"/>
      <c r="N102" s="34"/>
      <c r="O102" s="33"/>
      <c r="P102" s="34"/>
      <c r="Q102" s="33"/>
      <c r="R102" s="34"/>
      <c r="S102" s="33"/>
      <c r="T102" s="34"/>
      <c r="U102" s="33"/>
      <c r="V102" s="34"/>
      <c r="W102" s="32"/>
      <c r="X102" s="31"/>
      <c r="Y102" s="32"/>
      <c r="Z102" s="31"/>
      <c r="AA102" s="33"/>
      <c r="AB102" s="31"/>
      <c r="AC102" s="32"/>
      <c r="AD102" s="31"/>
      <c r="AE102" s="32"/>
      <c r="AF102" s="34"/>
      <c r="AG102" s="33"/>
      <c r="AH102" s="34"/>
      <c r="AI102" s="32"/>
      <c r="AJ102" s="31"/>
      <c r="AK102" s="32"/>
      <c r="AL102" s="31"/>
      <c r="AM102" s="32"/>
      <c r="AN102" s="31"/>
      <c r="AO102" s="32"/>
      <c r="AP102" s="31"/>
      <c r="AQ102" s="32"/>
      <c r="AR102" s="34"/>
      <c r="AS102" s="33"/>
      <c r="AT102" s="34"/>
      <c r="AU102" s="36"/>
      <c r="AV102" s="48"/>
      <c r="AW102" s="10"/>
      <c r="AX102" s="10"/>
    </row>
    <row r="103" spans="1:50" x14ac:dyDescent="0.2">
      <c r="A103" s="45"/>
      <c r="B103" s="38"/>
      <c r="C103" s="33"/>
      <c r="D103" s="34"/>
      <c r="E103" s="33"/>
      <c r="F103" s="34"/>
      <c r="G103" s="33"/>
      <c r="H103" s="34"/>
      <c r="I103" s="33"/>
      <c r="J103" s="34"/>
      <c r="K103" s="33"/>
      <c r="L103" s="34"/>
      <c r="M103" s="33"/>
      <c r="N103" s="34"/>
      <c r="O103" s="33"/>
      <c r="P103" s="34"/>
      <c r="Q103" s="33"/>
      <c r="R103" s="34"/>
      <c r="S103" s="33"/>
      <c r="T103" s="34"/>
      <c r="U103" s="33"/>
      <c r="V103" s="34"/>
      <c r="W103" s="32"/>
      <c r="X103" s="31"/>
      <c r="Y103" s="32"/>
      <c r="Z103" s="34"/>
      <c r="AA103" s="33"/>
      <c r="AB103" s="34"/>
      <c r="AC103" s="32"/>
      <c r="AD103" s="31"/>
      <c r="AE103" s="33"/>
      <c r="AF103" s="31"/>
      <c r="AG103" s="32"/>
      <c r="AH103" s="34"/>
      <c r="AI103" s="33"/>
      <c r="AJ103" s="34"/>
      <c r="AK103" s="33"/>
      <c r="AL103" s="31"/>
      <c r="AM103" s="32"/>
      <c r="AN103" s="34"/>
      <c r="AO103" s="32"/>
      <c r="AP103" s="31"/>
      <c r="AQ103" s="33"/>
      <c r="AR103" s="34"/>
      <c r="AS103" s="33"/>
      <c r="AT103" s="34"/>
      <c r="AU103" s="36"/>
      <c r="AV103" s="48"/>
      <c r="AW103" s="10"/>
      <c r="AX103" s="10"/>
    </row>
    <row r="104" spans="1:50" x14ac:dyDescent="0.2">
      <c r="A104" s="45"/>
      <c r="B104" s="38"/>
      <c r="C104" s="33"/>
      <c r="D104" s="34"/>
      <c r="E104" s="33"/>
      <c r="F104" s="34"/>
      <c r="G104" s="33"/>
      <c r="H104" s="34"/>
      <c r="I104" s="33"/>
      <c r="J104" s="34"/>
      <c r="K104" s="33"/>
      <c r="L104" s="34"/>
      <c r="M104" s="33"/>
      <c r="N104" s="34"/>
      <c r="O104" s="33"/>
      <c r="P104" s="34"/>
      <c r="Q104" s="33"/>
      <c r="R104" s="34"/>
      <c r="S104" s="33"/>
      <c r="T104" s="34"/>
      <c r="U104" s="33"/>
      <c r="V104" s="34"/>
      <c r="W104" s="32"/>
      <c r="X104" s="31"/>
      <c r="Y104" s="33"/>
      <c r="Z104" s="34"/>
      <c r="AA104" s="33"/>
      <c r="AB104" s="34"/>
      <c r="AC104" s="33"/>
      <c r="AD104" s="34"/>
      <c r="AE104" s="33"/>
      <c r="AF104" s="34"/>
      <c r="AG104" s="33"/>
      <c r="AH104" s="34"/>
      <c r="AI104" s="32"/>
      <c r="AJ104" s="31"/>
      <c r="AK104" s="33"/>
      <c r="AL104" s="31"/>
      <c r="AM104" s="32"/>
      <c r="AN104" s="31"/>
      <c r="AO104" s="32"/>
      <c r="AP104" s="31"/>
      <c r="AQ104" s="32"/>
      <c r="AR104" s="34"/>
      <c r="AS104" s="33"/>
      <c r="AT104" s="34"/>
      <c r="AU104" s="36"/>
      <c r="AV104" s="48"/>
      <c r="AW104" s="10"/>
      <c r="AX104" s="10"/>
    </row>
    <row r="105" spans="1:50" x14ac:dyDescent="0.2">
      <c r="A105" s="123"/>
      <c r="B105" s="124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2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1"/>
      <c r="AV105" s="119"/>
      <c r="AW105" s="119"/>
      <c r="AX105" s="119"/>
    </row>
    <row r="106" spans="1:50" x14ac:dyDescent="0.2">
      <c r="A106" s="123"/>
      <c r="B106" s="124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2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1"/>
      <c r="AV106" s="119"/>
      <c r="AW106" s="119"/>
      <c r="AX106" s="119"/>
    </row>
    <row r="107" spans="1:50" x14ac:dyDescent="0.2">
      <c r="A107" s="45"/>
      <c r="B107" s="38"/>
      <c r="C107" s="33"/>
      <c r="D107" s="34"/>
      <c r="E107" s="33"/>
      <c r="F107" s="34"/>
      <c r="G107" s="33"/>
      <c r="H107" s="34"/>
      <c r="I107" s="33"/>
      <c r="J107" s="34"/>
      <c r="K107" s="33"/>
      <c r="L107" s="34"/>
      <c r="M107" s="33"/>
      <c r="N107" s="34"/>
      <c r="O107" s="33"/>
      <c r="P107" s="34"/>
      <c r="Q107" s="33"/>
      <c r="R107" s="34"/>
      <c r="S107" s="33"/>
      <c r="T107" s="34"/>
      <c r="U107" s="33"/>
      <c r="V107" s="34"/>
      <c r="W107" s="33"/>
      <c r="X107" s="34"/>
      <c r="Y107" s="33"/>
      <c r="Z107" s="34"/>
      <c r="AA107" s="33"/>
      <c r="AB107" s="34"/>
      <c r="AC107" s="32"/>
      <c r="AD107" s="31"/>
      <c r="AE107" s="33"/>
      <c r="AF107" s="34"/>
      <c r="AG107" s="33"/>
      <c r="AH107" s="34"/>
      <c r="AI107" s="33"/>
      <c r="AJ107" s="34"/>
      <c r="AK107" s="33"/>
      <c r="AL107" s="31"/>
      <c r="AM107" s="32"/>
      <c r="AN107" s="34"/>
      <c r="AO107" s="32"/>
      <c r="AP107" s="31"/>
      <c r="AQ107" s="33"/>
      <c r="AR107" s="34"/>
      <c r="AS107" s="33"/>
      <c r="AT107" s="34"/>
      <c r="AU107" s="36"/>
      <c r="AV107" s="48"/>
      <c r="AW107" s="10"/>
      <c r="AX107" s="10"/>
    </row>
    <row r="108" spans="1:50" x14ac:dyDescent="0.2">
      <c r="A108" s="45"/>
      <c r="B108" s="38"/>
      <c r="C108" s="33"/>
      <c r="D108" s="34"/>
      <c r="E108" s="33"/>
      <c r="F108" s="34"/>
      <c r="G108" s="33"/>
      <c r="H108" s="34"/>
      <c r="I108" s="33"/>
      <c r="J108" s="34"/>
      <c r="K108" s="33"/>
      <c r="L108" s="34"/>
      <c r="M108" s="33"/>
      <c r="N108" s="34"/>
      <c r="O108" s="33"/>
      <c r="P108" s="34"/>
      <c r="Q108" s="33"/>
      <c r="R108" s="34"/>
      <c r="S108" s="33"/>
      <c r="T108" s="34"/>
      <c r="U108" s="33"/>
      <c r="V108" s="34"/>
      <c r="W108" s="33"/>
      <c r="X108" s="34"/>
      <c r="Y108" s="33"/>
      <c r="Z108" s="31"/>
      <c r="AA108" s="32"/>
      <c r="AB108" s="34"/>
      <c r="AC108" s="32"/>
      <c r="AD108" s="31"/>
      <c r="AE108" s="32"/>
      <c r="AF108" s="34"/>
      <c r="AG108" s="33"/>
      <c r="AH108" s="34"/>
      <c r="AI108" s="33"/>
      <c r="AJ108" s="34"/>
      <c r="AK108" s="33"/>
      <c r="AL108" s="34"/>
      <c r="AM108" s="33"/>
      <c r="AN108" s="34"/>
      <c r="AO108" s="32"/>
      <c r="AP108" s="31"/>
      <c r="AQ108" s="33"/>
      <c r="AR108" s="34"/>
      <c r="AS108" s="33"/>
      <c r="AT108" s="34"/>
      <c r="AU108" s="36"/>
      <c r="AV108" s="48"/>
      <c r="AW108" s="10"/>
      <c r="AX108" s="10"/>
    </row>
    <row r="109" spans="1:50" x14ac:dyDescent="0.2">
      <c r="A109" s="45"/>
      <c r="B109" s="38"/>
      <c r="C109" s="33"/>
      <c r="D109" s="34"/>
      <c r="E109" s="33"/>
      <c r="F109" s="34"/>
      <c r="G109" s="33"/>
      <c r="H109" s="34"/>
      <c r="I109" s="33"/>
      <c r="J109" s="34"/>
      <c r="K109" s="33"/>
      <c r="L109" s="34"/>
      <c r="M109" s="33"/>
      <c r="N109" s="34"/>
      <c r="O109" s="33"/>
      <c r="P109" s="34"/>
      <c r="Q109" s="33"/>
      <c r="R109" s="34"/>
      <c r="S109" s="33"/>
      <c r="T109" s="34"/>
      <c r="U109" s="33"/>
      <c r="V109" s="34"/>
      <c r="W109" s="33"/>
      <c r="X109" s="34"/>
      <c r="Y109" s="33"/>
      <c r="Z109" s="34"/>
      <c r="AA109" s="33"/>
      <c r="AB109" s="34"/>
      <c r="AC109" s="32"/>
      <c r="AD109" s="31"/>
      <c r="AE109" s="33"/>
      <c r="AF109" s="34"/>
      <c r="AG109" s="33"/>
      <c r="AH109" s="34"/>
      <c r="AI109" s="33"/>
      <c r="AJ109" s="34"/>
      <c r="AK109" s="33"/>
      <c r="AL109" s="34"/>
      <c r="AM109" s="33"/>
      <c r="AN109" s="34"/>
      <c r="AO109" s="32"/>
      <c r="AP109" s="31"/>
      <c r="AQ109" s="33"/>
      <c r="AR109" s="34"/>
      <c r="AS109" s="33"/>
      <c r="AT109" s="34"/>
      <c r="AU109" s="36"/>
      <c r="AV109" s="48"/>
      <c r="AW109" s="10"/>
      <c r="AX109" s="10"/>
    </row>
    <row r="110" spans="1:50" ht="10.8" thickBot="1" x14ac:dyDescent="0.25">
      <c r="A110" s="47"/>
      <c r="B110" s="39"/>
      <c r="C110" s="40"/>
      <c r="D110" s="41"/>
      <c r="E110" s="40"/>
      <c r="F110" s="41"/>
      <c r="G110" s="40"/>
      <c r="H110" s="41"/>
      <c r="I110" s="40"/>
      <c r="J110" s="41"/>
      <c r="K110" s="40"/>
      <c r="L110" s="41"/>
      <c r="M110" s="40"/>
      <c r="N110" s="41"/>
      <c r="O110" s="40"/>
      <c r="P110" s="41"/>
      <c r="Q110" s="40"/>
      <c r="R110" s="41"/>
      <c r="S110" s="40"/>
      <c r="T110" s="41"/>
      <c r="U110" s="40"/>
      <c r="V110" s="41"/>
      <c r="W110" s="40"/>
      <c r="X110" s="41"/>
      <c r="Y110" s="40"/>
      <c r="Z110" s="41"/>
      <c r="AA110" s="40"/>
      <c r="AB110" s="41"/>
      <c r="AC110" s="42"/>
      <c r="AD110" s="43"/>
      <c r="AE110" s="40"/>
      <c r="AF110" s="41"/>
      <c r="AG110" s="40"/>
      <c r="AH110" s="41"/>
      <c r="AI110" s="40"/>
      <c r="AJ110" s="41"/>
      <c r="AK110" s="40"/>
      <c r="AL110" s="41"/>
      <c r="AM110" s="40"/>
      <c r="AN110" s="41"/>
      <c r="AO110" s="42"/>
      <c r="AP110" s="43"/>
      <c r="AQ110" s="40"/>
      <c r="AR110" s="41"/>
      <c r="AS110" s="40"/>
      <c r="AT110" s="41"/>
      <c r="AU110" s="44"/>
      <c r="AV110" s="49"/>
      <c r="AW110" s="14"/>
      <c r="AX110" s="14"/>
    </row>
    <row r="112" spans="1:50" x14ac:dyDescent="0.2">
      <c r="A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x14ac:dyDescent="0.2">
      <c r="A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</row>
    <row r="114" spans="1:47" x14ac:dyDescent="0.2">
      <c r="A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</row>
  </sheetData>
  <mergeCells count="645">
    <mergeCell ref="B2:R2"/>
    <mergeCell ref="B3:Q3"/>
    <mergeCell ref="G5:L5"/>
    <mergeCell ref="AW5:AX5"/>
    <mergeCell ref="A6:A9"/>
    <mergeCell ref="B6:D8"/>
    <mergeCell ref="E6:G8"/>
    <mergeCell ref="H6:J8"/>
    <mergeCell ref="K6:M8"/>
    <mergeCell ref="N6:P8"/>
    <mergeCell ref="AR6:AU8"/>
    <mergeCell ref="AV6:AX9"/>
    <mergeCell ref="AC6:AE8"/>
    <mergeCell ref="AF6:AH8"/>
    <mergeCell ref="AI6:AK8"/>
    <mergeCell ref="AL6:AN8"/>
    <mergeCell ref="AO6:AQ8"/>
    <mergeCell ref="A10:A11"/>
    <mergeCell ref="B10:B11"/>
    <mergeCell ref="C10:C11"/>
    <mergeCell ref="D10:D11"/>
    <mergeCell ref="E10:E11"/>
    <mergeCell ref="Q6:S8"/>
    <mergeCell ref="T6:V8"/>
    <mergeCell ref="W6:Y8"/>
    <mergeCell ref="Z6:AB8"/>
    <mergeCell ref="F10:F11"/>
    <mergeCell ref="G10:G11"/>
    <mergeCell ref="H10:H11"/>
    <mergeCell ref="I10:I11"/>
    <mergeCell ref="J10:J11"/>
    <mergeCell ref="K10:K11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AV10:AX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N10:AN11"/>
    <mergeCell ref="AO10:AO11"/>
    <mergeCell ref="AD10:AD11"/>
    <mergeCell ref="AE10:AE11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J20:J21"/>
    <mergeCell ref="K20:K21"/>
    <mergeCell ref="L20:L21"/>
    <mergeCell ref="M20:M21"/>
    <mergeCell ref="AT12:AT13"/>
    <mergeCell ref="AU12:AU13"/>
    <mergeCell ref="AV12:AX13"/>
    <mergeCell ref="A20:A21"/>
    <mergeCell ref="B20:B21"/>
    <mergeCell ref="C20:C21"/>
    <mergeCell ref="D20:D21"/>
    <mergeCell ref="E20:E21"/>
    <mergeCell ref="F20:F21"/>
    <mergeCell ref="G20:G21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AU20:AU21"/>
    <mergeCell ref="AV20:AX21"/>
    <mergeCell ref="A34:A35"/>
    <mergeCell ref="B34:B35"/>
    <mergeCell ref="C34:C35"/>
    <mergeCell ref="D34:D35"/>
    <mergeCell ref="E34:E35"/>
    <mergeCell ref="AL20:AL21"/>
    <mergeCell ref="AM20:AM21"/>
    <mergeCell ref="AN20:AN21"/>
    <mergeCell ref="AO20:AO21"/>
    <mergeCell ref="AP20:AP21"/>
    <mergeCell ref="AQ20:AQ21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F34:F35"/>
    <mergeCell ref="G34:G35"/>
    <mergeCell ref="H34:H35"/>
    <mergeCell ref="I34:I35"/>
    <mergeCell ref="J34:J35"/>
    <mergeCell ref="K34:K35"/>
    <mergeCell ref="AR20:AR21"/>
    <mergeCell ref="AS20:AS21"/>
    <mergeCell ref="AT20:AT21"/>
    <mergeCell ref="AE20:AE21"/>
    <mergeCell ref="T20:T21"/>
    <mergeCell ref="U20:U21"/>
    <mergeCell ref="V20:V21"/>
    <mergeCell ref="W20:W21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AF34:AF35"/>
    <mergeCell ref="AG34:AG35"/>
    <mergeCell ref="AH34:AH35"/>
    <mergeCell ref="AI34:AI35"/>
    <mergeCell ref="X34:X35"/>
    <mergeCell ref="Y34:Y35"/>
    <mergeCell ref="Z34:Z35"/>
    <mergeCell ref="AA34:AA35"/>
    <mergeCell ref="AB34:AB35"/>
    <mergeCell ref="AC34:AC35"/>
    <mergeCell ref="AV34:AX35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AP34:AP35"/>
    <mergeCell ref="AQ34:AQ35"/>
    <mergeCell ref="AR34:AR35"/>
    <mergeCell ref="AS34:AS35"/>
    <mergeCell ref="AT34:AT35"/>
    <mergeCell ref="AU34:AU35"/>
    <mergeCell ref="AJ34:AJ35"/>
    <mergeCell ref="AK34:AK35"/>
    <mergeCell ref="AL34:AL35"/>
    <mergeCell ref="AM34:AM35"/>
    <mergeCell ref="AN34:AN35"/>
    <mergeCell ref="AO34:AO35"/>
    <mergeCell ref="AD34:AD35"/>
    <mergeCell ref="AE34:AE35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AL40:AL41"/>
    <mergeCell ref="AM40:AM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J47:J48"/>
    <mergeCell ref="K47:K48"/>
    <mergeCell ref="L47:L48"/>
    <mergeCell ref="M47:M48"/>
    <mergeCell ref="AT40:AT41"/>
    <mergeCell ref="AU40:AU41"/>
    <mergeCell ref="AV40:AX41"/>
    <mergeCell ref="A47:A48"/>
    <mergeCell ref="B47:B48"/>
    <mergeCell ref="C47:C48"/>
    <mergeCell ref="D47:D48"/>
    <mergeCell ref="E47:E48"/>
    <mergeCell ref="F47:F48"/>
    <mergeCell ref="G47:G48"/>
    <mergeCell ref="AN40:AN41"/>
    <mergeCell ref="AO40:AO41"/>
    <mergeCell ref="AP40:AP41"/>
    <mergeCell ref="AQ40:AQ41"/>
    <mergeCell ref="AR40:AR41"/>
    <mergeCell ref="AS40:AS41"/>
    <mergeCell ref="AH40:AH41"/>
    <mergeCell ref="AI40:AI41"/>
    <mergeCell ref="AJ40:AJ41"/>
    <mergeCell ref="AK40:AK41"/>
    <mergeCell ref="AU47:AU48"/>
    <mergeCell ref="AV47:AX48"/>
    <mergeCell ref="A54:A55"/>
    <mergeCell ref="B54:B55"/>
    <mergeCell ref="C54:C55"/>
    <mergeCell ref="D54:D55"/>
    <mergeCell ref="E54:E55"/>
    <mergeCell ref="AL47:AL48"/>
    <mergeCell ref="AM47:AM48"/>
    <mergeCell ref="AN47:AN48"/>
    <mergeCell ref="AO47:AO48"/>
    <mergeCell ref="AP47:AP48"/>
    <mergeCell ref="AQ47:AQ48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F54:F55"/>
    <mergeCell ref="G54:G55"/>
    <mergeCell ref="H54:H55"/>
    <mergeCell ref="I54:I55"/>
    <mergeCell ref="J54:J55"/>
    <mergeCell ref="K54:K55"/>
    <mergeCell ref="AR47:AR48"/>
    <mergeCell ref="AS47:AS48"/>
    <mergeCell ref="AT47:AT48"/>
    <mergeCell ref="AE47:AE48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R54:R55"/>
    <mergeCell ref="S54:S55"/>
    <mergeCell ref="T54:T55"/>
    <mergeCell ref="U54:U55"/>
    <mergeCell ref="V54:V55"/>
    <mergeCell ref="W54:W55"/>
    <mergeCell ref="L54:L55"/>
    <mergeCell ref="M54:M55"/>
    <mergeCell ref="N54:N55"/>
    <mergeCell ref="O54:O55"/>
    <mergeCell ref="P54:P55"/>
    <mergeCell ref="Q54:Q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AV54:AX55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P54:AP55"/>
    <mergeCell ref="AQ54:AQ55"/>
    <mergeCell ref="AR54:AR55"/>
    <mergeCell ref="AS54:AS55"/>
    <mergeCell ref="AT54:AT55"/>
    <mergeCell ref="AU54:AU55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P61:P62"/>
    <mergeCell ref="Q61:Q62"/>
    <mergeCell ref="R61:R62"/>
    <mergeCell ref="S61:S62"/>
    <mergeCell ref="T61:T62"/>
    <mergeCell ref="U61:U62"/>
    <mergeCell ref="J61:J62"/>
    <mergeCell ref="K61:K62"/>
    <mergeCell ref="L61:L62"/>
    <mergeCell ref="M61:M62"/>
    <mergeCell ref="N61:N62"/>
    <mergeCell ref="O61:O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V61:V62"/>
    <mergeCell ref="W61:W62"/>
    <mergeCell ref="X61:X62"/>
    <mergeCell ref="Y61:Y62"/>
    <mergeCell ref="Z61:Z62"/>
    <mergeCell ref="AA61:AA62"/>
    <mergeCell ref="J66:J67"/>
    <mergeCell ref="K66:K67"/>
    <mergeCell ref="L66:L67"/>
    <mergeCell ref="M66:M67"/>
    <mergeCell ref="AT61:AT62"/>
    <mergeCell ref="AU61:AU62"/>
    <mergeCell ref="AV61:AX62"/>
    <mergeCell ref="A66:A67"/>
    <mergeCell ref="B66:B67"/>
    <mergeCell ref="C66:C67"/>
    <mergeCell ref="D66:D67"/>
    <mergeCell ref="E66:E67"/>
    <mergeCell ref="F66:F67"/>
    <mergeCell ref="G66:G67"/>
    <mergeCell ref="AN61:AN62"/>
    <mergeCell ref="AO61:AO62"/>
    <mergeCell ref="AP61:AP62"/>
    <mergeCell ref="AQ61:AQ62"/>
    <mergeCell ref="AR61:AR62"/>
    <mergeCell ref="AS61:AS62"/>
    <mergeCell ref="AH61:AH62"/>
    <mergeCell ref="AI61:AI62"/>
    <mergeCell ref="AJ61:AJ62"/>
    <mergeCell ref="AK61:AK62"/>
    <mergeCell ref="AU66:AU67"/>
    <mergeCell ref="AV66:AX67"/>
    <mergeCell ref="A73:A74"/>
    <mergeCell ref="B73:B74"/>
    <mergeCell ref="C73:C74"/>
    <mergeCell ref="D73:D74"/>
    <mergeCell ref="E73:E74"/>
    <mergeCell ref="AL66:AL67"/>
    <mergeCell ref="AM66:AM67"/>
    <mergeCell ref="AN66:AN67"/>
    <mergeCell ref="AO66:AO67"/>
    <mergeCell ref="AP66:AP67"/>
    <mergeCell ref="AQ66:AQ67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F73:F74"/>
    <mergeCell ref="G73:G74"/>
    <mergeCell ref="H73:H74"/>
    <mergeCell ref="I73:I74"/>
    <mergeCell ref="J73:J74"/>
    <mergeCell ref="K73:K74"/>
    <mergeCell ref="AR66:AR67"/>
    <mergeCell ref="AS66:AS67"/>
    <mergeCell ref="AT66:AT67"/>
    <mergeCell ref="AE66:AE67"/>
    <mergeCell ref="T66:T67"/>
    <mergeCell ref="U66:U67"/>
    <mergeCell ref="V66:V67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H66:H67"/>
    <mergeCell ref="I66:I67"/>
    <mergeCell ref="R73:R74"/>
    <mergeCell ref="S73:S74"/>
    <mergeCell ref="T73:T74"/>
    <mergeCell ref="U73:U74"/>
    <mergeCell ref="V73:V74"/>
    <mergeCell ref="W73:W74"/>
    <mergeCell ref="L73:L74"/>
    <mergeCell ref="M73:M74"/>
    <mergeCell ref="N73:N74"/>
    <mergeCell ref="O73:O74"/>
    <mergeCell ref="P73:P74"/>
    <mergeCell ref="Q73:Q74"/>
    <mergeCell ref="AF73:AF74"/>
    <mergeCell ref="AG73:AG74"/>
    <mergeCell ref="AH73:AH74"/>
    <mergeCell ref="AI73:AI74"/>
    <mergeCell ref="X73:X74"/>
    <mergeCell ref="Y73:Y74"/>
    <mergeCell ref="Z73:Z74"/>
    <mergeCell ref="AA73:AA74"/>
    <mergeCell ref="AB73:AB74"/>
    <mergeCell ref="AC73:AC74"/>
    <mergeCell ref="AV73:AX74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AP73:AP74"/>
    <mergeCell ref="AQ73:AQ74"/>
    <mergeCell ref="AR73:AR74"/>
    <mergeCell ref="AS73:AS74"/>
    <mergeCell ref="AT73:AT74"/>
    <mergeCell ref="AU73:AU74"/>
    <mergeCell ref="AJ73:AJ74"/>
    <mergeCell ref="AK73:AK74"/>
    <mergeCell ref="AL73:AL74"/>
    <mergeCell ref="AM73:AM74"/>
    <mergeCell ref="AN73:AN74"/>
    <mergeCell ref="AO73:AO74"/>
    <mergeCell ref="AD73:AD74"/>
    <mergeCell ref="AE73:AE74"/>
    <mergeCell ref="P83:P84"/>
    <mergeCell ref="Q83:Q84"/>
    <mergeCell ref="R83:R84"/>
    <mergeCell ref="S83:S84"/>
    <mergeCell ref="T83:T84"/>
    <mergeCell ref="U83:U84"/>
    <mergeCell ref="J83:J84"/>
    <mergeCell ref="K83:K84"/>
    <mergeCell ref="L83:L84"/>
    <mergeCell ref="M83:M84"/>
    <mergeCell ref="N83:N84"/>
    <mergeCell ref="O83:O84"/>
    <mergeCell ref="AL83:AL84"/>
    <mergeCell ref="AM83:AM84"/>
    <mergeCell ref="AB83:AB84"/>
    <mergeCell ref="AC83:AC84"/>
    <mergeCell ref="AD83:AD84"/>
    <mergeCell ref="AE83:AE84"/>
    <mergeCell ref="AF83:AF84"/>
    <mergeCell ref="AG83:AG84"/>
    <mergeCell ref="V83:V84"/>
    <mergeCell ref="W83:W84"/>
    <mergeCell ref="X83:X84"/>
    <mergeCell ref="Y83:Y84"/>
    <mergeCell ref="Z83:Z84"/>
    <mergeCell ref="AA83:AA84"/>
    <mergeCell ref="J90:J91"/>
    <mergeCell ref="K90:K91"/>
    <mergeCell ref="L90:L91"/>
    <mergeCell ref="M90:M91"/>
    <mergeCell ref="AT83:AT84"/>
    <mergeCell ref="AU83:AU84"/>
    <mergeCell ref="AV83:AX84"/>
    <mergeCell ref="A90:A91"/>
    <mergeCell ref="B90:B91"/>
    <mergeCell ref="C90:C91"/>
    <mergeCell ref="D90:D91"/>
    <mergeCell ref="E90:E91"/>
    <mergeCell ref="F90:F91"/>
    <mergeCell ref="G90:G91"/>
    <mergeCell ref="AN83:AN84"/>
    <mergeCell ref="AO83:AO84"/>
    <mergeCell ref="AP83:AP84"/>
    <mergeCell ref="AQ83:AQ84"/>
    <mergeCell ref="AR83:AR84"/>
    <mergeCell ref="AS83:AS84"/>
    <mergeCell ref="AH83:AH84"/>
    <mergeCell ref="AI83:AI84"/>
    <mergeCell ref="AJ83:AJ84"/>
    <mergeCell ref="AK83:AK84"/>
    <mergeCell ref="AU90:AU91"/>
    <mergeCell ref="AV90:AX91"/>
    <mergeCell ref="A105:A106"/>
    <mergeCell ref="B105:B106"/>
    <mergeCell ref="C105:C106"/>
    <mergeCell ref="D105:D106"/>
    <mergeCell ref="E105:E106"/>
    <mergeCell ref="AL90:AL91"/>
    <mergeCell ref="AM90:AM91"/>
    <mergeCell ref="AN90:AN91"/>
    <mergeCell ref="AO90:AO91"/>
    <mergeCell ref="AP90:AP91"/>
    <mergeCell ref="AQ90:AQ91"/>
    <mergeCell ref="AF90:AF91"/>
    <mergeCell ref="AG90:AG91"/>
    <mergeCell ref="AH90:AH91"/>
    <mergeCell ref="AI90:AI91"/>
    <mergeCell ref="AJ90:AJ91"/>
    <mergeCell ref="AK90:AK91"/>
    <mergeCell ref="Z90:Z91"/>
    <mergeCell ref="AA90:AA91"/>
    <mergeCell ref="AB90:AB91"/>
    <mergeCell ref="AC90:AC91"/>
    <mergeCell ref="AD90:AD91"/>
    <mergeCell ref="F105:F106"/>
    <mergeCell ref="G105:G106"/>
    <mergeCell ref="H105:H106"/>
    <mergeCell ref="I105:I106"/>
    <mergeCell ref="J105:J106"/>
    <mergeCell ref="K105:K106"/>
    <mergeCell ref="AR90:AR91"/>
    <mergeCell ref="AS90:AS91"/>
    <mergeCell ref="AT90:AT91"/>
    <mergeCell ref="AE90:AE91"/>
    <mergeCell ref="T90:T91"/>
    <mergeCell ref="U90:U91"/>
    <mergeCell ref="V90:V91"/>
    <mergeCell ref="W90:W91"/>
    <mergeCell ref="X90:X91"/>
    <mergeCell ref="Y90:Y91"/>
    <mergeCell ref="N90:N91"/>
    <mergeCell ref="O90:O91"/>
    <mergeCell ref="P90:P91"/>
    <mergeCell ref="Q90:Q91"/>
    <mergeCell ref="R90:R91"/>
    <mergeCell ref="S90:S91"/>
    <mergeCell ref="H90:H91"/>
    <mergeCell ref="I90:I91"/>
    <mergeCell ref="R105:R106"/>
    <mergeCell ref="S105:S106"/>
    <mergeCell ref="T105:T106"/>
    <mergeCell ref="U105:U106"/>
    <mergeCell ref="V105:V106"/>
    <mergeCell ref="W105:W106"/>
    <mergeCell ref="L105:L106"/>
    <mergeCell ref="M105:M106"/>
    <mergeCell ref="N105:N106"/>
    <mergeCell ref="O105:O106"/>
    <mergeCell ref="P105:P106"/>
    <mergeCell ref="Q105:Q106"/>
    <mergeCell ref="AD105:AD106"/>
    <mergeCell ref="AE105:AE106"/>
    <mergeCell ref="AF105:AF106"/>
    <mergeCell ref="AG105:AG106"/>
    <mergeCell ref="AH105:AH106"/>
    <mergeCell ref="AI105:AI106"/>
    <mergeCell ref="X105:X106"/>
    <mergeCell ref="Y105:Y106"/>
    <mergeCell ref="Z105:Z106"/>
    <mergeCell ref="AA105:AA106"/>
    <mergeCell ref="AB105:AB106"/>
    <mergeCell ref="AC105:AC106"/>
    <mergeCell ref="AV105:AX106"/>
    <mergeCell ref="AP105:AP106"/>
    <mergeCell ref="AQ105:AQ106"/>
    <mergeCell ref="AR105:AR106"/>
    <mergeCell ref="AS105:AS106"/>
    <mergeCell ref="AT105:AT106"/>
    <mergeCell ref="AU105:AU106"/>
    <mergeCell ref="AJ105:AJ106"/>
    <mergeCell ref="AK105:AK106"/>
    <mergeCell ref="AL105:AL106"/>
    <mergeCell ref="AM105:AM106"/>
    <mergeCell ref="AN105:AN106"/>
    <mergeCell ref="AO105:AO10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2015-05-22T06:42:43Z</dcterms:created>
  <dcterms:modified xsi:type="dcterms:W3CDTF">2025-06-11T12:54:10Z</dcterms:modified>
</cp:coreProperties>
</file>